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527"/>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A569821A-EC61-4903-81B8-AF75E67B904C}" xr6:coauthVersionLast="47" xr6:coauthVersionMax="47" xr10:uidLastSave="{00000000-0000-0000-0000-000000000000}"/>
  <bookViews>
    <workbookView xWindow="-103" yWindow="-103" windowWidth="24144" windowHeight="14447" activeTab="2"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14" r:id="rId7"/>
    <sheet name="ContractData" sheetId="11" r:id="rId8"/>
    <sheet name="SpineData" sheetId="13" r:id="rId9"/>
  </sheets>
  <definedNames>
    <definedName name="_xlnm._FilterDatabase" localSheetId="3" hidden="1">BuffData!$C$1:$C$324</definedName>
    <definedName name="_xlnm._FilterDatabase" localSheetId="5" hidden="1">BulletData!$B$1:$B$77</definedName>
    <definedName name="_xlnm._FilterDatabase" localSheetId="2" hidden="1">SkillData!$C$1:$C$902</definedName>
    <definedName name="_xlnm._FilterDatabase" localSheetId="1" hidden="1">UnitData!$I$1:$I$1820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G166" i="1" l="1"/>
  <c r="BG167" i="1"/>
  <c r="BG168" i="1"/>
  <c r="BG169" i="1"/>
  <c r="BG170" i="1"/>
  <c r="BG171" i="1"/>
  <c r="BG172" i="1"/>
  <c r="BG173" i="1"/>
  <c r="BG174" i="1"/>
  <c r="BG175" i="1"/>
  <c r="BG176" i="1"/>
  <c r="BG177" i="1"/>
  <c r="BG178" i="1"/>
  <c r="BG179" i="1"/>
  <c r="BG180" i="1"/>
  <c r="BG181" i="1"/>
  <c r="BG1820" i="1"/>
  <c r="F1820" i="1"/>
  <c r="F131" i="1"/>
  <c r="F130" i="1"/>
  <c r="BG703" i="1"/>
  <c r="F703" i="1"/>
  <c r="BG702" i="1"/>
  <c r="F702" i="1"/>
  <c r="BG701" i="1"/>
  <c r="F701" i="1"/>
  <c r="BG700" i="1"/>
  <c r="F700" i="1"/>
  <c r="BG699" i="1"/>
  <c r="F699" i="1"/>
  <c r="BG698" i="1"/>
  <c r="F698" i="1"/>
  <c r="BG697" i="1"/>
  <c r="F697" i="1"/>
  <c r="BG696" i="1"/>
  <c r="F696" i="1"/>
  <c r="BG695" i="1"/>
  <c r="F695" i="1"/>
  <c r="BG694" i="1"/>
  <c r="F694" i="1"/>
  <c r="BG693" i="1"/>
  <c r="F693" i="1"/>
  <c r="BG692" i="1"/>
  <c r="F692" i="1"/>
  <c r="BG691" i="1"/>
  <c r="F691" i="1"/>
  <c r="BG690" i="1"/>
  <c r="F690" i="1"/>
  <c r="BG689" i="1"/>
  <c r="F689" i="1"/>
  <c r="BG688" i="1"/>
  <c r="F688" i="1"/>
  <c r="BG687" i="1"/>
  <c r="F687" i="1"/>
  <c r="BG686" i="1"/>
  <c r="F686" i="1"/>
  <c r="BG685" i="1"/>
  <c r="F685" i="1"/>
  <c r="BG684" i="1"/>
  <c r="F684" i="1"/>
  <c r="BG683" i="1"/>
  <c r="F683" i="1"/>
  <c r="BG682" i="1"/>
  <c r="F682" i="1"/>
  <c r="BG681" i="1"/>
  <c r="F681" i="1"/>
  <c r="BG680" i="1"/>
  <c r="F680" i="1"/>
  <c r="BG679" i="1"/>
  <c r="F679" i="1"/>
  <c r="BG678" i="1"/>
  <c r="BG677" i="1"/>
  <c r="F677" i="1"/>
  <c r="BG676" i="1"/>
  <c r="F676" i="1"/>
  <c r="BG675" i="1"/>
  <c r="F675" i="1"/>
  <c r="BG674" i="1"/>
  <c r="F674" i="1"/>
  <c r="BG673" i="1"/>
  <c r="F673" i="1"/>
  <c r="BG672" i="1"/>
  <c r="F672" i="1"/>
  <c r="BG671" i="1"/>
  <c r="F671" i="1"/>
  <c r="BG670" i="1"/>
  <c r="F670" i="1"/>
  <c r="BG669" i="1"/>
  <c r="F669" i="1"/>
  <c r="BG668" i="1"/>
  <c r="F668" i="1"/>
  <c r="BG667" i="1"/>
  <c r="F667" i="1"/>
  <c r="BG666" i="1"/>
  <c r="F666" i="1"/>
  <c r="BG665" i="1"/>
  <c r="F665" i="1"/>
  <c r="BG664" i="1"/>
  <c r="F664" i="1"/>
  <c r="BG663" i="1"/>
  <c r="F663" i="1"/>
  <c r="BG662" i="1"/>
  <c r="F662" i="1"/>
  <c r="BG661" i="1"/>
  <c r="F661" i="1"/>
  <c r="BG660" i="1"/>
  <c r="F660" i="1"/>
  <c r="BG659" i="1"/>
  <c r="F659" i="1"/>
  <c r="BG658" i="1"/>
  <c r="F658" i="1"/>
  <c r="BG657" i="1"/>
  <c r="F657" i="1"/>
  <c r="BG656" i="1"/>
  <c r="F656" i="1"/>
  <c r="BG655" i="1"/>
  <c r="F655" i="1"/>
  <c r="BG654" i="1"/>
  <c r="F654" i="1"/>
  <c r="BG653" i="1"/>
  <c r="F653" i="1"/>
  <c r="BG652" i="1"/>
  <c r="F652" i="1"/>
  <c r="BG651" i="1"/>
  <c r="F651" i="1"/>
  <c r="BG650" i="1"/>
  <c r="F650" i="1"/>
  <c r="BG649" i="1"/>
  <c r="F649" i="1"/>
  <c r="BG648" i="1"/>
  <c r="F648" i="1"/>
  <c r="BG647" i="1"/>
  <c r="F647" i="1"/>
  <c r="BG646" i="1"/>
  <c r="F646" i="1"/>
  <c r="BG645" i="1"/>
  <c r="F645" i="1"/>
  <c r="BG644" i="1"/>
  <c r="F644" i="1"/>
  <c r="BG643" i="1"/>
  <c r="F643" i="1"/>
  <c r="BG642" i="1"/>
  <c r="F642" i="1"/>
  <c r="BG641" i="1"/>
  <c r="F641" i="1"/>
  <c r="BG640" i="1"/>
  <c r="F640" i="1"/>
  <c r="BG639" i="1"/>
  <c r="F639" i="1"/>
  <c r="BG638" i="1"/>
  <c r="F638" i="1"/>
  <c r="BG637" i="1"/>
  <c r="F637" i="1"/>
  <c r="BG636" i="1"/>
  <c r="F636" i="1"/>
  <c r="BG635" i="1"/>
  <c r="F635" i="1"/>
  <c r="BG634" i="1"/>
  <c r="F634" i="1"/>
  <c r="BG633" i="1"/>
  <c r="F633" i="1"/>
  <c r="BG632" i="1"/>
  <c r="F632" i="1"/>
  <c r="BG631" i="1"/>
  <c r="F631" i="1"/>
  <c r="BG630" i="1"/>
  <c r="F630" i="1"/>
  <c r="BG629" i="1"/>
  <c r="F629" i="1"/>
  <c r="BG628" i="1"/>
  <c r="F628" i="1"/>
  <c r="BG627" i="1"/>
  <c r="F627" i="1"/>
  <c r="BG626" i="1"/>
  <c r="F626" i="1"/>
  <c r="BG625" i="1"/>
  <c r="F625" i="1"/>
  <c r="BG624" i="1"/>
  <c r="F624" i="1"/>
  <c r="BG623" i="1"/>
  <c r="F623" i="1"/>
  <c r="BG622" i="1"/>
  <c r="F622" i="1"/>
  <c r="BG621" i="1"/>
  <c r="F621" i="1"/>
  <c r="BG620" i="1"/>
  <c r="F620" i="1"/>
  <c r="BG619" i="1"/>
  <c r="F619" i="1"/>
  <c r="BG618" i="1"/>
  <c r="F618" i="1"/>
  <c r="BG617" i="1"/>
  <c r="F617" i="1"/>
  <c r="BG616" i="1"/>
  <c r="F616" i="1"/>
  <c r="BG615" i="1"/>
  <c r="F615" i="1"/>
  <c r="BG614" i="1"/>
  <c r="F614" i="1"/>
  <c r="BG613" i="1"/>
  <c r="F613" i="1"/>
  <c r="BG612" i="1"/>
  <c r="F612" i="1"/>
  <c r="BG611" i="1"/>
  <c r="F611" i="1"/>
  <c r="BG610" i="1"/>
  <c r="F610" i="1"/>
  <c r="BG609" i="1"/>
  <c r="F609" i="1"/>
  <c r="BG608" i="1"/>
  <c r="F608" i="1"/>
  <c r="BG607" i="1"/>
  <c r="F607" i="1"/>
  <c r="BG606" i="1"/>
  <c r="F606" i="1"/>
  <c r="BG605" i="1"/>
  <c r="F605" i="1"/>
  <c r="BG604" i="1"/>
  <c r="F604" i="1"/>
  <c r="BG603" i="1"/>
  <c r="F603" i="1"/>
  <c r="BG591" i="1"/>
  <c r="F591" i="1"/>
  <c r="BG590" i="1"/>
  <c r="F590" i="1"/>
  <c r="BG589" i="1"/>
  <c r="F589" i="1"/>
  <c r="BG588" i="1"/>
  <c r="F588" i="1"/>
  <c r="BG587" i="1"/>
  <c r="F587" i="1"/>
  <c r="BG586" i="1"/>
  <c r="F586" i="1"/>
  <c r="BG585" i="1"/>
  <c r="F585" i="1"/>
  <c r="BG584" i="1"/>
  <c r="F584" i="1"/>
  <c r="BG583" i="1"/>
  <c r="F583" i="1"/>
  <c r="BG582" i="1"/>
  <c r="F582" i="1"/>
  <c r="BG581" i="1"/>
  <c r="F581" i="1"/>
  <c r="BG580" i="1"/>
  <c r="F580" i="1"/>
  <c r="BG579" i="1"/>
  <c r="F579" i="1"/>
  <c r="BG578" i="1"/>
  <c r="F578" i="1"/>
  <c r="BG577" i="1"/>
  <c r="F577" i="1"/>
  <c r="BG576" i="1"/>
  <c r="F576" i="1"/>
  <c r="BG575" i="1"/>
  <c r="F575" i="1"/>
  <c r="BG574" i="1"/>
  <c r="F574" i="1"/>
  <c r="BG573" i="1"/>
  <c r="F573" i="1"/>
  <c r="BG572" i="1"/>
  <c r="F572" i="1"/>
  <c r="BG571" i="1"/>
  <c r="F571" i="1"/>
  <c r="BG570" i="1"/>
  <c r="F570" i="1"/>
  <c r="BG569" i="1"/>
  <c r="F569" i="1"/>
  <c r="BG568" i="1"/>
  <c r="F568" i="1"/>
  <c r="BG567" i="1"/>
  <c r="F567" i="1"/>
  <c r="BG566" i="1"/>
  <c r="F566" i="1"/>
  <c r="BG565" i="1"/>
  <c r="F565" i="1"/>
  <c r="BG564" i="1"/>
  <c r="F564" i="1"/>
  <c r="BG563" i="1"/>
  <c r="F563" i="1"/>
  <c r="BG562" i="1"/>
  <c r="F562" i="1"/>
  <c r="BG561" i="1"/>
  <c r="F561" i="1"/>
  <c r="BG560" i="1"/>
  <c r="F560" i="1"/>
  <c r="BG559" i="1"/>
  <c r="F559" i="1"/>
  <c r="BG558" i="1"/>
  <c r="F558" i="1"/>
  <c r="BG557" i="1"/>
  <c r="F557" i="1"/>
  <c r="BG556" i="1"/>
  <c r="F556" i="1"/>
  <c r="BG555" i="1"/>
  <c r="F555" i="1"/>
  <c r="BG554" i="1"/>
  <c r="F554" i="1"/>
  <c r="BG553" i="1"/>
  <c r="F553" i="1"/>
  <c r="BG552" i="1"/>
  <c r="F552" i="1"/>
  <c r="BG551" i="1"/>
  <c r="F551" i="1"/>
  <c r="BG550" i="1"/>
  <c r="F550" i="1"/>
  <c r="BG549" i="1"/>
  <c r="F549" i="1"/>
  <c r="BG548" i="1"/>
  <c r="F548" i="1"/>
  <c r="BG547" i="1"/>
  <c r="F547" i="1"/>
  <c r="BG546" i="1"/>
  <c r="F546" i="1"/>
  <c r="BG545" i="1"/>
  <c r="F545" i="1"/>
  <c r="BG544" i="1"/>
  <c r="F544" i="1"/>
  <c r="BG543" i="1"/>
  <c r="F543" i="1"/>
  <c r="BG542" i="1"/>
  <c r="F542" i="1"/>
  <c r="BG541" i="1"/>
  <c r="F541" i="1"/>
  <c r="BG540" i="1"/>
  <c r="F540" i="1"/>
  <c r="BG539" i="1"/>
  <c r="F539" i="1"/>
  <c r="BG538" i="1"/>
  <c r="F538" i="1"/>
  <c r="BG537" i="1"/>
  <c r="F537" i="1"/>
  <c r="BG536" i="1"/>
  <c r="F536" i="1"/>
  <c r="BG535" i="1"/>
  <c r="F535" i="1"/>
  <c r="BG534" i="1"/>
  <c r="F534" i="1"/>
  <c r="BG533" i="1"/>
  <c r="F533" i="1"/>
  <c r="BG532" i="1"/>
  <c r="F532" i="1"/>
  <c r="BG531" i="1"/>
  <c r="F531" i="1"/>
  <c r="BG530" i="1"/>
  <c r="F530" i="1"/>
  <c r="BG529" i="1"/>
  <c r="F529" i="1"/>
  <c r="BG528" i="1"/>
  <c r="F528" i="1"/>
  <c r="BG527" i="1"/>
  <c r="F527" i="1"/>
  <c r="BG526" i="1"/>
  <c r="F526" i="1"/>
  <c r="BG525" i="1"/>
  <c r="F525" i="1"/>
  <c r="BG524" i="1"/>
  <c r="F524" i="1"/>
  <c r="BG523" i="1"/>
  <c r="F523" i="1"/>
  <c r="BG522" i="1"/>
  <c r="F522" i="1"/>
  <c r="BG521" i="1"/>
  <c r="BG520" i="1"/>
  <c r="F520" i="1"/>
  <c r="BG519" i="1"/>
  <c r="F519" i="1"/>
  <c r="BG518" i="1"/>
  <c r="F518" i="1"/>
  <c r="BG517" i="1"/>
  <c r="F517" i="1"/>
  <c r="BG516" i="1"/>
  <c r="F516" i="1"/>
  <c r="BG515" i="1"/>
  <c r="F515" i="1"/>
  <c r="BG514" i="1"/>
  <c r="F514" i="1"/>
  <c r="BG513" i="1"/>
  <c r="F513" i="1"/>
  <c r="BG512" i="1"/>
  <c r="F512" i="1"/>
  <c r="BG511" i="1"/>
  <c r="F511" i="1"/>
  <c r="BG510" i="1"/>
  <c r="F510" i="1"/>
  <c r="BG509" i="1"/>
  <c r="F509" i="1"/>
  <c r="BG508" i="1"/>
  <c r="F508" i="1"/>
  <c r="BG507" i="1"/>
  <c r="F507" i="1"/>
  <c r="BG506" i="1"/>
  <c r="F506" i="1"/>
  <c r="BG505" i="1"/>
  <c r="F505" i="1"/>
  <c r="BG504" i="1"/>
  <c r="F504" i="1"/>
  <c r="BG503" i="1"/>
  <c r="F503" i="1"/>
  <c r="BG502" i="1"/>
  <c r="F502" i="1"/>
  <c r="BG501" i="1"/>
  <c r="F501" i="1"/>
  <c r="BG500" i="1"/>
  <c r="F500" i="1"/>
  <c r="BG499" i="1"/>
  <c r="F499" i="1"/>
  <c r="BG498" i="1"/>
  <c r="F498" i="1"/>
  <c r="BG497" i="1"/>
  <c r="F497" i="1"/>
  <c r="BG496" i="1"/>
  <c r="F496" i="1"/>
  <c r="BG495" i="1"/>
  <c r="F495" i="1"/>
  <c r="BG494" i="1"/>
  <c r="F494" i="1"/>
  <c r="BG493" i="1"/>
  <c r="F493" i="1"/>
  <c r="BG492" i="1"/>
  <c r="F492" i="1"/>
  <c r="BG491" i="1"/>
  <c r="F491" i="1"/>
  <c r="BG490" i="1"/>
  <c r="F490" i="1"/>
  <c r="BG489" i="1"/>
  <c r="F489" i="1"/>
  <c r="BG488" i="1"/>
  <c r="F488" i="1"/>
  <c r="BG487" i="1"/>
  <c r="F487" i="1"/>
  <c r="BG486" i="1"/>
  <c r="F486" i="1"/>
  <c r="BG485" i="1"/>
  <c r="F485" i="1"/>
  <c r="BG484" i="1"/>
  <c r="F484" i="1"/>
  <c r="BG483" i="1"/>
  <c r="F483" i="1"/>
  <c r="BG482" i="1"/>
  <c r="F482" i="1"/>
  <c r="BG481" i="1"/>
  <c r="F481" i="1"/>
  <c r="BG480" i="1"/>
  <c r="F480" i="1"/>
  <c r="BG479" i="1"/>
  <c r="F479" i="1"/>
  <c r="BG478" i="1"/>
  <c r="F478" i="1"/>
  <c r="BG477" i="1"/>
  <c r="F477" i="1"/>
  <c r="BG476" i="1"/>
  <c r="F476" i="1"/>
  <c r="BG475" i="1"/>
  <c r="F475" i="1"/>
  <c r="BG474" i="1"/>
  <c r="F474" i="1"/>
  <c r="BG473" i="1"/>
  <c r="F473" i="1"/>
  <c r="BG472" i="1"/>
  <c r="F472" i="1"/>
  <c r="BG471" i="1"/>
  <c r="F471" i="1"/>
  <c r="BG470" i="1"/>
  <c r="F470" i="1"/>
  <c r="BG469" i="1"/>
  <c r="F469" i="1"/>
  <c r="BG468" i="1"/>
  <c r="F468" i="1"/>
  <c r="BG467" i="1"/>
  <c r="F467" i="1"/>
  <c r="BG466" i="1"/>
  <c r="F466" i="1"/>
  <c r="BG465" i="1"/>
  <c r="F465" i="1"/>
  <c r="BG464" i="1"/>
  <c r="F464" i="1"/>
  <c r="BG463" i="1"/>
  <c r="F463" i="1"/>
  <c r="BG462" i="1"/>
  <c r="F462" i="1"/>
  <c r="BG461" i="1"/>
  <c r="F461" i="1"/>
  <c r="BG460" i="1"/>
  <c r="F460" i="1"/>
  <c r="BG459" i="1"/>
  <c r="F459" i="1"/>
  <c r="BG458" i="1"/>
  <c r="F458" i="1"/>
  <c r="BG457" i="1"/>
  <c r="F457" i="1"/>
  <c r="BG451" i="1"/>
  <c r="F451" i="1"/>
  <c r="BG450" i="1"/>
  <c r="F450" i="1"/>
  <c r="BG449" i="1"/>
  <c r="F449" i="1"/>
  <c r="BG448" i="1"/>
  <c r="F448" i="1"/>
  <c r="BG447" i="1"/>
  <c r="F447" i="1"/>
  <c r="BG446" i="1"/>
  <c r="F446" i="1"/>
  <c r="BG445" i="1"/>
  <c r="F445" i="1"/>
  <c r="BG444" i="1"/>
  <c r="F444" i="1"/>
  <c r="BG443" i="1"/>
  <c r="F443" i="1"/>
  <c r="BG442" i="1"/>
  <c r="F442" i="1"/>
  <c r="BG441" i="1"/>
  <c r="F441" i="1"/>
  <c r="BG440" i="1"/>
  <c r="F440" i="1"/>
  <c r="BG439" i="1"/>
  <c r="F439" i="1"/>
  <c r="BG438" i="1"/>
  <c r="F438" i="1"/>
  <c r="BG437" i="1"/>
  <c r="F437" i="1"/>
  <c r="BG436" i="1"/>
  <c r="F436" i="1"/>
  <c r="BG435" i="1"/>
  <c r="F435" i="1"/>
  <c r="BG434" i="1"/>
  <c r="F434" i="1"/>
  <c r="BG433" i="1"/>
  <c r="F433" i="1"/>
  <c r="BG432" i="1"/>
  <c r="F432" i="1"/>
  <c r="BG431" i="1"/>
  <c r="F431" i="1"/>
  <c r="BG430" i="1"/>
  <c r="F430" i="1"/>
  <c r="BG429" i="1"/>
  <c r="F429" i="1"/>
  <c r="BG428" i="1"/>
  <c r="F428" i="1"/>
  <c r="BG427" i="1"/>
  <c r="F427" i="1"/>
  <c r="BG426" i="1"/>
  <c r="F426" i="1"/>
  <c r="BG425" i="1"/>
  <c r="F425" i="1"/>
  <c r="BG424" i="1"/>
  <c r="F424" i="1"/>
  <c r="BG423" i="1"/>
  <c r="F423" i="1"/>
  <c r="BG422" i="1"/>
  <c r="F422" i="1"/>
  <c r="BG421" i="1"/>
  <c r="F421" i="1"/>
  <c r="BG420" i="1"/>
  <c r="F420" i="1"/>
  <c r="BG419" i="1"/>
  <c r="F419" i="1"/>
  <c r="BG418" i="1"/>
  <c r="F418" i="1"/>
  <c r="BG417" i="1"/>
  <c r="F417" i="1"/>
  <c r="BG416" i="1"/>
  <c r="F416" i="1"/>
  <c r="BG415" i="1"/>
  <c r="F415" i="1"/>
  <c r="BG414" i="1"/>
  <c r="F414" i="1"/>
  <c r="BG413" i="1"/>
  <c r="F413" i="1"/>
  <c r="BG412" i="1"/>
  <c r="F412" i="1"/>
  <c r="BG411" i="1"/>
  <c r="F411" i="1"/>
  <c r="BG410" i="1"/>
  <c r="F410" i="1"/>
  <c r="BG409" i="1"/>
  <c r="F409" i="1"/>
  <c r="BG408" i="1"/>
  <c r="F408" i="1"/>
  <c r="BG407" i="1"/>
  <c r="F407" i="1"/>
  <c r="BG406" i="1"/>
  <c r="F406" i="1"/>
  <c r="BG405" i="1"/>
  <c r="F405" i="1"/>
  <c r="BG404" i="1"/>
  <c r="F404" i="1"/>
  <c r="BG403" i="1"/>
  <c r="F403" i="1"/>
  <c r="BG402" i="1"/>
  <c r="F402" i="1"/>
  <c r="BG401" i="1"/>
  <c r="F401" i="1"/>
  <c r="BG400" i="1"/>
  <c r="F400" i="1"/>
  <c r="BG399" i="1"/>
  <c r="F399" i="1"/>
  <c r="BG398" i="1"/>
  <c r="F398" i="1"/>
  <c r="BG397" i="1"/>
  <c r="F397" i="1"/>
  <c r="BG396" i="1"/>
  <c r="F396" i="1"/>
  <c r="BG395" i="1"/>
  <c r="F395" i="1"/>
  <c r="BG394" i="1"/>
  <c r="F394" i="1"/>
  <c r="BG393" i="1"/>
  <c r="F393" i="1"/>
  <c r="BG392" i="1"/>
  <c r="F392" i="1"/>
  <c r="BG391" i="1"/>
  <c r="F391" i="1"/>
  <c r="BG390" i="1"/>
  <c r="F390" i="1"/>
  <c r="BG389" i="1"/>
  <c r="F389" i="1"/>
  <c r="BG388" i="1"/>
  <c r="F388" i="1"/>
  <c r="BG387" i="1"/>
  <c r="F387" i="1"/>
  <c r="BG386" i="1"/>
  <c r="F386" i="1"/>
  <c r="BG385" i="1"/>
  <c r="F385" i="1"/>
  <c r="BG384" i="1"/>
  <c r="F384" i="1"/>
  <c r="BG383" i="1"/>
  <c r="F383" i="1"/>
  <c r="BG382" i="1"/>
  <c r="F382" i="1"/>
  <c r="BG381" i="1"/>
  <c r="F381" i="1"/>
  <c r="BG380" i="1"/>
  <c r="F380" i="1"/>
  <c r="BG379" i="1"/>
  <c r="F379" i="1"/>
  <c r="BG378" i="1"/>
  <c r="F378" i="1"/>
  <c r="BG371" i="1"/>
  <c r="F371" i="1"/>
  <c r="BG370" i="1"/>
  <c r="F370" i="1"/>
  <c r="BG369" i="1"/>
  <c r="F369" i="1"/>
  <c r="BG368" i="1"/>
  <c r="F368" i="1"/>
  <c r="BG367" i="1"/>
  <c r="F367" i="1"/>
  <c r="BG366" i="1"/>
  <c r="F366" i="1"/>
  <c r="BG365" i="1"/>
  <c r="F365" i="1"/>
  <c r="BG364" i="1"/>
  <c r="F364" i="1"/>
  <c r="BG363" i="1"/>
  <c r="F363" i="1"/>
  <c r="BG362" i="1"/>
  <c r="F362" i="1"/>
  <c r="BG361" i="1"/>
  <c r="F361" i="1"/>
  <c r="BG360" i="1"/>
  <c r="F360" i="1"/>
  <c r="BG359" i="1"/>
  <c r="F359" i="1"/>
  <c r="BG358" i="1"/>
  <c r="F358" i="1"/>
  <c r="BG357" i="1"/>
  <c r="F357" i="1"/>
  <c r="BG356" i="1"/>
  <c r="F356" i="1"/>
  <c r="BG355" i="1"/>
  <c r="F355" i="1"/>
  <c r="BG354" i="1"/>
  <c r="F354" i="1"/>
  <c r="BG353" i="1"/>
  <c r="F353" i="1"/>
  <c r="BG352" i="1"/>
  <c r="F352" i="1"/>
  <c r="BG351" i="1"/>
  <c r="F351" i="1"/>
  <c r="BG350" i="1"/>
  <c r="F350" i="1"/>
  <c r="BG349" i="1"/>
  <c r="F349" i="1"/>
  <c r="BG348" i="1"/>
  <c r="F348" i="1"/>
  <c r="BG347" i="1"/>
  <c r="F347" i="1"/>
  <c r="BG346" i="1"/>
  <c r="F346" i="1"/>
  <c r="BG345" i="1"/>
  <c r="F345" i="1"/>
  <c r="BG344" i="1"/>
  <c r="F344" i="1"/>
  <c r="BG343" i="1"/>
  <c r="F343" i="1"/>
  <c r="BG342" i="1"/>
  <c r="F342" i="1"/>
  <c r="BG341" i="1"/>
  <c r="F341" i="1"/>
  <c r="BG340" i="1"/>
  <c r="F340" i="1"/>
  <c r="BG339" i="1"/>
  <c r="F339" i="1"/>
  <c r="BG338" i="1"/>
  <c r="F338" i="1"/>
  <c r="BG337" i="1"/>
  <c r="F337" i="1"/>
  <c r="BG336" i="1"/>
  <c r="F336" i="1"/>
  <c r="BG335" i="1"/>
  <c r="F335" i="1"/>
  <c r="BG334" i="1"/>
  <c r="F334" i="1"/>
  <c r="BG333" i="1"/>
  <c r="F333" i="1"/>
  <c r="BG332" i="1"/>
  <c r="F332" i="1"/>
  <c r="BG331" i="1"/>
  <c r="F331" i="1"/>
  <c r="BG330" i="1"/>
  <c r="F330" i="1"/>
  <c r="BG329" i="1"/>
  <c r="F329" i="1"/>
  <c r="BG328" i="1"/>
  <c r="F328" i="1"/>
  <c r="BG327" i="1"/>
  <c r="F327" i="1"/>
  <c r="BG326" i="1"/>
  <c r="F326" i="1"/>
  <c r="BG325" i="1"/>
  <c r="F325" i="1"/>
  <c r="BG324" i="1"/>
  <c r="F324" i="1"/>
  <c r="BG323" i="1"/>
  <c r="F323" i="1"/>
  <c r="BG322" i="1"/>
  <c r="F322" i="1"/>
  <c r="BG321" i="1"/>
  <c r="F321" i="1"/>
  <c r="BG320" i="1"/>
  <c r="F320" i="1"/>
  <c r="BG319" i="1"/>
  <c r="F319" i="1"/>
  <c r="BG318" i="1"/>
  <c r="F318" i="1"/>
  <c r="BG317" i="1"/>
  <c r="F317" i="1"/>
  <c r="BG316" i="1"/>
  <c r="F316" i="1"/>
  <c r="BG315" i="1"/>
  <c r="F315" i="1"/>
  <c r="BG314" i="1"/>
  <c r="F314" i="1"/>
  <c r="BG313" i="1"/>
  <c r="F313" i="1"/>
  <c r="BG312" i="1"/>
  <c r="F312" i="1"/>
  <c r="BG311" i="1"/>
  <c r="F311" i="1"/>
  <c r="BG310" i="1"/>
  <c r="F310" i="1"/>
  <c r="BG309" i="1"/>
  <c r="F309" i="1"/>
  <c r="BG308" i="1"/>
  <c r="F308" i="1"/>
  <c r="BG307" i="1"/>
  <c r="F307" i="1"/>
  <c r="BG306" i="1"/>
  <c r="F306" i="1"/>
  <c r="BG305" i="1"/>
  <c r="F305" i="1"/>
  <c r="BG304" i="1"/>
  <c r="F304" i="1"/>
  <c r="BG303" i="1"/>
  <c r="F303" i="1"/>
  <c r="BG302" i="1"/>
  <c r="F302" i="1"/>
  <c r="BG301" i="1"/>
  <c r="F301" i="1"/>
  <c r="BG300" i="1"/>
  <c r="F300" i="1"/>
  <c r="BG299" i="1"/>
  <c r="F299" i="1"/>
  <c r="BG298" i="1"/>
  <c r="F298" i="1"/>
  <c r="BG297" i="1"/>
  <c r="F297" i="1"/>
  <c r="BG296" i="1"/>
  <c r="F296" i="1"/>
  <c r="BG295" i="1"/>
  <c r="F295" i="1"/>
  <c r="BG294" i="1"/>
  <c r="F294" i="1"/>
  <c r="BG293" i="1"/>
  <c r="F293" i="1"/>
  <c r="BG292" i="1"/>
  <c r="F292" i="1"/>
  <c r="BG291" i="1"/>
  <c r="F291" i="1"/>
  <c r="BG290" i="1"/>
  <c r="F290" i="1"/>
  <c r="BG289" i="1"/>
  <c r="F289" i="1"/>
  <c r="BG288" i="1"/>
  <c r="F288" i="1"/>
  <c r="BG287" i="1"/>
  <c r="F287" i="1"/>
  <c r="BG286" i="1"/>
  <c r="F286" i="1"/>
  <c r="BG285" i="1"/>
  <c r="F285" i="1"/>
  <c r="BG284" i="1"/>
  <c r="F284" i="1"/>
  <c r="BG283" i="1"/>
  <c r="F283" i="1"/>
  <c r="BG282" i="1"/>
  <c r="F282" i="1"/>
  <c r="BG281" i="1"/>
  <c r="F281" i="1"/>
  <c r="BG280" i="1"/>
  <c r="F280" i="1"/>
  <c r="BG279" i="1"/>
  <c r="F279" i="1"/>
  <c r="BG278" i="1"/>
  <c r="F278" i="1"/>
  <c r="BG277" i="1"/>
  <c r="F277" i="1"/>
  <c r="BG276" i="1"/>
  <c r="F276" i="1"/>
  <c r="BG275" i="1"/>
  <c r="F275" i="1"/>
  <c r="BG274" i="1"/>
  <c r="F274" i="1"/>
  <c r="BG273" i="1"/>
  <c r="F273" i="1"/>
  <c r="BG272" i="1"/>
  <c r="F272" i="1"/>
  <c r="BG271" i="1"/>
  <c r="F271" i="1"/>
  <c r="BG270" i="1"/>
  <c r="F270" i="1"/>
  <c r="BG269" i="1"/>
  <c r="F269" i="1"/>
  <c r="BG268" i="1"/>
  <c r="F268" i="1"/>
  <c r="BG267" i="1"/>
  <c r="F267" i="1"/>
  <c r="BG266" i="1"/>
  <c r="F266" i="1"/>
  <c r="BG265" i="1"/>
  <c r="F265" i="1"/>
  <c r="BG264" i="1"/>
  <c r="F264" i="1"/>
  <c r="BG263" i="1"/>
  <c r="F263" i="1"/>
  <c r="BG262" i="1"/>
  <c r="F262" i="1"/>
  <c r="BG261" i="1"/>
  <c r="F261" i="1"/>
  <c r="BG260" i="1"/>
  <c r="F260" i="1"/>
  <c r="BG259" i="1"/>
  <c r="F259" i="1"/>
  <c r="BG258" i="1"/>
  <c r="F258" i="1"/>
  <c r="BG257" i="1"/>
  <c r="F257" i="1"/>
  <c r="BG256" i="1"/>
  <c r="F256" i="1"/>
  <c r="BG255" i="1"/>
  <c r="F255" i="1"/>
  <c r="BG254" i="1"/>
  <c r="F254" i="1"/>
  <c r="BG253" i="1"/>
  <c r="F253" i="1"/>
  <c r="BG252" i="1"/>
  <c r="F252" i="1"/>
  <c r="BG251" i="1"/>
  <c r="F251" i="1"/>
  <c r="BG250" i="1"/>
  <c r="F250" i="1"/>
  <c r="BG249" i="1"/>
  <c r="F249" i="1"/>
  <c r="BG248" i="1"/>
  <c r="BG247" i="1"/>
  <c r="BG246" i="1"/>
  <c r="F246" i="1"/>
  <c r="BG245" i="1"/>
  <c r="F245" i="1"/>
  <c r="BG244" i="1"/>
  <c r="F244" i="1"/>
  <c r="BG243" i="1"/>
  <c r="F243" i="1"/>
  <c r="BG242" i="1"/>
  <c r="F242" i="1"/>
  <c r="BG241" i="1"/>
  <c r="F241" i="1"/>
  <c r="BG240" i="1"/>
  <c r="F240" i="1"/>
  <c r="BG239" i="1"/>
  <c r="F239" i="1"/>
  <c r="BG238" i="1"/>
  <c r="F238" i="1"/>
  <c r="BG237" i="1"/>
  <c r="BG236" i="1"/>
  <c r="F236" i="1"/>
  <c r="BG235" i="1"/>
  <c r="F235" i="1"/>
  <c r="BG234" i="1"/>
  <c r="F234" i="1"/>
  <c r="BG233" i="1"/>
  <c r="F233" i="1"/>
  <c r="BG232" i="1"/>
  <c r="F232" i="1"/>
  <c r="BG231" i="1"/>
  <c r="F231" i="1"/>
  <c r="BG230" i="1"/>
  <c r="F230" i="1"/>
  <c r="BG229" i="1"/>
  <c r="F229" i="1"/>
  <c r="BG228" i="1"/>
  <c r="F228" i="1"/>
  <c r="BG227" i="1"/>
  <c r="F227" i="1"/>
  <c r="BG226" i="1"/>
  <c r="F226" i="1"/>
  <c r="BG225" i="1"/>
  <c r="F225" i="1"/>
  <c r="BG224" i="1"/>
  <c r="F224" i="1"/>
  <c r="BG223" i="1"/>
  <c r="F223" i="1"/>
  <c r="BG222" i="1"/>
  <c r="F222" i="1"/>
  <c r="BG221" i="1"/>
  <c r="F221" i="1"/>
  <c r="BG220" i="1"/>
  <c r="F220" i="1"/>
  <c r="BG219" i="1"/>
  <c r="F219" i="1"/>
  <c r="BG218" i="1"/>
  <c r="F218" i="1"/>
  <c r="BG217" i="1"/>
  <c r="F217" i="1"/>
  <c r="BG216" i="1"/>
  <c r="F216" i="1"/>
  <c r="BG215" i="1"/>
  <c r="F215" i="1"/>
  <c r="BG214" i="1"/>
  <c r="F214" i="1"/>
  <c r="BG213" i="1"/>
  <c r="F213" i="1"/>
  <c r="BG212" i="1"/>
  <c r="F212" i="1"/>
  <c r="BG211" i="1"/>
  <c r="F211" i="1"/>
  <c r="BG210" i="1"/>
  <c r="F210" i="1"/>
  <c r="BG209" i="1"/>
  <c r="F209" i="1"/>
  <c r="BG208" i="1"/>
  <c r="F208" i="1"/>
  <c r="BG207" i="1"/>
  <c r="F207" i="1"/>
  <c r="BG206" i="1"/>
  <c r="F206" i="1"/>
  <c r="BG205" i="1"/>
  <c r="F205" i="1"/>
  <c r="BG204" i="1"/>
  <c r="F204" i="1"/>
  <c r="BG203" i="1"/>
  <c r="F203" i="1"/>
  <c r="BG202" i="1"/>
  <c r="F202" i="1"/>
  <c r="BG201" i="1"/>
  <c r="F201" i="1"/>
  <c r="BG200" i="1"/>
  <c r="F200" i="1"/>
  <c r="BG199" i="1"/>
  <c r="F199" i="1"/>
  <c r="BG198" i="1"/>
  <c r="F198" i="1"/>
  <c r="BG197" i="1"/>
  <c r="F197" i="1"/>
  <c r="BG196" i="1"/>
  <c r="F196" i="1"/>
  <c r="BG195" i="1"/>
  <c r="F195" i="1"/>
  <c r="BG194" i="1"/>
  <c r="F194" i="1"/>
  <c r="BG193" i="1"/>
  <c r="F193" i="1"/>
  <c r="BG192" i="1"/>
  <c r="F192" i="1"/>
  <c r="BG191" i="1"/>
  <c r="F191" i="1"/>
  <c r="BG190" i="1"/>
  <c r="F190" i="1"/>
  <c r="BG189" i="1"/>
  <c r="F189" i="1"/>
  <c r="BG188" i="1"/>
  <c r="F188" i="1"/>
  <c r="BG187" i="1"/>
  <c r="F187" i="1"/>
  <c r="BG186" i="1"/>
  <c r="F186" i="1"/>
  <c r="BG185" i="1"/>
  <c r="F185" i="1"/>
  <c r="BG184" i="1"/>
  <c r="F184" i="1"/>
  <c r="BG183" i="1"/>
  <c r="F183" i="1"/>
  <c r="BG182" i="1"/>
  <c r="F182" i="1"/>
  <c r="F181" i="1"/>
  <c r="F180" i="1"/>
  <c r="F179" i="1"/>
  <c r="F178" i="1"/>
  <c r="F177" i="1"/>
  <c r="F176" i="1"/>
  <c r="F175" i="1"/>
  <c r="F174" i="1"/>
  <c r="F173" i="1"/>
  <c r="F172" i="1"/>
  <c r="F171" i="1"/>
  <c r="F170" i="1"/>
  <c r="F169" i="1"/>
  <c r="F168" i="1"/>
  <c r="F167" i="1"/>
  <c r="F166" i="1"/>
  <c r="BI135" i="1"/>
  <c r="BH135" i="1"/>
  <c r="BG135" i="1"/>
  <c r="F135" i="1"/>
  <c r="BI134" i="1"/>
  <c r="BH134" i="1"/>
  <c r="BG134" i="1"/>
  <c r="F134" i="1"/>
  <c r="BI133" i="1"/>
  <c r="BH133" i="1"/>
  <c r="BG133" i="1"/>
  <c r="F133" i="1"/>
  <c r="BI132" i="1"/>
  <c r="BH132" i="1"/>
  <c r="BI130" i="1"/>
  <c r="BH130" i="1"/>
  <c r="BG130" i="1"/>
  <c r="BI129" i="1"/>
  <c r="BH129" i="1"/>
  <c r="BG129" i="1"/>
  <c r="F129" i="1"/>
  <c r="BI128" i="1"/>
  <c r="BH128" i="1"/>
  <c r="BG128" i="1"/>
  <c r="F128" i="1"/>
  <c r="BI127" i="1"/>
  <c r="BH127" i="1"/>
  <c r="BG127" i="1"/>
  <c r="F127" i="1"/>
  <c r="BI126" i="1"/>
  <c r="BH126" i="1"/>
  <c r="BG126" i="1"/>
  <c r="F126" i="1"/>
  <c r="BI125" i="1"/>
  <c r="BH125" i="1"/>
  <c r="BG125" i="1"/>
  <c r="F125" i="1"/>
  <c r="BI124" i="1"/>
  <c r="BH124" i="1"/>
  <c r="BI123" i="1"/>
  <c r="BH123" i="1"/>
  <c r="BG123" i="1"/>
  <c r="F123" i="1"/>
  <c r="BI122" i="1"/>
  <c r="BH122" i="1"/>
  <c r="BG122" i="1"/>
  <c r="F122" i="1"/>
  <c r="BI121" i="1"/>
  <c r="BH121" i="1"/>
  <c r="BG121" i="1"/>
  <c r="F121" i="1"/>
  <c r="BI120" i="1"/>
  <c r="BH120" i="1"/>
  <c r="BG120" i="1"/>
  <c r="F120" i="1"/>
  <c r="BI119" i="1"/>
  <c r="BH119" i="1"/>
  <c r="BG119" i="1"/>
  <c r="F119" i="1"/>
  <c r="BI116" i="1"/>
  <c r="BH116" i="1"/>
  <c r="BG116" i="1"/>
  <c r="F116" i="1"/>
  <c r="BI115" i="1"/>
  <c r="BH115" i="1"/>
  <c r="BG115" i="1"/>
  <c r="F115" i="1"/>
  <c r="BI114" i="1"/>
  <c r="BH114" i="1"/>
  <c r="BG114" i="1"/>
  <c r="F114" i="1"/>
  <c r="BI113" i="1"/>
  <c r="BH113" i="1"/>
  <c r="BG113" i="1"/>
  <c r="F113" i="1"/>
  <c r="BI112" i="1"/>
  <c r="BH112" i="1"/>
  <c r="BG112" i="1"/>
  <c r="F112" i="1"/>
  <c r="BI111" i="1"/>
  <c r="BH111" i="1"/>
  <c r="BG111" i="1"/>
  <c r="F111" i="1"/>
  <c r="BI110" i="1"/>
  <c r="BH110" i="1"/>
  <c r="BG110" i="1"/>
  <c r="F110" i="1"/>
  <c r="BI109" i="1"/>
  <c r="BH109" i="1"/>
  <c r="BG109" i="1"/>
  <c r="F109" i="1"/>
  <c r="BI108" i="1"/>
  <c r="BH108" i="1"/>
  <c r="BG108" i="1"/>
  <c r="F108" i="1"/>
  <c r="BI107" i="1"/>
  <c r="BH107" i="1"/>
  <c r="BG107" i="1"/>
  <c r="F107" i="1"/>
  <c r="BI106" i="1"/>
  <c r="BH106" i="1"/>
  <c r="BG106" i="1"/>
  <c r="BI105" i="1"/>
  <c r="BH105" i="1"/>
  <c r="BG105" i="1"/>
  <c r="F105" i="1"/>
  <c r="BI104" i="1"/>
  <c r="BH104" i="1"/>
  <c r="BG104" i="1"/>
  <c r="F104" i="1"/>
  <c r="BI103" i="1"/>
  <c r="BH103" i="1"/>
  <c r="BI102" i="1"/>
  <c r="BH102" i="1"/>
  <c r="BG102" i="1"/>
  <c r="F102" i="1"/>
  <c r="BI101" i="1"/>
  <c r="BH101" i="1"/>
  <c r="BG101" i="1"/>
  <c r="F101" i="1"/>
  <c r="BI100" i="1"/>
  <c r="BH100" i="1"/>
  <c r="BI99" i="1"/>
  <c r="BH99" i="1"/>
  <c r="BG99" i="1"/>
  <c r="F99" i="1"/>
  <c r="BI98" i="1"/>
  <c r="BH98" i="1"/>
  <c r="BG98" i="1"/>
  <c r="F98" i="1"/>
  <c r="BI97" i="1"/>
  <c r="BH97" i="1"/>
  <c r="BG97" i="1"/>
  <c r="F97" i="1"/>
  <c r="BI96" i="1"/>
  <c r="BH96" i="1"/>
  <c r="BG96" i="1"/>
  <c r="F96" i="1"/>
  <c r="BI95" i="1"/>
  <c r="BH95" i="1"/>
  <c r="BG95" i="1"/>
  <c r="F95" i="1"/>
  <c r="BI94" i="1"/>
  <c r="BH94" i="1"/>
  <c r="BG94" i="1"/>
  <c r="F94" i="1"/>
  <c r="BI93" i="1"/>
  <c r="BH93" i="1"/>
  <c r="BG93" i="1"/>
  <c r="F93" i="1"/>
  <c r="BI92" i="1"/>
  <c r="BH92" i="1"/>
  <c r="BG92" i="1"/>
  <c r="F92" i="1"/>
  <c r="BI91" i="1"/>
  <c r="BH91" i="1"/>
  <c r="BG91" i="1"/>
  <c r="F91" i="1"/>
  <c r="BI90" i="1"/>
  <c r="BH90" i="1"/>
  <c r="BG90" i="1"/>
  <c r="F90" i="1"/>
  <c r="BI89" i="1"/>
  <c r="BH89" i="1"/>
  <c r="BG89" i="1"/>
  <c r="F89" i="1"/>
  <c r="BI86" i="1"/>
  <c r="BH86" i="1"/>
  <c r="BG86" i="1"/>
  <c r="F86" i="1"/>
  <c r="BI85" i="1"/>
  <c r="BH85" i="1"/>
  <c r="BI84" i="1"/>
  <c r="BH84" i="1"/>
  <c r="BG84" i="1"/>
  <c r="F84" i="1"/>
  <c r="BI83" i="1"/>
  <c r="BH83" i="1"/>
  <c r="BG83" i="1"/>
  <c r="F83" i="1"/>
  <c r="BI82" i="1"/>
  <c r="BH82" i="1"/>
  <c r="BG82" i="1"/>
  <c r="F82" i="1"/>
  <c r="BI81" i="1"/>
  <c r="BH81" i="1"/>
  <c r="BG81" i="1"/>
  <c r="F81" i="1"/>
  <c r="BI80" i="1"/>
  <c r="BH80" i="1"/>
  <c r="BG80" i="1"/>
  <c r="F80" i="1"/>
  <c r="BI79" i="1"/>
  <c r="BH79" i="1"/>
  <c r="BG79" i="1"/>
  <c r="F79" i="1"/>
  <c r="BI78" i="1"/>
  <c r="BH78" i="1"/>
  <c r="BG78" i="1"/>
  <c r="F78" i="1"/>
  <c r="BI77" i="1"/>
  <c r="BH77" i="1"/>
  <c r="BG77" i="1"/>
  <c r="F77" i="1"/>
  <c r="BI76" i="1"/>
  <c r="BH76" i="1"/>
  <c r="BG76" i="1"/>
  <c r="F76" i="1"/>
  <c r="BI75" i="1"/>
  <c r="BH75" i="1"/>
  <c r="BG75" i="1"/>
  <c r="F75" i="1"/>
  <c r="BI74" i="1"/>
  <c r="BH74" i="1"/>
  <c r="BG74" i="1"/>
  <c r="F74" i="1"/>
  <c r="BI73" i="1"/>
  <c r="BH73" i="1"/>
  <c r="BG73" i="1"/>
  <c r="F73" i="1"/>
  <c r="BI72" i="1"/>
  <c r="BH72" i="1"/>
  <c r="BG72" i="1"/>
  <c r="F72" i="1"/>
  <c r="BI71" i="1"/>
  <c r="BH71" i="1"/>
  <c r="BG71" i="1"/>
  <c r="F71" i="1"/>
  <c r="BI70" i="1"/>
  <c r="BH70" i="1"/>
  <c r="BG70" i="1"/>
  <c r="F70" i="1"/>
  <c r="BI69" i="1"/>
  <c r="BH69" i="1"/>
  <c r="BG69" i="1"/>
  <c r="F69" i="1"/>
  <c r="BI68" i="1"/>
  <c r="BH68" i="1"/>
  <c r="BG68" i="1"/>
  <c r="F68" i="1"/>
  <c r="BI67" i="1"/>
  <c r="BH67" i="1"/>
  <c r="BG67" i="1"/>
  <c r="F67" i="1"/>
  <c r="BI66" i="1"/>
  <c r="BH66" i="1"/>
  <c r="BG66" i="1"/>
  <c r="F66" i="1"/>
  <c r="BI65" i="1"/>
  <c r="BH65" i="1"/>
  <c r="BG65" i="1"/>
  <c r="F65" i="1"/>
  <c r="BI62" i="1"/>
  <c r="BH62" i="1"/>
  <c r="BG62" i="1"/>
  <c r="F62" i="1"/>
  <c r="BI61" i="1"/>
  <c r="BH61" i="1"/>
  <c r="BG61" i="1"/>
  <c r="F61" i="1"/>
  <c r="BI60" i="1"/>
  <c r="BH60" i="1"/>
  <c r="BG60" i="1"/>
  <c r="F60" i="1"/>
  <c r="BI59" i="1"/>
  <c r="BH59" i="1"/>
  <c r="BG59" i="1"/>
  <c r="F59" i="1"/>
  <c r="BI58" i="1"/>
  <c r="BH58" i="1"/>
  <c r="BG58" i="1"/>
  <c r="F58" i="1"/>
  <c r="BI57" i="1"/>
  <c r="BH57" i="1"/>
  <c r="BG57" i="1"/>
  <c r="F57" i="1"/>
  <c r="BI56" i="1"/>
  <c r="BH56" i="1"/>
  <c r="BG56" i="1"/>
  <c r="F56" i="1"/>
  <c r="BI55" i="1"/>
  <c r="BH55" i="1"/>
  <c r="BG55" i="1"/>
  <c r="F55" i="1"/>
  <c r="BI54" i="1"/>
  <c r="BH54" i="1"/>
  <c r="BG54" i="1"/>
  <c r="F54" i="1"/>
  <c r="BI53" i="1"/>
  <c r="BH53" i="1"/>
  <c r="BG53" i="1"/>
  <c r="F53" i="1"/>
  <c r="BI52" i="1"/>
  <c r="BH52" i="1"/>
  <c r="BG52" i="1"/>
  <c r="F52" i="1"/>
  <c r="BI51" i="1"/>
  <c r="BH51" i="1"/>
  <c r="BG51" i="1"/>
  <c r="F51" i="1"/>
  <c r="BI50" i="1"/>
  <c r="BH50" i="1"/>
  <c r="BG50" i="1"/>
  <c r="F50" i="1"/>
  <c r="BI49" i="1"/>
  <c r="BH49" i="1"/>
  <c r="BG49" i="1"/>
  <c r="F49" i="1"/>
  <c r="BI47" i="1"/>
  <c r="BH47" i="1"/>
  <c r="BG47" i="1"/>
  <c r="F47" i="1"/>
  <c r="BI46" i="1"/>
  <c r="BH46" i="1"/>
  <c r="BG46" i="1"/>
  <c r="F46" i="1"/>
  <c r="BI45" i="1"/>
  <c r="BH45" i="1"/>
  <c r="BG45" i="1"/>
  <c r="F45" i="1"/>
  <c r="BI44" i="1"/>
  <c r="BH44" i="1"/>
  <c r="BG44" i="1"/>
  <c r="F44" i="1"/>
  <c r="BI43" i="1"/>
  <c r="BH43" i="1"/>
  <c r="BG43" i="1"/>
  <c r="F43" i="1"/>
  <c r="BG38" i="1"/>
  <c r="F38" i="1"/>
  <c r="BG37" i="1"/>
  <c r="F37" i="1"/>
  <c r="BG36" i="1"/>
  <c r="F36" i="1"/>
  <c r="BG35" i="1"/>
  <c r="F35" i="1"/>
  <c r="BG34" i="1"/>
  <c r="BG33" i="1"/>
  <c r="F33" i="1"/>
  <c r="BG32" i="1"/>
  <c r="BG31" i="1"/>
  <c r="BG30" i="1"/>
  <c r="BG29" i="1"/>
  <c r="F29" i="1"/>
  <c r="BG28" i="1"/>
  <c r="F28" i="1"/>
  <c r="BG27" i="1"/>
  <c r="F27" i="1"/>
  <c r="BG26" i="1"/>
  <c r="F26" i="1"/>
  <c r="BG25" i="1"/>
  <c r="F25" i="1"/>
  <c r="BG24" i="1"/>
  <c r="F24" i="1"/>
  <c r="BG23" i="1"/>
  <c r="BG22" i="1"/>
  <c r="F22" i="1"/>
  <c r="BG21" i="1"/>
  <c r="F21" i="1"/>
  <c r="BG20" i="1"/>
  <c r="F20" i="1"/>
  <c r="BG19" i="1"/>
  <c r="F19" i="1"/>
  <c r="BG18" i="1"/>
  <c r="F18" i="1"/>
  <c r="BG17" i="1"/>
  <c r="F17" i="1"/>
  <c r="BG16" i="1"/>
  <c r="F16" i="1"/>
  <c r="BG15" i="1"/>
  <c r="F15" i="1"/>
  <c r="BG14" i="1"/>
  <c r="F14" i="1"/>
  <c r="BG13" i="1"/>
  <c r="F13" i="1"/>
  <c r="BG12" i="1"/>
  <c r="F12" i="1"/>
  <c r="BG11" i="1"/>
  <c r="F11" i="1"/>
  <c r="BG10" i="1"/>
  <c r="F10" i="1"/>
  <c r="BG9" i="1"/>
  <c r="F9" i="1"/>
  <c r="BG8" i="1"/>
  <c r="F8" i="1"/>
  <c r="BG7" i="1"/>
  <c r="F7" i="1"/>
  <c r="BG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N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BB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R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U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33"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Q238"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Q243"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Q277"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DE827856-13AC-4BBC-92D6-4E15FF27B723}">
      <text>
        <r>
          <rPr>
            <b/>
            <sz val="9"/>
            <rFont val="宋体"/>
            <family val="3"/>
            <charset val="134"/>
          </rPr>
          <t>Admin:</t>
        </r>
        <r>
          <rPr>
            <sz val="9"/>
            <rFont val="宋体"/>
            <family val="3"/>
            <charset val="134"/>
          </rPr>
          <t xml:space="preserve">
0：击中点
1：骨骼点</t>
        </r>
      </text>
    </comment>
    <comment ref="H1" authorId="0" shapeId="0" xr:uid="{6A9D1838-22C5-4DB4-869A-4B0AF1D75073}">
      <text>
        <r>
          <rPr>
            <b/>
            <sz val="9"/>
            <rFont val="宋体"/>
            <family val="3"/>
            <charset val="134"/>
          </rPr>
          <t>Admin:
1会实时更新x缩放</t>
        </r>
        <r>
          <rPr>
            <sz val="9"/>
            <rFont val="宋体"/>
            <family val="3"/>
            <charset val="134"/>
          </rPr>
          <t xml:space="preserve">
2跟随使用者
3仅跟随位置
</t>
        </r>
      </text>
    </comment>
    <comment ref="I1" authorId="0" shapeId="0" xr:uid="{235FE427-622C-4D02-ABD5-AAA2D8E5EBF1}">
      <text>
        <r>
          <rPr>
            <b/>
            <sz val="9"/>
            <rFont val="宋体"/>
            <family val="3"/>
            <charset val="134"/>
          </rPr>
          <t>Admin:</t>
        </r>
        <r>
          <rPr>
            <sz val="9"/>
            <rFont val="宋体"/>
            <family val="3"/>
            <charset val="134"/>
          </rPr>
          <t xml:space="preserve">
0：不修改
1：跟随接收者
2：跟随施法者
</t>
        </r>
      </text>
    </comment>
    <comment ref="J1" authorId="0" shapeId="0" xr:uid="{4BDD3014-4E7D-4646-BC33-2EDC33AA1B9D}">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<sst xmlns="http://schemas.openxmlformats.org/spreadsheetml/2006/main" count="35851" uniqueCount="11257">
  <si>
    <t>Id</t>
  </si>
  <si>
    <t>units</t>
  </si>
  <si>
    <t>string</t>
  </si>
  <si>
    <t>UnitData[]</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</si>
  <si>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</si>
  <si>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</si>
  <si>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</si>
  <si>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</si>
  <si>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</si>
  <si>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</si>
  <si>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</si>
  <si>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</si>
  <si>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</si>
  <si>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</si>
  <si>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</si>
  <si>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</si>
  <si>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</si>
  <si>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</si>
  <si>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</si>
  <si>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</si>
  <si>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</si>
  <si>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</si>
  <si>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</si>
  <si>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</si>
  <si>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</si>
  <si>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</si>
  <si>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</si>
  <si>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</si>
  <si>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</si>
  <si>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</si>
  <si>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</si>
  <si>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</si>
  <si>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</si>
  <si>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</si>
  <si>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</si>
  <si>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</si>
  <si>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</si>
  <si>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</si>
  <si>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</si>
  <si>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</si>
  <si>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</si>
  <si>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</si>
  <si>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</si>
  <si>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</si>
  <si>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</si>
  <si>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</si>
  <si>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</si>
  <si>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</si>
  <si>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</si>
  <si>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</si>
  <si>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</si>
  <si>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</si>
  <si>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</si>
  <si>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</si>
  <si>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</si>
  <si>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</si>
  <si>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</si>
  <si>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</si>
  <si>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</si>
  <si>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</si>
  <si>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</si>
  <si>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</si>
  <si>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</si>
  <si>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</si>
  <si>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</si>
  <si>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</si>
  <si>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</si>
  <si>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</si>
  <si>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</si>
  <si>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</si>
  <si>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</si>
  <si>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</si>
  <si>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</si>
  <si>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</si>
  <si>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</si>
  <si>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</si>
  <si>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</si>
  <si>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</si>
  <si>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</si>
  <si>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</si>
  <si>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</si>
  <si>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</si>
  <si>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</si>
  <si>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</si>
  <si>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</si>
  <si>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</si>
  <si>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</si>
  <si>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</si>
  <si>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</si>
  <si>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</si>
  <si>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</si>
  <si>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</si>
  <si>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</si>
  <si>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</si>
  <si>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</si>
  <si>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</si>
  <si>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</si>
  <si>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</si>
  <si>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</si>
  <si>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</si>
  <si>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</si>
  <si>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</si>
  <si>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</si>
  <si>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</si>
  <si>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</si>
  <si>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</si>
  <si>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</si>
  <si>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</si>
  <si>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高度</t>
  </si>
  <si>
    <t>阻挡个数</t>
  </si>
  <si>
    <t>返还倍率</t>
  </si>
  <si>
    <t>不占用地板</t>
  </si>
  <si>
    <t>生命恢复</t>
  </si>
  <si>
    <t>不参与击杀计数</t>
  </si>
  <si>
    <t>终点伤害</t>
  </si>
  <si>
    <t>抗性</t>
  </si>
  <si>
    <t>半径</t>
  </si>
  <si>
    <t>大小</t>
  </si>
  <si>
    <t>阻挡？</t>
  </si>
  <si>
    <t>仅阻挡时可被攻击</t>
  </si>
  <si>
    <t>存活时间</t>
  </si>
  <si>
    <t>头像</t>
  </si>
  <si>
    <t>半身像</t>
  </si>
  <si>
    <t>立绘</t>
  </si>
  <si>
    <t>立绘位置</t>
  </si>
  <si>
    <t>稀有</t>
  </si>
  <si>
    <t>Type</t>
  </si>
  <si>
    <t>Test</t>
  </si>
  <si>
    <t>Model</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</si>
  <si>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</si>
  <si>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</si>
  <si>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</si>
  <si>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</si>
  <si>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</si>
  <si>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</si>
  <si>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</si>
  <si>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</si>
  <si>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</si>
  <si>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</si>
  <si>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</si>
  <si>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</si>
  <si>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</si>
  <si>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</si>
  <si>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</si>
  <si>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</si>
  <si>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</si>
  <si>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</si>
  <si>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</si>
  <si>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</si>
  <si>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</si>
  <si>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NotReturn</t>
  </si>
  <si>
    <t>Hatred</t>
  </si>
  <si>
    <t>Team</t>
  </si>
  <si>
    <t>Name</t>
  </si>
  <si>
    <t>HitPointName</t>
  </si>
  <si>
    <t>Skills</t>
  </si>
  <si>
    <t>MainSkill</t>
  </si>
  <si>
    <t>HpBarType</t>
  </si>
  <si>
    <t>Height</t>
  </si>
  <si>
    <t>StopCount</t>
  </si>
  <si>
    <t>LeaveReturn</t>
  </si>
  <si>
    <t>NotUseTile</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</si>
  <si>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</si>
  <si>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</si>
  <si>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</si>
  <si>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</si>
  <si>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</si>
  <si>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</si>
  <si>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</si>
  <si>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</si>
  <si>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</si>
  <si>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</si>
  <si>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</si>
  <si>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</si>
  <si>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</si>
  <si>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</si>
  <si>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</si>
  <si>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</si>
  <si>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</si>
  <si>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</si>
  <si>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</si>
  <si>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</si>
  <si>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</si>
  <si>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</si>
  <si>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</si>
  <si>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</si>
  <si>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</si>
  <si>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</si>
  <si>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</si>
  <si>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</si>
  <si>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</si>
  <si>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</si>
  <si>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</si>
  <si>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</si>
  <si>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</si>
  <si>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</si>
  <si>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</si>
  <si>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</si>
  <si>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</si>
  <si>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</si>
  <si>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</si>
  <si>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</si>
  <si>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</si>
  <si>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</si>
  <si>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</si>
  <si>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</si>
  <si>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</si>
  <si>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</si>
  <si>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</si>
  <si>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</si>
  <si>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</si>
  <si>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</si>
  <si>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</si>
  <si>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</si>
  <si>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</si>
  <si>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</si>
  <si>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</si>
  <si>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</si>
  <si>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</si>
  <si>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</si>
  <si>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</si>
  <si>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</si>
  <si>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</si>
  <si>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</si>
  <si>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</si>
  <si>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</si>
  <si>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</si>
  <si>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</si>
  <si>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</si>
  <si>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</si>
  <si>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</si>
  <si>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</si>
  <si>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</si>
  <si>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</si>
  <si>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</si>
  <si>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</si>
  <si>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</si>
  <si>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</si>
  <si>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</si>
  <si>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</si>
  <si>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</si>
  <si>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</si>
  <si>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</si>
  <si>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</si>
  <si>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</si>
  <si>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</si>
  <si>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</si>
  <si>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</si>
  <si>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</si>
  <si>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</si>
  <si>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</si>
  <si>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</si>
  <si>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</si>
  <si>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</si>
  <si>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</si>
  <si>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</si>
  <si>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</si>
  <si>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</si>
  <si>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</si>
  <si>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</si>
  <si>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</si>
  <si>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</si>
  <si>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</si>
  <si>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</si>
  <si>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</si>
  <si>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</si>
  <si>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</si>
  <si>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</si>
  <si>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</si>
  <si>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</si>
  <si>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</si>
  <si>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</si>
  <si>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</si>
  <si>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</si>
  <si>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</si>
  <si>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</si>
  <si>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</si>
  <si>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</si>
  <si>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</si>
  <si>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</si>
  <si>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</si>
  <si>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</si>
  <si>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</si>
  <si>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</si>
  <si>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</si>
  <si>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</si>
  <si>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</si>
  <si>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</si>
  <si>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</si>
  <si>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</si>
  <si>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</si>
  <si>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</si>
  <si>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</si>
  <si>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</si>
  <si>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</si>
  <si>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</si>
  <si>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</si>
  <si>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</si>
  <si>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</si>
  <si>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</si>
  <si>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</si>
  <si>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</si>
  <si>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</si>
  <si>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</si>
  <si>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</si>
  <si>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</si>
  <si>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</si>
  <si>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</si>
  <si>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</si>
  <si>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</si>
  <si>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</si>
  <si>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</si>
  <si>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</si>
  <si>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</si>
  <si>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</si>
  <si>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</si>
  <si>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</si>
  <si>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狙击步兵攻击,狙击步兵眩晕攻击,测试被动1</t>
  </si>
  <si>
    <t>神射手</t>
  </si>
  <si>
    <t>gansho_2</t>
  </si>
  <si>
    <t>1057</t>
  </si>
  <si>
    <t>神射手攻击</t>
  </si>
  <si>
    <t>{"天赋1":"天赋1描述","天赋2":"天赋2描述"}</t>
  </si>
  <si>
    <t>#干员</t>
  </si>
  <si>
    <t>干员</t>
  </si>
  <si>
    <t>medic2</t>
  </si>
  <si>
    <t>医疗小车攻击,医疗小车落地奶</t>
  </si>
  <si>
    <t>医疗</t>
  </si>
  <si>
    <t>医师</t>
  </si>
  <si>
    <t>211,81,1500,1500</t>
  </si>
  <si>
    <t>远程位</t>
  </si>
  <si>
    <t>罗德岛,远程</t>
  </si>
  <si>
    <t>恢复友方单位生命，且不受部署数量限制，但再部署时间极长</t>
  </si>
  <si>
    <t>{"救援喷雾·VI":"部署后立即恢复全场友方单位500点生命"}</t>
  </si>
  <si>
    <t>cast3</t>
  </si>
  <si>
    <t>近卫小车攻击,近卫小车加攻</t>
  </si>
  <si>
    <t>近卫</t>
  </si>
  <si>
    <t>无畏者</t>
  </si>
  <si>
    <t>近战位</t>
  </si>
  <si>
    <t>罗德岛,近战</t>
  </si>
  <si>
    <t>能够阻挡一个敌人，且不受部署数量限制，但再部署时间极长</t>
  </si>
  <si>
    <t>{"战术整理·VI":"部署后10秒内所有友方【近战位】单位的攻击力和防御力+20%"}</t>
  </si>
  <si>
    <t>noirc</t>
  </si>
  <si>
    <t>斑点攻击,黑角被动</t>
  </si>
  <si>
    <t>重装</t>
  </si>
  <si>
    <t>铁卫</t>
  </si>
  <si>
    <t>罗德岛,行动组A4,东,近战</t>
  </si>
  <si>
    <t>能够阻挡三个敌人</t>
  </si>
  <si>
    <t>{"装甲改良":"生命上限和防御力各直接乘算里属于叠加，并非叠乘12%+12%"}</t>
  </si>
  <si>
    <t>rang</t>
  </si>
  <si>
    <t>巡林者攻击</t>
  </si>
  <si>
    <t>狙击</t>
  </si>
  <si>
    <t>速射手</t>
  </si>
  <si>
    <t>罗德岛,行动组A4,远程</t>
  </si>
  <si>
    <t>优先攻击空中单位</t>
  </si>
  <si>
    <t>{"空射大师":"攻击飞行目标时，攻击力+50%"}</t>
  </si>
  <si>
    <t>durin</t>
  </si>
  <si>
    <t>杜林攻击,杜林被动</t>
  </si>
  <si>
    <t>术士</t>
  </si>
  <si>
    <t>中坚术师</t>
  </si>
  <si>
    <t>攻击造成法术伤害</t>
  </si>
  <si>
    <t>{"小个子的幸运":"获得50%的法术闪避"}</t>
  </si>
  <si>
    <t>spot</t>
  </si>
  <si>
    <t>斑点攻击</t>
  </si>
  <si>
    <t>斑点奶人</t>
  </si>
  <si>
    <t>守护者</t>
  </si>
  <si>
    <t>罗德岛,行动组A6,萨尔贡,近战</t>
  </si>
  <si>
    <t>技能可以治疗友方单位</t>
  </si>
  <si>
    <t>{"烟雾加装":"治疗友方单位后为其提供持续3秒的25%物理闪避"}</t>
  </si>
  <si>
    <t>popka</t>
  </si>
  <si>
    <t>泡普卡攻击,三星被动加攻血</t>
  </si>
  <si>
    <t>攻击强化1</t>
  </si>
  <si>
    <t>强攻手</t>
  </si>
  <si>
    <t>罗德岛,行动组A6,雷姆必拓,近战</t>
  </si>
  <si>
    <t>同时攻击阻挡的所有敌人</t>
  </si>
  <si>
    <t>{"生命攻击提升":"生命上限8%，攻击力8%"}</t>
  </si>
  <si>
    <t>midn</t>
  </si>
  <si>
    <t>月见夜远攻,月见夜攻击</t>
  </si>
  <si>
    <t>月见夜技能远攻</t>
  </si>
  <si>
    <t>领主</t>
  </si>
  <si>
    <t>罗德岛,行动组A6,东,近战</t>
  </si>
  <si>
    <t>可以进行远程攻击，但此时攻击力降低至80%</t>
  </si>
  <si>
    <t>{"要害瞄准·初级":"攻击时，20%几率当次攻击的攻击力提升至160%"}</t>
  </si>
  <si>
    <t>catap</t>
  </si>
  <si>
    <t>空爆攻击,三星被动减费</t>
  </si>
  <si>
    <t>空爆技能</t>
  </si>
  <si>
    <t>炮手</t>
  </si>
  <si>
    <t>罗德岛,行动组A6,卡西米尔,远程</t>
  </si>
  <si>
    <t>攻击造成群体物理伤害</t>
  </si>
  <si>
    <t>{"轻量化":"自身部署费用-1"}</t>
  </si>
  <si>
    <t>orchid</t>
  </si>
  <si>
    <t>梓兰攻击,梓兰被动加攻速</t>
  </si>
  <si>
    <t>迅捷打击1</t>
  </si>
  <si>
    <t>辅助</t>
  </si>
  <si>
    <t>凝滞师</t>
  </si>
  <si>
    <t>罗德岛,行动组A6,哥伦比亚,远程</t>
  </si>
  <si>
    <t>攻击造成法术伤害，并对敌人造成短暂的停顿移动速度降低80%</t>
  </si>
  <si>
    <t>{"施法速度提升":"攻击速度+9"}</t>
  </si>
  <si>
    <t>stward</t>
  </si>
  <si>
    <t>史都华德攻击,史都华德被动加攻击</t>
  </si>
  <si>
    <t>史都华德技能</t>
  </si>
  <si>
    <t>罗德岛,行动组A4,谢拉格,远程</t>
  </si>
  <si>
    <t>{"铠甲突破":"攻击力+6%，优先攻击防御力最高的敌人"}</t>
  </si>
  <si>
    <t>ansel</t>
  </si>
  <si>
    <t>安塞尔攻击</t>
  </si>
  <si>
    <t>安塞尔技能</t>
  </si>
  <si>
    <t>罗德岛,行动组A4,雷姆必拓,远程</t>
  </si>
  <si>
    <t>恢复友方单位生命</t>
  </si>
  <si>
    <t>{"附加治疗":"有18%的几率额外治疗一名友方单位"}</t>
  </si>
  <si>
    <t>hibisc</t>
  </si>
  <si>
    <t>芙蓉攻击,三星被动加攻击</t>
  </si>
  <si>
    <t>治疗强化1</t>
  </si>
  <si>
    <t>罗德岛,行动组A1,维多利亚,远程</t>
  </si>
  <si>
    <t>{"治疗力提升":"攻击力+8%"}</t>
  </si>
  <si>
    <t>lava</t>
  </si>
  <si>
    <t>炎熔攻击,炎熔部署回技力</t>
  </si>
  <si>
    <t>攻速强化1</t>
  </si>
  <si>
    <t>扩散术师</t>
  </si>
  <si>
    <t>攻击造成群体法术伤害</t>
  </si>
  <si>
    <t>{"快速技能使用":"部署后立即获得30点技力"}</t>
  </si>
  <si>
    <t>adnach</t>
  </si>
  <si>
    <t>安德切尔攻击,安德切尔被动加攻速</t>
  </si>
  <si>
    <t>罗德岛,行动组A4,拉特兰,远程</t>
  </si>
  <si>
    <t>{"短板突破":"攻击速度+8，优先攻击使用远程武器的敌人"}</t>
  </si>
  <si>
    <t>kroos</t>
  </si>
  <si>
    <t>124</t>
  </si>
  <si>
    <t>克洛斯攻击</t>
  </si>
  <si>
    <t>克洛斯技能</t>
  </si>
  <si>
    <t>罗德岛,行动组A1,雷姆必拓,远程</t>
  </si>
  <si>
    <t>beagle</t>
  </si>
  <si>
    <t>米格鲁攻击,三星被动加防御</t>
  </si>
  <si>
    <t>防御提升1</t>
  </si>
  <si>
    <t>罗德岛,行动组A1,玻利瓦尔,近战</t>
  </si>
  <si>
    <t>{"防御提升":"防御力+10%"}</t>
  </si>
  <si>
    <t>ardign</t>
  </si>
  <si>
    <t>卡提攻击,三星被动加生命</t>
  </si>
  <si>
    <t>生命回复1</t>
  </si>
  <si>
    <t>罗德岛,行动组A4,莱塔尼亚,近战</t>
  </si>
  <si>
    <t>{"生命上限提升":"生命上限+12%"}</t>
  </si>
  <si>
    <t>melan</t>
  </si>
  <si>
    <t>玫兰沙攻击,三星被动加攻击</t>
  </si>
  <si>
    <t>罗德岛,行动组A4,维多利亚,近战</t>
  </si>
  <si>
    <t>能够阻挡一个敌人</t>
  </si>
  <si>
    <t>{"攻击提升":"攻击力+8%"}</t>
  </si>
  <si>
    <t>nights</t>
  </si>
  <si>
    <t>夜烟攻击</t>
  </si>
  <si>
    <t>攻击强化2,夜烟2技能</t>
  </si>
  <si>
    <t>维多利亚,远程</t>
  </si>
  <si>
    <t>{"黑色迷雾":"攻击使目标法术抗性90%-10%，持续1秒"}</t>
  </si>
  <si>
    <t>fmout</t>
  </si>
  <si>
    <t>远山攻击,远山被动</t>
  </si>
  <si>
    <t>攻速强化2,远山2</t>
  </si>
  <si>
    <t>萨米,远程</t>
  </si>
  <si>
    <t>{"占卜":"部署后随机永久获得下列一项增益：攻击力直接乘算里属于叠加，并非叠乘7%+7%；攻击速度7+7；生命上限直接乘算里属于叠加，并非叠乘12%+12%"}</t>
  </si>
  <si>
    <t>jesica</t>
  </si>
  <si>
    <t>杰西卡攻击</t>
  </si>
  <si>
    <t>杰西卡强力击,杰西卡2</t>
  </si>
  <si>
    <t>哥伦比亚,黑钢国际,维多利亚,远程</t>
  </si>
  <si>
    <t>{"快速弹匣":"攻击速度+6"}</t>
  </si>
  <si>
    <t>shotst</t>
  </si>
  <si>
    <t>流星攻击</t>
  </si>
  <si>
    <t>流星碎甲击,流星碎甲击2</t>
  </si>
  <si>
    <t>卡西米尔,远程</t>
  </si>
  <si>
    <t>{"空射专精":"攻击飞行目标时，攻击力+20%"}</t>
  </si>
  <si>
    <t>yuki</t>
  </si>
  <si>
    <t>白雪攻击,白雪被动</t>
  </si>
  <si>
    <t>白雪1,白雪2</t>
  </si>
  <si>
    <t>东,远程</t>
  </si>
  <si>
    <t>{"重型手里剑":"攻击间隔略微增大0.2(+0.2)，但攻击力直接乘算里属于叠加，并非叠乘20%+20%"}</t>
  </si>
  <si>
    <t>doberm</t>
  </si>
  <si>
    <t>杜宾攻击,杜宾被动</t>
  </si>
  <si>
    <t>杜宾强力击,杜宾2自身</t>
  </si>
  <si>
    <t>教官</t>
  </si>
  <si>
    <t>罗德岛,玻利瓦尔,近战</t>
  </si>
  <si>
    <t>可以攻击到较远敌人，攻击自身未阻挡的敌人时攻击力提升至120%</t>
  </si>
  <si>
    <t>{"新人教官":"在场时，[注 1]所有三星干员的攻击力直接乘算里属于叠加，并非叠乘5%+5%"}</t>
  </si>
  <si>
    <t>gyuki</t>
  </si>
  <si>
    <t>缠丸攻击,缠丸被动</t>
  </si>
  <si>
    <t>生命回复2,缠丸2</t>
  </si>
  <si>
    <t>东,近战</t>
  </si>
  <si>
    <t>{"恶鬼体质":"防御力直接乘算里属于叠加，并非叠乘(-20%)-20%，但最大生命值直接乘算里属于叠加，并非叠乘20%+20%"}</t>
  </si>
  <si>
    <t>frostl</t>
  </si>
  <si>
    <t>霜叶远攻,霜叶攻击</t>
  </si>
  <si>
    <t>霜叶强力击,霜叶2远攻</t>
  </si>
  <si>
    <t>罗德岛,哥伦比亚,近战</t>
  </si>
  <si>
    <t>{"掩护打击":"攻击范围扩大，但攻击间隔略微增大0.15(+0.15s)"}</t>
  </si>
  <si>
    <t>estell</t>
  </si>
  <si>
    <t>艾丝黛尔</t>
  </si>
  <si>
    <t>艾斯黛尔攻击,艾斯黛尔被动</t>
  </si>
  <si>
    <t>攻击强化2,艾斯黛尔2</t>
  </si>
  <si>
    <t>萨尔贡,近战</t>
  </si>
  <si>
    <t>{"自愈能力":"周围8格内有敌人倒下时，恢复自身最大生命值7%的生命"}</t>
  </si>
  <si>
    <t>frncat</t>
  </si>
  <si>
    <t>慕斯攻击,慕斯连击</t>
  </si>
  <si>
    <t>慕斯强力击,慕斯2</t>
  </si>
  <si>
    <t>术战者</t>
  </si>
  <si>
    <t>维多利亚,近战</t>
  </si>
  <si>
    <t>{"连击":"攻击时有10%的几率连续攻击两次"}</t>
  </si>
  <si>
    <t>gravel</t>
  </si>
  <si>
    <t>砾攻击,砾被动</t>
  </si>
  <si>
    <t>砾1,砾2</t>
  </si>
  <si>
    <t>特种</t>
  </si>
  <si>
    <t>处决者</t>
  </si>
  <si>
    <t>卡西米尔,近战</t>
  </si>
  <si>
    <t>再部署时间大幅度减少</t>
  </si>
  <si>
    <t>{"快速部署":"自身部署费用(-1)-1"}</t>
  </si>
  <si>
    <t>rope</t>
  </si>
  <si>
    <t>暗锁攻击,暗锁被动闪避</t>
  </si>
  <si>
    <t>暗锁拉人,暗锁主动拉人</t>
  </si>
  <si>
    <t>钩索师</t>
  </si>
  <si>
    <t>炎,龙门,雷姆必拓,近战</t>
  </si>
  <si>
    <t>技能可以使敌人产生位移可以放置于远程位</t>
  </si>
  <si>
    <t>{"听觉训练":"获得34%（+4%）的物理闪避"}</t>
  </si>
  <si>
    <t>Skill_Start,Skill_Loop,Skill_End</t>
  </si>
  <si>
    <t>sqrrel</t>
  </si>
  <si>
    <t>阿消攻击,阿消被动魔防</t>
  </si>
  <si>
    <t>阿消推人,阿消主动推人</t>
  </si>
  <si>
    <t>推击手</t>
  </si>
  <si>
    <t>炎,龙门,近战</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</si>
  <si>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</si>
  <si>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</si>
  <si>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</si>
  <si>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</si>
  <si>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</si>
  <si>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</si>
  <si>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</si>
  <si>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</si>
  <si>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</si>
  <si>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</si>
  <si>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</si>
  <si>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</si>
  <si>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治疗强化2,调香师2</t>
  </si>
  <si>
    <t>群愈师</t>
  </si>
  <si>
    <t>罗德岛,米诺斯,远程</t>
  </si>
  <si>
    <t>同时恢复三个友方单位的生命</t>
  </si>
  <si>
    <t>{"熏衣草":"在战场时全体友方单位每秒恢复相当于调香师攻击力3%的生命"}</t>
  </si>
  <si>
    <t>yak</t>
  </si>
  <si>
    <t>角峰攻击,角峰被动</t>
  </si>
  <si>
    <t>角峰1,角峰2</t>
  </si>
  <si>
    <t>谢拉格,喀兰贸易,近战</t>
  </si>
  <si>
    <t>{"雪原卫士":"法术抗性7+7"}</t>
  </si>
  <si>
    <t>snakek</t>
  </si>
  <si>
    <t>蛇屠箱攻击,蛇屠箱被动</t>
  </si>
  <si>
    <t>防御提升2,蛇屠箱2</t>
  </si>
  <si>
    <t>哥伦比亚,近战</t>
  </si>
  <si>
    <t>{"防御专精":"防御力直接乘算里属于叠加，并非叠乘6%+6%"}</t>
  </si>
  <si>
    <t>sunbr</t>
  </si>
  <si>
    <t>古米攻击</t>
  </si>
  <si>
    <t>古米1,古米2</t>
  </si>
  <si>
    <t>乌萨斯,乌萨斯学生自治团,近战</t>
  </si>
  <si>
    <t>{"平底锅专精":"攻击时，10%几率当次攻击的攻击力提升至150%，并晕眩无法移动、阻挡、攻击及使用技能敌人0.5秒"}</t>
  </si>
  <si>
    <t>deepcl</t>
  </si>
  <si>
    <t>深海色攻击,获得触手,深海色天赋</t>
  </si>
  <si>
    <t>深海色1,深海色2</t>
  </si>
  <si>
    <t>召唤师</t>
  </si>
  <si>
    <t>阿戈尔,远程</t>
  </si>
  <si>
    <t>攻击造成法术伤害可以使用召唤物协助作战</t>
  </si>
  <si>
    <t>{"召唤触手":"可以使用两个触手召唤物来协助作战"}</t>
  </si>
  <si>
    <t>触手</t>
  </si>
  <si>
    <t>110</t>
  </si>
  <si>
    <t>token_10001_deepcl_tentacle</t>
  </si>
  <si>
    <t>斑点攻击,通用绝食</t>
  </si>
  <si>
    <t>头像_召唤物_触手</t>
  </si>
  <si>
    <t>召唤物,近战</t>
  </si>
  <si>
    <t>skgoat</t>
  </si>
  <si>
    <t>地灵攻击</t>
  </si>
  <si>
    <t>攻击强化2,地灵2</t>
  </si>
  <si>
    <t>莱塔尼亚,远程</t>
  </si>
  <si>
    <t>{"地质勘探":"略微延长特性停顿移动速度降低80%的持续时间(+0.1)"}</t>
  </si>
  <si>
    <t>plosis</t>
  </si>
  <si>
    <t>白面鸮攻击,白面鸮被动</t>
  </si>
  <si>
    <t>治疗强化3,白面鸮2</t>
  </si>
  <si>
    <t>哥伦比亚,莱茵生命,远程</t>
  </si>
  <si>
    <t>{"技力光环":"在场时所有友方单位的技力自然回复速度0.15+0.15/秒（同类效果取最高）"}</t>
  </si>
  <si>
    <t>franka</t>
  </si>
  <si>
    <t>芙兰卡攻击,芙兰卡被动</t>
  </si>
  <si>
    <t>迅捷打击3,芙兰卡2攻击</t>
  </si>
  <si>
    <t>哥伦比亚,黑钢国际,近战</t>
  </si>
  <si>
    <t>{"铝热剑":"攻击时有10%的几率无视目标的防御"}</t>
  </si>
  <si>
    <t>tiger</t>
  </si>
  <si>
    <t>因陀罗攻击,因陀罗被动攻击</t>
  </si>
  <si>
    <t>因陀罗1,因陀罗2攻击</t>
  </si>
  <si>
    <t>斗士</t>
  </si>
  <si>
    <t>维多利亚,格拉斯哥帮</t>
  </si>
  <si>
    <t>{"虎拳迅击 ":"有33%（+3%）的概率闪避敌人的近战物理攻击，成功闪避后自己的下一次攻击攻击力+100%"}</t>
  </si>
  <si>
    <t>whitew</t>
  </si>
  <si>
    <t>拉普兰德远攻</t>
  </si>
  <si>
    <t>拉普兰德1,拉普兰德2</t>
  </si>
  <si>
    <t>叙拉古,近战</t>
  </si>
  <si>
    <t>{"精神摧毁":"攻击使目标的特殊能力失效，持续1秒"}</t>
  </si>
  <si>
    <t>幽灵鲨攻击,幽灵鲨被动</t>
  </si>
  <si>
    <t>攻击强化3,幽灵鲨2buff</t>
  </si>
  <si>
    <t>阿戈尔,深海猎人,近战</t>
  </si>
  <si>
    <t>{"体力上限提升":"生命上限直接乘算里属于叠加，并非叠乘10%+10%"}</t>
  </si>
  <si>
    <t>bluep</t>
  </si>
  <si>
    <t>蓝毒攻击</t>
  </si>
  <si>
    <t>蓝毒1,蓝毒2</t>
  </si>
  <si>
    <t>伊比利亚,远程</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</si>
  <si>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</si>
  <si>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</si>
  <si>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</si>
  <si>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</si>
  <si>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</si>
  <si>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</si>
  <si>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</si>
  <si>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</si>
  <si>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罗德岛,卡兹戴尔,远程</t>
  </si>
  <si>
    <t>{"爆破附着改装":"普通攻击和技能释放时，15%几率当次攻击的攻击力直接乘算里属于叠加，并非叠乘60%+60%"}</t>
  </si>
  <si>
    <t>amiya</t>
  </si>
  <si>
    <t>002</t>
  </si>
  <si>
    <t>阿米娅攻击,阿米娅被动</t>
  </si>
  <si>
    <t>攻速强化3,阿米娅2,阿米娅3</t>
  </si>
  <si>
    <t>罗德岛,雷姆必拓,远程</t>
  </si>
  <si>
    <t>{"？？？":"？？？？？"}</t>
  </si>
  <si>
    <t>skfire</t>
  </si>
  <si>
    <t>166</t>
  </si>
  <si>
    <t>天火攻击,天火被动</t>
  </si>
  <si>
    <t>攻击强化3,天火2</t>
  </si>
  <si>
    <t>{"法术狙击":"在场时，所有被阻挡的敌人受到法术伤害时提升7%"}</t>
  </si>
  <si>
    <t>otter</t>
  </si>
  <si>
    <t>242</t>
  </si>
  <si>
    <t>梅尔攻击,获得机械水濑</t>
  </si>
  <si>
    <t>梅尔1,梅尔2</t>
  </si>
  <si>
    <t>{"机械水獭":"可以使用3个机械水獭召唤物。被机械水獭阻挡的敌人[注 1]攻击速度(-10)-10"}</t>
  </si>
  <si>
    <t>Skill</t>
  </si>
  <si>
    <t>机械水濑</t>
  </si>
  <si>
    <t>token_10004_otter_motter</t>
  </si>
  <si>
    <t>机械水濑攻击,机械水濑1,通用绝食</t>
  </si>
  <si>
    <t>头像_召唤物_机械水獭</t>
  </si>
  <si>
    <t>nearl</t>
  </si>
  <si>
    <t>临光攻击,临光被动</t>
  </si>
  <si>
    <t>临光1,临光2</t>
  </si>
  <si>
    <t>使徒,卡西米尔,近战</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</si>
  <si>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</si>
  <si>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</si>
  <si>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</si>
  <si>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</si>
  <si>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</si>
  <si>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</si>
  <si>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</si>
  <si>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</si>
  <si>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</si>
  <si>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召唤物,近战,远程</t>
  </si>
  <si>
    <t>bldsk</t>
  </si>
  <si>
    <t>华法琳攻击,华法琳被动</t>
  </si>
  <si>
    <t>华法琳1,华法琳2</t>
  </si>
  <si>
    <t>{"血液样本回收":"攻击范围内有敌人倒下时，为自身和范围内随机一名友方单位回复1点技力"}</t>
  </si>
  <si>
    <t>red</t>
  </si>
  <si>
    <t>红攻击,测试被动</t>
  </si>
  <si>
    <t>红1,红2</t>
  </si>
  <si>
    <t>罗德岛,S.W.E.E.P,近战</t>
  </si>
  <si>
    <t>{"刺骨":"每次攻击至少造成20%攻击力的伤害"}</t>
  </si>
  <si>
    <t>liskam</t>
  </si>
  <si>
    <t>char_107_liskarm</t>
  </si>
  <si>
    <t>雷蛇攻击,雷蛇被动</t>
  </si>
  <si>
    <t>雷蛇1,雷蛇2</t>
  </si>
  <si>
    <t>{"战术防御":"受到攻击时，回复自己和周围一格内随机一名友方角色1点技力","雷抗 ":"法术抗性+13（+3）"}</t>
  </si>
  <si>
    <t>moeshd</t>
  </si>
  <si>
    <t>可颂攻击,可颂被动</t>
  </si>
  <si>
    <t>可颂1,可颂2</t>
  </si>
  <si>
    <t>炎,龙门,企鹅物流,米诺斯,近战</t>
  </si>
  <si>
    <t>{"奇迹力场":"有10%的几率闪避[注 1]物理和法术伤害。周围四格内的友方单位获得一半该效果"}</t>
  </si>
  <si>
    <t>hpsts</t>
  </si>
  <si>
    <t>火神攻击,通用绝食</t>
  </si>
  <si>
    <t>火神1,火神2</t>
  </si>
  <si>
    <t>不屈者</t>
  </si>
  <si>
    <t>米诺斯,近战</t>
  </si>
  <si>
    <t>无法被友方角色治疗</t>
  </si>
  <si>
    <t>{"自我防护":"技能开启时，每秒恢复最大生命值4%的生命"}</t>
  </si>
  <si>
    <t>prove</t>
  </si>
  <si>
    <t>普罗旺斯攻击</t>
  </si>
  <si>
    <t>普罗旺斯1,普罗旺斯攻击2</t>
  </si>
  <si>
    <t>重射手</t>
  </si>
  <si>
    <t>叙拉古,远程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</si>
  <si>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</si>
  <si>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</si>
  <si>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</si>
  <si>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</si>
  <si>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</si>
  <si>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</si>
  <si>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</si>
  <si>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</si>
  <si>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</si>
  <si>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</si>
  <si>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</si>
  <si>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</si>
  <si>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</si>
  <si>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</si>
  <si>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</si>
  <si>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谢拉格,喀兰贸易,远程</t>
  </si>
  <si>
    <t>{"虚弱化":"攻击范围内的敌人生命少于40%时，令其获得15%的脆弱受到的所有伤害提升相应比例（同名效果取最高）效果","双响":"攻击时同时攻击两个目标"}</t>
  </si>
  <si>
    <t>glassb</t>
  </si>
  <si>
    <t>真理攻击,真理被动</t>
  </si>
  <si>
    <t>真理1,真理2</t>
  </si>
  <si>
    <t>乌萨斯,乌萨斯学生自治团,远程</t>
  </si>
  <si>
    <t>{"探知者":"防御力直接乘算里属于叠加，并非叠乘(-35%)-35%，但攻击速度18+18"}</t>
  </si>
  <si>
    <t>sora</t>
  </si>
  <si>
    <t>空攻击,空被动</t>
  </si>
  <si>
    <t>空1,空2</t>
  </si>
  <si>
    <t>吟游者</t>
  </si>
  <si>
    <t>炎,龙门,企鹅物流,远程</t>
  </si>
  <si>
    <t>不攻击，持续恢复范围内所有友军生命（每秒相当于自身攻击力10%的生命），自身不受鼓舞影响，攻击范围内存在2名及以上其他干员时，攻击力+8%（不受技能影响）</t>
  </si>
  <si>
    <t>{"安可":"技能结束后，60%几率立即回复60%的最大技力"}</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</si>
  <si>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</si>
  <si>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</si>
  <si>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</si>
  <si>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</si>
  <si>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</si>
  <si>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</si>
  <si>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panda</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</si>
  <si>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</si>
  <si>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</si>
  <si>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</si>
  <si>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</si>
  <si>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</si>
  <si>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</si>
  <si>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</si>
  <si>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</si>
  <si>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</si>
  <si>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</si>
  <si>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</si>
  <si>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</si>
  <si>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</si>
  <si>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</si>
  <si>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</si>
  <si>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</si>
  <si>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</si>
  <si>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</si>
  <si>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</si>
  <si>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</si>
  <si>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</si>
  <si>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</si>
  <si>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</si>
  <si>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</si>
  <si>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</si>
  <si>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</si>
  <si>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</si>
  <si>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</si>
  <si>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</si>
  <si>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</si>
  <si>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</si>
  <si>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攻击强化3,棘刺进入防御,棘刺至高Buff</t>
  </si>
  <si>
    <t>伊比利亚,近战</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</si>
  <si>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</si>
  <si>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</si>
  <si>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</si>
  <si>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</si>
  <si>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</si>
  <si>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</si>
  <si>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</si>
  <si>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</si>
  <si>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</si>
  <si>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</si>
  <si>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</si>
  <si>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</si>
  <si>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</si>
  <si>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</si>
  <si>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</si>
  <si>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</si>
  <si>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</si>
  <si>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</si>
  <si>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</si>
  <si>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</si>
  <si>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</si>
  <si>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</si>
  <si>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</si>
  <si>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{"加速力场 ":"在场时全场友方单位攻速+8（+1）","兼职工作":"技能未开启时，全场友方单位每秒回复25（+5）点生命"}</t>
  </si>
  <si>
    <t>闪灵攻击,闪灵被动加防,闪灵被动加攻速</t>
  </si>
  <si>
    <t>闪灵信条,闪灵掩护,闪灵教条</t>
  </si>
  <si>
    <t>使徒,卡兹戴尔,远程</t>
  </si>
  <si>
    <t>{"黑恶魔的庇护 ":"攻击范围内的友方单位防御力+65（+5）","法典":"攻击速度+13（+3）"}</t>
  </si>
  <si>
    <t>夜莺攻击,夜莺被动加防,获得鸟笼</t>
  </si>
  <si>
    <t>治疗强化3,夜莺护盾,夜莺圣域</t>
  </si>
  <si>
    <t>icon_cgbird</t>
  </si>
  <si>
    <t>half_cgbird</t>
  </si>
  <si>
    <t>cgbird</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</si>
  <si>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</si>
  <si>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</si>
  <si>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</si>
  <si>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</si>
  <si>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</si>
  <si>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</si>
  <si>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</si>
  <si>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星熊</t>
  </si>
  <si>
    <t>hsguma</t>
  </si>
  <si>
    <t>136</t>
  </si>
  <si>
    <t>星熊攻击,星熊被动闪避,星熊加防</t>
  </si>
  <si>
    <t>星熊战意,星熊反击,星熊锯</t>
  </si>
  <si>
    <t>炎,龙门,龙门近卫局,近战</t>
  </si>
  <si>
    <t>{"战术装甲":"获得28%（+3%）几率的全伤害抵挡","特种作战策略 ":" 在场时，所有友方【重装】职业干员的防御力提升8%（+2%）"}</t>
  </si>
  <si>
    <t>demkni</t>
  </si>
  <si>
    <t>202</t>
  </si>
  <si>
    <t>塞雷娅攻击,塞雷娅充能服</t>
  </si>
  <si>
    <t>塞雷娅急救,塞雷娅药物配置,塞雷娅钙质化</t>
  </si>
  <si>
    <t>哥伦比亚,莱茵生命,近战</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</si>
  <si>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</si>
  <si>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</si>
  <si>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</si>
  <si>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</si>
  <si>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</si>
  <si>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</si>
  <si>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</si>
  <si>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</si>
  <si>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</si>
  <si>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</si>
  <si>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</si>
  <si>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</si>
  <si>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</si>
  <si>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</si>
  <si>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</si>
  <si>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</si>
  <si>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</si>
  <si>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空中侵入点</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</si>
  <si>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</si>
  <si>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</si>
  <si>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</si>
  <si>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</si>
  <si>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</si>
  <si>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</si>
  <si>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</si>
  <si>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</si>
  <si>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</si>
  <si>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</si>
  <si>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</si>
  <si>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</si>
  <si>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</si>
  <si>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</si>
  <si>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</si>
  <si>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</si>
  <si>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</si>
  <si>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</si>
  <si>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</si>
  <si>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</si>
  <si>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</si>
  <si>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</si>
  <si>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</si>
  <si>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</si>
  <si>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</si>
  <si>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</si>
  <si>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</si>
  <si>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</si>
  <si>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</si>
  <si>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</si>
  <si>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</si>
  <si>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</si>
  <si>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</si>
  <si>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</si>
  <si>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</si>
  <si>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</si>
  <si>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</si>
  <si>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</si>
  <si>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</si>
  <si>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</si>
  <si>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</si>
  <si>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</si>
  <si>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</si>
  <si>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装置普通攻击,破坏伤害,装置地块可通行,通用绝食</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</si>
  <si>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</si>
  <si>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</si>
  <si>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</si>
  <si>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</si>
  <si>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回血地板</t>
  </si>
  <si>
    <t>回血地板buff</t>
  </si>
  <si>
    <t>为放置在上面的单位回复其最大生命值一定比的血量</t>
  </si>
  <si>
    <t>防御地板</t>
  </si>
  <si>
    <t>防御地板buff</t>
  </si>
  <si>
    <t>为干员增加一定量防御</t>
  </si>
  <si>
    <t>降防地板</t>
  </si>
  <si>
    <t>减防地板</t>
  </si>
  <si>
    <t>降防地板buff</t>
  </si>
  <si>
    <t>上面的干员防御减半</t>
  </si>
  <si>
    <t>降防地板2</t>
  </si>
  <si>
    <t>减防地板2</t>
  </si>
  <si>
    <t>降防地板buff2</t>
  </si>
  <si>
    <t>上面的干员防御降低一半</t>
  </si>
  <si>
    <t>不可通行地块</t>
  </si>
  <si>
    <t>不可通行减速</t>
  </si>
  <si>
    <t>敌人走上会减速</t>
  </si>
  <si>
    <t>排气格栅</t>
  </si>
  <si>
    <t>排气格栅buff</t>
  </si>
  <si>
    <t>置于其中的干员不会成为敌军远程攻击的目标</t>
  </si>
  <si>
    <t>碎石</t>
  </si>
  <si>
    <t>初始部署在场景中，改变敌人的行进路线</t>
  </si>
  <si>
    <t>道路障碍（未实装）</t>
  </si>
  <si>
    <t>道路障碍</t>
  </si>
  <si>
    <t>装置地块可通行,通用绝食,平民减速</t>
  </si>
  <si>
    <t>enemy_1007_slime</t>
  </si>
  <si>
    <t>slime</t>
  </si>
  <si>
    <t>普通,近战,感染生物</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</si>
  <si>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</si>
  <si>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</si>
  <si>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</si>
  <si>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</si>
  <si>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</si>
  <si>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</si>
  <si>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</si>
  <si>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</si>
  <si>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</si>
  <si>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</si>
  <si>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</si>
  <si>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</si>
  <si>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普通,远程,感染生物</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</si>
  <si>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</si>
  <si>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</si>
  <si>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</si>
  <si>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</si>
  <si>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</si>
  <si>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</si>
  <si>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</si>
  <si>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</si>
  <si>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</si>
  <si>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</si>
  <si>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</si>
  <si>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</si>
  <si>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</si>
  <si>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</si>
  <si>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</si>
  <si>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</si>
  <si>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</si>
  <si>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</si>
  <si>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</si>
  <si>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</si>
  <si>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</si>
  <si>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</si>
  <si>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</si>
  <si>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</si>
  <si>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</si>
  <si>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</si>
  <si>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</si>
  <si>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</si>
  <si>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普通,近战</t>
  </si>
  <si>
    <t>整合运动的基础近身作战人员。</t>
  </si>
  <si>
    <t>enemy_1003_ncbow</t>
  </si>
  <si>
    <t>ncbow</t>
  </si>
  <si>
    <t>弩手</t>
  </si>
  <si>
    <t>弩手攻击,通用敌方远程近战攻击</t>
  </si>
  <si>
    <t>普通,远程</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</si>
  <si>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</si>
  <si>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</si>
  <si>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</si>
  <si>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</si>
  <si>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</si>
  <si>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</si>
  <si>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</si>
  <si>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</si>
  <si>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</si>
  <si>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</si>
  <si>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</si>
  <si>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</si>
  <si>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</si>
  <si>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</si>
  <si>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</si>
  <si>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</si>
  <si>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</si>
  <si>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</si>
  <si>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</si>
  <si>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</si>
  <si>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精英,远程</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</si>
  <si>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</si>
  <si>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</si>
  <si>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</si>
  <si>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</si>
  <si>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</si>
  <si>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</si>
  <si>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</si>
  <si>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</si>
  <si>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</si>
  <si>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</si>
  <si>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</si>
  <si>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</si>
  <si>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</si>
  <si>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</si>
  <si>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</si>
  <si>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</si>
  <si>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</si>
  <si>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</si>
  <si>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</si>
  <si>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</si>
  <si>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</si>
  <si>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</si>
  <si>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</si>
  <si>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</si>
  <si>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</si>
  <si>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</si>
  <si>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</si>
  <si>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</si>
  <si>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</si>
  <si>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</si>
  <si>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</si>
  <si>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精英,近战</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</si>
  <si>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</si>
  <si>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</si>
  <si>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</si>
  <si>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</si>
  <si>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</si>
  <si>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</si>
  <si>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领袖,近战</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</si>
  <si>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</si>
  <si>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</si>
  <si>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</si>
  <si>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</si>
  <si>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</si>
  <si>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</si>
  <si>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</si>
  <si>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</si>
  <si>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</si>
  <si>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</si>
  <si>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</si>
  <si>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</si>
  <si>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</si>
  <si>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</si>
  <si>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</si>
  <si>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</si>
  <si>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</si>
  <si>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</si>
  <si>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</si>
  <si>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</si>
  <si>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普通,不攻击</t>
  </si>
  <si>
    <t>擅长工程技术的人员，&lt;@eb.key&gt;无法被阻挡&lt;/&gt;，需要尽快清除。</t>
  </si>
  <si>
    <t>aghost</t>
  </si>
  <si>
    <t>比幽灵拥有更高的防御力和耐久，&lt;@eb.key&gt;无法被阻挡&lt;/&gt;，需要尽快清除。</t>
  </si>
  <si>
    <t>enemy_1005_yokai</t>
  </si>
  <si>
    <t>普通,不攻击,无人机</t>
  </si>
  <si>
    <t>&lt;@eb.key&gt;【飞行单位】&lt;/&gt;敌方人员操纵的无人机，不会进行攻击。</t>
  </si>
  <si>
    <t>enemy_1005_yokai_2</t>
  </si>
  <si>
    <t>yokai_2</t>
  </si>
  <si>
    <t>MK2攻击</t>
  </si>
  <si>
    <t>普通,远程,无人机</t>
  </si>
  <si>
    <t>&lt;@eb.key&gt;【飞行单位】&lt;/&gt;妖怪的改进版，可进行&lt;@eb.key&gt;远程物理射击&lt;/&gt;。</t>
  </si>
  <si>
    <t>enemy_1005_yokai_3</t>
  </si>
  <si>
    <t>yokai_3</t>
  </si>
  <si>
    <t>威龙</t>
  </si>
  <si>
    <t>精英,远程,无人机</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</si>
  <si>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</si>
  <si>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</si>
  <si>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</si>
  <si>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</si>
  <si>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</si>
  <si>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</si>
  <si>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</si>
  <si>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</si>
  <si>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</si>
  <si>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</si>
  <si>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</si>
  <si>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</si>
  <si>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</si>
  <si>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</si>
  <si>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</si>
  <si>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</si>
  <si>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</si>
  <si>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</si>
  <si>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</si>
  <si>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</si>
  <si>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</si>
  <si>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</si>
  <si>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</si>
  <si>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</si>
  <si>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</si>
  <si>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</si>
  <si>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</si>
  <si>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</si>
  <si>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</si>
  <si>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</si>
  <si>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精英,近战,萨卡兹</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</si>
  <si>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</si>
  <si>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</si>
  <si>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</si>
  <si>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</si>
  <si>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</si>
  <si>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</si>
  <si>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</si>
  <si>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</si>
  <si>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</si>
  <si>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精英,远程,萨卡兹</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</si>
  <si>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</si>
  <si>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</si>
  <si>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</si>
  <si>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</si>
  <si>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</si>
  <si>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</si>
  <si>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</si>
  <si>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</si>
  <si>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</si>
  <si>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</si>
  <si>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</si>
  <si>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</si>
  <si>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</si>
  <si>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</si>
  <si>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</si>
  <si>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</si>
  <si>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</si>
  <si>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领袖,远程,萨卡兹</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</si>
  <si>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</si>
  <si>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</si>
  <si>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</si>
  <si>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</si>
  <si>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</si>
  <si>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</si>
  <si>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</si>
  <si>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</si>
  <si>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</si>
  <si>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</si>
  <si>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</si>
  <si>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</si>
  <si>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</si>
  <si>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</si>
  <si>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</si>
  <si>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</si>
  <si>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</si>
  <si>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</si>
  <si>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</si>
  <si>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</si>
  <si>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</si>
  <si>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</si>
  <si>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</si>
  <si>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</si>
  <si>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</si>
  <si>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</si>
  <si>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</si>
  <si>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</si>
  <si>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</si>
  <si>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</si>
  <si>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</si>
  <si>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</si>
  <si>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</si>
  <si>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</si>
  <si>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</si>
  <si>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</si>
  <si>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</si>
  <si>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</si>
  <si>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</si>
  <si>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</si>
  <si>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</si>
  <si>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</si>
  <si>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</si>
  <si>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</si>
  <si>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</si>
  <si>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</si>
  <si>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</si>
  <si>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</si>
  <si>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</si>
  <si>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</si>
  <si>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</si>
  <si>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</si>
  <si>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</si>
  <si>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</si>
  <si>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</si>
  <si>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</si>
  <si>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</si>
  <si>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</si>
  <si>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</si>
  <si>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</si>
  <si>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</si>
  <si>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</si>
  <si>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</si>
  <si>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</si>
  <si>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</si>
  <si>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</si>
  <si>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</si>
  <si>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</si>
  <si>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</si>
  <si>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</si>
  <si>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</si>
  <si>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</si>
  <si>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</si>
  <si>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</si>
  <si>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</si>
  <si>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</si>
  <si>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</si>
  <si>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</si>
  <si>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</si>
  <si>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</si>
  <si>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</si>
  <si>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</si>
  <si>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</si>
  <si>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</si>
  <si>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</si>
  <si>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</si>
  <si>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</si>
  <si>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</si>
  <si>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</si>
  <si>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</si>
  <si>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</si>
  <si>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</si>
  <si>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</si>
  <si>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</si>
  <si>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</si>
  <si>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</si>
  <si>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</si>
  <si>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</si>
  <si>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</si>
  <si>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</si>
  <si>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</si>
  <si>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</si>
  <si>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</si>
  <si>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</si>
  <si>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</si>
  <si>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</si>
  <si>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</si>
  <si>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</si>
  <si>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</si>
  <si>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</si>
  <si>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</si>
  <si>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</si>
  <si>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</si>
  <si>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</si>
  <si>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</si>
  <si>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</si>
  <si>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</si>
  <si>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</si>
  <si>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</si>
  <si>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</si>
  <si>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</si>
  <si>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</si>
  <si>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</si>
  <si>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</si>
  <si>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精英,不攻击,无人机</t>
  </si>
  <si>
    <t>&lt;@eb.key&gt;【飞行单位】&lt;/&gt;防御力较高，会使周围我方单位的&lt;@eb.key&gt;攻击速度&lt;/&gt;会大幅度削减。</t>
  </si>
  <si>
    <t>enemy_1043_zomsbr</t>
  </si>
  <si>
    <t>zomsbr</t>
  </si>
  <si>
    <t>enemy_1043_zomsabr</t>
  </si>
  <si>
    <t>宿主士兵</t>
  </si>
  <si>
    <t>普通,近战,宿主</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</si>
  <si>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</si>
  <si>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</si>
  <si>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</si>
  <si>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</si>
  <si>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</si>
  <si>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</si>
  <si>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</si>
  <si>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</si>
  <si>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</si>
  <si>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</si>
  <si>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</si>
  <si>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</si>
  <si>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</si>
  <si>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</si>
  <si>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</si>
  <si>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</si>
  <si>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</si>
  <si>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</si>
  <si>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</si>
  <si>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</si>
  <si>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</si>
  <si>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</si>
  <si>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</si>
  <si>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</si>
  <si>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</si>
  <si>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</si>
  <si>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</si>
  <si>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</si>
  <si>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</si>
  <si>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狙击步兵攻击,狙击步兵眩晕攻击</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</si>
  <si>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</si>
  <si>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</si>
  <si>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</si>
  <si>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</si>
  <si>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</si>
  <si>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</si>
  <si>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</si>
  <si>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</si>
  <si>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</si>
  <si>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</si>
  <si>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</si>
  <si>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</si>
  <si>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</si>
  <si>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</si>
  <si>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</si>
  <si>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</si>
  <si>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</si>
  <si>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</si>
  <si>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</si>
  <si>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</si>
  <si>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</si>
  <si>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</si>
  <si>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</si>
  <si>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</si>
  <si>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</si>
  <si>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</si>
  <si>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</si>
  <si>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</si>
  <si>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</si>
  <si>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领袖,远程,感染生物</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</si>
  <si>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</si>
  <si>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</si>
  <si>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</si>
  <si>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</si>
  <si>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</si>
  <si>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</si>
  <si>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</si>
  <si>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</si>
  <si>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</si>
  <si>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</si>
  <si>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</si>
  <si>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</si>
  <si>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</si>
  <si>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</si>
  <si>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</si>
  <si>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</si>
  <si>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</si>
  <si>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</si>
  <si>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</si>
  <si>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</si>
  <si>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</si>
  <si>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</si>
  <si>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</si>
  <si>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</si>
  <si>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</si>
  <si>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</si>
  <si>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</si>
  <si>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</si>
  <si>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</si>
  <si>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</si>
  <si>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</si>
  <si>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</si>
  <si>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</si>
  <si>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</si>
  <si>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</si>
  <si>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</si>
  <si>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领袖,近战,远程</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</si>
  <si>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</si>
  <si>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</si>
  <si>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</si>
  <si>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</si>
  <si>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</si>
  <si>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</si>
  <si>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</si>
  <si>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</si>
  <si>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领袖,远程</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</si>
  <si>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</si>
  <si>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</si>
  <si>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</si>
  <si>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</si>
  <si>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</si>
  <si>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</si>
  <si>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</si>
  <si>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</si>
  <si>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</si>
  <si>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领袖,不攻击</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</si>
  <si>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</si>
  <si>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</si>
  <si>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</si>
  <si>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</si>
  <si>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</si>
  <si>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</si>
  <si>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</si>
  <si>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</si>
  <si>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</si>
  <si>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</si>
  <si>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</si>
  <si>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</si>
  <si>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</si>
  <si>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</si>
  <si>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</si>
  <si>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</si>
  <si>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</si>
  <si>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</si>
  <si>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</si>
  <si>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</si>
  <si>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</si>
  <si>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</si>
  <si>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</si>
  <si>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</si>
  <si>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</si>
  <si>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</si>
  <si>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</si>
  <si>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</si>
  <si>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</si>
  <si>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</si>
  <si>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</si>
  <si>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</si>
  <si>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</si>
  <si>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</si>
  <si>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</si>
  <si>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</si>
  <si>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</si>
  <si>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</si>
  <si>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</si>
  <si>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</si>
  <si>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</si>
  <si>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</si>
  <si>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</si>
  <si>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</si>
  <si>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</si>
  <si>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</si>
  <si>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</si>
  <si>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</si>
  <si>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</si>
  <si>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</si>
  <si>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</si>
  <si>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</si>
  <si>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</si>
  <si>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</si>
  <si>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</si>
  <si>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</si>
  <si>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</si>
  <si>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</si>
  <si>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</si>
  <si>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</si>
  <si>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</si>
  <si>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</si>
  <si>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精英,近战,宿主</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</si>
  <si>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</si>
  <si>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</si>
  <si>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</si>
  <si>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</si>
  <si>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</si>
  <si>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</si>
  <si>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</si>
  <si>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</si>
  <si>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</si>
  <si>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</si>
  <si>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</si>
  <si>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</si>
  <si>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</si>
  <si>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</si>
  <si>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</si>
  <si>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</si>
  <si>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</si>
  <si>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精英,远程,宿主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</si>
  <si>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</si>
  <si>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</si>
  <si>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</si>
  <si>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</si>
  <si>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</si>
  <si>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</si>
  <si>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</si>
  <si>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</si>
  <si>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</si>
  <si>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</si>
  <si>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</si>
  <si>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</si>
  <si>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</si>
  <si>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</si>
  <si>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</si>
  <si>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</si>
  <si>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</si>
  <si>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</si>
  <si>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</si>
  <si>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</si>
  <si>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</si>
  <si>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</si>
  <si>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</si>
  <si>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</si>
  <si>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</si>
  <si>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</si>
  <si>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</si>
  <si>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</si>
  <si>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</si>
  <si>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</si>
  <si>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</si>
  <si>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</si>
  <si>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</si>
  <si>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</si>
  <si>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</si>
  <si>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</si>
  <si>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</si>
  <si>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</si>
  <si>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</si>
  <si>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</si>
  <si>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</si>
  <si>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</si>
  <si>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</si>
  <si>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</si>
  <si>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</si>
  <si>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</si>
  <si>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</si>
  <si>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</si>
  <si>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</si>
  <si>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</si>
  <si>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</si>
  <si>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</si>
  <si>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</si>
  <si>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普通,近战,萨卡兹</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</si>
  <si>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</si>
  <si>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</si>
  <si>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</si>
  <si>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</si>
  <si>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</si>
  <si>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</si>
  <si>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</si>
  <si>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</si>
  <si>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</si>
  <si>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</si>
  <si>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</si>
  <si>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</si>
  <si>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</si>
  <si>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</si>
  <si>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</si>
  <si>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</si>
  <si>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</si>
  <si>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</si>
  <si>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</si>
  <si>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</si>
  <si>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普通,不攻击,萨卡兹</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</si>
  <si>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</si>
  <si>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</si>
  <si>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</si>
  <si>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</si>
  <si>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</si>
  <si>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</si>
  <si>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</si>
  <si>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</si>
  <si>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</si>
  <si>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</si>
  <si>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</si>
  <si>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</si>
  <si>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</si>
  <si>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</si>
  <si>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</si>
  <si>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</si>
  <si>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</si>
  <si>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</si>
  <si>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</si>
  <si>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</si>
  <si>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</si>
  <si>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</si>
  <si>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</si>
  <si>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</si>
  <si>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</si>
  <si>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</si>
  <si>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</si>
  <si>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</si>
  <si>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</si>
  <si>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</si>
  <si>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</si>
  <si>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</si>
  <si>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</si>
  <si>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</si>
  <si>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</si>
  <si>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</si>
  <si>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</si>
  <si>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</si>
  <si>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</si>
  <si>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</si>
  <si>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</si>
  <si>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</si>
  <si>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</si>
  <si>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</si>
  <si>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</si>
  <si>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</si>
  <si>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</si>
  <si>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</si>
  <si>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</si>
  <si>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</si>
  <si>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</si>
  <si>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</si>
  <si>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</si>
  <si>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</si>
  <si>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</si>
  <si>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</si>
  <si>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</si>
  <si>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</si>
  <si>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</si>
  <si>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</si>
  <si>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</si>
  <si>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</si>
  <si>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</si>
  <si>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</si>
  <si>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</si>
  <si>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</si>
  <si>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</si>
  <si>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</si>
  <si>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</si>
  <si>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</si>
  <si>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</si>
  <si>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</si>
  <si>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</si>
  <si>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</si>
  <si>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</si>
  <si>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</si>
  <si>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</si>
  <si>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</si>
  <si>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</si>
  <si>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</si>
  <si>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</si>
  <si>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</si>
  <si>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</si>
  <si>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</si>
  <si>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</si>
  <si>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</si>
  <si>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</si>
  <si>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</si>
  <si>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</si>
  <si>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</si>
  <si>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精英,近战,萨卡兹,脉冲波免疫</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</si>
  <si>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</si>
  <si>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</si>
  <si>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</si>
  <si>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</si>
  <si>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</si>
  <si>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</si>
  <si>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</si>
  <si>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</si>
  <si>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</si>
  <si>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</si>
  <si>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</si>
  <si>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精英,远程,萨卡兹,脉冲波免疫</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</si>
  <si>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</si>
  <si>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</si>
  <si>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</si>
  <si>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</si>
  <si>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</si>
  <si>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</si>
  <si>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</si>
  <si>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</si>
  <si>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</si>
  <si>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</si>
  <si>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</si>
  <si>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</si>
  <si>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领袖,近战,萨卡兹,脉冲波免疫</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</si>
  <si>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</si>
  <si>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</si>
  <si>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</si>
  <si>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</si>
  <si>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</si>
  <si>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</si>
  <si>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</si>
  <si>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</si>
  <si>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</si>
  <si>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</si>
  <si>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</si>
  <si>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</si>
  <si>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</si>
  <si>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</si>
  <si>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</si>
  <si>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</si>
  <si>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</si>
  <si>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</si>
  <si>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</si>
  <si>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</si>
  <si>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</si>
  <si>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</si>
  <si>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</si>
  <si>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</si>
  <si>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</si>
  <si>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</si>
  <si>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</si>
  <si>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</si>
  <si>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</si>
  <si>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</si>
  <si>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</si>
  <si>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</si>
  <si>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</si>
  <si>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</si>
  <si>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</si>
  <si>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</si>
  <si>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</si>
  <si>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</si>
  <si>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</si>
  <si>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</si>
  <si>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</si>
  <si>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</si>
  <si>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</si>
  <si>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</si>
  <si>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</si>
  <si>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</si>
  <si>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</si>
  <si>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</si>
  <si>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</si>
  <si>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</si>
  <si>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</si>
  <si>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</si>
  <si>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</si>
  <si>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</si>
  <si>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精英,近战,法术造物</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</si>
  <si>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</si>
  <si>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</si>
  <si>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</si>
  <si>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</si>
  <si>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</si>
  <si>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</si>
  <si>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</si>
  <si>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</si>
  <si>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领袖,近战,萨卡兹</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</si>
  <si>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</si>
  <si>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</si>
  <si>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</si>
  <si>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</si>
  <si>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</si>
  <si>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</si>
  <si>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</si>
  <si>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</si>
  <si>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</si>
  <si>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</si>
  <si>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</si>
  <si>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</si>
  <si>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</si>
  <si>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</si>
  <si>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</si>
  <si>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</si>
  <si>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</si>
  <si>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</si>
  <si>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</si>
  <si>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</si>
  <si>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</si>
  <si>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</si>
  <si>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</si>
  <si>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</si>
  <si>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</si>
  <si>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</si>
  <si>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</si>
  <si>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</si>
  <si>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</si>
  <si>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</si>
  <si>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</si>
  <si>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</si>
  <si>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</si>
  <si>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</si>
  <si>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</si>
  <si>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</si>
  <si>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</si>
  <si>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</si>
  <si>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</si>
  <si>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</si>
  <si>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</si>
  <si>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</si>
  <si>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</si>
  <si>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</si>
  <si>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</si>
  <si>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</si>
  <si>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</si>
  <si>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</si>
  <si>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</si>
  <si>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</si>
  <si>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</si>
  <si>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</si>
  <si>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</si>
  <si>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</si>
  <si>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</si>
  <si>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</si>
  <si>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</si>
  <si>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</si>
  <si>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</si>
  <si>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领袖,远程,机械</t>
  </si>
  <si>
    <t>庞大的机械怪兽，由大祭司驾驶。能够破坏木桩，损毁时会弹射驾驶员并自爆。</t>
  </si>
  <si>
    <t>enemy_2001_duckmi</t>
  </si>
  <si>
    <t>duckmi</t>
  </si>
  <si>
    <t>鸭爵</t>
  </si>
  <si>
    <t>精英,不攻击</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</si>
  <si>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</si>
  <si>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</si>
  <si>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</si>
  <si>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</si>
  <si>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</si>
  <si>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</si>
  <si>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</si>
  <si>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</si>
  <si>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领袖,近战,法术造物</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</si>
  <si>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</si>
  <si>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</si>
  <si>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</si>
  <si>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</si>
  <si>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</si>
  <si>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</si>
  <si>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</si>
  <si>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</si>
  <si>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</si>
  <si>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</si>
  <si>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</si>
  <si>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</si>
  <si>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</si>
  <si>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</si>
  <si>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</si>
  <si>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</si>
  <si>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</si>
  <si>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</si>
  <si>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</si>
  <si>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</si>
  <si>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</si>
  <si>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</si>
  <si>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</si>
  <si>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</si>
  <si>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</si>
  <si>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</si>
  <si>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</si>
  <si>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</si>
  <si>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</si>
  <si>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</si>
  <si>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</si>
  <si>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</si>
  <si>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</si>
  <si>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</si>
  <si>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</si>
  <si>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</si>
  <si>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</si>
  <si>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</si>
  <si>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</si>
  <si>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</si>
  <si>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</si>
  <si>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</si>
  <si>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</si>
  <si>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</si>
  <si>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</si>
  <si>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</si>
  <si>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</si>
  <si>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</si>
  <si>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</si>
  <si>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</si>
  <si>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</si>
  <si>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</si>
  <si>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</si>
  <si>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</si>
  <si>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</si>
  <si>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</si>
  <si>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</si>
  <si>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</si>
  <si>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</si>
  <si>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</si>
  <si>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</si>
  <si>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</si>
  <si>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</si>
  <si>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</si>
  <si>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</si>
  <si>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</si>
  <si>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</si>
  <si>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</si>
  <si>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</si>
  <si>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</si>
  <si>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</si>
  <si>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</si>
  <si>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</si>
  <si>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</si>
  <si>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</si>
  <si>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</si>
  <si>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</si>
  <si>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</si>
  <si>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</si>
  <si>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</si>
  <si>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</si>
  <si>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</si>
  <si>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</si>
  <si>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</si>
  <si>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</si>
  <si>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</si>
  <si>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</si>
  <si>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</si>
  <si>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</si>
  <si>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</si>
  <si>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</si>
  <si>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</si>
  <si>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</si>
  <si>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</si>
  <si>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</si>
  <si>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</si>
  <si>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</si>
  <si>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</si>
  <si>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</si>
  <si>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</si>
  <si>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</si>
  <si>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</si>
  <si>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</si>
  <si>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</si>
  <si>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</si>
  <si>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</si>
  <si>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</si>
  <si>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</si>
  <si>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</si>
  <si>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</si>
  <si>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</si>
  <si>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</si>
  <si>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</si>
  <si>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</si>
  <si>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</si>
  <si>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</si>
  <si>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</si>
  <si>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</si>
  <si>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</si>
  <si>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</si>
  <si>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</si>
  <si>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</si>
  <si>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</si>
  <si>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</si>
  <si>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</si>
  <si>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</si>
  <si>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</si>
  <si>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</si>
  <si>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</si>
  <si>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</si>
  <si>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</si>
  <si>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</si>
  <si>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</si>
  <si>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</si>
  <si>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</si>
  <si>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</si>
  <si>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</si>
  <si>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</si>
  <si>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</si>
  <si>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</si>
  <si>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</si>
  <si>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</si>
  <si>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</si>
  <si>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</si>
  <si>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</si>
  <si>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</si>
  <si>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</si>
  <si>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</si>
  <si>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</si>
  <si>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</si>
  <si>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</si>
  <si>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</si>
  <si>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</si>
  <si>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</si>
  <si>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</si>
  <si>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精英,近战,远程</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</si>
  <si>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</si>
  <si>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</si>
  <si>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</si>
  <si>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</si>
  <si>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</si>
  <si>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</si>
  <si>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</si>
  <si>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</si>
  <si>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</si>
  <si>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</si>
  <si>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</si>
  <si>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</si>
  <si>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</si>
  <si>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</si>
  <si>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</si>
  <si>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</si>
  <si>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</si>
  <si>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</si>
  <si>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</si>
  <si>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</si>
  <si>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</si>
  <si>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</si>
  <si>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</si>
  <si>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</si>
  <si>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</si>
  <si>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</si>
  <si>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</si>
  <si>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</si>
  <si>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</si>
  <si>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</si>
  <si>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</si>
  <si>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</si>
  <si>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</si>
  <si>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</si>
  <si>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</si>
  <si>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破坏伤害,通用绝食,平民不可阻挡</t>
  </si>
  <si>
    <t>普通,不攻击,刁民,中立单位</t>
  </si>
  <si>
    <t>&lt;@eb.key&gt;友好单位&lt;/&gt;撤回保护目标时不扣除关卡生命值，死亡时扣除关卡生命值;不计入歼灭数</t>
  </si>
  <si>
    <t>enemy_3002_ftrtal</t>
  </si>
  <si>
    <t>ftrtal</t>
  </si>
  <si>
    <t>斗士塔露拉</t>
  </si>
  <si>
    <t>领袖,远程,刁民,中立单位</t>
  </si>
  <si>
    <t>&lt;@eb.key&gt;友好单位&lt;/&gt;进入侵入点时不扣除关卡生命值，死亡时扣除关卡生命值;不计入歼灭数</t>
  </si>
  <si>
    <t>#enemy_3002_ftrtal_s</t>
  </si>
  <si>
    <t>ftrtal_s</t>
  </si>
  <si>
    <t>enemy_1116_liprr</t>
  </si>
  <si>
    <t>liprr</t>
  </si>
  <si>
    <t>普通囚犯</t>
  </si>
  <si>
    <t>普通,近战,囚犯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</si>
  <si>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</si>
  <si>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</si>
  <si>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</si>
  <si>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</si>
  <si>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</si>
  <si>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</si>
  <si>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</si>
  <si>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</si>
  <si>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普通,远程,囚犯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</si>
  <si>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</si>
  <si>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</si>
  <si>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</si>
  <si>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</si>
  <si>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</si>
  <si>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</si>
  <si>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</si>
  <si>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</si>
  <si>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精英,近战,囚犯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</si>
  <si>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</si>
  <si>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</si>
  <si>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</si>
  <si>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</si>
  <si>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</si>
  <si>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</si>
  <si>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</si>
  <si>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</si>
  <si>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</si>
  <si>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</si>
  <si>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</si>
  <si>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</si>
  <si>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</si>
  <si>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</si>
  <si>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</si>
  <si>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</si>
  <si>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</si>
  <si>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</si>
  <si>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</si>
  <si>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</si>
  <si>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精英,远程,囚犯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</si>
  <si>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</si>
  <si>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</si>
  <si>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</si>
  <si>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</si>
  <si>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</si>
  <si>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</si>
  <si>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</si>
  <si>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</si>
  <si>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</si>
  <si>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</si>
  <si>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</si>
  <si>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</si>
  <si>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</si>
  <si>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</si>
  <si>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</si>
  <si>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</si>
  <si>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</si>
  <si>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</si>
  <si>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</si>
  <si>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</si>
  <si>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</si>
  <si>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</si>
  <si>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</si>
  <si>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</si>
  <si>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普通,近战,化物</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</si>
  <si>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</si>
  <si>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</si>
  <si>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</si>
  <si>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</si>
  <si>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</si>
  <si>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</si>
  <si>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</si>
  <si>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</si>
  <si>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</si>
  <si>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</si>
  <si>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</si>
  <si>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</si>
  <si>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</si>
  <si>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</si>
  <si>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普通,远程,化物</t>
  </si>
  <si>
    <t>奸诈的墨魉。十分狡猾，而且傲慢，会&lt;@eb.key&gt;优先攻击相反属性&lt;/&gt;的敌人。</t>
  </si>
  <si>
    <t>enemy_1124_spbow_2</t>
  </si>
  <si>
    <t>spbow_2</t>
  </si>
  <si>
    <t>迂回的“匕现”</t>
  </si>
  <si>
    <t>enemy_1125_spshld</t>
  </si>
  <si>
    <t>spshld</t>
  </si>
  <si>
    <t>“偷闲”</t>
  </si>
  <si>
    <t>精英,近战,化物</t>
  </si>
  <si>
    <t>威严的墨魉。因为不喜欢动，时常被别人当成假山。&lt;@eb.key&gt;能吸引敌人攻击自己&lt;/&gt;，坚硬无比。</t>
  </si>
  <si>
    <t>enemy_1125_spshld_2</t>
  </si>
  <si>
    <t>spshld_2</t>
  </si>
  <si>
    <t>不动的“偷闲”</t>
  </si>
  <si>
    <t>enemy_1126_spslme</t>
  </si>
  <si>
    <t>spslme</t>
  </si>
  <si>
    <t>“得意”</t>
  </si>
  <si>
    <t>普通,近战,化物,得意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</si>
  <si>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</si>
  <si>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</si>
  <si>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</si>
  <si>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</si>
  <si>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</si>
  <si>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</si>
  <si>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</si>
  <si>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</si>
  <si>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</si>
  <si>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</si>
  <si>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</si>
  <si>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</si>
  <si>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</si>
  <si>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</si>
  <si>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精英,远程,化物</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</si>
  <si>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</si>
  <si>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</si>
  <si>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</si>
  <si>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</si>
  <si>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</si>
  <si>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</si>
  <si>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</si>
  <si>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</si>
  <si>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</si>
  <si>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</si>
  <si>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</si>
  <si>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</si>
  <si>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</si>
  <si>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</si>
  <si>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领袖,远程,化物</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</si>
  <si>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</si>
  <si>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</si>
  <si>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</si>
  <si>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</si>
  <si>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</si>
  <si>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</si>
  <si>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</si>
  <si>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</si>
  <si>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</si>
  <si>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</si>
  <si>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</si>
  <si>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</si>
  <si>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</si>
  <si>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</si>
  <si>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</si>
  <si>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</si>
  <si>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</si>
  <si>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</si>
  <si>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</si>
  <si>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</si>
  <si>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</si>
  <si>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普通,不攻击,机械</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</si>
  <si>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</si>
  <si>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</si>
  <si>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</si>
  <si>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</si>
  <si>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</si>
  <si>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</si>
  <si>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</si>
  <si>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</si>
  <si>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</si>
  <si>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</si>
  <si>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</si>
  <si>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</si>
  <si>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</si>
  <si>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</si>
  <si>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</si>
  <si>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</si>
  <si>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</si>
  <si>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</si>
  <si>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</si>
  <si>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</si>
  <si>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</si>
  <si>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</si>
  <si>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</si>
  <si>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</si>
  <si>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</si>
  <si>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</si>
  <si>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</si>
  <si>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</si>
  <si>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精英,远程,感染生物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</si>
  <si>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</si>
  <si>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</si>
  <si>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</si>
  <si>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</si>
  <si>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</si>
  <si>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</si>
  <si>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</si>
  <si>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</si>
  <si>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</si>
  <si>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精英,近战,感染生物</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</si>
  <si>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</si>
  <si>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</si>
  <si>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</si>
  <si>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</si>
  <si>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</si>
  <si>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</si>
  <si>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</si>
  <si>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</si>
  <si>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</si>
  <si>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</si>
  <si>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</si>
  <si>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</si>
  <si>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</si>
  <si>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</si>
  <si>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</si>
  <si>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</si>
  <si>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</si>
  <si>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</si>
  <si>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</si>
  <si>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</si>
  <si>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</si>
  <si>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</si>
  <si>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</si>
  <si>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</si>
  <si>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</si>
  <si>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</si>
  <si>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</si>
  <si>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</si>
  <si>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</si>
  <si>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</si>
  <si>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</si>
  <si>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</si>
  <si>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</si>
  <si>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</si>
  <si>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</si>
  <si>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</si>
  <si>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</si>
  <si>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</si>
  <si>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</si>
  <si>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</si>
  <si>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</si>
  <si>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</si>
  <si>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</si>
  <si>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领袖,不攻击,感染生物</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</si>
  <si>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</si>
  <si>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</si>
  <si>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</si>
  <si>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</si>
  <si>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</si>
  <si>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</si>
  <si>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</si>
  <si>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</si>
  <si>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</si>
  <si>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</si>
  <si>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</si>
  <si>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</si>
  <si>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</si>
  <si>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</si>
  <si>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</si>
  <si>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</si>
  <si>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</si>
  <si>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</si>
  <si>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</si>
  <si>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</si>
  <si>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</si>
  <si>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</si>
  <si>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</si>
  <si>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</si>
  <si>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</si>
  <si>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</si>
  <si>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</si>
  <si>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</si>
  <si>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</si>
  <si>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</si>
  <si>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</si>
  <si>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</si>
  <si>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</si>
  <si>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</si>
  <si>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</si>
  <si>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</si>
  <si>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</si>
  <si>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</si>
  <si>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</si>
  <si>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</si>
  <si>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</si>
  <si>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</si>
  <si>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</si>
  <si>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</si>
  <si>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普通,远程,无人机,空援无人机</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</si>
  <si>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</si>
  <si>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</si>
  <si>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</si>
  <si>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</si>
  <si>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</si>
  <si>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</si>
  <si>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</si>
  <si>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</si>
  <si>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普通,不攻击,无人机,空援无人机</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</si>
  <si>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</si>
  <si>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</si>
  <si>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</si>
  <si>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</si>
  <si>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</si>
  <si>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</si>
  <si>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</si>
  <si>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</si>
  <si>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</si>
  <si>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</si>
  <si>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</si>
  <si>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</si>
  <si>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普通,近战,海怪</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</si>
  <si>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</si>
  <si>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</si>
  <si>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</si>
  <si>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</si>
  <si>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</si>
  <si>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</si>
  <si>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</si>
  <si>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</si>
  <si>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</si>
  <si>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</si>
  <si>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</si>
  <si>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</si>
  <si>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</si>
  <si>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</si>
  <si>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</si>
  <si>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</si>
  <si>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</si>
  <si>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</si>
  <si>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普通,远程,海怪</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</si>
  <si>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</si>
  <si>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</si>
  <si>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</si>
  <si>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</si>
  <si>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</si>
  <si>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</si>
  <si>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</si>
  <si>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</si>
  <si>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</si>
  <si>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</si>
  <si>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</si>
  <si>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</si>
  <si>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</si>
  <si>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</si>
  <si>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</si>
  <si>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</si>
  <si>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</si>
  <si>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</si>
  <si>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精英,近战,海怪</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</si>
  <si>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</si>
  <si>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</si>
  <si>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</si>
  <si>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</si>
  <si>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</si>
  <si>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</si>
  <si>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</si>
  <si>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</si>
  <si>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精英,不攻击,海怪</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</si>
  <si>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</si>
  <si>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</si>
  <si>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</si>
  <si>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</si>
  <si>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</si>
  <si>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</si>
  <si>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</si>
  <si>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</si>
  <si>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</si>
  <si>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精英,远程,海怪</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</si>
  <si>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</si>
  <si>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</si>
  <si>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</si>
  <si>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</si>
  <si>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</si>
  <si>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</si>
  <si>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</si>
  <si>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</si>
  <si>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</si>
  <si>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</si>
  <si>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</si>
  <si>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</si>
  <si>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</si>
  <si>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</si>
  <si>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</si>
  <si>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</si>
  <si>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</si>
  <si>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</si>
  <si>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</si>
  <si>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领袖,远程,海怪</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</si>
  <si>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</si>
  <si>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</si>
  <si>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</si>
  <si>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</si>
  <si>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</si>
  <si>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</si>
  <si>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</si>
  <si>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</si>
  <si>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</si>
  <si>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</si>
  <si>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</si>
  <si>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</si>
  <si>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</si>
  <si>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</si>
  <si>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</si>
  <si>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</si>
  <si>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</si>
  <si>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</si>
  <si>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</si>
  <si>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</si>
  <si>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</si>
  <si>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</si>
  <si>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</si>
  <si>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</si>
  <si>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</si>
  <si>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</si>
  <si>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</si>
  <si>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</si>
  <si>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</si>
  <si>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</si>
  <si>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</si>
  <si>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</si>
  <si>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</si>
  <si>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</si>
  <si>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</si>
  <si>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</si>
  <si>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</si>
  <si>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</si>
  <si>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</si>
  <si>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</si>
  <si>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</si>
  <si>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</si>
  <si>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</si>
  <si>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</si>
  <si>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</si>
  <si>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精英,远程,机械</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</si>
  <si>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</si>
  <si>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</si>
  <si>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</si>
  <si>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</si>
  <si>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</si>
  <si>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</si>
  <si>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</si>
  <si>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</si>
  <si>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精英,近战,机械</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</si>
  <si>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</si>
  <si>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</si>
  <si>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</si>
  <si>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</si>
  <si>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</si>
  <si>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</si>
  <si>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</si>
  <si>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</si>
  <si>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</si>
  <si>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</si>
  <si>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</si>
  <si>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</si>
  <si>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</si>
  <si>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</si>
  <si>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</si>
  <si>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</si>
  <si>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</si>
  <si>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</si>
  <si>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</si>
  <si>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</si>
  <si>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</si>
  <si>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</si>
  <si>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</si>
  <si>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</si>
  <si>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</si>
  <si>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</si>
  <si>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</si>
  <si>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</si>
  <si>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</si>
  <si>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</si>
  <si>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</si>
  <si>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</si>
  <si>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</si>
  <si>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</si>
  <si>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</si>
  <si>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</si>
  <si>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</si>
  <si>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</si>
  <si>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</si>
  <si>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</si>
  <si>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</si>
  <si>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</si>
  <si>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</si>
  <si>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</si>
  <si>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</si>
  <si>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</si>
  <si>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</si>
  <si>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</si>
  <si>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</si>
  <si>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</si>
  <si>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</si>
  <si>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</si>
  <si>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</si>
  <si>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</si>
  <si>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</si>
  <si>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</si>
  <si>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</si>
  <si>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</si>
  <si>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</si>
  <si>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</si>
  <si>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</si>
  <si>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</si>
  <si>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</si>
  <si>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</si>
  <si>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</si>
  <si>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</si>
  <si>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</si>
  <si>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</si>
  <si>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</si>
  <si>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</si>
  <si>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</si>
  <si>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</si>
  <si>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</si>
  <si>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</si>
  <si>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</si>
  <si>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</si>
  <si>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</si>
  <si>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</si>
  <si>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</si>
  <si>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</si>
  <si>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</si>
  <si>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</si>
  <si>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</si>
  <si>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精英,近战,远程,法术造物</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</si>
  <si>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</si>
  <si>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</si>
  <si>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</si>
  <si>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</si>
  <si>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</si>
  <si>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</si>
  <si>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</si>
  <si>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</si>
  <si>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</si>
  <si>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</si>
  <si>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</si>
  <si>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</si>
  <si>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</si>
  <si>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</si>
  <si>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</si>
  <si>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精英,近战,深池伙友卫队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</si>
  <si>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</si>
  <si>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</si>
  <si>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</si>
  <si>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</si>
  <si>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</si>
  <si>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</si>
  <si>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</si>
  <si>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</si>
  <si>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精英,近战,深池伙友影刃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</si>
  <si>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</si>
  <si>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</si>
  <si>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</si>
  <si>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</si>
  <si>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</si>
  <si>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</si>
  <si>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</si>
  <si>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</si>
  <si>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</si>
  <si>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</si>
  <si>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</si>
  <si>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</si>
  <si>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</si>
  <si>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</si>
  <si>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</si>
  <si>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普通,近战,附着单位</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</si>
  <si>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</si>
  <si>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</si>
  <si>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</si>
  <si>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</si>
  <si>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</si>
  <si>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</si>
  <si>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</si>
  <si>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</si>
  <si>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</si>
  <si>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</si>
  <si>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</si>
  <si>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</si>
  <si>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</si>
  <si>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</si>
  <si>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</si>
  <si>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</si>
  <si>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</si>
  <si>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</si>
  <si>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</si>
  <si>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</si>
  <si>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</si>
  <si>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</si>
  <si>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</si>
  <si>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</si>
  <si>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</si>
  <si>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</si>
  <si>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</si>
  <si>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</si>
  <si>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</si>
  <si>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</si>
  <si>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</si>
  <si>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</si>
  <si>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</si>
  <si>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</si>
  <si>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</si>
  <si>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</si>
  <si>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</si>
  <si>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</si>
  <si>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</si>
  <si>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</si>
  <si>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</si>
  <si>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</si>
  <si>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</si>
  <si>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</si>
  <si>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</si>
  <si>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</si>
  <si>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</si>
  <si>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</si>
  <si>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</si>
  <si>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</si>
  <si>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</si>
  <si>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</si>
  <si>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</si>
  <si>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</si>
  <si>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</si>
  <si>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</si>
  <si>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</si>
  <si>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</si>
  <si>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</si>
  <si>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</si>
  <si>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</si>
  <si>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</si>
  <si>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</si>
  <si>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</si>
  <si>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</si>
  <si>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</si>
  <si>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</si>
  <si>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</si>
  <si>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</si>
  <si>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</si>
  <si>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</si>
  <si>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</si>
  <si>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</si>
  <si>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</si>
  <si>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</si>
  <si>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</si>
  <si>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</si>
  <si>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</si>
  <si>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</si>
  <si>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</si>
  <si>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</si>
  <si>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</si>
  <si>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</si>
  <si>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</si>
  <si>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</si>
  <si>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</si>
  <si>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</si>
  <si>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</si>
  <si>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</si>
  <si>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</si>
  <si>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</si>
  <si>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</si>
  <si>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</si>
  <si>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</si>
  <si>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</si>
  <si>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</si>
  <si>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</si>
  <si>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</si>
  <si>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</si>
  <si>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</si>
  <si>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</si>
  <si>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</si>
  <si>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</si>
  <si>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</si>
  <si>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</si>
  <si>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</si>
  <si>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</si>
  <si>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</si>
  <si>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</si>
  <si>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</si>
  <si>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</si>
  <si>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</si>
  <si>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</si>
  <si>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</si>
  <si>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</si>
  <si>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</si>
  <si>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</si>
  <si>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</si>
  <si>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</si>
  <si>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</si>
  <si>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</si>
  <si>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</si>
  <si>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</si>
  <si>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</si>
  <si>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</si>
  <si>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</si>
  <si>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</si>
  <si>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</si>
  <si>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</si>
  <si>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</si>
  <si>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</si>
  <si>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</si>
  <si>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</si>
  <si>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</si>
  <si>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</si>
  <si>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</si>
  <si>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</si>
  <si>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</si>
  <si>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</si>
  <si>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</si>
  <si>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</si>
  <si>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</si>
  <si>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</si>
  <si>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</si>
  <si>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</si>
  <si>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</si>
  <si>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</si>
  <si>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</si>
  <si>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</si>
  <si>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</si>
  <si>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</si>
  <si>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</si>
  <si>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</si>
  <si>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</si>
  <si>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</si>
  <si>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</si>
  <si>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</si>
  <si>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</si>
  <si>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</si>
  <si>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</si>
  <si>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</si>
  <si>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</si>
  <si>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</si>
  <si>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精英,远程,法术造物</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</si>
  <si>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</si>
  <si>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</si>
  <si>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</si>
  <si>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</si>
  <si>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</si>
  <si>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</si>
  <si>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</si>
  <si>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</si>
  <si>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</si>
  <si>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</si>
  <si>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</si>
  <si>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</si>
  <si>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</si>
  <si>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</si>
  <si>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</si>
  <si>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</si>
  <si>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</si>
  <si>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</si>
  <si>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</si>
  <si>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</si>
  <si>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</si>
  <si>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</si>
  <si>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</si>
  <si>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</si>
  <si>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</si>
  <si>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</si>
  <si>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</si>
  <si>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</si>
  <si>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</si>
  <si>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</si>
  <si>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</si>
  <si>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</si>
  <si>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</si>
  <si>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</si>
  <si>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</si>
  <si>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</si>
  <si>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</si>
  <si>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</si>
  <si>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</si>
  <si>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</si>
  <si>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</si>
  <si>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</si>
  <si>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</si>
  <si>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</si>
  <si>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普通,不攻击,化物</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</si>
  <si>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</si>
  <si>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</si>
  <si>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</si>
  <si>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</si>
  <si>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</si>
  <si>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</si>
  <si>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</si>
  <si>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</si>
  <si>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</si>
  <si>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</si>
  <si>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</si>
  <si>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</si>
  <si>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</si>
  <si>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</si>
  <si>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</si>
  <si>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</si>
  <si>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</si>
  <si>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</si>
  <si>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</si>
  <si>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</si>
  <si>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</si>
  <si>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</si>
  <si>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</si>
  <si>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</si>
  <si>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</si>
  <si>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</si>
  <si>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</si>
  <si>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</si>
  <si>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</si>
  <si>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</si>
  <si>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</si>
  <si>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</si>
  <si>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</si>
  <si>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</si>
  <si>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</si>
  <si>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</si>
  <si>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</si>
  <si>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</si>
  <si>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</si>
  <si>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</si>
  <si>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</si>
  <si>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</si>
  <si>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</si>
  <si>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</si>
  <si>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</si>
  <si>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</si>
  <si>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</si>
  <si>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</si>
  <si>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</si>
  <si>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</si>
  <si>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</si>
  <si>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</si>
  <si>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</si>
  <si>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</si>
  <si>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</si>
  <si>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</si>
  <si>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</si>
  <si>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</si>
  <si>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</si>
  <si>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</si>
  <si>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</si>
  <si>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</si>
  <si>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</si>
  <si>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</si>
  <si>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</si>
  <si>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</si>
  <si>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</si>
  <si>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</si>
  <si>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</si>
  <si>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</si>
  <si>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</si>
  <si>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</si>
  <si>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</si>
  <si>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</si>
  <si>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</si>
  <si>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</si>
  <si>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</si>
  <si>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</si>
  <si>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</si>
  <si>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</si>
  <si>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</si>
  <si>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</si>
  <si>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</si>
  <si>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</si>
  <si>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</si>
  <si>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</si>
  <si>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</si>
  <si>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</si>
  <si>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</si>
  <si>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</si>
  <si>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</si>
  <si>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</si>
  <si>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</si>
  <si>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</si>
  <si>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</si>
  <si>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</si>
  <si>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</si>
  <si>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</si>
  <si>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</si>
  <si>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</si>
  <si>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</si>
  <si>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</si>
  <si>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</si>
  <si>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</si>
  <si>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</si>
  <si>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</si>
  <si>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</si>
  <si>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</si>
  <si>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</si>
  <si>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</si>
  <si>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</si>
  <si>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</si>
  <si>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</si>
  <si>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</si>
  <si>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</si>
  <si>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</si>
  <si>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</si>
  <si>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</si>
  <si>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</si>
  <si>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</si>
  <si>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</si>
  <si>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</si>
  <si>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</si>
  <si>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</si>
  <si>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</si>
  <si>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</si>
  <si>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</si>
  <si>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</si>
  <si>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</si>
  <si>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</si>
  <si>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</si>
  <si>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</si>
  <si>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</si>
  <si>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</si>
  <si>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</si>
  <si>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</si>
  <si>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</si>
  <si>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</si>
  <si>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</si>
  <si>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</si>
  <si>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</si>
  <si>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</si>
  <si>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</si>
  <si>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</si>
  <si>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</si>
  <si>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</si>
  <si>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</si>
  <si>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</si>
  <si>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</si>
  <si>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</si>
  <si>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</si>
  <si>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</si>
  <si>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</si>
  <si>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</si>
  <si>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</si>
  <si>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</si>
  <si>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</si>
  <si>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</si>
  <si>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</si>
  <si>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</si>
  <si>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</si>
  <si>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</si>
  <si>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</si>
  <si>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</si>
  <si>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</si>
  <si>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</si>
  <si>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</si>
  <si>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</si>
  <si>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</si>
  <si>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</si>
  <si>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</si>
  <si>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</si>
  <si>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</si>
  <si>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</si>
  <si>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</si>
  <si>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</si>
  <si>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</si>
  <si>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</si>
  <si>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</si>
  <si>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</si>
  <si>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</si>
  <si>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</si>
  <si>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</si>
  <si>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</si>
  <si>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</si>
  <si>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</si>
  <si>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</si>
  <si>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普通,近战,重生造物,日晕</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</si>
  <si>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</si>
  <si>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</si>
  <si>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</si>
  <si>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</si>
  <si>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</si>
  <si>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</si>
  <si>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</si>
  <si>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</si>
  <si>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</si>
  <si>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</si>
  <si>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</si>
  <si>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</si>
  <si>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</si>
  <si>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普通,近战,萨卡兹,日晕</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</si>
  <si>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</si>
  <si>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</si>
  <si>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</si>
  <si>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</si>
  <si>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</si>
  <si>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</si>
  <si>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</si>
  <si>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</si>
  <si>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</si>
  <si>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</si>
  <si>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</si>
  <si>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</si>
  <si>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</si>
  <si>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</si>
  <si>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</si>
  <si>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</si>
  <si>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</si>
  <si>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</si>
  <si>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</si>
  <si>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</si>
  <si>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</si>
  <si>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</si>
  <si>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</si>
  <si>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精英,远程,萨卡兹,日晕</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</si>
  <si>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</si>
  <si>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</si>
  <si>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</si>
  <si>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</si>
  <si>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</si>
  <si>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</si>
  <si>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</si>
  <si>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</si>
  <si>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精英,近战,萨卡兹,日晕</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</si>
  <si>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</si>
  <si>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</si>
  <si>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</si>
  <si>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</si>
  <si>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</si>
  <si>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</si>
  <si>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</si>
  <si>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</si>
  <si>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</si>
  <si>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</si>
  <si>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</si>
  <si>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</si>
  <si>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</si>
  <si>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</si>
  <si>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</si>
  <si>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</si>
  <si>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</si>
  <si>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</si>
  <si>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</si>
  <si>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</si>
  <si>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</si>
  <si>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</si>
  <si>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</si>
  <si>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</si>
  <si>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</si>
  <si>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</si>
  <si>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</si>
  <si>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</si>
  <si>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</si>
  <si>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</si>
  <si>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</si>
  <si>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</si>
  <si>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</si>
  <si>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</si>
  <si>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</si>
  <si>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</si>
  <si>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</si>
  <si>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</si>
  <si>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</si>
  <si>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</si>
  <si>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</si>
  <si>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</si>
  <si>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</si>
  <si>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</si>
  <si>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</si>
  <si>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</si>
  <si>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</si>
  <si>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</si>
  <si>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</si>
  <si>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</si>
  <si>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</si>
  <si>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</si>
  <si>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</si>
  <si>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</si>
  <si>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</si>
  <si>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</si>
  <si>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</si>
  <si>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</si>
  <si>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</si>
  <si>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</si>
  <si>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</si>
  <si>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</si>
  <si>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</si>
  <si>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</si>
  <si>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</si>
  <si>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</si>
  <si>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</si>
  <si>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</si>
  <si>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</si>
  <si>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</si>
  <si>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</si>
  <si>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</si>
  <si>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</si>
  <si>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</si>
  <si>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</si>
  <si>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</si>
  <si>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</si>
  <si>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</si>
  <si>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</si>
  <si>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</si>
  <si>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</si>
  <si>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</si>
  <si>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</si>
  <si>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</si>
  <si>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</si>
  <si>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</si>
  <si>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</si>
  <si>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</si>
  <si>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</si>
  <si>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</si>
  <si>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</si>
  <si>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</si>
  <si>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</si>
  <si>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</si>
  <si>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</si>
  <si>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精英,近战,远程,海怪</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</si>
  <si>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</si>
  <si>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</si>
  <si>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</si>
  <si>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</si>
  <si>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</si>
  <si>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</si>
  <si>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</si>
  <si>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</si>
  <si>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</si>
  <si>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</si>
  <si>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</si>
  <si>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</si>
  <si>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</si>
  <si>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</si>
  <si>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</si>
  <si>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</si>
  <si>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</si>
  <si>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</si>
  <si>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</si>
  <si>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</si>
  <si>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</si>
  <si>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</si>
  <si>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</si>
  <si>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</si>
  <si>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领袖,近战,远程,海怪</t>
  </si>
  <si>
    <t>出没于大船斯图提斐拉号的小型海嗣，其亲代的血曾染满这片海洋。神谕传达不到子嗣的耳中，族群的命运依旧能悄然流转。</t>
  </si>
  <si>
    <t>#enemy_1529_dsdevr_2</t>
  </si>
  <si>
    <t>dsdevr_2</t>
  </si>
  <si>
    <t>enemy_1238_ltmob</t>
  </si>
  <si>
    <t>“街头闲汉”</t>
  </si>
  <si>
    <t>enemy_1238_ltmob_2</t>
  </si>
  <si>
    <t>ltmob_2</t>
  </si>
  <si>
    <t>“街头醉汉”</t>
  </si>
  <si>
    <t>enemy_1239_ltbow</t>
  </si>
  <si>
    <t>ltbow</t>
  </si>
  <si>
    <t>“街头卖艺者”</t>
  </si>
  <si>
    <t>enemy_1239_ltbow_2</t>
  </si>
  <si>
    <t>ltbow_2</t>
  </si>
  <si>
    <t>“街头音乐家”</t>
  </si>
  <si>
    <t>enemy_1240_ltgint</t>
  </si>
  <si>
    <t>ltgint</t>
  </si>
  <si>
    <t>量产巨像</t>
  </si>
  <si>
    <t>enemy_1240_ltgint_2</t>
  </si>
  <si>
    <t>ltgint_2</t>
  </si>
  <si>
    <t>改进型量产巨像</t>
  </si>
  <si>
    <t>enemy_1241_ltmage</t>
  </si>
  <si>
    <t>ltmage</t>
  </si>
  <si>
    <t>高塔术师</t>
  </si>
  <si>
    <t>enemy_1241_ltmage_2</t>
  </si>
  <si>
    <t>ltmage_2</t>
  </si>
  <si>
    <t>历战高塔术师</t>
  </si>
  <si>
    <t>enemy_1242_ltsmag</t>
  </si>
  <si>
    <t>ltsmag</t>
  </si>
  <si>
    <t>残党小提琴家</t>
  </si>
  <si>
    <t>enemy_1242_ltsmag_2</t>
  </si>
  <si>
    <t>ltsmag_2</t>
  </si>
  <si>
    <t>残党首席小提琴家</t>
  </si>
  <si>
    <t>enemy_1243_ltswar</t>
  </si>
  <si>
    <t>ltswar</t>
  </si>
  <si>
    <t>残党萨克斯手</t>
  </si>
  <si>
    <t>enemy_1243_ltswar_2</t>
  </si>
  <si>
    <t>ltswar_2</t>
  </si>
  <si>
    <t>残党正式萨克斯手</t>
  </si>
  <si>
    <t>enemy_1244_ltssch</t>
  </si>
  <si>
    <t>ltssch</t>
  </si>
  <si>
    <t>残党阵地术师</t>
  </si>
  <si>
    <t>精英</t>
  </si>
  <si>
    <t>enemy_1244_ltssch_2</t>
  </si>
  <si>
    <t>ltssch_2</t>
  </si>
  <si>
    <t>残党资深阵地术师</t>
  </si>
  <si>
    <t>enemy_1246_aslime</t>
  </si>
  <si>
    <t>aslime</t>
  </si>
  <si>
    <t>黑水源石虫</t>
  </si>
  <si>
    <t>enemy_1246_aslime_2</t>
  </si>
  <si>
    <t>aslime_2</t>
  </si>
  <si>
    <t>黑水源石虫·α</t>
  </si>
  <si>
    <t>enemy_1247_ltgtld</t>
  </si>
  <si>
    <t>ltgtld</t>
  </si>
  <si>
    <t>格特鲁德女士</t>
  </si>
  <si>
    <t>enemy_1530_white</t>
  </si>
  <si>
    <t>white</t>
  </si>
  <si>
    <t>白垩，“尘世遗骸”</t>
  </si>
  <si>
    <t>领袖,远程,法术造物</t>
  </si>
  <si>
    <t>A_Die</t>
  </si>
  <si>
    <t>enemy_1530_whiteeX</t>
  </si>
  <si>
    <t>白垩，“尘世遗骸”EX</t>
  </si>
  <si>
    <t>enemy_1249_lysdb</t>
  </si>
  <si>
    <t>lysdb</t>
  </si>
  <si>
    <t>莱茵生命防卫科成员</t>
  </si>
  <si>
    <t>enemy_1249_lysdb_2</t>
  </si>
  <si>
    <t>lysdb_2</t>
  </si>
  <si>
    <t>莱茵生命防卫科高级成员</t>
  </si>
  <si>
    <t>enemy_1250_lyengs</t>
  </si>
  <si>
    <t>lyengs</t>
  </si>
  <si>
    <t>莱茵生命工程科成员</t>
  </si>
  <si>
    <t>enemy_1250_lyengs_2</t>
  </si>
  <si>
    <t>lyengs_2</t>
  </si>
  <si>
    <t>莱茵生命高级工程科成员</t>
  </si>
  <si>
    <t>enemy_1251_lysyta</t>
  </si>
  <si>
    <t>lysyta</t>
  </si>
  <si>
    <t>Dor-1号失败品</t>
  </si>
  <si>
    <t>普通,近战,莱茵实验体</t>
  </si>
  <si>
    <t>enemy_1251_lysyta_2</t>
  </si>
  <si>
    <t>lysyta_2</t>
  </si>
  <si>
    <t>Dor-α号失败品</t>
  </si>
  <si>
    <t>enemy_1252_lysytb</t>
  </si>
  <si>
    <t>lysytb</t>
  </si>
  <si>
    <t>Dor-2号复制体</t>
  </si>
  <si>
    <t>普通,远程,莱茵实验体</t>
  </si>
  <si>
    <t>enemy_1252_lysytb_2</t>
  </si>
  <si>
    <t>lysytb_2</t>
  </si>
  <si>
    <t>Dor-β号复制体</t>
  </si>
  <si>
    <t>enemy_1253_lysytc</t>
  </si>
  <si>
    <t>lysytc</t>
  </si>
  <si>
    <t>Dor-3号改造体</t>
  </si>
  <si>
    <t>精英,近战,莱茵实验体</t>
  </si>
  <si>
    <t>enemy_1253_lysytc_2</t>
  </si>
  <si>
    <t>lysytc_2</t>
  </si>
  <si>
    <t>Dor-γ号改造体</t>
  </si>
  <si>
    <t>enemy_1254_lypa</t>
  </si>
  <si>
    <t>lypa</t>
  </si>
  <si>
    <t>实验用动力装甲</t>
  </si>
  <si>
    <t>enemy_1254_lypa_2</t>
  </si>
  <si>
    <t>lypa_2</t>
  </si>
  <si>
    <t>测试用动力装甲</t>
  </si>
  <si>
    <t>enemy_1255_lybgpa</t>
  </si>
  <si>
    <t>lybgpa</t>
  </si>
  <si>
    <t>R-31重型动力装甲</t>
  </si>
  <si>
    <t>Die_02</t>
  </si>
  <si>
    <t>enemy_1255_lybgpa_2</t>
  </si>
  <si>
    <t>lybgpa_2</t>
  </si>
  <si>
    <t>R-31a重型动力装甲</t>
  </si>
  <si>
    <t>enemy_1256_lyacpa</t>
  </si>
  <si>
    <t>lyacpa</t>
  </si>
  <si>
    <t>R-11突击动力装甲</t>
  </si>
  <si>
    <t>Die_2</t>
  </si>
  <si>
    <t>enemy_1256_lyacpa_2</t>
  </si>
  <si>
    <t>lyacpa_2</t>
  </si>
  <si>
    <t>R-11a突击动力装甲</t>
  </si>
  <si>
    <t>Senemy_1255_lybgpa</t>
  </si>
  <si>
    <t>休眠重型动力装甲</t>
  </si>
  <si>
    <t>精英,机械</t>
  </si>
  <si>
    <t>Sleep</t>
  </si>
  <si>
    <t>Die_01</t>
  </si>
  <si>
    <t>Senemy_1255_lybgpa_2</t>
  </si>
  <si>
    <t>休眠重型动力装甲a</t>
  </si>
  <si>
    <t>Senemy_1256_lyacpa</t>
  </si>
  <si>
    <t>休眠突击动力装甲</t>
  </si>
  <si>
    <t>Die_1</t>
  </si>
  <si>
    <t>Senemy_1256_lyacpa_2</t>
  </si>
  <si>
    <t>休眠突击动力装甲a</t>
  </si>
  <si>
    <t>enemy_1257_lydrty</t>
  </si>
  <si>
    <t>lydrty</t>
  </si>
  <si>
    <t>多萝西</t>
  </si>
  <si>
    <t>F_Idle</t>
  </si>
  <si>
    <t>F_Move</t>
  </si>
  <si>
    <t>F_Die</t>
  </si>
  <si>
    <t>enemy_1531_bbrain</t>
  </si>
  <si>
    <t>bbrain</t>
  </si>
  <si>
    <t>“唤醒”</t>
  </si>
  <si>
    <t>Die_Start</t>
  </si>
  <si>
    <t>enemy_1531_bbrain_2</t>
  </si>
  <si>
    <t>“唤醒”EX</t>
  </si>
  <si>
    <t>enemy_1258_durman</t>
  </si>
  <si>
    <t>durman</t>
  </si>
  <si>
    <t>酒类爱好者</t>
  </si>
  <si>
    <t>enemy_1258_durman_2</t>
  </si>
  <si>
    <t>durman_2</t>
  </si>
  <si>
    <t>酒类协会会员</t>
  </si>
  <si>
    <t>enemy_1259_durwar</t>
  </si>
  <si>
    <t>durwar</t>
  </si>
  <si>
    <t>湖畔志愿者</t>
  </si>
  <si>
    <t>enemy_1259_durwar_2</t>
  </si>
  <si>
    <t>durwar_2</t>
  </si>
  <si>
    <t>湖畔救生员</t>
  </si>
  <si>
    <t>enemy_1260_durmag</t>
  </si>
  <si>
    <t>durmag</t>
  </si>
  <si>
    <t>沙堡建筑者</t>
  </si>
  <si>
    <t>enemy_1260_durmag_2</t>
  </si>
  <si>
    <t>durmag_2</t>
  </si>
  <si>
    <t>沙堡设计师</t>
  </si>
  <si>
    <t>enemy_1261_dursho</t>
  </si>
  <si>
    <t>dursho</t>
  </si>
  <si>
    <t>排球发球车</t>
  </si>
  <si>
    <t>普通,远程,机械</t>
  </si>
  <si>
    <t>enemy_1261_dursho_2</t>
  </si>
  <si>
    <t>dursho_2</t>
  </si>
  <si>
    <t>排球重扣车</t>
  </si>
  <si>
    <t>enemy_1262_durplc</t>
  </si>
  <si>
    <t>durplc</t>
  </si>
  <si>
    <t>钢铁冲浪教练</t>
  </si>
  <si>
    <t>enemy_1262_durplc_2</t>
  </si>
  <si>
    <t>durplc_2</t>
  </si>
  <si>
    <t>合金冲浪教练</t>
  </si>
  <si>
    <t>enemy_1263_durbus</t>
  </si>
  <si>
    <t>durbus</t>
  </si>
  <si>
    <t>全封闭沙滩车</t>
  </si>
  <si>
    <t>enemy_1263_durbus_2</t>
  </si>
  <si>
    <t>durbus_2</t>
  </si>
  <si>
    <t>竞赛级沙滩车</t>
  </si>
  <si>
    <t>enemy_1264_durgrd</t>
  </si>
  <si>
    <t>durgrd</t>
  </si>
  <si>
    <t>蜜酿级醒酒助手</t>
  </si>
  <si>
    <t>enemy_1264_durgrd_2</t>
  </si>
  <si>
    <t>durgrd_2</t>
  </si>
  <si>
    <t>烈酒级醒酒助手</t>
  </si>
  <si>
    <t>enemy_1532_minima</t>
  </si>
  <si>
    <t>minima</t>
  </si>
  <si>
    <t>“物欲拮抗者”</t>
  </si>
  <si>
    <t>领袖,远程,无人机</t>
  </si>
  <si>
    <t>W_Default</t>
  </si>
  <si>
    <t>W_Idle</t>
  </si>
  <si>
    <t>W_Move</t>
  </si>
  <si>
    <t>W_Die</t>
  </si>
  <si>
    <t>enemy_1267_nhpbr</t>
  </si>
  <si>
    <t>nhpbr</t>
  </si>
  <si>
    <t>萨卡兹枯朽战士</t>
  </si>
  <si>
    <t>F_Default</t>
  </si>
  <si>
    <t>enemy_1267_nhpbr_2</t>
  </si>
  <si>
    <t>nhpbr_2</t>
  </si>
  <si>
    <t>萨卡兹枯朽战士组长</t>
  </si>
  <si>
    <t>enemy_1268_nhnrs</t>
  </si>
  <si>
    <t>nhnrs</t>
  </si>
  <si>
    <t>萨卡兹枯朽术师</t>
  </si>
  <si>
    <t>普通,远程,萨卡兹</t>
  </si>
  <si>
    <t>enemy_1268_nhnrs_2</t>
  </si>
  <si>
    <t>nhnrs_2</t>
  </si>
  <si>
    <t>萨卡兹枯朽术师组长</t>
  </si>
  <si>
    <t>enemy_1269_nhfly</t>
  </si>
  <si>
    <t>nhfly</t>
  </si>
  <si>
    <t>枯朽之种</t>
  </si>
  <si>
    <t>enemy_1269_nhfly_2</t>
  </si>
  <si>
    <t>nhfly_2</t>
  </si>
  <si>
    <t>腐败之种</t>
  </si>
  <si>
    <t>enemy_1269_nhflyS</t>
  </si>
  <si>
    <t>枯朽之种出场不待机</t>
  </si>
  <si>
    <t>enemy_1269_nhfly_2S</t>
  </si>
  <si>
    <t>腐败之种出场不待机</t>
  </si>
  <si>
    <t>enemy_1270_nhstlk</t>
  </si>
  <si>
    <t>nhstlk</t>
  </si>
  <si>
    <t>逐腐兽</t>
  </si>
  <si>
    <t>普通,近战,法术造物</t>
  </si>
  <si>
    <t>enemy_1270_nhstlk_2</t>
  </si>
  <si>
    <t>nhstlk_2</t>
  </si>
  <si>
    <t>疯狂的逐腐兽</t>
  </si>
  <si>
    <t>enemy_1271_nhkodo</t>
  </si>
  <si>
    <t>nhkodo</t>
  </si>
  <si>
    <t>萨卡兹枯朽吞噬者</t>
  </si>
  <si>
    <t>Die_A</t>
  </si>
  <si>
    <t>enemy_1271_nhkodo_2</t>
  </si>
  <si>
    <t>nhkodo_2</t>
  </si>
  <si>
    <t>萨卡兹枯朽吸纳者</t>
  </si>
  <si>
    <t>enemy_1272_nhtank</t>
  </si>
  <si>
    <t>nhtank</t>
  </si>
  <si>
    <t>萨卡兹枯朽战车</t>
  </si>
  <si>
    <t>enemy_1272_nhtank_2</t>
  </si>
  <si>
    <t>nhtank_2</t>
  </si>
  <si>
    <t>尖端萨卡兹枯朽战车</t>
  </si>
  <si>
    <t>enemy_1273_stmgun</t>
  </si>
  <si>
    <t>stmgun</t>
  </si>
  <si>
    <t>伦蒂尼姆城防自行炮</t>
  </si>
  <si>
    <t>enemy_1273_stmgun_2</t>
  </si>
  <si>
    <t>stmgun_2</t>
  </si>
  <si>
    <t>高准度伦蒂尼姆城防自行炮</t>
  </si>
  <si>
    <t>enemy_1274_stmram</t>
  </si>
  <si>
    <t>stmram</t>
  </si>
  <si>
    <t>蒸汽战车</t>
  </si>
  <si>
    <t>enemy_1274_stmram_2</t>
  </si>
  <si>
    <t>stmram_2</t>
  </si>
  <si>
    <t>极温蒸汽战车</t>
  </si>
  <si>
    <t>enemy_1275_dwlock</t>
  </si>
  <si>
    <t>dwlock</t>
  </si>
  <si>
    <t>萨卡兹王庭军术师</t>
  </si>
  <si>
    <t>enemy_1275_dwlock_2</t>
  </si>
  <si>
    <t>dwlock_2</t>
  </si>
  <si>
    <t>萨卡兹王庭军精锐术师</t>
  </si>
  <si>
    <t>enemy_1533_stmkgt</t>
  </si>
  <si>
    <t>stmkgt</t>
  </si>
  <si>
    <t>“最后的蒸汽骑士”</t>
  </si>
  <si>
    <t>领袖,机械</t>
  </si>
  <si>
    <t>Default_A</t>
  </si>
  <si>
    <t>Die_B</t>
  </si>
  <si>
    <t>Stun_A</t>
  </si>
  <si>
    <t>enemy_1533_stmkgt_H2</t>
  </si>
  <si>
    <t>“最后的蒸汽骑士”H2</t>
  </si>
  <si>
    <t>enemy_1533_stmkgt_H4</t>
  </si>
  <si>
    <t>“最后的蒸汽骑士”H4</t>
  </si>
  <si>
    <t>领袖,机械,蒸汽骑士H4</t>
  </si>
  <si>
    <t>enemy_1276_telex</t>
  </si>
  <si>
    <t>telex</t>
  </si>
  <si>
    <t>特雷西斯</t>
  </si>
  <si>
    <t>领袖</t>
  </si>
  <si>
    <t>enemy_1266_nhapos</t>
  </si>
  <si>
    <t>nhapos</t>
  </si>
  <si>
    <t>食腐使徒</t>
  </si>
  <si>
    <t>enemy_1266_nhapos_2</t>
  </si>
  <si>
    <t>渴血食腐使徒</t>
  </si>
  <si>
    <t>enemy_1266_nhaposF</t>
  </si>
  <si>
    <t>食腐使徒F</t>
  </si>
  <si>
    <t>enemy_1266_nhapos_2F</t>
  </si>
  <si>
    <t>渴血食腐使徒F</t>
  </si>
  <si>
    <t>enemy_1277_sgman</t>
  </si>
  <si>
    <t>sgman</t>
  </si>
  <si>
    <t>家族士兵</t>
  </si>
  <si>
    <t>enemy_1277_sgman_2</t>
  </si>
  <si>
    <t>sgman_2</t>
  </si>
  <si>
    <t>1277</t>
  </si>
  <si>
    <t>家族精英士兵</t>
  </si>
  <si>
    <t>enemy_1278_sgbow</t>
  </si>
  <si>
    <t>sgbow</t>
  </si>
  <si>
    <t>1278</t>
  </si>
  <si>
    <t>家族弩手</t>
  </si>
  <si>
    <t>enemy_1278_sgbow_2</t>
  </si>
  <si>
    <t>sgbow_2</t>
  </si>
  <si>
    <t>家族精英弩手</t>
  </si>
  <si>
    <t>enemy_1279_sgbdg</t>
  </si>
  <si>
    <t>sgbdg</t>
  </si>
  <si>
    <t>1279</t>
  </si>
  <si>
    <t>家族恫吓者</t>
  </si>
  <si>
    <t>F_Chest</t>
  </si>
  <si>
    <t>enemy_1279_sgbdg_2</t>
  </si>
  <si>
    <t>sgbdg_2</t>
  </si>
  <si>
    <t>家族强暴恫吓者</t>
  </si>
  <si>
    <t>enemy_1280_sgmag</t>
  </si>
  <si>
    <t>sgmag</t>
  </si>
  <si>
    <t>家族术士</t>
  </si>
  <si>
    <t>F_Hip</t>
  </si>
  <si>
    <t>enemy_1280_sgmag_2</t>
  </si>
  <si>
    <t>sgmag_2</t>
  </si>
  <si>
    <t>1280</t>
  </si>
  <si>
    <t>家族精英术士</t>
  </si>
  <si>
    <t>enemy_1281_sgcar</t>
  </si>
  <si>
    <t>sgcar</t>
  </si>
  <si>
    <t>1281</t>
  </si>
  <si>
    <t>家族专用轿车</t>
  </si>
  <si>
    <t>Head</t>
  </si>
  <si>
    <t>enemy_1281_sgcar_2</t>
  </si>
  <si>
    <t>sgcar_2</t>
  </si>
  <si>
    <t>家族豪华轿车</t>
  </si>
  <si>
    <t>enemy_1282_sgelder</t>
  </si>
  <si>
    <t>sgelder</t>
  </si>
  <si>
    <t>1282</t>
  </si>
  <si>
    <t>家族角头</t>
  </si>
  <si>
    <t>C_Body_01</t>
  </si>
  <si>
    <t>enemy_1282_sgelder_2</t>
  </si>
  <si>
    <t>sgelder_2</t>
  </si>
  <si>
    <t>家族铁腕角头</t>
  </si>
  <si>
    <t>enemy_1283_sgkill</t>
  </si>
  <si>
    <t>sgkill</t>
  </si>
  <si>
    <t>1283</t>
  </si>
  <si>
    <t>家族灭迹人</t>
  </si>
  <si>
    <t>enemy_1283_sgkill_2</t>
  </si>
  <si>
    <t>sgkill_2</t>
  </si>
  <si>
    <t>家族暗影灭迹人</t>
  </si>
  <si>
    <t>enemy_1284_sgprst</t>
  </si>
  <si>
    <t>sgprst</t>
  </si>
  <si>
    <t>1284</t>
  </si>
  <si>
    <t>阿格尼尔神父</t>
  </si>
  <si>
    <t>Chest</t>
  </si>
  <si>
    <t>enemy_1285_sgwlf</t>
  </si>
  <si>
    <t>sgwlf</t>
  </si>
  <si>
    <t>“与我无关”</t>
  </si>
  <si>
    <t>普通</t>
  </si>
  <si>
    <t>enemy_1535_wlfmster</t>
  </si>
  <si>
    <t>wlfmster</t>
  </si>
  <si>
    <t>1535</t>
  </si>
  <si>
    <t>扎罗，“狼之主”</t>
  </si>
  <si>
    <t>领袖,近战,狼之主</t>
  </si>
  <si>
    <t>A_Default</t>
  </si>
  <si>
    <t>enemy_3004_speople</t>
  </si>
  <si>
    <t>speople</t>
  </si>
  <si>
    <t>3004</t>
  </si>
  <si>
    <t>叙拉古平民</t>
  </si>
  <si>
    <t>刁民,中立单位</t>
  </si>
  <si>
    <t>&lt;@eb.key&gt;友好单位&lt;/&gt;看上去像是意外闯入的叙拉古平民，明明战斗前已经疏散了群众，他们还是误入了激烈的战场。不知为何，只要他们出了意外，所有人的怒火就会降临在你身上。</t>
  </si>
  <si>
    <t>enemy_1286_dumcy</t>
  </si>
  <si>
    <t>dumcy</t>
  </si>
  <si>
    <t>特别行动队士兵</t>
  </si>
  <si>
    <t>enemy_1286_dumcy_2</t>
  </si>
  <si>
    <t>dumcy_2</t>
  </si>
  <si>
    <t>特别行动队队长</t>
  </si>
  <si>
    <t>enemy_1287_ducrb</t>
  </si>
  <si>
    <t>ducrb</t>
  </si>
  <si>
    <t>沼泽钳兽</t>
  </si>
  <si>
    <t>普通,近战,感染生物,沼泽适应</t>
  </si>
  <si>
    <t>enemy_1287_ducrb_2</t>
  </si>
  <si>
    <t>ducrb_2</t>
  </si>
  <si>
    <t>狂暴沼泽钳兽</t>
  </si>
  <si>
    <t>enemy_1288_duskls</t>
  </si>
  <si>
    <t>duskls</t>
  </si>
  <si>
    <t>深池逐火战士</t>
  </si>
  <si>
    <t>普通,近战,余烬,逐火战士</t>
  </si>
  <si>
    <t>enemy_1288_duskls_2</t>
  </si>
  <si>
    <t>duskls_2</t>
  </si>
  <si>
    <t>深池逐火精锐战士</t>
  </si>
  <si>
    <t>普通,近战,余烬EX,逐火战士</t>
  </si>
  <si>
    <t>enemy_1289_dubmb</t>
  </si>
  <si>
    <t>dubmb</t>
  </si>
  <si>
    <t>深池弩炮手</t>
  </si>
  <si>
    <t>enemy_1289_dubmb_2</t>
  </si>
  <si>
    <t>dubmb_2</t>
  </si>
  <si>
    <t>深池弩炮队长</t>
  </si>
  <si>
    <t>enemy_1290_duflm</t>
  </si>
  <si>
    <t>duflm</t>
  </si>
  <si>
    <t>深池引火者</t>
  </si>
  <si>
    <t>enemy_1290_duflm_2</t>
  </si>
  <si>
    <t>duflm_2</t>
  </si>
  <si>
    <t>深池引火者队长</t>
  </si>
  <si>
    <t>enemy_1291_dusrch</t>
  </si>
  <si>
    <t>dusrch</t>
  </si>
  <si>
    <t>沼泽探照车</t>
  </si>
  <si>
    <t>enemy_1291_dusrch_2</t>
  </si>
  <si>
    <t>dusrch_2</t>
  </si>
  <si>
    <t>重型沼泽探照车</t>
  </si>
  <si>
    <t>enemy_1292_duskld</t>
  </si>
  <si>
    <t>duskld</t>
  </si>
  <si>
    <t>深池逐火护卫</t>
  </si>
  <si>
    <t>精英,近战,逐火战士</t>
  </si>
  <si>
    <t>enemy_1292_duskld_2</t>
  </si>
  <si>
    <t>duskld_2</t>
  </si>
  <si>
    <t>深池逐火精锐护卫</t>
  </si>
  <si>
    <t>enemy_1293_duswrd</t>
  </si>
  <si>
    <t>duswrd</t>
  </si>
  <si>
    <t>深池护卫队成员</t>
  </si>
  <si>
    <t>enemy_1293_duswrd_2</t>
  </si>
  <si>
    <t>duswrd_2</t>
  </si>
  <si>
    <t>深池护卫队精锐成员</t>
  </si>
  <si>
    <t>enemy_1293_duswrd_3</t>
  </si>
  <si>
    <t>duswrd_3</t>
  </si>
  <si>
    <t>“校官”</t>
  </si>
  <si>
    <t>enemy_1536_ncrmcr</t>
  </si>
  <si>
    <t>ncrmcr</t>
  </si>
  <si>
    <t>“领袖”</t>
  </si>
  <si>
    <t>Idle_a</t>
  </si>
  <si>
    <t>Move_a</t>
  </si>
  <si>
    <t>enemy_1536_ncrmcreX</t>
  </si>
  <si>
    <t>“领袖”EX</t>
  </si>
  <si>
    <t>enemy_1288_dusklsF</t>
  </si>
  <si>
    <t>怨恨的余烬</t>
  </si>
  <si>
    <t>普通,余烬,逐火战士</t>
  </si>
  <si>
    <t>enemy_1288_duskls_2F</t>
  </si>
  <si>
    <t>暴怒的余烬</t>
  </si>
  <si>
    <t>普通,余烬EX,逐火战士</t>
  </si>
  <si>
    <t>enemy_1295_ymph</t>
  </si>
  <si>
    <t>ymph</t>
  </si>
  <si>
    <t>谛兽</t>
  </si>
  <si>
    <t>C_Body</t>
  </si>
  <si>
    <t>enemy_1295_ymph_2</t>
  </si>
  <si>
    <t>ymph_2</t>
  </si>
  <si>
    <t>躁怒谛兽</t>
  </si>
  <si>
    <t>enemy_1296_ymknif</t>
  </si>
  <si>
    <t>ymknif</t>
  </si>
  <si>
    <t>山海众散兵</t>
  </si>
  <si>
    <t>enemy_1296_ymknif_2</t>
  </si>
  <si>
    <t>ymknif_2</t>
  </si>
  <si>
    <t>山海众游勇</t>
  </si>
  <si>
    <t>enemy_1297_ymflag</t>
  </si>
  <si>
    <t>ymflag</t>
  </si>
  <si>
    <t>山海众传令手</t>
  </si>
  <si>
    <t>C_Waist</t>
  </si>
  <si>
    <t>普通,近战,山海众传令兵</t>
  </si>
  <si>
    <t>enemy_1297_ymflag_2</t>
  </si>
  <si>
    <t>ymflag_2</t>
  </si>
  <si>
    <t>山海众掌令使</t>
  </si>
  <si>
    <t>enemy_1298_ymmonk</t>
  </si>
  <si>
    <t>ymmonk</t>
  </si>
  <si>
    <t>山海众冒矢者</t>
  </si>
  <si>
    <t>C_Hips</t>
  </si>
  <si>
    <t>enemy_1298_ymmonk_2</t>
  </si>
  <si>
    <t>ymmonk_2</t>
  </si>
  <si>
    <t>山海众连阵者</t>
  </si>
  <si>
    <t>enemy_1299_ymkilr</t>
  </si>
  <si>
    <t>ymkilr</t>
  </si>
  <si>
    <t>山海众头目</t>
  </si>
  <si>
    <t>enemy_1299_ymkilr_2</t>
  </si>
  <si>
    <t>ymkilr_2</t>
  </si>
  <si>
    <t>山海众秘使</t>
  </si>
  <si>
    <t>enemy_1300_ymmir</t>
  </si>
  <si>
    <t>ymmir</t>
  </si>
  <si>
    <t>山海众窥魅人</t>
  </si>
  <si>
    <t>enemy_1300_ymmir_2</t>
  </si>
  <si>
    <t>ymmir_2</t>
  </si>
  <si>
    <t>山海众司魅人</t>
  </si>
  <si>
    <t>enemy_1301_ymcnon</t>
  </si>
  <si>
    <t>ymcnon</t>
  </si>
  <si>
    <t>“破坚”</t>
  </si>
  <si>
    <t>C_C_c</t>
  </si>
  <si>
    <t>enemy_1301_ymcnon_2</t>
  </si>
  <si>
    <t>ymcnon_2</t>
  </si>
  <si>
    <t>“碎壁”</t>
  </si>
  <si>
    <t>enemy_1302_ymtro</t>
  </si>
  <si>
    <t>ymtro</t>
  </si>
  <si>
    <t>“履平沙”</t>
  </si>
  <si>
    <t>22</t>
  </si>
  <si>
    <t>enemy_1302_ymtro_2</t>
  </si>
  <si>
    <t>ymtro_2</t>
  </si>
  <si>
    <t>“越长尘”</t>
  </si>
  <si>
    <t>enemy_1538_ymmons</t>
  </si>
  <si>
    <t>ymmons</t>
  </si>
  <si>
    <t>“睚”</t>
  </si>
  <si>
    <t>领袖,近战,睚</t>
  </si>
  <si>
    <t>C2_Die</t>
  </si>
  <si>
    <t>蜃景</t>
  </si>
  <si>
    <t>C2_Idle</t>
  </si>
  <si>
    <t>C2_Move</t>
  </si>
  <si>
    <t>妄境</t>
  </si>
  <si>
    <t>enemy_1538_ymmonseX</t>
  </si>
  <si>
    <t>“睚”EX</t>
  </si>
  <si>
    <t>enemy_1303_mhshep</t>
  </si>
  <si>
    <t>mhshep</t>
  </si>
  <si>
    <t>角兽</t>
  </si>
  <si>
    <t>普通,近战,角兽</t>
  </si>
  <si>
    <t>enemy_1303_mhshep_2</t>
  </si>
  <si>
    <t>mhshep_2</t>
  </si>
  <si>
    <t>亢角兽</t>
  </si>
  <si>
    <t>enemy_1303_mhshepeX</t>
  </si>
  <si>
    <t>不待机角兽</t>
  </si>
  <si>
    <t>enemy_1303_mhshep_2eX</t>
  </si>
  <si>
    <t>不待机亢角兽</t>
  </si>
  <si>
    <t>enemy_1304_mhwolf</t>
  </si>
  <si>
    <t>mhwolf</t>
  </si>
  <si>
    <t>鬣犄兽</t>
  </si>
  <si>
    <t>enemy_1304_mhwolf_2</t>
  </si>
  <si>
    <t>mhwolf_2</t>
  </si>
  <si>
    <t>利齿鬣犄兽</t>
  </si>
  <si>
    <t>enemy_1305_mhslim</t>
  </si>
  <si>
    <t>mhslim</t>
  </si>
  <si>
    <t>灼热源石虫</t>
  </si>
  <si>
    <t>enemy_1305_mhslim_2</t>
  </si>
  <si>
    <t>mhslim_2</t>
  </si>
  <si>
    <t>炽焰源石虫</t>
  </si>
  <si>
    <t>enemy_1306_mhtrtl</t>
  </si>
  <si>
    <t>mhtrtl</t>
  </si>
  <si>
    <t>硬甲爪兽</t>
  </si>
  <si>
    <t>普通,近战,爪兽</t>
  </si>
  <si>
    <t>enemy_1306_mhtrtl_2</t>
  </si>
  <si>
    <t>mhtrtl_2</t>
  </si>
  <si>
    <t>刚甲爪兽</t>
  </si>
  <si>
    <t>enemy_1307_mhrhcr</t>
  </si>
  <si>
    <t>mhrhcr</t>
  </si>
  <si>
    <t>岩冠兽</t>
  </si>
  <si>
    <t>普通,近战,冠兽</t>
  </si>
  <si>
    <t>enemy_1307_mhrhcr_2</t>
  </si>
  <si>
    <t>mhrhcr_2</t>
  </si>
  <si>
    <t>坚岩冠兽</t>
  </si>
  <si>
    <t>enemy_1308_mheagl</t>
  </si>
  <si>
    <t>mheagl</t>
  </si>
  <si>
    <t>锋羽兽</t>
  </si>
  <si>
    <t>Default_B</t>
  </si>
  <si>
    <t>Idle_B</t>
  </si>
  <si>
    <t>Move_B</t>
  </si>
  <si>
    <t>Land_B,Stun</t>
  </si>
  <si>
    <t>enemy_1308_mheagl_2</t>
  </si>
  <si>
    <t>mheagl_2</t>
  </si>
  <si>
    <t>迅猛锋羽兽</t>
  </si>
  <si>
    <t>enemy_1308_mheagleX</t>
  </si>
  <si>
    <t>锋羽兽EX</t>
  </si>
  <si>
    <t>enemy_1308_mheagl_2eX</t>
  </si>
  <si>
    <t>迅猛锋羽兽EX</t>
  </si>
  <si>
    <t>enemy_1309_mhboar</t>
  </si>
  <si>
    <t>mhboar</t>
  </si>
  <si>
    <t>凶豕兽</t>
  </si>
  <si>
    <t>enemy_1309_mhboar_2</t>
  </si>
  <si>
    <t>mhboar_2</t>
  </si>
  <si>
    <t>狂暴凶豕兽</t>
  </si>
  <si>
    <t>enemy_1310_mhprpn</t>
  </si>
  <si>
    <t>mhprpn</t>
  </si>
  <si>
    <t>棘兽</t>
  </si>
  <si>
    <t>enemy_1310_mhprpn_2</t>
  </si>
  <si>
    <t>mhprpn_2</t>
  </si>
  <si>
    <t>箭棘兽</t>
  </si>
  <si>
    <t>enemy_1311_mhkryk</t>
  </si>
  <si>
    <t>mhkryk</t>
  </si>
  <si>
    <t>狡兽</t>
  </si>
  <si>
    <t>精英,近战,狡兽</t>
  </si>
  <si>
    <t>enemy_1311_mhkryk_2</t>
  </si>
  <si>
    <t>mhkryk_2</t>
  </si>
  <si>
    <t>恶狡兽</t>
  </si>
  <si>
    <t>enemy_1537_mhrors</t>
  </si>
  <si>
    <t>mhrors</t>
  </si>
  <si>
    <t>火龙</t>
  </si>
  <si>
    <t>enemy_1539_reid</t>
  </si>
  <si>
    <t>reid</t>
  </si>
  <si>
    <t>“复仇者”</t>
  </si>
  <si>
    <t>领袖,近战,雷德</t>
  </si>
  <si>
    <t>enemy_1313_wdfmr</t>
  </si>
  <si>
    <t>wdfmr</t>
  </si>
  <si>
    <t>诺伯特平民</t>
  </si>
  <si>
    <t>enemy_1313_wdfmr_2</t>
  </si>
  <si>
    <t>诺伯特暗探</t>
  </si>
  <si>
    <t>enemy_1314_wdnjd</t>
  </si>
  <si>
    <t>wdnjd</t>
  </si>
  <si>
    <t>寻路密探</t>
  </si>
  <si>
    <t>enemy_1314_wdnjd_2</t>
  </si>
  <si>
    <t>wdnjd_2</t>
  </si>
  <si>
    <t>寻路密探长</t>
  </si>
  <si>
    <t>enemy_1315_wdyjd</t>
  </si>
  <si>
    <t>wdyjd</t>
  </si>
  <si>
    <t>岗哨密探</t>
  </si>
  <si>
    <t>enemy_1315_wdyjd_2</t>
  </si>
  <si>
    <t>wdyjd_2</t>
  </si>
  <si>
    <t>岗哨密探长</t>
  </si>
  <si>
    <t>enemy_1316_wdpjd</t>
  </si>
  <si>
    <t>wdpjd</t>
  </si>
  <si>
    <t>武装密探</t>
  </si>
  <si>
    <t>enemy_1316_wdpjd_2</t>
  </si>
  <si>
    <t>wdpjd_2</t>
  </si>
  <si>
    <t>武装密探长</t>
  </si>
  <si>
    <t>enemy_1317_wdexg</t>
  </si>
  <si>
    <t>wdexg</t>
  </si>
  <si>
    <t>萨卡兹悖谬谍报官</t>
  </si>
  <si>
    <t>enemy_1317_wdexg_2</t>
  </si>
  <si>
    <t>wdexg_2</t>
  </si>
  <si>
    <t>萨卡兹悖谬谍报长</t>
  </si>
  <si>
    <t>enemy_1318_wdsmgc</t>
  </si>
  <si>
    <t>wdsmgc</t>
  </si>
  <si>
    <t>萨卡兹悖谬裂变学徒</t>
  </si>
  <si>
    <t>enemy_1318_wdsmgc_2</t>
  </si>
  <si>
    <t>wdsmgc_2</t>
  </si>
  <si>
    <t>萨卡兹悖谬裂变术师</t>
  </si>
  <si>
    <t>enemy_1319_wdfmpm</t>
  </si>
  <si>
    <t>wdfmpm</t>
  </si>
  <si>
    <t>叛乱煽动者</t>
  </si>
  <si>
    <t>enemy_1319_wdfmpm_2</t>
  </si>
  <si>
    <t>wdfmpm_2</t>
  </si>
  <si>
    <t>叛乱鼓动者</t>
  </si>
  <si>
    <t>enemy_1320_wdrrl</t>
  </si>
  <si>
    <t>wdrrl</t>
  </si>
  <si>
    <t>萨卡兹悖谬暴虐兵</t>
  </si>
  <si>
    <t>enemy_1320_wdrrl_2</t>
  </si>
  <si>
    <t>wdrrl_2</t>
  </si>
  <si>
    <t>萨卡兹悖谬暴虐兵长</t>
  </si>
  <si>
    <t>enemy_1321_wdarft</t>
  </si>
  <si>
    <t>wdarft</t>
  </si>
  <si>
    <t>枯朽萃聚使徒</t>
  </si>
  <si>
    <t>enemy_1321_wdarft_2</t>
  </si>
  <si>
    <t>wdarft_2</t>
  </si>
  <si>
    <t>腐败萃聚使徒</t>
  </si>
  <si>
    <t>enemy_1322_wdgyht</t>
  </si>
  <si>
    <t>wdgyht</t>
  </si>
  <si>
    <t>“灰礼帽”</t>
  </si>
  <si>
    <t>enemy_1322_wdgyht_2</t>
  </si>
  <si>
    <t>wdgyht_2</t>
  </si>
  <si>
    <t>“见习灰礼帽”</t>
  </si>
  <si>
    <t>enemy_1323_wdbshd</t>
  </si>
  <si>
    <t>wdbshd</t>
  </si>
  <si>
    <t>解构畸变体</t>
  </si>
  <si>
    <t>精英,远程,解构畸变体</t>
  </si>
  <si>
    <t>enemy_1324_wdsdw</t>
  </si>
  <si>
    <t>wdsdw</t>
  </si>
  <si>
    <t>悖谬裂变学徒虚像</t>
  </si>
  <si>
    <t>enemy_1324_wdsdw_2</t>
  </si>
  <si>
    <t>wdsdw_2</t>
  </si>
  <si>
    <t>悖谬裂变术师虚像</t>
  </si>
  <si>
    <t>enemy_1542_wdslm</t>
  </si>
  <si>
    <t>wdslm</t>
  </si>
  <si>
    <t>“变形者集群”</t>
  </si>
  <si>
    <t>领袖,近战,变形者集群</t>
  </si>
  <si>
    <t>2_Die_2</t>
  </si>
  <si>
    <t>enemy_1542_wdslmH3</t>
  </si>
  <si>
    <t>“变形者集群”H3</t>
  </si>
  <si>
    <t>enemy_1542_wdslmH4</t>
  </si>
  <si>
    <t>“变形者集群”H4</t>
  </si>
  <si>
    <t>enemy_1542_wdslm_S</t>
  </si>
  <si>
    <t>变形者集群分身</t>
  </si>
  <si>
    <t>领袖,近战,变形者集群,变形者集群分身</t>
  </si>
  <si>
    <t>enemy_1542_wdslm_SH</t>
  </si>
  <si>
    <t>变形者集群分身H</t>
  </si>
  <si>
    <t>enemy_1542_wdslm_P2</t>
  </si>
  <si>
    <t>变形者集群特殊分身</t>
  </si>
  <si>
    <t>2_Idle</t>
  </si>
  <si>
    <t>2_Move</t>
  </si>
  <si>
    <t>2_Die_Begin</t>
  </si>
  <si>
    <t>enemy_1542_wdslm_P2S</t>
  </si>
  <si>
    <t>变形者集群分身召唤</t>
  </si>
  <si>
    <t>enemy_1325_cbgpro</t>
  </si>
  <si>
    <t>cbgpro</t>
  </si>
  <si>
    <t>军用猎狗</t>
  </si>
  <si>
    <t>enemy_1325_cbgpro_2</t>
  </si>
  <si>
    <t>cbgpro_2</t>
  </si>
  <si>
    <t>高级军用猎狗</t>
  </si>
  <si>
    <t>enemy_1326_cbagen</t>
  </si>
  <si>
    <t>cbagen</t>
  </si>
  <si>
    <t>特里蒙城防军</t>
  </si>
  <si>
    <t>C_Chest</t>
  </si>
  <si>
    <t>enemy_1326_cbagen_2</t>
  </si>
  <si>
    <t>cbagen_2</t>
  </si>
  <si>
    <t>特里蒙城防军队长</t>
  </si>
  <si>
    <t>enemy_1327_cbrokt</t>
  </si>
  <si>
    <t>cbrokt</t>
  </si>
  <si>
    <t>弧光突击队</t>
  </si>
  <si>
    <t>Default_1</t>
  </si>
  <si>
    <t>enemy_1327_cbrokt_2</t>
  </si>
  <si>
    <t>cbrokt_2</t>
  </si>
  <si>
    <t>弧光突击队队长</t>
  </si>
  <si>
    <t>enemy_1328_cbjedi</t>
  </si>
  <si>
    <t>cbjedi</t>
  </si>
  <si>
    <t>弧光锋卫</t>
  </si>
  <si>
    <t>enemy_1328_cbjedi_2</t>
  </si>
  <si>
    <t>cbjedi_2</t>
  </si>
  <si>
    <t>弧光锋卫长</t>
  </si>
  <si>
    <t>enemy_1329_cbshld</t>
  </si>
  <si>
    <t>cbshld</t>
  </si>
  <si>
    <t>弧光镜卫</t>
  </si>
  <si>
    <t>enemy_1329_cbshld_2</t>
  </si>
  <si>
    <t>cbshld_2</t>
  </si>
  <si>
    <t>弧光镜卫长</t>
  </si>
  <si>
    <t>enemy_1330_cbrush</t>
  </si>
  <si>
    <t>cbrush</t>
  </si>
  <si>
    <t>“肇事者”量产型</t>
  </si>
  <si>
    <t>enemy_1330_cbrush_2</t>
  </si>
  <si>
    <t>cbrush_2</t>
  </si>
  <si>
    <t>“肇事者”试做型</t>
  </si>
  <si>
    <t>enemy_1331_cbsisy</t>
  </si>
  <si>
    <t>cbsisy</t>
  </si>
  <si>
    <t>“十字路口”量产型</t>
  </si>
  <si>
    <t>C_Body3</t>
  </si>
  <si>
    <t>enemy_1331_cbsisy_2</t>
  </si>
  <si>
    <t>cbsisy_2</t>
  </si>
  <si>
    <t>“十字路口”试做型</t>
  </si>
  <si>
    <t>enemy_1332_cbterm</t>
  </si>
  <si>
    <t>cbterm</t>
  </si>
  <si>
    <t>“交通亭”量产型</t>
  </si>
  <si>
    <t>enemy_1332_cbterm_2</t>
  </si>
  <si>
    <t>cbterm_2</t>
  </si>
  <si>
    <t>“交通亭”试做型</t>
  </si>
  <si>
    <t>enemy_1332_cbtermeX</t>
  </si>
  <si>
    <t>“交通亭”量产型EX</t>
  </si>
  <si>
    <t>enemy_1332_cbterm_2eX</t>
  </si>
  <si>
    <t>“交通亭”试做型EX</t>
  </si>
  <si>
    <t>enemy_1333_cbbgen</t>
  </si>
  <si>
    <t>cbbgen</t>
  </si>
  <si>
    <t>“交通警察”</t>
  </si>
  <si>
    <t>enemy_1333_cbbgen_2</t>
  </si>
  <si>
    <t>cbbgen_2</t>
  </si>
  <si>
    <t>“交通警长”</t>
  </si>
  <si>
    <t>enemy_1543_cstlrs</t>
  </si>
  <si>
    <t>cstlrs</t>
  </si>
  <si>
    <t>克丽斯滕</t>
  </si>
  <si>
    <t>领袖,远程,孤星重力免疫</t>
  </si>
  <si>
    <t>enemy_1335_bldrat</t>
  </si>
  <si>
    <t>bldrat</t>
  </si>
  <si>
    <t>啮齿兽</t>
  </si>
  <si>
    <t>enemy_1335_bldrat_2</t>
  </si>
  <si>
    <t>bldrat_2</t>
  </si>
  <si>
    <t>饥饿啮齿兽</t>
  </si>
  <si>
    <t>enemy_1336_bldbat</t>
  </si>
  <si>
    <t>bldbat</t>
  </si>
  <si>
    <t>伏翼兽</t>
  </si>
  <si>
    <t>C_R_Wing</t>
  </si>
  <si>
    <t>enemy_1336_bldbat_2</t>
  </si>
  <si>
    <t>bldbat_2</t>
  </si>
  <si>
    <t>惊躁伏翼兽</t>
  </si>
  <si>
    <t>enemy_1337_bhrknf</t>
  </si>
  <si>
    <t>bhrknf</t>
  </si>
  <si>
    <t>荒原窃盗者</t>
  </si>
  <si>
    <t>enemy_1337_bhrknf_2</t>
  </si>
  <si>
    <t>bhrknf_2</t>
  </si>
  <si>
    <t>荒原窃盗者精英</t>
  </si>
  <si>
    <t>enemy_1338_bhrjst</t>
  </si>
  <si>
    <t>bhrjst</t>
  </si>
  <si>
    <t>荒原潜伏者</t>
  </si>
  <si>
    <t>enemy_1338_bhrjst_2</t>
  </si>
  <si>
    <t>bhrjst_2</t>
  </si>
  <si>
    <t>荒原潜伏者精英</t>
  </si>
  <si>
    <t>enemy_1339_bhrgrd</t>
  </si>
  <si>
    <t>bhrgrd</t>
  </si>
  <si>
    <t>荒原劫掠者</t>
  </si>
  <si>
    <t>enemy_1339_bhrgrd_2</t>
  </si>
  <si>
    <t>bhrgrd_2</t>
  </si>
  <si>
    <t>荒原劫掠者精英</t>
  </si>
  <si>
    <t>enemy_1340_bthtbw</t>
  </si>
  <si>
    <t>bthtbw</t>
  </si>
  <si>
    <t>赏金猎人弩手</t>
  </si>
  <si>
    <t>enemy_1340_bthtbw_2</t>
  </si>
  <si>
    <t>bthtbw_2</t>
  </si>
  <si>
    <t>赏金猎人弩手队长</t>
  </si>
  <si>
    <t>enemy_1341_bthtms</t>
  </si>
  <si>
    <t>bthtms</t>
  </si>
  <si>
    <t>赏金猎人扰乱者</t>
  </si>
  <si>
    <t>enemy_1341_bthtms_2</t>
  </si>
  <si>
    <t>bthtms_2</t>
  </si>
  <si>
    <t>赏金猎人扰乱者队长</t>
  </si>
  <si>
    <t>enemy_1342_frtuna</t>
  </si>
  <si>
    <t>frtuna</t>
  </si>
  <si>
    <t>堕天使福尔图娜</t>
  </si>
  <si>
    <t>enemy_3005_lpeoplS</t>
  </si>
  <si>
    <t>lpeopl</t>
  </si>
  <si>
    <t>enemy_3005_lpeopl</t>
  </si>
  <si>
    <t>修道院居民</t>
  </si>
  <si>
    <t>普通,刁民,中立单位,修道院居民</t>
  </si>
  <si>
    <t>enemy_3005_lpeoplSS</t>
  </si>
  <si>
    <t>修道院居民（花匠）</t>
  </si>
  <si>
    <t>enemy_1544_cledubS</t>
  </si>
  <si>
    <t>cledub</t>
  </si>
  <si>
    <t>enemy_1544_cledub</t>
  </si>
  <si>
    <t>“花匠”</t>
  </si>
  <si>
    <t>领袖,刁民,中立单位</t>
  </si>
  <si>
    <t>enemy_1344_ddlamb</t>
  </si>
  <si>
    <t>ddlamb</t>
  </si>
  <si>
    <t>温泉“淘气包”</t>
  </si>
  <si>
    <t>普通,近战,温泉淘气包</t>
  </si>
  <si>
    <t>enemy_1344_ddlamb_2</t>
  </si>
  <si>
    <t>ddlamb_2</t>
  </si>
  <si>
    <t>温泉“乐淘淘气包”</t>
  </si>
  <si>
    <t>普通,近战,温泉淘气包2</t>
  </si>
  <si>
    <t>enemy_1345_tplamb</t>
  </si>
  <si>
    <t>tplamb</t>
  </si>
  <si>
    <t>风情街“操盘手”</t>
  </si>
  <si>
    <t>普通,远程,温泉操盘手</t>
  </si>
  <si>
    <t>enemy_1345_tplamb_2</t>
  </si>
  <si>
    <t>tplamb_2</t>
  </si>
  <si>
    <t>风情街“健美操盘手”</t>
  </si>
  <si>
    <t>普通,远程,温泉操盘手2</t>
  </si>
  <si>
    <t>enemy_1346_ynshp</t>
  </si>
  <si>
    <t>ynshp</t>
  </si>
  <si>
    <t>温泉“流浪汉”</t>
  </si>
  <si>
    <t>enemy_1346_ynshp_2</t>
  </si>
  <si>
    <t>ynshp_2</t>
  </si>
  <si>
    <t>温泉“泥石流浪汉”</t>
  </si>
  <si>
    <t>enemy_1347_fyshp</t>
  </si>
  <si>
    <t>fyshp</t>
  </si>
  <si>
    <t>风情街“飞空员”</t>
  </si>
  <si>
    <t>enemy_1347_fyshp_2</t>
  </si>
  <si>
    <t>fyshp_2</t>
  </si>
  <si>
    <t>风情街“满天飞空员”</t>
  </si>
  <si>
    <t>enemy_1348_rllamb</t>
  </si>
  <si>
    <t>rllamb</t>
  </si>
  <si>
    <t>城市“风行者”</t>
  </si>
  <si>
    <t>enemy_1348_rllamb_2</t>
  </si>
  <si>
    <t>rllamb_2</t>
  </si>
  <si>
    <t>城市“龙卷风行者”</t>
  </si>
  <si>
    <t>enemy_1349_rckshp</t>
  </si>
  <si>
    <t>rckshp</t>
  </si>
  <si>
    <t>“大个子”</t>
  </si>
  <si>
    <t>enemy_1349_rckshp_2</t>
  </si>
  <si>
    <t>rckshp_2</t>
  </si>
  <si>
    <t>“大哥大个子”</t>
  </si>
  <si>
    <t>enemy_1350_mgcshp</t>
  </si>
  <si>
    <t>mgcshp</t>
  </si>
  <si>
    <t>风情街“星术师”</t>
  </si>
  <si>
    <t>enemy_1350_mgcshp_2</t>
  </si>
  <si>
    <t>mgcshp_2</t>
  </si>
  <si>
    <t>风情街“超新星术师”</t>
  </si>
  <si>
    <t>enemy_1351_yhhshp</t>
  </si>
  <si>
    <t>yhhshp</t>
  </si>
  <si>
    <t>“好朋友”</t>
  </si>
  <si>
    <t>enemy_1545_shpkg</t>
  </si>
  <si>
    <t>shpkg</t>
  </si>
  <si>
    <t>多利，“羊之主”</t>
  </si>
  <si>
    <t>领袖,远程,羊之主</t>
  </si>
  <si>
    <t>enemy_1352_eslime</t>
  </si>
  <si>
    <t>eslime</t>
  </si>
  <si>
    <t>辐能源石虫</t>
  </si>
  <si>
    <t>enemy_1352_eslime_2</t>
  </si>
  <si>
    <t>eslime_2</t>
  </si>
  <si>
    <t>enemy_1353_esabr</t>
  </si>
  <si>
    <t>esabr</t>
  </si>
  <si>
    <t>匪帮混混</t>
  </si>
  <si>
    <t>普通,近战,能量类敌人</t>
  </si>
  <si>
    <t>enemy_1353_esabr_2</t>
  </si>
  <si>
    <t>esabr_2</t>
  </si>
  <si>
    <t>匪帮混混头目</t>
  </si>
  <si>
    <t>enemy_1354_eghost</t>
  </si>
  <si>
    <t>eghost</t>
  </si>
  <si>
    <t>匪帮窃贼</t>
  </si>
  <si>
    <t>普通,能量类敌人</t>
  </si>
  <si>
    <t>enemy_1354_eghost_2</t>
  </si>
  <si>
    <t>eghost_2</t>
  </si>
  <si>
    <t>匪帮窃贼头目</t>
  </si>
  <si>
    <t>enemy_1355_mrfly</t>
  </si>
  <si>
    <t>mrfly</t>
  </si>
  <si>
    <t>护障</t>
  </si>
  <si>
    <t>C_A3</t>
  </si>
  <si>
    <t>普通,无人机</t>
  </si>
  <si>
    <t>enemy_1355_mrfly_2</t>
  </si>
  <si>
    <t>mrfly_2</t>
  </si>
  <si>
    <t>护障·P</t>
  </si>
  <si>
    <t>enemy_1356_egun</t>
  </si>
  <si>
    <t>egun</t>
  </si>
  <si>
    <t>匪帮射手</t>
  </si>
  <si>
    <t>精英,远程,能量类敌人</t>
  </si>
  <si>
    <t>enemy_1356_egun_2</t>
  </si>
  <si>
    <t>egun_2</t>
  </si>
  <si>
    <t>匪帮射手头目</t>
  </si>
  <si>
    <t>enemy_1357_erob</t>
  </si>
  <si>
    <t>erob</t>
  </si>
  <si>
    <t>匪帮斧手</t>
  </si>
  <si>
    <t>精英,近战,能量类敌人</t>
  </si>
  <si>
    <t>enemy_1357_erob_2</t>
  </si>
  <si>
    <t>erob_2</t>
  </si>
  <si>
    <t>匪帮斧手头目</t>
  </si>
  <si>
    <t>enemy_1358_esheld</t>
  </si>
  <si>
    <t>esheld</t>
  </si>
  <si>
    <t>匪帮防御者</t>
  </si>
  <si>
    <t>enemy_1358_esheld_2</t>
  </si>
  <si>
    <t>esheld_2</t>
  </si>
  <si>
    <t>匪帮防御者头目</t>
  </si>
  <si>
    <t>enemy_1359_ekulsr</t>
  </si>
  <si>
    <t>ekulsr</t>
  </si>
  <si>
    <t>匪帮轰击者</t>
  </si>
  <si>
    <t>enemy_1359_ekulsr_2</t>
  </si>
  <si>
    <t>ekulsr_2</t>
  </si>
  <si>
    <t>匪帮轰击者头目</t>
  </si>
  <si>
    <t>enemy_1546_cliff</t>
  </si>
  <si>
    <t>cliff</t>
  </si>
  <si>
    <t>“桥夹”克里夫</t>
  </si>
  <si>
    <t>Common</t>
  </si>
  <si>
    <t>enemy_1360_dfello</t>
  </si>
  <si>
    <t>dfello</t>
  </si>
  <si>
    <t>新生血裔</t>
  </si>
  <si>
    <t>enemy_1360_dfello_0</t>
  </si>
  <si>
    <t>enemy_1361_dthrow</t>
  </si>
  <si>
    <t>dthrow</t>
  </si>
  <si>
    <t>萨卡兹子裔轰击者</t>
  </si>
  <si>
    <t>普通,远程,萨卡兹,日晕眷属</t>
  </si>
  <si>
    <t>enemy_1361_dthrow_2</t>
  </si>
  <si>
    <t>dthrow_2</t>
  </si>
  <si>
    <t>萨卡兹子裔毁击者</t>
  </si>
  <si>
    <t>enemy_1362_dfat</t>
  </si>
  <si>
    <t>dfat</t>
  </si>
  <si>
    <t>萨卡兹子裔责罚者</t>
  </si>
  <si>
    <t>精英,近战,萨卡兹,日晕眷属</t>
  </si>
  <si>
    <t>enemy_1362_dfat_2</t>
  </si>
  <si>
    <t>dfat_2</t>
  </si>
  <si>
    <t>萨卡兹子裔惩戒者</t>
  </si>
  <si>
    <t>enemy_1363_spnshd</t>
  </si>
  <si>
    <t>spnshd</t>
  </si>
  <si>
    <t>萨卡兹骸骨卫士</t>
  </si>
  <si>
    <t>C_Chest_C</t>
  </si>
  <si>
    <t>enemy_1363_spnshd_2</t>
  </si>
  <si>
    <t>spnshd_2</t>
  </si>
  <si>
    <t>萨卡兹骸骨卫士长</t>
  </si>
  <si>
    <t>enemy_1364_spnaxe</t>
  </si>
  <si>
    <t>spnaxe</t>
  </si>
  <si>
    <t>萨卡兹骸骨鞭笞者</t>
  </si>
  <si>
    <t>C_Cloak_02</t>
  </si>
  <si>
    <t>enemy_1364_spnaxe_2</t>
  </si>
  <si>
    <t>spnaxe_2</t>
  </si>
  <si>
    <t>萨卡兹骸骨拷打者</t>
  </si>
  <si>
    <t>enemy_1365_spnwiz</t>
  </si>
  <si>
    <t>spnwiz</t>
  </si>
  <si>
    <t>萨卡兹骸骨漂泊术师</t>
  </si>
  <si>
    <t>C_Hand_A5</t>
  </si>
  <si>
    <t>enemy_1365_spnwiz_2</t>
  </si>
  <si>
    <t>spnwiz_2</t>
  </si>
  <si>
    <t>萨卡兹骸骨漂泊术师长</t>
  </si>
  <si>
    <t>enemy_1366_dcolle</t>
  </si>
  <si>
    <t>dcolle</t>
  </si>
  <si>
    <t>萨卡兹敛血行者</t>
  </si>
  <si>
    <t>enemy_1366_dcolle_2</t>
  </si>
  <si>
    <t>dcolle_2</t>
  </si>
  <si>
    <t>萨卡兹萃血行者</t>
  </si>
  <si>
    <t>enemy_1367_dseed</t>
  </si>
  <si>
    <t>dseed</t>
  </si>
  <si>
    <t>血珀</t>
  </si>
  <si>
    <t>C_Base</t>
  </si>
  <si>
    <t>普通,近战,血珀</t>
  </si>
  <si>
    <t>enemy_1367_dseed_0</t>
  </si>
  <si>
    <t>enemy_1368_spilot</t>
  </si>
  <si>
    <t>spilot</t>
  </si>
  <si>
    <t>指挥官厄尔苏拉</t>
  </si>
  <si>
    <t>enemy_1369_bmbcar1</t>
  </si>
  <si>
    <t>bmbcar1</t>
  </si>
  <si>
    <t>反巫术变位炸弹</t>
  </si>
  <si>
    <t>普通,反巫术炸弹</t>
  </si>
  <si>
    <t>enemy_1547_blordB14</t>
  </si>
  <si>
    <t>blord</t>
  </si>
  <si>
    <t>enemy_1547_blord</t>
  </si>
  <si>
    <t>14章血魔大君</t>
  </si>
  <si>
    <t>领袖,远程,萨卡兹,二阶血魔大君</t>
  </si>
  <si>
    <t>B_Defalut</t>
  </si>
  <si>
    <t>B_Idle</t>
  </si>
  <si>
    <t>B_Move</t>
  </si>
  <si>
    <t>enemy_1547_blordA</t>
  </si>
  <si>
    <t>血魔大君一阶</t>
  </si>
  <si>
    <t>领袖,远程,萨卡兹,一阶血魔大君</t>
  </si>
  <si>
    <t>A_Defalut</t>
  </si>
  <si>
    <t>enemy_1547_blordB</t>
  </si>
  <si>
    <t>血魔大君二阶</t>
  </si>
  <si>
    <t>enemy_1547_blordAH</t>
  </si>
  <si>
    <t>血魔大君一阶EX</t>
  </si>
  <si>
    <t>enemy_1547_blordBH</t>
  </si>
  <si>
    <t>血魔大君二阶EX</t>
  </si>
  <si>
    <t>enemy_1371_ltnflu</t>
  </si>
  <si>
    <t>ltnflu</t>
  </si>
  <si>
    <t>残党乐团长笛手</t>
  </si>
  <si>
    <t>普通,近战,巫王乐团成员</t>
  </si>
  <si>
    <t>enemy_1371_ltnflu_2</t>
  </si>
  <si>
    <t>ltnflu_2</t>
  </si>
  <si>
    <t>巫王乐团长笛手</t>
  </si>
  <si>
    <t>enemy_1372_ltntpt</t>
  </si>
  <si>
    <t>ltntpt</t>
  </si>
  <si>
    <t>残党乐团小号手</t>
  </si>
  <si>
    <t>enemy_1372_ltntpt_2</t>
  </si>
  <si>
    <t>ltntpt_2</t>
  </si>
  <si>
    <t>巫王乐团小号手</t>
  </si>
  <si>
    <t>enemy_1373_ltnhor</t>
  </si>
  <si>
    <t>ltnhor</t>
  </si>
  <si>
    <t>残党乐团圆号手</t>
  </si>
  <si>
    <t>普通,远程,巫王乐团成员</t>
  </si>
  <si>
    <t>enemy_1373_ltnhor_2</t>
  </si>
  <si>
    <t>ltnhor_2</t>
  </si>
  <si>
    <t>巫王乐团圆号手</t>
  </si>
  <si>
    <t>enemy_1374_ltnhap</t>
  </si>
  <si>
    <t>ltnhap</t>
  </si>
  <si>
    <t>残党乐团颂诗者</t>
  </si>
  <si>
    <t>enemy_1374_ltnhap_2</t>
  </si>
  <si>
    <t>ltnhap_2</t>
  </si>
  <si>
    <t>巫王乐团颂诗者</t>
  </si>
  <si>
    <t>enemy_1375_ltnclr</t>
  </si>
  <si>
    <t>ltnclr</t>
  </si>
  <si>
    <t>残党乐团管乐家</t>
  </si>
  <si>
    <t>enemy_1375_ltnclr_2</t>
  </si>
  <si>
    <t>ltnclr_2</t>
  </si>
  <si>
    <t>巫王乐团管乐家</t>
  </si>
  <si>
    <t>enemy_1376_ltndru</t>
  </si>
  <si>
    <t>ltndru</t>
  </si>
  <si>
    <t>残党乐团鼓手</t>
  </si>
  <si>
    <t>enemy_1376_ltndru_2</t>
  </si>
  <si>
    <t>ltndru_2</t>
  </si>
  <si>
    <t>巫王乐团鼓手</t>
  </si>
  <si>
    <t>enemy_1377_ltnclo</t>
  </si>
  <si>
    <t>ltnclo</t>
  </si>
  <si>
    <t>残党乐团大提琴家</t>
  </si>
  <si>
    <t>精英,近战,巫王乐团成员</t>
  </si>
  <si>
    <t>enemy_1377_ltnclo_2</t>
  </si>
  <si>
    <t>ltnclo_2</t>
  </si>
  <si>
    <t>巫王乐团大提琴家</t>
  </si>
  <si>
    <t>enemy_1378_ltnmstA</t>
  </si>
  <si>
    <t>ltnmst</t>
  </si>
  <si>
    <t>enemy_1378_ltnmst</t>
  </si>
  <si>
    <t>沉郁残党乐团调律师</t>
  </si>
  <si>
    <t>精英,远程,巫王乐团成员</t>
  </si>
  <si>
    <t>enemy_1378_ltnmstB</t>
  </si>
  <si>
    <t>激昂残党乐团调律师</t>
  </si>
  <si>
    <t>enemy_1378_ltnmst_2A</t>
  </si>
  <si>
    <t>ltnmst_2</t>
  </si>
  <si>
    <t>enemy_1378_ltnmst_2</t>
  </si>
  <si>
    <t>沉郁巫王乐团调律师</t>
  </si>
  <si>
    <t>enemy_1378_ltnmst_2B</t>
  </si>
  <si>
    <t>激昂巫王乐团调律师</t>
  </si>
  <si>
    <t>enemy_1379_ltncdtA</t>
  </si>
  <si>
    <t>ltncdt</t>
  </si>
  <si>
    <t>enemy_1379_ltncdt</t>
  </si>
  <si>
    <t>沉郁残党乐团指挥家</t>
  </si>
  <si>
    <t>enemy_1379_ltncdtB</t>
  </si>
  <si>
    <t>激昂残党乐团指挥家</t>
  </si>
  <si>
    <t>enemy_1379_ltncdt_2A</t>
  </si>
  <si>
    <t>ltncdt_2</t>
  </si>
  <si>
    <t>enemy_1379_ltncdt_2</t>
  </si>
  <si>
    <t>沉郁巫王乐团指挥家</t>
  </si>
  <si>
    <t>enemy_1379_ltncdt_2B</t>
  </si>
  <si>
    <t>激昂巫王乐团指挥家</t>
  </si>
  <si>
    <t>enemy_1548_ltniak_AeX</t>
  </si>
  <si>
    <t>ltniak</t>
  </si>
  <si>
    <t>enemy_1548_ltniak</t>
  </si>
  <si>
    <t>赫尔昏佐伦，“巫王”（一阶段）</t>
  </si>
  <si>
    <t>A_Blink_Begin</t>
  </si>
  <si>
    <t>enemy_1548_ltniak_BeX</t>
  </si>
  <si>
    <t>赫尔昏佐伦，“巫王”（二阶段）</t>
  </si>
  <si>
    <t>B_Default</t>
  </si>
  <si>
    <t>enemy_1381_winman</t>
  </si>
  <si>
    <t>winman</t>
  </si>
  <si>
    <t>访问团新兵</t>
  </si>
  <si>
    <t>enemy_1381_winman_2</t>
  </si>
  <si>
    <t>winman_2</t>
  </si>
  <si>
    <t>访问团老兵</t>
  </si>
  <si>
    <t>enemy_1382_winbal</t>
  </si>
  <si>
    <t>winbal</t>
  </si>
  <si>
    <t>访问团突击新兵</t>
  </si>
  <si>
    <t>enemy_1382_winbal_2</t>
  </si>
  <si>
    <t>winbal_2</t>
  </si>
  <si>
    <t>访问团突击老兵</t>
  </si>
  <si>
    <t>enemy_1383_windog</t>
  </si>
  <si>
    <t>windog</t>
  </si>
  <si>
    <t>发条巡逻机器</t>
  </si>
  <si>
    <t>普通,近战,机械</t>
  </si>
  <si>
    <t>enemy_1383_windog_2</t>
  </si>
  <si>
    <t>windog_2</t>
  </si>
  <si>
    <t>发条战斗机器</t>
  </si>
  <si>
    <t>enemy_1384_winfrz</t>
  </si>
  <si>
    <t>winfrz</t>
  </si>
  <si>
    <t>封冻高山驮兽</t>
  </si>
  <si>
    <t>精英,近战,野生动物</t>
  </si>
  <si>
    <t>enemy_1384_winfrz_2</t>
  </si>
  <si>
    <t>winfrz_2</t>
  </si>
  <si>
    <t>沉眠高山驮兽</t>
  </si>
  <si>
    <t>enemy_1385_winbom</t>
  </si>
  <si>
    <t>winbom</t>
  </si>
  <si>
    <t>“喷射罐”</t>
  </si>
  <si>
    <t>enemy_1385_winbom_2</t>
  </si>
  <si>
    <t>winbom_2</t>
  </si>
  <si>
    <t>“喷爆罐”</t>
  </si>
  <si>
    <t>enemy_1386_winmag</t>
  </si>
  <si>
    <t>winmag</t>
  </si>
  <si>
    <t>访问团术师</t>
  </si>
  <si>
    <t>enemy_1386_winmag_2</t>
  </si>
  <si>
    <t>winmag_2</t>
  </si>
  <si>
    <t>访问团术师长</t>
  </si>
  <si>
    <t>enemy_1387_winshd</t>
  </si>
  <si>
    <t>winshd</t>
  </si>
  <si>
    <t>访问团持盾者</t>
  </si>
  <si>
    <t>enemy_1387_winshd_2</t>
  </si>
  <si>
    <t>winshd_2</t>
  </si>
  <si>
    <t>访问团持盾长</t>
  </si>
  <si>
    <t>enemy_1388_wingnt</t>
  </si>
  <si>
    <t>wingnt</t>
  </si>
  <si>
    <t>“投石机”</t>
  </si>
  <si>
    <t>Cc</t>
  </si>
  <si>
    <t>enemy_1388_wingnt_2</t>
  </si>
  <si>
    <t>wingnt_2</t>
  </si>
  <si>
    <t>“榴弹炮”</t>
  </si>
  <si>
    <t>enemy_1389_winbab</t>
  </si>
  <si>
    <t>winbab</t>
  </si>
  <si>
    <t>访问团强攻手</t>
  </si>
  <si>
    <t>enemy_1389_winbab_2</t>
  </si>
  <si>
    <t>winbab_2</t>
  </si>
  <si>
    <t>访问团强攻冠军</t>
  </si>
  <si>
    <t>enemy_1549_windoc</t>
  </si>
  <si>
    <t>windoc</t>
  </si>
  <si>
    <t>哈洛德（两层被动）</t>
  </si>
  <si>
    <t>enemy_1549_windoc_2</t>
  </si>
  <si>
    <t>哈洛德（四层被动）</t>
  </si>
  <si>
    <t>enemy_1550_dhnzzh</t>
  </si>
  <si>
    <t>dhnzzh</t>
  </si>
  <si>
    <t>1550</t>
  </si>
  <si>
    <t>“祟”</t>
  </si>
  <si>
    <t>领袖,近战,化物</t>
  </si>
  <si>
    <t>enemy_1390_dhsbr</t>
  </si>
  <si>
    <t>dhsbr</t>
  </si>
  <si>
    <t>怀黍离士兵</t>
  </si>
  <si>
    <t>enemy_1390_dhsbr_2</t>
  </si>
  <si>
    <t>dhsbr_2</t>
  </si>
  <si>
    <t>怀黍离士兵组长</t>
  </si>
  <si>
    <t>enemy_1391_dhbow</t>
  </si>
  <si>
    <t>dhbow</t>
  </si>
  <si>
    <t>怀黍离弩手</t>
  </si>
  <si>
    <t>enemy_1391_dhbow_2</t>
  </si>
  <si>
    <t>dhbow_2</t>
  </si>
  <si>
    <t>怀黍离弩手组长</t>
  </si>
  <si>
    <t>enemy_1392_dhshld</t>
  </si>
  <si>
    <t>dhshld</t>
  </si>
  <si>
    <t>怀黍离盾兵</t>
  </si>
  <si>
    <t>enemy_1392_dhshld_2</t>
  </si>
  <si>
    <t>dhshld_2</t>
  </si>
  <si>
    <t>怀黍离盾兵组长</t>
  </si>
  <si>
    <t>enemy_1393_dhele</t>
  </si>
  <si>
    <t>dhele</t>
  </si>
  <si>
    <t>怀黍离炮兵</t>
  </si>
  <si>
    <t>enemy_1393_dhele_2</t>
  </si>
  <si>
    <t>dhele_2</t>
  </si>
  <si>
    <t>怀黍离炮兵组长</t>
  </si>
  <si>
    <t>enemy_1394_dhzts</t>
  </si>
  <si>
    <t>dhzts</t>
  </si>
  <si>
    <t>怀黍离术师</t>
  </si>
  <si>
    <t>enemy_1394_dhzts_2</t>
  </si>
  <si>
    <t>dhzts_2</t>
  </si>
  <si>
    <t>怀黍离术师组长</t>
  </si>
  <si>
    <t>enemy_1395_dhxts</t>
  </si>
  <si>
    <t>dhxts</t>
  </si>
  <si>
    <t>怀黍离老鼠</t>
  </si>
  <si>
    <t>普通,近战,野生动物,怀黍离老鼠</t>
  </si>
  <si>
    <t>enemy_1395_dhxts_2</t>
  </si>
  <si>
    <t>dhxts_2</t>
  </si>
  <si>
    <t>怀黍离老鼠精英</t>
  </si>
  <si>
    <t>enemy_1396_dhdts</t>
  </si>
  <si>
    <t>dhdts</t>
  </si>
  <si>
    <t>怀黍离老鼠力士</t>
  </si>
  <si>
    <t>enemy_1396_dhdts_2</t>
  </si>
  <si>
    <t>dhdts_2</t>
  </si>
  <si>
    <t>怀黍离老鼠猛士</t>
  </si>
  <si>
    <t>enemy_1397_dhtsxt</t>
  </si>
  <si>
    <t>dhtsxt</t>
  </si>
  <si>
    <t>怀黍离老鼠飞贼</t>
  </si>
  <si>
    <t>enemy_1397_dhtsxt_2</t>
  </si>
  <si>
    <t>dhtsxt_2</t>
  </si>
  <si>
    <t>怀黍离老鼠大盗</t>
  </si>
  <si>
    <t>enemy_1398_dhdcr</t>
  </si>
  <si>
    <t>dhdcr</t>
  </si>
  <si>
    <t>怀黍离天桩甲</t>
  </si>
  <si>
    <t>enemy_1398_dhdcr_2</t>
  </si>
  <si>
    <t>dhdcr_2</t>
  </si>
  <si>
    <t>怀黍离失控天桩甲</t>
  </si>
  <si>
    <t>enemy_1399_dhtb</t>
  </si>
  <si>
    <t>dhtb</t>
  </si>
  <si>
    <t>怀黍离天桩乙</t>
  </si>
  <si>
    <t>enemy_1399_dhtb_2</t>
  </si>
  <si>
    <t>dhtb_2</t>
  </si>
  <si>
    <t>怀黍离失控天桩乙</t>
  </si>
  <si>
    <t>enemy_1399_dhtb_3</t>
  </si>
  <si>
    <t>怀黍离身上的天标乙</t>
  </si>
  <si>
    <t>enemy_1401_pogpro</t>
  </si>
  <si>
    <t>pogpro</t>
  </si>
  <si>
    <t>联合政府军犬</t>
  </si>
  <si>
    <t>enemy_1401_pogpro_2</t>
  </si>
  <si>
    <t>pogpro_2</t>
  </si>
  <si>
    <t>联合政府军犬pro</t>
  </si>
  <si>
    <t>enemy_1402_tgshd</t>
  </si>
  <si>
    <t>tgshd</t>
  </si>
  <si>
    <t>装甲侦察兵</t>
  </si>
  <si>
    <t>Muzzle</t>
  </si>
  <si>
    <t>enemy_1402_tgshd_2</t>
  </si>
  <si>
    <t>tgshd_2</t>
  </si>
  <si>
    <t>重装侦察兵</t>
  </si>
  <si>
    <t>enemy_1403_gunsho</t>
  </si>
  <si>
    <t>gunsho</t>
  </si>
  <si>
    <t>速射轻弩手</t>
  </si>
  <si>
    <t>enemy_1403_gunsho_2</t>
  </si>
  <si>
    <t>gunsho_2</t>
  </si>
  <si>
    <t>速射劲弩手</t>
  </si>
  <si>
    <t>enemy_1404_msnip</t>
  </si>
  <si>
    <t>msnip</t>
  </si>
  <si>
    <t>重弩突袭者</t>
  </si>
  <si>
    <t>enemy_1404_msnip_2</t>
  </si>
  <si>
    <t>msnip_2</t>
  </si>
  <si>
    <t>重弩猎杀者</t>
  </si>
  <si>
    <t>enemy_1405_boomer</t>
  </si>
  <si>
    <t>boomer</t>
  </si>
  <si>
    <t>鲁莽掷弹兵</t>
  </si>
  <si>
    <t>enemy_1405_boomer_2</t>
  </si>
  <si>
    <t>boomer_2</t>
  </si>
  <si>
    <t>无畏掷弹兵</t>
  </si>
  <si>
    <t>enemy_1406_chghmr</t>
  </si>
  <si>
    <t>chghmr</t>
  </si>
  <si>
    <t>战线推进者</t>
  </si>
  <si>
    <t>enemy_1406_chghmr_2</t>
  </si>
  <si>
    <t>chghmr_2</t>
  </si>
  <si>
    <t>战线突破者</t>
  </si>
  <si>
    <t>enemy_1407_hummbd</t>
  </si>
  <si>
    <t>hummbd</t>
  </si>
  <si>
    <t>1407</t>
  </si>
  <si>
    <t>远眺</t>
  </si>
  <si>
    <t>&lt;@eb.key&gt;【飞行单位】&lt;/&gt;妖怪的改进版，可进行&lt;@eb.key&gt;远程物理射击&lt;/&gt;，被击倒时使周围的我方暴露。暴露状态下无法通过封阻物避开敌方视线，且受到的伤害提升。</t>
  </si>
  <si>
    <t>enemy_1407_hummbd_2</t>
  </si>
  <si>
    <t>hummbd_2</t>
  </si>
  <si>
    <t>远眺·B</t>
  </si>
  <si>
    <t>enemy_1408_scotcn</t>
  </si>
  <si>
    <t>scotcn</t>
  </si>
  <si>
    <t>1408</t>
  </si>
  <si>
    <t>战场观测炮手</t>
  </si>
  <si>
    <t>F_Body</t>
  </si>
  <si>
    <t>enemy_1408_scotcn_2</t>
  </si>
  <si>
    <t>scotcn_2</t>
  </si>
  <si>
    <t>战场深视炮手</t>
  </si>
  <si>
    <t>enemy_1409_bdguad</t>
  </si>
  <si>
    <t>bdguad</t>
  </si>
  <si>
    <t>马特奥的警卫</t>
  </si>
  <si>
    <t>enemy_1409_bdguad_2</t>
  </si>
  <si>
    <t>bdguad_2</t>
  </si>
  <si>
    <t>马特奥的近卫</t>
  </si>
  <si>
    <t>enemy_1409_bdguad_3</t>
  </si>
  <si>
    <t>bdguad_3</t>
  </si>
  <si>
    <t>马特奥的亲卫</t>
  </si>
  <si>
    <t>enemy_1409_bdguad_3eX</t>
  </si>
  <si>
    <t>马特奥的亲卫EX</t>
  </si>
  <si>
    <t>enemy_1551_bolicp</t>
  </si>
  <si>
    <t>bolicp</t>
  </si>
  <si>
    <t>马特奥上尉</t>
  </si>
  <si>
    <t>Combat</t>
  </si>
  <si>
    <t>enemy_1410_mmelee</t>
  </si>
  <si>
    <t>mmelee</t>
  </si>
  <si>
    <t>“飞鞋党”佣兵</t>
  </si>
  <si>
    <t>enemy_1410_mmelee_2</t>
  </si>
  <si>
    <t>mmelee_2</t>
  </si>
  <si>
    <t>“飞鞋党”精锐佣兵</t>
  </si>
  <si>
    <t>enemy_1411_mmrnge</t>
  </si>
  <si>
    <t>mmrnge</t>
  </si>
  <si>
    <t>“锅盖头”射手</t>
  </si>
  <si>
    <t>enemy_1411_mmrnge_2</t>
  </si>
  <si>
    <t>mmrnge_2</t>
  </si>
  <si>
    <t>“锅盖头”劲弩射手</t>
  </si>
  <si>
    <t>enemy_1412_mmjump</t>
  </si>
  <si>
    <t>mmjump</t>
  </si>
  <si>
    <t>破烂拼凑者</t>
  </si>
  <si>
    <t>enemy_1412_mmjump_2</t>
  </si>
  <si>
    <t>mmjump_2</t>
  </si>
  <si>
    <t>破烂发明家</t>
  </si>
  <si>
    <t>enemy_1413_mmstck</t>
  </si>
  <si>
    <t>mmstck</t>
  </si>
  <si>
    <t>赏金猎人“骑士”</t>
  </si>
  <si>
    <t>enemy_1413_mmstck_2</t>
  </si>
  <si>
    <t>mmstck_2</t>
  </si>
  <si>
    <t>赏金猎人“大骑士”</t>
  </si>
  <si>
    <t>enemy_1414_mmleak</t>
  </si>
  <si>
    <t>mmleak</t>
  </si>
  <si>
    <t>爆燃厨具巨人</t>
  </si>
  <si>
    <t>enemy_1414_mmleak_2</t>
  </si>
  <si>
    <t>mmleak_2</t>
  </si>
  <si>
    <t>增强型爆燃厨具巨人</t>
  </si>
  <si>
    <t>enemy_1415_mmkabi</t>
  </si>
  <si>
    <t>mmkabi</t>
  </si>
  <si>
    <t>温顺的武装驮兽</t>
  </si>
  <si>
    <t>enemy_1415_mmkabi_2</t>
  </si>
  <si>
    <t>mmkabi_2</t>
  </si>
  <si>
    <t>温顺的武装大驮兽</t>
  </si>
  <si>
    <t>enemy_1416_mmfarm</t>
  </si>
  <si>
    <t>mmfarm</t>
  </si>
  <si>
    <t>流浪佣兵“剪刀手”</t>
  </si>
  <si>
    <t>enemy_1416_mmfarm_2</t>
  </si>
  <si>
    <t>mmfarm_2</t>
  </si>
  <si>
    <t>流浪佣兵“编织者”</t>
  </si>
  <si>
    <t>enemy_1417_mmdudu</t>
  </si>
  <si>
    <t>mmdudu</t>
  </si>
  <si>
    <t>自由佣兵“贝斯”</t>
  </si>
  <si>
    <t>enemy_1417_mmdudu_2</t>
  </si>
  <si>
    <t>mmdudu_2</t>
  </si>
  <si>
    <t>自由佣兵“主音吉他”</t>
  </si>
  <si>
    <t>enemy_1418_mmkonm</t>
  </si>
  <si>
    <t>mmkonm</t>
  </si>
  <si>
    <t>流浪工匠“修补工”</t>
  </si>
  <si>
    <t>Default_b</t>
  </si>
  <si>
    <t>Idle_b</t>
  </si>
  <si>
    <t>Move_b</t>
  </si>
  <si>
    <t>Die_b</t>
  </si>
  <si>
    <t>enemy_1418_mmkonm_2</t>
  </si>
  <si>
    <t>mmkonm_2</t>
  </si>
  <si>
    <t>流浪工匠“修补工头”</t>
  </si>
  <si>
    <t>enemy_1419_mmcike</t>
  </si>
  <si>
    <t>mmcike</t>
  </si>
  <si>
    <t>裹骸死士</t>
  </si>
  <si>
    <t>enemy_1419_mmcike_2</t>
  </si>
  <si>
    <t>mmcike_2</t>
  </si>
  <si>
    <t>血刃裹骸死士</t>
  </si>
  <si>
    <t>enemy_1552_mmamiy</t>
  </si>
  <si>
    <t>mmamiy</t>
  </si>
  <si>
    <t>Die_2_A</t>
  </si>
  <si>
    <t>enemy_1421_lrchld</t>
  </si>
  <si>
    <t>lrchld</t>
  </si>
  <si>
    <t>信标</t>
  </si>
  <si>
    <t>14章信标</t>
  </si>
  <si>
    <t>enemy_1421_lrchld_sp</t>
  </si>
  <si>
    <t>免疫伤害信标</t>
  </si>
  <si>
    <t>enemy_1422_lrsldr</t>
  </si>
  <si>
    <t>lrsldr</t>
  </si>
  <si>
    <t>萨卡兹枯朽前锋</t>
  </si>
  <si>
    <t>C_Hip_A</t>
  </si>
  <si>
    <t>enemy_1422_lrsldr_2</t>
  </si>
  <si>
    <t>lrsldr_2</t>
  </si>
  <si>
    <t>萨卡兹枯朽辟路前锋</t>
  </si>
  <si>
    <t>enemy_1423_lrfkkt</t>
  </si>
  <si>
    <t>lrfkkt</t>
  </si>
  <si>
    <t>萨卡兹枯朽宿卫</t>
  </si>
  <si>
    <t>C_Hip_A5</t>
  </si>
  <si>
    <t>enemy_1423_lrfkkt_2</t>
  </si>
  <si>
    <t>lrfkkt_2</t>
  </si>
  <si>
    <t>萨卡兹枯朽不屈宿卫</t>
  </si>
  <si>
    <t>enemy_1424_lrboom</t>
  </si>
  <si>
    <t>lrboom</t>
  </si>
  <si>
    <t>恶尘源石虫</t>
  </si>
  <si>
    <t>Body</t>
  </si>
  <si>
    <t>普通,近战,感染生物,源石风暴食物</t>
  </si>
  <si>
    <t>enemy_1424_lrboom_2</t>
  </si>
  <si>
    <t>lrboom_2</t>
  </si>
  <si>
    <t>恶尘源石虫·α</t>
  </si>
  <si>
    <t>enemy_1425_lrcmra</t>
  </si>
  <si>
    <t>lrcmra</t>
  </si>
  <si>
    <t>孽罪奇美拉</t>
  </si>
  <si>
    <t>Body2</t>
  </si>
  <si>
    <t>enemy_1425_lrcmra_2</t>
  </si>
  <si>
    <t>lrcmra_2</t>
  </si>
  <si>
    <t>渎罪奇美拉</t>
  </si>
  <si>
    <t>enemy_1425_lrcmra_sp</t>
  </si>
  <si>
    <t>激活孽罪奇美拉</t>
  </si>
  <si>
    <t>Default_2</t>
  </si>
  <si>
    <t>Idle_2</t>
  </si>
  <si>
    <t>Move_2</t>
  </si>
  <si>
    <t>enemy_1425_lrcmra_2_sp</t>
  </si>
  <si>
    <t>激活渎罪奇美拉</t>
  </si>
  <si>
    <t>enemy_1426_lrthef</t>
  </si>
  <si>
    <t>lrthef</t>
  </si>
  <si>
    <t>萨卡兹祭坛看护者</t>
  </si>
  <si>
    <t>C_Waist_B</t>
  </si>
  <si>
    <t>精英,萨卡兹</t>
  </si>
  <si>
    <t>Default2</t>
  </si>
  <si>
    <t>Idle2</t>
  </si>
  <si>
    <t>Move2</t>
  </si>
  <si>
    <t>Die2</t>
  </si>
  <si>
    <t>enemy_1426_lrthef_2</t>
  </si>
  <si>
    <t>lrthef_2</t>
  </si>
  <si>
    <t>萨卡兹祭坛奉养者</t>
  </si>
  <si>
    <t>enemy_1426_lrthef_sp</t>
  </si>
  <si>
    <t>空手萨卡兹祭坛看护者</t>
  </si>
  <si>
    <t>enemy_1426_lrthef_2_sp</t>
  </si>
  <si>
    <t>空手萨卡兹祭坛奉养者</t>
  </si>
  <si>
    <t>enemy_1427_lrnazg</t>
  </si>
  <si>
    <t>lrnazg</t>
  </si>
  <si>
    <t>“灵幛”</t>
  </si>
  <si>
    <t>Coat_DA</t>
  </si>
  <si>
    <t>enemy_1427_lrnazg_2</t>
  </si>
  <si>
    <t>lrnazg_2</t>
  </si>
  <si>
    <t>“慰朽灵幛”</t>
  </si>
  <si>
    <t>enemy_1428_lrsoul</t>
  </si>
  <si>
    <t>lrsoul</t>
  </si>
  <si>
    <t>魂灵涡流</t>
  </si>
  <si>
    <t>A</t>
  </si>
  <si>
    <t>enemy_1429_lrwzrd</t>
  </si>
  <si>
    <t>lrwzrd</t>
  </si>
  <si>
    <t>聚焦魂灵残迹</t>
  </si>
  <si>
    <t>enemy_1429_lrwzrd_2</t>
  </si>
  <si>
    <t>lrwzrd_2</t>
  </si>
  <si>
    <t>enemy_1430_lrrook</t>
  </si>
  <si>
    <t>lrrook</t>
  </si>
  <si>
    <t>愧悔魂灵圣杯</t>
  </si>
  <si>
    <t>C_Fire_2</t>
  </si>
  <si>
    <t>enemy_1430_lrrook_2</t>
  </si>
  <si>
    <t>lrrook_2</t>
  </si>
  <si>
    <t>殉亡魂灵圣杯</t>
  </si>
  <si>
    <t>enemy_1431_lrmzrd</t>
  </si>
  <si>
    <t>lrmzrd</t>
  </si>
  <si>
    <t>注能魂灵法骸</t>
  </si>
  <si>
    <t>enemy_1431_lrmzrd_2</t>
  </si>
  <si>
    <t>lrmzrd_2</t>
  </si>
  <si>
    <t>粹影魂灵法骸</t>
  </si>
  <si>
    <t>enemy_1433_dsbasi</t>
  </si>
  <si>
    <t>dsbasi</t>
  </si>
  <si>
    <t>单核掠食者</t>
  </si>
  <si>
    <t>enemy_1433_dsbasi_2</t>
  </si>
  <si>
    <t>dsbasi_2</t>
  </si>
  <si>
    <t>异光体掠食者</t>
  </si>
  <si>
    <t>enemy_1433_dsbasi_3</t>
  </si>
  <si>
    <t>异光体掠食者EX</t>
  </si>
  <si>
    <t>enemy_1434_dsshel</t>
  </si>
  <si>
    <t>dsshel</t>
  </si>
  <si>
    <t>微核沉积者</t>
  </si>
  <si>
    <t>D</t>
  </si>
  <si>
    <t>enemy_1435_dsflys</t>
  </si>
  <si>
    <t>dsflys</t>
  </si>
  <si>
    <t>纤核漂游者</t>
  </si>
  <si>
    <t>enemy_1435_dsflys_2</t>
  </si>
  <si>
    <t>dsflys_2</t>
  </si>
  <si>
    <t>异光体漂游者</t>
  </si>
  <si>
    <t>enemy_1436_dsdivi</t>
  </si>
  <si>
    <t>dsdivi</t>
  </si>
  <si>
    <t>诡核集养者</t>
  </si>
  <si>
    <t>A2</t>
  </si>
  <si>
    <t>enemy_1436_dsdivi_2</t>
  </si>
  <si>
    <t>dsdivi_2</t>
  </si>
  <si>
    <t>异光体集养者</t>
  </si>
  <si>
    <t>enemy_1436_dsdivi_sp</t>
  </si>
  <si>
    <t>诡核集养者分身</t>
  </si>
  <si>
    <t>enemy_1436_dsdivi_2_sp</t>
  </si>
  <si>
    <t>异光体集养者分身</t>
  </si>
  <si>
    <t>enemy_1437_dsfull</t>
  </si>
  <si>
    <t>dsfull</t>
  </si>
  <si>
    <t>蕴核饲育者</t>
  </si>
  <si>
    <t>enemy_1437_dsfull_2</t>
  </si>
  <si>
    <t>dsfull_2</t>
  </si>
  <si>
    <t>异光体饲育者</t>
  </si>
  <si>
    <t>enemy_1438_dspred</t>
  </si>
  <si>
    <t>dspred</t>
  </si>
  <si>
    <t>复核洋流使者</t>
  </si>
  <si>
    <t>enemy_1438_dspred_2</t>
  </si>
  <si>
    <t>dspred_2</t>
  </si>
  <si>
    <t>异光体洋流使者</t>
  </si>
  <si>
    <t>enemy_1438_dspred_sp</t>
  </si>
  <si>
    <t>复核洋流使者SP</t>
  </si>
  <si>
    <t>enemy_1438_dspred_2_sp</t>
  </si>
  <si>
    <t>异光体洋流使者SP</t>
  </si>
  <si>
    <t>enemy_1439_dslntf</t>
  </si>
  <si>
    <t>dslntf</t>
  </si>
  <si>
    <t>元核孽生者</t>
  </si>
  <si>
    <t>enemy_1439_dslntf_2</t>
  </si>
  <si>
    <t>dslntf_2</t>
  </si>
  <si>
    <t>异光体孽生者</t>
  </si>
  <si>
    <t>enemy_1440_dselec</t>
  </si>
  <si>
    <t>dselec</t>
  </si>
  <si>
    <t>被弃者</t>
  </si>
  <si>
    <t>enemy_1440_dselec_2</t>
  </si>
  <si>
    <t>dselec_2</t>
  </si>
  <si>
    <t>受诅者</t>
  </si>
  <si>
    <t>enemy_1556_dsbish</t>
  </si>
  <si>
    <t>dsbish</t>
  </si>
  <si>
    <t>玛利图斯，“海嗣”</t>
  </si>
  <si>
    <t>enemy_10010_sgnja</t>
  </si>
  <si>
    <t>sgnja</t>
  </si>
  <si>
    <t>市井盗贼</t>
  </si>
  <si>
    <t>普通,近战,构装体</t>
  </si>
  <si>
    <t>enemy_10010_sgnja_2</t>
  </si>
  <si>
    <t>sgnja_2</t>
  </si>
  <si>
    <t>市井流窜盗贼</t>
  </si>
  <si>
    <t>enemy_10011_sgshot</t>
  </si>
  <si>
    <t>sgshot</t>
  </si>
  <si>
    <t>市井猎手</t>
  </si>
  <si>
    <t>普通,远程,构装体</t>
  </si>
  <si>
    <t>enemy_10011_sgshot_2</t>
  </si>
  <si>
    <t>sgshot_2</t>
  </si>
  <si>
    <t>市井流窜猎手</t>
  </si>
  <si>
    <t>enemy_10012_sgbtle</t>
  </si>
  <si>
    <t>sgbtle</t>
  </si>
  <si>
    <t>237-1号展柜文物</t>
  </si>
  <si>
    <t>enemy_10012_sgbtle_2</t>
  </si>
  <si>
    <t>sgbtle_2</t>
  </si>
  <si>
    <t>237-2号展柜文物</t>
  </si>
  <si>
    <t>enemy_10013_sgrob</t>
  </si>
  <si>
    <t>sgrob</t>
  </si>
  <si>
    <t>风情区小型车辇</t>
  </si>
  <si>
    <t>enemy_10013_sgrob_2</t>
  </si>
  <si>
    <t>sgrob_2</t>
  </si>
  <si>
    <t>风情区大型车辇</t>
  </si>
  <si>
    <t>enemy_10014_sgrich</t>
  </si>
  <si>
    <t>sgrich</t>
  </si>
  <si>
    <t>小型破损器皿</t>
  </si>
  <si>
    <t>enemy_10014_sgrich_2</t>
  </si>
  <si>
    <t>sgrich_2</t>
  </si>
  <si>
    <t>大型破损器皿</t>
  </si>
  <si>
    <t>enemy_10015_sgbird</t>
  </si>
  <si>
    <t>sgbird</t>
  </si>
  <si>
    <t>“滑翔的玩具”</t>
  </si>
  <si>
    <t>enemy_10015_sgbird_2</t>
  </si>
  <si>
    <t>sgbird_2</t>
  </si>
  <si>
    <t>“喷射式冠冕”</t>
  </si>
  <si>
    <t>enemy_10016_sggint</t>
  </si>
  <si>
    <t>sggint</t>
  </si>
  <si>
    <t>“愤怒蹬踏”</t>
  </si>
  <si>
    <t>精英,近战,构装体</t>
  </si>
  <si>
    <t>enemy_10016_sggint_2</t>
  </si>
  <si>
    <t>sggint_2</t>
  </si>
  <si>
    <t>“连续地愤怒蹬踏”</t>
  </si>
  <si>
    <t>enemy_10017_sgass</t>
  </si>
  <si>
    <t>sgass</t>
  </si>
  <si>
    <t>殿堂左侧雕像</t>
  </si>
  <si>
    <t>enemy_10017_sgass_2</t>
  </si>
  <si>
    <t>sgass_2</t>
  </si>
  <si>
    <t>殿堂右侧雕像</t>
  </si>
  <si>
    <t>enemy_10018_sgrobh</t>
  </si>
  <si>
    <t>sgrobh</t>
  </si>
  <si>
    <t>“独轮车玩具”</t>
  </si>
  <si>
    <t>精英,远程,构装体</t>
  </si>
  <si>
    <t>enemy_10018_sgrobh_2</t>
  </si>
  <si>
    <t>sgrobh_2</t>
  </si>
  <si>
    <t>“弹跳独轮车”</t>
  </si>
  <si>
    <t>enemy_10019_sgmum</t>
  </si>
  <si>
    <t>sgmum</t>
  </si>
  <si>
    <t>“以板之名”</t>
  </si>
  <si>
    <t>enemy_10019_sgmum_2</t>
  </si>
  <si>
    <t>sgmum_2</t>
  </si>
  <si>
    <t>“愿板与你同在”</t>
  </si>
  <si>
    <t>enemy_10020_sgcat</t>
  </si>
  <si>
    <t>sgcat</t>
  </si>
  <si>
    <t>米奥，热烈的考验者</t>
  </si>
  <si>
    <t>enemy_1558_sgactr</t>
  </si>
  <si>
    <t>sgactr</t>
  </si>
  <si>
    <t>祖巴伊达姆，从往昔来</t>
  </si>
  <si>
    <t>领袖,远程,祖巴伊达姆</t>
  </si>
  <si>
    <t>enemy_10001_trslim</t>
  </si>
  <si>
    <t>trslim</t>
  </si>
  <si>
    <t>简饲源石虫</t>
  </si>
  <si>
    <t>C</t>
  </si>
  <si>
    <t>生命值降至一半以下时，伸出脚逃跑！移动速度提升且不可阻挡一段时间</t>
  </si>
  <si>
    <t>enemy_10001_trslim_2</t>
  </si>
  <si>
    <t>trslim_2</t>
  </si>
  <si>
    <t>精饲源石虫</t>
  </si>
  <si>
    <t>enemy_10002_trtrsl</t>
  </si>
  <si>
    <t>trtrsl</t>
  </si>
  <si>
    <t>浆果虫</t>
  </si>
  <si>
    <t>普通,感染生物,浆果虫</t>
  </si>
  <si>
    <t>enemy_10002_trtrsl_2</t>
  </si>
  <si>
    <t>trtrsl_2</t>
  </si>
  <si>
    <t>硕果虫</t>
  </si>
  <si>
    <t>enemy_10003_trwlpl</t>
  </si>
  <si>
    <t>trwlpl</t>
  </si>
  <si>
    <t>暴走食虫花</t>
  </si>
  <si>
    <t>会吞食周围一个目标，每次吞食需要长时间原地消化</t>
  </si>
  <si>
    <t>enemy_10003_trwlpl_2</t>
  </si>
  <si>
    <t>trwlpl_2</t>
  </si>
  <si>
    <t>暴走食人花</t>
  </si>
  <si>
    <t>enemy_10004_trdiam</t>
  </si>
  <si>
    <t>trdiam</t>
  </si>
  <si>
    <t>浆果磐蟹</t>
  </si>
  <si>
    <t>生命值低于一半时，会吃掉携带的&lt;闪亮果实&gt;，回复自身生命</t>
  </si>
  <si>
    <t>enemy_10004_trdiam_2</t>
  </si>
  <si>
    <t>trdiam_2</t>
  </si>
  <si>
    <t>硕果磐蟹</t>
  </si>
  <si>
    <t>enemy_10005_trsmsb</t>
  </si>
  <si>
    <t>trsmsb</t>
  </si>
  <si>
    <t>染污战士</t>
  </si>
  <si>
    <t>enemy_10005_trsmsb_2</t>
  </si>
  <si>
    <t>trsmsb_2</t>
  </si>
  <si>
    <t>染污勇士</t>
  </si>
  <si>
    <t>enemy_10006_trsmgi</t>
  </si>
  <si>
    <t>trsmgi</t>
  </si>
  <si>
    <t>染秽魔像</t>
  </si>
  <si>
    <t>生命值首次低于一半时，会在四周掉落&lt;浆果虫&gt;，之后自身移动速度增加</t>
  </si>
  <si>
    <t>enemy_10006_trsmgi_2</t>
  </si>
  <si>
    <t>trsmgi_2</t>
  </si>
  <si>
    <t>凶秽魔像</t>
  </si>
  <si>
    <t>enemy_10007_trspsb</t>
  </si>
  <si>
    <t>trspsb</t>
  </si>
  <si>
    <t>“酩酊”</t>
  </si>
  <si>
    <t>使经过自身周围的其他地面非领袖敌人攻击速度，移动速度增加，且受到的物理与法术伤害减少</t>
  </si>
  <si>
    <t>enemy_10007_trspsb_2</t>
  </si>
  <si>
    <t>trspsb_2</t>
  </si>
  <si>
    <t>陶醉的“酩酊”</t>
  </si>
  <si>
    <t>enemy_10008_trbbox</t>
  </si>
  <si>
    <t>trbbox</t>
  </si>
  <si>
    <t>宝箱恐鱼</t>
  </si>
  <si>
    <t>enemy_10008_trbbox_2</t>
  </si>
  <si>
    <t>trbbox_2</t>
  </si>
  <si>
    <t>宝箱海怪</t>
  </si>
  <si>
    <t>enemy_1557_trcerb1</t>
  </si>
  <si>
    <t>trcerb</t>
  </si>
  <si>
    <t>enemy_1557_trcerb</t>
  </si>
  <si>
    <t>“三头犬”一阶段</t>
  </si>
  <si>
    <t>L_Idle</t>
  </si>
  <si>
    <t>L_Move</t>
  </si>
  <si>
    <t>enemy_1557_trcerb2</t>
  </si>
  <si>
    <t>“三头犬”二阶段</t>
  </si>
  <si>
    <t>M_Idle</t>
  </si>
  <si>
    <t>M_Move</t>
  </si>
  <si>
    <t>enemy_1557_trcerb3</t>
  </si>
  <si>
    <t>“三头犬”三阶段</t>
  </si>
  <si>
    <t>R_Idle</t>
  </si>
  <si>
    <t>R_Move</t>
  </si>
  <si>
    <t>enemy_10028_vtswd</t>
  </si>
  <si>
    <t>vtswd</t>
  </si>
  <si>
    <t>未装配刀片</t>
  </si>
  <si>
    <t>普通,追迹日落以西补给装置,未装配刀片</t>
  </si>
  <si>
    <t>enemy_10029_vtshld</t>
  </si>
  <si>
    <t>vtshld</t>
  </si>
  <si>
    <t>防护背心</t>
  </si>
  <si>
    <t>普通,追迹日落以西补给装置,防护背心</t>
  </si>
  <si>
    <t>enemy_10030_vtwand</t>
  </si>
  <si>
    <t>vtwand</t>
  </si>
  <si>
    <t>冲击式施术单元</t>
  </si>
  <si>
    <t>普通,追迹日落以西补给装置,冲击式施术单元</t>
  </si>
  <si>
    <t>enemy_10021_vtcar</t>
  </si>
  <si>
    <t>vtcar</t>
  </si>
  <si>
    <t>10021</t>
  </si>
  <si>
    <t>货运轨道车</t>
  </si>
  <si>
    <t>普通,刁民,中立单位,召唤物</t>
  </si>
  <si>
    <t>Revive_Begin</t>
  </si>
  <si>
    <t>enemy_10022_vtskny</t>
  </si>
  <si>
    <t>vtskny</t>
  </si>
  <si>
    <t>新手拾荒者</t>
  </si>
  <si>
    <t>enemy_10022_vtskny_2</t>
  </si>
  <si>
    <t>vtskny_2</t>
  </si>
  <si>
    <t>老练拾荒者</t>
  </si>
  <si>
    <t>enemy_10023_vtsnky</t>
  </si>
  <si>
    <t>vtsnky</t>
  </si>
  <si>
    <t>“护目镜”帮派窃贼</t>
  </si>
  <si>
    <t>普通,远程,追迹日落以西背向</t>
  </si>
  <si>
    <t>enemy_10023_vtsnky_2</t>
  </si>
  <si>
    <t>vtsnky_2</t>
  </si>
  <si>
    <t>“护目镜”帮派打手</t>
  </si>
  <si>
    <t>enemy_10024_vtstrn</t>
  </si>
  <si>
    <t>vtstrn</t>
  </si>
  <si>
    <t>“街区自治队”成员</t>
  </si>
  <si>
    <t>enemy_10024_vtstrn_2</t>
  </si>
  <si>
    <t>vtstrn_2</t>
  </si>
  <si>
    <t>“街区自治队”队长</t>
  </si>
  <si>
    <t>enemy_10025_vtmstr</t>
  </si>
  <si>
    <t>vtmstr</t>
  </si>
  <si>
    <t>“铣痕”团伙佣兵</t>
  </si>
  <si>
    <t>精英,近战,追迹日落以西背向,铣痕佣兵</t>
  </si>
  <si>
    <t>enemy_10025_vtmstr_2</t>
  </si>
  <si>
    <t>vtmstr_2</t>
  </si>
  <si>
    <t>“铣痕”团伙精锐佣兵</t>
  </si>
  <si>
    <t>enemy_10026_vtzepl</t>
  </si>
  <si>
    <t>vtzepl</t>
  </si>
  <si>
    <t>物资运输艇</t>
  </si>
  <si>
    <t>enemy_10026_vtzepl_2</t>
  </si>
  <si>
    <t>vtzepl_2</t>
  </si>
  <si>
    <t>大容量物资运输艇</t>
  </si>
  <si>
    <t>enemy_10027_vtsk</t>
  </si>
  <si>
    <t>vtsk</t>
  </si>
  <si>
    <t>“帝国的甲胄”</t>
  </si>
  <si>
    <t>精英,远程,近战,机械</t>
  </si>
  <si>
    <t>enemy_1559_vtlionk</t>
  </si>
  <si>
    <t>vtlionk</t>
  </si>
  <si>
    <t>阿利斯泰尔，帝国余晖</t>
  </si>
  <si>
    <t>trap_185_vtlntw</t>
  </si>
  <si>
    <t>黄金回响</t>
  </si>
  <si>
    <t>远程</t>
  </si>
  <si>
    <t>enemy_10031_cnvsld</t>
  </si>
  <si>
    <t>cnvsld</t>
  </si>
  <si>
    <t>业余竞演者</t>
  </si>
  <si>
    <t>enemy_10031_cnvsld_2</t>
  </si>
  <si>
    <t>cnvsld_2</t>
  </si>
  <si>
    <t>专业竞演者</t>
  </si>
  <si>
    <t>enemy_10032_cnvsnp</t>
  </si>
  <si>
    <t>cnvsnp</t>
  </si>
  <si>
    <t>烟花零售商</t>
  </si>
  <si>
    <t>enemy_10032_cnvsnp_2</t>
  </si>
  <si>
    <t>cnvsnp_2</t>
  </si>
  <si>
    <t>烟花经销商</t>
  </si>
  <si>
    <t>enemy_10033_cnvbsk</t>
  </si>
  <si>
    <t>cnvbsk</t>
  </si>
  <si>
    <t>街头火舞艺人</t>
  </si>
  <si>
    <t>enemy_10033_cnvbsk_2</t>
  </si>
  <si>
    <t>cnvbsk_2</t>
  </si>
  <si>
    <t>街头火舞明星</t>
  </si>
  <si>
    <t>enemy_10034_cnvsax</t>
  </si>
  <si>
    <t>cnvsax</t>
  </si>
  <si>
    <t>节日爵士乐手</t>
  </si>
  <si>
    <t>enemy_10034_cnvsax_2</t>
  </si>
  <si>
    <t>cnvbsax_2</t>
  </si>
  <si>
    <t>巡游爵士乐手</t>
  </si>
  <si>
    <t>enemy_10035_cnvdnc</t>
  </si>
  <si>
    <t>cnvdnc</t>
  </si>
  <si>
    <t>热烈舞团独舞者</t>
  </si>
  <si>
    <t>enemy_10035_cnvdnc_2</t>
  </si>
  <si>
    <t>cnvdnc_2</t>
  </si>
  <si>
    <t>热烈舞团领舞者</t>
  </si>
  <si>
    <t>enemy_10036_cnvpvd</t>
  </si>
  <si>
    <t>cnvpvd</t>
  </si>
  <si>
    <t>节日零食商贩</t>
  </si>
  <si>
    <t>enemy_10036_cnvpvd_2</t>
  </si>
  <si>
    <t>cnvpvd_2</t>
  </si>
  <si>
    <t>巡游零食商贩</t>
  </si>
  <si>
    <t>enemy_10037_cnvpcar</t>
  </si>
  <si>
    <t>cnvpcar</t>
  </si>
  <si>
    <t>节日零食车</t>
  </si>
  <si>
    <t>enemy_10037_cnvpcar_2</t>
  </si>
  <si>
    <t>cnvpcar_2</t>
  </si>
  <si>
    <t>巡游零食车</t>
  </si>
  <si>
    <t>enemy_10038_cnvpiz</t>
  </si>
  <si>
    <t>cnvpiz</t>
  </si>
  <si>
    <t>“方便快餐”</t>
  </si>
  <si>
    <t>enemy_10038_cnvpiz_2</t>
  </si>
  <si>
    <t>cnvpiz_2</t>
  </si>
  <si>
    <t>“美食速递”</t>
  </si>
  <si>
    <t>enemy_10039_cnvber</t>
  </si>
  <si>
    <t>cnvber</t>
  </si>
  <si>
    <t>“开怀畅饮”</t>
  </si>
  <si>
    <t>enemy_10039_cnvber_2</t>
  </si>
  <si>
    <t>cnvber_2</t>
  </si>
  <si>
    <t>“醉后狂欢”</t>
  </si>
  <si>
    <t>enemy_10040_cnvbln</t>
  </si>
  <si>
    <t>cnvbln</t>
  </si>
  <si>
    <t>节日气球</t>
  </si>
  <si>
    <t>enemy_10040_cnvbln_2</t>
  </si>
  <si>
    <t>cnvbln_2</t>
  </si>
  <si>
    <t>巡游气球</t>
  </si>
  <si>
    <t>enemy_1560_cnvlap</t>
  </si>
  <si>
    <t>cnvlap</t>
  </si>
  <si>
    <t>“狂欢之主”（一阶段）</t>
  </si>
  <si>
    <t>Revive_End,B_Move_Start</t>
  </si>
  <si>
    <t>enemy_1560_cnvlapeX</t>
  </si>
  <si>
    <t>“狂欢之主”（二阶段）</t>
  </si>
  <si>
    <t>领袖,远程,狂欢之主</t>
  </si>
  <si>
    <t>真的有人看这个？</t>
  </si>
  <si>
    <t>enemy_10043_sailor</t>
  </si>
  <si>
    <t>sailor</t>
  </si>
  <si>
    <t>寻险水手</t>
  </si>
  <si>
    <t>普通,近战,水手</t>
  </si>
  <si>
    <t>enemy_10043_sailor_2</t>
  </si>
  <si>
    <t>sailor_2</t>
  </si>
  <si>
    <t>历险水手</t>
  </si>
  <si>
    <t>enemy_10043_sailorB</t>
  </si>
  <si>
    <t>寻险水手F</t>
  </si>
  <si>
    <t>enemy_10043_sailor_2B</t>
  </si>
  <si>
    <t>历险水手F</t>
  </si>
  <si>
    <t>enemy_10042_prtrop</t>
  </si>
  <si>
    <t>prtrop</t>
  </si>
  <si>
    <t>架桥船工</t>
  </si>
  <si>
    <t>enemy_10042_prtrop_2</t>
  </si>
  <si>
    <t>prtrop_2</t>
  </si>
  <si>
    <t>扶桥老手</t>
  </si>
  <si>
    <t>enemy_10044_wintun</t>
  </si>
  <si>
    <t>wintun</t>
  </si>
  <si>
    <t>咸鳞汁推荐者</t>
  </si>
  <si>
    <t>enemy_10044_wintun_2</t>
  </si>
  <si>
    <t>wintun_2</t>
  </si>
  <si>
    <t>朗姆酒推荐者</t>
  </si>
  <si>
    <t>enemy_10045_parrot</t>
  </si>
  <si>
    <t>parrot</t>
  </si>
  <si>
    <t>吉兆飞鳞</t>
  </si>
  <si>
    <t>普通,野生动物</t>
  </si>
  <si>
    <t>enemy_10045_parrot_2</t>
  </si>
  <si>
    <t>parrot_2</t>
  </si>
  <si>
    <t>噩兆飞鳞</t>
  </si>
  <si>
    <t>enemy_10045_parroteX</t>
  </si>
  <si>
    <t>吉兆飞鳞EX</t>
  </si>
  <si>
    <t>enemy_10045_parrot_2eX</t>
  </si>
  <si>
    <t>噩兆飞鳞EX</t>
  </si>
  <si>
    <t>enemy_10046_pshark</t>
  </si>
  <si>
    <t>pshark</t>
  </si>
  <si>
    <t>撼地盐鳞</t>
  </si>
  <si>
    <t>精英,近战,野生动物,胖盐鳞1</t>
  </si>
  <si>
    <t>enemy_10046_pshark_2</t>
  </si>
  <si>
    <t>pshark_2</t>
  </si>
  <si>
    <t>裂地盐鳞</t>
  </si>
  <si>
    <t>精英,近战,野生动物,胖盐鳞2</t>
  </si>
  <si>
    <t>enemy_10047_shrknt</t>
  </si>
  <si>
    <t>shrknt</t>
  </si>
  <si>
    <t>爆炸追寻者</t>
  </si>
  <si>
    <t>1_Default</t>
  </si>
  <si>
    <t>1_Idle</t>
  </si>
  <si>
    <t>1_Move</t>
  </si>
  <si>
    <t>1_Die</t>
  </si>
  <si>
    <t>enemy_10047_shrknt_2</t>
  </si>
  <si>
    <t>shrknt_2</t>
  </si>
  <si>
    <t>爆炸信奉者</t>
  </si>
  <si>
    <t>enemy_10048_prtsld</t>
  </si>
  <si>
    <t>prtsld</t>
  </si>
  <si>
    <t>血腥厨子</t>
  </si>
  <si>
    <t>enemy_10048_prtsld_2</t>
  </si>
  <si>
    <t>prtsld_2</t>
  </si>
  <si>
    <t>恐怖厨子</t>
  </si>
  <si>
    <t>enemy_10049_pcaptn</t>
  </si>
  <si>
    <t>pcaptn</t>
  </si>
  <si>
    <t>爆鸣水手长</t>
  </si>
  <si>
    <t>enemy_10049_pcaptn_2</t>
  </si>
  <si>
    <t>pcaptn_2</t>
  </si>
  <si>
    <t>美声水手长</t>
  </si>
  <si>
    <t>enemy_1561_crzjdg</t>
  </si>
  <si>
    <t>crzjdg</t>
  </si>
  <si>
    <t>安纳斯塔西奥，赎罪者（一阶段）</t>
  </si>
  <si>
    <t>A_Revive_3_B</t>
  </si>
  <si>
    <t>enemy_1561_crzjdgeX</t>
  </si>
  <si>
    <t>安纳斯塔西奥，赎罪者（二阶段）</t>
  </si>
  <si>
    <t>enemy_10059_cjgfod</t>
  </si>
  <si>
    <t>cjgfod</t>
  </si>
  <si>
    <t>10059</t>
  </si>
  <si>
    <t>饮啄</t>
  </si>
  <si>
    <t>普通,化物,筷子</t>
  </si>
  <si>
    <t>enemy_10060_cjbfod</t>
  </si>
  <si>
    <t>cjbfod</t>
  </si>
  <si>
    <t>10060</t>
  </si>
  <si>
    <t>无谓</t>
  </si>
  <si>
    <t>enemy_10050_cjmeat</t>
  </si>
  <si>
    <t>cjmeat</t>
  </si>
  <si>
    <t>10050</t>
  </si>
  <si>
    <t>饔</t>
  </si>
  <si>
    <t>enemy_10050_cjmeat_2</t>
  </si>
  <si>
    <t>cjmeat_2</t>
  </si>
  <si>
    <t>飧</t>
  </si>
  <si>
    <t>enemy_10051_cjmag</t>
  </si>
  <si>
    <t>cjmag</t>
  </si>
  <si>
    <t>10051</t>
  </si>
  <si>
    <t>“停箸”</t>
  </si>
  <si>
    <t>enemy_10051_cjmag_2</t>
  </si>
  <si>
    <t>cjmag_2</t>
  </si>
  <si>
    <t>“废食”</t>
  </si>
  <si>
    <t>enemy_10052_cjshld</t>
  </si>
  <si>
    <t>cjshld</t>
  </si>
  <si>
    <t>10052</t>
  </si>
  <si>
    <t>“果腹”</t>
  </si>
  <si>
    <t>enemy_10052_cjshld_2</t>
  </si>
  <si>
    <t>cjshld_2</t>
  </si>
  <si>
    <t>“饱食”</t>
  </si>
  <si>
    <t>enemy_10053_cjman</t>
  </si>
  <si>
    <t>cjman</t>
  </si>
  <si>
    <t>10053</t>
  </si>
  <si>
    <t>丑言</t>
  </si>
  <si>
    <t>enemy_10053_cjman_2</t>
  </si>
  <si>
    <t>cjman_2</t>
  </si>
  <si>
    <t>恶语</t>
  </si>
  <si>
    <t>enemy_10054_cjhot</t>
  </si>
  <si>
    <t>cjhot</t>
  </si>
  <si>
    <t>10054</t>
  </si>
  <si>
    <t>鼎沸</t>
  </si>
  <si>
    <t>精英,化物</t>
  </si>
  <si>
    <t>enemy_10054_cjhot_2</t>
  </si>
  <si>
    <t>cjhot_2</t>
  </si>
  <si>
    <t>飘香</t>
  </si>
  <si>
    <t>enemy_10055_cjgost</t>
  </si>
  <si>
    <t>cjgost</t>
  </si>
  <si>
    <t>10055</t>
  </si>
  <si>
    <t>绸缪</t>
  </si>
  <si>
    <t>精英,化物,不可复活</t>
  </si>
  <si>
    <t>enemy_10055_cjgost_2</t>
  </si>
  <si>
    <t>cjgost_2</t>
  </si>
  <si>
    <t>无患</t>
  </si>
  <si>
    <t>enemy_10056_cjfish</t>
  </si>
  <si>
    <t>cjfish</t>
  </si>
  <si>
    <t>10056</t>
  </si>
  <si>
    <t>“面子”</t>
  </si>
  <si>
    <t>enemy_10056_cjfish_2</t>
  </si>
  <si>
    <t>cjfish_2</t>
  </si>
  <si>
    <t>“里子”</t>
  </si>
  <si>
    <t>enemy_10057_cjstel</t>
  </si>
  <si>
    <t>cjstel</t>
  </si>
  <si>
    <t>10057</t>
  </si>
  <si>
    <t>思旧</t>
  </si>
  <si>
    <t>普通,远程,化物,不可复活</t>
  </si>
  <si>
    <t>Default_a</t>
  </si>
  <si>
    <t>Die_a</t>
  </si>
  <si>
    <t>enemy_10057_cjstel_2</t>
  </si>
  <si>
    <t>cjstel_2</t>
  </si>
  <si>
    <t>念旧</t>
  </si>
  <si>
    <t>enemy_10058_cjfrog</t>
  </si>
  <si>
    <t>cjfrog</t>
  </si>
  <si>
    <t>10058</t>
  </si>
  <si>
    <t>旺财</t>
  </si>
  <si>
    <t>enemy_10058_cjfrog_2</t>
  </si>
  <si>
    <t>cjfrog_2</t>
  </si>
  <si>
    <t>招财</t>
  </si>
  <si>
    <t>enemy_10063_cjdoor</t>
  </si>
  <si>
    <t>cjdoor</t>
  </si>
  <si>
    <t>10063</t>
  </si>
  <si>
    <t>湮没之口</t>
  </si>
  <si>
    <t>普通,化物,不可复活,传送门</t>
  </si>
  <si>
    <t>enemy_10063_cjdoor_2</t>
  </si>
  <si>
    <t>造化之口</t>
  </si>
  <si>
    <t>普通,化物,传送门</t>
  </si>
  <si>
    <t>enemy_1562_cjtaot</t>
  </si>
  <si>
    <t>cjtaot</t>
  </si>
  <si>
    <t>1562</t>
  </si>
  <si>
    <t>无餍</t>
  </si>
  <si>
    <t>领袖,远程.近战,化物,不可复活,无餍</t>
  </si>
  <si>
    <t>enemy_10064_ftyzss</t>
  </si>
  <si>
    <t>ftyzss</t>
  </si>
  <si>
    <t>巡游草叶</t>
  </si>
  <si>
    <t>enemy_10064_ftyzss_2</t>
  </si>
  <si>
    <t>ftyzss_2</t>
  </si>
  <si>
    <t>巡游枯木</t>
  </si>
  <si>
    <t>enemy_10065_ftzlc</t>
  </si>
  <si>
    <t>ftzlc</t>
  </si>
  <si>
    <t>卷心籽</t>
  </si>
  <si>
    <t>近战</t>
  </si>
  <si>
    <t>enemy_10065_ftzlc_2</t>
  </si>
  <si>
    <t>ftzlc_2</t>
  </si>
  <si>
    <t>卷心草</t>
  </si>
  <si>
    <t>enemy_10066_ftxjl</t>
  </si>
  <si>
    <t>ftxjl</t>
  </si>
  <si>
    <t>“巢穴”</t>
  </si>
  <si>
    <t>enemy_10066_ftxjl_2</t>
  </si>
  <si>
    <t>“襁褓”</t>
  </si>
  <si>
    <t>enemy_10067_ftsjc</t>
  </si>
  <si>
    <t>ftsjc</t>
  </si>
  <si>
    <t>灼藤</t>
  </si>
  <si>
    <t>enemy_10067_ftsjc_2</t>
  </si>
  <si>
    <t>ftsjc_2</t>
  </si>
  <si>
    <t>灼芯</t>
  </si>
  <si>
    <t>enemy_10068_ftxsr</t>
  </si>
  <si>
    <t>ftxsr</t>
  </si>
  <si>
    <t>指路芽</t>
  </si>
  <si>
    <t>enemy_10068_ftxsr_2</t>
  </si>
  <si>
    <t>ftxsr_2</t>
  </si>
  <si>
    <t>指路草</t>
  </si>
  <si>
    <t>enemy_10069_ftlsj</t>
  </si>
  <si>
    <t>ftlsj</t>
  </si>
  <si>
    <t>树盾</t>
  </si>
  <si>
    <t>enemy_10069_ftlsj_2</t>
  </si>
  <si>
    <t>ftlsj_2</t>
  </si>
  <si>
    <t>树墙</t>
  </si>
  <si>
    <t>enemy_10070_ftkbtt</t>
  </si>
  <si>
    <t>ftkbtt</t>
  </si>
  <si>
    <t>灰烬造物</t>
  </si>
  <si>
    <t>enemy_10070_ftkbtt_2</t>
  </si>
  <si>
    <t>ftkbtt_2</t>
  </si>
  <si>
    <t>灰烬艺术品</t>
  </si>
  <si>
    <t>enemy_10071_ftprg</t>
  </si>
  <si>
    <t>ftprg</t>
  </si>
  <si>
    <t>“终点”</t>
  </si>
  <si>
    <t>enemy_10071_ftprg_2</t>
  </si>
  <si>
    <t>ftprg_2</t>
  </si>
  <si>
    <t>“中点”</t>
  </si>
  <si>
    <t>enemy_1563_fthlgj</t>
  </si>
  <si>
    <t>fthlgj</t>
  </si>
  <si>
    <t>“万火归一”</t>
  </si>
  <si>
    <t>A_Die_Start</t>
  </si>
  <si>
    <t>enemy_10073_mpcar</t>
  </si>
  <si>
    <t>mpcar</t>
  </si>
  <si>
    <t>迷茫的修理小助手</t>
  </si>
  <si>
    <t>enemy_10073_mpcar_2</t>
  </si>
  <si>
    <t>mpcar_2</t>
  </si>
  <si>
    <t>失控的修理小助手</t>
  </si>
  <si>
    <t>enemy_10074_mpcata</t>
  </si>
  <si>
    <t>mpcata</t>
  </si>
  <si>
    <t>冰镇饮料机</t>
  </si>
  <si>
    <t>enemy_10074_mpcata_2</t>
  </si>
  <si>
    <t>mpcata_2</t>
  </si>
  <si>
    <t>加热饮料机</t>
  </si>
  <si>
    <t>enemy_10075_mpwrj</t>
  </si>
  <si>
    <t>mpwrj</t>
  </si>
  <si>
    <t>无忧货运帮手</t>
  </si>
  <si>
    <t>enemy_10075_mpwrj_2</t>
  </si>
  <si>
    <t>mpwrj_2</t>
  </si>
  <si>
    <t>防爆货运帮手</t>
  </si>
  <si>
    <t>enemy_10076_mpgrou</t>
  </si>
  <si>
    <t>mpgrou</t>
  </si>
  <si>
    <t>“寒灾回响”</t>
  </si>
  <si>
    <t>enemy_10076_mpgrou_2</t>
  </si>
  <si>
    <t>mpgrou_2</t>
  </si>
  <si>
    <t>“风雪中的影子”</t>
  </si>
  <si>
    <t>enemy_10077_mpbarr</t>
  </si>
  <si>
    <t>mpbarr</t>
  </si>
  <si>
    <t>内测版自助出餐终端</t>
  </si>
  <si>
    <t>enemy_10077_mpbarr_2</t>
  </si>
  <si>
    <t>mpbarr_2</t>
  </si>
  <si>
    <t>自助出餐终端原型机</t>
  </si>
  <si>
    <t>enemy_10078_mprein</t>
  </si>
  <si>
    <t>mprein</t>
  </si>
  <si>
    <t>固化源石巨像</t>
  </si>
  <si>
    <t>enemy_10078_mprein_2</t>
  </si>
  <si>
    <t>mprein_2</t>
  </si>
  <si>
    <t>活性源石巨像</t>
  </si>
  <si>
    <t>enemy_10079_mpmage</t>
  </si>
  <si>
    <t>mpmage</t>
  </si>
  <si>
    <t>稳定态萨卡兹术师结晶</t>
  </si>
  <si>
    <t>enemy_10079_mpmage_2</t>
  </si>
  <si>
    <t>mpmage_2</t>
  </si>
  <si>
    <t>活性态萨卡兹术师结晶</t>
  </si>
  <si>
    <t>enemy_10080_mpiced</t>
  </si>
  <si>
    <t>mpiced</t>
  </si>
  <si>
    <t>静滞虚幻·α</t>
  </si>
  <si>
    <t>enemy_10080_mpiced_2</t>
  </si>
  <si>
    <t>mpiced_2</t>
  </si>
  <si>
    <t>静滞虚幻·β</t>
  </si>
  <si>
    <t>enemy_10081_mpplai</t>
  </si>
  <si>
    <t>mpplai</t>
  </si>
  <si>
    <t>转译基底·α</t>
  </si>
  <si>
    <t>enemy_10081_mpplai_2</t>
  </si>
  <si>
    <t>mpplai_2</t>
  </si>
  <si>
    <t>转译基底·β</t>
  </si>
  <si>
    <t>enemy_10083_hlbird</t>
  </si>
  <si>
    <t>hlbird</t>
  </si>
  <si>
    <t>“萨科塔之翼”</t>
  </si>
  <si>
    <t>enemy_10083_hlbird_2</t>
  </si>
  <si>
    <t>hlbird_2</t>
  </si>
  <si>
    <t>“萨科塔展翅”</t>
  </si>
  <si>
    <t>enemy_10084_hlegle</t>
  </si>
  <si>
    <t>hlegle</t>
  </si>
  <si>
    <t>“萨科塔之眼”</t>
  </si>
  <si>
    <t>enemy_10084_hlegle_2</t>
  </si>
  <si>
    <t>hlegle_2</t>
  </si>
  <si>
    <t>“萨科塔见证”</t>
  </si>
  <si>
    <t>enemy_10085_hllevi</t>
  </si>
  <si>
    <t>hllevi</t>
  </si>
  <si>
    <t>“萨科塔之鳍”</t>
  </si>
  <si>
    <t>enemy_10085_hllevi_2</t>
  </si>
  <si>
    <t>hllevi_2</t>
  </si>
  <si>
    <t>“萨科塔昂首”</t>
  </si>
  <si>
    <t>enemy_10086_hltigr</t>
  </si>
  <si>
    <t>hltigr</t>
  </si>
  <si>
    <t>“萨科塔之爪”</t>
  </si>
  <si>
    <t>enemy_10086_hltigr_2</t>
  </si>
  <si>
    <t>hltigr_2</t>
  </si>
  <si>
    <t>“萨科塔匍匐”</t>
  </si>
  <si>
    <t>enemy_10087_hlchgr</t>
  </si>
  <si>
    <t>hlchgr</t>
  </si>
  <si>
    <t>圣堂剑士</t>
  </si>
  <si>
    <t>enemy_10087_hlchgr_2</t>
  </si>
  <si>
    <t>hlchgr_2</t>
  </si>
  <si>
    <t>精锐圣堂剑士</t>
  </si>
  <si>
    <t>enemy_10088_hlsnip</t>
  </si>
  <si>
    <t>hlsnip</t>
  </si>
  <si>
    <t>圣堂射手</t>
  </si>
  <si>
    <t>enemy_10088_hlsnip_2</t>
  </si>
  <si>
    <t>hlsnip_2</t>
  </si>
  <si>
    <t>精锐圣堂射手</t>
  </si>
  <si>
    <t>enemy_10089_hlsprt</t>
  </si>
  <si>
    <t>hlsprt</t>
  </si>
  <si>
    <t>圣堂保育员</t>
  </si>
  <si>
    <t>enemy_10089_hlsprt_2</t>
  </si>
  <si>
    <t>hlsprt_2</t>
  </si>
  <si>
    <t>资深圣堂保育员</t>
  </si>
  <si>
    <t>enemy_10090_hlgrd</t>
  </si>
  <si>
    <t>hlgrd</t>
  </si>
  <si>
    <t>圣堂布道员</t>
  </si>
  <si>
    <t>enemy_10090_hlgrd_2</t>
  </si>
  <si>
    <t>hlgrd_2</t>
  </si>
  <si>
    <t>资深圣堂布道员</t>
  </si>
  <si>
    <t>enemy_10091_hlsttu</t>
  </si>
  <si>
    <t>hlsttu</t>
  </si>
  <si>
    <t>圣徒像</t>
  </si>
  <si>
    <t>enemy_10091_hlsttu_2</t>
  </si>
  <si>
    <t>hlsttu_2</t>
  </si>
  <si>
    <t>圣徒祈祷像</t>
  </si>
  <si>
    <t>enemy_10091_hlsttu_3</t>
  </si>
  <si>
    <t>hlsttu_3</t>
  </si>
  <si>
    <t>“牧首”</t>
  </si>
  <si>
    <t>enemy_1567_pope</t>
  </si>
  <si>
    <t>pope</t>
  </si>
  <si>
    <t>“圣徒”</t>
  </si>
  <si>
    <t>A_Revive_1</t>
  </si>
  <si>
    <t>enemy_10094_crstf</t>
  </si>
  <si>
    <t>crstf</t>
  </si>
  <si>
    <t>临时收音师</t>
  </si>
  <si>
    <t>enemy_10094_crstf_2</t>
  </si>
  <si>
    <t>crstf_2</t>
  </si>
  <si>
    <t>执拗的收音师</t>
  </si>
  <si>
    <t>enemy_10095_crgst</t>
  </si>
  <si>
    <t>crgst</t>
  </si>
  <si>
    <t>加戏群演</t>
  </si>
  <si>
    <t>enemy_10095_crgst_2</t>
  </si>
  <si>
    <t>crgst_2</t>
  </si>
  <si>
    <t>沉浸艺术的群演</t>
  </si>
  <si>
    <t>enemy_10096_crprp</t>
  </si>
  <si>
    <t>crprp</t>
  </si>
  <si>
    <t>疲倦道具师</t>
  </si>
  <si>
    <t>enemy_10096_crprp_2</t>
  </si>
  <si>
    <t>crprp_2</t>
  </si>
  <si>
    <t>渴求瞩目的道具师</t>
  </si>
  <si>
    <t>enemy_10097_crshd</t>
  </si>
  <si>
    <t>crshd</t>
  </si>
  <si>
    <t>心虚设计师</t>
  </si>
  <si>
    <t>enemy_10097_crshd_2</t>
  </si>
  <si>
    <t>crshd_2</t>
  </si>
  <si>
    <t>顺从内心的设计师</t>
  </si>
  <si>
    <t>enemy_10098_crhro</t>
  </si>
  <si>
    <t>crhro</t>
  </si>
  <si>
    <t>主角阵营角色</t>
  </si>
  <si>
    <t>enemy_10098_crhro_2</t>
  </si>
  <si>
    <t>crhro_2</t>
  </si>
  <si>
    <t>命定的主角</t>
  </si>
  <si>
    <t>enemy_10099_crvln</t>
  </si>
  <si>
    <t>crvln</t>
  </si>
  <si>
    <t>反派阵营角色</t>
  </si>
  <si>
    <t>enemy_10099_crvln_2</t>
  </si>
  <si>
    <t>crvln_2</t>
  </si>
  <si>
    <t>命定的反派</t>
  </si>
  <si>
    <t>enemy_10100_crrol</t>
  </si>
  <si>
    <t>crrol</t>
  </si>
  <si>
    <t>灵活假人</t>
  </si>
  <si>
    <t>enemy_10100_crrol_2</t>
  </si>
  <si>
    <t>crrol_2</t>
  </si>
  <si>
    <t>意识自由的假人</t>
  </si>
  <si>
    <t>enemy_10101_crgun</t>
  </si>
  <si>
    <t>crgun</t>
  </si>
  <si>
    <t>不满摄影师</t>
  </si>
  <si>
    <t>enemy_10101_crgun_2</t>
  </si>
  <si>
    <t>crgun_2</t>
  </si>
  <si>
    <t>宣泄暴力的摄影师</t>
  </si>
  <si>
    <t>enemy_1568_dirctr</t>
  </si>
  <si>
    <t>dirctr</t>
  </si>
  <si>
    <t>“酒神”</t>
  </si>
  <si>
    <t>enemy_10103_mjcppp</t>
  </si>
  <si>
    <t>mjcppp</t>
  </si>
  <si>
    <t>浅睡的臼齿</t>
  </si>
  <si>
    <t>enemy_10103_mjcppp_2</t>
  </si>
  <si>
    <t>mjcppp_2</t>
  </si>
  <si>
    <t>沉睡的臼齿</t>
  </si>
  <si>
    <t>enemy_10104_mjcbln</t>
  </si>
  <si>
    <t>mjcbln</t>
  </si>
  <si>
    <t>布景小丑</t>
  </si>
  <si>
    <t>enemy_10104_mjcbln_2</t>
  </si>
  <si>
    <t>mjcbln_2</t>
  </si>
  <si>
    <t>布景大师</t>
  </si>
  <si>
    <t>enemy_10105_mjcdol</t>
  </si>
  <si>
    <t>mjcdol</t>
  </si>
  <si>
    <t>发条仆从</t>
  </si>
  <si>
    <t>enemy_10106_mjcbat</t>
  </si>
  <si>
    <t>mjcbat</t>
  </si>
  <si>
    <t>玩耍的卡尔顿</t>
  </si>
  <si>
    <t>enemy_10106_mjcbat_2</t>
  </si>
  <si>
    <t>mjcbat_2</t>
  </si>
  <si>
    <t>欢快的卡尔顿</t>
  </si>
  <si>
    <t>enemy_10107_mjcdog</t>
  </si>
  <si>
    <t>mjcdog</t>
  </si>
  <si>
    <t>安眠伴随兽</t>
  </si>
  <si>
    <t>enemy_10107_mjcdog_2</t>
  </si>
  <si>
    <t>mjcdog_2</t>
  </si>
  <si>
    <t>沉眠伴随兽</t>
  </si>
  <si>
    <t>enemy_10108_mjclun</t>
  </si>
  <si>
    <t>mjclun</t>
  </si>
  <si>
    <t>梦游管家</t>
  </si>
  <si>
    <t>enemy_10108_mjclun_2</t>
  </si>
  <si>
    <t>mjclun_2</t>
  </si>
  <si>
    <t>梦游大总管</t>
  </si>
  <si>
    <t>enemy_10109_mjcgst</t>
  </si>
  <si>
    <t>mjcgst</t>
  </si>
  <si>
    <t>沃尔夫之影</t>
  </si>
  <si>
    <t>enemy_10109_mjcgst_2</t>
  </si>
  <si>
    <t>mjcgst_2</t>
  </si>
  <si>
    <t>沃尔夫幽影</t>
  </si>
  <si>
    <t>enemy_10110_mjcsdw</t>
  </si>
  <si>
    <t>mjcsdw</t>
  </si>
  <si>
    <t>“破茧之梦”</t>
  </si>
  <si>
    <t>enemy_10110_mjcsdw_2</t>
  </si>
  <si>
    <t>mjcsdw_2</t>
  </si>
  <si>
    <t>“羽化之梦”</t>
  </si>
  <si>
    <t>enemy_1569_ldevil</t>
  </si>
  <si>
    <t>ldevil</t>
  </si>
  <si>
    <t>莫菲丝</t>
  </si>
  <si>
    <t>enemy_10111_ymgpck</t>
  </si>
  <si>
    <t>ymgpck</t>
  </si>
  <si>
    <t>“某种天命”</t>
  </si>
  <si>
    <t>enemy_10112_ymgds</t>
  </si>
  <si>
    <t>ymgds</t>
  </si>
  <si>
    <t>冒失的小弟</t>
  </si>
  <si>
    <t>enemy_10112_ymgds_2</t>
  </si>
  <si>
    <t>ymgds_2</t>
  </si>
  <si>
    <t>资深的小弟</t>
  </si>
  <si>
    <t>enemy_10113_ymgung</t>
  </si>
  <si>
    <t>ymgung</t>
  </si>
  <si>
    <t>雷遁忍者</t>
  </si>
  <si>
    <t>enemy_10113_ymgung_2</t>
  </si>
  <si>
    <t>ymgung_2</t>
  </si>
  <si>
    <t>雷遁宗师</t>
  </si>
  <si>
    <t>enemy_10114_ymgsld</t>
  </si>
  <si>
    <t>ymgsld</t>
  </si>
  <si>
    <t>悲观的大哥</t>
  </si>
  <si>
    <t>enemy_10114_ymgsld_2</t>
  </si>
  <si>
    <t>ymgsld_2</t>
  </si>
  <si>
    <t>绝望的大哥</t>
  </si>
  <si>
    <t>enemy_10115_ymghol</t>
  </si>
  <si>
    <t>ymghol</t>
  </si>
  <si>
    <t>土遁忍者</t>
  </si>
  <si>
    <t>enemy_10115_ymghol_2</t>
  </si>
  <si>
    <t>ymghol_2</t>
  </si>
  <si>
    <t>土遁宗师</t>
  </si>
  <si>
    <t>enemy_10116_ymgtop</t>
  </si>
  <si>
    <t>ymgtop</t>
  </si>
  <si>
    <t>水遁忍者</t>
  </si>
  <si>
    <t>enemy_10116_ymgtop_2</t>
  </si>
  <si>
    <t>ymgtop_2</t>
  </si>
  <si>
    <t>水遁宗师</t>
  </si>
  <si>
    <t>enemy_10117_ymggld</t>
  </si>
  <si>
    <t>ymggld</t>
  </si>
  <si>
    <t>风遁忍者</t>
  </si>
  <si>
    <t>enemy_10117_ymggld_2</t>
  </si>
  <si>
    <t>ymggld_2</t>
  </si>
  <si>
    <t>风遁宗师</t>
  </si>
  <si>
    <t>enemy_10118_ymgprc</t>
  </si>
  <si>
    <t>ymgprc</t>
  </si>
  <si>
    <t>澪</t>
  </si>
  <si>
    <t>enemy_10119_ymgbxm</t>
  </si>
  <si>
    <t>ymgbxm</t>
  </si>
  <si>
    <t>压力舒缓帮手</t>
  </si>
  <si>
    <t>enemy_10119_ymgbxm_2</t>
  </si>
  <si>
    <t>ymgbxm_2</t>
  </si>
  <si>
    <t>压力归零帮手</t>
  </si>
  <si>
    <t>enemy_1570_ymgscm</t>
  </si>
  <si>
    <t>ymgscm</t>
  </si>
  <si>
    <t>三船光平</t>
  </si>
  <si>
    <t>enemy_10120_uaghst</t>
  </si>
  <si>
    <t>uaghst</t>
  </si>
  <si>
    <t>集团军潜行兵</t>
  </si>
  <si>
    <t>enemy_10120_uaghst_2</t>
  </si>
  <si>
    <t>uaghst_2</t>
  </si>
  <si>
    <t>集团军幽灵兵</t>
  </si>
  <si>
    <t>enemy_10121_uasnip</t>
  </si>
  <si>
    <t>uasnip</t>
  </si>
  <si>
    <t>集团军机动弩手</t>
  </si>
  <si>
    <t>enemy_10121_uasnip_2</t>
  </si>
  <si>
    <t>uasnip_2</t>
  </si>
  <si>
    <t>集团军精锐弩手</t>
  </si>
  <si>
    <t>enemy_10122_uacann</t>
  </si>
  <si>
    <t>uacann</t>
  </si>
  <si>
    <t>集团军轻型火炮</t>
  </si>
  <si>
    <t>enemy_10122_uacann_2</t>
  </si>
  <si>
    <t>uacann_2</t>
  </si>
  <si>
    <t>集团军重型火炮</t>
  </si>
  <si>
    <t>enemy_10123_uareap</t>
  </si>
  <si>
    <t>uareap</t>
  </si>
  <si>
    <t>破城者</t>
  </si>
  <si>
    <t>enemy_10123_uareap_2</t>
  </si>
  <si>
    <t>uareap_2</t>
  </si>
  <si>
    <t>破城者·Ⅱ型</t>
  </si>
  <si>
    <t>enemy_10124_uashld</t>
  </si>
  <si>
    <t>uashld</t>
  </si>
  <si>
    <t>集团军盾卫</t>
  </si>
  <si>
    <t>enemy_10124_uashld_2</t>
  </si>
  <si>
    <t>uashld_2</t>
  </si>
  <si>
    <t>集团军中坚盾卫</t>
  </si>
  <si>
    <t>enemy_10125_uacomd</t>
  </si>
  <si>
    <t>uacomd</t>
  </si>
  <si>
    <t>集团军前线指挥员</t>
  </si>
  <si>
    <t>enemy_10125_uacomd_2</t>
  </si>
  <si>
    <t>uacomd_2</t>
  </si>
  <si>
    <t>集团军核心指挥官</t>
  </si>
  <si>
    <t>enemy_10126_rkbomb</t>
  </si>
  <si>
    <t>rkbomb</t>
  </si>
  <si>
    <t>异质源石虫</t>
  </si>
  <si>
    <t>enemy_10126_rkbomb_2</t>
  </si>
  <si>
    <t>rkbomb_2</t>
  </si>
  <si>
    <t>异质源石虫·α</t>
  </si>
  <si>
    <t>enemy_10127_rkmbst</t>
  </si>
  <si>
    <t>rkmbst</t>
  </si>
  <si>
    <t>异质裂兽</t>
  </si>
  <si>
    <t>enemy_10127_rkmbst_2</t>
  </si>
  <si>
    <t>rkmbst_2</t>
  </si>
  <si>
    <t>异质裂兽·α</t>
  </si>
  <si>
    <t>enemy_10128_fearpj</t>
  </si>
  <si>
    <t>fearpj</t>
  </si>
  <si>
    <t>“惘核”</t>
  </si>
  <si>
    <t>enemy_1571_mirbst</t>
  </si>
  <si>
    <t>mirbst</t>
  </si>
  <si>
    <t>狂躁异质裂兽</t>
  </si>
  <si>
    <t>enemy_1572_folchr</t>
  </si>
  <si>
    <t>folchr</t>
  </si>
  <si>
    <t>圣愚</t>
  </si>
  <si>
    <t>enemy_10138_xdsnow</t>
  </si>
  <si>
    <t>xdsnow</t>
  </si>
  <si>
    <t>雪孩子</t>
  </si>
  <si>
    <t>enemy_10138_xdsnow_2</t>
  </si>
  <si>
    <t>xdsnow_2</t>
  </si>
  <si>
    <t>雪顽童</t>
  </si>
  <si>
    <t>enemy_10139_xdseal</t>
  </si>
  <si>
    <t>xdseal</t>
  </si>
  <si>
    <t>蓬松雪球</t>
  </si>
  <si>
    <t>enemy_10139_xdseal_2</t>
  </si>
  <si>
    <t>xdseal_2</t>
  </si>
  <si>
    <t>夜色雪球</t>
  </si>
  <si>
    <t>enemy_10140_xdbird</t>
  </si>
  <si>
    <t>xdbird</t>
  </si>
  <si>
    <t>洞栖雪灵</t>
  </si>
  <si>
    <t>enemy_10140_xdbird_2</t>
  </si>
  <si>
    <t>xdbird_2</t>
  </si>
  <si>
    <t>山谷雪灵</t>
  </si>
  <si>
    <t>enemy_10141_xdpeng</t>
  </si>
  <si>
    <t>xdpeng</t>
  </si>
  <si>
    <t>抱蛋羽兽</t>
  </si>
  <si>
    <t>enemy_10141_xdpeng_2</t>
  </si>
  <si>
    <t>xdpeng_2</t>
  </si>
  <si>
    <t>拥霜羽兽</t>
  </si>
  <si>
    <t>enemy_10142_xdturt</t>
  </si>
  <si>
    <t>xdturt</t>
  </si>
  <si>
    <t>翻身甲</t>
  </si>
  <si>
    <t>enemy_10142_xdturt_2</t>
  </si>
  <si>
    <t>xdturt_2</t>
  </si>
  <si>
    <t>坚冰翻身甲</t>
  </si>
  <si>
    <t>enemy_10143_xdmush</t>
  </si>
  <si>
    <t>xdmush</t>
  </si>
  <si>
    <t>小雪伞</t>
  </si>
  <si>
    <t>enemy_10143_xdmush_2</t>
  </si>
  <si>
    <t>xdmush_2</t>
  </si>
  <si>
    <t>焕生雪伞</t>
  </si>
  <si>
    <t>enemy_10144_xdelk</t>
  </si>
  <si>
    <t>xdelk</t>
  </si>
  <si>
    <t>巨角卢鲁</t>
  </si>
  <si>
    <t>enemy_10144_xdelk_2</t>
  </si>
  <si>
    <t>xdelk_2</t>
  </si>
  <si>
    <t>乌顶巨角卢鲁</t>
  </si>
  <si>
    <t>enemy_10145_xdrock</t>
  </si>
  <si>
    <t>xdrock</t>
  </si>
  <si>
    <t>伊斯贝塔</t>
  </si>
  <si>
    <t>enemy_10145_xdrock_2</t>
  </si>
  <si>
    <t>xdrock_2</t>
  </si>
  <si>
    <t>斯托斯贝塔</t>
  </si>
  <si>
    <t>enemy_1574_xdagt</t>
  </si>
  <si>
    <t>xdagt</t>
  </si>
  <si>
    <t>披挂冰雪的少女</t>
  </si>
  <si>
    <t>enemy_1576_spbell</t>
  </si>
  <si>
    <t>spbell</t>
  </si>
  <si>
    <t>喀兰圣女</t>
  </si>
  <si>
    <t>Die_Begin</t>
  </si>
  <si>
    <t>enemy_10146_nscola</t>
  </si>
  <si>
    <t>nscola</t>
  </si>
  <si>
    <t>开天汽水瓶</t>
  </si>
  <si>
    <t>通用敌方近战攻击,穿刺手加速</t>
  </si>
  <si>
    <t>enemy_10146_nscola_2</t>
  </si>
  <si>
    <t>nscola_2</t>
  </si>
  <si>
    <t>开天汽水瓶·酸辣味</t>
  </si>
  <si>
    <t>enemy_10147_nsbomb</t>
  </si>
  <si>
    <t>nsbomb</t>
  </si>
  <si>
    <t>遮天面包机</t>
  </si>
  <si>
    <t>enemy_10147_nsbomb_2</t>
  </si>
  <si>
    <t>nsbomb_2</t>
  </si>
  <si>
    <t>遮天面包机·果酱款</t>
  </si>
  <si>
    <t>enemy_10148_nsmos</t>
  </si>
  <si>
    <t>nsmos</t>
  </si>
  <si>
    <t>啸天吸尘器</t>
  </si>
  <si>
    <t>enemy_10148_nsmos_2</t>
  </si>
  <si>
    <t>nsmos_2</t>
  </si>
  <si>
    <t>啸天吸尘器·大力版</t>
  </si>
  <si>
    <t>enemy_10149_nscan</t>
  </si>
  <si>
    <t>nscan</t>
  </si>
  <si>
    <t>掀天汽水桶</t>
  </si>
  <si>
    <t>enemy_10149_nscan_2</t>
  </si>
  <si>
    <t>nscan_2</t>
  </si>
  <si>
    <t>掀天汽水桶·家庭装</t>
  </si>
  <si>
    <t>enemy_10150_nsheat</t>
  </si>
  <si>
    <t>nsheat</t>
  </si>
  <si>
    <t>炙烤螺旋桨</t>
  </si>
  <si>
    <t>enemy_10150_nsheat_2</t>
  </si>
  <si>
    <t>nsheat_2</t>
  </si>
  <si>
    <t>焦香螺旋桨</t>
  </si>
  <si>
    <t>enemy_10151_nspace</t>
  </si>
  <si>
    <t>nspace</t>
  </si>
  <si>
    <t>行天卫生间</t>
  </si>
  <si>
    <t>enemy_10151_nspace_2</t>
  </si>
  <si>
    <t>nspace_2</t>
  </si>
  <si>
    <t>行天救护车</t>
  </si>
  <si>
    <t>enemy_10152_nstree</t>
  </si>
  <si>
    <t>nstree</t>
  </si>
  <si>
    <t>“自由的树”</t>
  </si>
  <si>
    <t>enemy_10152_nstree_2</t>
  </si>
  <si>
    <t>nstree_2</t>
  </si>
  <si>
    <t>“逐日的树”</t>
  </si>
  <si>
    <t>enemy_10153_nsblon</t>
  </si>
  <si>
    <t>nsblon</t>
  </si>
  <si>
    <t>热气球</t>
  </si>
  <si>
    <t>enemy_10153_nsblon_2</t>
  </si>
  <si>
    <t>nsblon_2</t>
  </si>
  <si>
    <t>强力热气球</t>
  </si>
  <si>
    <t>enemy_1579_nstmom</t>
  </si>
  <si>
    <t>nstmom</t>
  </si>
  <si>
    <t>女妖河谷的拂哀菈</t>
  </si>
  <si>
    <t>enemy_10154_mnmblx</t>
  </si>
  <si>
    <t>mnmblx</t>
  </si>
  <si>
    <t>“英雄的呼唤”</t>
  </si>
  <si>
    <t>enemy_10155_mntjsd</t>
  </si>
  <si>
    <t>mntjsd</t>
  </si>
  <si>
    <t>投矛的士兵</t>
  </si>
  <si>
    <t>enemy_10155_mntjsd_2</t>
  </si>
  <si>
    <t>mntjsd_2</t>
  </si>
  <si>
    <t>投矛的勇士</t>
  </si>
  <si>
    <t>enemy_10156_mncrer</t>
  </si>
  <si>
    <t>mncrer</t>
  </si>
  <si>
    <t>新手祭司学徒</t>
  </si>
  <si>
    <t>enemy_10156_mncrer_2</t>
  </si>
  <si>
    <t>mncrer_2</t>
  </si>
  <si>
    <t>见习祭司学徒</t>
  </si>
  <si>
    <t>enemy_10157_mnggyl</t>
  </si>
  <si>
    <t>mnggyl</t>
  </si>
  <si>
    <t>疑问的雕像</t>
  </si>
  <si>
    <t>enemy_10157_mnggyl_2</t>
  </si>
  <si>
    <t>mnggyl_2</t>
  </si>
  <si>
    <t>失望的雕像</t>
  </si>
  <si>
    <t>enemy_10158_mnzeno</t>
  </si>
  <si>
    <t>mnzeno</t>
  </si>
  <si>
    <t>小跑的斐迪庇第斯</t>
  </si>
  <si>
    <t>enemy_10158_mnzeno_2</t>
  </si>
  <si>
    <t>mnzeno_2</t>
  </si>
  <si>
    <t>狂奔的斐迪庇第斯</t>
  </si>
  <si>
    <t>enemy_10159_mntrjn</t>
  </si>
  <si>
    <t>mntrjn</t>
  </si>
  <si>
    <t>伊利昂的木驮兽</t>
  </si>
  <si>
    <t>enemy_10159_mntrjn_2</t>
  </si>
  <si>
    <t>mntrjn_2</t>
  </si>
  <si>
    <t>伊利昂的铁驮兽</t>
  </si>
  <si>
    <t>enemy_10160_mnlaur</t>
  </si>
  <si>
    <t>mnlaur</t>
  </si>
  <si>
    <t>传唱喜剧的诗人</t>
  </si>
  <si>
    <t>enemy_10160_mnlaur_2</t>
  </si>
  <si>
    <t>mnlaur_2</t>
  </si>
  <si>
    <t>传唱悲剧的诗人</t>
  </si>
  <si>
    <t>enemy_10161_mnserv</t>
  </si>
  <si>
    <t>mnserv</t>
  </si>
  <si>
    <t>英雄的理想</t>
  </si>
  <si>
    <t>enemy_10161_mnserv_2</t>
  </si>
  <si>
    <t>mnserv_2</t>
  </si>
  <si>
    <t>英雄的气概</t>
  </si>
  <si>
    <t>enemy_10162_mnctpt</t>
  </si>
  <si>
    <t>mnctpt</t>
  </si>
  <si>
    <t>自制投石机</t>
  </si>
  <si>
    <t>enemy_10162_mnctpt_2</t>
  </si>
  <si>
    <t>mnctpt_2</t>
  </si>
  <si>
    <t>翻新投石机</t>
  </si>
  <si>
    <t>enemy_10163_mnctur</t>
  </si>
  <si>
    <t>mnctur</t>
  </si>
  <si>
    <t>帕拉杜利斯</t>
  </si>
  <si>
    <t>enemy_10163_mnctur_2</t>
  </si>
  <si>
    <t>mnctur_2</t>
  </si>
  <si>
    <t>神勇的帕拉杜利斯</t>
  </si>
  <si>
    <t>enemy_1580_mnchrn</t>
  </si>
  <si>
    <t>mnchrn</t>
  </si>
  <si>
    <t>赞索斯，复仇者</t>
  </si>
  <si>
    <t>enemy_1581_mnchrs</t>
  </si>
  <si>
    <t>mnchrs</t>
  </si>
  <si>
    <t>“无数的伊萨科斯”</t>
  </si>
  <si>
    <t>enemy_10164_tjgxb</t>
  </si>
  <si>
    <t>tjgxb</t>
  </si>
  <si>
    <t>操戈</t>
  </si>
  <si>
    <t>enemy_10164_tjgxb_2</t>
  </si>
  <si>
    <t>tjgxb_2</t>
  </si>
  <si>
    <t>操戈·凌</t>
  </si>
  <si>
    <t>enemy_10165_tjggb</t>
  </si>
  <si>
    <t>tjggb</t>
  </si>
  <si>
    <t>挽弓</t>
  </si>
  <si>
    <t>enemy_10165_tjggb_2</t>
  </si>
  <si>
    <t>tjggb_2</t>
  </si>
  <si>
    <t>挽弓·鸣</t>
  </si>
  <si>
    <t>enemy_10166_tjgdlb</t>
  </si>
  <si>
    <t>tjgdlb</t>
  </si>
  <si>
    <t>拔山</t>
  </si>
  <si>
    <t>enemy_10166_tjgdlb_2</t>
  </si>
  <si>
    <t>tjgdlb_2</t>
  </si>
  <si>
    <t>拔山·盖</t>
  </si>
  <si>
    <t>enemy_10167_tjgsfj</t>
  </si>
  <si>
    <t>tjgsfj</t>
  </si>
  <si>
    <t>挟潮</t>
  </si>
  <si>
    <t>Black_Default</t>
  </si>
  <si>
    <t>Black_Idle</t>
  </si>
  <si>
    <t>Black_Move</t>
  </si>
  <si>
    <t>Black_Die</t>
  </si>
  <si>
    <t>enemy_10167_tjgsfj_2</t>
  </si>
  <si>
    <t>tjgsfj_2</t>
  </si>
  <si>
    <t>挟潮·来</t>
  </si>
  <si>
    <t>扶潮</t>
  </si>
  <si>
    <t>White_Default</t>
  </si>
  <si>
    <t>White_Idle</t>
  </si>
  <si>
    <t>White_Move</t>
  </si>
  <si>
    <t>White_Die</t>
  </si>
  <si>
    <t>扶潮·归</t>
  </si>
  <si>
    <t>enemy_10168_tjgly</t>
  </si>
  <si>
    <t>tjgly</t>
  </si>
  <si>
    <t>浪里玄条</t>
  </si>
  <si>
    <t>enemy_10168_tjgly_2</t>
  </si>
  <si>
    <t>tjgly_2</t>
  </si>
  <si>
    <t>浪里玄条·锈</t>
  </si>
  <si>
    <t>enemy_10169_tjgtsz</t>
  </si>
  <si>
    <t>tjgtsz</t>
  </si>
  <si>
    <t>云中墨贼</t>
  </si>
  <si>
    <t>enemy_10169_tjgtsz_2</t>
  </si>
  <si>
    <t>tjgtsz_2</t>
  </si>
  <si>
    <t>云中墨贼·蚀</t>
  </si>
  <si>
    <t>enemy_10170_wangz</t>
  </si>
  <si>
    <t>wangz</t>
  </si>
  <si>
    <t>霜劫</t>
  </si>
  <si>
    <t>enemy_10170_wangz_2</t>
  </si>
  <si>
    <t>wangz_2</t>
  </si>
  <si>
    <t>霜劫·争</t>
  </si>
  <si>
    <t>enemy_10171_ssttz</t>
  </si>
  <si>
    <t>ssttz</t>
  </si>
  <si>
    <t>椿</t>
  </si>
  <si>
    <t>enemy_10172_sheart</t>
  </si>
  <si>
    <t>sheart</t>
  </si>
  <si>
    <t>“未熄”</t>
  </si>
  <si>
    <t>enemy_3012_tjgcb</t>
  </si>
  <si>
    <t>tjgcb</t>
  </si>
  <si>
    <t>饷事</t>
  </si>
  <si>
    <t>通用敌方近战攻击,平民不可阻挡</t>
  </si>
  <si>
    <t>enemy_3013_tjglb</t>
  </si>
  <si>
    <t>tjglb</t>
  </si>
  <si>
    <t>炊事</t>
  </si>
  <si>
    <t>enemy_3014_wangw</t>
  </si>
  <si>
    <t>wangw</t>
  </si>
  <si>
    <t>“执白者”</t>
  </si>
  <si>
    <t>enemy_10193_ubhh</t>
  </si>
  <si>
    <t>ubhh</t>
  </si>
  <si>
    <t>撬棍巡逻者</t>
  </si>
  <si>
    <t>enemy_10193_ubhh_2</t>
  </si>
  <si>
    <t>ubhh_2</t>
  </si>
  <si>
    <t>撬棍追捕者</t>
  </si>
  <si>
    <t>enemy_10194_ubdg</t>
  </si>
  <si>
    <t>ubdg</t>
  </si>
  <si>
    <t>玻璃窗粉碎者</t>
  </si>
  <si>
    <t>enemy_10194_ubdg_2</t>
  </si>
  <si>
    <t>ubdg_2</t>
  </si>
  <si>
    <t>玻璃窗毁灭者</t>
  </si>
  <si>
    <t>enemy_10195_ubsb</t>
  </si>
  <si>
    <t>ubsb</t>
  </si>
  <si>
    <t>强光恐吓者</t>
  </si>
  <si>
    <t>enemy_10195_ubsb_2</t>
  </si>
  <si>
    <t>ubsb_2</t>
  </si>
  <si>
    <t>强光监管者</t>
  </si>
  <si>
    <t>enemy_10196_ubba</t>
  </si>
  <si>
    <t>ubba</t>
  </si>
  <si>
    <t>搏命养家者</t>
  </si>
  <si>
    <t>enemy_10196_ubba_2</t>
  </si>
  <si>
    <t>ubba_2</t>
  </si>
  <si>
    <t>搏命享受者</t>
  </si>
  <si>
    <t>enemy_10197_ublyb</t>
  </si>
  <si>
    <t>ublyb</t>
  </si>
  <si>
    <t>酗酒滋事者</t>
  </si>
  <si>
    <t>enemy_10197_ublyb_2</t>
  </si>
  <si>
    <t>ublyb_2</t>
  </si>
  <si>
    <t>酗酒斗殴者</t>
  </si>
  <si>
    <t>enemy_10198_ubjxs</t>
  </si>
  <si>
    <t>ubjxs</t>
  </si>
  <si>
    <t>废金属破坏者</t>
  </si>
  <si>
    <t>enemy_10198_ubjxs_2</t>
  </si>
  <si>
    <t>ubjxs_2</t>
  </si>
  <si>
    <t>废金属爆裂者</t>
  </si>
  <si>
    <t>enemy_10199_ubhb</t>
  </si>
  <si>
    <t>ubhb</t>
  </si>
  <si>
    <t>硬核扰民者</t>
  </si>
  <si>
    <t>enemy_10199_ubhb_2</t>
  </si>
  <si>
    <t>ubhb_2</t>
  </si>
  <si>
    <t>硬核袭警者</t>
  </si>
  <si>
    <t>enemy_10200_ubglmf</t>
  </si>
  <si>
    <t>ubglmf</t>
  </si>
  <si>
    <t>格罗莫夫</t>
  </si>
  <si>
    <t>enemy_3015_ubstb</t>
  </si>
  <si>
    <t>ubstb</t>
  </si>
  <si>
    <t>被关押的学生</t>
  </si>
  <si>
    <t>enemy_1587_ubbplwq</t>
  </si>
  <si>
    <t>ubbplwq</t>
  </si>
  <si>
    <t>巴普洛维奇，枢密官</t>
  </si>
  <si>
    <t>enemy_1588_ubbphw</t>
  </si>
  <si>
    <t>ubbphw</t>
  </si>
  <si>
    <t>“私人安全顾问”</t>
  </si>
  <si>
    <t>enemy_10201_muinf</t>
  </si>
  <si>
    <t>muinf</t>
  </si>
  <si>
    <t>实验样本F-009</t>
  </si>
  <si>
    <t>enemy_10201_muinf_2</t>
  </si>
  <si>
    <t>muinf_2</t>
  </si>
  <si>
    <t>失控的F-009</t>
  </si>
  <si>
    <t>enemy_10202_mubow</t>
  </si>
  <si>
    <t>mubow</t>
  </si>
  <si>
    <t>实验样本R-044</t>
  </si>
  <si>
    <t>enemy_10202_mubow_2</t>
  </si>
  <si>
    <t>mubow_2</t>
  </si>
  <si>
    <t>失控的R-044</t>
  </si>
  <si>
    <t>enemy_10203_mumag</t>
  </si>
  <si>
    <t>mumag</t>
  </si>
  <si>
    <t>异种菌</t>
  </si>
  <si>
    <t>enemy_10203_mumag_2</t>
  </si>
  <si>
    <t>mumag_2</t>
  </si>
  <si>
    <t>血色异种菌</t>
  </si>
  <si>
    <t>enemy_10204_mudia</t>
  </si>
  <si>
    <t>mudia</t>
  </si>
  <si>
    <t>破石草</t>
  </si>
  <si>
    <t>enemy_10204_mudia_2</t>
  </si>
  <si>
    <t>mudia_2</t>
  </si>
  <si>
    <t>血色破石草</t>
  </si>
  <si>
    <t>enemy_10205_mufly</t>
  </si>
  <si>
    <t>mufly</t>
  </si>
  <si>
    <t>实验样本A-000</t>
  </si>
  <si>
    <t>enemy_10205_mufly_2</t>
  </si>
  <si>
    <t>mufly_2</t>
  </si>
  <si>
    <t>失控的A-000</t>
  </si>
  <si>
    <t>enemy_10206_muveg</t>
  </si>
  <si>
    <t>muveg</t>
  </si>
  <si>
    <t>三生花</t>
  </si>
  <si>
    <t>enemy_10206_muveg_2</t>
  </si>
  <si>
    <t>muveg_2</t>
  </si>
  <si>
    <t>血色三生花</t>
  </si>
  <si>
    <t>enemy_10207_mubrut</t>
  </si>
  <si>
    <t>mubrut</t>
  </si>
  <si>
    <t>“希希加”</t>
  </si>
  <si>
    <t>enemy_10207_mubrut_2</t>
  </si>
  <si>
    <t>mubrut_2</t>
  </si>
  <si>
    <t>愤怒的“希希加”</t>
  </si>
  <si>
    <t>enemy_10208_mucow</t>
  </si>
  <si>
    <t>mucow</t>
  </si>
  <si>
    <t>“里霍”</t>
  </si>
  <si>
    <t>enemy_10208_mucow_2</t>
  </si>
  <si>
    <t>mucow_2</t>
  </si>
  <si>
    <t>游荡的“里霍”</t>
  </si>
  <si>
    <t>enemy_10209_mubag</t>
  </si>
  <si>
    <t>mubag</t>
  </si>
  <si>
    <t>“鲁塞尔卡”</t>
  </si>
  <si>
    <t>enemy_10209_mubag_2</t>
  </si>
  <si>
    <t>mubag_2</t>
  </si>
  <si>
    <t>起舞的“鲁塞尔卡”</t>
  </si>
  <si>
    <t>enemy_10210_muwiz</t>
  </si>
  <si>
    <t>muwiz</t>
  </si>
  <si>
    <t>乌萨斯战争术师</t>
  </si>
  <si>
    <t>Leave</t>
  </si>
  <si>
    <t>enemy_10211_murad</t>
  </si>
  <si>
    <t>murad</t>
  </si>
  <si>
    <t>泄漏源</t>
  </si>
  <si>
    <t>enemy_10129_pycdog</t>
  </si>
  <si>
    <t>pycdog</t>
  </si>
  <si>
    <t>冠鸣龙</t>
  </si>
  <si>
    <t>enemy_10129_pycdog_2</t>
  </si>
  <si>
    <t>pycdog_2</t>
  </si>
  <si>
    <t>冠鸣龙王</t>
  </si>
  <si>
    <t>enemy_10130_pycpok</t>
  </si>
  <si>
    <t>pycpok</t>
  </si>
  <si>
    <t>碎壳螈</t>
  </si>
  <si>
    <t>enemy_10130_pycpok_2</t>
  </si>
  <si>
    <t>pycpok_2</t>
  </si>
  <si>
    <t>大名碎壳螈</t>
  </si>
  <si>
    <t>enemy_10131_pycshd</t>
  </si>
  <si>
    <t>pycshd</t>
  </si>
  <si>
    <t>盗壳虫</t>
  </si>
  <si>
    <t>enemy_10131_pycshd_2</t>
  </si>
  <si>
    <t>pycshd_2</t>
  </si>
  <si>
    <t>横纲盗壳虫</t>
  </si>
  <si>
    <t>enemy_10132_pyceat</t>
  </si>
  <si>
    <t>pyceat</t>
  </si>
  <si>
    <t>大喰怪</t>
  </si>
  <si>
    <t>enemy_10132_pyceat_2</t>
  </si>
  <si>
    <t>pyceat_2</t>
  </si>
  <si>
    <t>荒神大喰怪</t>
  </si>
  <si>
    <t>enemy_10133_pycrol</t>
  </si>
  <si>
    <t>pycrol</t>
  </si>
  <si>
    <t>反壳龟</t>
  </si>
  <si>
    <t>enemy_10133_pycrol_2</t>
  </si>
  <si>
    <t>pycrol_2</t>
  </si>
  <si>
    <t>反壳龟·缚</t>
  </si>
  <si>
    <t>enemy_10134_pycspy</t>
  </si>
  <si>
    <t>pycspy</t>
  </si>
  <si>
    <t>影丝蛛</t>
  </si>
  <si>
    <t>enemy_10134_pycspy_2</t>
  </si>
  <si>
    <t>pycspy_2</t>
  </si>
  <si>
    <t>影丝蛛·怨</t>
  </si>
  <si>
    <t>enemy_10135_pycjmp</t>
  </si>
  <si>
    <t>pycjmp</t>
  </si>
  <si>
    <t>咒鬼</t>
  </si>
  <si>
    <t>enemy_10135_pycjmp_2</t>
  </si>
  <si>
    <t>pycjmp_2</t>
  </si>
  <si>
    <t>咒鬼·真</t>
  </si>
  <si>
    <t>enemy_10136_pycblk</t>
  </si>
  <si>
    <t>pycblk</t>
  </si>
  <si>
    <t>岩甲兽</t>
  </si>
  <si>
    <t>enemy_10136_pycblk_2</t>
  </si>
  <si>
    <t>pycblk_2</t>
  </si>
  <si>
    <t>岩甲兽·咒</t>
  </si>
  <si>
    <t>enemy_10137_pycvol</t>
  </si>
  <si>
    <t>pycvol</t>
  </si>
  <si>
    <t>“异兽”熔火蜗</t>
  </si>
  <si>
    <t>enemy_2001_duckmi0</t>
  </si>
  <si>
    <t>鸭爵0</t>
  </si>
  <si>
    <t>enemy_2001_duckmi1</t>
  </si>
  <si>
    <t>鸭爵1</t>
  </si>
  <si>
    <t>enemy_2001_duckmi2</t>
  </si>
  <si>
    <t>鸭爵2</t>
  </si>
  <si>
    <t>enemy_2002_bearmi0</t>
  </si>
  <si>
    <t>高普尼克0</t>
  </si>
  <si>
    <t>enemy_2002_bearmi1</t>
  </si>
  <si>
    <t>高普尼克1</t>
  </si>
  <si>
    <t>enemy_2002_bearmi2</t>
  </si>
  <si>
    <t>高普尼克2</t>
  </si>
  <si>
    <t>Chest_Turn</t>
  </si>
  <si>
    <t>bone3</t>
  </si>
  <si>
    <t>enemy_2010_csdcr_2</t>
  </si>
  <si>
    <t>csdcr_2</t>
  </si>
  <si>
    <t>猩红歌伶</t>
  </si>
  <si>
    <t>C_Coat_a</t>
  </si>
  <si>
    <t>领袖,远程,雪牝</t>
  </si>
  <si>
    <t>Default01</t>
  </si>
  <si>
    <t>Die01</t>
  </si>
  <si>
    <t>领袖,近战,霜牡</t>
  </si>
  <si>
    <t>3,3</t>
  </si>
  <si>
    <t>领袖,远程,剧团喉舌</t>
  </si>
  <si>
    <t>enemy_2020_cswrtr</t>
  </si>
  <si>
    <t>cswrtr</t>
  </si>
  <si>
    <t>2020</t>
  </si>
  <si>
    <t>剧作家</t>
  </si>
  <si>
    <t>C_Waist3</t>
  </si>
  <si>
    <t>埋首创作的无名青年，无法被阻挡，能进行超远距离的法术攻击，其特殊法术会大幅降低我方干员的作战能力。</t>
  </si>
  <si>
    <t>enemy_2021_syfish</t>
  </si>
  <si>
    <t>syfish</t>
  </si>
  <si>
    <t>骨海漂流体</t>
  </si>
  <si>
    <t>enemy_2021_syfish_2</t>
  </si>
  <si>
    <t>syfish_2</t>
  </si>
  <si>
    <t>富营养的漂流体</t>
  </si>
  <si>
    <t>enemy_2022_syzeni</t>
  </si>
  <si>
    <t>syzeni</t>
  </si>
  <si>
    <t>固海凿石者</t>
  </si>
  <si>
    <t>enemy_2022_syzeni_2</t>
  </si>
  <si>
    <t>syzeni_2</t>
  </si>
  <si>
    <t>富营养的凿石者</t>
  </si>
  <si>
    <t>enemy_2023_sypult</t>
  </si>
  <si>
    <t>sypult</t>
  </si>
  <si>
    <t>投嗣育母</t>
  </si>
  <si>
    <t>enemy_2023_sypult_2</t>
  </si>
  <si>
    <t>富营养的投嗣育母</t>
  </si>
  <si>
    <t>enemy_2024_synut</t>
  </si>
  <si>
    <t>synut</t>
  </si>
  <si>
    <t>注亡拟嗣</t>
  </si>
  <si>
    <t>enemy_2025_syufo</t>
  </si>
  <si>
    <t>syufo</t>
  </si>
  <si>
    <t>掠海漂移体</t>
  </si>
  <si>
    <t>C_Body01</t>
  </si>
  <si>
    <t>Default_01</t>
  </si>
  <si>
    <t>Idle_01</t>
  </si>
  <si>
    <t>enemy_2025_syufo_2</t>
  </si>
  <si>
    <t>syufo_2</t>
  </si>
  <si>
    <t>富营养的漂移体</t>
  </si>
  <si>
    <t>enemy_2026_syudg</t>
  </si>
  <si>
    <t>syudg</t>
  </si>
  <si>
    <t>圣徒卡门</t>
  </si>
  <si>
    <t>Waist</t>
  </si>
  <si>
    <t>enemy_2027_syudg2</t>
  </si>
  <si>
    <t>syudg2</t>
  </si>
  <si>
    <t>圣徒伊比利亚</t>
  </si>
  <si>
    <t>enemy_2028_syevil</t>
  </si>
  <si>
    <t>syevil</t>
  </si>
  <si>
    <t>接潮主教</t>
  </si>
  <si>
    <t>领袖,远程,海怪,水月主教</t>
  </si>
  <si>
    <t>enemy_2029_symon</t>
  </si>
  <si>
    <t>symon</t>
  </si>
  <si>
    <t>接潮蔑死体</t>
  </si>
  <si>
    <t>领袖,近战,海怪,水月斥亡体</t>
  </si>
  <si>
    <t>enemy_2030_symon2</t>
  </si>
  <si>
    <t>symon2</t>
  </si>
  <si>
    <t>接潮斥亡体</t>
  </si>
  <si>
    <t>enemy_2031_syboy</t>
  </si>
  <si>
    <t>syboy</t>
  </si>
  <si>
    <t>塑路者</t>
  </si>
  <si>
    <t>领袖,近战,海怪</t>
  </si>
  <si>
    <t>enemy_2032_syboy2</t>
  </si>
  <si>
    <t>syboy2</t>
  </si>
  <si>
    <t>延命塑路者</t>
  </si>
  <si>
    <t>enemy_2033_syboys</t>
  </si>
  <si>
    <t>syboys</t>
  </si>
  <si>
    <t>塑路者分形</t>
  </si>
  <si>
    <t>普通,近战,海怪,塑路者分形</t>
  </si>
  <si>
    <t>enemy_2034_sythef</t>
  </si>
  <si>
    <t>sythef</t>
  </si>
  <si>
    <t>流泪小子</t>
  </si>
  <si>
    <t>F_o3</t>
  </si>
  <si>
    <t>enemy_2035_sybox</t>
  </si>
  <si>
    <t>sybox</t>
  </si>
  <si>
    <t>箱形恐鱼</t>
  </si>
  <si>
    <t>enemy_2036_syshop</t>
  </si>
  <si>
    <t>syshop</t>
  </si>
  <si>
    <t>坎诺特</t>
  </si>
  <si>
    <t>enemy_2037_sygirl</t>
  </si>
  <si>
    <t>sygirl</t>
  </si>
  <si>
    <t>“偏执泡影”</t>
  </si>
  <si>
    <t>enemy_2038_sydonq</t>
  </si>
  <si>
    <t>sydonq</t>
  </si>
  <si>
    <t>最后的骑士</t>
  </si>
  <si>
    <t>enemy_2039_syskad</t>
  </si>
  <si>
    <t>syskad</t>
  </si>
  <si>
    <t>伊莎玛拉，腐化之心</t>
  </si>
  <si>
    <t>enemy_2040_syrott</t>
  </si>
  <si>
    <t>伊莎玛拉</t>
  </si>
  <si>
    <t>Start_02</t>
  </si>
  <si>
    <t>enemy_2040_syrott#</t>
  </si>
  <si>
    <t>伊莎玛拉半血形态</t>
  </si>
  <si>
    <t>enemy_2041_syjely</t>
  </si>
  <si>
    <t>syjely</t>
  </si>
  <si>
    <t>伊祖米克的子代</t>
  </si>
  <si>
    <t>精英,近战,伊祖米克子代</t>
  </si>
  <si>
    <t>enemy_2042_syboss</t>
  </si>
  <si>
    <t>syboss</t>
  </si>
  <si>
    <t>伊祖米克，生态泉源</t>
  </si>
  <si>
    <t>trap_066_rarebox</t>
  </si>
  <si>
    <t>rarebox</t>
  </si>
  <si>
    <t>066</t>
  </si>
  <si>
    <t>尖刺宝箱</t>
  </si>
  <si>
    <t>trap_068_badbox</t>
  </si>
  <si>
    <t>badbox</t>
  </si>
  <si>
    <t>068</t>
  </si>
  <si>
    <t>箱形恐鱼（未激活）</t>
  </si>
  <si>
    <t>enemy_2043_smsbr</t>
  </si>
  <si>
    <t>smsbr</t>
  </si>
  <si>
    <t>染污躯壳</t>
  </si>
  <si>
    <t>普通,近战,坍缩体</t>
  </si>
  <si>
    <t>enemy_2043_smsbr_2</t>
  </si>
  <si>
    <t>smsbr_2</t>
  </si>
  <si>
    <t>空洞躯壳</t>
  </si>
  <si>
    <t>enemy_2044_smwiz</t>
  </si>
  <si>
    <t>smwiz</t>
  </si>
  <si>
    <t>歪曲施法者</t>
  </si>
  <si>
    <t>普通,远程,坍缩体</t>
  </si>
  <si>
    <t>enemy_2044_smwiz_2</t>
  </si>
  <si>
    <t>smwiz_2</t>
  </si>
  <si>
    <t>歪曲萨满</t>
  </si>
  <si>
    <t>enemy_2045_smdrn</t>
  </si>
  <si>
    <t>smdrn</t>
  </si>
  <si>
    <t>坍缩构造体</t>
  </si>
  <si>
    <t>enemy_2045_smdrn_2</t>
  </si>
  <si>
    <t>smdrn_2</t>
  </si>
  <si>
    <t>坍缩凝聚体</t>
  </si>
  <si>
    <t>enemy_2046_smwar</t>
  </si>
  <si>
    <t>smwar</t>
  </si>
  <si>
    <t>木裂战士</t>
  </si>
  <si>
    <t>精英,近战,坍缩体</t>
  </si>
  <si>
    <t>enemy_2046_smwar_2</t>
  </si>
  <si>
    <t>smwar_2</t>
  </si>
  <si>
    <t>木裂战士精锐</t>
  </si>
  <si>
    <t>enemy_1134_smdiamd</t>
  </si>
  <si>
    <t>smdiamd</t>
  </si>
  <si>
    <t>坍缩畸变体</t>
  </si>
  <si>
    <t>enemy_1134_smdiamd_2</t>
  </si>
  <si>
    <t>smdiamd_2</t>
  </si>
  <si>
    <t>enemy_2048_smgrd</t>
  </si>
  <si>
    <t>smgrd</t>
  </si>
  <si>
    <t>“邪魔的利刃”</t>
  </si>
  <si>
    <t>领袖,远程,坍缩体</t>
  </si>
  <si>
    <t>enemy_2049_smgrd2</t>
  </si>
  <si>
    <t>smgrd2</t>
  </si>
  <si>
    <t>“邪魔的利刃”，游荡者</t>
  </si>
  <si>
    <t>enemy_2050_smsha</t>
  </si>
  <si>
    <t>smsha</t>
  </si>
  <si>
    <t>陷落雪祀</t>
  </si>
  <si>
    <t>enemy_2051_smsha2</t>
  </si>
  <si>
    <t>smsha2</t>
  </si>
  <si>
    <t>空洞雪祀</t>
  </si>
  <si>
    <t>enemy_2052_smgia</t>
  </si>
  <si>
    <t>smgia</t>
  </si>
  <si>
    <t>纠缠藤蔓</t>
  </si>
  <si>
    <t>enemy_2053_smgia2</t>
  </si>
  <si>
    <t>smgia2</t>
  </si>
  <si>
    <t>古老藤蔓</t>
  </si>
  <si>
    <t>enemy_2054_smdeer</t>
  </si>
  <si>
    <t>smdeer</t>
  </si>
  <si>
    <t>“萨米的意志”</t>
  </si>
  <si>
    <t>enemy_2055_smlead</t>
  </si>
  <si>
    <t>smlead</t>
  </si>
  <si>
    <t>“木裂”埃克提尔尼尔</t>
  </si>
  <si>
    <t>领袖,近战,坍缩体</t>
  </si>
  <si>
    <t>enemy_2056_smedzi</t>
  </si>
  <si>
    <t>smedzi</t>
  </si>
  <si>
    <t>无垠回荡克雷松</t>
  </si>
  <si>
    <t>enemy_2057_smkght</t>
  </si>
  <si>
    <t>smkght</t>
  </si>
  <si>
    <t>2057</t>
  </si>
  <si>
    <t>哈兰杜汗</t>
  </si>
  <si>
    <t>领袖,近战,哈兰杜汗</t>
  </si>
  <si>
    <t>enemy_2058_smlion</t>
  </si>
  <si>
    <t>smlion</t>
  </si>
  <si>
    <t>路加萨尔古斯</t>
  </si>
  <si>
    <t>领袖,远程,路加萨尔古斯</t>
  </si>
  <si>
    <t>enemy_2059_smbox</t>
  </si>
  <si>
    <t>smbox</t>
  </si>
  <si>
    <t>巨壳藤蔓</t>
  </si>
  <si>
    <t>enemy_2060_smshdw</t>
  </si>
  <si>
    <t>smshdw</t>
  </si>
  <si>
    <t>可汗片影</t>
  </si>
  <si>
    <t>enemy_2061_smhond</t>
  </si>
  <si>
    <t>smhond</t>
  </si>
  <si>
    <t>王者友伴</t>
  </si>
  <si>
    <t>trap_760_skztzs</t>
  </si>
  <si>
    <t>skztzs</t>
  </si>
  <si>
    <t>760</t>
  </si>
  <si>
    <t>年代之刺</t>
  </si>
  <si>
    <t>enemy_2063_skzlch</t>
  </si>
  <si>
    <t>skzlch</t>
  </si>
  <si>
    <t>萨卡兹迷宫劝导者</t>
  </si>
  <si>
    <t>enemy_2064_skzwdd</t>
  </si>
  <si>
    <t>skzwdd</t>
  </si>
  <si>
    <t>萨卡兹迷宫归乡者</t>
  </si>
  <si>
    <t>enemy_2064_skzwdd_2</t>
  </si>
  <si>
    <t>skzwdd_2</t>
  </si>
  <si>
    <t>萨卡兹迷宫返乡者</t>
  </si>
  <si>
    <t>enemy_2065_skzjs</t>
  </si>
  <si>
    <t>skzjs</t>
  </si>
  <si>
    <t>恐卡兹</t>
  </si>
  <si>
    <t>enemy_2066_skzlcp</t>
  </si>
  <si>
    <t>skzlcp</t>
  </si>
  <si>
    <t>萨卡兹迷宫织咒者</t>
  </si>
  <si>
    <t>enemy_2067_skzcy</t>
  </si>
  <si>
    <t>skzcy</t>
  </si>
  <si>
    <t>“门”</t>
  </si>
  <si>
    <t>enemy_2068_skzirn</t>
  </si>
  <si>
    <t>skzirn</t>
  </si>
  <si>
    <t>圣卫自动机</t>
  </si>
  <si>
    <t>enemy_2069_skzbox</t>
  </si>
  <si>
    <t>skzbox</t>
  </si>
  <si>
    <t>迷珍巧械</t>
  </si>
  <si>
    <t>enemy_2070_skzfbx</t>
  </si>
  <si>
    <t>skzfbx</t>
  </si>
  <si>
    <t>迷珍飞械</t>
  </si>
  <si>
    <t>Die1</t>
  </si>
  <si>
    <t>enemy_2071_skzdny</t>
  </si>
  <si>
    <t>skzdny</t>
  </si>
  <si>
    <t>菈玛莲</t>
  </si>
  <si>
    <t>enemy_2072_skdny2</t>
  </si>
  <si>
    <t>skdny2</t>
  </si>
  <si>
    <t>编织泪水的术师</t>
  </si>
  <si>
    <t>enemy_2073_skzrck</t>
  </si>
  <si>
    <t>skzrck</t>
  </si>
  <si>
    <t>饮泣之刺</t>
  </si>
  <si>
    <t>enemy_2074_skzgly</t>
  </si>
  <si>
    <t>skzgly</t>
  </si>
  <si>
    <t>歌利亚</t>
  </si>
  <si>
    <t>enemy_2075_skgly2</t>
  </si>
  <si>
    <t>skgly2</t>
  </si>
  <si>
    <t>遗忘创伤的战士</t>
  </si>
  <si>
    <t>enemy_2076_skzklz</t>
  </si>
  <si>
    <t>skzklz</t>
  </si>
  <si>
    <t>领袖,近战,凯尔希</t>
  </si>
  <si>
    <t>enemy_2077_skklz2</t>
  </si>
  <si>
    <t>skklz2</t>
  </si>
  <si>
    <t>预见末日的贤人</t>
  </si>
  <si>
    <t>enemy_2078_skzmst</t>
  </si>
  <si>
    <t>skzmst</t>
  </si>
  <si>
    <t>Mon2tr</t>
  </si>
  <si>
    <t>领袖,近战,M2</t>
  </si>
  <si>
    <t>enemy_2079_skmst2</t>
  </si>
  <si>
    <t>skmst</t>
  </si>
  <si>
    <t>enemy_2078_skmst</t>
  </si>
  <si>
    <t>迭代的怪物</t>
  </si>
  <si>
    <t>enemy_2080_skzlwy</t>
  </si>
  <si>
    <t>skzlwy</t>
  </si>
  <si>
    <t>弗莱蒙特，诸思之解答</t>
  </si>
  <si>
    <t>C2_Revive_Begin,C2_Revive_Die</t>
  </si>
  <si>
    <t>enemy_2081_skztxs</t>
  </si>
  <si>
    <t>skztxs</t>
  </si>
  <si>
    <t>特雷西斯，黑冠尊主</t>
  </si>
  <si>
    <t>领袖,近战,萨卡兹,萨卡兹特雷西斯,支援单位</t>
  </si>
  <si>
    <t>C1_Revive_Begin</t>
  </si>
  <si>
    <t>enemy_2081_skztxs_2</t>
  </si>
  <si>
    <t>特雷西斯，黑冠尊主（二阶段）</t>
  </si>
  <si>
    <t>C2_Default</t>
  </si>
  <si>
    <t>C2_Skill_Loop</t>
  </si>
  <si>
    <t>C2_Skill_Die</t>
  </si>
  <si>
    <t>trap_762_skztxy</t>
  </si>
  <si>
    <t>skztxy</t>
  </si>
  <si>
    <t>特蕾西娅，黑冠圣贤</t>
  </si>
  <si>
    <t>enemy_762_skztxy</t>
  </si>
  <si>
    <t>领袖,近战,萨卡兹,萨卡兹特蕾西娅</t>
  </si>
  <si>
    <t>trap_761_skzthx_L</t>
  </si>
  <si>
    <t>skzthx</t>
  </si>
  <si>
    <t>trap_761_skzthx</t>
  </si>
  <si>
    <t>尊主的残影左</t>
  </si>
  <si>
    <t>近战,萨卡兹,尊主的残影</t>
  </si>
  <si>
    <t>trap_761_skzthx_R</t>
  </si>
  <si>
    <t>尊主的残影右</t>
  </si>
  <si>
    <t>trap_761_skzthx_U</t>
  </si>
  <si>
    <t>尊主的残影上</t>
  </si>
  <si>
    <t>Idle_Up</t>
  </si>
  <si>
    <t>trap_761_skzthx_D</t>
  </si>
  <si>
    <t>尊主的残影下</t>
  </si>
  <si>
    <t>Idle_Down</t>
  </si>
  <si>
    <t>enemy_2090_skzjbc</t>
  </si>
  <si>
    <t>skzjbc</t>
  </si>
  <si>
    <t>托生莲座</t>
  </si>
  <si>
    <t>精英,奎隆行船</t>
  </si>
  <si>
    <t>enemy_2089_skzjkl</t>
  </si>
  <si>
    <t>skzjkl</t>
  </si>
  <si>
    <t>奎隆，摩诃萨埵权化</t>
  </si>
  <si>
    <t>C_Revive</t>
  </si>
  <si>
    <t>enemy_2089_skzjklB</t>
  </si>
  <si>
    <t>奎隆，摩诃萨埵权化（二阶段）</t>
  </si>
  <si>
    <t>enemy_2082_skzdd</t>
  </si>
  <si>
    <t>skzdd</t>
  </si>
  <si>
    <t>博卓卡斯替，圣卫铳骑</t>
  </si>
  <si>
    <t>领袖,远程,近战,萨卡兹</t>
  </si>
  <si>
    <t>enemy_2084_skzcan</t>
  </si>
  <si>
    <t>skzcan</t>
  </si>
  <si>
    <t>2084</t>
  </si>
  <si>
    <t>古德因纳夫先生</t>
  </si>
  <si>
    <t>enemy_2085_skzjxd</t>
  </si>
  <si>
    <t>skzjxd</t>
  </si>
  <si>
    <t>2085</t>
  </si>
  <si>
    <t>圆仔</t>
  </si>
  <si>
    <t>enemy_2091_skzgds</t>
  </si>
  <si>
    <t>skzgds</t>
  </si>
  <si>
    <t>2091</t>
  </si>
  <si>
    <t>“窗”</t>
  </si>
  <si>
    <t>enemy_2101_dyspll</t>
  </si>
  <si>
    <t>dyspll</t>
  </si>
  <si>
    <t>2101</t>
  </si>
  <si>
    <t>便符</t>
  </si>
  <si>
    <t>enemy_2102_dytmbr</t>
  </si>
  <si>
    <t>dytmbr</t>
  </si>
  <si>
    <t>2102</t>
  </si>
  <si>
    <t>皮书生</t>
  </si>
  <si>
    <t>enemy_2103_dykens</t>
  </si>
  <si>
    <t>dykens</t>
  </si>
  <si>
    <t>2103</t>
  </si>
  <si>
    <t>平剑客</t>
  </si>
  <si>
    <t>enemy_2104_dycast</t>
  </si>
  <si>
    <t>dycast</t>
  </si>
  <si>
    <t>2104</t>
  </si>
  <si>
    <t>靳天师</t>
  </si>
  <si>
    <t>enemy_2105_dyrnge</t>
  </si>
  <si>
    <t>dyrnge</t>
  </si>
  <si>
    <t>2105</t>
  </si>
  <si>
    <t>似兽</t>
  </si>
  <si>
    <t>enemy_2106_dyremy</t>
  </si>
  <si>
    <t>dyremy</t>
  </si>
  <si>
    <t>2106</t>
  </si>
  <si>
    <t>怪葫芦</t>
  </si>
  <si>
    <t>enemy_2108_dypryg</t>
  </si>
  <si>
    <t>dypryg</t>
  </si>
  <si>
    <t>2108</t>
  </si>
  <si>
    <t>夕娥</t>
  </si>
  <si>
    <t>enemy_2109_dypry2</t>
  </si>
  <si>
    <t>dypry2</t>
  </si>
  <si>
    <t>2109</t>
  </si>
  <si>
    <t>双月共主</t>
  </si>
  <si>
    <t>enemy_2114_dylbgg</t>
  </si>
  <si>
    <t>dylbgg</t>
  </si>
  <si>
    <t>2114</t>
  </si>
  <si>
    <t>玉双剑</t>
  </si>
  <si>
    <t>enemy_2112_dyhlgy</t>
  </si>
  <si>
    <t>dyhlgy</t>
  </si>
  <si>
    <t>2112</t>
  </si>
  <si>
    <t>枣大刀</t>
  </si>
  <si>
    <t>enemy_2110_dyyrzf</t>
  </si>
  <si>
    <t>dyyrzf</t>
  </si>
  <si>
    <t>2110</t>
  </si>
  <si>
    <t>炭长矛</t>
  </si>
  <si>
    <t>enemy_2115_dylbg2</t>
  </si>
  <si>
    <t>dylbg2</t>
  </si>
  <si>
    <t>2115</t>
  </si>
  <si>
    <t>eenemy_2115_dylbg2</t>
  </si>
  <si>
    <t>昭烈君</t>
  </si>
  <si>
    <t>文衡君</t>
  </si>
  <si>
    <t>B_Run</t>
  </si>
  <si>
    <t>enemy_2111_dyyrz2</t>
  </si>
  <si>
    <t>dyyrz2</t>
  </si>
  <si>
    <t>2111</t>
  </si>
  <si>
    <t>桓君</t>
  </si>
  <si>
    <t>enemy_2116_dyyysg</t>
  </si>
  <si>
    <t>dyyysg</t>
  </si>
  <si>
    <t>2116</t>
  </si>
  <si>
    <t>师祖</t>
  </si>
  <si>
    <t>enemy_2117_dyyys2</t>
  </si>
  <si>
    <t>dyyys2</t>
  </si>
  <si>
    <t>2117</t>
  </si>
  <si>
    <t>太公</t>
  </si>
  <si>
    <t>enemy_2118_dylbhm</t>
  </si>
  <si>
    <t>dylbhm</t>
  </si>
  <si>
    <t>2118</t>
  </si>
  <si>
    <t>易</t>
  </si>
  <si>
    <t>enemy_2119_dyshhj</t>
  </si>
  <si>
    <t>dyshhj</t>
  </si>
  <si>
    <t>2119</t>
  </si>
  <si>
    <t>“岁”</t>
  </si>
  <si>
    <t>enemy_2120_dywqgs</t>
  </si>
  <si>
    <t>dywqgs</t>
  </si>
  <si>
    <t>2120</t>
  </si>
  <si>
    <t>“望”</t>
  </si>
  <si>
    <t>enemy_2122_dybgzd</t>
  </si>
  <si>
    <t>dybgzd</t>
  </si>
  <si>
    <t>2122</t>
  </si>
  <si>
    <t>梁</t>
  </si>
  <si>
    <t>enemy_2123_dyjsww</t>
  </si>
  <si>
    <t>dyjsww</t>
  </si>
  <si>
    <t>2123</t>
  </si>
  <si>
    <t>后兽</t>
  </si>
  <si>
    <t>Start</t>
  </si>
  <si>
    <t>enemy_2124_dyjsfg</t>
  </si>
  <si>
    <t>dyjsfg</t>
  </si>
  <si>
    <t>2124</t>
  </si>
  <si>
    <t>矩兽</t>
  </si>
  <si>
    <t>enemy_2125_dylnpp</t>
  </si>
  <si>
    <t>dylnpp</t>
  </si>
  <si>
    <t>2125</t>
  </si>
  <si>
    <t>小八界</t>
  </si>
  <si>
    <t>enemy_2126_dycyue</t>
  </si>
  <si>
    <t>dycyue</t>
  </si>
  <si>
    <t>2126</t>
  </si>
  <si>
    <t>朔壳</t>
  </si>
  <si>
    <t>enemy_2127_dysuih</t>
  </si>
  <si>
    <t>dysuih</t>
  </si>
  <si>
    <t>2127</t>
  </si>
  <si>
    <t>妄躯</t>
  </si>
  <si>
    <t>enemy_2128_dysuib</t>
  </si>
  <si>
    <t>dysuib</t>
  </si>
  <si>
    <t>2128</t>
  </si>
  <si>
    <t>身形</t>
  </si>
  <si>
    <t>enemy_2129_dylong</t>
  </si>
  <si>
    <t>dylong</t>
  </si>
  <si>
    <t>2129</t>
  </si>
  <si>
    <t>怨骸</t>
  </si>
  <si>
    <t>enemy_2130_dyswrd</t>
  </si>
  <si>
    <t>dyswrd</t>
  </si>
  <si>
    <t>2130</t>
  </si>
  <si>
    <t>敛傲</t>
  </si>
  <si>
    <t>enemy_2131_dyfire</t>
  </si>
  <si>
    <t>dyfire</t>
  </si>
  <si>
    <t>2131</t>
  </si>
  <si>
    <t>愠怒</t>
  </si>
  <si>
    <t>enemy_2133_shdopl</t>
  </si>
  <si>
    <t>shdopl</t>
  </si>
  <si>
    <t>2133</t>
  </si>
  <si>
    <t>空值体</t>
  </si>
  <si>
    <t>enemy_2134_shrshep</t>
  </si>
  <si>
    <t>shrshep</t>
  </si>
  <si>
    <t>2134</t>
  </si>
  <si>
    <t>颂水贤者</t>
  </si>
  <si>
    <t>enemy_2135_shkrbt</t>
  </si>
  <si>
    <t>shkrbt</t>
  </si>
  <si>
    <t>2135</t>
  </si>
  <si>
    <t>聆风猎手</t>
  </si>
  <si>
    <t>enemy_2136_shcolo</t>
  </si>
  <si>
    <t>shcolo</t>
  </si>
  <si>
    <t>2136</t>
  </si>
  <si>
    <t>撼地遗众</t>
  </si>
  <si>
    <t>enemy_2137_shsdgo</t>
  </si>
  <si>
    <t>shsdgo</t>
  </si>
  <si>
    <t>2137</t>
  </si>
  <si>
    <t>猎犬proto</t>
  </si>
  <si>
    <t>enemy_2142_shsggd</t>
  </si>
  <si>
    <t>shsggd</t>
  </si>
  <si>
    <t>2142</t>
  </si>
  <si>
    <t>赤金条</t>
  </si>
  <si>
    <t>enemy_2149_shorsm</t>
  </si>
  <si>
    <t>shorsm</t>
  </si>
  <si>
    <t>2149</t>
  </si>
  <si>
    <t>源阶粒素</t>
  </si>
  <si>
    <t>enemy_2152_shezlc</t>
  </si>
  <si>
    <t>shezlc</t>
  </si>
  <si>
    <t>2152</t>
  </si>
  <si>
    <t>恶笼草</t>
  </si>
  <si>
    <t>enemy_2138_shdbjg</t>
  </si>
  <si>
    <t>shdbjg</t>
  </si>
  <si>
    <t>2138</t>
  </si>
  <si>
    <t>汉科</t>
  </si>
  <si>
    <t>enemy_2139_shdbj2</t>
  </si>
  <si>
    <t>shdbj2</t>
  </si>
  <si>
    <t>2139</t>
  </si>
  <si>
    <t>“大总统”汉科</t>
  </si>
  <si>
    <t>enemy_2140_shsgzd</t>
  </si>
  <si>
    <t>shsgzd</t>
  </si>
  <si>
    <t>2140</t>
  </si>
  <si>
    <t xml:space="preserve">德莱昂 </t>
  </si>
  <si>
    <t>enemy_2141_shsgz2</t>
  </si>
  <si>
    <t>shsgz2</t>
  </si>
  <si>
    <t>2141</t>
  </si>
  <si>
    <t>“征服者”德莱昂</t>
  </si>
  <si>
    <t>enemy_2143_shwksc</t>
  </si>
  <si>
    <t>shwksc</t>
  </si>
  <si>
    <t>2143</t>
  </si>
  <si>
    <t>埃尔伯特</t>
  </si>
  <si>
    <t>enemy_2144_shwks2</t>
  </si>
  <si>
    <t>shwks2</t>
  </si>
  <si>
    <t>2144</t>
  </si>
  <si>
    <t>“异端”埃尔伯特</t>
  </si>
  <si>
    <t>enemy_2145_cadejo</t>
  </si>
  <si>
    <t>cadejo</t>
  </si>
  <si>
    <t>2145</t>
  </si>
  <si>
    <t>卡德霍，黑流之源</t>
  </si>
  <si>
    <t>Skill_2_Begin,Skill_2_Loop,Skill_2_End</t>
  </si>
  <si>
    <t>enemy_2146_cadesd</t>
  </si>
  <si>
    <t>cadesd</t>
  </si>
  <si>
    <t>2146</t>
  </si>
  <si>
    <t>痛楚化身</t>
  </si>
  <si>
    <t>enemy_2147_shophm</t>
  </si>
  <si>
    <t>shophm</t>
  </si>
  <si>
    <t>2147</t>
  </si>
  <si>
    <t>洛伦茨，扰动之谬</t>
  </si>
  <si>
    <t>enemy_2148_shorbb</t>
  </si>
  <si>
    <t>shorbb</t>
  </si>
  <si>
    <t>2148</t>
  </si>
  <si>
    <t>源阶方</t>
  </si>
  <si>
    <t>enemy_2151_shwolf</t>
  </si>
  <si>
    <t>shwolf</t>
  </si>
  <si>
    <t>2151</t>
  </si>
  <si>
    <t>未名的荒原</t>
  </si>
  <si>
    <t>enemy_2150_shchmr</t>
  </si>
  <si>
    <t>shchmr</t>
  </si>
  <si>
    <t>2150</t>
  </si>
  <si>
    <t>玻利瓦尔，症结之核</t>
  </si>
  <si>
    <t>D_Die</t>
  </si>
  <si>
    <t>enemy_4001_toxcarS</t>
  </si>
  <si>
    <t>小改造瓦斯车</t>
  </si>
  <si>
    <t>enemy_4001_toxcar_2S</t>
  </si>
  <si>
    <t>小高能瓦斯车</t>
  </si>
  <si>
    <t>普通,机械</t>
  </si>
  <si>
    <t>enemy_4004_muvltr</t>
  </si>
  <si>
    <t>muvltr</t>
  </si>
  <si>
    <t>赛场补给车</t>
  </si>
  <si>
    <t>enemy_4004_muvltr_2</t>
  </si>
  <si>
    <t>muvltr_2</t>
  </si>
  <si>
    <t>“天车散花”赛场补给车</t>
  </si>
  <si>
    <t>敌方汽水地雷</t>
  </si>
  <si>
    <t>swire2</t>
  </si>
  <si>
    <t>10031</t>
  </si>
  <si>
    <t>token_10031_swire2_gdtrap</t>
  </si>
  <si>
    <t>赛场补给车的地雷</t>
  </si>
  <si>
    <t>enemy_4005_musqrl</t>
  </si>
  <si>
    <t>musqrl</t>
  </si>
  <si>
    <t>鼷兽补给员</t>
  </si>
  <si>
    <t>普通,近战,野生动物</t>
  </si>
  <si>
    <t>enemy_4005_musqrl_2</t>
  </si>
  <si>
    <t>musqrl_2</t>
  </si>
  <si>
    <t>“力大如驮”鼷兽补给员</t>
  </si>
  <si>
    <t>enemy_4006_mumole</t>
  </si>
  <si>
    <t>mumole</t>
  </si>
  <si>
    <t>沙地兽补给员</t>
  </si>
  <si>
    <t>enemy_4006_mumole_2</t>
  </si>
  <si>
    <t>mumole_2</t>
  </si>
  <si>
    <t>“雨露均沾”沙地兽补给员</t>
  </si>
  <si>
    <t>enemy_4007_murino</t>
  </si>
  <si>
    <t>murino</t>
  </si>
  <si>
    <t>驮兽补给员</t>
  </si>
  <si>
    <t>enemy_4007_murino_2</t>
  </si>
  <si>
    <t>murino_2</t>
  </si>
  <si>
    <t>“胆小如鼷”驮兽补给员</t>
  </si>
  <si>
    <t>enemy_4008_mucat</t>
  </si>
  <si>
    <t>mucat</t>
  </si>
  <si>
    <t>重锤补给员</t>
  </si>
  <si>
    <t>enemy_4008_mucat_2</t>
  </si>
  <si>
    <t>mucat_2</t>
  </si>
  <si>
    <t>“横冲直撞”重锤补给员</t>
  </si>
  <si>
    <t>enemy_4009_murgby</t>
  </si>
  <si>
    <t>murgby</t>
  </si>
  <si>
    <t>铁头先锋</t>
  </si>
  <si>
    <t>enemy_4009_murgby_2</t>
  </si>
  <si>
    <t>murgby_2</t>
  </si>
  <si>
    <t>“一往无前”铁头前锋</t>
  </si>
  <si>
    <t>enemy_4010_mubsbl</t>
  </si>
  <si>
    <t>mubsbl</t>
  </si>
  <si>
    <t>长臂投手</t>
  </si>
  <si>
    <t>enemy_4010_mubsbl_2</t>
  </si>
  <si>
    <t>mubsbl_2</t>
  </si>
  <si>
    <t>“精准制导”长臂投手</t>
  </si>
  <si>
    <t>enemy_4012_mumssi</t>
  </si>
  <si>
    <t>mumssi</t>
  </si>
  <si>
    <t>阵地击球手</t>
  </si>
  <si>
    <t>普通,近战,野生动物,球员</t>
  </si>
  <si>
    <t>enemy_4012_mumssi_2</t>
  </si>
  <si>
    <t>mumssi_2</t>
  </si>
  <si>
    <t>“脚脚生风”阵地击球手</t>
  </si>
  <si>
    <t>enemy_4013_mubufn</t>
  </si>
  <si>
    <t>mubufn</t>
  </si>
  <si>
    <t>阵地守门员</t>
  </si>
  <si>
    <t>enemy_4013_mubufn_2</t>
  </si>
  <si>
    <t>mubufn_2</t>
  </si>
  <si>
    <t>“头头是门”阵地守门员</t>
  </si>
  <si>
    <t>enemy_4014_mugnfu</t>
  </si>
  <si>
    <t>mugnfu</t>
  </si>
  <si>
    <t>阵地击人手</t>
  </si>
  <si>
    <t>enemy_4014_mugnfu_2</t>
  </si>
  <si>
    <t>mugnfu_2</t>
  </si>
  <si>
    <t>“锤锤到肉”阵地击人手</t>
  </si>
  <si>
    <t>enemy_5501_arcbank</t>
  </si>
  <si>
    <t>arcbank</t>
  </si>
  <si>
    <t>5501</t>
  </si>
  <si>
    <t>大富翁</t>
  </si>
  <si>
    <t>enemy_5502_arcthf</t>
  </si>
  <si>
    <t>arcthf</t>
  </si>
  <si>
    <t>5502</t>
  </si>
  <si>
    <t>宝藏神偷</t>
  </si>
  <si>
    <t>enemy_5503_arcslma</t>
  </si>
  <si>
    <t>arcslma</t>
  </si>
  <si>
    <t>5503</t>
  </si>
  <si>
    <t>果冻小子</t>
  </si>
  <si>
    <t>animation</t>
  </si>
  <si>
    <t>enemy_5504_arcslmi</t>
  </si>
  <si>
    <t>arcslmi</t>
  </si>
  <si>
    <t>5504</t>
  </si>
  <si>
    <t>果冻丁</t>
  </si>
  <si>
    <t>enemy_5506_arcgoA</t>
  </si>
  <si>
    <t>arcgo</t>
  </si>
  <si>
    <t>enemy_5506_arcgo</t>
  </si>
  <si>
    <t>“搁浅零件”（舵轮）</t>
  </si>
  <si>
    <t>普通,召唤物</t>
  </si>
  <si>
    <t>enemy_5506_arcgoB</t>
  </si>
  <si>
    <t>“搁浅零件”（风浪）</t>
  </si>
  <si>
    <t>enemy_5506_arcgoC</t>
  </si>
  <si>
    <t>“搁浅零件”（双刀）</t>
  </si>
  <si>
    <t>Default3</t>
  </si>
  <si>
    <t>Idle3</t>
  </si>
  <si>
    <t>enemy_5507_arctolm</t>
  </si>
  <si>
    <t>arctolm</t>
  </si>
  <si>
    <t>5507</t>
  </si>
  <si>
    <t>喷泉“汽水侠”</t>
  </si>
  <si>
    <t>enemy_6001_trsgst</t>
  </si>
  <si>
    <t>trsgst</t>
  </si>
  <si>
    <t>飞腿毛贼</t>
  </si>
  <si>
    <t>enemy_6002_trswlf</t>
  </si>
  <si>
    <t>trswlf</t>
  </si>
  <si>
    <t>流眼泪侦探</t>
  </si>
  <si>
    <t>enemy_6003_trsslm</t>
  </si>
  <si>
    <t>trsslm</t>
  </si>
  <si>
    <t>“闪亮噗噜”</t>
  </si>
  <si>
    <t>enemy_6004_pleslm</t>
  </si>
  <si>
    <t>pleslm</t>
  </si>
  <si>
    <t>“米兰”</t>
  </si>
  <si>
    <t>F_b3</t>
  </si>
  <si>
    <t>领袖,近战,感染生物</t>
  </si>
  <si>
    <t>enemy_6005_llstone</t>
  </si>
  <si>
    <t>llstone</t>
  </si>
  <si>
    <t>圆岩巨像</t>
  </si>
  <si>
    <t>enemy_6006_fystone</t>
  </si>
  <si>
    <t>粗圆岩</t>
  </si>
  <si>
    <t>普通,远程,法术造物</t>
  </si>
  <si>
    <t>enemy_6007_mtslm</t>
  </si>
  <si>
    <t>mtslm</t>
  </si>
  <si>
    <t>“漫游小屋”</t>
  </si>
  <si>
    <t>enemy_6008_mtslms</t>
  </si>
  <si>
    <t>mtslms</t>
  </si>
  <si>
    <t>荧壳源石虫</t>
  </si>
  <si>
    <t>普通,感染生物</t>
  </si>
  <si>
    <t>enemy_6009_nlkgtbs</t>
  </si>
  <si>
    <t>nlkgtbs</t>
  </si>
  <si>
    <t>“暴食之果”</t>
  </si>
  <si>
    <t>领袖,感染生物</t>
  </si>
  <si>
    <t>enemy_6010_boxing</t>
  </si>
  <si>
    <t>boxing</t>
  </si>
  <si>
    <t>“年轻人”桑德尔</t>
  </si>
  <si>
    <t>enemy_6011_planty</t>
  </si>
  <si>
    <t>planty</t>
  </si>
  <si>
    <t>“自然的妥协”</t>
  </si>
  <si>
    <t>enemy_6012_plants</t>
  </si>
  <si>
    <t>plants</t>
  </si>
  <si>
    <t>小型共生体</t>
  </si>
  <si>
    <t>enemy_6013_smith</t>
  </si>
  <si>
    <t>smith</t>
  </si>
  <si>
    <t>“老妈的逆女”</t>
  </si>
  <si>
    <t>trap_113_snflwr</t>
  </si>
  <si>
    <t>snflwr</t>
  </si>
  <si>
    <t>全自动划账器</t>
  </si>
  <si>
    <t>enemy_6014_crzgas</t>
  </si>
  <si>
    <t>crzgas</t>
  </si>
  <si>
    <t>“毒瘤”</t>
  </si>
  <si>
    <t>保全毒瘤毒雾</t>
  </si>
  <si>
    <t>空物体</t>
  </si>
  <si>
    <t>“毒瘤”的毒雾</t>
  </si>
  <si>
    <t>环境单位</t>
  </si>
  <si>
    <t>使场上干员每秒损失生命，可被“毒瘤”强化</t>
  </si>
  <si>
    <t>enemy_6015_ictruck</t>
  </si>
  <si>
    <t>ictruck</t>
  </si>
  <si>
    <t>“超甜微笑”</t>
  </si>
  <si>
    <t>领袖,近战,机械</t>
  </si>
  <si>
    <t>enemy_6016_splash</t>
  </si>
  <si>
    <t>splash</t>
  </si>
  <si>
    <t>干渴者</t>
  </si>
  <si>
    <t>enemy_6017_icdrone</t>
  </si>
  <si>
    <t>icdrone</t>
  </si>
  <si>
    <t>甜蜜派送机</t>
  </si>
  <si>
    <t>enemy_6018_carrier</t>
  </si>
  <si>
    <t>carrier</t>
  </si>
  <si>
    <t>“无根之怨”</t>
  </si>
  <si>
    <t>C_Wings_All</t>
  </si>
  <si>
    <t>领袖,无人机,无根之怨</t>
  </si>
  <si>
    <t>enemy_6019_escort</t>
  </si>
  <si>
    <t>escort</t>
  </si>
  <si>
    <t>播种无人机</t>
  </si>
  <si>
    <t>普通,远程,无人机,播种无人机</t>
  </si>
  <si>
    <t>enemy_6020_orang</t>
  </si>
  <si>
    <t>orang</t>
  </si>
  <si>
    <t>“烈酒金刚”</t>
  </si>
  <si>
    <t>Front</t>
  </si>
  <si>
    <t>领袖,近战,机械,烈酒金刚</t>
  </si>
  <si>
    <t>enemy_6021_cask</t>
  </si>
  <si>
    <t>桶陈蜜酿</t>
  </si>
  <si>
    <t>enemy_6025_tinker</t>
  </si>
  <si>
    <t>tinker</t>
  </si>
  <si>
    <t>怨恨祭坛</t>
  </si>
  <si>
    <t>enemy_6026_techn</t>
  </si>
  <si>
    <t>techn</t>
  </si>
  <si>
    <t>巫术石球</t>
  </si>
  <si>
    <t>普通,法术造物</t>
  </si>
  <si>
    <t>enemy_7001_blwzad</t>
  </si>
  <si>
    <t>blwzad</t>
  </si>
  <si>
    <t>部族巫术师</t>
  </si>
  <si>
    <t>enemy_7001_blwzad_2</t>
  </si>
  <si>
    <t>blwzad_2</t>
  </si>
  <si>
    <t>王酋巫术师</t>
  </si>
  <si>
    <t>enemy_7002_veingd</t>
  </si>
  <si>
    <t>veingd</t>
  </si>
  <si>
    <t>矿脉守卫</t>
  </si>
  <si>
    <t>enemy_7002_veingd_2</t>
  </si>
  <si>
    <t>veingd_2</t>
  </si>
  <si>
    <t>狂化矿脉守卫</t>
  </si>
  <si>
    <t>enemy_7003_catapt</t>
  </si>
  <si>
    <t>catapt</t>
  </si>
  <si>
    <t>“都可以砸”</t>
  </si>
  <si>
    <t>enemy_7003_catapt_2</t>
  </si>
  <si>
    <t>catapt_2</t>
  </si>
  <si>
    <t>“都应该砸”</t>
  </si>
  <si>
    <t>enemy_7004_xbdeer</t>
  </si>
  <si>
    <t>xbdeer</t>
  </si>
  <si>
    <t>小角跳兽</t>
  </si>
  <si>
    <t>普通,近战,野生动物,跳兽</t>
  </si>
  <si>
    <t>enemy_7004_xbdeer_2</t>
  </si>
  <si>
    <t>xbdeer_2</t>
  </si>
  <si>
    <t>大角跳兽</t>
  </si>
  <si>
    <t>enemy_7005_xbbull</t>
  </si>
  <si>
    <t>xbbull</t>
  </si>
  <si>
    <t>苔生兽</t>
  </si>
  <si>
    <t>enemy_7005_xbbull_2</t>
  </si>
  <si>
    <t>xbbull_2</t>
  </si>
  <si>
    <t>茂密苔生兽</t>
  </si>
  <si>
    <t>enemy_7006_xbcrab</t>
  </si>
  <si>
    <t>xbcrab</t>
  </si>
  <si>
    <t>岩壳蟹</t>
  </si>
  <si>
    <t>enemy_7006_xbcrab_2</t>
  </si>
  <si>
    <t>xbcrab_2</t>
  </si>
  <si>
    <t>结晶岩壳蟹</t>
  </si>
  <si>
    <t>enemy_7007_xbbird_3</t>
  </si>
  <si>
    <t>xbbird_3</t>
  </si>
  <si>
    <t>落沙晶蹄兽</t>
  </si>
  <si>
    <t>enemy_7008_wrkwrk</t>
  </si>
  <si>
    <t>wrkwrk</t>
  </si>
  <si>
    <t>采集实习生</t>
  </si>
  <si>
    <t>enemy_7009_mtmoun</t>
  </si>
  <si>
    <t>mtmoun</t>
  </si>
  <si>
    <t>“不朽之人”</t>
  </si>
  <si>
    <t>enemy_7010_bldrgn</t>
  </si>
  <si>
    <t>bldrgn</t>
  </si>
  <si>
    <t>巨翼兽</t>
  </si>
  <si>
    <t>hitpoint</t>
  </si>
  <si>
    <t>enemy_7011_paki</t>
  </si>
  <si>
    <t>paki</t>
  </si>
  <si>
    <t>萨尔贡契约刺客</t>
  </si>
  <si>
    <t>enemy_7012_wilder</t>
  </si>
  <si>
    <t>wilder</t>
  </si>
  <si>
    <t>无阻冲锋官</t>
  </si>
  <si>
    <t>enemy_7013_slwazd</t>
  </si>
  <si>
    <t>slwazd</t>
  </si>
  <si>
    <t>“召毁者”</t>
  </si>
  <si>
    <t>enemy_7014_dva</t>
  </si>
  <si>
    <t>dva</t>
  </si>
  <si>
    <t>“搭档”</t>
  </si>
  <si>
    <t>enemy_7015_xbcrab2</t>
  </si>
  <si>
    <t>xbcrab2</t>
  </si>
  <si>
    <t>“钳钳生风”</t>
  </si>
  <si>
    <t>enemy_7016_shushu</t>
  </si>
  <si>
    <t>shushu</t>
  </si>
  <si>
    <t>7016</t>
  </si>
  <si>
    <t>荒地鼷兽</t>
  </si>
  <si>
    <t>普通,近战,沙洲遗闻鼠鼠</t>
  </si>
  <si>
    <t>enemy_7017_miner</t>
  </si>
  <si>
    <t>miner</t>
  </si>
  <si>
    <t>7017</t>
  </si>
  <si>
    <t>采掘苦工</t>
  </si>
  <si>
    <t>enemy_7018_scarab</t>
  </si>
  <si>
    <t>scarab</t>
  </si>
  <si>
    <t>7018</t>
  </si>
  <si>
    <t>爆裂源石虫</t>
  </si>
  <si>
    <t>enemy_7019_thief</t>
  </si>
  <si>
    <t>thief</t>
  </si>
  <si>
    <t>7019</t>
  </si>
  <si>
    <t>旷野流贼</t>
  </si>
  <si>
    <t>enemy_7020_xbtor</t>
  </si>
  <si>
    <t>xbtor</t>
  </si>
  <si>
    <t>7020</t>
  </si>
  <si>
    <t>刺棱壳兽</t>
  </si>
  <si>
    <t>enemy_7021_xbmoth</t>
  </si>
  <si>
    <t>xbmoth</t>
  </si>
  <si>
    <t>7021</t>
  </si>
  <si>
    <t>荧羽兽</t>
  </si>
  <si>
    <t>enemy_7022_gatgod</t>
  </si>
  <si>
    <t>gatgod</t>
  </si>
  <si>
    <t>7022</t>
  </si>
  <si>
    <t>翠梦祭司</t>
  </si>
  <si>
    <t>enemy_7023_gatbb</t>
  </si>
  <si>
    <t>gatbb</t>
  </si>
  <si>
    <t>7023</t>
  </si>
  <si>
    <t>翠梦使者</t>
  </si>
  <si>
    <t>enemy_7024_clking</t>
  </si>
  <si>
    <t>clking</t>
  </si>
  <si>
    <t>7024</t>
  </si>
  <si>
    <t>行脚艺人</t>
  </si>
  <si>
    <t>enemy_7025_clbb</t>
  </si>
  <si>
    <t>clbb</t>
  </si>
  <si>
    <t>7025</t>
  </si>
  <si>
    <t>行脚艺徒</t>
  </si>
  <si>
    <t>enemy_7026_xbele</t>
  </si>
  <si>
    <t>xbele</t>
  </si>
  <si>
    <t>7026</t>
  </si>
  <si>
    <t>时光守卫</t>
  </si>
  <si>
    <t>enemy_7027_xbbtl</t>
  </si>
  <si>
    <t>xbbtl</t>
  </si>
  <si>
    <t>晶玲兽</t>
  </si>
  <si>
    <t>领袖,远程,晶玲兽</t>
  </si>
  <si>
    <t>enemy_7028_xbscp</t>
  </si>
  <si>
    <t>xbscp</t>
  </si>
  <si>
    <t>晶珑兽</t>
  </si>
  <si>
    <t>enemy_7030_skodo</t>
  </si>
  <si>
    <t>skodo</t>
  </si>
  <si>
    <t>纵尘者</t>
  </si>
  <si>
    <t>enemy_7029_pilot</t>
  </si>
  <si>
    <t>pilot</t>
  </si>
  <si>
    <t>浮袭者</t>
  </si>
  <si>
    <t>enemy_7031_ghking</t>
  </si>
  <si>
    <t>ghking</t>
  </si>
  <si>
    <t>湮灭者</t>
  </si>
  <si>
    <t>enemy_7033_xbdrcar</t>
  </si>
  <si>
    <t>xbdrcar</t>
  </si>
  <si>
    <t>7033</t>
  </si>
  <si>
    <t>采掘机</t>
  </si>
  <si>
    <t>enemy_7046_xbslug</t>
  </si>
  <si>
    <t>xbslug</t>
  </si>
  <si>
    <t>7046</t>
  </si>
  <si>
    <t>披甲源石虫</t>
  </si>
  <si>
    <t>enemy_7045_xbtd</t>
  </si>
  <si>
    <t>xbtd</t>
  </si>
  <si>
    <t>7045</t>
  </si>
  <si>
    <t>冲锋源石虫</t>
  </si>
  <si>
    <t>enemy_7044_xblbug</t>
  </si>
  <si>
    <t>xblbug</t>
  </si>
  <si>
    <t>7044</t>
  </si>
  <si>
    <t>振翅源石虫</t>
  </si>
  <si>
    <t>enemy_7034_xbmsn</t>
  </si>
  <si>
    <t>xbmsn</t>
  </si>
  <si>
    <t>7034</t>
  </si>
  <si>
    <t>勤奋劳工</t>
  </si>
  <si>
    <t>普通,刁民,中立单位</t>
  </si>
  <si>
    <t>enemy_7049_xbnum</t>
  </si>
  <si>
    <t>xbnum</t>
  </si>
  <si>
    <t>7049</t>
  </si>
  <si>
    <t>放归驮兽</t>
  </si>
  <si>
    <t>enemy_7047_xbdit</t>
  </si>
  <si>
    <t>xbdit</t>
  </si>
  <si>
    <t>7047</t>
  </si>
  <si>
    <t>“流质透镜”</t>
  </si>
  <si>
    <t>精英,远程,野生动物</t>
  </si>
  <si>
    <t>enemy_7051_xbcas</t>
  </si>
  <si>
    <t>xbcas</t>
  </si>
  <si>
    <t>7051</t>
  </si>
  <si>
    <t>拟南兽</t>
  </si>
  <si>
    <t>精英,远程,野生动物,异兽</t>
  </si>
  <si>
    <t>enemy_7051_xbcasF</t>
  </si>
  <si>
    <t>拟南兽（我方）</t>
  </si>
  <si>
    <t>精英,远程,野生动物,我方异兽</t>
  </si>
  <si>
    <t>enemy_7054_xbsmi</t>
  </si>
  <si>
    <t>xbsmi</t>
  </si>
  <si>
    <t>7054</t>
  </si>
  <si>
    <t>香草翼兽</t>
  </si>
  <si>
    <t>enemy_7057_xbrok</t>
  </si>
  <si>
    <t>xbrok</t>
  </si>
  <si>
    <t>7057</t>
  </si>
  <si>
    <t>游砂兽</t>
  </si>
  <si>
    <t>enemy_8001_flmlodS</t>
  </si>
  <si>
    <t>flmlod</t>
  </si>
  <si>
    <t>enemy_8001_flmlod</t>
  </si>
  <si>
    <t>熔戈者，护王余火S</t>
  </si>
  <si>
    <t>Hitpoint</t>
  </si>
  <si>
    <t>领袖,远程,萨卡兹,炎魔,支援单位</t>
  </si>
  <si>
    <t>C1_Revive_Die</t>
  </si>
  <si>
    <t>enemy_8006_flmgdS</t>
  </si>
  <si>
    <t>flmgd</t>
  </si>
  <si>
    <t>enemy_8006_flmgd</t>
  </si>
  <si>
    <t>再铸扈从S</t>
  </si>
  <si>
    <t>精英,近战,炎魔眷属</t>
  </si>
  <si>
    <t>enemy_8007_eltrsm</t>
  </si>
  <si>
    <t>eltrsm</t>
  </si>
  <si>
    <t>“迷迭香”，虚实之握</t>
  </si>
  <si>
    <t>领袖,迷迭香</t>
  </si>
  <si>
    <t>enemy_8008_eltswd</t>
  </si>
  <si>
    <t>rosmon</t>
  </si>
  <si>
    <t>token_10012_rosmon_shield</t>
  </si>
  <si>
    <t>矢量战术装备</t>
  </si>
  <si>
    <t>精英,战术装备,迷迭香</t>
  </si>
  <si>
    <t>enemy_8008_eltswd2</t>
  </si>
  <si>
    <t>矢量战术装备力场形态</t>
  </si>
  <si>
    <t>精英,战术装备2,迷迭香</t>
  </si>
  <si>
    <t>enemy_8009_eltufo</t>
  </si>
  <si>
    <t>eltufo</t>
  </si>
  <si>
    <t>“迷迭香”的无人机</t>
  </si>
  <si>
    <t>精英,远程,迷迭香无人机</t>
  </si>
  <si>
    <t>enemy_8009_eltufo2</t>
  </si>
  <si>
    <t>迷迭香无人机补给形态</t>
  </si>
  <si>
    <t>#备注</t>
  </si>
  <si>
    <t>技能名</t>
  </si>
  <si>
    <t>描述</t>
  </si>
  <si>
    <t>图标</t>
  </si>
  <si>
    <t>专精程度</t>
  </si>
  <si>
    <t>使用条件</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</si>
  <si>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</si>
  <si>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</si>
  <si>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</si>
  <si>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</si>
  <si>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</si>
  <si>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</si>
  <si>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</si>
  <si>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</si>
  <si>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</si>
  <si>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</si>
  <si>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</si>
  <si>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</si>
  <si>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</si>
  <si>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</si>
  <si>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</si>
  <si>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</si>
  <si>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</si>
  <si>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</si>
  <si>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</si>
  <si>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</si>
  <si>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</si>
  <si>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</si>
  <si>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</si>
  <si>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</si>
  <si>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</si>
  <si>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</si>
  <si>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</si>
  <si>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</si>
  <si>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</si>
  <si>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</si>
  <si>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</si>
  <si>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</si>
  <si>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</si>
  <si>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</si>
  <si>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优先Buff</t>
  </si>
  <si>
    <t>自定义优先级</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</si>
  <si>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</si>
  <si>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</si>
  <si>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</si>
  <si>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</si>
  <si>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</si>
  <si>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</si>
  <si>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</si>
  <si>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</si>
  <si>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</si>
  <si>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</si>
  <si>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</si>
  <si>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</si>
  <si>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</si>
  <si>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</si>
  <si>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</si>
  <si>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</si>
  <si>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</si>
  <si>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</si>
  <si>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</si>
  <si>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</si>
  <si>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</si>
  <si>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</si>
  <si>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</si>
  <si>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</si>
  <si>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</si>
  <si>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可停止</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</si>
  <si>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</si>
  <si>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</si>
  <si>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</si>
  <si>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</si>
  <si>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</si>
  <si>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</si>
  <si>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</si>
  <si>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</si>
  <si>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</si>
  <si>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</si>
  <si>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</si>
  <si>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</si>
  <si>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</si>
  <si>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</si>
  <si>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</si>
  <si>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</si>
  <si>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元素损伤</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</si>
  <si>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</si>
  <si>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</si>
  <si>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</si>
  <si>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</si>
  <si>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</si>
  <si>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</si>
  <si>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</si>
  <si>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</si>
  <si>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</si>
  <si>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</si>
  <si>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</si>
  <si>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</si>
  <si>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</si>
  <si>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</si>
  <si>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</si>
  <si>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</si>
  <si>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</si>
  <si>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</si>
  <si>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</si>
  <si>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</si>
  <si>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</si>
  <si>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</si>
  <si>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</si>
  <si>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SkillCondition</t>
  </si>
  <si>
    <t>IgnoreStun</t>
  </si>
  <si>
    <t>ReadyType</t>
  </si>
  <si>
    <t>UseType</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</si>
  <si>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</si>
  <si>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</si>
  <si>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</si>
  <si>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</si>
  <si>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</si>
  <si>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</si>
  <si>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</si>
  <si>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</si>
  <si>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</si>
  <si>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</si>
  <si>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</si>
  <si>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</si>
  <si>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</si>
  <si>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</si>
  <si>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</si>
  <si>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</si>
  <si>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TargetTeam</t>
  </si>
  <si>
    <t>AttackFly</t>
  </si>
  <si>
    <t>UseEventUser</t>
  </si>
  <si>
    <t>UseEventTarget</t>
  </si>
  <si>
    <t>TargetFilter</t>
  </si>
  <si>
    <t>DeadFind</t>
  </si>
  <si>
    <t>ProfessionLimit</t>
  </si>
  <si>
    <t>UnitLimit</t>
  </si>
  <si>
    <t>RareLimit</t>
  </si>
  <si>
    <t>PosLimit</t>
  </si>
  <si>
    <t>CostLimit</t>
  </si>
  <si>
    <t>MidLimit</t>
  </si>
  <si>
    <t>AttackOrder</t>
  </si>
  <si>
    <t>AttackOrder2</t>
  </si>
  <si>
    <t>OrderTag</t>
  </si>
  <si>
    <t>OrderBuff</t>
  </si>
  <si>
    <t>OrderExpression</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</si>
  <si>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</si>
  <si>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</si>
  <si>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</si>
  <si>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</si>
  <si>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</si>
  <si>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</si>
  <si>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</si>
  <si>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</si>
  <si>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</si>
  <si>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</si>
  <si>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</si>
  <si>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</si>
  <si>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</si>
  <si>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</si>
  <si>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</si>
  <si>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</si>
  <si>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</si>
  <si>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</si>
  <si>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</si>
  <si>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</si>
  <si>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</si>
  <si>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</si>
  <si>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</si>
  <si>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</si>
  <si>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</si>
  <si>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</si>
  <si>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</si>
  <si>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</si>
  <si>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</si>
  <si>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</si>
  <si>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</si>
  <si>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</si>
  <si>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AnimationTime</t>
  </si>
  <si>
    <t>ModelAnimationDown</t>
  </si>
  <si>
    <t>OverwriteAnimation</t>
  </si>
  <si>
    <t>OverwriteAnimationDown</t>
  </si>
  <si>
    <t>AttackMode</t>
  </si>
  <si>
    <t>Bullet</t>
  </si>
  <si>
    <t>ShootPoint</t>
  </si>
  <si>
    <t>Modifys</t>
  </si>
  <si>
    <t>ModifyDatas</t>
  </si>
  <si>
    <t>ElementInjure</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</si>
  <si>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</si>
  <si>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</si>
  <si>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</si>
  <si>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</si>
  <si>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</si>
  <si>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</si>
  <si>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</si>
  <si>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</si>
  <si>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</si>
  <si>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</si>
  <si>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</si>
  <si>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</si>
  <si>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</si>
  <si>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</si>
  <si>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</si>
  <si>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</si>
  <si>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</si>
  <si>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</si>
  <si>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</si>
  <si>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</si>
  <si>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</si>
  <si>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</si>
  <si>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</si>
  <si>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</si>
  <si>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</si>
  <si>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</si>
  <si>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</si>
  <si>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</si>
  <si>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</si>
  <si>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</si>
  <si>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</si>
  <si>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</si>
  <si>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</si>
  <si>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</si>
  <si>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</si>
  <si>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</si>
  <si>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</si>
  <si>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</si>
  <si>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</si>
  <si>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</si>
  <si>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</si>
  <si>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对我方神经损伤</t>
  </si>
  <si>
    <t>全局技能</t>
  </si>
  <si>
    <t>被动</t>
  </si>
  <si>
    <t>自身元素爆发</t>
  </si>
  <si>
    <t>仅自己</t>
  </si>
  <si>
    <t>Element</t>
  </si>
  <si>
    <t>眩晕</t>
  </si>
  <si>
    <t>{"ElementType":"Sanity"}</t>
  </si>
  <si>
    <t>对敌方神经损伤</t>
  </si>
  <si>
    <t>神经损伤麻痹</t>
  </si>
  <si>
    <t>对敌方灼燃损伤</t>
  </si>
  <si>
    <t>灼燃损伤减法抗</t>
  </si>
  <si>
    <t>对敌方凋亡损伤</t>
  </si>
  <si>
    <t>凋亡中毒,凋亡虚弱</t>
  </si>
  <si>
    <t>{"ElementType":"Dark"}</t>
  </si>
  <si>
    <t>通用绝食</t>
  </si>
  <si>
    <t>普通技能</t>
  </si>
  <si>
    <t>入场</t>
  </si>
  <si>
    <t>绝食2</t>
  </si>
  <si>
    <t>三星被动加攻击</t>
  </si>
  <si>
    <t>出场</t>
  </si>
  <si>
    <t>攻击提升2</t>
  </si>
  <si>
    <t>三星被动加生命</t>
  </si>
  <si>
    <t>生命提升2</t>
  </si>
  <si>
    <t>三星被动加防御</t>
  </si>
  <si>
    <t>防御提升2</t>
  </si>
  <si>
    <t>三星被动减费</t>
  </si>
  <si>
    <t>部署费用提升2</t>
  </si>
  <si>
    <t>三星被动加攻血</t>
  </si>
  <si>
    <t>攻击提升2,生命提升2</t>
  </si>
  <si>
    <t>攻击力强化·α型</t>
  </si>
  <si>
    <t>攻击力+50%</t>
  </si>
  <si>
    <t>skill_icon_skcom_atk_up[1]</t>
  </si>
  <si>
    <t>充能释放</t>
  </si>
  <si>
    <t>手动</t>
  </si>
  <si>
    <t>自动</t>
  </si>
  <si>
    <t>泡普卡加攻</t>
  </si>
  <si>
    <t>攻击强化2</t>
  </si>
  <si>
    <t>攻击力强化·β型</t>
  </si>
  <si>
    <t>攻击力+80%</t>
  </si>
  <si>
    <t>skill_icon_skcom_atk_up[2]</t>
  </si>
  <si>
    <t>攻击强化3</t>
  </si>
  <si>
    <t>攻击力强化·γ型</t>
  </si>
  <si>
    <t>攻击力+100%</t>
  </si>
  <si>
    <t>skill_icon_skcom_atk_up[3]</t>
  </si>
  <si>
    <t>战术咏唱·α型</t>
  </si>
  <si>
    <t>攻击速度+50</t>
  </si>
  <si>
    <t>skill_icon_skcom_magic_rage[1]</t>
  </si>
  <si>
    <t>炎溶攻速提升</t>
  </si>
  <si>
    <t>攻速强化2</t>
  </si>
  <si>
    <t>战术咏唱·β型</t>
  </si>
  <si>
    <t>攻击速度+75</t>
  </si>
  <si>
    <t>skill_icon_skcom_magic_rage[2]</t>
  </si>
  <si>
    <t>攻速强化3</t>
  </si>
  <si>
    <t>战术咏唱·γ型</t>
  </si>
  <si>
    <t>攻击速度+90</t>
  </si>
  <si>
    <t>skill_icon_skcom_magic_rage[3]</t>
  </si>
  <si>
    <t>阿米娅攻速</t>
  </si>
  <si>
    <t>迅捷打击·α型</t>
  </si>
  <si>
    <t>攻击力+25%，攻击速度+25</t>
  </si>
  <si>
    <t>skill_icon_skcom_quickattack[1]</t>
  </si>
  <si>
    <t>泡普卡加攻,攻速提升</t>
  </si>
  <si>
    <t>迅捷打击3</t>
  </si>
  <si>
    <t>迅捷打击·γ型</t>
  </si>
  <si>
    <t>攻击力+45%，攻击速度+45</t>
  </si>
  <si>
    <t>skill_icon_skcom_quickattack[3]</t>
  </si>
  <si>
    <t>通用攻击攻速</t>
  </si>
  <si>
    <t>0.45,45</t>
  </si>
  <si>
    <t>治疗强化·α型</t>
  </si>
  <si>
    <t>skill_icon_skcom_heal_up[1]</t>
  </si>
  <si>
    <t>斑点加攻</t>
  </si>
  <si>
    <t>治疗强化2</t>
  </si>
  <si>
    <t>治疗强化·β型</t>
  </si>
  <si>
    <t>攻击力+70%</t>
  </si>
  <si>
    <t>skill_icon_skcom_heal_up[2]</t>
  </si>
  <si>
    <t>治疗强化3</t>
  </si>
  <si>
    <t>治疗强化·γ型</t>
  </si>
  <si>
    <t>攻击力+90%</t>
  </si>
  <si>
    <t>skill_icon_skcom_heal_up[3]</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</si>
  <si>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</si>
  <si>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</si>
  <si>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</si>
  <si>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治疗击中</t>
  </si>
  <si>
    <t>生命回复2</t>
  </si>
  <si>
    <t>生命回复·β型</t>
  </si>
  <si>
    <t>立即恢复最大生命的50%</t>
  </si>
  <si>
    <t>skill_icon_skcom_heal_self[2]</t>
  </si>
  <si>
    <t>防御力强化·α型</t>
  </si>
  <si>
    <t>防御力+50%</t>
  </si>
  <si>
    <t>skill_icon_skcom_def_up[1]</t>
  </si>
  <si>
    <t>米格鲁防御提升</t>
  </si>
  <si>
    <t>防御力强化·β型</t>
  </si>
  <si>
    <t>防御力+80%</t>
  </si>
  <si>
    <t>skill_icon_skcom_def_up[2]</t>
  </si>
  <si>
    <t>防御提升3</t>
  </si>
  <si>
    <t>防御力强化·γ型</t>
  </si>
  <si>
    <t>防御力+100%</t>
  </si>
  <si>
    <t>skill_icon_skcom_def_up[3]</t>
  </si>
  <si>
    <t>通用干员链式弹道索敌</t>
  </si>
  <si>
    <t>禁止主动</t>
  </si>
  <si>
    <t>放置降序</t>
  </si>
  <si>
    <t>0,0#-1,-1#0,-1#1,-1#-1,0#1,0#-1,1#0,1#1,1</t>
  </si>
  <si>
    <t>医疗小车攻击</t>
  </si>
  <si>
    <t>血量比例升序</t>
  </si>
  <si>
    <t>0,0#0,1#0,-1#1,0#2,0#1,1#1,-1#2,1#2,-1#3,0</t>
  </si>
  <si>
    <t>跟随攻击</t>
  </si>
  <si>
    <t>凯尔希弹道</t>
  </si>
  <si>
    <t>医疗小车落地奶</t>
  </si>
  <si>
    <t>自己入场</t>
  </si>
  <si>
    <t>近卫小车攻击</t>
  </si>
  <si>
    <t>终点距离</t>
  </si>
  <si>
    <t>0,0#1,0</t>
  </si>
  <si>
    <t>Normal</t>
  </si>
  <si>
    <t>切割击中</t>
  </si>
  <si>
    <t>近卫小车加攻</t>
  </si>
  <si>
    <t>攻击提升,防御提升</t>
  </si>
  <si>
    <t>黑角被动</t>
  </si>
  <si>
    <t>攻击提升2,防御提升2</t>
  </si>
  <si>
    <t>飞行</t>
  </si>
  <si>
    <t>普通弓箭</t>
  </si>
  <si>
    <t>对空伤害</t>
  </si>
  <si>
    <t>克洛斯启动技能</t>
  </si>
  <si>
    <t>普通击中</t>
  </si>
  <si>
    <t>杜林攻击</t>
  </si>
  <si>
    <t>0,0#0,1#0,-1#1,0#2,0#1,1#1,-1#2,1#2,-1</t>
  </si>
  <si>
    <t>Magic</t>
  </si>
  <si>
    <t>普通法球</t>
  </si>
  <si>
    <t>魔法击中</t>
  </si>
  <si>
    <t>杜林被动</t>
  </si>
  <si>
    <t>法术闪避,限伤1</t>
  </si>
  <si>
    <t>杜林检测</t>
  </si>
  <si>
    <t>清除射弹</t>
  </si>
  <si>
    <t>0,0#0,1#0,-1#1,0#2,0#1,1#1,-1#2,1#2,-1#3,0#3,1#3,-1#4,0</t>
  </si>
  <si>
    <t>杜林检测1</t>
  </si>
  <si>
    <t>0,0</t>
  </si>
  <si>
    <t>次级治疗模式</t>
  </si>
  <si>
    <t>攻击力+45%，停止攻击并专心对周围的友方角色进行治疗</t>
  </si>
  <si>
    <t>skill_icon_skchr_spot_1</t>
  </si>
  <si>
    <t>特技激活</t>
  </si>
  <si>
    <t>0,0#0,1#0,-1#1,0#1,1#1,-1#-1,0#-1,1#-1,-1</t>
  </si>
  <si>
    <t>斑点攻击力提升,斑点缴械自己</t>
  </si>
  <si>
    <t>斑点弹道</t>
  </si>
  <si>
    <t>斑点闪避</t>
  </si>
  <si>
    <t>斑点技能击中</t>
  </si>
  <si>
    <t>斑点攻击力提升</t>
  </si>
  <si>
    <t>释放技能</t>
  </si>
  <si>
    <t>斑点缴械自己</t>
  </si>
  <si>
    <t>缴械</t>
  </si>
  <si>
    <t>泡普卡攻击</t>
  </si>
  <si>
    <t>群攻</t>
  </si>
  <si>
    <t>泡普卡击中</t>
  </si>
  <si>
    <t>月见夜攻击</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</si>
  <si>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</si>
  <si>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</si>
  <si>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</si>
  <si>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</si>
  <si>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</si>
  <si>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</si>
  <si>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</si>
  <si>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</si>
  <si>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</si>
  <si>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</si>
  <si>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</si>
  <si>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</si>
  <si>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</si>
  <si>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</si>
  <si>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空爆攻击</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</si>
  <si>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</si>
  <si>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</si>
  <si>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</si>
  <si>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</si>
  <si>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</si>
  <si>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</si>
  <si>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</si>
  <si>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</si>
  <si>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</si>
  <si>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</si>
  <si>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</si>
  <si>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减速</t>
  </si>
  <si>
    <t>梓兰击中</t>
  </si>
  <si>
    <t>梓兰被动加攻速</t>
  </si>
  <si>
    <t>攻速提升2</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</si>
  <si>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</si>
  <si>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</si>
  <si>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</si>
  <si>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</si>
  <si>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</si>
  <si>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</si>
  <si>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</si>
  <si>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</si>
  <si>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</si>
  <si>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</si>
  <si>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</si>
  <si>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</si>
  <si>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</si>
  <si>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</si>
  <si>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</si>
  <si>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</si>
  <si>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</si>
  <si>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</si>
  <si>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</si>
  <si>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炎熔攻击</t>
  </si>
  <si>
    <t>炎溶击中</t>
  </si>
  <si>
    <t>炎熔部署回技力</t>
  </si>
  <si>
    <t>回复技力</t>
  </si>
  <si>
    <t>落地</t>
  </si>
  <si>
    <t>{"PowerCount":35}</t>
  </si>
  <si>
    <t>安德切尔攻击</t>
  </si>
  <si>
    <t>安德切尔被动加攻速</t>
  </si>
  <si>
    <t>二连射·自动</t>
  </si>
  <si>
    <t>下次攻击时连续射击2次，每次射击造成相当于攻击力140%的物理伤害</t>
  </si>
  <si>
    <t>skill_icon_skchr_kroos_1</t>
  </si>
  <si>
    <t>米格鲁攻击</t>
  </si>
  <si>
    <t>卡提攻击</t>
  </si>
  <si>
    <t>玫兰沙攻击</t>
  </si>
  <si>
    <t>Attack_Begin,Attack_Loop,Attack_End</t>
  </si>
  <si>
    <t>夜烟2弹道</t>
  </si>
  <si>
    <t>魔防变化</t>
  </si>
  <si>
    <t>夜烟2抬手</t>
  </si>
  <si>
    <t>夜烟2击中</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</si>
  <si>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</si>
  <si>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</si>
  <si>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</si>
  <si>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</si>
  <si>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</si>
  <si>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</si>
  <si>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</si>
  <si>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</si>
  <si>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</si>
  <si>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攻击提升</t>
  </si>
  <si>
    <t>远山被动2</t>
  </si>
  <si>
    <t>攻速提升</t>
  </si>
  <si>
    <t>远山被动3</t>
  </si>
  <si>
    <t>生命提升</t>
  </si>
  <si>
    <t>远山攻击</t>
  </si>
  <si>
    <t>远山普攻抬手</t>
  </si>
  <si>
    <t>远山普攻击中</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</si>
  <si>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</si>
  <si>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</si>
  <si>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</si>
  <si>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</si>
  <si>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</si>
  <si>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</si>
  <si>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</si>
  <si>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</si>
  <si>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</si>
  <si>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</si>
  <si>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</si>
  <si>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</si>
  <si>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</si>
  <si>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</si>
  <si>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</si>
  <si>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</si>
  <si>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</si>
  <si>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</si>
  <si>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</si>
  <si>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</si>
  <si>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</si>
  <si>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</si>
  <si>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</si>
  <si>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</si>
  <si>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</si>
  <si>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</si>
  <si>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</si>
  <si>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</si>
  <si>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</si>
  <si>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</si>
  <si>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</si>
  <si>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</si>
  <si>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</si>
  <si>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</si>
  <si>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</si>
  <si>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</si>
  <si>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</si>
  <si>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</si>
  <si>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</si>
  <si>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</si>
  <si>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</si>
  <si>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</si>
  <si>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</si>
  <si>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</si>
  <si>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</si>
  <si>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</si>
  <si>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</si>
  <si>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</si>
  <si>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</si>
  <si>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</si>
  <si>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</si>
  <si>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</si>
  <si>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</si>
  <si>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</si>
  <si>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</si>
  <si>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</si>
  <si>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</si>
  <si>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</si>
  <si>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</si>
  <si>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</si>
  <si>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</si>
  <si>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</si>
  <si>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</si>
  <si>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</si>
  <si>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</si>
  <si>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</si>
  <si>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</si>
  <si>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</si>
  <si>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</si>
  <si>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</si>
  <si>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</si>
  <si>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</si>
  <si>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</si>
  <si>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</si>
  <si>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</si>
  <si>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</si>
  <si>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</si>
  <si>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</si>
  <si>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</si>
  <si>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</si>
  <si>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</si>
  <si>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</si>
  <si>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</si>
  <si>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</si>
  <si>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</si>
  <si>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</si>
  <si>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</si>
  <si>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</si>
  <si>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</si>
  <si>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</si>
  <si>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</si>
  <si>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</si>
  <si>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</si>
  <si>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</si>
  <si>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</si>
  <si>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清道夫被动</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</si>
  <si>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</si>
  <si>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</si>
  <si>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</si>
  <si>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</si>
  <si>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</si>
  <si>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</si>
  <si>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</si>
  <si>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</si>
  <si>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</si>
  <si>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</si>
  <si>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</si>
  <si>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</si>
  <si>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</si>
  <si>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</si>
  <si>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</si>
  <si>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</si>
  <si>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</si>
  <si>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</si>
  <si>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</si>
  <si>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</si>
  <si>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</si>
  <si>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</si>
  <si>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</si>
  <si>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</si>
  <si>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</si>
  <si>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</si>
  <si>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</si>
  <si>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</si>
  <si>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</si>
  <si>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</si>
  <si>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</si>
  <si>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</si>
  <si>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</si>
  <si>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</si>
  <si>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</si>
  <si>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</si>
  <si>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</si>
  <si>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</si>
  <si>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</si>
  <si>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</si>
  <si>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</si>
  <si>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</si>
  <si>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</si>
  <si>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</si>
  <si>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</si>
  <si>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</si>
  <si>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</si>
  <si>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</si>
  <si>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</si>
  <si>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</si>
  <si>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</si>
  <si>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</si>
  <si>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</si>
  <si>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</si>
  <si>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</si>
  <si>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</si>
  <si>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</si>
  <si>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</si>
  <si>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</si>
  <si>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</si>
  <si>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</si>
  <si>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</si>
  <si>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</si>
  <si>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</si>
  <si>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</si>
  <si>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</si>
  <si>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</si>
  <si>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</si>
  <si>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</si>
  <si>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</si>
  <si>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</si>
  <si>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</si>
  <si>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</si>
  <si>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</si>
  <si>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</si>
  <si>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</si>
  <si>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</si>
  <si>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</si>
  <si>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</si>
  <si>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</si>
  <si>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</si>
  <si>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</si>
  <si>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</si>
  <si>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</si>
  <si>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</si>
  <si>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</si>
  <si>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</si>
  <si>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</si>
  <si>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</si>
  <si>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</si>
  <si>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</si>
  <si>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</si>
  <si>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</si>
  <si>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</si>
  <si>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</si>
  <si>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</si>
  <si>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</si>
  <si>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</si>
  <si>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</si>
  <si>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</si>
  <si>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</si>
  <si>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</si>
  <si>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</si>
  <si>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</si>
  <si>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</si>
  <si>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</si>
  <si>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</si>
  <si>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</si>
  <si>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</si>
  <si>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</si>
  <si>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</si>
  <si>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</si>
  <si>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</si>
  <si>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</si>
  <si>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</si>
  <si>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</si>
  <si>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</si>
  <si>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</si>
  <si>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</si>
  <si>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</si>
  <si>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</si>
  <si>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</si>
  <si>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</si>
  <si>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</si>
  <si>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</si>
  <si>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</si>
  <si>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</si>
  <si>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</si>
  <si>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</si>
  <si>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</si>
  <si>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</si>
  <si>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</si>
  <si>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</si>
  <si>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</si>
  <si>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</si>
  <si>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</si>
  <si>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</si>
  <si>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</si>
  <si>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</si>
  <si>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</si>
  <si>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</si>
  <si>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</si>
  <si>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</si>
  <si>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</si>
  <si>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</si>
  <si>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</si>
  <si>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</si>
  <si>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</si>
  <si>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</si>
  <si>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</si>
  <si>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</si>
  <si>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</si>
  <si>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</si>
  <si>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</si>
  <si>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</si>
  <si>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</si>
  <si>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</si>
  <si>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</si>
  <si>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</si>
  <si>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</si>
  <si>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</si>
  <si>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</si>
  <si>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</si>
  <si>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</si>
  <si>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</si>
  <si>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</si>
  <si>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</si>
  <si>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</si>
  <si>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</si>
  <si>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</si>
  <si>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</si>
  <si>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</si>
  <si>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</si>
  <si>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</si>
  <si>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</si>
  <si>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</si>
  <si>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</si>
  <si>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</si>
  <si>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</si>
  <si>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</si>
  <si>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</si>
  <si>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</si>
  <si>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</si>
  <si>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</si>
  <si>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</si>
  <si>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</si>
  <si>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</si>
  <si>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</si>
  <si>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</si>
  <si>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</si>
  <si>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</si>
  <si>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</si>
  <si>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</si>
  <si>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</si>
  <si>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</si>
  <si>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</si>
  <si>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白面鸮2</t>
  </si>
  <si>
    <t>脑啡肽</t>
  </si>
  <si>
    <t>攻击范围扩大，攻击间隔超大幅度缩短(-2.1)</t>
  </si>
  <si>
    <t>skill_icon_skchr_plosis_2</t>
  </si>
  <si>
    <t>0,0#0,1#0,-1#1,0#2,0#1,1#1,-1#2,1#2,-1#-1,0#-1,1#-1,-1#3,0#3,1#3,-1</t>
  </si>
  <si>
    <t>白面2buff</t>
  </si>
  <si>
    <t>白面鸮buff</t>
  </si>
  <si>
    <t>芙兰卡攻击</t>
  </si>
  <si>
    <t>芙兰卡抬手</t>
  </si>
  <si>
    <t>芙兰卡击中</t>
  </si>
  <si>
    <t>芙兰卡被动</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</si>
  <si>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</si>
  <si>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</si>
  <si>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</si>
  <si>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</si>
  <si>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</si>
  <si>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</si>
  <si>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</si>
  <si>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</si>
  <si>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</si>
  <si>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</si>
  <si>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</si>
  <si>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</si>
  <si>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</si>
  <si>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</si>
  <si>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</si>
  <si>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</si>
  <si>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</si>
  <si>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</si>
  <si>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</si>
  <si>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</si>
  <si>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</si>
  <si>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</si>
  <si>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</si>
  <si>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</si>
  <si>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</si>
  <si>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</si>
  <si>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</si>
  <si>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</si>
  <si>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</si>
  <si>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</si>
  <si>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</si>
  <si>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</si>
  <si>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</si>
  <si>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</si>
  <si>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</si>
  <si>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</si>
  <si>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</si>
  <si>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</si>
  <si>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</si>
  <si>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</si>
  <si>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</si>
  <si>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</si>
  <si>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</si>
  <si>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</si>
  <si>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</si>
  <si>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</si>
  <si>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</si>
  <si>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</si>
  <si>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</si>
  <si>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</si>
  <si>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</si>
  <si>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</si>
  <si>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</si>
  <si>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</si>
  <si>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</si>
  <si>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</si>
  <si>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</si>
  <si>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</si>
  <si>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</si>
  <si>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</si>
  <si>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</si>
  <si>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</si>
  <si>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</si>
  <si>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</si>
  <si>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</si>
  <si>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</si>
  <si>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</si>
  <si>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</si>
  <si>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</si>
  <si>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</si>
  <si>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</si>
  <si>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</si>
  <si>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</si>
  <si>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</si>
  <si>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</si>
  <si>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</si>
  <si>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</si>
  <si>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</si>
  <si>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</si>
  <si>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</si>
  <si>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</si>
  <si>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</si>
  <si>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</si>
  <si>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</si>
  <si>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</si>
  <si>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</si>
  <si>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</si>
  <si>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</si>
  <si>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</si>
  <si>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</si>
  <si>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</si>
  <si>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</si>
  <si>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</si>
  <si>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</si>
  <si>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</si>
  <si>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</si>
  <si>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</si>
  <si>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</si>
  <si>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</si>
  <si>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</si>
  <si>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</si>
  <si>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</si>
  <si>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</si>
  <si>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</si>
  <si>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</si>
  <si>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</si>
  <si>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</si>
  <si>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</si>
  <si>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</si>
  <si>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</si>
  <si>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</si>
  <si>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阿米娅攻击</t>
  </si>
  <si>
    <t>Attack_Begin,Attack,Attack_End</t>
  </si>
  <si>
    <t>阿米娅弹道</t>
  </si>
  <si>
    <t>阿米娅抬手</t>
  </si>
  <si>
    <t>阿米娅击中</t>
  </si>
  <si>
    <t>阿米娅被动</t>
  </si>
  <si>
    <t>击中</t>
  </si>
  <si>
    <t>阿米娅被动1</t>
  </si>
  <si>
    <t>{"PowerCount":3}</t>
  </si>
  <si>
    <t>击杀</t>
  </si>
  <si>
    <t>{"PowerCount":10}</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</si>
  <si>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</si>
  <si>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</si>
  <si>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</si>
  <si>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</si>
  <si>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</si>
  <si>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</si>
  <si>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</si>
  <si>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</si>
  <si>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</si>
  <si>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</si>
  <si>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</si>
  <si>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</si>
  <si>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</si>
  <si>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</si>
  <si>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</si>
  <si>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</si>
  <si>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Real</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</si>
  <si>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</si>
  <si>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</si>
  <si>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</si>
  <si>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</si>
  <si>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</si>
  <si>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</si>
  <si>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</si>
  <si>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</si>
  <si>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</si>
  <si>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</si>
  <si>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</si>
  <si>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</si>
  <si>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</si>
  <si>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</si>
  <si>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</si>
  <si>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</si>
  <si>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</si>
  <si>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</si>
  <si>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</si>
  <si>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</si>
  <si>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</si>
  <si>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</si>
  <si>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</si>
  <si>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</si>
  <si>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</si>
  <si>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</si>
  <si>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</si>
  <si>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</si>
  <si>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获得机械水濑</t>
  </si>
  <si>
    <t>{"Count":5,"UnitId":"机械水獭"}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</si>
  <si>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</si>
  <si>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</si>
  <si>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</si>
  <si>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</si>
  <si>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</si>
  <si>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</si>
  <si>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</si>
  <si>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</si>
  <si>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</si>
  <si>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</si>
  <si>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</si>
  <si>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</si>
  <si>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</si>
  <si>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</si>
  <si>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</si>
  <si>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</si>
  <si>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</si>
  <si>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</si>
  <si>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</si>
  <si>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</si>
  <si>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</si>
  <si>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</si>
  <si>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</si>
  <si>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</si>
  <si>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</si>
  <si>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</si>
  <si>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</si>
  <si>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</si>
  <si>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</si>
  <si>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</si>
  <si>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</si>
  <si>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</si>
  <si>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</si>
  <si>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</si>
  <si>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</si>
  <si>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</si>
  <si>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</si>
  <si>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</si>
  <si>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</si>
  <si>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</si>
  <si>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</si>
  <si>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</si>
  <si>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</si>
  <si>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</si>
  <si>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</si>
  <si>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</si>
  <si>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</si>
  <si>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</si>
  <si>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</si>
  <si>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</si>
  <si>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</si>
  <si>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</si>
  <si>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</si>
  <si>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</si>
  <si>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</si>
  <si>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</si>
  <si>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</si>
  <si>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</si>
  <si>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</si>
  <si>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</si>
  <si>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</si>
  <si>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</si>
  <si>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</si>
  <si>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</si>
  <si>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</si>
  <si>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红攻击</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</si>
  <si>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</si>
  <si>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</si>
  <si>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</si>
  <si>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</si>
  <si>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</si>
  <si>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</si>
  <si>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</si>
  <si>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</si>
  <si>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</si>
  <si>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</si>
  <si>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</si>
  <si>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</si>
  <si>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</si>
  <si>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</si>
  <si>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</si>
  <si>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</si>
  <si>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</si>
  <si>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</si>
  <si>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</si>
  <si>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</si>
  <si>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</si>
  <si>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</si>
  <si>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</si>
  <si>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</si>
  <si>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</si>
  <si>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</si>
  <si>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</si>
  <si>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</si>
  <si>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</si>
  <si>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</si>
  <si>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</si>
  <si>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</si>
  <si>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</si>
  <si>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</si>
  <si>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</si>
  <si>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</si>
  <si>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</si>
  <si>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</si>
  <si>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</si>
  <si>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</si>
  <si>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</si>
  <si>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</si>
  <si>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</si>
  <si>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</si>
  <si>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</si>
  <si>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</si>
  <si>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</si>
  <si>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</si>
  <si>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</si>
  <si>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</si>
  <si>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</si>
  <si>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</si>
  <si>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</si>
  <si>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</si>
  <si>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</si>
  <si>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</si>
  <si>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</si>
  <si>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</si>
  <si>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</si>
  <si>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</si>
  <si>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</si>
  <si>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</si>
  <si>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</si>
  <si>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</si>
  <si>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</si>
  <si>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</si>
  <si>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</si>
  <si>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</si>
  <si>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</si>
  <si>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</si>
  <si>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</si>
  <si>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</si>
  <si>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</si>
  <si>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</si>
  <si>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</si>
  <si>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</si>
  <si>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</si>
  <si>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</si>
  <si>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</si>
  <si>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</si>
  <si>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</si>
  <si>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</si>
  <si>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</si>
  <si>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</si>
  <si>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</si>
  <si>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</si>
  <si>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</si>
  <si>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</si>
  <si>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</si>
  <si>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</si>
  <si>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</si>
  <si>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</si>
  <si>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</si>
  <si>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</si>
  <si>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</si>
  <si>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</si>
  <si>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</si>
  <si>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</si>
  <si>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</si>
  <si>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</si>
  <si>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</si>
  <si>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</si>
  <si>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</si>
  <si>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</si>
  <si>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</si>
  <si>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</si>
  <si>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</si>
  <si>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</si>
  <si>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</si>
  <si>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</si>
  <si>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</si>
  <si>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</si>
  <si>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</si>
  <si>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</si>
  <si>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</si>
  <si>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</si>
  <si>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</si>
  <si>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</si>
  <si>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</si>
  <si>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</si>
  <si>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</si>
  <si>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</si>
  <si>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</si>
  <si>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</si>
  <si>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</si>
  <si>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</si>
  <si>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</si>
  <si>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</si>
  <si>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</si>
  <si>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</si>
  <si>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</si>
  <si>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</si>
  <si>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</si>
  <si>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</si>
  <si>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</si>
  <si>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</si>
  <si>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</si>
  <si>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</si>
  <si>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</si>
  <si>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</si>
  <si>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</si>
  <si>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</si>
  <si>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</si>
  <si>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</si>
  <si>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</si>
  <si>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</si>
  <si>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</si>
  <si>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</si>
  <si>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</si>
  <si>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</si>
  <si>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</si>
  <si>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</si>
  <si>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</si>
  <si>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</si>
  <si>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</si>
  <si>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</si>
  <si>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</si>
  <si>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</si>
  <si>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</si>
  <si>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</si>
  <si>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0,0#0,1#0,-1#1,0#-1,0#2,0#1,1#1,-1#0,2#0,-2#-1,1#-1,-1#-2,0</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</si>
  <si>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</si>
  <si>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</si>
  <si>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</si>
  <si>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</si>
  <si>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</si>
  <si>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</si>
  <si>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</si>
  <si>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</si>
  <si>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</si>
  <si>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</si>
  <si>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</si>
  <si>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</si>
  <si>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</si>
  <si>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</si>
  <si>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</si>
  <si>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</si>
  <si>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</si>
  <si>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</si>
  <si>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</si>
  <si>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</si>
  <si>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</si>
  <si>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</si>
  <si>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</si>
  <si>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</si>
  <si>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</si>
  <si>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</si>
  <si>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</si>
  <si>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</si>
  <si>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</si>
  <si>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</si>
  <si>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</si>
  <si>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</si>
  <si>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</si>
  <si>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</si>
  <si>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</si>
  <si>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</si>
  <si>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</si>
  <si>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</si>
  <si>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</si>
  <si>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</si>
  <si>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</si>
  <si>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</si>
  <si>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</si>
  <si>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</si>
  <si>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</si>
  <si>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</si>
  <si>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</si>
  <si>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</si>
  <si>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</si>
  <si>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</si>
  <si>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</si>
  <si>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</si>
  <si>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</si>
  <si>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</si>
  <si>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</si>
  <si>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</si>
  <si>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</si>
  <si>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</si>
  <si>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</si>
  <si>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</si>
  <si>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</si>
  <si>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</si>
  <si>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</si>
  <si>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</si>
  <si>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</si>
  <si>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</si>
  <si>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</si>
  <si>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</si>
  <si>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</si>
  <si>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</si>
  <si>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</si>
  <si>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</si>
  <si>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</si>
  <si>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</si>
  <si>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</si>
  <si>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</si>
  <si>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</si>
  <si>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</si>
  <si>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</si>
  <si>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</si>
  <si>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</si>
  <si>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</si>
  <si>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</si>
  <si>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</si>
  <si>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</si>
  <si>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</si>
  <si>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</si>
  <si>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</si>
  <si>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</si>
  <si>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</si>
  <si>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</si>
  <si>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</si>
  <si>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</si>
  <si>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</si>
  <si>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</si>
  <si>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</si>
  <si>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</si>
  <si>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</si>
  <si>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</si>
  <si>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</si>
  <si>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</si>
  <si>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</si>
  <si>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</si>
  <si>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</si>
  <si>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</si>
  <si>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</si>
  <si>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</si>
  <si>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</si>
  <si>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</si>
  <si>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</si>
  <si>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</si>
  <si>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</si>
  <si>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</si>
  <si>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</si>
  <si>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</si>
  <si>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</si>
  <si>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</si>
  <si>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</si>
  <si>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</si>
  <si>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</si>
  <si>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</si>
  <si>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</si>
  <si>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</si>
  <si>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</si>
  <si>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</si>
  <si>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</si>
  <si>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</si>
  <si>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</si>
  <si>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</si>
  <si>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</si>
  <si>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</si>
  <si>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</si>
  <si>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</si>
  <si>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</si>
  <si>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</si>
  <si>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</si>
  <si>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</si>
  <si>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</si>
  <si>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</si>
  <si>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</si>
  <si>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</si>
  <si>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</si>
  <si>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</si>
  <si>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</si>
  <si>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</si>
  <si>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</si>
  <si>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</si>
  <si>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</si>
  <si>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</si>
  <si>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</si>
  <si>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</si>
  <si>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</si>
  <si>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</si>
  <si>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</si>
  <si>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</si>
  <si>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</si>
  <si>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</si>
  <si>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</si>
  <si>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</si>
  <si>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</si>
  <si>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</si>
  <si>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</si>
  <si>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</si>
  <si>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</si>
  <si>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</si>
  <si>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</si>
  <si>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</si>
  <si>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</si>
  <si>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</si>
  <si>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</si>
  <si>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</si>
  <si>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</si>
  <si>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</si>
  <si>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</si>
  <si>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</si>
  <si>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</si>
  <si>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</si>
  <si>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</si>
  <si>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</si>
  <si>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</si>
  <si>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</si>
  <si>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</si>
  <si>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</si>
  <si>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</si>
  <si>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</si>
  <si>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</si>
  <si>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</si>
  <si>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</si>
  <si>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</si>
  <si>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</si>
  <si>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</si>
  <si>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</si>
  <si>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</si>
  <si>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</si>
  <si>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</si>
  <si>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</si>
  <si>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</si>
  <si>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</si>
  <si>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</si>
  <si>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</si>
  <si>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</si>
  <si>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</si>
  <si>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</si>
  <si>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</si>
  <si>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</si>
  <si>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</si>
  <si>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</si>
  <si>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</si>
  <si>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</si>
  <si>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</si>
  <si>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</si>
  <si>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</si>
  <si>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</si>
  <si>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</si>
  <si>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</si>
  <si>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</si>
  <si>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</si>
  <si>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</si>
  <si>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</si>
  <si>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</si>
  <si>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</si>
  <si>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</si>
  <si>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</si>
  <si>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</si>
  <si>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</si>
  <si>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</si>
  <si>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</si>
  <si>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</si>
  <si>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</si>
  <si>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</si>
  <si>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</si>
  <si>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</si>
  <si>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</si>
  <si>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</si>
  <si>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</si>
  <si>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</si>
  <si>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</si>
  <si>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</si>
  <si>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</si>
  <si>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</si>
  <si>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</si>
  <si>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</si>
  <si>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</si>
  <si>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</si>
  <si>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</si>
  <si>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</si>
  <si>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</si>
  <si>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</si>
  <si>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</si>
  <si>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</si>
  <si>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</si>
  <si>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</si>
  <si>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</si>
  <si>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</si>
  <si>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</si>
  <si>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</si>
  <si>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</si>
  <si>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</si>
  <si>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</si>
  <si>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</si>
  <si>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</si>
  <si>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</si>
  <si>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</si>
  <si>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</si>
  <si>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</si>
  <si>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</si>
  <si>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</si>
  <si>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</si>
  <si>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</si>
  <si>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</si>
  <si>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</si>
  <si>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</si>
  <si>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</si>
  <si>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</si>
  <si>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</si>
  <si>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</si>
  <si>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</si>
  <si>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</si>
  <si>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</si>
  <si>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</si>
  <si>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</si>
  <si>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</si>
  <si>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</si>
  <si>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</si>
  <si>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</si>
  <si>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</si>
  <si>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</si>
  <si>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</si>
  <si>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</si>
  <si>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</si>
  <si>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</si>
  <si>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</si>
  <si>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</si>
  <si>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</si>
  <si>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</si>
  <si>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</si>
  <si>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</si>
  <si>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</si>
  <si>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</si>
  <si>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</si>
  <si>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</si>
  <si>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</si>
  <si>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</si>
  <si>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</si>
  <si>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</si>
  <si>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</si>
  <si>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</si>
  <si>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</si>
  <si>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</si>
  <si>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</si>
  <si>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</si>
  <si>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</si>
  <si>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</si>
  <si>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</si>
  <si>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</si>
  <si>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</si>
  <si>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</si>
  <si>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</si>
  <si>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</si>
  <si>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</si>
  <si>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</si>
  <si>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</si>
  <si>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</si>
  <si>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</si>
  <si>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</si>
  <si>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</si>
  <si>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</si>
  <si>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</si>
  <si>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</si>
  <si>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</si>
  <si>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</si>
  <si>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</si>
  <si>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</si>
  <si>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</si>
  <si>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</si>
  <si>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</si>
  <si>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</si>
  <si>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</si>
  <si>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</si>
  <si>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</si>
  <si>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</si>
  <si>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</si>
  <si>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</si>
  <si>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</si>
  <si>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</si>
  <si>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</si>
  <si>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</si>
  <si>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</si>
  <si>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</si>
  <si>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</si>
  <si>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</si>
  <si>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</si>
  <si>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</si>
  <si>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</si>
  <si>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</si>
  <si>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</si>
  <si>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</si>
  <si>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</si>
  <si>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</si>
  <si>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</si>
  <si>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</si>
  <si>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</si>
  <si>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</si>
  <si>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</si>
  <si>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</si>
  <si>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</si>
  <si>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</si>
  <si>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</si>
  <si>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</si>
  <si>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</si>
  <si>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</si>
  <si>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</si>
  <si>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</si>
  <si>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</si>
  <si>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</si>
  <si>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</si>
  <si>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</si>
  <si>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</si>
  <si>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</si>
  <si>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</si>
  <si>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</si>
  <si>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</si>
  <si>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</si>
  <si>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</si>
  <si>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</si>
  <si>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</si>
  <si>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</si>
  <si>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</si>
  <si>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</si>
  <si>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</si>
  <si>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</si>
  <si>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</si>
  <si>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</si>
  <si>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</si>
  <si>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</si>
  <si>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</si>
  <si>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</si>
  <si>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</si>
  <si>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</si>
  <si>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</si>
  <si>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</si>
  <si>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</si>
  <si>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</si>
  <si>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</si>
  <si>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</si>
  <si>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</si>
  <si>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</si>
  <si>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</si>
  <si>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</si>
  <si>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</si>
  <si>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</si>
  <si>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</si>
  <si>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</si>
  <si>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</si>
  <si>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</si>
  <si>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</si>
  <si>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</si>
  <si>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</si>
  <si>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</si>
  <si>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</si>
  <si>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</si>
  <si>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</si>
  <si>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</si>
  <si>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</si>
  <si>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</si>
  <si>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</si>
  <si>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</si>
  <si>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</si>
  <si>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</si>
  <si>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</si>
  <si>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</si>
  <si>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</si>
  <si>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</si>
  <si>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</si>
  <si>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</si>
  <si>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</si>
  <si>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</si>
  <si>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</si>
  <si>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</si>
  <si>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</si>
  <si>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</si>
  <si>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</si>
  <si>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</si>
  <si>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</si>
  <si>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</si>
  <si>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</si>
  <si>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</si>
  <si>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</si>
  <si>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</si>
  <si>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</si>
  <si>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</si>
  <si>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</si>
  <si>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</si>
  <si>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</si>
  <si>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</si>
  <si>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</si>
  <si>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</si>
  <si>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</si>
  <si>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</si>
  <si>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</si>
  <si>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</si>
  <si>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</si>
  <si>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山3</t>
  </si>
  <si>
    <t>震地碎岩击</t>
  </si>
  <si>
    <t>攻击间隔增大(+70%)，攻击力+100%，攻击变为2连击，第一天赋的发动几率提升至75%，每次攻击周围最多4个敌人并将其中等力度地推动</t>
  </si>
  <si>
    <t>skill_icon_skchr_f12yin_3</t>
  </si>
  <si>
    <t>0,0#1,0#-1,0#0,1#0,-1</t>
  </si>
  <si>
    <t>山3buff,山3暴击攻击</t>
  </si>
  <si>
    <t>Skill_3_Begin,Skill_3_Loop,Skill_3_End</t>
  </si>
  <si>
    <t>山3暴击攻击</t>
  </si>
  <si>
    <t>山3buff</t>
  </si>
  <si>
    <t>山3buff,山3动作</t>
  </si>
  <si>
    <t>1,0.7</t>
  </si>
  <si>
    <t>#非正式技能，测试用</t>
  </si>
  <si>
    <t>减速攻击</t>
  </si>
  <si>
    <t>攻击可以减缓目标移速。</t>
  </si>
  <si>
    <t>焰淬匕首</t>
  </si>
  <si>
    <t>阿米娅子弹</t>
  </si>
  <si>
    <t>蓄力</t>
  </si>
  <si>
    <t>击中1</t>
  </si>
  <si>
    <t>大范围减速</t>
  </si>
  <si>
    <t>广范围减速敌人</t>
  </si>
  <si>
    <t>冲锋号令</t>
  </si>
  <si>
    <t>大范围减速2</t>
  </si>
  <si>
    <t>大范围自动加血</t>
  </si>
  <si>
    <t>阿米娅强力击</t>
  </si>
  <si>
    <t>强力击</t>
  </si>
  <si>
    <t>阿米娅强力击子弹</t>
  </si>
  <si>
    <t>阿米娅手动强力击</t>
  </si>
  <si>
    <t>推人</t>
  </si>
  <si>
    <t>把面前的敌人推开</t>
  </si>
  <si>
    <t>拉人</t>
  </si>
  <si>
    <t>把面前的敌人拉过来</t>
  </si>
  <si>
    <t>被动减费</t>
  </si>
  <si>
    <t>部署费用提升</t>
  </si>
  <si>
    <t>加费</t>
  </si>
  <si>
    <t>获得费用</t>
  </si>
  <si>
    <t>持续加费</t>
  </si>
  <si>
    <t>持续获得费用</t>
  </si>
  <si>
    <t>击杀加费</t>
  </si>
  <si>
    <t>获得冰刀</t>
  </si>
  <si>
    <t>破冰2</t>
  </si>
  <si>
    <t>##敌人技能</t>
  </si>
  <si>
    <t>近身</t>
  </si>
  <si>
    <t>虫子攻击</t>
  </si>
  <si>
    <t>敌人隐身</t>
  </si>
  <si>
    <t>不可阻挡</t>
  </si>
  <si>
    <t>平民不可阻挡</t>
  </si>
  <si>
    <t>不可阻挡,中立单位标记</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</si>
  <si>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</si>
  <si>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</si>
  <si>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</si>
  <si>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</si>
  <si>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</si>
  <si>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</si>
  <si>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</si>
  <si>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</si>
  <si>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</si>
  <si>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</si>
  <si>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</si>
  <si>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</si>
  <si>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</si>
  <si>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</si>
  <si>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</si>
  <si>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</si>
  <si>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</si>
  <si>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</si>
  <si>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</si>
  <si>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</si>
  <si>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</si>
  <si>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</si>
  <si>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</si>
  <si>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</si>
  <si>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</si>
  <si>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</si>
  <si>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</si>
  <si>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</si>
  <si>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</si>
  <si>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</si>
  <si>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</si>
  <si>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</si>
  <si>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</si>
  <si>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</si>
  <si>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</si>
  <si>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</si>
  <si>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</si>
  <si>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</si>
  <si>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</si>
  <si>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</si>
  <si>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</si>
  <si>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</si>
  <si>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</si>
  <si>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</si>
  <si>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</si>
  <si>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</si>
  <si>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</si>
  <si>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</si>
  <si>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</si>
  <si>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</si>
  <si>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</si>
  <si>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</si>
  <si>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</si>
  <si>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</si>
  <si>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</si>
  <si>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</si>
  <si>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</si>
  <si>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</si>
  <si>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</si>
  <si>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</si>
  <si>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</si>
  <si>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</si>
  <si>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</si>
  <si>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</si>
  <si>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</si>
  <si>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</si>
  <si>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</si>
  <si>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</si>
  <si>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</si>
  <si>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</si>
  <si>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</si>
  <si>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</si>
  <si>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</si>
  <si>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</si>
  <si>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</si>
  <si>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</si>
  <si>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</si>
  <si>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</si>
  <si>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</si>
  <si>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</si>
  <si>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</si>
  <si>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</si>
  <si>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</si>
  <si>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</si>
  <si>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</si>
  <si>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</si>
  <si>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</si>
  <si>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</si>
  <si>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</si>
  <si>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</si>
  <si>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</si>
  <si>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</si>
  <si>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</si>
  <si>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</si>
  <si>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</si>
  <si>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</si>
  <si>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</si>
  <si>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</si>
  <si>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</si>
  <si>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</si>
  <si>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</si>
  <si>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</si>
  <si>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</si>
  <si>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</si>
  <si>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</si>
  <si>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</si>
  <si>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</si>
  <si>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</si>
  <si>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</si>
  <si>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</si>
  <si>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</si>
  <si>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</si>
  <si>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</si>
  <si>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</si>
  <si>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</si>
  <si>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</si>
  <si>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</si>
  <si>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</si>
  <si>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</si>
  <si>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</si>
  <si>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</si>
  <si>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</si>
  <si>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</si>
  <si>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</si>
  <si>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</si>
  <si>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</si>
  <si>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</si>
  <si>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</si>
  <si>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</si>
  <si>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</si>
  <si>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</si>
  <si>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</si>
  <si>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</si>
  <si>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</si>
  <si>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</si>
  <si>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</si>
  <si>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</si>
  <si>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</si>
  <si>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</si>
  <si>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</si>
  <si>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</si>
  <si>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</si>
  <si>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</si>
  <si>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</si>
  <si>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</si>
  <si>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</si>
  <si>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</si>
  <si>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</si>
  <si>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</si>
  <si>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</si>
  <si>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</si>
  <si>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</si>
  <si>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</si>
  <si>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</si>
  <si>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</si>
  <si>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</si>
  <si>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</si>
  <si>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</si>
  <si>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</si>
  <si>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</si>
  <si>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</si>
  <si>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</si>
  <si>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</si>
  <si>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</si>
  <si>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</si>
  <si>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</si>
  <si>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</si>
  <si>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</si>
  <si>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</si>
  <si>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</si>
  <si>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</si>
  <si>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</si>
  <si>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</si>
  <si>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</si>
  <si>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</si>
  <si>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</si>
  <si>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</si>
  <si>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</si>
  <si>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</si>
  <si>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</si>
  <si>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</si>
  <si>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</si>
  <si>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</si>
  <si>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</si>
  <si>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</si>
  <si>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</si>
  <si>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</si>
  <si>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</si>
  <si>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</si>
  <si>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</si>
  <si>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</si>
  <si>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</si>
  <si>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</si>
  <si>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</si>
  <si>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</si>
  <si>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</si>
  <si>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</si>
  <si>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</si>
  <si>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</si>
  <si>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</si>
  <si>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</si>
  <si>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</si>
  <si>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</si>
  <si>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</si>
  <si>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</si>
  <si>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</si>
  <si>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</si>
  <si>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</si>
  <si>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</si>
  <si>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</si>
  <si>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</si>
  <si>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</si>
  <si>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</si>
  <si>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{"Sanity":0.15}</t>
  </si>
  <si>
    <t>{"Sanity":0.2}</t>
  </si>
  <si>
    <t>钵海收割者攻击</t>
  </si>
  <si>
    <t>{"Sanity":0.1}</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</si>
  <si>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</si>
  <si>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</si>
  <si>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</si>
  <si>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</si>
  <si>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</si>
  <si>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</si>
  <si>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</si>
  <si>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</si>
  <si>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</si>
  <si>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</si>
  <si>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{"Sanity":1}</t>
  </si>
  <si>
    <t>首言者攻击</t>
  </si>
  <si>
    <t>{"Sanity":0.4}</t>
  </si>
  <si>
    <t>首言者技能</t>
  </si>
  <si>
    <t>{"Sanity":0.6}</t>
  </si>
  <si>
    <t>大主教攻击</t>
  </si>
  <si>
    <t>大主教大潮1</t>
  </si>
  <si>
    <t>Skill_01</t>
  </si>
  <si>
    <t>{"Sanity":0.5}</t>
  </si>
  <si>
    <t>大主教1启动</t>
  </si>
  <si>
    <t>大主教大潮2</t>
  </si>
  <si>
    <t>{"Sanity":0.667}</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</si>
  <si>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</si>
  <si>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</si>
  <si>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</si>
  <si>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</si>
  <si>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</si>
  <si>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</si>
  <si>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</si>
  <si>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</si>
  <si>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</si>
  <si>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</si>
  <si>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</si>
  <si>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</si>
  <si>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</si>
  <si>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</si>
  <si>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</si>
  <si>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</si>
  <si>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</si>
  <si>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</si>
  <si>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</si>
  <si>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</si>
  <si>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</si>
  <si>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</si>
  <si>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</si>
  <si>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</si>
  <si>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</si>
  <si>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刁民</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</si>
  <si>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</si>
  <si>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</si>
  <si>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</si>
  <si>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</si>
  <si>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</si>
  <si>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</si>
  <si>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</si>
  <si>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</si>
  <si>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召唤</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</si>
  <si>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</si>
  <si>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</si>
  <si>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</si>
  <si>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</si>
  <si>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</si>
  <si>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</si>
  <si>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</si>
  <si>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</si>
  <si>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</si>
  <si>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</si>
  <si>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</si>
  <si>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</si>
  <si>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</si>
  <si>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</si>
  <si>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</si>
  <si>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</si>
  <si>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</si>
  <si>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</si>
  <si>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</si>
  <si>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</si>
  <si>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</si>
  <si>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</si>
  <si>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</si>
  <si>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</si>
  <si>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</si>
  <si>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</si>
  <si>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</si>
  <si>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</si>
  <si>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</si>
  <si>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</si>
  <si>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</si>
  <si>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</si>
  <si>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</si>
  <si>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</si>
  <si>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0,0#0,1#0,-1#1,0#-1,0</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</si>
  <si>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</si>
  <si>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</si>
  <si>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</si>
  <si>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</si>
  <si>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</si>
  <si>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</si>
  <si>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</si>
  <si>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</si>
  <si>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</si>
  <si>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</si>
  <si>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</si>
  <si>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</si>
  <si>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</si>
  <si>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</si>
  <si>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</si>
  <si>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</si>
  <si>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</si>
  <si>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{"StartPos":"MapLeft","Line":5}</t>
  </si>
  <si>
    <t>黑蛇复活动作</t>
  </si>
  <si>
    <t>Reborn_1_End</t>
  </si>
  <si>
    <t>黑蛇自杀</t>
  </si>
  <si>
    <t>{"Time":0.01}</t>
  </si>
  <si>
    <t>通用敌方远程近战攻击</t>
  </si>
  <si>
    <t>##装置技能</t>
  </si>
  <si>
    <t>掉落</t>
  </si>
  <si>
    <t>{"DropSpeed":3}</t>
  </si>
  <si>
    <t>箱子放置</t>
  </si>
  <si>
    <t>重寻路</t>
  </si>
  <si>
    <t>{"Walkable":1}</t>
  </si>
  <si>
    <t>无法主动使用，用于表示装置攻击范围</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</si>
  <si>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</si>
  <si>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</si>
  <si>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</si>
  <si>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</si>
  <si>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</si>
  <si>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</si>
  <si>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</si>
  <si>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</si>
  <si>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</si>
  <si>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</si>
  <si>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</si>
  <si>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</si>
  <si>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回血地板回血</t>
  </si>
  <si>
    <t>防御地板加防</t>
  </si>
  <si>
    <t>减防地板减防</t>
  </si>
  <si>
    <t>减速地板减速buff</t>
  </si>
  <si>
    <t>平民减速</t>
  </si>
  <si>
    <t>中立单位标记</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</si>
  <si>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</si>
  <si>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</si>
  <si>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</si>
  <si>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</si>
  <si>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</si>
  <si>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</si>
  <si>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</si>
  <si>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</si>
  <si>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</si>
  <si>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</si>
  <si>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</si>
  <si>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</si>
  <si>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</si>
  <si>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</si>
  <si>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起始</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</si>
  <si>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</si>
  <si>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</si>
  <si>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</si>
  <si>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</si>
  <si>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</si>
  <si>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</si>
  <si>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</si>
  <si>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</si>
  <si>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</si>
  <si>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</si>
  <si>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</si>
  <si>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</si>
  <si>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</si>
  <si>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</si>
  <si>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</si>
  <si>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</si>
  <si>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</si>
  <si>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</si>
  <si>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</si>
  <si>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</si>
  <si>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</si>
  <si>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</si>
  <si>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</si>
  <si>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</si>
  <si>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</si>
  <si>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</si>
  <si>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</si>
  <si>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</si>
  <si>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</si>
  <si>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</si>
  <si>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</si>
  <si>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</si>
  <si>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</si>
  <si>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</si>
  <si>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</si>
  <si>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</si>
  <si>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</si>
  <si>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</si>
  <si>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</si>
  <si>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</si>
  <si>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</si>
  <si>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</si>
  <si>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</si>
  <si>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</si>
  <si>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</si>
  <si>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</si>
  <si>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</si>
  <si>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</si>
  <si>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</si>
  <si>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</si>
  <si>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</si>
  <si>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</si>
  <si>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</si>
  <si>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</si>
  <si>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</si>
  <si>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</si>
  <si>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</si>
  <si>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</si>
  <si>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</si>
  <si>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</si>
  <si>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</si>
  <si>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</si>
  <si>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</si>
  <si>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</si>
  <si>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测试被动</t>
  </si>
  <si>
    <t>Buff可抵挡</t>
  </si>
  <si>
    <t>测试被动1</t>
  </si>
  <si>
    <t>Buff抵挡</t>
  </si>
  <si>
    <t>限伤1</t>
  </si>
  <si>
    <t>阻挡小于</t>
  </si>
  <si>
    <t>阻挡需求</t>
  </si>
  <si>
    <t>周围单位需求</t>
  </si>
  <si>
    <t>不同源覆盖</t>
  </si>
  <si>
    <t>切换类buff</t>
  </si>
  <si>
    <t>持续特效</t>
  </si>
  <si>
    <t>升级</t>
  </si>
  <si>
    <t>能否被抵抗</t>
  </si>
  <si>
    <t>死亡不消去</t>
  </si>
  <si>
    <t>依赖buff</t>
  </si>
  <si>
    <t>不可被抵挡</t>
  </si>
  <si>
    <t>StopLess</t>
  </si>
  <si>
    <t>StopNeed</t>
  </si>
  <si>
    <t>RoundNeed</t>
  </si>
  <si>
    <t>UnSourceCheck</t>
  </si>
  <si>
    <t>IfSwitch</t>
  </si>
  <si>
    <t>LastingEffect</t>
  </si>
  <si>
    <t>LastTime</t>
  </si>
  <si>
    <t>Resist</t>
  </si>
  <si>
    <t>DeadRemain</t>
  </si>
  <si>
    <t>RelyBuff</t>
  </si>
  <si>
    <t>NotCancelable</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</si>
  <si>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</si>
  <si>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</si>
  <si>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</si>
  <si>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</si>
  <si>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</si>
  <si>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</si>
  <si>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</si>
  <si>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</si>
  <si>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</si>
  <si>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</si>
  <si>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</si>
  <si>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</si>
  <si>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</si>
  <si>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</si>
  <si>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</si>
  <si>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</si>
  <si>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</si>
  <si>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</si>
  <si>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</si>
  <si>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</si>
  <si>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</si>
  <si>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</si>
  <si>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</si>
  <si>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</si>
  <si>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</si>
  <si>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</si>
  <si>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</si>
  <si>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</si>
  <si>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</si>
  <si>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</si>
  <si>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</si>
  <si>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</si>
  <si>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物理易伤</t>
  </si>
  <si>
    <t>{"t":["NormalDamageReceiveRate"]}</t>
  </si>
  <si>
    <t>{"t":["HealDamageReceiveRate"]}</t>
  </si>
  <si>
    <t>元素易伤</t>
  </si>
  <si>
    <t>{"t":["ElementDamageReceiveRate"]}</t>
  </si>
  <si>
    <t>{"t":["PushPower"]}</t>
  </si>
  <si>
    <t>减速2</t>
  </si>
  <si>
    <t>阻挡变化2</t>
  </si>
  <si>
    <t>{"t":["AttackRateFin"]}</t>
  </si>
  <si>
    <t>{"t":["DefenceRateFin"]}</t>
  </si>
  <si>
    <t>{"t":["MagicDefenceRateFin"]}</t>
  </si>
  <si>
    <t>{"t":["AgiAddFin"]}</t>
  </si>
  <si>
    <t>{"t":["HpRateFin"]}</t>
  </si>
  <si>
    <t>#移速变化f</t>
  </si>
  <si>
    <t>使用普通的移速变化即可</t>
  </si>
  <si>
    <t>法抗最终加算</t>
  </si>
  <si>
    <t>{"t":["MagicDefenceAddFin"]}</t>
  </si>
  <si>
    <t>凋亡中毒</t>
  </si>
  <si>
    <t>中毒</t>
  </si>
  <si>
    <t>{"DamageBase":0,"DamageType":"Element","TriggerTime":1}</t>
  </si>
  <si>
    <t>凋亡虚弱</t>
  </si>
  <si>
    <t>数值变化衰减</t>
  </si>
  <si>
    <t>设置属性</t>
  </si>
  <si>
    <t>全部格挡2</t>
  </si>
  <si>
    <t>物理格挡2</t>
  </si>
  <si>
    <t>魔法格挡2</t>
  </si>
  <si>
    <t>绝食</t>
  </si>
  <si>
    <t>{"HideTime":3}</t>
  </si>
  <si>
    <t>#屏蔽模型</t>
  </si>
  <si>
    <t>屏蔽模型</t>
  </si>
  <si>
    <t>{"ChangeAnimation":1}</t>
  </si>
  <si>
    <t>无动画眩晕,用于阻止技能释放</t>
  </si>
  <si>
    <t>无敌2</t>
  </si>
  <si>
    <t>冻结</t>
  </si>
  <si>
    <t>未阻挡加伤</t>
  </si>
  <si>
    <t>未阻挡伤害</t>
  </si>
  <si>
    <t>{"Rate":1.12}</t>
  </si>
  <si>
    <t>沉默</t>
  </si>
  <si>
    <t>投降</t>
  </si>
  <si>
    <t>束缚</t>
  </si>
  <si>
    <t>冒黑雾</t>
  </si>
  <si>
    <t>{"t":["Speed","SpeedBase"],"v":[0,0]}</t>
  </si>
  <si>
    <t>麻痹</t>
  </si>
  <si>
    <t>{"Times":3}</t>
  </si>
  <si>
    <t>起飞</t>
  </si>
  <si>
    <t>重设高度</t>
  </si>
  <si>
    <t>普通Buff</t>
  </si>
  <si>
    <t>{"t":["AttackRate","AgiAdd"]}</t>
  </si>
  <si>
    <t>源石地板毒素</t>
  </si>
  <si>
    <t>{"FarAttackUnitRate":1,"DamageType":"Real","TriggerTime":0.2}</t>
  </si>
  <si>
    <t>{"t":["HpRateFin","AttackRateFin","MagicDefenceAddFin","WeightAdd"]}</t>
  </si>
  <si>
    <t>防御提升加图标</t>
  </si>
  <si>
    <t>降防</t>
  </si>
  <si>
    <t>法术闪避</t>
  </si>
  <si>
    <t>{"Chance":0.5,"AvoidType":"Magic"}</t>
  </si>
  <si>
    <t>{"Chance":0.3,"AvoidType":"Normal"}</t>
  </si>
  <si>
    <t>攻击强化</t>
  </si>
  <si>
    <t>通用闪避</t>
  </si>
  <si>
    <t>{"Chance":-1,"AvoidType":"general"}</t>
  </si>
  <si>
    <t>触发闪避</t>
  </si>
  <si>
    <t>普通buff</t>
  </si>
  <si>
    <t>无特效无敌</t>
  </si>
  <si>
    <t>散射手射程标记</t>
  </si>
  <si>
    <t>凝滞师X模技力回复</t>
  </si>
  <si>
    <t>术战者Y模阻挡标记</t>
  </si>
  <si>
    <t>无畏者Y模减血</t>
  </si>
  <si>
    <t>嘲讽变化</t>
  </si>
  <si>
    <t>{"t":["Hatre"]}</t>
  </si>
  <si>
    <t>法术脆弱</t>
  </si>
  <si>
    <t>虚弱</t>
  </si>
  <si>
    <t>支援强化</t>
  </si>
  <si>
    <t>斑点buff</t>
  </si>
  <si>
    <t>{"Chance":0.25,"AvoidType":"Normal"}</t>
  </si>
  <si>
    <t>防御强化</t>
  </si>
  <si>
    <t>杰西卡闪避</t>
  </si>
  <si>
    <t>杰西卡2buff</t>
  </si>
  <si>
    <t>{"Chance":0.75,"AvoidType":"Real"}</t>
  </si>
  <si>
    <t>{"t":["AttackGapAdd","AttackRate"]}</t>
  </si>
  <si>
    <t>{"t":["AttackRate","DefenceRate"]}</t>
  </si>
  <si>
    <t>{"t":["HpRate","DefenceRate"]}</t>
  </si>
  <si>
    <t>缠丸buff</t>
  </si>
  <si>
    <t>{"t":["AttackRate","DefenceRateFin"]}</t>
  </si>
  <si>
    <t>霜叶2buff</t>
  </si>
  <si>
    <t>艾斯黛尔加攻</t>
  </si>
  <si>
    <t>艾斯黛尔buff</t>
  </si>
  <si>
    <t>砾1buff</t>
  </si>
  <si>
    <t>屏障</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</si>
  <si>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</si>
  <si>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</si>
  <si>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</si>
  <si>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</si>
  <si>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</si>
  <si>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</si>
  <si>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</si>
  <si>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</si>
  <si>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</si>
  <si>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</si>
  <si>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</si>
  <si>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</si>
  <si>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</si>
  <si>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</si>
  <si>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</si>
  <si>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</si>
  <si>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</si>
  <si>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</si>
  <si>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</si>
  <si>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凛冬buff</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</si>
  <si>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</si>
  <si>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</si>
  <si>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</si>
  <si>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</si>
  <si>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</si>
  <si>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</si>
  <si>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</si>
  <si>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</si>
  <si>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</si>
  <si>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</si>
  <si>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</si>
  <si>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</si>
  <si>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</si>
  <si>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</si>
  <si>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</si>
  <si>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</si>
  <si>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</si>
  <si>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</si>
  <si>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</si>
  <si>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</si>
  <si>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</si>
  <si>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</si>
  <si>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</si>
  <si>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</si>
  <si>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</si>
  <si>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</si>
  <si>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</si>
  <si>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</si>
  <si>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</si>
  <si>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护盾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</si>
  <si>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</si>
  <si>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</si>
  <si>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</si>
  <si>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</si>
  <si>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</si>
  <si>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</si>
  <si>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</si>
  <si>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</si>
  <si>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</si>
  <si>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</si>
  <si>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</si>
  <si>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</si>
  <si>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</si>
  <si>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</si>
  <si>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</si>
  <si>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{"t":["DefenceRate","HpRecoverP"]}</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</si>
  <si>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</si>
  <si>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</si>
  <si>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</si>
  <si>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</si>
  <si>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</si>
  <si>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</si>
  <si>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</si>
  <si>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</si>
  <si>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</si>
  <si>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</si>
  <si>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</si>
  <si>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</si>
  <si>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</si>
  <si>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</si>
  <si>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</si>
  <si>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</si>
  <si>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</si>
  <si>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</si>
  <si>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</si>
  <si>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</si>
  <si>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</si>
  <si>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</si>
  <si>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</si>
  <si>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</si>
  <si>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</si>
  <si>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</si>
  <si>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推王被动</t>
  </si>
  <si>
    <t>推王攻击间隔变化</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</si>
  <si>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</si>
  <si>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</si>
  <si>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</si>
  <si>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</si>
  <si>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</si>
  <si>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</si>
  <si>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</si>
  <si>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</si>
  <si>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</si>
  <si>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</si>
  <si>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</si>
  <si>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</si>
  <si>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</si>
  <si>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{"ShieldType":"Normal","Base":1}</t>
  </si>
  <si>
    <t>闪灵盾防</t>
  </si>
  <si>
    <t>闪灵3buff</t>
  </si>
  <si>
    <t>夜莺1加攻</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</si>
  <si>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</si>
  <si>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</si>
  <si>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</si>
  <si>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</si>
  <si>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</si>
  <si>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</si>
  <si>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</si>
  <si>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</si>
  <si>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</si>
  <si>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</si>
  <si>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</si>
  <si>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</si>
  <si>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</si>
  <si>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</si>
  <si>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</si>
  <si>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</si>
  <si>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</si>
  <si>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{"t":["DefenceRateFin","AttackRate","StopCountAdd","HpRecoverP"]}</t>
  </si>
  <si>
    <t>山2动作</t>
  </si>
  <si>
    <t>{"IdleAnimation":["Skill_2_Idle"]}</t>
  </si>
  <si>
    <t>山3动作</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</si>
  <si>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</si>
  <si>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</si>
  <si>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</si>
  <si>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</si>
  <si>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</si>
  <si>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</si>
  <si>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</si>
  <si>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</si>
  <si>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</si>
  <si>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</si>
  <si>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</si>
  <si>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</si>
  <si>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</si>
  <si>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</si>
  <si>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</si>
  <si>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</si>
  <si>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</si>
  <si>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</si>
  <si>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</si>
  <si>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</si>
  <si>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</si>
  <si>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</si>
  <si>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</si>
  <si>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</si>
  <si>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</si>
  <si>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</si>
  <si>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</si>
  <si>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</si>
  <si>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</si>
  <si>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</si>
  <si>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黑蛇复活buff</t>
  </si>
  <si>
    <t>{"t":["HpRate","AttackRate"]}</t>
  </si>
  <si>
    <t>大鳄鱼减仇恨</t>
  </si>
  <si>
    <t>大鳄鱼决斗减伤</t>
  </si>
  <si>
    <t>{"Rate":0}</t>
  </si>
  <si>
    <t>{"t":["DefenceAdd","MagicDefenceAdd"]}</t>
  </si>
  <si>
    <t>{"t":["AttackRate","AgiAdd"],"MaxLevel":10}</t>
  </si>
  <si>
    <t>{"t":["HpRecoverP"]}</t>
  </si>
  <si>
    <t>中立单位减速</t>
  </si>
  <si>
    <t>即死</t>
  </si>
  <si>
    <t>移除眩晕</t>
  </si>
  <si>
    <t>精确移除Buff</t>
  </si>
  <si>
    <t>{"Buffs":["眩晕"]}</t>
  </si>
  <si>
    <t>延迟眩晕</t>
  </si>
  <si>
    <t>延迟追加Buff</t>
  </si>
  <si>
    <t>{"Buffs":["眩晕"],"Delay":5}</t>
  </si>
  <si>
    <t>停留添加眩晕</t>
  </si>
  <si>
    <t>蕾缪安通缉类停留时间标记</t>
  </si>
  <si>
    <t>{"Time":3}</t>
  </si>
  <si>
    <t>重写类限伤</t>
  </si>
  <si>
    <t>{"Count":3}</t>
  </si>
  <si>
    <t>罗即死</t>
  </si>
  <si>
    <t>相关buff</t>
  </si>
  <si>
    <t>Buff</t>
  </si>
  <si>
    <t>暴击</t>
  </si>
  <si>
    <t>{"Chance":0.2,"Rate":1.6}</t>
  </si>
  <si>
    <t>{"Chance":0.1,"Rate":2.1,"Chance1":0.3}</t>
  </si>
  <si>
    <t>额外目标</t>
  </si>
  <si>
    <t>{"Chance":0.18,"Count":1}</t>
  </si>
  <si>
    <t>多重攻击2</t>
  </si>
  <si>
    <t>{"Count":2}</t>
  </si>
  <si>
    <t>对飞行伤害</t>
  </si>
  <si>
    <t>{"DamageRate":1.5}</t>
  </si>
  <si>
    <t>{"DamageRate":1.4}</t>
  </si>
  <si>
    <t>对buff伤害</t>
  </si>
  <si>
    <t>{"DamageRate":2}</t>
  </si>
  <si>
    <t>{"DamageRate":2.5}</t>
  </si>
  <si>
    <t>{"DamageRate":3}</t>
  </si>
  <si>
    <t>穿甲</t>
  </si>
  <si>
    <t>{"Chance":1,"Value":24}</t>
  </si>
  <si>
    <t>42单体加伤</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</si>
  <si>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</si>
  <si>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</si>
  <si>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</si>
  <si>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</si>
  <si>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</si>
  <si>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</si>
  <si>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</si>
  <si>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</si>
  <si>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</si>
  <si>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</si>
  <si>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</si>
  <si>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</si>
  <si>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</si>
  <si>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</si>
  <si>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通用链奶衰减</t>
  </si>
  <si>
    <t>链奶伤害衰减</t>
  </si>
  <si>
    <t>{"Rate":0.75}</t>
  </si>
  <si>
    <t>Line</t>
  </si>
  <si>
    <t>FaceCamera</t>
  </si>
  <si>
    <t>ScaleX</t>
  </si>
  <si>
    <t>EffectBase</t>
  </si>
  <si>
    <t>通用链奶弹道</t>
  </si>
  <si>
    <t>链式弹道</t>
  </si>
  <si>
    <t>frostl_attack_01_trail</t>
  </si>
  <si>
    <t>{"MoveHeight":0,"MaxLinkNum":4,"SkillId":"通用干员链式弹道索敌","CanBack":"false"}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</si>
  <si>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</si>
  <si>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</si>
  <si>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</si>
  <si>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</si>
  <si>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</si>
  <si>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</si>
  <si>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</si>
  <si>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</si>
  <si>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</si>
  <si>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</si>
  <si>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</si>
  <si>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</si>
  <si>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</si>
  <si>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</si>
  <si>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</si>
  <si>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</si>
  <si>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</si>
  <si>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</si>
  <si>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</si>
  <si>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</si>
  <si>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</si>
  <si>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</si>
  <si>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</si>
  <si>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</si>
  <si>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</si>
  <si>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</si>
  <si>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</si>
  <si>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</si>
  <si>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</si>
  <si>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</si>
  <si>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</si>
  <si>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</si>
  <si>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</si>
  <si>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</si>
  <si>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</si>
  <si>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</si>
  <si>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</si>
  <si>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</si>
  <si>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</si>
  <si>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</si>
  <si>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</si>
  <si>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</si>
  <si>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</si>
  <si>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</si>
  <si>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</si>
  <si>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</si>
  <si>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</si>
  <si>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</si>
  <si>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</si>
  <si>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</si>
  <si>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</si>
  <si>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</si>
  <si>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</si>
  <si>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</si>
  <si>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</si>
  <si>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</si>
  <si>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</si>
  <si>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</si>
  <si>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</si>
  <si>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</si>
  <si>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</si>
  <si>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</si>
  <si>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</si>
  <si>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</si>
  <si>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</si>
  <si>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</si>
  <si>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</si>
  <si>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</si>
  <si>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</si>
  <si>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</si>
  <si>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</si>
  <si>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</si>
  <si>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</si>
  <si>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</si>
  <si>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</si>
  <si>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</si>
  <si>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</si>
  <si>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罗1子弹</t>
  </si>
  <si>
    <t>逻各斯1技能类子弹</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</si>
  <si>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</si>
  <si>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</si>
  <si>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</si>
  <si>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</si>
  <si>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</si>
  <si>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</si>
  <si>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</si>
  <si>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</si>
  <si>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</si>
  <si>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</si>
  <si>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</si>
  <si>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</si>
  <si>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</si>
  <si>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</si>
  <si>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</si>
  <si>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</si>
  <si>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</si>
  <si>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</si>
  <si>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</si>
  <si>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击中2</t>
  </si>
  <si>
    <t>buff_stun</t>
  </si>
  <si>
    <t>道具回收拖尾</t>
  </si>
  <si>
    <t>common_item_recycle_trail_01</t>
  </si>
  <si>
    <t>护盾2</t>
  </si>
  <si>
    <t>common_buff_parry_02</t>
  </si>
  <si>
    <t>咏唱</t>
  </si>
  <si>
    <t>common_call_start_01</t>
  </si>
  <si>
    <t>common_char_birth_01</t>
  </si>
  <si>
    <t>common_char_die_01</t>
  </si>
  <si>
    <t>common_charge_cost_01</t>
  </si>
  <si>
    <t>0,0.6,0.7</t>
  </si>
  <si>
    <t>加费2</t>
  </si>
  <si>
    <t>瞬间加费</t>
  </si>
  <si>
    <t>common_charge_cost_start_01</t>
  </si>
  <si>
    <t>common_disarm_icon</t>
  </si>
  <si>
    <t>0,0.4,0.7</t>
  </si>
  <si>
    <t>敌人死亡</t>
  </si>
  <si>
    <t>common_enemy_die_01</t>
  </si>
  <si>
    <t>范围治疗</t>
  </si>
  <si>
    <t>common_heal_range_01</t>
  </si>
  <si>
    <t>治疗2</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</si>
  <si>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</si>
  <si>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</si>
  <si>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</si>
  <si>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</si>
  <si>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</si>
  <si>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</si>
  <si>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</si>
  <si>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</si>
  <si>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</si>
  <si>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</si>
  <si>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</si>
  <si>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</si>
  <si>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</si>
  <si>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</si>
  <si>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</si>
  <si>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buff_atkup</t>
  </si>
  <si>
    <t>buff_attack_speed_reduction_01</t>
  </si>
  <si>
    <t>buff_burn</t>
  </si>
  <si>
    <t>buff_cold</t>
  </si>
  <si>
    <t>诅咒</t>
  </si>
  <si>
    <t>buff_curse_01</t>
  </si>
  <si>
    <t>buff_defdown</t>
  </si>
  <si>
    <t>buff_defup</t>
  </si>
  <si>
    <t>-0.2,-0.4,0.2</t>
  </si>
  <si>
    <t>buff_desert_01</t>
  </si>
  <si>
    <t>buff_distraction</t>
  </si>
  <si>
    <t>0,0.7,1</t>
  </si>
  <si>
    <t>buff_frozen</t>
  </si>
  <si>
    <t>飞行冻结</t>
  </si>
  <si>
    <t>buff_frozen_to_fly</t>
  </si>
  <si>
    <t>buff_poison</t>
  </si>
  <si>
    <t>buff_silence</t>
  </si>
  <si>
    <t>buff_sluggish</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</si>
  <si>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</si>
  <si>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</si>
  <si>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</si>
  <si>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</si>
  <si>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</si>
  <si>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</si>
  <si>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</si>
  <si>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</si>
  <si>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</si>
  <si>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</si>
  <si>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</si>
  <si>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</si>
  <si>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</si>
  <si>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</si>
  <si>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</si>
  <si>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</si>
  <si>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</si>
  <si>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</si>
  <si>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</si>
  <si>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</si>
  <si>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</si>
  <si>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</si>
  <si>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</si>
  <si>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</si>
  <si>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</si>
  <si>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</si>
  <si>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</si>
  <si>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</si>
  <si>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</si>
  <si>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</si>
  <si>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</si>
  <si>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</si>
  <si>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</si>
  <si>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</si>
  <si>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</si>
  <si>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</si>
  <si>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</si>
  <si>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</si>
  <si>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</si>
  <si>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</si>
  <si>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</si>
  <si>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surtr_skill_03_buff_02</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</si>
  <si>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</si>
  <si>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</si>
  <si>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</si>
  <si>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</si>
  <si>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</si>
  <si>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</si>
  <si>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</si>
  <si>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</si>
  <si>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</si>
  <si>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thorns_attack_02_hit</t>
  </si>
  <si>
    <t>thorns_skill_02_buff</t>
  </si>
  <si>
    <t>thorns_skill_02_range</t>
  </si>
  <si>
    <t>thorns_skill_03_buff_02</t>
  </si>
  <si>
    <t>thorns_skill_03_hit</t>
  </si>
  <si>
    <t>angle_buff_00_start</t>
  </si>
  <si>
    <t>angle_attack_01_hit</t>
  </si>
  <si>
    <t>angle_attack_02_hit</t>
  </si>
  <si>
    <t>angle_attack_01_start</t>
  </si>
  <si>
    <t>angle_skill_01_start</t>
  </si>
  <si>
    <t>angle_skill_02_buff</t>
  </si>
  <si>
    <t>angle_skill_03_buff</t>
  </si>
  <si>
    <t>ifrit_attack_01_start</t>
  </si>
  <si>
    <t>ifrit_skill_02_range</t>
  </si>
  <si>
    <t>ifrit_skill_02_start</t>
  </si>
  <si>
    <t>ifrit_skill_03_buff</t>
  </si>
  <si>
    <t>ifrit_skill_03_range</t>
  </si>
  <si>
    <t>ifrit_skill_03_start</t>
  </si>
  <si>
    <t>amgoat_attack_01_hit</t>
  </si>
  <si>
    <t>amgoat_attack_01_start</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</si>
  <si>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</si>
  <si>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</si>
  <si>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</si>
  <si>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</si>
  <si>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</si>
  <si>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</si>
  <si>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</si>
  <si>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</si>
  <si>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</si>
  <si>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</si>
  <si>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</si>
  <si>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</si>
  <si>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</si>
  <si>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</si>
  <si>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</si>
  <si>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闪灵2抬手</t>
  </si>
  <si>
    <t>shining_skill_02_start</t>
  </si>
  <si>
    <t>shining_skill_03_buff</t>
  </si>
  <si>
    <t>cgbird_attack_01_hit</t>
  </si>
  <si>
    <t>cgbird_attack_01_start</t>
  </si>
  <si>
    <t>cgbird_buff_01_start</t>
  </si>
  <si>
    <t>cgbird_skill_02_buff</t>
  </si>
  <si>
    <t>hsguma_attack_01_hit</t>
  </si>
  <si>
    <t>hsguma_attack_01_start</t>
  </si>
  <si>
    <t>Weapon_B</t>
  </si>
  <si>
    <t>hsguma_skill_02_buff</t>
  </si>
  <si>
    <t>0,0.1,0</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</si>
  <si>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</si>
  <si>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</si>
  <si>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</si>
  <si>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</si>
  <si>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</si>
  <si>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</si>
  <si>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</si>
  <si>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</si>
  <si>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</si>
  <si>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</si>
  <si>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</si>
  <si>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</si>
  <si>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</si>
  <si>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</si>
  <si>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</si>
  <si>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</si>
  <si>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</si>
  <si>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</si>
  <si>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</si>
  <si>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</si>
  <si>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</si>
  <si>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</si>
  <si>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</si>
  <si>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</si>
  <si>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</si>
  <si>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</si>
  <si>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</si>
  <si>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</si>
  <si>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</si>
  <si>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</si>
  <si>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</si>
  <si>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</si>
  <si>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</si>
  <si>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</si>
  <si>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</si>
  <si>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</si>
  <si>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</si>
  <si>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</si>
  <si>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</si>
  <si>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</si>
  <si>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</si>
  <si>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frncat_skill_02_hit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</si>
  <si>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</si>
  <si>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</si>
  <si>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</si>
  <si>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</si>
  <si>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</si>
  <si>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</si>
  <si>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</si>
  <si>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</si>
  <si>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</si>
  <si>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</si>
  <si>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</si>
  <si>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</si>
  <si>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</si>
  <si>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</si>
  <si>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</si>
  <si>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</si>
  <si>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</si>
  <si>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</si>
  <si>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</si>
  <si>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</si>
  <si>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</si>
  <si>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</si>
  <si>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</si>
  <si>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</si>
  <si>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</si>
  <si>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</si>
  <si>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</si>
  <si>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</si>
  <si>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</si>
  <si>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</si>
  <si>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</si>
  <si>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</si>
  <si>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</si>
  <si>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</si>
  <si>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</si>
  <si>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</si>
  <si>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</si>
  <si>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</si>
  <si>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</si>
  <si>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</si>
  <si>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</si>
  <si>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</si>
  <si>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</si>
  <si>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</si>
  <si>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</si>
  <si>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</si>
  <si>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</si>
  <si>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</si>
  <si>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</si>
  <si>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</si>
  <si>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</si>
  <si>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</si>
  <si>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</si>
  <si>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</si>
  <si>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</si>
  <si>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</si>
  <si>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</si>
  <si>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</si>
  <si>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</si>
  <si>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</si>
  <si>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</si>
  <si>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</si>
  <si>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</si>
  <si>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</si>
  <si>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</si>
  <si>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</si>
  <si>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</si>
  <si>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</si>
  <si>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</si>
  <si>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</si>
  <si>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</si>
  <si>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</si>
  <si>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</si>
  <si>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</si>
  <si>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</si>
  <si>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</si>
  <si>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</si>
  <si>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</si>
  <si>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</si>
  <si>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</si>
  <si>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</si>
  <si>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</si>
  <si>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</si>
  <si>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</si>
  <si>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</si>
  <si>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</si>
  <si>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</si>
  <si>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</si>
  <si>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</si>
  <si>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</si>
  <si>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</si>
  <si>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</si>
  <si>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</si>
  <si>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</si>
  <si>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</si>
  <si>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</si>
  <si>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</si>
  <si>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</si>
  <si>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</si>
  <si>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</si>
  <si>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</si>
  <si>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</si>
  <si>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</si>
  <si>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</si>
  <si>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</si>
  <si>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</si>
  <si>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</si>
  <si>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</si>
  <si>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</si>
  <si>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</si>
  <si>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</si>
  <si>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</si>
  <si>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</si>
  <si>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</si>
  <si>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</si>
  <si>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</si>
  <si>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</si>
  <si>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</si>
  <si>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</si>
  <si>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</si>
  <si>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</si>
  <si>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</si>
  <si>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</si>
  <si>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</si>
  <si>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</si>
  <si>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</si>
  <si>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</si>
  <si>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</si>
  <si>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</si>
  <si>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</si>
  <si>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</si>
  <si>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skfire_skill_02_hit1</t>
  </si>
  <si>
    <t>ifrit_skill_03_range2</t>
  </si>
  <si>
    <t>common_ resistance_01</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</si>
  <si>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</si>
  <si>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</si>
  <si>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</si>
  <si>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</si>
  <si>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</si>
  <si>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</si>
  <si>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</si>
  <si>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</si>
  <si>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</si>
  <si>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</si>
  <si>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</si>
  <si>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</si>
  <si>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</si>
  <si>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</si>
  <si>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</si>
  <si>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</si>
  <si>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</si>
  <si>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</si>
  <si>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</si>
  <si>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</si>
  <si>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</si>
  <si>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</si>
  <si>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</si>
  <si>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</si>
  <si>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</si>
  <si>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</si>
  <si>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</si>
  <si>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</si>
  <si>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</si>
  <si>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</si>
  <si>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</si>
  <si>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</si>
  <si>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</si>
  <si>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</si>
  <si>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</si>
  <si>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</si>
  <si>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</si>
  <si>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</si>
  <si>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</si>
  <si>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</si>
  <si>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</si>
  <si>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</si>
  <si>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</si>
  <si>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</si>
  <si>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</si>
  <si>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</si>
  <si>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</si>
  <si>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</si>
  <si>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</si>
  <si>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</si>
  <si>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</si>
  <si>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</si>
  <si>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</si>
  <si>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</si>
  <si>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</si>
  <si>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</si>
  <si>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</si>
  <si>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</si>
  <si>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</si>
  <si>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</si>
  <si>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</si>
  <si>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</si>
  <si>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</si>
  <si>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</si>
  <si>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</si>
  <si>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</si>
  <si>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</si>
  <si>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</si>
  <si>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</si>
  <si>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</si>
  <si>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</si>
  <si>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</si>
  <si>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</si>
  <si>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</si>
  <si>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</si>
  <si>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</si>
  <si>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</si>
  <si>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</si>
  <si>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</si>
  <si>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</si>
  <si>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</si>
  <si>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</si>
  <si>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</si>
  <si>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</si>
  <si>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</si>
  <si>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</si>
  <si>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</si>
  <si>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</si>
  <si>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</si>
  <si>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</si>
  <si>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</si>
  <si>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</si>
  <si>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</si>
  <si>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</si>
  <si>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</si>
  <si>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</si>
  <si>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</si>
  <si>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</si>
  <si>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</si>
  <si>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</si>
  <si>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</si>
  <si>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</si>
  <si>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</si>
  <si>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</si>
  <si>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</si>
  <si>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</si>
  <si>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</si>
  <si>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</si>
  <si>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</si>
  <si>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</si>
  <si>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</si>
  <si>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</si>
  <si>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</si>
  <si>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</si>
  <si>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</si>
  <si>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</si>
  <si>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</si>
  <si>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</si>
  <si>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</si>
  <si>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</si>
  <si>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</si>
  <si>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仅单面</t>
  </si>
  <si>
    <t>相对路径</t>
  </si>
  <si>
    <t>正面atlas</t>
  </si>
  <si>
    <t>正面png</t>
  </si>
  <si>
    <t>正面skel</t>
  </si>
  <si>
    <t>背面atlas</t>
  </si>
  <si>
    <t>背面png</t>
  </si>
  <si>
    <t>背面skel</t>
  </si>
  <si>
    <t>OnlyFront</t>
  </si>
  <si>
    <t>UseAppHotfixResPath</t>
  </si>
  <si>
    <t>FrontAtlasPath</t>
  </si>
  <si>
    <t>FrontPngPath</t>
  </si>
  <si>
    <t>FrontSkelPath</t>
  </si>
  <si>
    <t>BackAtlasPath</t>
  </si>
  <si>
    <t>BackPngPath</t>
  </si>
  <si>
    <t>BackSkelPath</t>
  </si>
  <si>
    <t>可部署位</t>
    <phoneticPr fontId="14" type="noConversion"/>
  </si>
  <si>
    <t>CanSetPos</t>
    <phoneticPr fontId="14" type="noConversion"/>
  </si>
  <si>
    <t>string[]</t>
    <phoneticPr fontId="14" type="noConversion"/>
  </si>
  <si>
    <t>高台位</t>
    <phoneticPr fontId="14" type="noConversion"/>
  </si>
  <si>
    <t>地面位</t>
    <phoneticPr fontId="14" type="noConversion"/>
  </si>
  <si>
    <t>全地形</t>
    <phoneticPr fontId="14" type="noConversion"/>
  </si>
  <si>
    <t>部署策略</t>
    <phoneticPr fontId="14" type="noConversion"/>
  </si>
  <si>
    <t>RedeployPolicy</t>
    <phoneticPr fontId="14" type="noConversion"/>
  </si>
  <si>
    <t>string</t>
    <phoneticPr fontId="14" type="noConversion"/>
  </si>
  <si>
    <t>shining</t>
    <phoneticPr fontId="14" type="noConversion"/>
  </si>
  <si>
    <t>147</t>
    <phoneticPr fontId="14" type="noConversion"/>
  </si>
  <si>
    <t>179</t>
    <phoneticPr fontId="14" type="noConversion"/>
  </si>
  <si>
    <r>
      <rPr>
        <sz val="11"/>
        <color theme="1"/>
        <rFont val="宋体"/>
        <family val="3"/>
        <charset val="134"/>
        <scheme val="minor"/>
      </rPr>
      <t>ltmob</t>
    </r>
  </si>
  <si>
    <r>
      <rPr>
        <sz val="11"/>
        <color theme="1"/>
        <rFont val="宋体"/>
        <family val="3"/>
        <charset val="134"/>
        <scheme val="minor"/>
      </rPr>
      <t>nhapos_2</t>
    </r>
  </si>
  <si>
    <r>
      <rPr>
        <sz val="11"/>
        <color theme="1"/>
        <rFont val="宋体"/>
        <family val="3"/>
        <charset val="134"/>
        <scheme val="minor"/>
      </rPr>
      <t>辐能源石虫·α</t>
    </r>
  </si>
  <si>
    <r>
      <rPr>
        <sz val="11"/>
        <color theme="1"/>
        <rFont val="宋体"/>
        <family val="3"/>
        <charset val="134"/>
        <scheme val="minor"/>
      </rPr>
      <t>受到伤害后会发出强烈闪光，使周围我方单位长时间晕眩，然后尝试挖地逃跑</t>
    </r>
  </si>
  <si>
    <r>
      <rPr>
        <sz val="11"/>
        <color theme="1"/>
        <rFont val="宋体"/>
        <family val="3"/>
        <charset val="134"/>
        <scheme val="minor"/>
      </rPr>
      <t>普通,近战,坍缩体</t>
    </r>
  </si>
  <si>
    <r>
      <rPr>
        <sz val="11"/>
        <color theme="1"/>
        <rFont val="宋体"/>
        <family val="3"/>
        <charset val="134"/>
        <scheme val="minor"/>
      </rPr>
      <t>优先攻击未逃跑的&lt;浆果虫&gt;或&lt;硕果虫&gt;并使其坍缩，被果虫的闪光照到后，移动速度增加</t>
    </r>
  </si>
  <si>
    <r>
      <rPr>
        <sz val="11"/>
        <color theme="1"/>
        <rFont val="宋体"/>
        <family val="3"/>
        <charset val="134"/>
        <scheme val="minor"/>
      </rPr>
      <t>精英,近战,坍缩体</t>
    </r>
  </si>
  <si>
    <r>
      <rPr>
        <sz val="11"/>
        <color theme="1"/>
        <rFont val="宋体"/>
        <family val="3"/>
        <charset val="134"/>
        <scheme val="minor"/>
      </rPr>
      <t>enemy_10006_trsmgi_2</t>
    </r>
  </si>
  <si>
    <r>
      <rPr>
        <sz val="11"/>
        <color theme="1"/>
        <rFont val="宋体"/>
        <family val="3"/>
        <charset val="134"/>
        <scheme val="minor"/>
      </rPr>
      <t>惊醒后原地尖叫一段时间，持续对周围我方单位造成神经损伤，攻击造成神经损伤</t>
    </r>
  </si>
  <si>
    <r>
      <rPr>
        <sz val="11"/>
        <color theme="1"/>
        <rFont val="宋体"/>
        <family val="3"/>
        <charset val="134"/>
        <scheme val="minor"/>
      </rPr>
      <t>领袖,小刻</t>
    </r>
  </si>
  <si>
    <r>
      <rPr>
        <sz val="11"/>
        <color theme="1"/>
        <rFont val="宋体"/>
        <family val="3"/>
        <charset val="134"/>
        <scheme val="minor"/>
      </rPr>
      <t>vtlntw</t>
    </r>
  </si>
  <si>
    <r>
      <rPr>
        <sz val="11"/>
        <color theme="1"/>
        <rFont val="宋体"/>
        <family val="3"/>
        <charset val="134"/>
        <scheme val="minor"/>
      </rPr>
      <t>sypult_2</t>
    </r>
  </si>
  <si>
    <r>
      <rPr>
        <sz val="11"/>
        <color theme="1"/>
        <rFont val="宋体"/>
        <family val="3"/>
        <charset val="134"/>
        <scheme val="minor"/>
      </rPr>
      <t>Idle_02</t>
    </r>
  </si>
  <si>
    <r>
      <rPr>
        <sz val="11"/>
        <color theme="1"/>
        <rFont val="宋体"/>
        <family val="3"/>
        <charset val="134"/>
        <scheme val="minor"/>
      </rPr>
      <t>Move_02</t>
    </r>
  </si>
  <si>
    <r>
      <rPr>
        <sz val="11"/>
        <color theme="1"/>
        <rFont val="宋体"/>
        <family val="3"/>
        <charset val="134"/>
        <scheme val="minor"/>
      </rPr>
      <t>坍缩畸变体α</t>
    </r>
  </si>
  <si>
    <t>通用敌方近战攻击,游击队战士buff</t>
    <phoneticPr fontId="14" type="noConversion"/>
  </si>
  <si>
    <t>{"Rate":0.5,"TargetBuffNeed":"黑蛇点燃"}</t>
    <phoneticPr fontId="14" type="noConversion"/>
  </si>
  <si>
    <t>可部署上限</t>
    <phoneticPr fontId="14" type="noConversion"/>
  </si>
  <si>
    <t>BuildCountCost</t>
    <phoneticPr fontId="14" type="noConversion"/>
  </si>
  <si>
    <t>BuildCountLimit</t>
    <phoneticPr fontId="14" type="noConversion"/>
  </si>
  <si>
    <t>int</t>
    <phoneticPr fontId="14" type="noConversion"/>
  </si>
  <si>
    <t>{"Count":2,"UnitId":"幻影"}</t>
    <phoneticPr fontId="14" type="noConversion"/>
  </si>
  <si>
    <t>减伤</t>
    <phoneticPr fontId="14" type="noConversion"/>
  </si>
  <si>
    <t>逻各斯1技能类即死</t>
    <phoneticPr fontId="14" type="noConversion"/>
  </si>
  <si>
    <t>Trigger</t>
    <phoneticPr fontId="14" type="noConversion"/>
  </si>
  <si>
    <t>测试效果1</t>
    <phoneticPr fontId="14" type="noConversion"/>
  </si>
  <si>
    <t>叠加类减伤</t>
    <phoneticPr fontId="14" type="noConversion"/>
  </si>
  <si>
    <t>防御强化</t>
    <phoneticPr fontId="14" type="noConversion"/>
  </si>
  <si>
    <t>enemy_1007_test</t>
    <phoneticPr fontId="14" type="noConversion"/>
  </si>
  <si>
    <t>源石虫测试用</t>
    <phoneticPr fontId="14" type="noConversion"/>
  </si>
  <si>
    <t>自动</t>
    <phoneticPr fontId="14" type="noConversion"/>
  </si>
  <si>
    <t>测试技能</t>
    <phoneticPr fontId="14" type="noConversion"/>
  </si>
  <si>
    <t>通用敌方近战攻击,测试技能</t>
    <phoneticPr fontId="14" type="noConversion"/>
  </si>
  <si>
    <t>{"Rate":0.5,"AddValue":1,"MaxLevel":2}</t>
    <phoneticPr fontId="14" type="noConversion"/>
  </si>
  <si>
    <t>{"t":["Speed"]}</t>
    <phoneticPr fontId="14" type="noConversion"/>
  </si>
  <si>
    <t>设置移速</t>
    <phoneticPr fontId="14" type="noConversion"/>
  </si>
  <si>
    <t>设置属性</t>
    <phoneticPr fontId="14" type="noConversion"/>
  </si>
  <si>
    <t>对个数伤害</t>
    <phoneticPr fontId="14" type="noConversion"/>
  </si>
  <si>
    <t>弱点伤害</t>
  </si>
  <si>
    <t>弱点伤害</t>
    <phoneticPr fontId="14" type="noConversion"/>
  </si>
  <si>
    <t>暴击2</t>
    <phoneticPr fontId="14" type="noConversion"/>
  </si>
  <si>
    <t>防御提升加</t>
    <phoneticPr fontId="14" type="noConversion"/>
  </si>
  <si>
    <t>燃烧</t>
    <phoneticPr fontId="14" type="noConversion"/>
  </si>
  <si>
    <t>箱子重写地块属性,箱子回档地块属性</t>
    <phoneticPr fontId="14" type="noConversion"/>
  </si>
  <si>
    <r>
      <t>陷坑秒杀,</t>
    </r>
    <r>
      <rPr>
        <sz val="11"/>
        <color theme="1"/>
        <rFont val="宋体"/>
        <family val="3"/>
        <charset val="134"/>
        <scheme val="minor"/>
      </rPr>
      <t>坑重写地块属性</t>
    </r>
    <phoneticPr fontId="14" type="noConversion"/>
  </si>
  <si>
    <t>装置地块可通行,通用绝食</t>
    <phoneticPr fontId="14" type="noConversion"/>
  </si>
  <si>
    <t>坑重写地块属性</t>
    <phoneticPr fontId="14" type="noConversion"/>
  </si>
  <si>
    <t>地块属性更改</t>
    <phoneticPr fontId="14" type="noConversion"/>
  </si>
  <si>
    <t>自己入场</t>
    <phoneticPr fontId="14" type="noConversion"/>
  </si>
  <si>
    <t>仅自己</t>
    <phoneticPr fontId="14" type="noConversion"/>
  </si>
  <si>
    <t>0,0</t>
    <phoneticPr fontId="14" type="noConversion"/>
  </si>
  <si>
    <t>{"PassCostAdd":100000}</t>
    <phoneticPr fontId="14" type="noConversion"/>
  </si>
  <si>
    <t>箱子回档地块属性</t>
    <phoneticPr fontId="14" type="noConversion"/>
  </si>
  <si>
    <t>被动</t>
    <phoneticPr fontId="14" type="noConversion"/>
  </si>
  <si>
    <t>离场</t>
    <phoneticPr fontId="14" type="noConversion"/>
  </si>
  <si>
    <t>{"PassCostAdd":-1000}</t>
    <phoneticPr fontId="14" type="noConversion"/>
  </si>
  <si>
    <t>箱子重写地块属性</t>
    <phoneticPr fontId="14" type="noConversion"/>
  </si>
  <si>
    <t>{"PassCostAdd":1000}</t>
    <phoneticPr fontId="14" type="noConversion"/>
  </si>
  <si>
    <t>CanStop</t>
    <phoneticPr fontId="14" type="noConversion"/>
  </si>
  <si>
    <t>技力条</t>
    <phoneticPr fontId="14" type="noConversion"/>
  </si>
  <si>
    <t>血条</t>
    <phoneticPr fontId="14" type="noConversion"/>
  </si>
  <si>
    <t>SpBarType</t>
    <phoneticPr fontId="14" type="noConversion"/>
  </si>
  <si>
    <t>System.Collections.Generic.Dictionary&lt;string,object&gt;</t>
    <phoneticPr fontId="14" type="noConversion"/>
  </si>
  <si>
    <t>string</t>
    <phoneticPr fontId="14" type="noConversion"/>
  </si>
  <si>
    <t>小型:橙</t>
    <phoneticPr fontId="14" type="noConversion"/>
  </si>
  <si>
    <t>无</t>
    <phoneticPr fontId="14" type="noConversion"/>
  </si>
  <si>
    <t>小型:绿</t>
    <phoneticPr fontId="14" type="noConversion"/>
  </si>
  <si>
    <t>Boss</t>
    <phoneticPr fontId="14" type="noConversion"/>
  </si>
  <si>
    <t>小型:粉</t>
    <phoneticPr fontId="14" type="noConversion"/>
  </si>
  <si>
    <t>精英</t>
    <phoneticPr fontId="14" type="noConversion"/>
  </si>
  <si>
    <t>小型:蓝</t>
    <phoneticPr fontId="14" type="noConversion"/>
  </si>
  <si>
    <t>UnityEngine.Vector3</t>
    <phoneticPr fontId="14" type="noConversion"/>
  </si>
  <si>
    <t>模型偏移</t>
    <phoneticPr fontId="14" type="noConversion"/>
  </si>
  <si>
    <t>ModelScale</t>
    <phoneticPr fontId="14" type="noConversion"/>
  </si>
  <si>
    <t>ModelOffset</t>
    <phoneticPr fontId="14" type="noConversion"/>
  </si>
  <si>
    <t>StartAnimation</t>
  </si>
  <si>
    <t>DieAnimation</t>
  </si>
  <si>
    <t>aglina_attack_01_trail</t>
    <phoneticPr fontId="14" type="noConversion"/>
  </si>
  <si>
    <t>amiya_skill_03_trail</t>
    <phoneticPr fontId="14" type="noConversion"/>
  </si>
  <si>
    <t>赘生甲壳</t>
    <phoneticPr fontId="14" type="noConversion"/>
  </si>
  <si>
    <t>获得覆盖buff</t>
    <phoneticPr fontId="14" type="noConversion"/>
  </si>
  <si>
    <t>望动作s</t>
  </si>
  <si>
    <t>望动作s</t>
    <phoneticPr fontId="14" type="noConversion"/>
  </si>
  <si>
    <t>{"StartAnimation":["Start_2"]}</t>
    <phoneticPr fontId="14" type="noConversion"/>
  </si>
  <si>
    <t>攻击动作轮换播放</t>
    <phoneticPr fontId="14" type="noConversion"/>
  </si>
  <si>
    <t>ModelAnimation</t>
    <phoneticPr fontId="14" type="noConversion"/>
  </si>
  <si>
    <t>RotatingAnimation</t>
    <phoneticPr fontId="14" type="noConversion"/>
  </si>
  <si>
    <t>bool</t>
    <phoneticPr fontId="14" type="noConversion"/>
  </si>
  <si>
    <t>crosly_skill_range_03</t>
  </si>
  <si>
    <t>弑君者3范围</t>
    <phoneticPr fontId="14" type="noConversion"/>
  </si>
  <si>
    <t>crosly_skill_03_start_01</t>
  </si>
  <si>
    <t>弑君者3击中</t>
    <phoneticPr fontId="14" type="noConversion"/>
  </si>
  <si>
    <t>crosly_skill_03_hit_02</t>
    <phoneticPr fontId="14" type="noConversion"/>
  </si>
  <si>
    <t>弑君者3爆发</t>
    <phoneticPr fontId="14" type="noConversion"/>
  </si>
  <si>
    <t>crosly_skill_03_hit_01</t>
  </si>
  <si>
    <t>弑君者爆发</t>
    <phoneticPr fontId="14" type="noConversion"/>
  </si>
  <si>
    <t>crosly_skill_range_01</t>
    <phoneticPr fontId="14" type="noConversion"/>
  </si>
  <si>
    <t>弑君者范围</t>
    <phoneticPr fontId="14" type="noConversion"/>
  </si>
  <si>
    <t>crosly_label_01</t>
  </si>
  <si>
    <t>弑君者3标记</t>
    <phoneticPr fontId="14" type="noConversion"/>
  </si>
  <si>
    <t>enemy_vodfox_aura_01</t>
  </si>
  <si>
    <t>特殊敌人2_巫恋复活光环</t>
    <phoneticPr fontId="14" type="noConversion"/>
  </si>
  <si>
    <t>common_dot_aura_05</t>
    <phoneticPr fontId="14" type="noConversion"/>
  </si>
  <si>
    <t>特殊敌人4_诅咒娃娃光环</t>
    <phoneticPr fontId="14" type="noConversion"/>
  </si>
  <si>
    <t>map_snow_push_up_02</t>
    <phoneticPr fontId="14" type="noConversion"/>
  </si>
  <si>
    <t>魔神寒灾二阶段伤害</t>
    <phoneticPr fontId="14" type="noConversion"/>
  </si>
  <si>
    <t>flwitch_buff_01</t>
    <phoneticPr fontId="14" type="noConversion"/>
  </si>
  <si>
    <t>魔神寒灾光环</t>
    <phoneticPr fontId="14" type="noConversion"/>
  </si>
  <si>
    <t>buff_frozen_to_walk</t>
    <phoneticPr fontId="14" type="noConversion"/>
  </si>
  <si>
    <t>魔神寒灾驮兽冻结</t>
    <phoneticPr fontId="14" type="noConversion"/>
  </si>
  <si>
    <t>enemy_emppnt_attack_01_hit</t>
  </si>
  <si>
    <t>魔神战争幽灵导弹击中</t>
    <phoneticPr fontId="14" type="noConversion"/>
  </si>
  <si>
    <t>udflow_skill_02_hit_01</t>
  </si>
  <si>
    <t>深巡2击中</t>
    <phoneticPr fontId="14" type="noConversion"/>
  </si>
  <si>
    <t>udflow_skill_01_buff_01</t>
  </si>
  <si>
    <t>深巡1加成</t>
    <phoneticPr fontId="14" type="noConversion"/>
  </si>
  <si>
    <t>siege2_skill_03_start_01</t>
  </si>
  <si>
    <t>维娜维多利亚3抬手</t>
    <phoneticPr fontId="14" type="noConversion"/>
  </si>
  <si>
    <t>siege2_skill_03_hit_01</t>
  </si>
  <si>
    <t>维娜维多利亚3击中</t>
    <phoneticPr fontId="14" type="noConversion"/>
  </si>
  <si>
    <t>siege2_skill_03_buff_01</t>
  </si>
  <si>
    <t>维娜维多利亚3加成</t>
    <phoneticPr fontId="14" type="noConversion"/>
  </si>
  <si>
    <t>siege2_skill_02_start_01</t>
    <phoneticPr fontId="14" type="noConversion"/>
  </si>
  <si>
    <t>维娜维多利亚2抬手</t>
    <phoneticPr fontId="14" type="noConversion"/>
  </si>
  <si>
    <t>siege2_skill_02_buff_01</t>
  </si>
  <si>
    <t>维娜维多利亚2加成</t>
    <phoneticPr fontId="14" type="noConversion"/>
  </si>
  <si>
    <t>common_ resistance_03</t>
    <phoneticPr fontId="14" type="noConversion"/>
  </si>
  <si>
    <t>维娜维多利亚天赋战栗</t>
    <phoneticPr fontId="14" type="noConversion"/>
  </si>
  <si>
    <t>siege2_buff_01</t>
    <phoneticPr fontId="14" type="noConversion"/>
  </si>
  <si>
    <t>维娜维多利亚光环</t>
    <phoneticPr fontId="14" type="noConversion"/>
  </si>
  <si>
    <t>虚实之握迷迭香一转二伤害启动</t>
  </si>
  <si>
    <t>whitw2_skill3_bg_01</t>
    <phoneticPr fontId="14" type="noConversion"/>
  </si>
  <si>
    <t>荒芜拉普兰德3背景</t>
    <phoneticPr fontId="14" type="noConversion"/>
  </si>
  <si>
    <t>lmlee_skill_02_debuff</t>
  </si>
  <si>
    <t>老鲤2符咒</t>
    <phoneticPr fontId="14" type="noConversion"/>
  </si>
  <si>
    <t>lmlee_attack_01_hit_witch#3</t>
  </si>
  <si>
    <t>老鲤击中3</t>
    <phoneticPr fontId="14" type="noConversion"/>
  </si>
  <si>
    <t>lmlee_attack_01_hit_sanrio#1</t>
  </si>
  <si>
    <t>老鲤击中2</t>
    <phoneticPr fontId="14" type="noConversion"/>
  </si>
  <si>
    <t>lmlee_attack_01_hit</t>
  </si>
  <si>
    <t>老鲤击中</t>
    <phoneticPr fontId="14" type="noConversion"/>
  </si>
  <si>
    <t>0,0.2,0</t>
    <phoneticPr fontId="14" type="noConversion"/>
  </si>
  <si>
    <t>char_bobb_skill_range_03</t>
    <phoneticPr fontId="14" type="noConversion"/>
  </si>
  <si>
    <t>波卜技能射程3</t>
    <phoneticPr fontId="14" type="noConversion"/>
  </si>
  <si>
    <t>char_bobb_skill_range_02</t>
    <phoneticPr fontId="14" type="noConversion"/>
  </si>
  <si>
    <t>波卜技能射程2</t>
    <phoneticPr fontId="14" type="noConversion"/>
  </si>
  <si>
    <t>char_bobb_skill_range_01</t>
  </si>
  <si>
    <t>波卜技能射程</t>
    <phoneticPr fontId="14" type="noConversion"/>
  </si>
  <si>
    <t>billro_skill_range</t>
  </si>
  <si>
    <t>卡涅利安攻击启动</t>
    <phoneticPr fontId="14" type="noConversion"/>
  </si>
  <si>
    <t>billro_skill_hit</t>
  </si>
  <si>
    <t>卡涅利安击中</t>
    <phoneticPr fontId="14" type="noConversion"/>
  </si>
  <si>
    <t>billro_skill_03_range</t>
  </si>
  <si>
    <t>卡涅利安3攻击启动</t>
    <phoneticPr fontId="14" type="noConversion"/>
  </si>
  <si>
    <t>billro_skill_03_buff_03_01</t>
  </si>
  <si>
    <t>卡涅利安3减益</t>
    <phoneticPr fontId="14" type="noConversion"/>
  </si>
  <si>
    <t>seaborn_common_buff_01</t>
    <phoneticPr fontId="14" type="noConversion"/>
  </si>
  <si>
    <t>海嗣通用水泡特效</t>
    <phoneticPr fontId="14" type="noConversion"/>
  </si>
  <si>
    <t>marcil_skill_03_range_01</t>
  </si>
  <si>
    <t>玛露希尔3攻击溅射</t>
    <phoneticPr fontId="14" type="noConversion"/>
  </si>
  <si>
    <t>marcil_skill_02_buff_back_01</t>
  </si>
  <si>
    <t>玛露希尔2加成</t>
    <phoneticPr fontId="14" type="noConversion"/>
  </si>
  <si>
    <t>marcil_attack_range_01</t>
  </si>
  <si>
    <t>玛露希尔攻击溅射</t>
    <phoneticPr fontId="14" type="noConversion"/>
  </si>
  <si>
    <t>0,0.5,0</t>
    <phoneticPr fontId="14" type="noConversion"/>
  </si>
  <si>
    <t>enemy_blkswb_skill_01_start_04</t>
    <phoneticPr fontId="14" type="noConversion"/>
  </si>
  <si>
    <t>佩佩夏活领袖猫激光启动</t>
    <phoneticPr fontId="14" type="noConversion"/>
  </si>
  <si>
    <t>enemy_skzcy_idle_01</t>
  </si>
  <si>
    <t>萨卡兹肉鸽门特效</t>
    <phoneticPr fontId="14" type="noConversion"/>
  </si>
  <si>
    <t>enemy_skzcy_hit_01</t>
  </si>
  <si>
    <t>萨卡兹肉鸽门击中</t>
    <phoneticPr fontId="14" type="noConversion"/>
  </si>
  <si>
    <t>0,0.1,0</t>
    <phoneticPr fontId="14" type="noConversion"/>
  </si>
  <si>
    <t>sarkaz_poison_range_03</t>
    <phoneticPr fontId="14" type="noConversion"/>
  </si>
  <si>
    <t>年代印痕3级</t>
    <phoneticPr fontId="14" type="noConversion"/>
  </si>
  <si>
    <t>sarkaz_poison_range_02</t>
    <phoneticPr fontId="14" type="noConversion"/>
  </si>
  <si>
    <t>年代印痕2级</t>
    <phoneticPr fontId="14" type="noConversion"/>
  </si>
  <si>
    <t>sarkaz_poison_range_01</t>
  </si>
  <si>
    <t>年代印痕1级</t>
    <phoneticPr fontId="14" type="noConversion"/>
  </si>
  <si>
    <t>pepe_skill_03_hit_range_01</t>
  </si>
  <si>
    <t>佩佩3攻击爆炸</t>
    <phoneticPr fontId="14" type="noConversion"/>
  </si>
  <si>
    <t>pepe_skill_02_buff_01</t>
  </si>
  <si>
    <t>佩佩技能加成</t>
    <phoneticPr fontId="14" type="noConversion"/>
  </si>
  <si>
    <t>pepe_attack_hit_02</t>
    <phoneticPr fontId="14" type="noConversion"/>
  </si>
  <si>
    <t>佩佩攻击爆炸2</t>
    <phoneticPr fontId="14" type="noConversion"/>
  </si>
  <si>
    <t>pepe_attack_hit_01</t>
  </si>
  <si>
    <t>佩佩攻击爆炸</t>
    <phoneticPr fontId="14" type="noConversion"/>
  </si>
  <si>
    <t>enemy_trail_snowball_rolling</t>
    <phoneticPr fontId="14" type="noConversion"/>
  </si>
  <si>
    <t>赏金猎人滚动雪球</t>
    <phoneticPr fontId="14" type="noConversion"/>
  </si>
  <si>
    <t>nymph_talent_buff_02</t>
  </si>
  <si>
    <t>妮芙天赋中毒</t>
    <phoneticPr fontId="14" type="noConversion"/>
  </si>
  <si>
    <t>nymph_skill_02_hit_02</t>
  </si>
  <si>
    <t>妮芙2爆炸</t>
    <phoneticPr fontId="14" type="noConversion"/>
  </si>
  <si>
    <t>nymph_skill_02_buff</t>
  </si>
  <si>
    <t>妮芙2加成</t>
    <phoneticPr fontId="14" type="noConversion"/>
  </si>
  <si>
    <t>nymph_skill_01_buff</t>
  </si>
  <si>
    <t>妮芙1加成</t>
    <phoneticPr fontId="14" type="noConversion"/>
  </si>
  <si>
    <t>nymph_attack_01_hit</t>
  </si>
  <si>
    <t>妮芙击中</t>
    <phoneticPr fontId="14" type="noConversion"/>
  </si>
  <si>
    <t>aroma_water 2</t>
  </si>
  <si>
    <t>轻沫阿罗玛水道加速</t>
    <phoneticPr fontId="14" type="noConversion"/>
  </si>
  <si>
    <t>aroma_water</t>
  </si>
  <si>
    <t>轻沫阿罗玛水道</t>
    <phoneticPr fontId="14" type="noConversion"/>
  </si>
  <si>
    <t>bdhkgt_skill_02_loop_01</t>
  </si>
  <si>
    <t>截云2旋风</t>
    <phoneticPr fontId="14" type="noConversion"/>
  </si>
  <si>
    <t>bdhkgt_skill_01_hit_01</t>
  </si>
  <si>
    <t>截云技能击中</t>
    <phoneticPr fontId="14" type="noConversion"/>
  </si>
  <si>
    <t>bdhkgt_attack_hit_01</t>
  </si>
  <si>
    <t>截云击中</t>
    <phoneticPr fontId="14" type="noConversion"/>
  </si>
  <si>
    <t>common_ resistance_02</t>
    <phoneticPr fontId="14" type="noConversion"/>
  </si>
  <si>
    <t>通用抵抗增加2</t>
    <phoneticPr fontId="14" type="noConversion"/>
  </si>
  <si>
    <t>通用抵抗增加</t>
    <phoneticPr fontId="14" type="noConversion"/>
  </si>
  <si>
    <t>ascln_skill_02_range_04</t>
    <phoneticPr fontId="14" type="noConversion"/>
  </si>
  <si>
    <t>源石污染区光环底部</t>
    <phoneticPr fontId="14" type="noConversion"/>
  </si>
  <si>
    <t>ascln_skill_02_range_03</t>
    <phoneticPr fontId="14" type="noConversion"/>
  </si>
  <si>
    <t>源石污染区光环2</t>
    <phoneticPr fontId="14" type="noConversion"/>
  </si>
  <si>
    <t>ascln_skill_02_range_02</t>
  </si>
  <si>
    <t>源石污染区光环</t>
    <phoneticPr fontId="14" type="noConversion"/>
  </si>
  <si>
    <t>zuole_skill_03_range_01_right_01</t>
  </si>
  <si>
    <t>左乐3结束</t>
    <phoneticPr fontId="14" type="noConversion"/>
  </si>
  <si>
    <t>zuole_skill_03_start_02_right_01</t>
    <phoneticPr fontId="14" type="noConversion"/>
  </si>
  <si>
    <t>左乐3启动</t>
    <phoneticPr fontId="14" type="noConversion"/>
  </si>
  <si>
    <t>zuole_skill_02_start_01</t>
  </si>
  <si>
    <t>左乐2抬手</t>
    <phoneticPr fontId="14" type="noConversion"/>
  </si>
  <si>
    <t>zuole_shield_front_01</t>
    <phoneticPr fontId="14" type="noConversion"/>
  </si>
  <si>
    <t>左乐护盾</t>
    <phoneticPr fontId="14" type="noConversion"/>
  </si>
  <si>
    <t>zuole_attack_start_01</t>
  </si>
  <si>
    <t>左乐抬手</t>
    <phoneticPr fontId="14" type="noConversion"/>
  </si>
  <si>
    <t>zuole_skill_02_hit_01</t>
  </si>
  <si>
    <t>左乐斩击击中</t>
    <phoneticPr fontId="14" type="noConversion"/>
  </si>
  <si>
    <t>zuole_attack_hit_01</t>
  </si>
  <si>
    <t>左乐击中</t>
    <phoneticPr fontId="14" type="noConversion"/>
  </si>
  <si>
    <t>chen_skill_03_start_02</t>
  </si>
  <si>
    <t>陈3启动</t>
    <phoneticPr fontId="14" type="noConversion"/>
  </si>
  <si>
    <t>chen_skill_03_hit_02</t>
    <phoneticPr fontId="14" type="noConversion"/>
  </si>
  <si>
    <t>陈3收尾击中</t>
    <phoneticPr fontId="14" type="noConversion"/>
  </si>
  <si>
    <t>chen_skill_03_hit_01</t>
  </si>
  <si>
    <t>陈3击中</t>
    <phoneticPr fontId="14" type="noConversion"/>
  </si>
  <si>
    <t>chen_skill_02_start</t>
  </si>
  <si>
    <t>陈2启动</t>
    <phoneticPr fontId="14" type="noConversion"/>
  </si>
  <si>
    <t>chen_skill_02_hit</t>
  </si>
  <si>
    <t>陈2击中</t>
    <phoneticPr fontId="14" type="noConversion"/>
  </si>
  <si>
    <t>chen_skill_01_hit</t>
  </si>
  <si>
    <t>陈1击中</t>
    <phoneticPr fontId="14" type="noConversion"/>
  </si>
  <si>
    <t>chen_attack_01_hit</t>
  </si>
  <si>
    <t>陈普攻击中</t>
    <phoneticPr fontId="14" type="noConversion"/>
  </si>
  <si>
    <t>ulpia_skill_buff_04</t>
    <phoneticPr fontId="14" type="noConversion"/>
  </si>
  <si>
    <t>玛恩纳天赋增减伤</t>
    <phoneticPr fontId="14" type="noConversion"/>
  </si>
  <si>
    <t>ulpia_skill_buff_03</t>
  </si>
  <si>
    <t>乌尔比安3船锚</t>
    <phoneticPr fontId="14" type="noConversion"/>
  </si>
  <si>
    <t>ulpia_skill_buff_02</t>
  </si>
  <si>
    <t>乌尔比安3信标</t>
    <phoneticPr fontId="14" type="noConversion"/>
  </si>
  <si>
    <t>ulpia_skill_buff_01</t>
  </si>
  <si>
    <t>乌尔比安技能加成</t>
    <phoneticPr fontId="14" type="noConversion"/>
  </si>
  <si>
    <t>ulpia_skill_03_range_01</t>
  </si>
  <si>
    <t>乌尔比安3爆炸</t>
    <phoneticPr fontId="14" type="noConversion"/>
  </si>
  <si>
    <t>ulpia_attack_hit_01</t>
  </si>
  <si>
    <t>乌尔比安击中</t>
    <phoneticPr fontId="14" type="noConversion"/>
  </si>
  <si>
    <t>enemy_hymhr_skill_01_hit_01</t>
  </si>
  <si>
    <t>W锁血烟雾</t>
    <phoneticPr fontId="14" type="noConversion"/>
  </si>
  <si>
    <t>enemy_cqbw_skill_02_hit</t>
  </si>
  <si>
    <t>W技能爆炸</t>
    <phoneticPr fontId="14" type="noConversion"/>
  </si>
  <si>
    <t>enemy_cqbw_skill_01_buff</t>
  </si>
  <si>
    <t>W技能倒计时</t>
    <phoneticPr fontId="14" type="noConversion"/>
  </si>
  <si>
    <t>enemy_cqbw_die_01_start</t>
  </si>
  <si>
    <t>W离场烟雾</t>
    <phoneticPr fontId="14" type="noConversion"/>
  </si>
  <si>
    <t>enemy_cqbw_attack_01_hit</t>
  </si>
  <si>
    <t>W攻击击中</t>
    <phoneticPr fontId="14" type="noConversion"/>
  </si>
  <si>
    <t>wisdel_skill_03_hit_02</t>
  </si>
  <si>
    <t>维什戴尔3爆炸</t>
    <phoneticPr fontId="14" type="noConversion"/>
  </si>
  <si>
    <t>wisdel_bomb_01_hit</t>
  </si>
  <si>
    <t>维什戴尔天赋爆炸</t>
    <phoneticPr fontId="14" type="noConversion"/>
  </si>
  <si>
    <t>wisdel_skill_03_buff_02_F</t>
  </si>
  <si>
    <t>维什戴尔3加成</t>
    <phoneticPr fontId="14" type="noConversion"/>
  </si>
  <si>
    <t>wisdel_attack_01_hit_02</t>
  </si>
  <si>
    <t>维什戴尔击中</t>
    <phoneticPr fontId="14" type="noConversion"/>
  </si>
  <si>
    <t>wisdel_bomb_buff_01</t>
  </si>
  <si>
    <t>魂灵之影缠绕</t>
    <phoneticPr fontId="14" type="noConversion"/>
  </si>
  <si>
    <t>wisdel_attack_01_hit</t>
  </si>
  <si>
    <t>魂灵之影击中</t>
    <phoneticPr fontId="14" type="noConversion"/>
  </si>
  <si>
    <t>cetsyr_skill_01_buff_01</t>
  </si>
  <si>
    <t>特蕾西娅技能加成</t>
    <phoneticPr fontId="14" type="noConversion"/>
  </si>
  <si>
    <t>cetsyr_buff_range_02</t>
    <phoneticPr fontId="14" type="noConversion"/>
  </si>
  <si>
    <t>特蕾西娅天赋光环2</t>
    <phoneticPr fontId="14" type="noConversion"/>
  </si>
  <si>
    <t>cetsyr_buff_range_01</t>
  </si>
  <si>
    <t>特蕾西娅天赋光环</t>
    <phoneticPr fontId="14" type="noConversion"/>
  </si>
  <si>
    <t>cetsyr_buff_02</t>
  </si>
  <si>
    <t>特蕾西娅天赋回血</t>
    <phoneticPr fontId="14" type="noConversion"/>
  </si>
  <si>
    <t>ascln_skill_02_death_01</t>
  </si>
  <si>
    <t>阿斯卡纶2爆炸</t>
    <phoneticPr fontId="14" type="noConversion"/>
  </si>
  <si>
    <t>ascln_skill_03_range_01</t>
  </si>
  <si>
    <t>阿斯卡纶3射程</t>
    <phoneticPr fontId="14" type="noConversion"/>
  </si>
  <si>
    <t>ascln_skill_02_range_01</t>
  </si>
  <si>
    <t>阿斯卡纶2射程</t>
    <phoneticPr fontId="14" type="noConversion"/>
  </si>
  <si>
    <t>ascln_buff_02</t>
  </si>
  <si>
    <t>阿斯卡纶中毒</t>
    <phoneticPr fontId="14" type="noConversion"/>
  </si>
  <si>
    <t>ascln_attack_start_02</t>
  </si>
  <si>
    <t>阿斯卡纶抬手</t>
    <phoneticPr fontId="14" type="noConversion"/>
  </si>
  <si>
    <t>ascln_attack_hit_01</t>
  </si>
  <si>
    <t>阿斯卡纶击中</t>
    <phoneticPr fontId="14" type="noConversion"/>
  </si>
  <si>
    <t>demkni_skill_02_start_04</t>
    <phoneticPr fontId="14" type="noConversion"/>
  </si>
  <si>
    <t>格劳克斯2启动</t>
    <phoneticPr fontId="14" type="noConversion"/>
  </si>
  <si>
    <t>poca_skill_02_buff_02_epoque#12</t>
  </si>
  <si>
    <t>早露SP2加成</t>
    <phoneticPr fontId="14" type="noConversion"/>
  </si>
  <si>
    <t>poca_skill_02_buff_02</t>
  </si>
  <si>
    <t>早露2加成</t>
    <phoneticPr fontId="14" type="noConversion"/>
  </si>
  <si>
    <t>poca_skill_03_hit_epoque#12</t>
  </si>
  <si>
    <t>早露SP击中</t>
    <phoneticPr fontId="14" type="noConversion"/>
  </si>
  <si>
    <t>poca_skill_02_hit</t>
  </si>
  <si>
    <t>早露技能击中</t>
    <phoneticPr fontId="14" type="noConversion"/>
  </si>
  <si>
    <t>poca_attack_01_hit_02</t>
  </si>
  <si>
    <t>早露击中</t>
    <phoneticPr fontId="14" type="noConversion"/>
  </si>
  <si>
    <t>demkni_skill_02_start_03</t>
    <phoneticPr fontId="14" type="noConversion"/>
  </si>
  <si>
    <t>血魔祭坛启动B</t>
    <phoneticPr fontId="14" type="noConversion"/>
  </si>
  <si>
    <t>demkni_skill_02_start_02</t>
    <phoneticPr fontId="14" type="noConversion"/>
  </si>
  <si>
    <t>血魔祭坛启动A</t>
    <phoneticPr fontId="14" type="noConversion"/>
  </si>
  <si>
    <t>healmachine_skill_range</t>
    <phoneticPr fontId="14" type="noConversion"/>
  </si>
  <si>
    <t>号角1照明光环</t>
    <phoneticPr fontId="14" type="noConversion"/>
  </si>
  <si>
    <t>enemy_bbrain_skill_02_range</t>
  </si>
  <si>
    <t>唤醒技能启动</t>
    <phoneticPr fontId="14" type="noConversion"/>
  </si>
  <si>
    <t>enemy_csphts_skill_02_range_03</t>
    <phoneticPr fontId="14" type="noConversion"/>
  </si>
  <si>
    <t>荒原匪帮绿色光环启动</t>
    <phoneticPr fontId="14" type="noConversion"/>
  </si>
  <si>
    <t>enemy_csphts_skill_02_range_02</t>
    <phoneticPr fontId="14" type="noConversion"/>
  </si>
  <si>
    <t>荒原匪帮白色光环启动</t>
    <phoneticPr fontId="14" type="noConversion"/>
  </si>
  <si>
    <t>enemy_dair_attack_hit_01</t>
  </si>
  <si>
    <t>荒原匪帮无人机击中</t>
    <phoneticPr fontId="14" type="noConversion"/>
  </si>
  <si>
    <t>texas2_skill_03_buff</t>
    <phoneticPr fontId="14" type="noConversion"/>
  </si>
  <si>
    <t>米兰啮齿兽加速2</t>
    <phoneticPr fontId="14" type="noConversion"/>
  </si>
  <si>
    <t>texas2_skill_02_buff</t>
  </si>
  <si>
    <t>米兰啮齿兽加速</t>
    <phoneticPr fontId="14" type="noConversion"/>
  </si>
  <si>
    <t>enemy_blkswb_skill_01_start_03</t>
    <phoneticPr fontId="14" type="noConversion"/>
  </si>
  <si>
    <t>嵯峨2启动</t>
    <phoneticPr fontId="14" type="noConversion"/>
  </si>
  <si>
    <t>jshoot_weapon_buff_02</t>
    <phoneticPr fontId="14" type="noConversion"/>
  </si>
  <si>
    <t>赫德雷3灼烧</t>
    <phoneticPr fontId="14" type="noConversion"/>
  </si>
  <si>
    <t>enemy_blkswb_skill_01_start_02</t>
    <phoneticPr fontId="14" type="noConversion"/>
  </si>
  <si>
    <t>赫德雷3攻击启动</t>
    <phoneticPr fontId="14" type="noConversion"/>
  </si>
  <si>
    <t>texas2_skill_03_range_start</t>
  </si>
  <si>
    <t>异德3范围攻击启动</t>
    <phoneticPr fontId="14" type="noConversion"/>
  </si>
  <si>
    <t>texas2_skill_03_range</t>
  </si>
  <si>
    <t>异德3射程</t>
    <phoneticPr fontId="14" type="noConversion"/>
  </si>
  <si>
    <t>texas2_skill_03_buff</t>
  </si>
  <si>
    <t>异德3加成</t>
    <phoneticPr fontId="14" type="noConversion"/>
  </si>
  <si>
    <t>异德2加成</t>
    <phoneticPr fontId="14" type="noConversion"/>
  </si>
  <si>
    <t>texas2_buff_01_start</t>
  </si>
  <si>
    <t>异德1加成</t>
    <phoneticPr fontId="14" type="noConversion"/>
  </si>
  <si>
    <t>texas2_birth_02_start_02</t>
  </si>
  <si>
    <t>异德2落地攻击</t>
    <phoneticPr fontId="14" type="noConversion"/>
  </si>
  <si>
    <t>texas2_birth_02_start</t>
  </si>
  <si>
    <t>异德2落地</t>
    <phoneticPr fontId="14" type="noConversion"/>
  </si>
  <si>
    <t>texas2_birth_01_start</t>
  </si>
  <si>
    <t>异德1落地</t>
    <phoneticPr fontId="14" type="noConversion"/>
  </si>
  <si>
    <t>texas2_skill_03_hit</t>
  </si>
  <si>
    <t>异德3击中</t>
    <phoneticPr fontId="14" type="noConversion"/>
  </si>
  <si>
    <t>texas2_skill_02_hit_02</t>
  </si>
  <si>
    <t>异德2击中B</t>
    <phoneticPr fontId="14" type="noConversion"/>
  </si>
  <si>
    <t>texas2_skill_02_hit</t>
  </si>
  <si>
    <t>异德2击中A</t>
    <phoneticPr fontId="14" type="noConversion"/>
  </si>
  <si>
    <t>texas2_attack_01_hit</t>
  </si>
  <si>
    <t>异德击中</t>
    <phoneticPr fontId="14" type="noConversion"/>
  </si>
  <si>
    <t>blord_buff_01_fm</t>
    <phoneticPr fontId="14" type="noConversion"/>
  </si>
  <si>
    <t>干员杜卡雷加血</t>
    <phoneticPr fontId="14" type="noConversion"/>
  </si>
  <si>
    <t>enemy_blord_bloody_aura</t>
    <phoneticPr fontId="14" type="noConversion"/>
  </si>
  <si>
    <t>血魔血雾光环</t>
    <phoneticPr fontId="14" type="noConversion"/>
  </si>
  <si>
    <t>cerber_skill_03_buff</t>
  </si>
  <si>
    <t>刻俄柏3加成</t>
    <phoneticPr fontId="14" type="noConversion"/>
  </si>
  <si>
    <t>cerber_skill_02_hit</t>
  </si>
  <si>
    <t>刻俄柏2击中</t>
    <phoneticPr fontId="14" type="noConversion"/>
  </si>
  <si>
    <t>cerber_skill_02_buff</t>
  </si>
  <si>
    <t>刻俄柏2加成</t>
    <phoneticPr fontId="14" type="noConversion"/>
  </si>
  <si>
    <t>cerber_skill_01_hit</t>
  </si>
  <si>
    <t>刻俄柏1击中</t>
    <phoneticPr fontId="14" type="noConversion"/>
  </si>
  <si>
    <t>cerber_skill_01_buff</t>
  </si>
  <si>
    <t>刻俄柏1加成</t>
    <phoneticPr fontId="14" type="noConversion"/>
  </si>
  <si>
    <t>cerber_attack_01_hit</t>
  </si>
  <si>
    <t>刻俄柏击中</t>
    <phoneticPr fontId="14" type="noConversion"/>
  </si>
  <si>
    <t>enemy_lefthand_02_range_2</t>
    <phoneticPr fontId="14" type="noConversion"/>
  </si>
  <si>
    <t>14章圣杯光环</t>
    <phoneticPr fontId="14" type="noConversion"/>
  </si>
  <si>
    <t>enemy_lefthand_candle_range</t>
    <phoneticPr fontId="14" type="noConversion"/>
  </si>
  <si>
    <t>左手骑士烛骑士学徒光环</t>
    <phoneticPr fontId="14" type="noConversion"/>
  </si>
  <si>
    <t>enemy_lefthand_02_range_11</t>
    <phoneticPr fontId="14" type="noConversion"/>
  </si>
  <si>
    <t>左手骑士减攻光环背景</t>
    <phoneticPr fontId="14" type="noConversion"/>
  </si>
  <si>
    <t>enemy_lefthand_02_range_4_2</t>
    <phoneticPr fontId="14" type="noConversion"/>
  </si>
  <si>
    <t>左手骑士减攻光环小紫色</t>
    <phoneticPr fontId="14" type="noConversion"/>
  </si>
  <si>
    <t>enemy_lefthand_02_range_4</t>
    <phoneticPr fontId="14" type="noConversion"/>
  </si>
  <si>
    <t>左手骑士减攻光环小</t>
    <phoneticPr fontId="14" type="noConversion"/>
  </si>
  <si>
    <t>enemy_lefthand_02_range_3_2</t>
    <phoneticPr fontId="14" type="noConversion"/>
  </si>
  <si>
    <t>左手骑士减攻光环蓝色2</t>
    <phoneticPr fontId="14" type="noConversion"/>
  </si>
  <si>
    <t>enemy_lefthand_02_range_3</t>
    <phoneticPr fontId="14" type="noConversion"/>
  </si>
  <si>
    <t>左手骑士减攻光环蓝色</t>
    <phoneticPr fontId="14" type="noConversion"/>
  </si>
  <si>
    <t>左手骑士减攻光环黄色</t>
    <phoneticPr fontId="14" type="noConversion"/>
  </si>
  <si>
    <t>enemy_lefthand_02_range</t>
    <phoneticPr fontId="14" type="noConversion"/>
  </si>
  <si>
    <t>左手骑士减攻光环</t>
    <phoneticPr fontId="14" type="noConversion"/>
  </si>
  <si>
    <t>左手骑士地块不限部署</t>
    <phoneticPr fontId="14" type="noConversion"/>
  </si>
  <si>
    <t>enemy_flmlod_bg</t>
    <phoneticPr fontId="14" type="noConversion"/>
  </si>
  <si>
    <t>纷争演绎炎魔背景</t>
    <phoneticPr fontId="14" type="noConversion"/>
  </si>
  <si>
    <t>enemy_duswrd_attack_start</t>
  </si>
  <si>
    <t>纷争演绎炎魔攻击抬手</t>
    <phoneticPr fontId="14" type="noConversion"/>
  </si>
  <si>
    <t>traink_buff_01_start_03</t>
    <phoneticPr fontId="14" type="noConversion"/>
  </si>
  <si>
    <t>单向护盾效果背面</t>
    <phoneticPr fontId="14" type="noConversion"/>
  </si>
  <si>
    <t>traink_buff_01_start_02</t>
    <phoneticPr fontId="14" type="noConversion"/>
  </si>
  <si>
    <t>单向护盾效果</t>
    <phoneticPr fontId="14" type="noConversion"/>
  </si>
  <si>
    <t>traink_buff_01_start</t>
  </si>
  <si>
    <t>倾轧者冲锋效果</t>
    <phoneticPr fontId="14" type="noConversion"/>
  </si>
  <si>
    <t>mostma_skill_03_range_02</t>
  </si>
  <si>
    <t>莫斯提马3射程</t>
    <phoneticPr fontId="14" type="noConversion"/>
  </si>
  <si>
    <t>mostma_skill_03_range</t>
  </si>
  <si>
    <t>莫斯提马3启动</t>
    <phoneticPr fontId="14" type="noConversion"/>
  </si>
  <si>
    <t>mostma_skill_03_buff</t>
  </si>
  <si>
    <t>莫斯提马3Buff</t>
    <phoneticPr fontId="14" type="noConversion"/>
  </si>
  <si>
    <t>mostma_skill_02_range_02</t>
  </si>
  <si>
    <t>莫斯提马2启动</t>
    <phoneticPr fontId="14" type="noConversion"/>
  </si>
  <si>
    <t>heyak_skill_02_buff_01</t>
  </si>
  <si>
    <t>霍尔海雅技能背景</t>
    <phoneticPr fontId="14" type="noConversion"/>
  </si>
  <si>
    <t>heyak_cyclone_01</t>
  </si>
  <si>
    <t>霍尔海雅生成龙卷风</t>
    <phoneticPr fontId="14" type="noConversion"/>
  </si>
  <si>
    <t>heyak_skill_02_hit_01</t>
  </si>
  <si>
    <t>霍尔海雅2击中</t>
    <phoneticPr fontId="14" type="noConversion"/>
  </si>
  <si>
    <t>heyak_attack_01_hit_01</t>
  </si>
  <si>
    <t>霍尔海雅击中</t>
    <phoneticPr fontId="14" type="noConversion"/>
  </si>
  <si>
    <t>enemy_csder_buff_01_range_01</t>
  </si>
  <si>
    <t>傀影歌姬技能启动</t>
    <phoneticPr fontId="14" type="noConversion"/>
  </si>
  <si>
    <t>enemy_lfkght_skill_02_start_02</t>
    <phoneticPr fontId="14" type="noConversion"/>
  </si>
  <si>
    <t>左手复活启动2</t>
    <phoneticPr fontId="14" type="noConversion"/>
  </si>
  <si>
    <t>enemy_lfkght_skill_02_start</t>
  </si>
  <si>
    <t>左手复活启动</t>
    <phoneticPr fontId="14" type="noConversion"/>
  </si>
  <si>
    <t>enemy_lfkght_skill_01_hit</t>
  </si>
  <si>
    <t>左手减攻击中</t>
    <phoneticPr fontId="14" type="noConversion"/>
  </si>
  <si>
    <t>0,0.4,0</t>
    <phoneticPr fontId="14" type="noConversion"/>
  </si>
  <si>
    <t>enemy_lfkght_attack_01_start</t>
  </si>
  <si>
    <t>左手攻击抬手</t>
    <phoneticPr fontId="14" type="noConversion"/>
  </si>
  <si>
    <t>firstar_skill_02_start</t>
  </si>
  <si>
    <t>霜星封地板启动</t>
    <phoneticPr fontId="14" type="noConversion"/>
  </si>
  <si>
    <t>0,0.01,0</t>
    <phoneticPr fontId="14" type="noConversion"/>
  </si>
  <si>
    <t>firstar_skill_02_range_02</t>
  </si>
  <si>
    <t>霜星地板封锁</t>
    <phoneticPr fontId="14" type="noConversion"/>
  </si>
  <si>
    <t>firstar_skill_01_range</t>
  </si>
  <si>
    <t>霜星冰环启动</t>
    <phoneticPr fontId="14" type="noConversion"/>
  </si>
  <si>
    <t>firstar_skill_01_buff</t>
  </si>
  <si>
    <t>霜星冰环减攻速</t>
    <phoneticPr fontId="14" type="noConversion"/>
  </si>
  <si>
    <t>firstar_buff_03_start</t>
  </si>
  <si>
    <t>霜星复活眼睛</t>
    <phoneticPr fontId="14" type="noConversion"/>
  </si>
  <si>
    <t>firstar_buff_02_start</t>
  </si>
  <si>
    <t>霜星复活光环扩散</t>
    <phoneticPr fontId="14" type="noConversion"/>
  </si>
  <si>
    <t>firstar_buff_01_start</t>
  </si>
  <si>
    <t>霜星复活气流</t>
    <phoneticPr fontId="14" type="noConversion"/>
  </si>
  <si>
    <t>firstar_attack_01_hit</t>
  </si>
  <si>
    <t>霜星攻击击中</t>
    <phoneticPr fontId="14" type="noConversion"/>
  </si>
  <si>
    <t>faust_skill_01_start</t>
  </si>
  <si>
    <t>浮士德技能抬手</t>
    <phoneticPr fontId="14" type="noConversion"/>
  </si>
  <si>
    <t>faust_skill_01_hit</t>
  </si>
  <si>
    <t>浮士德技能击中</t>
    <phoneticPr fontId="14" type="noConversion"/>
  </si>
  <si>
    <t>faust_attack_01_start</t>
  </si>
  <si>
    <t>浮士德攻击抬手</t>
    <phoneticPr fontId="14" type="noConversion"/>
  </si>
  <si>
    <t>faust_attack_01_hit</t>
  </si>
  <si>
    <t>浮士德攻击击中</t>
    <phoneticPr fontId="14" type="noConversion"/>
  </si>
  <si>
    <t>enemy_martyr_skill_02_start_01</t>
  </si>
  <si>
    <t>安多恩二阶段技能抬手</t>
    <phoneticPr fontId="14" type="noConversion"/>
  </si>
  <si>
    <t>enemy_martyr_skill_02_hit</t>
  </si>
  <si>
    <t>安多恩二阶段技能击中</t>
    <phoneticPr fontId="14" type="noConversion"/>
  </si>
  <si>
    <t>enemy_martyr_skill_02_buff_02</t>
  </si>
  <si>
    <t>安多恩二阶段扫描</t>
    <phoneticPr fontId="14" type="noConversion"/>
  </si>
  <si>
    <t>Common</t>
    <phoneticPr fontId="14" type="noConversion"/>
  </si>
  <si>
    <t>agoat2_skill_03_weapon_05</t>
  </si>
  <si>
    <t>纯烬艾雅法拉3武器光圈</t>
    <phoneticPr fontId="14" type="noConversion"/>
  </si>
  <si>
    <t>agoat2_skill_03_start_01</t>
  </si>
  <si>
    <t>纯烬艾雅法拉3启动</t>
    <phoneticPr fontId="14" type="noConversion"/>
  </si>
  <si>
    <t>agoat2_skill_03_hit_02</t>
    <phoneticPr fontId="14" type="noConversion"/>
  </si>
  <si>
    <t>纯烬艾雅法拉3治疗击中2</t>
    <phoneticPr fontId="14" type="noConversion"/>
  </si>
  <si>
    <t>agoat2_skill_03_hit_01</t>
  </si>
  <si>
    <t>纯烬艾雅法拉3治疗击中</t>
    <phoneticPr fontId="14" type="noConversion"/>
  </si>
  <si>
    <t>agoat2_skill_03_buff_01</t>
  </si>
  <si>
    <t>纯烬艾雅法拉3加成</t>
    <phoneticPr fontId="14" type="noConversion"/>
  </si>
  <si>
    <t>agoat2_skill_02_start_02</t>
  </si>
  <si>
    <t>纯烬艾雅法拉2启动</t>
    <phoneticPr fontId="14" type="noConversion"/>
  </si>
  <si>
    <t>agoat2_skill_02_start_01</t>
  </si>
  <si>
    <t>纯烬艾雅法拉2武器启动</t>
    <phoneticPr fontId="14" type="noConversion"/>
  </si>
  <si>
    <t>agoat2_skill_02_range_start_01</t>
  </si>
  <si>
    <t>纯烬艾雅法拉2射程启动</t>
    <phoneticPr fontId="14" type="noConversion"/>
  </si>
  <si>
    <t>agoat2_skill_02_range_01</t>
  </si>
  <si>
    <t>纯烬艾雅法拉2射程</t>
    <phoneticPr fontId="14" type="noConversion"/>
  </si>
  <si>
    <t>agoat2_skill_02_hit_01</t>
  </si>
  <si>
    <t>纯烬艾雅法拉2治疗击中</t>
    <phoneticPr fontId="14" type="noConversion"/>
  </si>
  <si>
    <t>agoat2_skill_01_start_01</t>
  </si>
  <si>
    <t>纯烬艾雅法拉1治疗抬手</t>
    <phoneticPr fontId="14" type="noConversion"/>
  </si>
  <si>
    <t>agoat2_skill_01_hit_01</t>
  </si>
  <si>
    <t>纯烬艾雅法拉1治疗击中</t>
    <phoneticPr fontId="14" type="noConversion"/>
  </si>
  <si>
    <t>agoat2_skill_01_buff_01</t>
  </si>
  <si>
    <t>纯烬艾雅法拉1加成</t>
    <phoneticPr fontId="14" type="noConversion"/>
  </si>
  <si>
    <t>agoat2_recover_01</t>
  </si>
  <si>
    <t>纯烬艾雅法拉天赋治疗</t>
    <phoneticPr fontId="14" type="noConversion"/>
  </si>
  <si>
    <t>agoat2_birth_01</t>
  </si>
  <si>
    <t>纯烬艾雅法拉入场</t>
    <phoneticPr fontId="14" type="noConversion"/>
  </si>
  <si>
    <t>agoat2_attack_start_01</t>
  </si>
  <si>
    <t>纯烬艾雅法拉治疗抬手</t>
    <phoneticPr fontId="14" type="noConversion"/>
  </si>
  <si>
    <t>agoat2_attack_hit_01</t>
  </si>
  <si>
    <t>纯烬艾雅法拉治疗击中</t>
    <phoneticPr fontId="14" type="noConversion"/>
  </si>
  <si>
    <t>enemy_cshost_revive_range_01_loop</t>
    <phoneticPr fontId="14" type="noConversion"/>
  </si>
  <si>
    <t>剧团喉舌锁血背景循环</t>
    <phoneticPr fontId="14" type="noConversion"/>
  </si>
  <si>
    <t>enemy_cshost_tokenBreak_01</t>
  </si>
  <si>
    <t>剧团喉舌召唤物死亡</t>
    <phoneticPr fontId="14" type="noConversion"/>
  </si>
  <si>
    <t>enemy_cshost_skill_start_01</t>
  </si>
  <si>
    <t>剧团喉舌召唤启动</t>
    <phoneticPr fontId="14" type="noConversion"/>
  </si>
  <si>
    <t>enemy_cshost_skill_range_01</t>
  </si>
  <si>
    <t>剧团喉舌召唤背景</t>
    <phoneticPr fontId="14" type="noConversion"/>
  </si>
  <si>
    <t>enemy_cshost_revive_start_01</t>
  </si>
  <si>
    <t>剧团喉舌锁血结束</t>
    <phoneticPr fontId="14" type="noConversion"/>
  </si>
  <si>
    <t>enemy_cshost_revive_range_01</t>
  </si>
  <si>
    <t>剧团喉舌锁血背景</t>
    <phoneticPr fontId="14" type="noConversion"/>
  </si>
  <si>
    <t>C_R_Hand_01</t>
    <phoneticPr fontId="14" type="noConversion"/>
  </si>
  <si>
    <t>enemy_cshost_revive_R_Hand_01</t>
  </si>
  <si>
    <t>剧团喉舌锁血右手</t>
    <phoneticPr fontId="14" type="noConversion"/>
  </si>
  <si>
    <t>C_L_Hand_01</t>
    <phoneticPr fontId="14" type="noConversion"/>
  </si>
  <si>
    <t>enemy_cshost_revive_L_Hand_01</t>
  </si>
  <si>
    <t>剧团喉舌锁血左手</t>
    <phoneticPr fontId="14" type="noConversion"/>
  </si>
  <si>
    <t>enemy_cshost_die_01</t>
  </si>
  <si>
    <t>剧团喉舌锁血</t>
    <phoneticPr fontId="14" type="noConversion"/>
  </si>
  <si>
    <t>enemy_cshost_buff_01</t>
  </si>
  <si>
    <t>剧团喉舌无敌</t>
    <phoneticPr fontId="14" type="noConversion"/>
  </si>
  <si>
    <t>enemy_cshost_attack_hit_start_01</t>
  </si>
  <si>
    <t>剧团喉舌抬手</t>
    <phoneticPr fontId="14" type="noConversion"/>
  </si>
  <si>
    <t>enemy_cshost_attack_hit_01</t>
  </si>
  <si>
    <t>剧团喉舌击中</t>
    <phoneticPr fontId="14" type="noConversion"/>
  </si>
  <si>
    <t>enemy_cswrtr_skill_02_range</t>
  </si>
  <si>
    <t>剧作家封地板</t>
    <phoneticPr fontId="14" type="noConversion"/>
  </si>
  <si>
    <t>enemy_cswrtr_skill_02_hit_buff</t>
  </si>
  <si>
    <t>剧作家中毒</t>
    <phoneticPr fontId="14" type="noConversion"/>
  </si>
  <si>
    <t>enemy_cswrtr_skill_01_start_02</t>
  </si>
  <si>
    <t>剧作家技能抬手</t>
    <phoneticPr fontId="14" type="noConversion"/>
  </si>
  <si>
    <t>C_Muzzle</t>
    <phoneticPr fontId="14" type="noConversion"/>
  </si>
  <si>
    <t>enemy_cswrtr_skill_01_start_01</t>
  </si>
  <si>
    <t>剧作家技能启动</t>
    <phoneticPr fontId="14" type="noConversion"/>
  </si>
  <si>
    <t>enemy_cswrtr_skill_01_buff</t>
  </si>
  <si>
    <t>剧作家技能Buff</t>
    <phoneticPr fontId="14" type="noConversion"/>
  </si>
  <si>
    <t>enemy_cswrtr_beidong_buff</t>
  </si>
  <si>
    <t>剧作家属性加成</t>
    <phoneticPr fontId="14" type="noConversion"/>
  </si>
  <si>
    <t>enemy_cswrtr_attack_start_02</t>
  </si>
  <si>
    <t>剧作家攻击抬手</t>
    <phoneticPr fontId="14" type="noConversion"/>
  </si>
  <si>
    <t>enemy_cswrtr_attack_start_01</t>
  </si>
  <si>
    <t>剧作家攻击启动</t>
    <phoneticPr fontId="14" type="noConversion"/>
  </si>
  <si>
    <t>enemy_cswrtr_attack_hit_02</t>
    <phoneticPr fontId="14" type="noConversion"/>
  </si>
  <si>
    <t>剧作家攻击击中2</t>
    <phoneticPr fontId="14" type="noConversion"/>
  </si>
  <si>
    <t>enemy_cswrtr_attack_hit</t>
  </si>
  <si>
    <t>剧作家攻击击中</t>
    <phoneticPr fontId="14" type="noConversion"/>
  </si>
  <si>
    <t>enemy_csdoll_skill_03_range_02</t>
  </si>
  <si>
    <t>伤心的大锁自爆启动</t>
    <phoneticPr fontId="14" type="noConversion"/>
  </si>
  <si>
    <t>enemy_csdoll_skill_03_range_01</t>
  </si>
  <si>
    <t>伤心的大锁自爆落石</t>
    <phoneticPr fontId="14" type="noConversion"/>
  </si>
  <si>
    <t>enemy_csdoll_skill_03_hit</t>
  </si>
  <si>
    <t>伤心的大锁击中</t>
    <phoneticPr fontId="14" type="noConversion"/>
  </si>
  <si>
    <t>enemy_csdoll_skill_02_range</t>
  </si>
  <si>
    <t>伤心的大锁技能启动</t>
    <phoneticPr fontId="14" type="noConversion"/>
  </si>
  <si>
    <t>enemy_csdoll_skill_02_hit</t>
  </si>
  <si>
    <t>伤心的大锁技能击中</t>
    <phoneticPr fontId="14" type="noConversion"/>
  </si>
  <si>
    <t>enemy_csdoll_skill_01_buff_01_1</t>
  </si>
  <si>
    <t>伤心的大锁护盾</t>
    <phoneticPr fontId="14" type="noConversion"/>
  </si>
  <si>
    <t>enemy_csphts_skill_02_range</t>
  </si>
  <si>
    <t>肉鸽不详幻影群攻启动</t>
    <phoneticPr fontId="14" type="noConversion"/>
  </si>
  <si>
    <t>enemy_csphts_skill_01_start</t>
  </si>
  <si>
    <t>肉鸽不详幻影出现</t>
    <phoneticPr fontId="14" type="noConversion"/>
  </si>
  <si>
    <t>enemy_csphts_attack_01_hit</t>
  </si>
  <si>
    <t>肉鸽不详幻影击中</t>
    <phoneticPr fontId="14" type="noConversion"/>
  </si>
  <si>
    <t>enemy_csphtm_skill_02_range</t>
  </si>
  <si>
    <t>肉鸽卢西恩群攻启动</t>
    <phoneticPr fontId="14" type="noConversion"/>
  </si>
  <si>
    <t>enemy_csphtm_skill_01_start</t>
  </si>
  <si>
    <t>肉鸽卢西恩闪现启动</t>
    <phoneticPr fontId="14" type="noConversion"/>
  </si>
  <si>
    <t>enemy_csphtm_buff_01_start</t>
  </si>
  <si>
    <t>肉鸽卢西恩闪避</t>
    <phoneticPr fontId="14" type="noConversion"/>
  </si>
  <si>
    <t>enemy_csphtm_attack_01_start</t>
  </si>
  <si>
    <t>肉鸽卢西恩攻击抬手</t>
    <phoneticPr fontId="14" type="noConversion"/>
  </si>
  <si>
    <t>enemy_csphtm_attack_01_hit</t>
  </si>
  <si>
    <t>肉鸽卢西恩击中</t>
    <phoneticPr fontId="14" type="noConversion"/>
  </si>
  <si>
    <t>enemy_csicer_c2_attack_hit_01</t>
  </si>
  <si>
    <t>傀影冰弓击中</t>
    <phoneticPr fontId="14" type="noConversion"/>
  </si>
  <si>
    <t>enemy_csbln_die_range_01</t>
  </si>
  <si>
    <t>小惊喜爆炸</t>
    <phoneticPr fontId="14" type="noConversion"/>
  </si>
  <si>
    <t>0,-1,0</t>
    <phoneticPr fontId="14" type="noConversion"/>
  </si>
  <si>
    <t>enemy_csbln_die_start_01</t>
  </si>
  <si>
    <t>小惊喜死亡残留</t>
    <phoneticPr fontId="14" type="noConversion"/>
  </si>
  <si>
    <t>enemy_csppt_attack_range_01</t>
  </si>
  <si>
    <t>剧场组装体攻击启动</t>
    <phoneticPr fontId="14" type="noConversion"/>
  </si>
  <si>
    <t>覆潮之下治疗光环</t>
    <phoneticPr fontId="14" type="noConversion"/>
  </si>
  <si>
    <t>enemy_dslntc_buff_01_ring_2</t>
    <phoneticPr fontId="14" type="noConversion"/>
  </si>
  <si>
    <t>覆巢之下收割者光环</t>
    <phoneticPr fontId="14" type="noConversion"/>
  </si>
  <si>
    <t>enemy_dslily_skill_02_range</t>
  </si>
  <si>
    <t>昆图斯技能启动</t>
    <phoneticPr fontId="14" type="noConversion"/>
  </si>
  <si>
    <t>enemy_dsmant_attack_01_hit</t>
    <phoneticPr fontId="14" type="noConversion"/>
  </si>
  <si>
    <t>首言者击中</t>
    <phoneticPr fontId="14" type="noConversion"/>
  </si>
  <si>
    <t>0,-1,-0.45</t>
    <phoneticPr fontId="14" type="noConversion"/>
  </si>
  <si>
    <t>buff_defupaura</t>
  </si>
  <si>
    <t>护障加法抗光环</t>
    <phoneticPr fontId="14" type="noConversion"/>
  </si>
  <si>
    <t>enemy_mhrors_burn_buff 1</t>
  </si>
  <si>
    <t>怪猎火龙燃烧</t>
    <phoneticPr fontId="14" type="noConversion"/>
  </si>
  <si>
    <t>enemy_erob_buff_01_ring</t>
  </si>
  <si>
    <t>不义之财斧兵光环</t>
    <phoneticPr fontId="14" type="noConversion"/>
  </si>
  <si>
    <t>enemy_cliff_skill_flash_start</t>
    <phoneticPr fontId="14" type="noConversion"/>
  </si>
  <si>
    <t>克里夫闪现启动</t>
    <phoneticPr fontId="14" type="noConversion"/>
  </si>
  <si>
    <t>irene_skill_03_type2_hit_01</t>
  </si>
  <si>
    <t>艾丽妮3溅射</t>
    <phoneticPr fontId="14" type="noConversion"/>
  </si>
  <si>
    <t>irene_skill_03_start_02</t>
  </si>
  <si>
    <t>艾丽妮3启动</t>
    <phoneticPr fontId="14" type="noConversion"/>
  </si>
  <si>
    <t>irene_skill_02_range_02</t>
    <phoneticPr fontId="14" type="noConversion"/>
  </si>
  <si>
    <t>艾丽妮2射程2</t>
    <phoneticPr fontId="14" type="noConversion"/>
  </si>
  <si>
    <t>irene_skill_02_range_01</t>
  </si>
  <si>
    <t>艾丽妮2射程</t>
    <phoneticPr fontId="14" type="noConversion"/>
  </si>
  <si>
    <t>irene_skill_02_hit_01</t>
  </si>
  <si>
    <t>艾丽妮技能击中</t>
    <phoneticPr fontId="14" type="noConversion"/>
  </si>
  <si>
    <t>blkkgt_skill_03_end</t>
  </si>
  <si>
    <t>干员锏3结束</t>
    <phoneticPr fontId="14" type="noConversion"/>
  </si>
  <si>
    <t>blkkgt_skill_03_start_01</t>
    <phoneticPr fontId="14" type="noConversion"/>
  </si>
  <si>
    <t>干员锏3启动</t>
    <phoneticPr fontId="14" type="noConversion"/>
  </si>
  <si>
    <t>blkkgt_skill_01_start_02</t>
  </si>
  <si>
    <t>干员锏1启动</t>
    <phoneticPr fontId="14" type="noConversion"/>
  </si>
  <si>
    <t>blkkgt_attack_start_01</t>
  </si>
  <si>
    <t>干员锏攻击抬手</t>
    <phoneticPr fontId="14" type="noConversion"/>
  </si>
  <si>
    <t>blkkgt_attack_hit_1</t>
    <phoneticPr fontId="14" type="noConversion"/>
  </si>
  <si>
    <t>干员锏攻击击中</t>
    <phoneticPr fontId="14" type="noConversion"/>
  </si>
  <si>
    <t>enemy_blkswb_skill_03_start_02</t>
  </si>
  <si>
    <t>锏二阶段缴械</t>
    <phoneticPr fontId="14" type="noConversion"/>
  </si>
  <si>
    <t>enemy_blkswb_skill_03_start_01</t>
  </si>
  <si>
    <t>锏二阶段缴械启动</t>
    <phoneticPr fontId="14" type="noConversion"/>
  </si>
  <si>
    <t>enemy_blkswb_reborn_loop_01</t>
  </si>
  <si>
    <t>锏复活背景</t>
    <phoneticPr fontId="14" type="noConversion"/>
  </si>
  <si>
    <t>enemy_blkswb_skill_02_B_start_02</t>
  </si>
  <si>
    <t>锏二阶段技能启动2</t>
    <phoneticPr fontId="14" type="noConversion"/>
  </si>
  <si>
    <t>enemy_blkswb_skill_02_B_start_01</t>
  </si>
  <si>
    <t>锏二阶段技能启动</t>
    <phoneticPr fontId="14" type="noConversion"/>
  </si>
  <si>
    <t>enemy_blkswb_skill_02_A_start_01</t>
  </si>
  <si>
    <t>锏一阶段技能启动</t>
    <phoneticPr fontId="14" type="noConversion"/>
  </si>
  <si>
    <t>enemy_blkswb_skill_01_start_01</t>
  </si>
  <si>
    <t>锏闪现启动</t>
    <phoneticPr fontId="14" type="noConversion"/>
  </si>
  <si>
    <t>enemy_blkswb_skill_02_hit_01</t>
  </si>
  <si>
    <t>锏攻击击中两次</t>
    <phoneticPr fontId="14" type="noConversion"/>
  </si>
  <si>
    <t>enemy_blkswb_skill_01_hit_01</t>
  </si>
  <si>
    <t>锏攻击击中一次</t>
    <phoneticPr fontId="14" type="noConversion"/>
  </si>
  <si>
    <t>enemy_blkswb_buff_03</t>
  </si>
  <si>
    <t>锏二阶段隐身</t>
    <phoneticPr fontId="14" type="noConversion"/>
  </si>
  <si>
    <t>enemy_blkswb_attack_A_start_01</t>
  </si>
  <si>
    <t>锏一阶段攻击启动</t>
    <phoneticPr fontId="14" type="noConversion"/>
  </si>
  <si>
    <t>patrt_skill_01_hit_02</t>
    <phoneticPr fontId="14" type="noConversion"/>
  </si>
  <si>
    <t>游击队爱国者技能击中</t>
    <phoneticPr fontId="14" type="noConversion"/>
  </si>
  <si>
    <t>patrt_buff_03_range</t>
  </si>
  <si>
    <t>游击队爱国者射程</t>
    <phoneticPr fontId="14" type="noConversion"/>
  </si>
  <si>
    <t>C_Weapon</t>
    <phoneticPr fontId="14" type="noConversion"/>
  </si>
  <si>
    <t>patrt_attack_02_start</t>
  </si>
  <si>
    <t>游击队爱国者标枪变红</t>
    <phoneticPr fontId="14" type="noConversion"/>
  </si>
  <si>
    <t>patrt_attack_01_start</t>
  </si>
  <si>
    <t>游击队爱国者抬手</t>
    <phoneticPr fontId="14" type="noConversion"/>
  </si>
  <si>
    <t>patrt_skill_01_buff</t>
  </si>
  <si>
    <t>游击队爱国者远程Buff</t>
    <phoneticPr fontId="14" type="noConversion"/>
  </si>
  <si>
    <t>C_Shield_A</t>
    <phoneticPr fontId="14" type="noConversion"/>
  </si>
  <si>
    <t>patrt_buff_01_start</t>
  </si>
  <si>
    <t>游击队爱国者近战Buff</t>
    <phoneticPr fontId="14" type="noConversion"/>
  </si>
  <si>
    <t>patrt_attack_02_start_02</t>
  </si>
  <si>
    <t>游击队爱国者复活抬手</t>
    <phoneticPr fontId="14" type="noConversion"/>
  </si>
  <si>
    <t>patrt_attack_02_hit</t>
  </si>
  <si>
    <t>游击队爱国者复活击中</t>
    <phoneticPr fontId="14" type="noConversion"/>
  </si>
  <si>
    <t>patrt_attack_01_hit</t>
  </si>
  <si>
    <t>游击队爱国者击中</t>
    <phoneticPr fontId="14" type="noConversion"/>
  </si>
  <si>
    <t>Muzzle</t>
    <phoneticPr fontId="14" type="noConversion"/>
  </si>
  <si>
    <t>jshoot_weapon_buff_01</t>
    <phoneticPr fontId="14" type="noConversion"/>
  </si>
  <si>
    <t>隐形弩手武器附魔</t>
    <phoneticPr fontId="14" type="noConversion"/>
  </si>
  <si>
    <t>Head</t>
    <phoneticPr fontId="14" type="noConversion"/>
  </si>
  <si>
    <t>enemy_smsbr_buff_02</t>
  </si>
  <si>
    <t>坍缩畸变体眼睛</t>
    <phoneticPr fontId="14" type="noConversion"/>
  </si>
  <si>
    <t>坍缩体士兵眼睛</t>
    <phoneticPr fontId="14" type="noConversion"/>
  </si>
  <si>
    <t>F_Heads</t>
    <phoneticPr fontId="14" type="noConversion"/>
  </si>
  <si>
    <t>enemy_sgkill_eye_02</t>
  </si>
  <si>
    <t>灭迹人已强化</t>
    <phoneticPr fontId="14" type="noConversion"/>
  </si>
  <si>
    <t>enemy_sgkill_eye_01</t>
  </si>
  <si>
    <t>灭迹人未强化</t>
    <phoneticPr fontId="14" type="noConversion"/>
  </si>
  <si>
    <t>enemy_sgkill_buff</t>
  </si>
  <si>
    <t>灭迹人加成</t>
    <phoneticPr fontId="14" type="noConversion"/>
  </si>
  <si>
    <t>enemy_sgkill_attack_01_start</t>
  </si>
  <si>
    <t>灭迹人抬手</t>
    <phoneticPr fontId="14" type="noConversion"/>
  </si>
  <si>
    <t>enemy_sgkill_attack_01_hit</t>
  </si>
  <si>
    <t>灭迹人击中</t>
    <phoneticPr fontId="14" type="noConversion"/>
  </si>
  <si>
    <t>enemy_sgprst_skill_01_hit</t>
  </si>
  <si>
    <t>阿格尼尔技能击中</t>
    <phoneticPr fontId="14" type="noConversion"/>
  </si>
  <si>
    <t>enemy_sgprst_eye_wing_01</t>
  </si>
  <si>
    <t>阿格尼尔睁眼光环</t>
    <phoneticPr fontId="14" type="noConversion"/>
  </si>
  <si>
    <t>Eye</t>
    <phoneticPr fontId="14" type="noConversion"/>
  </si>
  <si>
    <t>enemy_sgprst_eye_open_01</t>
  </si>
  <si>
    <t>阿格尼尔睁眼</t>
    <phoneticPr fontId="14" type="noConversion"/>
  </si>
  <si>
    <t>enemy_sgprst_eye_closed_01</t>
  </si>
  <si>
    <t>阿格尼尔闭眼</t>
    <phoneticPr fontId="14" type="noConversion"/>
  </si>
  <si>
    <t>enemy_sgprst_attack_01_start</t>
  </si>
  <si>
    <t>阿格尼尔抬手</t>
    <phoneticPr fontId="14" type="noConversion"/>
  </si>
  <si>
    <t>enemy_sgprst_attack_01_hit</t>
  </si>
  <si>
    <t>阿格尼尔击中</t>
    <phoneticPr fontId="14" type="noConversion"/>
  </si>
  <si>
    <t>C_Smoke_01</t>
    <phoneticPr fontId="14" type="noConversion"/>
  </si>
  <si>
    <t>enemy_sgelder_attack_start_02</t>
  </si>
  <si>
    <t>叙拉古角头烟雾</t>
    <phoneticPr fontId="14" type="noConversion"/>
  </si>
  <si>
    <t>enemy_sgelder_attack_hit_01</t>
  </si>
  <si>
    <t>叙拉古角头击中</t>
    <phoneticPr fontId="14" type="noConversion"/>
  </si>
  <si>
    <t>enemy_sgelder_attack_buff_01</t>
  </si>
  <si>
    <t>叙拉古角头光环</t>
    <phoneticPr fontId="14" type="noConversion"/>
  </si>
  <si>
    <t>荷谟伊英雄烟雾</t>
    <phoneticPr fontId="14" type="noConversion"/>
  </si>
  <si>
    <t>enemy_hymhr_buff_03</t>
  </si>
  <si>
    <t>荷谟伊英雄罐子</t>
    <phoneticPr fontId="14" type="noConversion"/>
  </si>
  <si>
    <t>enemy_hymhr_buff_02</t>
  </si>
  <si>
    <t>荷谟伊英雄治疗</t>
    <phoneticPr fontId="14" type="noConversion"/>
  </si>
  <si>
    <t>0,-0.1,0.3</t>
    <phoneticPr fontId="14" type="noConversion"/>
  </si>
  <si>
    <t>lin_buff_01</t>
  </si>
  <si>
    <t>林雨霞被动护盾</t>
    <phoneticPr fontId="14" type="noConversion"/>
  </si>
  <si>
    <t>lin_skill_03_range_03</t>
    <phoneticPr fontId="14" type="noConversion"/>
  </si>
  <si>
    <t>林雨霞3启动</t>
    <phoneticPr fontId="14" type="noConversion"/>
  </si>
  <si>
    <t>lin_skill_03_range_02</t>
  </si>
  <si>
    <t>林雨霞3射程</t>
    <phoneticPr fontId="14" type="noConversion"/>
  </si>
  <si>
    <t>lin_skill_03_buff_02</t>
  </si>
  <si>
    <t>林雨霞3Buff</t>
    <phoneticPr fontId="14" type="noConversion"/>
  </si>
  <si>
    <t>lin_skill_02_range_02</t>
  </si>
  <si>
    <t>林雨霞2射程</t>
    <phoneticPr fontId="14" type="noConversion"/>
  </si>
  <si>
    <t>lin_skill_02_range_01</t>
  </si>
  <si>
    <t>林雨霞2启动</t>
    <phoneticPr fontId="14" type="noConversion"/>
  </si>
  <si>
    <t>lin_skill_01_range_01</t>
  </si>
  <si>
    <t>林雨霞1启动</t>
    <phoneticPr fontId="14" type="noConversion"/>
  </si>
  <si>
    <t>lin_passive_hit_01</t>
  </si>
  <si>
    <t>林雨霞被动击中</t>
    <phoneticPr fontId="14" type="noConversion"/>
  </si>
  <si>
    <t>doroth_skill_01_debuff</t>
  </si>
  <si>
    <t>多萝西1减防</t>
    <phoneticPr fontId="14" type="noConversion"/>
  </si>
  <si>
    <t>doroth_buff_02</t>
  </si>
  <si>
    <t>多萝西加攻2</t>
    <phoneticPr fontId="14" type="noConversion"/>
  </si>
  <si>
    <t>doroth_buff_01</t>
  </si>
  <si>
    <t>多萝西加攻</t>
    <phoneticPr fontId="14" type="noConversion"/>
  </si>
  <si>
    <t>doroth_bomb_03_activited</t>
  </si>
  <si>
    <t>多萝西3爆炸</t>
    <phoneticPr fontId="14" type="noConversion"/>
  </si>
  <si>
    <t>doroth_bomb_02_activited</t>
  </si>
  <si>
    <t>多萝西2爆炸</t>
    <phoneticPr fontId="14" type="noConversion"/>
  </si>
  <si>
    <t>doroth_bomb_01_activited_2</t>
    <phoneticPr fontId="14" type="noConversion"/>
  </si>
  <si>
    <t>多萝西1爆炸光圈地面</t>
    <phoneticPr fontId="14" type="noConversion"/>
  </si>
  <si>
    <t>多萝西1爆炸光圈</t>
    <phoneticPr fontId="14" type="noConversion"/>
  </si>
  <si>
    <t>doroth_bomb_01_activited</t>
  </si>
  <si>
    <t>多萝西1爆炸</t>
    <phoneticPr fontId="14" type="noConversion"/>
  </si>
  <si>
    <t>doroth_attack_2_hit</t>
  </si>
  <si>
    <t>多萝西击中2</t>
    <phoneticPr fontId="14" type="noConversion"/>
  </si>
  <si>
    <t>doroth_attack_hit</t>
  </si>
  <si>
    <t>多萝西击中</t>
    <phoneticPr fontId="14" type="noConversion"/>
  </si>
  <si>
    <t>yato2_skill_03_hit_01</t>
  </si>
  <si>
    <t>麒麟夜刀3击中</t>
    <phoneticPr fontId="14" type="noConversion"/>
  </si>
  <si>
    <t>podego_skill_02_start</t>
  </si>
  <si>
    <t>波登可2抬手</t>
    <phoneticPr fontId="14" type="noConversion"/>
  </si>
  <si>
    <t>podego_skill_02_range</t>
  </si>
  <si>
    <t>波登可2射程</t>
    <phoneticPr fontId="14" type="noConversion"/>
  </si>
  <si>
    <t>podego_skill_02_hit</t>
  </si>
  <si>
    <t>波登可2击中</t>
    <phoneticPr fontId="14" type="noConversion"/>
  </si>
  <si>
    <t>podego_skill_01_start</t>
  </si>
  <si>
    <t>波登可1抬手</t>
    <phoneticPr fontId="14" type="noConversion"/>
  </si>
  <si>
    <t>podego_attack_01_start</t>
  </si>
  <si>
    <t>波登可抬手</t>
    <phoneticPr fontId="14" type="noConversion"/>
  </si>
  <si>
    <t>podego_attack_01_hit</t>
  </si>
  <si>
    <t>波登可击中</t>
    <phoneticPr fontId="14" type="noConversion"/>
  </si>
  <si>
    <t>glady_skill_3_flow</t>
  </si>
  <si>
    <t>歌蕾蒂娅3旋涡</t>
    <phoneticPr fontId="14" type="noConversion"/>
  </si>
  <si>
    <t>gnosis_skill_03_end</t>
  </si>
  <si>
    <t>埃克提尔尼尔爆发</t>
    <phoneticPr fontId="14" type="noConversion"/>
  </si>
  <si>
    <t>smlead_skill_range</t>
    <phoneticPr fontId="14" type="noConversion"/>
  </si>
  <si>
    <t>埃克提尔尼尔光环</t>
    <phoneticPr fontId="14" type="noConversion"/>
  </si>
  <si>
    <t>enemy_smlead_buff_04</t>
    <phoneticPr fontId="14" type="noConversion"/>
  </si>
  <si>
    <t>埃克提尔尼尔残影</t>
    <phoneticPr fontId="14" type="noConversion"/>
  </si>
  <si>
    <t>Muzzle_Weapon</t>
    <phoneticPr fontId="14" type="noConversion"/>
  </si>
  <si>
    <t>enemy_smsha_idle_1_02</t>
    <phoneticPr fontId="14" type="noConversion"/>
  </si>
  <si>
    <t>萨米雪祀武器特效</t>
    <phoneticPr fontId="14" type="noConversion"/>
  </si>
  <si>
    <t>enemy_smsha_idle_1_01</t>
  </si>
  <si>
    <t>萨米雪祀眼睛</t>
    <phoneticPr fontId="14" type="noConversion"/>
  </si>
  <si>
    <t>enemy_smsha_buff_01</t>
  </si>
  <si>
    <t>萨米雪祀残影</t>
    <phoneticPr fontId="14" type="noConversion"/>
  </si>
  <si>
    <t>enemy_smsha_buff</t>
  </si>
  <si>
    <t>萨米雪祀加成</t>
    <phoneticPr fontId="14" type="noConversion"/>
  </si>
  <si>
    <t>enemy_smdrn_attack_hit</t>
  </si>
  <si>
    <t>萨米无人机击中</t>
    <phoneticPr fontId="14" type="noConversion"/>
  </si>
  <si>
    <t>enemy_manfri_buff_03_start</t>
  </si>
  <si>
    <t>日晕光环</t>
    <phoneticPr fontId="14" type="noConversion"/>
  </si>
  <si>
    <t>chengfangpao_screen</t>
  </si>
  <si>
    <t>城防炮警告</t>
    <phoneticPr fontId="14" type="noConversion"/>
  </si>
  <si>
    <t>chengfangpao_buff_02</t>
  </si>
  <si>
    <t>城防炮射程</t>
    <phoneticPr fontId="14" type="noConversion"/>
  </si>
  <si>
    <t>chengfangpao_buff_03</t>
    <phoneticPr fontId="14" type="noConversion"/>
  </si>
  <si>
    <t>城防炮无射程标记2</t>
    <phoneticPr fontId="14" type="noConversion"/>
  </si>
  <si>
    <t>chengfangpao_buff_01 withoutrange</t>
    <phoneticPr fontId="14" type="noConversion"/>
  </si>
  <si>
    <t>城防炮无射程标记</t>
    <phoneticPr fontId="14" type="noConversion"/>
  </si>
  <si>
    <t>chengfangpao_buff_01</t>
  </si>
  <si>
    <t>城防炮范围1</t>
    <phoneticPr fontId="14" type="noConversion"/>
  </si>
  <si>
    <t>map_027_chengfangpao_start</t>
  </si>
  <si>
    <t>城防炮击中</t>
    <phoneticPr fontId="14" type="noConversion"/>
  </si>
  <si>
    <t>passenger_skill_3_range</t>
    <phoneticPr fontId="14" type="noConversion"/>
  </si>
  <si>
    <t>异客3射程</t>
    <phoneticPr fontId="14" type="noConversion"/>
  </si>
  <si>
    <t>enemy_martyr_beidong_range</t>
  </si>
  <si>
    <t>安多恩射程</t>
    <phoneticPr fontId="14" type="noConversion"/>
  </si>
  <si>
    <t>abanana_skill_range</t>
    <phoneticPr fontId="14" type="noConversion"/>
  </si>
  <si>
    <t>爱布拉娜光环</t>
    <phoneticPr fontId="14" type="noConversion"/>
  </si>
  <si>
    <t>C_Weapon_a</t>
    <phoneticPr fontId="14" type="noConversion"/>
  </si>
  <si>
    <t>-0.1,0.3,0</t>
    <phoneticPr fontId="14" type="noConversion"/>
  </si>
  <si>
    <t>enemy_ymmir_buff_01</t>
  </si>
  <si>
    <t>玉门术师光环</t>
    <phoneticPr fontId="14" type="noConversion"/>
  </si>
  <si>
    <t>enemy_white_skill_02_selfHarm_01</t>
  </si>
  <si>
    <t>白垩自残击中</t>
    <phoneticPr fontId="14" type="noConversion"/>
  </si>
  <si>
    <t>enemy_white_c2_attack_hit_rangre_01</t>
  </si>
  <si>
    <t>白垩友方溅射击中</t>
    <phoneticPr fontId="14" type="noConversion"/>
  </si>
  <si>
    <t>enemy_white_c1_attack_hit_rangre_02</t>
    <phoneticPr fontId="14" type="noConversion"/>
  </si>
  <si>
    <t>白垩溅射击中紫色</t>
    <phoneticPr fontId="14" type="noConversion"/>
  </si>
  <si>
    <t>enemy_white_c1_attack_hit_rangre_01</t>
  </si>
  <si>
    <t>白垩溅射击中</t>
    <phoneticPr fontId="14" type="noConversion"/>
  </si>
  <si>
    <t>enemy_white_c1_attack_hit_range_const</t>
    <phoneticPr fontId="14" type="noConversion"/>
  </si>
  <si>
    <t>白垩溅射持续</t>
    <phoneticPr fontId="14" type="noConversion"/>
  </si>
  <si>
    <t>enemy_white_attack_hit_02</t>
  </si>
  <si>
    <t>白垩攻击击中</t>
    <phoneticPr fontId="14" type="noConversion"/>
  </si>
  <si>
    <t>enemy_orang_tong</t>
    <phoneticPr fontId="14" type="noConversion"/>
  </si>
  <si>
    <t>烈酒金刚Buff</t>
    <phoneticPr fontId="14" type="noConversion"/>
  </si>
  <si>
    <t>enemy_fystone_buff</t>
  </si>
  <si>
    <t>粗圆岩Buff</t>
    <phoneticPr fontId="14" type="noConversion"/>
  </si>
  <si>
    <t>enemy_pleslm_beidong_buff_03</t>
    <phoneticPr fontId="14" type="noConversion"/>
  </si>
  <si>
    <t>米兰被动Buff3</t>
    <phoneticPr fontId="14" type="noConversion"/>
  </si>
  <si>
    <t>enemy_pleslm_beidong_buff_02</t>
    <phoneticPr fontId="14" type="noConversion"/>
  </si>
  <si>
    <t>米兰被动Buff2</t>
    <phoneticPr fontId="14" type="noConversion"/>
  </si>
  <si>
    <t>enemy_pleslm_beidong_buff_01</t>
  </si>
  <si>
    <t>米兰被动Buff</t>
    <phoneticPr fontId="14" type="noConversion"/>
  </si>
  <si>
    <t>enemy_pleslm_skill_02_hit</t>
  </si>
  <si>
    <t>米兰技能击中</t>
    <phoneticPr fontId="14" type="noConversion"/>
  </si>
  <si>
    <t>enemy_pleslm_skill_01_hit</t>
  </si>
  <si>
    <t>米兰召唤物射程</t>
    <phoneticPr fontId="14" type="noConversion"/>
  </si>
  <si>
    <t>enemy_pleslm_skill_01_buff_2</t>
    <phoneticPr fontId="14" type="noConversion"/>
  </si>
  <si>
    <t>米兰召唤物Buff2</t>
    <phoneticPr fontId="14" type="noConversion"/>
  </si>
  <si>
    <t>enemy_pleslm_skill_01_buff</t>
  </si>
  <si>
    <t>米兰召唤物Buff</t>
    <phoneticPr fontId="14" type="noConversion"/>
  </si>
  <si>
    <t>enemy_pleslm_attack_hit</t>
  </si>
  <si>
    <t>米兰击中</t>
    <phoneticPr fontId="14" type="noConversion"/>
  </si>
  <si>
    <t>enemy_mandra_c2_skill_02_buff_03</t>
  </si>
  <si>
    <t>蔓德拉地面Buff</t>
    <phoneticPr fontId="14" type="noConversion"/>
  </si>
  <si>
    <t>enemy_mandra_c2_skill_02_buff_01</t>
  </si>
  <si>
    <t>蔓德拉升空Buff</t>
    <phoneticPr fontId="14" type="noConversion"/>
  </si>
  <si>
    <t>enemy_mandra_c1_skill_02_hit</t>
  </si>
  <si>
    <t>蔓德拉技能击中</t>
    <phoneticPr fontId="14" type="noConversion"/>
  </si>
  <si>
    <t>enemy_mandra_c1_attack_hit</t>
  </si>
  <si>
    <t>蔓德拉普攻击中</t>
    <phoneticPr fontId="14" type="noConversion"/>
  </si>
  <si>
    <t>enemy_crzgas_mist_03</t>
  </si>
  <si>
    <t>毒雾技能扩散</t>
    <phoneticPr fontId="14" type="noConversion"/>
  </si>
  <si>
    <t>enemy_bldbld_born_01</t>
  </si>
  <si>
    <t>血骑士血刀出场</t>
    <phoneticPr fontId="14" type="noConversion"/>
  </si>
  <si>
    <t>enemy_bgball_attack_01_hit</t>
  </si>
  <si>
    <t>进化的本质击中</t>
    <phoneticPr fontId="14" type="noConversion"/>
  </si>
  <si>
    <t>ines_skill_03_buff_01</t>
  </si>
  <si>
    <t>伊内丝3Buff</t>
    <phoneticPr fontId="14" type="noConversion"/>
  </si>
  <si>
    <t>ines_skill_02_buff_01</t>
  </si>
  <si>
    <t>伊内丝2隐身</t>
    <phoneticPr fontId="14" type="noConversion"/>
  </si>
  <si>
    <t>ines_skill_01_debuff_01</t>
  </si>
  <si>
    <t>伊内丝中毒</t>
    <phoneticPr fontId="14" type="noConversion"/>
  </si>
  <si>
    <t>ines_range_02</t>
  </si>
  <si>
    <t>伊内丝影哨射程</t>
    <phoneticPr fontId="14" type="noConversion"/>
  </si>
  <si>
    <t>ines_label_01</t>
  </si>
  <si>
    <t>伊内丝影哨</t>
    <phoneticPr fontId="14" type="noConversion"/>
  </si>
  <si>
    <t>enemy_bldkgt_skill_01_hit_01</t>
  </si>
  <si>
    <t>血骑士弹道击中</t>
    <phoneticPr fontId="14" type="noConversion"/>
  </si>
  <si>
    <t>gdglow_token_hit_R</t>
  </si>
  <si>
    <t>澄闪单元击中R</t>
    <phoneticPr fontId="14" type="noConversion"/>
  </si>
  <si>
    <t>gdglow_token_hit_M</t>
  </si>
  <si>
    <t>澄闪单元击中M</t>
    <phoneticPr fontId="14" type="noConversion"/>
  </si>
  <si>
    <t>gdglow_token_hit_L</t>
  </si>
  <si>
    <t>澄闪单元击中L</t>
    <phoneticPr fontId="14" type="noConversion"/>
  </si>
  <si>
    <t>gdglow_skill_03_buff_01</t>
  </si>
  <si>
    <t>澄闪3Buff</t>
    <phoneticPr fontId="14" type="noConversion"/>
  </si>
  <si>
    <t>gdglow_skill_02_buff_front_01</t>
  </si>
  <si>
    <t>澄闪2Buff</t>
    <phoneticPr fontId="14" type="noConversion"/>
  </si>
  <si>
    <t>gdglow_hit_01</t>
  </si>
  <si>
    <t>澄闪击中</t>
    <phoneticPr fontId="14" type="noConversion"/>
  </si>
  <si>
    <t>enemy_ltmage_attack_start_02</t>
  </si>
  <si>
    <t>高塔术师抬手</t>
    <phoneticPr fontId="14" type="noConversion"/>
  </si>
  <si>
    <t>enemy_ltmage_attack_start_01</t>
  </si>
  <si>
    <t>高塔术师聚集</t>
    <phoneticPr fontId="14" type="noConversion"/>
  </si>
  <si>
    <t>enemy_ltmage_attack_splash</t>
  </si>
  <si>
    <t>高塔术师爆炸</t>
    <phoneticPr fontId="14" type="noConversion"/>
  </si>
  <si>
    <t>enemy_ltmage_attack_hit_2</t>
  </si>
  <si>
    <t>高塔术师击中2</t>
    <phoneticPr fontId="14" type="noConversion"/>
  </si>
  <si>
    <t>enemy_ltmage_attack_hit_1</t>
  </si>
  <si>
    <t>高塔术师击中1</t>
    <phoneticPr fontId="14" type="noConversion"/>
  </si>
  <si>
    <t>enemy_xbcrab2_buff_01</t>
  </si>
  <si>
    <t>生息螃蟹星星</t>
    <phoneticPr fontId="14" type="noConversion"/>
  </si>
  <si>
    <t>enemy_xbcrab2_attack_hit</t>
  </si>
  <si>
    <t>生息螃蟹击中</t>
    <phoneticPr fontId="14" type="noConversion"/>
  </si>
  <si>
    <t>enemy_mheagl_attack_02_hit</t>
  </si>
  <si>
    <t>怪猎鸟投掷击中</t>
    <phoneticPr fontId="14" type="noConversion"/>
  </si>
  <si>
    <t>enemy_mheagl_attack_01_hit</t>
  </si>
  <si>
    <t>怪猎鸟攻击击中</t>
    <phoneticPr fontId="14" type="noConversion"/>
  </si>
  <si>
    <t>enemy_mhboar_hit_02</t>
  </si>
  <si>
    <t>怪猎猪撞击</t>
    <phoneticPr fontId="14" type="noConversion"/>
  </si>
  <si>
    <t>enemy_mhboar_hit_01</t>
  </si>
  <si>
    <t>怪猎猪击中</t>
    <phoneticPr fontId="14" type="noConversion"/>
  </si>
  <si>
    <t>enemy_mhboar_buff</t>
  </si>
  <si>
    <t>怪猎猪加速</t>
    <phoneticPr fontId="14" type="noConversion"/>
  </si>
  <si>
    <t>enemy_mhboar_attack</t>
  </si>
  <si>
    <t>怪猎猪攻击抬手</t>
    <phoneticPr fontId="14" type="noConversion"/>
  </si>
  <si>
    <t>yato2_skill_01_hit_01</t>
  </si>
  <si>
    <t>麒麟夜刀击中</t>
    <phoneticPr fontId="14" type="noConversion"/>
  </si>
  <si>
    <t>yato2_skill_01_buff</t>
  </si>
  <si>
    <t>麒麟夜刀1加攻</t>
    <phoneticPr fontId="14" type="noConversion"/>
  </si>
  <si>
    <t>yato2_buff_01_start</t>
  </si>
  <si>
    <t>麒麟夜刀天赋</t>
    <phoneticPr fontId="14" type="noConversion"/>
  </si>
  <si>
    <t>yato2_birth_03_start</t>
  </si>
  <si>
    <t>麒麟夜刀出场2</t>
    <phoneticPr fontId="14" type="noConversion"/>
  </si>
  <si>
    <t>yato2_birth_02_start</t>
  </si>
  <si>
    <t>麒麟夜刀出场</t>
    <phoneticPr fontId="14" type="noConversion"/>
  </si>
  <si>
    <t>reed2_treat_01</t>
  </si>
  <si>
    <t>焰苇治疗</t>
    <phoneticPr fontId="14" type="noConversion"/>
  </si>
  <si>
    <t>reed2_skill_03_start_02</t>
  </si>
  <si>
    <t>焰苇3抬手2</t>
    <phoneticPr fontId="14" type="noConversion"/>
  </si>
  <si>
    <t>reed2_skill_03_start</t>
  </si>
  <si>
    <t>焰苇3抬手</t>
    <phoneticPr fontId="14" type="noConversion"/>
  </si>
  <si>
    <t>reed2_skill_03_hit</t>
  </si>
  <si>
    <t>焰苇3击中</t>
    <phoneticPr fontId="14" type="noConversion"/>
  </si>
  <si>
    <t>reed2_skill_03_buff_back_04</t>
  </si>
  <si>
    <t>焰苇3翅膀</t>
    <phoneticPr fontId="14" type="noConversion"/>
  </si>
  <si>
    <t>reed2_skill_03_buff_03</t>
  </si>
  <si>
    <t>焰苇3背景</t>
    <phoneticPr fontId="14" type="noConversion"/>
  </si>
  <si>
    <t>reed2_skill_03_buff_02</t>
  </si>
  <si>
    <t>焰苇3武器</t>
    <phoneticPr fontId="14" type="noConversion"/>
  </si>
  <si>
    <t>reed2_skill_03_buff_01</t>
  </si>
  <si>
    <t>焰苇3火苗</t>
    <phoneticPr fontId="14" type="noConversion"/>
  </si>
  <si>
    <t>reed2_debuff_boom_01</t>
  </si>
  <si>
    <t>焰苇3爆炸</t>
    <phoneticPr fontId="14" type="noConversion"/>
  </si>
  <si>
    <t>reed2_skill_02_fireball_hit</t>
  </si>
  <si>
    <t>焰苇2击中</t>
    <phoneticPr fontId="14" type="noConversion"/>
  </si>
  <si>
    <t>reed2_debuff_02</t>
    <phoneticPr fontId="14" type="noConversion"/>
  </si>
  <si>
    <t>焰苇增伤特效红色</t>
    <phoneticPr fontId="14" type="noConversion"/>
  </si>
  <si>
    <t>reed2_debuff_01</t>
  </si>
  <si>
    <t>焰苇增伤特效</t>
    <phoneticPr fontId="14" type="noConversion"/>
  </si>
  <si>
    <t>reed2_attack_start</t>
  </si>
  <si>
    <t>焰苇抬手</t>
    <phoneticPr fontId="14" type="noConversion"/>
  </si>
  <si>
    <t>reed2_attack_hit</t>
  </si>
  <si>
    <t>焰苇击中</t>
    <phoneticPr fontId="14" type="noConversion"/>
  </si>
  <si>
    <t>enemy_syevil_die_01</t>
  </si>
  <si>
    <t>主教复活特效</t>
    <phoneticPr fontId="14" type="noConversion"/>
  </si>
  <si>
    <t>enemy_syevil_attack_start_01</t>
  </si>
  <si>
    <t>主教抬手</t>
    <phoneticPr fontId="14" type="noConversion"/>
  </si>
  <si>
    <t>enemy_syevil_attack_hit_01</t>
  </si>
  <si>
    <t>主教击中</t>
    <phoneticPr fontId="14" type="noConversion"/>
  </si>
  <si>
    <t>enemy_syboys_die</t>
  </si>
  <si>
    <t>塑路者死亡</t>
    <phoneticPr fontId="14" type="noConversion"/>
  </si>
  <si>
    <t>enemy_syboys_skill_hit</t>
  </si>
  <si>
    <t>塑路者分形技能击中</t>
    <phoneticPr fontId="14" type="noConversion"/>
  </si>
  <si>
    <t>enemy_syboys_attack_hit</t>
  </si>
  <si>
    <t>塑路者分形击中</t>
    <phoneticPr fontId="14" type="noConversion"/>
  </si>
  <si>
    <t>enemy_syboy_skill_hit</t>
  </si>
  <si>
    <t>塑路者技能击中</t>
    <phoneticPr fontId="14" type="noConversion"/>
  </si>
  <si>
    <t>enemy_syboy_attack_hit</t>
  </si>
  <si>
    <t>塑路者击中</t>
    <phoneticPr fontId="14" type="noConversion"/>
  </si>
  <si>
    <t>chyue_skill_03_hit_03</t>
  </si>
  <si>
    <t>重岳3击中3</t>
    <phoneticPr fontId="14" type="noConversion"/>
  </si>
  <si>
    <t>chyue_skill_03_hit_02</t>
  </si>
  <si>
    <t>重岳3击中2</t>
    <phoneticPr fontId="14" type="noConversion"/>
  </si>
  <si>
    <t>chyue_skill_03_hit_01</t>
  </si>
  <si>
    <t>重岳3击中</t>
    <phoneticPr fontId="14" type="noConversion"/>
  </si>
  <si>
    <t>chyue_skill_03_buff</t>
  </si>
  <si>
    <t>重岳3特效</t>
    <phoneticPr fontId="14" type="noConversion"/>
  </si>
  <si>
    <t>chyue_attack_hit_01</t>
  </si>
  <si>
    <t>重岳击中</t>
    <phoneticPr fontId="14" type="noConversion"/>
  </si>
  <si>
    <t>qiubai_skill_03_start_01</t>
  </si>
  <si>
    <t>仇白3抬手</t>
    <phoneticPr fontId="14" type="noConversion"/>
  </si>
  <si>
    <t>qiubai_skill_03_hit_01</t>
  </si>
  <si>
    <t>仇白3击中</t>
    <phoneticPr fontId="14" type="noConversion"/>
  </si>
  <si>
    <t>qiubai_skill_03_buff_01</t>
  </si>
  <si>
    <t>仇白3特效</t>
    <phoneticPr fontId="14" type="noConversion"/>
  </si>
  <si>
    <t>qiubai_skill_02_start_01</t>
  </si>
  <si>
    <t>仇白2启动</t>
    <phoneticPr fontId="14" type="noConversion"/>
  </si>
  <si>
    <t>qiubai_skill_02_hit_01</t>
  </si>
  <si>
    <t>仇白2击中</t>
    <phoneticPr fontId="14" type="noConversion"/>
  </si>
  <si>
    <t>qiubai_attack_start_01</t>
  </si>
  <si>
    <t>仇白抬手</t>
    <phoneticPr fontId="14" type="noConversion"/>
  </si>
  <si>
    <t>qiubai_attack_hit_01</t>
  </si>
  <si>
    <t>仇白击中</t>
    <phoneticPr fontId="14" type="noConversion"/>
  </si>
  <si>
    <t>enemy_mdrock_skill_buff_01</t>
  </si>
  <si>
    <t>敌方泥岩护盾特效</t>
    <phoneticPr fontId="14" type="noConversion"/>
  </si>
  <si>
    <t>enemy_mdrock_skill_01_range</t>
  </si>
  <si>
    <t>敌方泥岩技能启动</t>
    <phoneticPr fontId="14" type="noConversion"/>
  </si>
  <si>
    <t>enemy_mdrock_buff_03_start_01</t>
  </si>
  <si>
    <t>敌方泥岩Buff</t>
    <phoneticPr fontId="14" type="noConversion"/>
  </si>
  <si>
    <t>enemy_mdrock_attack_03_hit_02</t>
  </si>
  <si>
    <t>敌方泥岩击中特效</t>
    <phoneticPr fontId="14" type="noConversion"/>
  </si>
  <si>
    <t>enemy_mdrock_attack_03_hit</t>
  </si>
  <si>
    <t>敌方泥岩击中2</t>
    <phoneticPr fontId="14" type="noConversion"/>
  </si>
  <si>
    <t>enemy_mdrock_attack_01_hit</t>
  </si>
  <si>
    <t>敌方泥岩击中</t>
    <phoneticPr fontId="14" type="noConversion"/>
  </si>
  <si>
    <t>0,0.5,1</t>
  </si>
  <si>
    <t>firwhl_skill02_attack_hit</t>
  </si>
  <si>
    <t>火哨技能击中</t>
    <phoneticPr fontId="14" type="noConversion"/>
  </si>
  <si>
    <t>firwhl_skill01_star</t>
  </si>
  <si>
    <t>火哨技能启动</t>
    <phoneticPr fontId="14" type="noConversion"/>
  </si>
  <si>
    <t>firwhl_attack_hit</t>
  </si>
  <si>
    <t>火哨普攻击中</t>
    <phoneticPr fontId="14" type="noConversion"/>
  </si>
  <si>
    <t>firwhl_attack_star</t>
  </si>
  <si>
    <t>火哨普攻启动</t>
    <phoneticPr fontId="14" type="noConversion"/>
  </si>
  <si>
    <t>爱国者远程Buff</t>
    <phoneticPr fontId="14" type="noConversion"/>
  </si>
  <si>
    <t>爱国者近战Buff</t>
    <phoneticPr fontId="14" type="noConversion"/>
  </si>
  <si>
    <t>爱国者远程抬手2</t>
    <phoneticPr fontId="14" type="noConversion"/>
  </si>
  <si>
    <t>爱国者远程抬手1</t>
    <phoneticPr fontId="14" type="noConversion"/>
  </si>
  <si>
    <t>爱国者远程击中</t>
    <phoneticPr fontId="14" type="noConversion"/>
  </si>
  <si>
    <t>爱国者普攻抬手</t>
    <phoneticPr fontId="14" type="noConversion"/>
  </si>
  <si>
    <t>爱国者普攻击中</t>
    <phoneticPr fontId="14" type="noConversion"/>
  </si>
  <si>
    <t>enemy_nhnrs_skill_01_start</t>
  </si>
  <si>
    <t>枯朽术士技能启动</t>
  </si>
  <si>
    <t>enemy_nhnrs_skill_01_buff</t>
  </si>
  <si>
    <t>枯朽术士治疗</t>
  </si>
  <si>
    <t>enemy_nhnrs_attack_hit</t>
  </si>
  <si>
    <t>枯朽术士击中</t>
    <phoneticPr fontId="14" type="noConversion"/>
  </si>
  <si>
    <t>enemy_nhfly_attack_hit</t>
  </si>
  <si>
    <t>枯朽之种击中</t>
  </si>
  <si>
    <t>enemy_nhkodo_attack_02_hit</t>
  </si>
  <si>
    <t>吞噬者击中</t>
  </si>
  <si>
    <t>enemy_nhkodo_attack_02_start</t>
  </si>
  <si>
    <t>吞噬者攻击2</t>
  </si>
  <si>
    <t>enemy_nhkodo_attack_01_start</t>
  </si>
  <si>
    <t>吞噬者吞人</t>
  </si>
  <si>
    <t>enemy_nhstlk_attack_hit_01</t>
  </si>
  <si>
    <t>逐腐兽击中</t>
  </si>
  <si>
    <t>0,0.3,0.1</t>
  </si>
  <si>
    <t>enemy_nhstlk_attack_buff_01</t>
  </si>
  <si>
    <t>逐腐兽中毒</t>
  </si>
  <si>
    <t>enemy_nhpbr_attack_hit</t>
  </si>
  <si>
    <t>枯朽战士击中</t>
  </si>
  <si>
    <t>stmkgt_skill_02_range_01</t>
  </si>
  <si>
    <t>蒸汽骑士导弹射程</t>
    <phoneticPr fontId="14" type="noConversion"/>
  </si>
  <si>
    <t>stmkgt_skill_02_marker_01</t>
  </si>
  <si>
    <t>蒸汽骑士锁定</t>
  </si>
  <si>
    <t>stmkgt_skill_02_hit_02</t>
  </si>
  <si>
    <t>蒸汽骑士导弹击中2</t>
  </si>
  <si>
    <t>stmkgt_skill_02_hit_01</t>
  </si>
  <si>
    <t>蒸汽骑士导弹击中</t>
  </si>
  <si>
    <t>stmkgt_skill_02_end_01</t>
  </si>
  <si>
    <t>蒸汽骑士降落</t>
  </si>
  <si>
    <t>stmkgt_skill_02_begin_02</t>
  </si>
  <si>
    <t>蒸汽骑士升空2</t>
  </si>
  <si>
    <t>stmkgt_skill_02_begin_01</t>
  </si>
  <si>
    <t>蒸汽骑士升空1</t>
    <phoneticPr fontId="14" type="noConversion"/>
  </si>
  <si>
    <t>stmkgt_skill_01_hit_01</t>
  </si>
  <si>
    <t>蒸汽骑士蓄力击中</t>
  </si>
  <si>
    <t>stmkgt_shield_01</t>
  </si>
  <si>
    <t>蒸汽骑士护盾</t>
  </si>
  <si>
    <t>stmkgt_presure_buff_01</t>
  </si>
  <si>
    <t>蒸汽骑士增压</t>
  </si>
  <si>
    <t>stmkgt_blocker_01</t>
  </si>
  <si>
    <t>蒸汽骑士封锁</t>
  </si>
  <si>
    <t>stmkgt_attack_hit_01</t>
  </si>
  <si>
    <t>蒸汽骑士击中</t>
  </si>
  <si>
    <t>enemy_stmgun_skill_range_01</t>
  </si>
  <si>
    <t>自走炮技能射程</t>
  </si>
  <si>
    <t>enemy_stmgun_skill_start_01</t>
  </si>
  <si>
    <t>自走炮技能启动</t>
  </si>
  <si>
    <t>enemy_stmgun_skill_hit</t>
  </si>
  <si>
    <t>自走炮技能击中</t>
  </si>
  <si>
    <t>enemy_stmgun_attack_start_01</t>
  </si>
  <si>
    <t>自走炮攻击启动</t>
  </si>
  <si>
    <t>enemy_stmgun_attack_hit</t>
  </si>
  <si>
    <t>自走炮攻击击中</t>
  </si>
  <si>
    <t>enemy_stmram_attack_hit_01</t>
  </si>
  <si>
    <t>蒸汽战车击中</t>
  </si>
  <si>
    <t>enemy_nhapos_attack_range</t>
  </si>
  <si>
    <t>污染秽蚀光环</t>
  </si>
  <si>
    <t>enemy_bomscr_die_start</t>
  </si>
  <si>
    <t>自爆启动</t>
  </si>
  <si>
    <t>enemy_ymmons_skill_02_range_hit</t>
  </si>
  <si>
    <t>睚二技能击中</t>
  </si>
  <si>
    <t>enemy_ymmons_skill_02_range02</t>
  </si>
  <si>
    <t>睚二技能射程</t>
  </si>
  <si>
    <t>enemy_ymmons_skill_02_call_01</t>
  </si>
  <si>
    <t>睚二技能启动</t>
  </si>
  <si>
    <t>enemy_ymmons_skill_02_buff_01</t>
  </si>
  <si>
    <t>睚二技能光环</t>
  </si>
  <si>
    <t>enemy_ymmons_skill_02_blood</t>
  </si>
  <si>
    <t>睚二技能血光</t>
  </si>
  <si>
    <t>enemy_ymmons_skill_02_attack_start</t>
  </si>
  <si>
    <t>睚二技能抬手</t>
  </si>
  <si>
    <t>enemy_ymmons_skill_02_attack_hit</t>
  </si>
  <si>
    <t>睚二形态击中</t>
  </si>
  <si>
    <t>enemy_ymmons_skill_01_move</t>
  </si>
  <si>
    <t>睚一技能分身移动</t>
  </si>
  <si>
    <t>enemy_ymmons_skill_01_call</t>
  </si>
  <si>
    <t>睚一技能启动</t>
  </si>
  <si>
    <t>enemy_ymmons_skill_01_attack_hit</t>
  </si>
  <si>
    <t>睚一形态击中</t>
  </si>
  <si>
    <t>enemy_ymmons_skill_02_die</t>
  </si>
  <si>
    <t>睚死亡特效</t>
  </si>
  <si>
    <t>enemy_ymmons_die_end</t>
  </si>
  <si>
    <t>睚复活结束</t>
  </si>
  <si>
    <t>enemy_ymmons_die_loop</t>
  </si>
  <si>
    <t>睚复活特效</t>
  </si>
  <si>
    <t>enemy_ymmons_enemy_birth</t>
  </si>
  <si>
    <t>无念之冬技能</t>
  </si>
  <si>
    <t>enemy_ymmons_ground_start</t>
  </si>
  <si>
    <t>无念之冬启动</t>
  </si>
  <si>
    <t>enemy_dsuply_buff_01</t>
  </si>
  <si>
    <t>强化光环</t>
  </si>
  <si>
    <t>F_Tail16</t>
  </si>
  <si>
    <t>sddrag_buff_01_start</t>
    <phoneticPr fontId="14" type="noConversion"/>
  </si>
  <si>
    <t>苇草火焰</t>
  </si>
  <si>
    <t>0,0.3,0.2</t>
  </si>
  <si>
    <t>enemy_lyacpa_attack_hit</t>
  </si>
  <si>
    <t>远程机甲击中</t>
  </si>
  <si>
    <t>enemy_lyacpa_attack_buff_03</t>
  </si>
  <si>
    <t>远程机甲Buff</t>
    <phoneticPr fontId="14" type="noConversion"/>
  </si>
  <si>
    <t>gnosis_skill_03_end_2</t>
    <phoneticPr fontId="14" type="noConversion"/>
  </si>
  <si>
    <t>灵知3爆发2</t>
    <phoneticPr fontId="14" type="noConversion"/>
  </si>
  <si>
    <t>灵知3爆发</t>
    <phoneticPr fontId="14" type="noConversion"/>
  </si>
  <si>
    <t>gnosis_skill_03_buff_01</t>
  </si>
  <si>
    <t>灵知3Buff</t>
  </si>
  <si>
    <t>gnosis_skill_02_range_01</t>
  </si>
  <si>
    <t>灵知2射程</t>
  </si>
  <si>
    <t>gnosis_skill_01_hit</t>
  </si>
  <si>
    <t>灵知技能击中</t>
  </si>
  <si>
    <t>gnosis_attack_hit</t>
  </si>
  <si>
    <t>灵知击中</t>
  </si>
  <si>
    <t>enemy_minima_lockon</t>
  </si>
  <si>
    <t>目标锁定</t>
  </si>
  <si>
    <t>enemy_bsnake_skill_03_trail_hit</t>
  </si>
  <si>
    <t>黑蛇技能击中</t>
  </si>
  <si>
    <t>enemy_bsnake_reborn_01_trail_hit_01</t>
  </si>
  <si>
    <t>黑蛇复活火球击中</t>
  </si>
  <si>
    <t>enemy_duswrd_attack_hit</t>
  </si>
  <si>
    <t>深池护卫击中</t>
    <phoneticPr fontId="14" type="noConversion"/>
  </si>
  <si>
    <t>enemy_duskls_weapon_buff</t>
  </si>
  <si>
    <t>逐火战士Buff</t>
  </si>
  <si>
    <t>enemy_duskld_attack_hit</t>
  </si>
  <si>
    <t>逐火战士击中</t>
  </si>
  <si>
    <t>enemy_dushdo_2_buff_03</t>
  </si>
  <si>
    <t>深池紫色护盾2</t>
  </si>
  <si>
    <t>enemy_dushdo_2_buff_02</t>
  </si>
  <si>
    <t>深池影刃眼睛</t>
  </si>
  <si>
    <t>enemy_dushdo_2_buff_01</t>
  </si>
  <si>
    <t>深池紫色护盾</t>
  </si>
  <si>
    <t>F_L_Hand_A_b</t>
  </si>
  <si>
    <t>enemy_dubmb_skill_start_01</t>
  </si>
  <si>
    <t>深池弩炮技能抬手</t>
  </si>
  <si>
    <t>enemy_dubmb_skill_hit_02</t>
  </si>
  <si>
    <t>深池弩炮技能击中</t>
  </si>
  <si>
    <t>enemy_dubmb_attack_start_01</t>
  </si>
  <si>
    <t>深池弩炮抬手</t>
  </si>
  <si>
    <t>enemy_dubmb_attack_hit_01</t>
  </si>
  <si>
    <t>深池弩炮击中</t>
  </si>
  <si>
    <t>enemy_1291_dusrch_hit_01</t>
  </si>
  <si>
    <t>沼泽车击中</t>
  </si>
  <si>
    <t>enemy_1291_dusrch_buff_01</t>
  </si>
  <si>
    <t>沼泽车扫描</t>
  </si>
  <si>
    <t>enemy_1291_dusrch_attack_start</t>
  </si>
  <si>
    <t>沼泽车抬手</t>
  </si>
  <si>
    <t>enemy_1291_dusrch_attack_01</t>
  </si>
  <si>
    <t>沼泽车攻击</t>
  </si>
  <si>
    <t>enemy_1290_duflm_die_start</t>
  </si>
  <si>
    <t>引火者自爆启动</t>
  </si>
  <si>
    <t>enemy_1290_duflm_die_hit_01</t>
  </si>
  <si>
    <t>引火者自爆击中</t>
  </si>
  <si>
    <t>enemy_1290_duflm_die_01</t>
  </si>
  <si>
    <t>引火者自爆</t>
  </si>
  <si>
    <t>enemy_1290_duflm_attack_start</t>
  </si>
  <si>
    <t>引火者抬手</t>
  </si>
  <si>
    <t>enemy_1290_duflm_attack_hit_01</t>
  </si>
  <si>
    <t>引火者击中</t>
  </si>
  <si>
    <t>enemy_1290_duflm_attack_01</t>
  </si>
  <si>
    <t>引火者攻击</t>
  </si>
  <si>
    <t>enemy_1287_ducrb_hit_01</t>
  </si>
  <si>
    <t>沼泽钳兽击中</t>
  </si>
  <si>
    <t>0,0.8,0</t>
  </si>
  <si>
    <t>enemy_1287_ducrb_buff_01</t>
  </si>
  <si>
    <t>钳兽加速Buff</t>
    <phoneticPr fontId="14" type="noConversion"/>
  </si>
  <si>
    <t>enemy_1287_ducrb_attack_01</t>
  </si>
  <si>
    <t>沼泽钳兽攻击</t>
  </si>
  <si>
    <t>enemy_ncrmcr_skill_03_start_finger_02</t>
  </si>
  <si>
    <t>苇草姐三技能手指2</t>
  </si>
  <si>
    <t>enemy_ncrmcr_skill_03_start_finger_01</t>
  </si>
  <si>
    <t>苇草姐三技能手指1</t>
  </si>
  <si>
    <t>enemy_ncrmcr_skill_03_start_01</t>
  </si>
  <si>
    <t>苇草姐三技能抬手</t>
  </si>
  <si>
    <t>enemy_ncrmcr_skill_03_range_out_01</t>
  </si>
  <si>
    <t>苇草姐三技能扩散</t>
  </si>
  <si>
    <t>enemy_ncrmcr_skill_02_start_01</t>
  </si>
  <si>
    <t>苇草姐二技能抬手</t>
  </si>
  <si>
    <t>enemy_ncrmcr_skill_01_start_01</t>
  </si>
  <si>
    <t>苇草姐一技能抬手</t>
  </si>
  <si>
    <t>enemy_ncrmcr_skill_01_range_01</t>
  </si>
  <si>
    <t>苇草姐一技能射程</t>
  </si>
  <si>
    <t>enemy_ncrmcr_skill_01_hit_01</t>
  </si>
  <si>
    <t>苇草姐一技能击中</t>
  </si>
  <si>
    <t>enemy_ncrmcr_skill_01_buff_01</t>
  </si>
  <si>
    <t>苇草姐缴械</t>
  </si>
  <si>
    <t>enemy_ncrmcr_reborn_03</t>
  </si>
  <si>
    <t>苇草姐复活汇聚</t>
  </si>
  <si>
    <t>enemy_ncrmcr_reborn_02_2</t>
    <phoneticPr fontId="14" type="noConversion"/>
  </si>
  <si>
    <t>苇草姐复活光柱2</t>
    <phoneticPr fontId="14" type="noConversion"/>
  </si>
  <si>
    <t>enemy_ncrmcr_reborn_02</t>
  </si>
  <si>
    <t>苇草姐复活光柱</t>
    <phoneticPr fontId="14" type="noConversion"/>
  </si>
  <si>
    <t>enemy_ncrmcr_reborn_01</t>
  </si>
  <si>
    <t>苇草姐复活地面</t>
  </si>
  <si>
    <t>enemy_ncrmcr_buff_01</t>
  </si>
  <si>
    <t>深池复活Buff</t>
  </si>
  <si>
    <t>enemy_ncrmcr_attack_start_02_01</t>
  </si>
  <si>
    <t>苇草姐抬手3</t>
  </si>
  <si>
    <t>苇草姐抬手2</t>
  </si>
  <si>
    <t>enemy_ncrmcr_attack_start_01</t>
  </si>
  <si>
    <t>苇草姐抬手1</t>
  </si>
  <si>
    <t>enemy_ncrmcr_attack_hit_02_02</t>
  </si>
  <si>
    <t>苇草姐击中3</t>
  </si>
  <si>
    <t>enemy_ncrmcr_attack_hit_02_01</t>
  </si>
  <si>
    <t>苇草姐击中2</t>
  </si>
  <si>
    <t>enemy_ncrmcr_attack_hit_01</t>
  </si>
  <si>
    <t>苇草姐击中11</t>
  </si>
  <si>
    <t>苇草姐击中1</t>
    <phoneticPr fontId="14" type="noConversion"/>
  </si>
  <si>
    <t>炮弹击中</t>
  </si>
  <si>
    <t>玉门炮弹击中</t>
  </si>
  <si>
    <t>enemy_ltswar_skill_loop_2</t>
  </si>
  <si>
    <t>音乐环绕</t>
    <phoneticPr fontId="14" type="noConversion"/>
  </si>
  <si>
    <t>0.7,0,0</t>
  </si>
  <si>
    <t>enemy_ltswar_skill_loop_1</t>
  </si>
  <si>
    <t>萨克斯吹奏</t>
  </si>
  <si>
    <t>enemy_ltswar_skill_hit</t>
  </si>
  <si>
    <t>萨克斯技能击中</t>
  </si>
  <si>
    <t>enemy_ltswar_skill_end</t>
  </si>
  <si>
    <t>萨克斯技能发射</t>
  </si>
  <si>
    <t>enemy_ltswar_attack_hit</t>
  </si>
  <si>
    <t>萨克斯击中</t>
    <phoneticPr fontId="14" type="noConversion"/>
  </si>
  <si>
    <t>enemy_ltswar_attack_hit2</t>
  </si>
  <si>
    <t>斥罪击中</t>
  </si>
  <si>
    <t>芦苇</t>
  </si>
  <si>
    <t>芦苇燃烧</t>
  </si>
  <si>
    <t>地火启动</t>
  </si>
  <si>
    <t>map_duoren_du_buff_02</t>
  </si>
  <si>
    <t>联机毒Buff</t>
  </si>
  <si>
    <t>map_duoren_du_buff_01</t>
  </si>
  <si>
    <t>联机毒地板</t>
  </si>
  <si>
    <t>map_adaile_hudun_02</t>
  </si>
  <si>
    <t>阿黛勒护盾启动</t>
  </si>
  <si>
    <t>map_adaile_hudun_01</t>
    <phoneticPr fontId="14" type="noConversion"/>
  </si>
  <si>
    <t>阿黛勒护盾</t>
  </si>
  <si>
    <t>buff_magic_resistance_down</t>
    <phoneticPr fontId="14" type="noConversion"/>
  </si>
  <si>
    <t>法术抗性降低</t>
    <phoneticPr fontId="14" type="noConversion"/>
  </si>
  <si>
    <t>导弹命中</t>
  </si>
  <si>
    <t>导弹车命中</t>
  </si>
  <si>
    <t>紫色护盾</t>
  </si>
  <si>
    <t>黄色护盾</t>
  </si>
  <si>
    <t>白色护盾</t>
  </si>
  <si>
    <t>hirman_attack_01_buff</t>
  </si>
  <si>
    <t>碎岩Buff</t>
    <phoneticPr fontId="14" type="noConversion"/>
  </si>
  <si>
    <t>enemy_redman_buff_02</t>
  </si>
  <si>
    <t>红标弓箭Buff</t>
  </si>
  <si>
    <t>enemy_redman_buff_01</t>
  </si>
  <si>
    <t>红标沙尘Buff</t>
  </si>
  <si>
    <t>enemy_redman_attack_02_hit</t>
  </si>
  <si>
    <t>红标弓箭击中</t>
  </si>
  <si>
    <t>enemy_redman_attack_02_start_01</t>
  </si>
  <si>
    <t>红标弓箭抬手</t>
  </si>
  <si>
    <t>enemy_redman_attack_02_buff</t>
  </si>
  <si>
    <t>红标瞄准</t>
  </si>
  <si>
    <t>enemy_redman_attack_01_hit</t>
  </si>
  <si>
    <t>红标攻击击中</t>
    <phoneticPr fontId="14" type="noConversion"/>
  </si>
  <si>
    <t>enemy_redman_attack_01_start_01</t>
  </si>
  <si>
    <t>红标攻击抬手</t>
  </si>
  <si>
    <t>移速增加buff</t>
  </si>
  <si>
    <t>墓碑buff</t>
  </si>
  <si>
    <t>-0.3,1.1,0</t>
  </si>
  <si>
    <t>曼弗雷德buff2</t>
  </si>
  <si>
    <t>C_R_Hand_C</t>
  </si>
  <si>
    <t>曼弗雷德buff</t>
  </si>
  <si>
    <t>buff_debuffaura</t>
  </si>
  <si>
    <t>黑色闪避光环</t>
  </si>
  <si>
    <t>浮游炮抬手</t>
  </si>
  <si>
    <t>0,-0.2,0</t>
  </si>
  <si>
    <t>刀就绪</t>
  </si>
  <si>
    <t>F_Shield</t>
  </si>
  <si>
    <t>0.118,0,0.241</t>
  </si>
  <si>
    <t>方阵强化</t>
  </si>
  <si>
    <t>0,0.24,0</t>
  </si>
  <si>
    <t>石之盾</t>
  </si>
  <si>
    <t>C_L_Hand_01</t>
  </si>
  <si>
    <t>火焰施法聚集</t>
  </si>
  <si>
    <t>净浊之焰2</t>
  </si>
  <si>
    <t>0,0.6,0</t>
  </si>
  <si>
    <t>敌方天使光环</t>
  </si>
  <si>
    <t>vigna_skill_02_buff_02</t>
  </si>
  <si>
    <t>攻速buff</t>
  </si>
  <si>
    <t>F_R_Gun_A</t>
  </si>
  <si>
    <t>安多恩强力击抬手</t>
  </si>
  <si>
    <t>安多恩抬手</t>
  </si>
  <si>
    <t>大主教1启动</t>
    <phoneticPr fontId="14" type="noConversion"/>
  </si>
  <si>
    <t>mousek_skill_02_buff</t>
  </si>
  <si>
    <t>鼠王蓝色标记</t>
    <phoneticPr fontId="14" type="noConversion"/>
  </si>
  <si>
    <t>mousek_skill_01_buff</t>
  </si>
  <si>
    <t>鼠王红色标记</t>
    <phoneticPr fontId="14" type="noConversion"/>
  </si>
  <si>
    <t>mousek_attack_01_hit</t>
  </si>
  <si>
    <t>鼠王击中</t>
    <phoneticPr fontId="14" type="noConversion"/>
  </si>
  <si>
    <t>mlynar_skill_02_hit_01</t>
  </si>
  <si>
    <t>海沫2击中</t>
  </si>
  <si>
    <t>highmo_skill_02_buff_01</t>
  </si>
  <si>
    <t>海沫2Buff</t>
  </si>
  <si>
    <t>highmo_attack_range_01</t>
  </si>
  <si>
    <t>海沫2启动</t>
  </si>
  <si>
    <t>highmo_skill_01_hit_01</t>
  </si>
  <si>
    <t>海沫1击中</t>
  </si>
  <si>
    <t>highmo_recover_01</t>
  </si>
  <si>
    <t>海沫恢复</t>
  </si>
  <si>
    <t>highmo_attack_hit_01</t>
  </si>
  <si>
    <t>海沫击中</t>
  </si>
  <si>
    <t>mlynar_skill_03_hit_01</t>
  </si>
  <si>
    <t>玛恩纳3击中</t>
  </si>
  <si>
    <t>mlynar_skill_03_start_01</t>
  </si>
  <si>
    <t>玛恩纳3抬手2</t>
    <phoneticPr fontId="14" type="noConversion"/>
  </si>
  <si>
    <t>玛恩纳3抬手</t>
  </si>
  <si>
    <t>mlynar_skill_03_range_01</t>
  </si>
  <si>
    <t>玛恩纳3启动</t>
  </si>
  <si>
    <t>mlynar_skill_03_buff_03</t>
  </si>
  <si>
    <t>玛恩纳3范围</t>
  </si>
  <si>
    <t>mlynar_skill_01_buff_01</t>
  </si>
  <si>
    <t>玛恩纳1Buff</t>
  </si>
  <si>
    <t>mlynar_skill_01_hit_01</t>
  </si>
  <si>
    <t>玛恩纳命中</t>
  </si>
  <si>
    <t>mlynar_attack_01_hit_01</t>
  </si>
  <si>
    <t>玛恩纳反击命中</t>
    <phoneticPr fontId="14" type="noConversion"/>
  </si>
  <si>
    <t>ghost2_skill_02_buff_01</t>
  </si>
  <si>
    <t>归鲨2游鱼</t>
    <phoneticPr fontId="14" type="noConversion"/>
  </si>
  <si>
    <t>ghost2_beidong_buff_02</t>
  </si>
  <si>
    <t>归鲨被动水泡</t>
  </si>
  <si>
    <t>ghost2_beidong_buff_01</t>
  </si>
  <si>
    <t>归鲨替身启动</t>
  </si>
  <si>
    <t>chen2_skill_03_hit_01</t>
  </si>
  <si>
    <t>水陈3击中</t>
  </si>
  <si>
    <t>chen2_skill_03_range_01</t>
  </si>
  <si>
    <t>水陈3范围</t>
    <phoneticPr fontId="14" type="noConversion"/>
  </si>
  <si>
    <t>chen2_skill_03_buff_01</t>
  </si>
  <si>
    <t>水陈3加成</t>
    <phoneticPr fontId="14" type="noConversion"/>
  </si>
  <si>
    <t>judge_skill_03_buff_01</t>
  </si>
  <si>
    <t>斥罪3Buff</t>
  </si>
  <si>
    <t>cello_skill_03_range</t>
    <phoneticPr fontId="14" type="noConversion"/>
  </si>
  <si>
    <t>塑心3范围</t>
    <phoneticPr fontId="14" type="noConversion"/>
  </si>
  <si>
    <t>lisa_skill_03_range</t>
  </si>
  <si>
    <t>铃兰3范围</t>
  </si>
  <si>
    <t>lisa_skill_03_buff_02</t>
  </si>
  <si>
    <t>铃兰3尾巴</t>
  </si>
  <si>
    <t>F_Weapon_a</t>
  </si>
  <si>
    <t>lisa_skill_03_buff</t>
  </si>
  <si>
    <t>铃兰3Buff</t>
  </si>
  <si>
    <t>lisa_attack_01_start</t>
  </si>
  <si>
    <t>铃兰抬手</t>
  </si>
  <si>
    <t>lisa_attack_01_hit</t>
  </si>
  <si>
    <t>铃兰击中</t>
  </si>
  <si>
    <t>0,-0.6,0</t>
  </si>
  <si>
    <t>演奏抬手</t>
  </si>
  <si>
    <t>0,-0.6,0</t>
    <phoneticPr fontId="14" type="noConversion"/>
  </si>
  <si>
    <t>moeshd_attack_01_start_04</t>
    <phoneticPr fontId="14" type="noConversion"/>
  </si>
  <si>
    <t>可颂抬手4</t>
    <phoneticPr fontId="14" type="noConversion"/>
  </si>
  <si>
    <t>moeshd_attack_01_start_03</t>
    <phoneticPr fontId="14" type="noConversion"/>
  </si>
  <si>
    <t>可颂抬手3</t>
    <phoneticPr fontId="14" type="noConversion"/>
  </si>
  <si>
    <t>moeshd_attack_01_start_02</t>
    <phoneticPr fontId="14" type="noConversion"/>
  </si>
  <si>
    <t>可颂抬手2</t>
    <phoneticPr fontId="14" type="noConversion"/>
  </si>
  <si>
    <t>可颂抬手</t>
    <phoneticPr fontId="14" type="noConversion"/>
  </si>
  <si>
    <t>陨星2击中</t>
    <phoneticPr fontId="14" type="noConversion"/>
  </si>
  <si>
    <t>ccheal_skill_01_buff_02</t>
    <phoneticPr fontId="14" type="noConversion"/>
  </si>
  <si>
    <t>嘉维尔buff红色</t>
    <phoneticPr fontId="14" type="noConversion"/>
  </si>
  <si>
    <r>
      <rPr>
        <sz val="11"/>
        <color theme="1"/>
        <rFont val="宋体"/>
        <family val="3"/>
        <charset val="134"/>
        <scheme val="minor"/>
      </rPr>
      <t>0,</t>
    </r>
    <r>
      <rPr>
        <sz val="11"/>
        <color theme="1"/>
        <rFont val="宋体"/>
        <family val="3"/>
        <charset val="134"/>
        <scheme val="minor"/>
      </rPr>
      <t>0.5</t>
    </r>
    <r>
      <rPr>
        <sz val="11"/>
        <color theme="1"/>
        <rFont val="宋体"/>
        <family val="3"/>
        <charset val="134"/>
        <scheme val="minor"/>
      </rPr>
      <t>,0</t>
    </r>
  </si>
  <si>
    <t>嘉维尔buff2</t>
  </si>
  <si>
    <t>嘉维尔buff</t>
    <phoneticPr fontId="14" type="noConversion"/>
  </si>
  <si>
    <t>塞雷娅2启动2</t>
    <phoneticPr fontId="14" type="noConversion"/>
  </si>
  <si>
    <t>夜莺3特效</t>
    <phoneticPr fontId="14" type="noConversion"/>
  </si>
  <si>
    <t>夜莺普攻击中</t>
    <phoneticPr fontId="14" type="noConversion"/>
  </si>
  <si>
    <t>羊2击中</t>
    <phoneticPr fontId="14" type="noConversion"/>
  </si>
  <si>
    <t>羊普攻击中</t>
    <phoneticPr fontId="14" type="noConversion"/>
  </si>
  <si>
    <t>F_Muzzle</t>
  </si>
  <si>
    <t>ifrit_attack_01_start_02</t>
    <phoneticPr fontId="14" type="noConversion"/>
  </si>
  <si>
    <t>小火龙抬手2</t>
    <phoneticPr fontId="14" type="noConversion"/>
  </si>
  <si>
    <t>thorns_skill_03_buff_02_02</t>
    <phoneticPr fontId="14" type="noConversion"/>
  </si>
  <si>
    <t>棘刺3buff2</t>
    <phoneticPr fontId="14" type="noConversion"/>
  </si>
  <si>
    <t>棘刺2Buff</t>
    <phoneticPr fontId="14" type="noConversion"/>
  </si>
  <si>
    <t>凯尔希击中</t>
    <phoneticPr fontId="14" type="noConversion"/>
  </si>
  <si>
    <t>svrash_skill_02_buff</t>
    <phoneticPr fontId="14" type="noConversion"/>
  </si>
  <si>
    <t>空爆击中</t>
    <phoneticPr fontId="14" type="noConversion"/>
  </si>
  <si>
    <t>克洛斯启动技能</t>
    <phoneticPr fontId="14" type="noConversion"/>
  </si>
  <si>
    <t>enemy_ncrmcr_immortal_01</t>
  </si>
  <si>
    <t>紫色无敌</t>
  </si>
  <si>
    <r>
      <rPr>
        <sz val="11"/>
        <color theme="1"/>
        <rFont val="宋体"/>
        <family val="3"/>
        <charset val="134"/>
        <scheme val="minor"/>
      </rPr>
      <t>0,0.2</t>
    </r>
    <r>
      <rPr>
        <sz val="11"/>
        <color theme="1"/>
        <rFont val="宋体"/>
        <family val="3"/>
        <charset val="134"/>
        <scheme val="minor"/>
      </rPr>
      <t>,0</t>
    </r>
  </si>
  <si>
    <t>enemy_physic_rangeattack_02</t>
    <phoneticPr fontId="14" type="noConversion"/>
  </si>
  <si>
    <t>物理范围击中2</t>
    <phoneticPr fontId="14" type="noConversion"/>
  </si>
  <si>
    <t>enemy_physic_rangeattack_01</t>
    <phoneticPr fontId="14" type="noConversion"/>
  </si>
  <si>
    <t>物理范围击中</t>
    <phoneticPr fontId="14" type="noConversion"/>
  </si>
  <si>
    <t>治疗击中</t>
    <phoneticPr fontId="14" type="noConversion"/>
  </si>
  <si>
    <t>buff_weak_2</t>
    <phoneticPr fontId="14" type="noConversion"/>
  </si>
  <si>
    <t>干员缴械</t>
    <phoneticPr fontId="14" type="noConversion"/>
  </si>
  <si>
    <t>enemy_rangeattack_splash_elect</t>
    <phoneticPr fontId="14" type="noConversion"/>
  </si>
  <si>
    <t>敌人减速溅射</t>
    <phoneticPr fontId="14" type="noConversion"/>
  </si>
  <si>
    <t>enemy_rangeattack_splash_ice</t>
  </si>
  <si>
    <t>敌人冰环溅射</t>
    <phoneticPr fontId="14" type="noConversion"/>
  </si>
  <si>
    <t>enemy_rangeattack_splash</t>
    <phoneticPr fontId="14" type="noConversion"/>
  </si>
  <si>
    <t>敌人红色溅射</t>
    <phoneticPr fontId="14" type="noConversion"/>
  </si>
  <si>
    <t>normal_aura_fast_red</t>
    <phoneticPr fontId="14" type="noConversion"/>
  </si>
  <si>
    <t>通用红色底部光环</t>
    <phoneticPr fontId="14" type="noConversion"/>
  </si>
  <si>
    <t>buff_debuffaura2</t>
  </si>
  <si>
    <t>红色debuff光环</t>
    <phoneticPr fontId="14" type="noConversion"/>
  </si>
  <si>
    <t>黑色debuff光环2</t>
  </si>
  <si>
    <t>黑色debuff光环</t>
  </si>
  <si>
    <r>
      <rPr>
        <sz val="11"/>
        <color theme="1"/>
        <rFont val="宋体"/>
        <family val="3"/>
        <charset val="134"/>
        <scheme val="minor"/>
      </rPr>
      <t>0,0.4</t>
    </r>
    <r>
      <rPr>
        <sz val="11"/>
        <color theme="1"/>
        <rFont val="宋体"/>
        <family val="3"/>
        <charset val="134"/>
        <scheme val="minor"/>
      </rPr>
      <t>,0</t>
    </r>
  </si>
  <si>
    <t>buff_fragile_02_up</t>
    <phoneticPr fontId="14" type="noConversion"/>
  </si>
  <si>
    <t>红色脆弱朝上</t>
    <phoneticPr fontId="14" type="noConversion"/>
  </si>
  <si>
    <t>buff_fragile_01_up</t>
    <phoneticPr fontId="14" type="noConversion"/>
  </si>
  <si>
    <t>蓝色脆弱朝上</t>
    <phoneticPr fontId="14" type="noConversion"/>
  </si>
  <si>
    <t>buff_fragile_02</t>
  </si>
  <si>
    <t>红色脆弱</t>
  </si>
  <si>
    <t>buff_fragile_01</t>
  </si>
  <si>
    <t>蓝色脆弱</t>
  </si>
  <si>
    <t>蓝色狂暴</t>
    <phoneticPr fontId="14" type="noConversion"/>
  </si>
  <si>
    <r>
      <rPr>
        <sz val="11"/>
        <color theme="1"/>
        <rFont val="宋体"/>
        <family val="3"/>
        <charset val="134"/>
        <scheme val="minor"/>
      </rPr>
      <t>buff_violent</t>
    </r>
    <r>
      <rPr>
        <sz val="11"/>
        <color theme="1"/>
        <rFont val="宋体"/>
        <family val="3"/>
        <charset val="134"/>
        <scheme val="minor"/>
      </rPr>
      <t>_3</t>
    </r>
    <phoneticPr fontId="14" type="noConversion"/>
  </si>
  <si>
    <t>黄色狂暴</t>
    <phoneticPr fontId="14" type="noConversion"/>
  </si>
  <si>
    <r>
      <rPr>
        <sz val="11"/>
        <color theme="1"/>
        <rFont val="宋体"/>
        <family val="3"/>
        <charset val="134"/>
        <scheme val="minor"/>
      </rPr>
      <t>buff</t>
    </r>
    <r>
      <rPr>
        <sz val="11"/>
        <color theme="1"/>
        <rFont val="宋体"/>
        <family val="3"/>
        <charset val="134"/>
        <scheme val="minor"/>
      </rPr>
      <t>_violent</t>
    </r>
  </si>
  <si>
    <t>狂暴</t>
  </si>
  <si>
    <r>
      <rPr>
        <sz val="11"/>
        <color theme="1"/>
        <rFont val="宋体"/>
        <family val="3"/>
        <charset val="134"/>
        <scheme val="minor"/>
      </rPr>
      <t>0.1,1</t>
    </r>
    <r>
      <rPr>
        <sz val="11"/>
        <color theme="1"/>
        <rFont val="宋体"/>
        <family val="3"/>
        <charset val="134"/>
        <scheme val="minor"/>
      </rPr>
      <t>,0.7</t>
    </r>
  </si>
  <si>
    <t>buff_weak</t>
    <phoneticPr fontId="14" type="noConversion"/>
  </si>
  <si>
    <t>buff_sluggish_02</t>
    <phoneticPr fontId="14" type="noConversion"/>
  </si>
  <si>
    <t>麻痹红色</t>
    <phoneticPr fontId="14" type="noConversion"/>
  </si>
  <si>
    <t>麻痹</t>
    <phoneticPr fontId="14" type="noConversion"/>
  </si>
  <si>
    <t>buff_poison_2</t>
    <phoneticPr fontId="14" type="noConversion"/>
  </si>
  <si>
    <t>紫色中毒</t>
    <phoneticPr fontId="14" type="noConversion"/>
  </si>
  <si>
    <t>中毒</t>
    <phoneticPr fontId="14" type="noConversion"/>
  </si>
  <si>
    <t>buff_distraction2</t>
    <phoneticPr fontId="14" type="noConversion"/>
  </si>
  <si>
    <t>不可阻挡</t>
    <phoneticPr fontId="14" type="noConversion"/>
  </si>
  <si>
    <t>投降</t>
    <phoneticPr fontId="14" type="noConversion"/>
  </si>
  <si>
    <t>buff_atkupaura</t>
  </si>
  <si>
    <t>加攻光环</t>
    <phoneticPr fontId="14" type="noConversion"/>
  </si>
  <si>
    <t>buff_defupaura2</t>
  </si>
  <si>
    <t>攻速光环</t>
  </si>
  <si>
    <t>加防光环</t>
    <phoneticPr fontId="14" type="noConversion"/>
  </si>
  <si>
    <t>降防</t>
    <phoneticPr fontId="14" type="noConversion"/>
  </si>
  <si>
    <t>魔法拖尾m</t>
  </si>
  <si>
    <t>魔法拖尾1</t>
  </si>
  <si>
    <t>common_refresh_bullet_01</t>
  </si>
  <si>
    <t>刷新子弹1</t>
  </si>
  <si>
    <t>common_waterElementExplosion</t>
  </si>
  <si>
    <t>侵蚀损伤击中</t>
  </si>
  <si>
    <t>攻击提升2</t>
    <phoneticPr fontId="14" type="noConversion"/>
  </si>
  <si>
    <r>
      <rPr>
        <sz val="11"/>
        <color theme="1"/>
        <rFont val="宋体"/>
        <family val="3"/>
        <charset val="134"/>
        <scheme val="minor"/>
      </rPr>
      <t>common_magic_hit_0</t>
    </r>
    <r>
      <rPr>
        <sz val="11"/>
        <color theme="1"/>
        <rFont val="宋体"/>
        <family val="3"/>
        <charset val="134"/>
        <scheme val="minor"/>
      </rPr>
      <t>2</t>
    </r>
  </si>
  <si>
    <t>魔法击中2</t>
  </si>
  <si>
    <t>防御强化2</t>
  </si>
  <si>
    <t>common_buff_defense_02</t>
    <phoneticPr fontId="14" type="noConversion"/>
  </si>
  <si>
    <t>通用防御强化紫色</t>
    <phoneticPr fontId="14" type="noConversion"/>
  </si>
  <si>
    <t>common_buff_defense_01</t>
    <phoneticPr fontId="14" type="noConversion"/>
  </si>
  <si>
    <t>通用防御强化</t>
    <phoneticPr fontId="14" type="noConversion"/>
  </si>
  <si>
    <t>common_ignite_attack2</t>
  </si>
  <si>
    <t>攻击强化紫色</t>
  </si>
  <si>
    <t>doroth_skill_02_debuff</t>
  </si>
  <si>
    <t>束缚Buff</t>
    <phoneticPr fontId="14" type="noConversion"/>
  </si>
  <si>
    <t>普通击中</t>
    <phoneticPr fontId="14" type="noConversion"/>
  </si>
  <si>
    <t>加费1</t>
    <phoneticPr fontId="14" type="noConversion"/>
  </si>
  <si>
    <t>common_char_direction</t>
    <phoneticPr fontId="14" type="noConversion"/>
  </si>
  <si>
    <t>干员朝向</t>
    <phoneticPr fontId="14" type="noConversion"/>
  </si>
  <si>
    <t>common_dot_aura_06</t>
    <phoneticPr fontId="14" type="noConversion"/>
  </si>
  <si>
    <t>通用伤害光环6</t>
    <phoneticPr fontId="14" type="noConversion"/>
  </si>
  <si>
    <t>通用伤害光环5</t>
    <phoneticPr fontId="14" type="noConversion"/>
  </si>
  <si>
    <t>common_dot_aura_04</t>
    <phoneticPr fontId="14" type="noConversion"/>
  </si>
  <si>
    <t>通用伤害光环4</t>
    <phoneticPr fontId="14" type="noConversion"/>
  </si>
  <si>
    <t>common_dot_aura_03</t>
    <phoneticPr fontId="14" type="noConversion"/>
  </si>
  <si>
    <t>通用伤害光环3</t>
    <phoneticPr fontId="14" type="noConversion"/>
  </si>
  <si>
    <t>common_dot_aura_02</t>
    <phoneticPr fontId="14" type="noConversion"/>
  </si>
  <si>
    <t>通用伤害光环2</t>
    <phoneticPr fontId="14" type="noConversion"/>
  </si>
  <si>
    <t>common_dot_aura_01</t>
    <phoneticPr fontId="14" type="noConversion"/>
  </si>
  <si>
    <t>通用伤害光环1</t>
    <phoneticPr fontId="14" type="noConversion"/>
  </si>
  <si>
    <t>common_buff_fear</t>
  </si>
  <si>
    <t>恐惧</t>
    <phoneticPr fontId="14" type="noConversion"/>
  </si>
  <si>
    <t>buff_gravity_down</t>
    <phoneticPr fontId="14" type="noConversion"/>
  </si>
  <si>
    <t>孤星重力朝下</t>
    <phoneticPr fontId="14" type="noConversion"/>
  </si>
  <si>
    <t>buff_gravity_up</t>
    <phoneticPr fontId="14" type="noConversion"/>
  </si>
  <si>
    <t>孤星重力朝上</t>
    <phoneticPr fontId="14" type="noConversion"/>
  </si>
  <si>
    <t>ifrit_skill_03_start long</t>
    <phoneticPr fontId="14" type="noConversion"/>
  </si>
  <si>
    <t>废热喷口喷火</t>
  </si>
  <si>
    <t>0,-0.3,0</t>
    <phoneticPr fontId="14" type="noConversion"/>
  </si>
  <si>
    <t>abyss_tile_buff</t>
    <phoneticPr fontId="14" type="noConversion"/>
  </si>
  <si>
    <t>特殊陷坑特效</t>
    <phoneticPr fontId="14" type="noConversion"/>
  </si>
  <si>
    <t>volcano_fog_white</t>
    <phoneticPr fontId="14" type="noConversion"/>
  </si>
  <si>
    <t>纯白水汽</t>
    <phoneticPr fontId="14" type="noConversion"/>
  </si>
  <si>
    <t>volcano_fog_red</t>
  </si>
  <si>
    <t>洋红蒸汽</t>
    <phoneticPr fontId="14" type="noConversion"/>
  </si>
  <si>
    <t>fog_black</t>
    <phoneticPr fontId="14" type="noConversion"/>
  </si>
  <si>
    <t>敌人黑色烟雾</t>
    <phoneticPr fontId="14" type="noConversion"/>
  </si>
  <si>
    <t>guodu_flow_buff</t>
    <phoneticPr fontId="14" type="noConversion"/>
  </si>
  <si>
    <t>国度Buff</t>
    <phoneticPr fontId="14" type="noConversion"/>
  </si>
  <si>
    <t>storm_fog_red</t>
  </si>
  <si>
    <t>源石污染区Buff</t>
    <phoneticPr fontId="14" type="noConversion"/>
  </si>
  <si>
    <t>water_buff</t>
  </si>
  <si>
    <t>深水区Buff</t>
    <phoneticPr fontId="14" type="noConversion"/>
  </si>
  <si>
    <t>frost_aura</t>
    <phoneticPr fontId="14" type="noConversion"/>
  </si>
  <si>
    <t>寒霜光环</t>
    <phoneticPr fontId="14" type="noConversion"/>
  </si>
  <si>
    <t>0,-0.01,0</t>
  </si>
  <si>
    <t>0,0.5,0.83</t>
    <phoneticPr fontId="14" type="noConversion"/>
  </si>
  <si>
    <t>buff_sleep</t>
  </si>
  <si>
    <t>睡眠</t>
    <phoneticPr fontId="14" type="noConversion"/>
  </si>
  <si>
    <t>0,0.5,0.83</t>
  </si>
  <si>
    <t>0,3,0</t>
    <phoneticPr fontId="14" type="noConversion"/>
  </si>
  <si>
    <t>sdshoot_buff_01</t>
    <phoneticPr fontId="14" type="noConversion"/>
  </si>
  <si>
    <t>环境灰色烟雾</t>
    <phoneticPr fontId="14" type="noConversion"/>
  </si>
  <si>
    <t>0,0,-0.3</t>
    <phoneticPr fontId="14" type="noConversion"/>
  </si>
  <si>
    <t>doroth_buff_04</t>
    <phoneticPr fontId="14" type="noConversion"/>
  </si>
  <si>
    <t>冲击式施术单元干员</t>
    <phoneticPr fontId="14" type="noConversion"/>
  </si>
  <si>
    <t>沉郁变奏加成</t>
    <phoneticPr fontId="14" type="noConversion"/>
  </si>
  <si>
    <t>doroth_buff_03</t>
    <phoneticPr fontId="14" type="noConversion"/>
  </si>
  <si>
    <t>激昂变奏加成</t>
    <phoneticPr fontId="14" type="noConversion"/>
  </si>
  <si>
    <t>music_environment_buff_purple</t>
    <phoneticPr fontId="14" type="noConversion"/>
  </si>
  <si>
    <t>沉郁变奏吹风</t>
    <phoneticPr fontId="14" type="noConversion"/>
  </si>
  <si>
    <t>music_environment_buff_orange</t>
  </si>
  <si>
    <t>激昂变奏吹风</t>
    <phoneticPr fontId="14" type="noConversion"/>
  </si>
  <si>
    <t>map_snow_push_down</t>
    <phoneticPr fontId="14" type="noConversion"/>
  </si>
  <si>
    <t>降雪朝上推动</t>
    <phoneticPr fontId="14" type="noConversion"/>
  </si>
  <si>
    <t>map_snow_push_up</t>
    <phoneticPr fontId="14" type="noConversion"/>
  </si>
  <si>
    <t>降雪朝下推动</t>
    <phoneticPr fontId="14" type="noConversion"/>
  </si>
  <si>
    <t>map_snow_push_right</t>
    <phoneticPr fontId="14" type="noConversion"/>
  </si>
  <si>
    <t>降雪朝左推动</t>
    <phoneticPr fontId="14" type="noConversion"/>
  </si>
  <si>
    <t>map_snow_push_left</t>
    <phoneticPr fontId="14" type="noConversion"/>
  </si>
  <si>
    <t>降雪朝右推动</t>
    <phoneticPr fontId="14" type="noConversion"/>
  </si>
  <si>
    <t>map_snow</t>
    <phoneticPr fontId="14" type="noConversion"/>
  </si>
  <si>
    <t>降雪特效</t>
    <phoneticPr fontId="14" type="noConversion"/>
  </si>
  <si>
    <t>wind_buff</t>
    <phoneticPr fontId="14" type="noConversion"/>
  </si>
  <si>
    <t>沙尘暴特效</t>
    <phoneticPr fontId="14" type="noConversion"/>
  </si>
  <si>
    <t>0,-0.7,0</t>
  </si>
  <si>
    <t>隐身2</t>
  </si>
  <si>
    <t>UnityEngine.Vector3</t>
  </si>
  <si>
    <t>DeadRemove</t>
    <phoneticPr fontId="14" type="noConversion"/>
  </si>
  <si>
    <t>死亡时移除</t>
    <phoneticPr fontId="14" type="noConversion"/>
  </si>
  <si>
    <t>frncat_attack_01_start</t>
  </si>
  <si>
    <t>franka_attack_01_start</t>
  </si>
  <si>
    <t>frncat_skill_02_start</t>
  </si>
  <si>
    <t>hsguma_skill_03_buff</t>
  </si>
  <si>
    <t>hsguma_skill_03_buff_02</t>
  </si>
  <si>
    <t>thorns_attack_01_start</t>
  </si>
  <si>
    <t>thorns_attack_02_start</t>
  </si>
  <si>
    <t>thorns_skill_02_start</t>
  </si>
  <si>
    <t>thorns_skill_03_buff</t>
  </si>
  <si>
    <t>thorns_skill_03_start</t>
  </si>
  <si>
    <t>buff_cold1</t>
  </si>
  <si>
    <t>buff_cold2</t>
  </si>
  <si>
    <t>fmout_skill_02_buff</t>
  </si>
  <si>
    <t>yak_skill_02_buff</t>
  </si>
  <si>
    <t>whitew_skill_02_buff_01_l</t>
  </si>
  <si>
    <t>Weapon_A</t>
  </si>
  <si>
    <t>whitew_skill_02_buff_01_r</t>
  </si>
  <si>
    <t>42黄昏buff</t>
  </si>
  <si>
    <t>surtr_skill_03_buff_03</t>
  </si>
  <si>
    <t>Face_Default_i</t>
  </si>
  <si>
    <t>surtr_skill_03_buff_04</t>
  </si>
  <si>
    <t>Face_Default_j</t>
  </si>
  <si>
    <t>shining_skill_02_buff</t>
  </si>
  <si>
    <t>闪灵2buff</t>
    <phoneticPr fontId="18" type="noConversion"/>
  </si>
  <si>
    <t>闪灵2buff</t>
    <phoneticPr fontId="14" type="noConversion"/>
  </si>
  <si>
    <t>cgbird_skill_03_range</t>
    <phoneticPr fontId="18" type="noConversion"/>
  </si>
  <si>
    <t>0,-0.4,0</t>
    <phoneticPr fontId="18" type="noConversion"/>
  </si>
  <si>
    <t>圣域自身buff</t>
    <phoneticPr fontId="14" type="noConversion"/>
  </si>
  <si>
    <t>amgoat_skill_02_trail</t>
    <phoneticPr fontId="14" type="noConversion"/>
  </si>
  <si>
    <t>enemy_1515_bsnake</t>
    <phoneticPr fontId="14" type="noConversion"/>
  </si>
  <si>
    <t>{"ElementType":"Fire"}</t>
    <phoneticPr fontId="14" type="noConversion"/>
  </si>
  <si>
    <t>灼燃损伤减法抗</t>
    <phoneticPr fontId="14" type="noConversion"/>
  </si>
  <si>
    <t>amgoat_skill_02_range</t>
    <phoneticPr fontId="18" type="noConversion"/>
  </si>
  <si>
    <t>amgoat_skill_02_hit</t>
    <phoneticPr fontId="18" type="noConversion"/>
  </si>
  <si>
    <t>enemy_10167_tjgsfj_1</t>
    <phoneticPr fontId="14" type="noConversion"/>
  </si>
  <si>
    <t>enemy_10167_tjgsfj_2_1</t>
    <phoneticPr fontId="14" type="noConversion"/>
  </si>
  <si>
    <t>enemy_10167_tjgsfj_2</t>
    <phoneticPr fontId="14" type="noConversion"/>
  </si>
  <si>
    <t>enemy_10167_tjgsfj_2_2</t>
    <phoneticPr fontId="14" type="noConversion"/>
  </si>
  <si>
    <t>enemy_2112_dyhlgy_1</t>
    <phoneticPr fontId="14" type="noConversion"/>
  </si>
  <si>
    <t>enemy_2112_dyhlgy_2</t>
    <phoneticPr fontId="1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</si>
</sst>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9C5700"/>
      <name val="宋体"/>
      <family val="3"/>
      <charset val="134"/>
      <scheme val="minor"/>
    </font>
    <font>
      <sz val="11"/>
      <color rgb="FF00B0F0"/>
      <name val="宋体"/>
      <family val="3"/>
      <charset val="134"/>
      <scheme val="minor"/>
    </font>
    <font>
      <sz val="11"/>
      <color rgb="FF9C0006"/>
      <name val="宋体"/>
      <family val="3"/>
      <charset val="134"/>
      <scheme val="minor"/>
    </font>
    <font>
      <sz val="11"/>
      <color rgb="FF202122"/>
      <name val="宋体"/>
      <family val="3"/>
      <charset val="134"/>
    </font>
    <font>
      <b/>
      <sz val="11"/>
      <color theme="1"/>
      <name val="宋体"/>
      <family val="3"/>
      <charset val="134"/>
      <scheme val="minor"/>
    </font>
    <font>
      <sz val="11"/>
      <color theme="1"/>
      <name val="宋体"/>
      <family val="3"/>
      <charset val="134"/>
      <scheme val="minor"/>
    </font>
    <font>
      <sz val="11"/>
      <color rgb="FF0098DC"/>
      <name val="Arial"/>
      <family val="2"/>
    </font>
    <font>
      <sz val="11"/>
      <color theme="1"/>
      <name val="Calibri"/>
      <family val="2"/>
    </font>
    <font>
      <b/>
      <sz val="9"/>
      <name val="宋体"/>
      <family val="3"/>
      <charset val="134"/>
    </font>
    <font>
      <sz val="9"/>
      <name val="宋体"/>
      <family val="3"/>
      <charset val="134"/>
    </font>
    <font>
      <sz val="11"/>
      <color theme="1"/>
      <name val="宋体"/>
      <family val="3"/>
      <charset val="134"/>
      <scheme val="minor"/>
    </font>
    <font>
      <sz val="9"/>
      <name val="宋体"/>
      <family val="3"/>
      <charset val="134"/>
      <scheme val="minor"/>
    </font>
    <font>
      <sz val="11"/>
      <name val="宋体"/>
      <family val="3"/>
      <charset val="134"/>
      <scheme val="minor"/>
    </font>
    <font>
      <sz val="11"/>
      <color rgb="FF00B0F0"/>
      <name val="宋体"/>
      <family val="3"/>
      <charset val="134"/>
      <scheme val="minor"/>
    </font>
    <font>
      <sz val="10.5"/>
      <color rgb="FF202122"/>
      <name val="Arial"/>
      <family val="2"/>
    </font>
    <font>
      <sz val="9"/>
      <name val="宋体"/>
      <family val="3"/>
      <charset val="134"/>
      <scheme val="minor"/>
    </font>
  </fonts>
  <fills count="9">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theme="6" tint="0.79989013336588644"/>
        <bgColor indexed="64"/>
      </patternFill>
    </fill>
    <fill>
      <patternFill patternType="solid">
        <fgColor rgb="FFFFEB9C"/>
        <bgColor indexed="64"/>
      </patternFill>
    </fill>
    <fill>
      <patternFill patternType="solid">
        <fgColor rgb="FFFFC7CE"/>
        <bgColor indexed="64"/>
      </patternFill>
    </fill>
    <fill>
      <patternFill patternType="solid">
        <fgColor theme="6" tint="0.79992065187536243"/>
        <bgColor indexed="64"/>
      </patternFill>
    </fill>
    <fill>
      <patternFill patternType="solid">
        <fgColor rgb="FFEBF1DE"/>
        <bgColor indexed="64"/>
      </patternFill>
    </fill>
  </fills>
  <borders count="2">
    <border>
      <left/>
      <right/>
      <top/>
      <bottom/>
      <diagonal/>
    </border>
    <border>
      <left style="hair">
        <color auto="1"/>
      </left>
      <right style="hair">
        <color auto="1"/>
      </right>
      <top style="hair">
        <color auto="1"/>
      </top>
      <bottom style="hair">
        <color auto="1"/>
      </bottom>
      <diagonal/>
    </border>
  </borders>
  <cellStyleXfs count="5">
    <xf numFmtId="0" fontId="0" fillId="0" borderId="0">
      <alignment vertical="center"/>
    </xf>
    <xf numFmtId="0" fontId="5" fillId="6" borderId="0" applyNumberFormat="0" applyBorder="0" applyAlignment="0" applyProtection="0">
      <alignment vertical="center"/>
    </xf>
    <xf numFmtId="0" fontId="3" fillId="5" borderId="0" applyNumberFormat="0" applyBorder="0" applyAlignment="0" applyProtection="0">
      <alignment vertical="center"/>
    </xf>
    <xf numFmtId="0" fontId="8" fillId="4" borderId="0" applyNumberFormat="0" applyBorder="0" applyAlignment="0" applyProtection="0">
      <alignment vertical="center"/>
    </xf>
    <xf numFmtId="0" fontId="8" fillId="0" borderId="0">
      <alignment vertical="center"/>
    </xf>
  </cellStyleXfs>
  <cellXfs count="33">
    <xf numFmtId="0" fontId="0" fillId="0" borderId="0" xfId="0">
      <alignment vertical="center"/>
    </xf>
    <xf numFmtId="0" fontId="8" fillId="0" borderId="0" xfId="4">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8" fillId="4" borderId="0" xfId="3">
      <alignment vertical="center"/>
    </xf>
    <xf numFmtId="0" fontId="3" fillId="5" borderId="0" xfId="2">
      <alignment vertical="center"/>
    </xf>
    <xf numFmtId="0" fontId="4" fillId="0" borderId="0" xfId="0" applyFont="1">
      <alignment vertical="center"/>
    </xf>
    <xf numFmtId="0" fontId="5" fillId="6" borderId="0" xfId="1">
      <alignment vertical="center"/>
    </xf>
    <xf numFmtId="0" fontId="6" fillId="0" borderId="0" xfId="0" applyFont="1">
      <alignment vertical="center"/>
    </xf>
    <xf numFmtId="0" fontId="8" fillId="7" borderId="0" xfId="3" applyFill="1">
      <alignment vertical="center"/>
    </xf>
    <xf numFmtId="0" fontId="2" fillId="8" borderId="1" xfId="0" applyFont="1" applyFill="1" applyBorder="1">
      <alignment vertical="center"/>
    </xf>
    <xf numFmtId="0" fontId="2" fillId="5" borderId="1" xfId="2" applyFont="1" applyBorder="1">
      <alignment vertical="center"/>
    </xf>
    <xf numFmtId="0" fontId="2" fillId="6" borderId="1" xfId="0" applyFont="1" applyFill="1" applyBorder="1">
      <alignment vertical="center"/>
    </xf>
    <xf numFmtId="0" fontId="2" fillId="8" borderId="0" xfId="0" applyFont="1" applyFill="1">
      <alignment vertical="center"/>
    </xf>
    <xf numFmtId="0" fontId="2" fillId="5" borderId="0" xfId="2" applyFont="1" applyBorder="1">
      <alignment vertical="center"/>
    </xf>
    <xf numFmtId="0" fontId="2" fillId="6" borderId="0" xfId="0" applyFont="1" applyFill="1">
      <alignment vertical="center"/>
    </xf>
    <xf numFmtId="0" fontId="8" fillId="8" borderId="0" xfId="3" applyFill="1">
      <alignment vertical="center"/>
    </xf>
    <xf numFmtId="0" fontId="2" fillId="3" borderId="0" xfId="0" applyFont="1" applyFill="1">
      <alignment vertical="center"/>
    </xf>
    <xf numFmtId="0" fontId="4" fillId="3" borderId="0" xfId="0" applyFont="1" applyFill="1">
      <alignment vertical="center"/>
    </xf>
    <xf numFmtId="0" fontId="8" fillId="0" borderId="0" xfId="4" quotePrefix="1">
      <alignment vertical="center"/>
    </xf>
    <xf numFmtId="0" fontId="13" fillId="0" borderId="0" xfId="4" applyFont="1">
      <alignment vertical="center"/>
    </xf>
    <xf numFmtId="0" fontId="13" fillId="0" borderId="0" xfId="0" applyFont="1">
      <alignment vertical="center"/>
    </xf>
    <xf numFmtId="0" fontId="15" fillId="0" borderId="0" xfId="0" applyFont="1">
      <alignment vertical="center"/>
    </xf>
    <xf numFmtId="0" fontId="16" fillId="0" borderId="0" xfId="0" applyFont="1">
      <alignment vertical="center"/>
    </xf>
    <xf numFmtId="0" fontId="17" fillId="0" borderId="0" xfId="0" applyFont="1">
      <alignment vertical="center"/>
    </xf>
    <xf numFmtId="0" fontId="15" fillId="3" borderId="0" xfId="0" applyFont="1" applyFill="1">
      <alignment vertical="center"/>
    </xf>
    <xf numFmtId="0" fontId="16" fillId="3" borderId="0" xfId="0" applyFont="1" applyFill="1">
      <alignment vertical="center"/>
    </xf>
    <xf numFmtId="0" fontId="8" fillId="0" borderId="0" xfId="0" applyFont="1">
      <alignment vertical="center"/>
    </xf>
    <xf numFmtId="49" fontId="0" fillId="0" borderId="0" xfId="0" applyNumberFormat="1" applyAlignment="1">
      <alignment horizontal="left" vertical="center"/>
    </xf>
    <xf numFmtId="0" fontId="0" fillId="4" borderId="0" xfId="3" applyFont="1">
      <alignment vertical="center"/>
    </xf>
    <xf numFmtId="0" fontId="8" fillId="0" borderId="0" xfId="0" quotePrefix="1" applyFont="1">
      <alignment vertical="center"/>
    </xf>
  </cellXfs>
  <cellStyles count="5">
    <cellStyle name="20% - 着色 3" xfId="3" builtinId="38"/>
    <cellStyle name="差" xfId="1" builtinId="27"/>
    <cellStyle name="常规" xfId="0" builtinId="0"/>
    <cellStyle name="常规 2" xfId="4" xr:uid="{00000000-0005-0000-0000-000031000000}"/>
    <cellStyle name="适中" xfId="2" builtinId="28"/>
  </cellStyles>
  <dxfs count="0"/>
  <tableStyles count="0" defaultTableStyle="TableStyleMedium2" defaultPivotStyle="PivotStyleLight16"/>
  <colors>
    <mruColors>
      <color rgb="FFEBF1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90"/>
  <sheetViews>
    <sheetView topLeftCell="A63" workbookViewId="0">
      <selection activeCell="C90" sqref="C90"/>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4</v>
      </c>
      <c r="B4" t="s">
        <v>4</v>
      </c>
    </row>
    <row r="5" spans="1:2" x14ac:dyDescent="0.25">
      <c r="A5" t="s">
        <v>5</v>
      </c>
      <c r="B5" t="s">
        <v>5</v>
      </c>
    </row>
    <row r="6" spans="1:2" x14ac:dyDescent="0.25">
      <c r="A6" t="s">
        <v>6</v>
      </c>
      <c r="B6" t="s">
        <v>6</v>
      </c>
    </row>
    <row r="7" spans="1:2" x14ac:dyDescent="0.25">
      <c r="A7" t="s">
        <v>7</v>
      </c>
      <c r="B7" t="s">
        <v>7</v>
      </c>
    </row>
    <row r="8" spans="1:2" x14ac:dyDescent="0.25">
      <c r="A8" t="s">
        <v>8</v>
      </c>
      <c r="B8" t="s">
        <v>8</v>
      </c>
    </row>
    <row r="10" spans="1:2" x14ac:dyDescent="0.25">
      <c r="A10" t="s">
        <v>9</v>
      </c>
      <c r="B10" t="s">
        <v>9</v>
      </c>
    </row>
    <row r="11" spans="1:2" x14ac:dyDescent="0.25">
      <c r="A11" t="s">
        <v>10</v>
      </c>
      <c r="B11" t="s">
        <v>10</v>
      </c>
    </row>
    <row r="12" spans="1:2" x14ac:dyDescent="0.25">
      <c r="A12" t="s">
        <v>11</v>
      </c>
      <c r="B12" t="s">
        <v>11</v>
      </c>
    </row>
    <row r="13" spans="1:2" x14ac:dyDescent="0.25">
      <c r="A13" t="s">
        <v>12</v>
      </c>
      <c r="B13" t="s">
        <v>12</v>
      </c>
    </row>
    <row r="14" spans="1:2" x14ac:dyDescent="0.25">
      <c r="A14" t="s">
        <v>13</v>
      </c>
      <c r="B14" t="s">
        <v>13</v>
      </c>
    </row>
    <row r="15" spans="1:2" x14ac:dyDescent="0.25">
      <c r="A15" t="s">
        <v>14</v>
      </c>
      <c r="B15" t="s">
        <v>14</v>
      </c>
    </row>
    <row r="16" spans="1:2" x14ac:dyDescent="0.25">
      <c r="A16" t="s">
        <v>15</v>
      </c>
      <c r="B16" t="s">
        <v>15</v>
      </c>
    </row>
    <row r="17" spans="1:2" x14ac:dyDescent="0.25">
      <c r="A17" t="s">
        <v>16</v>
      </c>
      <c r="B17" t="s">
        <v>16</v>
      </c>
    </row>
    <row r="18" spans="1:2" x14ac:dyDescent="0.25">
      <c r="A18" t="s">
        <v>17</v>
      </c>
      <c r="B18" t="s">
        <v>17</v>
      </c>
    </row>
    <row r="19" spans="1:2" x14ac:dyDescent="0.25">
      <c r="A19" t="s">
        <v>18</v>
      </c>
      <c r="B19" t="s">
        <v>18</v>
      </c>
    </row>
    <row r="20" spans="1:2" x14ac:dyDescent="0.25">
      <c r="A20" t="s">
        <v>19</v>
      </c>
      <c r="B20" t="s">
        <v>19</v>
      </c>
    </row>
    <row r="21" spans="1:2" x14ac:dyDescent="0.25">
      <c r="A21" t="s">
        <v>20</v>
      </c>
      <c r="B21" t="s">
        <v>20</v>
      </c>
    </row>
    <row r="22" spans="1:2" x14ac:dyDescent="0.25">
      <c r="A22" t="s">
        <v>21</v>
      </c>
      <c r="B22" t="s">
        <v>21</v>
      </c>
    </row>
    <row r="23" spans="1:2" x14ac:dyDescent="0.25">
      <c r="A23" t="s">
        <v>22</v>
      </c>
      <c r="B23" t="s">
        <v>22</v>
      </c>
    </row>
    <row r="25" spans="1:2" x14ac:dyDescent="0.25">
      <c r="A25" t="s">
        <v>23</v>
      </c>
    </row>
    <row r="26" spans="1:2" x14ac:dyDescent="0.25">
      <c r="A26" t="s">
        <v>24</v>
      </c>
      <c r="B26" t="s">
        <v>24</v>
      </c>
    </row>
    <row r="27" spans="1:2" x14ac:dyDescent="0.25">
      <c r="A27" t="s">
        <v>25</v>
      </c>
      <c r="B27" t="s">
        <v>25</v>
      </c>
    </row>
    <row r="28" spans="1:2" x14ac:dyDescent="0.25">
      <c r="A28" t="s">
        <v>26</v>
      </c>
      <c r="B28" t="s">
        <v>26</v>
      </c>
    </row>
    <row r="29" spans="1:2" x14ac:dyDescent="0.25">
      <c r="A29" t="s">
        <v>27</v>
      </c>
      <c r="B29" t="s">
        <v>27</v>
      </c>
    </row>
    <row r="30" spans="1:2" x14ac:dyDescent="0.25">
      <c r="A30" t="s">
        <v>28</v>
      </c>
      <c r="B30" t="s">
        <v>28</v>
      </c>
    </row>
    <row r="31" spans="1:2" x14ac:dyDescent="0.25">
      <c r="A31" t="s">
        <v>29</v>
      </c>
      <c r="B31" t="s">
        <v>29</v>
      </c>
    </row>
    <row r="32" spans="1:2" x14ac:dyDescent="0.25">
      <c r="A32" t="s">
        <v>30</v>
      </c>
      <c r="B32" t="s">
        <v>30</v>
      </c>
    </row>
    <row r="33" spans="1:2" x14ac:dyDescent="0.25">
      <c r="A33" t="s">
        <v>31</v>
      </c>
      <c r="B33" t="s">
        <v>31</v>
      </c>
    </row>
    <row r="34" spans="1:2" x14ac:dyDescent="0.25">
      <c r="A34" t="s">
        <v>32</v>
      </c>
      <c r="B34" t="s">
        <v>32</v>
      </c>
    </row>
    <row r="35" spans="1:2" x14ac:dyDescent="0.25">
      <c r="A35" t="s">
        <v>33</v>
      </c>
      <c r="B35" t="s">
        <v>33</v>
      </c>
    </row>
    <row r="36" spans="1:2" x14ac:dyDescent="0.25">
      <c r="A36" t="s">
        <v>34</v>
      </c>
      <c r="B36" t="s">
        <v>34</v>
      </c>
    </row>
    <row r="37" spans="1:2" x14ac:dyDescent="0.25">
      <c r="A37" t="s">
        <v>35</v>
      </c>
      <c r="B37" t="s">
        <v>35</v>
      </c>
    </row>
    <row r="38" spans="1:2" x14ac:dyDescent="0.25">
      <c r="A38" t="s">
        <v>36</v>
      </c>
      <c r="B38" t="s">
        <v>36</v>
      </c>
    </row>
    <row r="39" spans="1:2" x14ac:dyDescent="0.25">
      <c r="A39" t="s">
        <v>37</v>
      </c>
      <c r="B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c r="B44" t="s">
        <v>42</v>
      </c>
    </row>
    <row r="45" spans="1:2" x14ac:dyDescent="0.25">
      <c r="A45" t="s">
        <v>43</v>
      </c>
      <c r="B45" t="s">
        <v>43</v>
      </c>
    </row>
    <row r="46" spans="1:2" x14ac:dyDescent="0.25">
      <c r="A46" t="s">
        <v>44</v>
      </c>
      <c r="B46" t="s">
        <v>44</v>
      </c>
    </row>
    <row r="48" spans="1:2" x14ac:dyDescent="0.25">
      <c r="A48" t="s">
        <v>45</v>
      </c>
    </row>
    <row r="49" spans="1:2" x14ac:dyDescent="0.25">
      <c r="A49" t="s">
        <v>46</v>
      </c>
      <c r="B49" t="s">
        <v>46</v>
      </c>
    </row>
    <row r="50" spans="1:2" x14ac:dyDescent="0.25">
      <c r="A50" t="s">
        <v>47</v>
      </c>
      <c r="B50" t="s">
        <v>47</v>
      </c>
    </row>
    <row r="51" spans="1:2" x14ac:dyDescent="0.25">
      <c r="A51" t="s">
        <v>48</v>
      </c>
      <c r="B51" t="s">
        <v>48</v>
      </c>
    </row>
    <row r="52" spans="1:2" x14ac:dyDescent="0.25">
      <c r="A52" t="s">
        <v>49</v>
      </c>
      <c r="B52" t="s">
        <v>49</v>
      </c>
    </row>
    <row r="53" spans="1:2" x14ac:dyDescent="0.25">
      <c r="A53" t="s">
        <v>50</v>
      </c>
      <c r="B53" t="s">
        <v>50</v>
      </c>
    </row>
    <row r="54" spans="1:2" x14ac:dyDescent="0.25">
      <c r="A54" t="s">
        <v>51</v>
      </c>
      <c r="B54" t="s">
        <v>51</v>
      </c>
    </row>
    <row r="55" spans="1:2" x14ac:dyDescent="0.25">
      <c r="A55" t="s">
        <v>52</v>
      </c>
      <c r="B55" t="s">
        <v>52</v>
      </c>
    </row>
    <row r="56" spans="1:2" x14ac:dyDescent="0.25">
      <c r="A56" t="s">
        <v>53</v>
      </c>
      <c r="B56" t="s">
        <v>53</v>
      </c>
    </row>
    <row r="57" spans="1:2" x14ac:dyDescent="0.25">
      <c r="A57" t="s">
        <v>54</v>
      </c>
      <c r="B57" t="s">
        <v>54</v>
      </c>
    </row>
    <row r="58" spans="1:2" x14ac:dyDescent="0.25">
      <c r="A58" t="s">
        <v>55</v>
      </c>
      <c r="B58" t="s">
        <v>55</v>
      </c>
    </row>
    <row r="59" spans="1:2" x14ac:dyDescent="0.25">
      <c r="A59" t="s">
        <v>56</v>
      </c>
      <c r="B59" t="s">
        <v>56</v>
      </c>
    </row>
    <row r="60" spans="1:2" x14ac:dyDescent="0.25">
      <c r="A60" t="s">
        <v>57</v>
      </c>
      <c r="B60" t="s">
        <v>57</v>
      </c>
    </row>
    <row r="61" spans="1:2" x14ac:dyDescent="0.25">
      <c r="A61" t="s">
        <v>58</v>
      </c>
      <c r="B61" t="s">
        <v>58</v>
      </c>
    </row>
    <row r="62" spans="1:2" x14ac:dyDescent="0.25">
      <c r="A62" t="s">
        <v>59</v>
      </c>
      <c r="B62" t="s">
        <v>59</v>
      </c>
    </row>
    <row r="63" spans="1:2" x14ac:dyDescent="0.25">
      <c r="A63" t="s">
        <v>60</v>
      </c>
      <c r="B63" t="s">
        <v>60</v>
      </c>
    </row>
    <row r="64" spans="1:2" x14ac:dyDescent="0.25">
      <c r="A64" t="s">
        <v>61</v>
      </c>
      <c r="B64" t="s">
        <v>61</v>
      </c>
    </row>
    <row r="65" spans="1:2" x14ac:dyDescent="0.25">
      <c r="A65" t="s">
        <v>62</v>
      </c>
      <c r="B65" t="s">
        <v>62</v>
      </c>
    </row>
    <row r="66" spans="1:2" x14ac:dyDescent="0.25">
      <c r="A66" t="s">
        <v>63</v>
      </c>
      <c r="B66" t="s">
        <v>63</v>
      </c>
    </row>
    <row r="67" spans="1:2" x14ac:dyDescent="0.25">
      <c r="A67" t="s">
        <v>64</v>
      </c>
      <c r="B67" t="s">
        <v>64</v>
      </c>
    </row>
    <row r="68" spans="1:2" x14ac:dyDescent="0.25">
      <c r="A68" t="s">
        <v>65</v>
      </c>
      <c r="B68" t="s">
        <v>65</v>
      </c>
    </row>
    <row r="69" spans="1:2" x14ac:dyDescent="0.25">
      <c r="A69" t="s">
        <v>66</v>
      </c>
      <c r="B69" t="s">
        <v>66</v>
      </c>
    </row>
    <row r="70" spans="1:2" x14ac:dyDescent="0.25">
      <c r="A70" t="s">
        <v>67</v>
      </c>
      <c r="B70" t="s">
        <v>67</v>
      </c>
    </row>
    <row r="71" spans="1:2" x14ac:dyDescent="0.25">
      <c r="A71" t="s">
        <v>68</v>
      </c>
      <c r="B71" t="s">
        <v>68</v>
      </c>
    </row>
    <row r="72" spans="1:2" x14ac:dyDescent="0.25">
      <c r="A72" t="s">
        <v>69</v>
      </c>
      <c r="B72" t="s">
        <v>69</v>
      </c>
    </row>
    <row r="73" spans="1:2" x14ac:dyDescent="0.25">
      <c r="A73" t="s">
        <v>70</v>
      </c>
      <c r="B73" t="s">
        <v>70</v>
      </c>
    </row>
    <row r="74" spans="1:2" x14ac:dyDescent="0.25">
      <c r="A74" t="s">
        <v>71</v>
      </c>
      <c r="B74" t="s">
        <v>71</v>
      </c>
    </row>
    <row r="77" spans="1:2" x14ac:dyDescent="0.25">
      <c r="A77" t="s">
        <v>72</v>
      </c>
    </row>
    <row r="78" spans="1:2" x14ac:dyDescent="0.25">
      <c r="A78" t="s">
        <v>73</v>
      </c>
      <c r="B78" t="s">
        <v>74</v>
      </c>
    </row>
    <row r="79" spans="1:2" x14ac:dyDescent="0.25">
      <c r="A79" t="s">
        <v>75</v>
      </c>
      <c r="B79" t="s">
        <v>75</v>
      </c>
    </row>
    <row r="80" spans="1:2" x14ac:dyDescent="0.25">
      <c r="A80" t="s">
        <v>76</v>
      </c>
      <c r="B80" t="s">
        <v>76</v>
      </c>
    </row>
    <row r="81" spans="1:2" x14ac:dyDescent="0.25">
      <c r="A81" t="s">
        <v>77</v>
      </c>
      <c r="B81" t="s">
        <v>77</v>
      </c>
    </row>
    <row r="82" spans="1:2" x14ac:dyDescent="0.25">
      <c r="A82" t="s">
        <v>78</v>
      </c>
      <c r="B82" t="s">
        <v>78</v>
      </c>
    </row>
    <row r="83" spans="1:2" x14ac:dyDescent="0.25">
      <c r="A83" t="s">
        <v>79</v>
      </c>
      <c r="B83" t="s">
        <v>79</v>
      </c>
    </row>
    <row r="84" spans="1:2" x14ac:dyDescent="0.25">
      <c r="A84" t="s">
        <v>80</v>
      </c>
      <c r="B84" t="s">
        <v>80</v>
      </c>
    </row>
    <row r="85" spans="1:2" x14ac:dyDescent="0.25">
      <c r="A85" t="s">
        <v>81</v>
      </c>
      <c r="B85" t="s">
        <v>81</v>
      </c>
    </row>
    <row r="86" spans="1:2" x14ac:dyDescent="0.25">
      <c r="A86" t="s">
        <v>82</v>
      </c>
      <c r="B86" t="s">
        <v>82</v>
      </c>
    </row>
    <row r="87" spans="1:2" x14ac:dyDescent="0.25">
      <c r="A87" t="s">
        <v>83</v>
      </c>
      <c r="B87" t="s">
        <v>83</v>
      </c>
    </row>
    <row r="88" spans="1:2" x14ac:dyDescent="0.25">
      <c r="A88" t="s">
        <v>84</v>
      </c>
      <c r="B88" t="s">
        <v>84</v>
      </c>
    </row>
    <row r="89" spans="1:2" x14ac:dyDescent="0.25">
      <c r="A89" t="s">
        <v>85</v>
      </c>
      <c r="B89" t="s">
        <v>85</v>
      </c>
    </row>
    <row r="90" spans="1:2" x14ac:dyDescent="0.25">
      <c r="A90" s="29"/>
      <c r="B90" s="29"/>
    </row>
  </sheetData>
  <phoneticPr fontId="14"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X1822"/>
  <sheetViews>
    <sheetView workbookViewId="0">
      <pane xSplit="1" ySplit="3" topLeftCell="Z1806" activePane="bottomRight" state="frozen"/>
      <selection pane="topRight"/>
      <selection pane="bottomLeft"/>
      <selection pane="bottomRight" activeCell="A1821" sqref="A1821:XFD1821"/>
    </sheetView>
  </sheetViews>
  <sheetFormatPr defaultColWidth="9" defaultRowHeight="14.05" x14ac:dyDescent="0.25"/>
  <cols>
    <col min="1" max="1" width="22.4140625" style="1" customWidth="1"/>
    <col min="2" max="3" width="9" style="1"/>
    <col min="4" max="4" width="8.4140625" style="1" customWidth="1"/>
    <col min="5" max="5" width="5.33203125" style="1" customWidth="1"/>
    <col min="6" max="6" width="19.4140625" style="1" customWidth="1"/>
    <col min="7" max="8" width="8.25" style="1" customWidth="1"/>
    <col min="9" max="11" width="9" style="1"/>
    <col min="12" max="12" width="6" style="1" customWidth="1"/>
    <col min="13" max="13" width="4.08203125" style="1" customWidth="1"/>
    <col min="14" max="14" width="8.1640625" style="1" customWidth="1"/>
    <col min="15" max="15" width="4" style="1" customWidth="1"/>
    <col min="16" max="16" width="7.75" style="1" customWidth="1"/>
    <col min="17" max="17" width="10.83203125" style="1" customWidth="1"/>
    <col min="18" max="18" width="14.4140625" style="1" customWidth="1"/>
    <col min="19" max="19" width="3.83203125" style="1" customWidth="1"/>
    <col min="20" max="21" width="3.4140625" style="1" customWidth="1"/>
    <col min="22" max="22" width="10.25" style="1" customWidth="1"/>
    <col min="23" max="23" width="9.4140625" style="1" customWidth="1"/>
    <col min="24" max="24" width="10.75" style="1" customWidth="1"/>
    <col min="25" max="25" width="12.83203125" style="1" customWidth="1"/>
    <col min="26" max="26" width="13.08203125" style="1" customWidth="1"/>
    <col min="27" max="27" width="8" style="1" customWidth="1"/>
    <col min="28" max="29" width="9" style="1"/>
    <col min="30" max="30" width="14" style="1" customWidth="1"/>
    <col min="31" max="33" width="17.08203125" style="1" customWidth="1"/>
    <col min="34" max="34" width="9.75" style="1" customWidth="1"/>
    <col min="35" max="35" width="7.83203125" style="1" customWidth="1"/>
    <col min="36" max="36" width="17.4140625" style="1" customWidth="1"/>
    <col min="37" max="37" width="13.83203125" style="1" customWidth="1"/>
    <col min="38" max="38" width="34.4140625" style="1" customWidth="1"/>
    <col min="39" max="41" width="9.83203125" style="1" customWidth="1"/>
    <col min="42" max="47" width="9" style="1"/>
    <col min="48" max="48" width="10.4140625" style="1" customWidth="1"/>
    <col min="49" max="52" width="9" style="1"/>
    <col min="53" max="53" width="8.4140625" style="1" customWidth="1"/>
    <col min="54" max="54" width="9" style="1"/>
    <col min="55" max="55" width="17.75" style="1" customWidth="1"/>
    <col min="56" max="56" width="7.83203125" style="1" customWidth="1"/>
    <col min="57" max="58" width="9" style="1"/>
    <col min="59" max="59" width="24.25" style="1" customWidth="1"/>
    <col min="60" max="60" width="13.25" style="1" customWidth="1"/>
    <col min="61" max="61" width="16.08203125" style="1" customWidth="1"/>
    <col min="62" max="62" width="8" style="1" customWidth="1"/>
    <col min="63" max="64" width="9" style="1"/>
    <col min="65" max="65" width="28" style="1" customWidth="1"/>
    <col min="66" max="66" width="9" style="1"/>
    <col min="67" max="67" width="39.4140625" style="1" customWidth="1"/>
    <col min="68" max="68" width="13.75" customWidth="1"/>
    <col min="69" max="69" width="14" style="1" customWidth="1"/>
    <col min="70" max="70" width="14.83203125" style="1" customWidth="1"/>
    <col min="71" max="75" width="14" style="1" customWidth="1"/>
    <col min="76" max="76" width="12" style="1" customWidth="1"/>
    <col min="77" max="16384" width="9" style="1"/>
  </cols>
  <sheetData>
    <row r="1" spans="1:76" x14ac:dyDescent="0.25">
      <c r="D1" s="1" t="s">
        <v>86</v>
      </c>
      <c r="E1" s="1" t="s">
        <v>86</v>
      </c>
      <c r="G1" s="1" t="s">
        <v>87</v>
      </c>
      <c r="H1" s="23" t="s">
        <v>9775</v>
      </c>
      <c r="J1" s="1" t="s">
        <v>88</v>
      </c>
      <c r="K1" s="1" t="s">
        <v>89</v>
      </c>
      <c r="L1" s="1" t="s">
        <v>90</v>
      </c>
      <c r="N1" s="1" t="s">
        <v>91</v>
      </c>
      <c r="P1" s="1" t="s">
        <v>92</v>
      </c>
      <c r="R1" s="1" t="s">
        <v>93</v>
      </c>
      <c r="T1" s="1" t="s">
        <v>94</v>
      </c>
      <c r="V1" s="1" t="s">
        <v>95</v>
      </c>
      <c r="W1" s="1" t="s">
        <v>96</v>
      </c>
      <c r="Y1" s="1" t="s">
        <v>97</v>
      </c>
      <c r="Z1" s="1" t="s">
        <v>98</v>
      </c>
      <c r="AA1" s="1" t="s">
        <v>99</v>
      </c>
      <c r="AB1" s="1" t="s">
        <v>100</v>
      </c>
      <c r="AC1" s="1" t="s">
        <v>101</v>
      </c>
      <c r="AD1" s="1" t="s">
        <v>102</v>
      </c>
      <c r="AE1" s="1" t="s">
        <v>103</v>
      </c>
      <c r="AF1" s="1" t="s">
        <v>9697</v>
      </c>
      <c r="AG1" s="22" t="s">
        <v>9720</v>
      </c>
      <c r="AH1" s="1" t="s">
        <v>104</v>
      </c>
      <c r="AK1" s="1" t="s">
        <v>105</v>
      </c>
      <c r="AL1" s="1" t="s">
        <v>106</v>
      </c>
      <c r="AM1" s="1" t="s">
        <v>107</v>
      </c>
      <c r="AN1" s="22" t="s">
        <v>9763</v>
      </c>
      <c r="AO1" s="22" t="s">
        <v>9762</v>
      </c>
      <c r="AP1" s="1" t="s">
        <v>108</v>
      </c>
      <c r="AQ1" s="1" t="s">
        <v>9691</v>
      </c>
      <c r="AR1" s="1" t="s">
        <v>109</v>
      </c>
      <c r="AS1" s="1" t="s">
        <v>110</v>
      </c>
      <c r="AT1" s="1" t="s">
        <v>111</v>
      </c>
      <c r="AV1" s="1" t="s">
        <v>112</v>
      </c>
      <c r="AW1" s="1" t="s">
        <v>113</v>
      </c>
      <c r="AX1" s="1" t="s">
        <v>114</v>
      </c>
      <c r="AY1" s="1" t="s">
        <v>115</v>
      </c>
      <c r="AZ1" s="1" t="s">
        <v>116</v>
      </c>
      <c r="BA1" s="1" t="s">
        <v>117</v>
      </c>
      <c r="BB1" s="1" t="s">
        <v>118</v>
      </c>
      <c r="BC1" s="1" t="s">
        <v>119</v>
      </c>
      <c r="BD1" s="1" t="s">
        <v>120</v>
      </c>
      <c r="BG1" s="1" t="s">
        <v>121</v>
      </c>
      <c r="BH1" s="1" t="s">
        <v>122</v>
      </c>
      <c r="BI1" s="1" t="s">
        <v>123</v>
      </c>
      <c r="BJ1" s="1" t="s">
        <v>124</v>
      </c>
      <c r="BK1" s="1" t="s">
        <v>125</v>
      </c>
    </row>
    <row r="2" spans="1:76" x14ac:dyDescent="0.25">
      <c r="A2" s="1" t="s">
        <v>0</v>
      </c>
      <c r="B2" s="1" t="s">
        <v>126</v>
      </c>
      <c r="C2" s="1" t="s">
        <v>127</v>
      </c>
      <c r="F2" s="1" t="s">
        <v>128</v>
      </c>
      <c r="G2" s="22" t="s">
        <v>9776</v>
      </c>
      <c r="H2" s="23" t="s">
        <v>9777</v>
      </c>
      <c r="I2" s="1" t="s">
        <v>129</v>
      </c>
      <c r="J2" s="1" t="s">
        <v>130</v>
      </c>
      <c r="K2" s="1" t="s">
        <v>131</v>
      </c>
      <c r="L2" s="1" t="s">
        <v>132</v>
      </c>
      <c r="M2" s="1" t="s">
        <v>133</v>
      </c>
      <c r="N2" s="1" t="s">
        <v>134</v>
      </c>
      <c r="O2" s="1" t="s">
        <v>135</v>
      </c>
      <c r="P2" s="1" t="s">
        <v>136</v>
      </c>
      <c r="Q2" s="1" t="s">
        <v>137</v>
      </c>
      <c r="R2" s="1" t="s">
        <v>138</v>
      </c>
      <c r="S2" s="1" t="s">
        <v>139</v>
      </c>
      <c r="T2" s="1" t="s">
        <v>140</v>
      </c>
      <c r="U2" s="1" t="s">
        <v>141</v>
      </c>
      <c r="V2" s="1" t="s">
        <v>142</v>
      </c>
      <c r="W2" s="1" t="s">
        <v>143</v>
      </c>
      <c r="X2" s="1" t="s">
        <v>144</v>
      </c>
      <c r="Y2" s="1" t="s">
        <v>145</v>
      </c>
      <c r="Z2" s="1" t="s">
        <v>146</v>
      </c>
      <c r="AA2" s="1" t="s">
        <v>147</v>
      </c>
      <c r="AB2" s="1" t="s">
        <v>148</v>
      </c>
      <c r="AC2" s="1" t="s">
        <v>149</v>
      </c>
      <c r="AD2" s="22" t="s">
        <v>9721</v>
      </c>
      <c r="AE2" s="1" t="s">
        <v>150</v>
      </c>
      <c r="AF2" s="1" t="s">
        <v>9698</v>
      </c>
      <c r="AG2" s="22" t="s">
        <v>9722</v>
      </c>
      <c r="AH2" s="1" t="s">
        <v>151</v>
      </c>
      <c r="AI2" s="1" t="s">
        <v>152</v>
      </c>
      <c r="AJ2" s="1" t="s">
        <v>153</v>
      </c>
      <c r="AK2" s="1" t="s">
        <v>154</v>
      </c>
      <c r="AL2" s="1" t="s">
        <v>155</v>
      </c>
      <c r="AM2" s="1" t="s">
        <v>156</v>
      </c>
      <c r="AN2" s="1" t="s">
        <v>157</v>
      </c>
      <c r="AO2" s="22" t="s">
        <v>9764</v>
      </c>
      <c r="AP2" s="1" t="s">
        <v>158</v>
      </c>
      <c r="AQ2" s="1" t="s">
        <v>9692</v>
      </c>
      <c r="AR2" s="1" t="s">
        <v>159</v>
      </c>
      <c r="AS2" s="1" t="s">
        <v>160</v>
      </c>
      <c r="AT2" s="1" t="s">
        <v>161</v>
      </c>
      <c r="AU2" s="1" t="s">
        <v>162</v>
      </c>
      <c r="AV2" s="1" t="s">
        <v>163</v>
      </c>
      <c r="AW2" s="1" t="s">
        <v>164</v>
      </c>
      <c r="AX2" s="1" t="s">
        <v>165</v>
      </c>
      <c r="AY2" s="1" t="s">
        <v>166</v>
      </c>
      <c r="AZ2" s="1" t="s">
        <v>167</v>
      </c>
      <c r="BA2" s="1" t="s">
        <v>168</v>
      </c>
      <c r="BB2" s="22" t="s">
        <v>9761</v>
      </c>
      <c r="BC2" s="1" t="s">
        <v>170</v>
      </c>
      <c r="BD2" s="1" t="s">
        <v>171</v>
      </c>
      <c r="BE2" s="1" t="s">
        <v>172</v>
      </c>
      <c r="BF2" s="1" t="s">
        <v>173</v>
      </c>
      <c r="BG2" s="1" t="s">
        <v>174</v>
      </c>
      <c r="BH2" s="1" t="s">
        <v>175</v>
      </c>
      <c r="BI2" s="1" t="s">
        <v>176</v>
      </c>
      <c r="BJ2" s="1" t="s">
        <v>177</v>
      </c>
      <c r="BK2" s="1" t="s">
        <v>178</v>
      </c>
      <c r="BL2" s="1" t="s">
        <v>179</v>
      </c>
      <c r="BM2" s="1" t="s">
        <v>180</v>
      </c>
      <c r="BN2" s="1" t="s">
        <v>181</v>
      </c>
      <c r="BO2" s="1" t="s">
        <v>182</v>
      </c>
      <c r="BP2" t="s">
        <v>9778</v>
      </c>
      <c r="BQ2" s="1" t="s">
        <v>183</v>
      </c>
      <c r="BR2" s="1" t="s">
        <v>184</v>
      </c>
      <c r="BS2" s="1" t="s">
        <v>185</v>
      </c>
      <c r="BT2" s="1" t="s">
        <v>186</v>
      </c>
      <c r="BU2" s="1" t="s">
        <v>187</v>
      </c>
      <c r="BV2" s="1" t="s">
        <v>188</v>
      </c>
      <c r="BW2" s="1" t="s">
        <v>9779</v>
      </c>
      <c r="BX2" s="1" t="s">
        <v>189</v>
      </c>
    </row>
    <row r="3" spans="1:76" x14ac:dyDescent="0.25">
      <c r="A3" s="1" t="s">
        <v>2</v>
      </c>
      <c r="B3" s="1" t="s">
        <v>2</v>
      </c>
      <c r="C3" s="1" t="s">
        <v>190</v>
      </c>
      <c r="F3" s="1" t="s">
        <v>2</v>
      </c>
      <c r="G3" s="1" t="s">
        <v>191</v>
      </c>
      <c r="H3" s="23" t="s">
        <v>9774</v>
      </c>
      <c r="I3" s="1" t="s">
        <v>2</v>
      </c>
      <c r="J3" s="1" t="s">
        <v>192</v>
      </c>
      <c r="K3" s="1" t="s">
        <v>192</v>
      </c>
      <c r="L3" s="1" t="s">
        <v>192</v>
      </c>
      <c r="M3" s="1" t="s">
        <v>192</v>
      </c>
      <c r="N3" s="1" t="s">
        <v>192</v>
      </c>
      <c r="O3" s="1" t="s">
        <v>192</v>
      </c>
      <c r="P3" s="1" t="s">
        <v>192</v>
      </c>
      <c r="Q3" s="1" t="s">
        <v>192</v>
      </c>
      <c r="R3" s="1" t="s">
        <v>192</v>
      </c>
      <c r="S3" s="1" t="s">
        <v>192</v>
      </c>
      <c r="T3" s="1" t="s">
        <v>192</v>
      </c>
      <c r="U3" s="1" t="s">
        <v>192</v>
      </c>
      <c r="V3" s="1" t="s">
        <v>191</v>
      </c>
      <c r="W3" s="1" t="s">
        <v>192</v>
      </c>
      <c r="X3" s="1" t="s">
        <v>192</v>
      </c>
      <c r="Y3" s="1" t="s">
        <v>191</v>
      </c>
      <c r="Z3" s="1" t="s">
        <v>191</v>
      </c>
      <c r="AA3" s="1" t="s">
        <v>191</v>
      </c>
      <c r="AB3" s="1" t="s">
        <v>192</v>
      </c>
      <c r="AC3" s="1" t="s">
        <v>191</v>
      </c>
      <c r="AD3" s="1" t="s">
        <v>192</v>
      </c>
      <c r="AE3" s="1" t="s">
        <v>190</v>
      </c>
      <c r="AF3" s="1" t="s">
        <v>9699</v>
      </c>
      <c r="AG3" s="22" t="s">
        <v>9723</v>
      </c>
      <c r="AH3" s="1" t="s">
        <v>192</v>
      </c>
      <c r="AI3" s="1" t="s">
        <v>192</v>
      </c>
      <c r="AJ3" s="1" t="s">
        <v>2</v>
      </c>
      <c r="AK3" s="1" t="s">
        <v>2</v>
      </c>
      <c r="AL3" s="1" t="s">
        <v>193</v>
      </c>
      <c r="AM3" s="1" t="s">
        <v>193</v>
      </c>
      <c r="AN3" s="22" t="s">
        <v>9766</v>
      </c>
      <c r="AO3" s="22" t="s">
        <v>9766</v>
      </c>
      <c r="AP3" s="1" t="s">
        <v>191</v>
      </c>
      <c r="AQ3" s="1" t="s">
        <v>9693</v>
      </c>
      <c r="AR3" s="1" t="s">
        <v>192</v>
      </c>
      <c r="AS3" s="1" t="s">
        <v>191</v>
      </c>
      <c r="AT3" s="1" t="s">
        <v>190</v>
      </c>
      <c r="AV3" s="1" t="s">
        <v>191</v>
      </c>
      <c r="AW3" s="1" t="s">
        <v>190</v>
      </c>
      <c r="AX3" s="1" t="s">
        <v>192</v>
      </c>
      <c r="AY3" s="1" t="s">
        <v>194</v>
      </c>
      <c r="AZ3" s="1" t="s">
        <v>191</v>
      </c>
      <c r="BA3" s="1" t="s">
        <v>195</v>
      </c>
      <c r="BB3" s="1" t="s">
        <v>190</v>
      </c>
      <c r="BC3" s="1" t="s">
        <v>190</v>
      </c>
      <c r="BD3" s="1" t="s">
        <v>191</v>
      </c>
      <c r="BE3" s="1" t="s">
        <v>196</v>
      </c>
      <c r="BF3" s="1" t="s">
        <v>2</v>
      </c>
      <c r="BG3" s="1" t="s">
        <v>2</v>
      </c>
      <c r="BH3" s="1" t="s">
        <v>2</v>
      </c>
      <c r="BI3" s="1" t="s">
        <v>2</v>
      </c>
      <c r="BJ3" s="1" t="s">
        <v>197</v>
      </c>
      <c r="BK3" s="1" t="s">
        <v>192</v>
      </c>
      <c r="BL3" s="1" t="s">
        <v>2</v>
      </c>
      <c r="BM3" s="1" t="s">
        <v>198</v>
      </c>
      <c r="BN3" s="1" t="s">
        <v>2</v>
      </c>
      <c r="BO3" s="1" t="s">
        <v>199</v>
      </c>
      <c r="BP3" t="s">
        <v>198</v>
      </c>
      <c r="BQ3" s="22" t="s">
        <v>9693</v>
      </c>
      <c r="BR3" s="1" t="s">
        <v>198</v>
      </c>
      <c r="BS3" s="1" t="s">
        <v>198</v>
      </c>
      <c r="BT3" s="1" t="s">
        <v>198</v>
      </c>
      <c r="BU3" s="1" t="s">
        <v>198</v>
      </c>
      <c r="BV3" s="1" t="s">
        <v>198</v>
      </c>
      <c r="BW3" s="1" t="s">
        <v>198</v>
      </c>
      <c r="BX3" s="1" t="s">
        <v>191</v>
      </c>
    </row>
    <row r="4" spans="1:76" x14ac:dyDescent="0.25">
      <c r="A4" s="1">
        <v>0</v>
      </c>
      <c r="D4" s="1" t="s">
        <v>200</v>
      </c>
      <c r="L4" s="1">
        <v>1</v>
      </c>
    </row>
    <row r="5" spans="1:76" x14ac:dyDescent="0.25">
      <c r="A5" s="1" t="s">
        <v>201</v>
      </c>
    </row>
    <row r="6" spans="1:76" x14ac:dyDescent="0.25">
      <c r="A6" s="1" t="s">
        <v>202</v>
      </c>
      <c r="B6" s="1" t="s">
        <v>203</v>
      </c>
      <c r="D6" s="1" t="s">
        <v>204</v>
      </c>
      <c r="E6" s="1" t="s">
        <v>205</v>
      </c>
      <c r="F6" s="1" t="str">
        <f>"enemy_"&amp;E6&amp;"_"&amp;D6</f>
        <v>enemy_1007_slime_2</v>
      </c>
      <c r="G6" s="1">
        <v>1</v>
      </c>
      <c r="L6" s="1">
        <v>1550</v>
      </c>
      <c r="N6" s="1">
        <v>240</v>
      </c>
      <c r="P6" s="1">
        <v>0</v>
      </c>
      <c r="R6" s="1">
        <v>0</v>
      </c>
      <c r="Z6" s="1">
        <v>0.05</v>
      </c>
      <c r="AA6" s="1">
        <v>1</v>
      </c>
      <c r="AC6" s="1">
        <v>1</v>
      </c>
      <c r="AI6" s="1">
        <v>1</v>
      </c>
      <c r="AJ6" s="1" t="s">
        <v>202</v>
      </c>
      <c r="AK6" s="1" t="s">
        <v>206</v>
      </c>
      <c r="AN6" s="22" t="s">
        <v>9767</v>
      </c>
      <c r="AX6" s="1">
        <v>1</v>
      </c>
      <c r="AZ6" s="1">
        <v>0.25</v>
      </c>
      <c r="BG6" s="1" t="str">
        <f>"enemy_"&amp;E6&amp;"_"&amp;D6</f>
        <v>enemy_1007_slime_2</v>
      </c>
      <c r="BQ6" s="1" t="s">
        <v>207</v>
      </c>
      <c r="BR6" s="1" t="s">
        <v>208</v>
      </c>
      <c r="BS6" s="1" t="s">
        <v>209</v>
      </c>
      <c r="BT6" s="1" t="s">
        <v>210</v>
      </c>
      <c r="BX6" s="1">
        <v>1</v>
      </c>
    </row>
    <row r="7" spans="1:76" x14ac:dyDescent="0.25">
      <c r="A7" s="1" t="s">
        <v>211</v>
      </c>
      <c r="B7" s="1" t="s">
        <v>203</v>
      </c>
      <c r="D7" s="1" t="s">
        <v>212</v>
      </c>
      <c r="E7" s="1" t="s">
        <v>213</v>
      </c>
      <c r="F7" s="1" t="str">
        <f t="shared" ref="F7:F10" si="0">"enemy_"&amp;E7&amp;"_"&amp;D7</f>
        <v>enemy_1000_gopro</v>
      </c>
      <c r="G7" s="1">
        <v>1</v>
      </c>
      <c r="L7" s="1">
        <v>1700</v>
      </c>
      <c r="N7" s="1">
        <v>260</v>
      </c>
      <c r="P7" s="1">
        <v>0</v>
      </c>
      <c r="R7" s="1">
        <v>20</v>
      </c>
      <c r="Z7" s="1">
        <v>0.05</v>
      </c>
      <c r="AA7" s="1">
        <v>1</v>
      </c>
      <c r="AC7" s="1">
        <v>1.9</v>
      </c>
      <c r="AI7" s="1">
        <v>1</v>
      </c>
      <c r="AJ7" s="1" t="s">
        <v>214</v>
      </c>
      <c r="AK7" s="1" t="s">
        <v>215</v>
      </c>
      <c r="AL7" s="1" t="s">
        <v>216</v>
      </c>
      <c r="AN7" s="22" t="s">
        <v>9767</v>
      </c>
      <c r="AX7" s="1">
        <v>1</v>
      </c>
      <c r="AZ7" s="1">
        <v>0.25</v>
      </c>
      <c r="BG7" s="1" t="str">
        <f t="shared" ref="BG7:BG38" si="1">"enemy_"&amp;E7&amp;"_"&amp;D7</f>
        <v>enemy_1000_gopro</v>
      </c>
      <c r="BQ7" s="1" t="s">
        <v>207</v>
      </c>
      <c r="BR7" s="1" t="s">
        <v>208</v>
      </c>
      <c r="BS7" s="1" t="s">
        <v>217</v>
      </c>
      <c r="BT7" s="1" t="s">
        <v>210</v>
      </c>
      <c r="BX7" s="1">
        <v>1</v>
      </c>
    </row>
    <row r="8" spans="1:76" x14ac:dyDescent="0.25">
      <c r="A8" s="1" t="s">
        <v>218</v>
      </c>
      <c r="B8" s="1" t="s">
        <v>203</v>
      </c>
      <c r="D8" s="1" t="s">
        <v>212</v>
      </c>
      <c r="E8" s="1" t="s">
        <v>213</v>
      </c>
      <c r="F8" s="1" t="str">
        <f t="shared" si="0"/>
        <v>enemy_1000_gopro</v>
      </c>
      <c r="G8" s="1">
        <v>1</v>
      </c>
      <c r="L8" s="1">
        <v>170000</v>
      </c>
      <c r="N8" s="1">
        <v>26000</v>
      </c>
      <c r="P8" s="1">
        <v>0</v>
      </c>
      <c r="R8" s="1">
        <v>20</v>
      </c>
      <c r="Z8" s="1">
        <v>0.05</v>
      </c>
      <c r="AA8" s="1">
        <v>1</v>
      </c>
      <c r="AC8" s="1">
        <v>1.9</v>
      </c>
      <c r="AI8" s="1">
        <v>1</v>
      </c>
      <c r="AJ8" s="1" t="s">
        <v>218</v>
      </c>
      <c r="AK8" s="1" t="s">
        <v>215</v>
      </c>
      <c r="AL8" s="1" t="s">
        <v>219</v>
      </c>
      <c r="AN8" s="22" t="s">
        <v>9767</v>
      </c>
      <c r="AX8" s="1">
        <v>1</v>
      </c>
      <c r="AZ8" s="1">
        <v>0.25</v>
      </c>
      <c r="BG8" s="1" t="str">
        <f t="shared" si="1"/>
        <v>enemy_1000_gopro</v>
      </c>
      <c r="BQ8" s="1" t="s">
        <v>207</v>
      </c>
      <c r="BR8" s="1" t="s">
        <v>208</v>
      </c>
      <c r="BS8" s="1" t="s">
        <v>217</v>
      </c>
      <c r="BT8" s="1" t="s">
        <v>210</v>
      </c>
      <c r="BX8" s="1">
        <v>1</v>
      </c>
    </row>
    <row r="9" spans="1:76" x14ac:dyDescent="0.25">
      <c r="A9" s="1" t="s">
        <v>220</v>
      </c>
      <c r="B9" s="1" t="s">
        <v>203</v>
      </c>
      <c r="D9" s="1" t="s">
        <v>221</v>
      </c>
      <c r="E9" s="1" t="s">
        <v>222</v>
      </c>
      <c r="F9" s="1" t="str">
        <f t="shared" si="0"/>
        <v>enemy_1006_shield_2</v>
      </c>
      <c r="G9" s="1">
        <v>1</v>
      </c>
      <c r="L9" s="1">
        <v>6000</v>
      </c>
      <c r="N9" s="1">
        <v>600</v>
      </c>
      <c r="P9" s="1">
        <v>800</v>
      </c>
      <c r="R9" s="1">
        <v>0</v>
      </c>
      <c r="Z9" s="1">
        <v>0.05</v>
      </c>
      <c r="AA9" s="1">
        <v>1</v>
      </c>
      <c r="AB9" s="1">
        <v>1</v>
      </c>
      <c r="AC9" s="1">
        <v>0.75</v>
      </c>
      <c r="AI9" s="1">
        <v>1</v>
      </c>
      <c r="AJ9" s="1" t="s">
        <v>223</v>
      </c>
      <c r="AK9" s="1" t="s">
        <v>206</v>
      </c>
      <c r="AL9" s="1" t="s">
        <v>216</v>
      </c>
      <c r="AN9" s="22" t="s">
        <v>9767</v>
      </c>
      <c r="AX9" s="1">
        <v>1</v>
      </c>
      <c r="AZ9" s="1">
        <v>0.25</v>
      </c>
      <c r="BG9" s="1" t="str">
        <f t="shared" si="1"/>
        <v>enemy_1006_shield_2</v>
      </c>
      <c r="BQ9" s="1" t="s">
        <v>207</v>
      </c>
      <c r="BR9" s="1" t="s">
        <v>208</v>
      </c>
      <c r="BS9" s="1" t="s">
        <v>209</v>
      </c>
      <c r="BT9" s="1" t="s">
        <v>210</v>
      </c>
      <c r="BX9" s="1">
        <v>1</v>
      </c>
    </row>
    <row r="10" spans="1:76" x14ac:dyDescent="0.25">
      <c r="A10" s="1" t="s">
        <v>224</v>
      </c>
      <c r="B10" s="1" t="s">
        <v>203</v>
      </c>
      <c r="D10" s="1" t="s">
        <v>212</v>
      </c>
      <c r="E10" s="1" t="s">
        <v>213</v>
      </c>
      <c r="F10" s="1" t="str">
        <f t="shared" si="0"/>
        <v>enemy_1000_gopro</v>
      </c>
      <c r="G10" s="1">
        <v>1</v>
      </c>
      <c r="L10" s="1">
        <v>1700</v>
      </c>
      <c r="N10" s="1">
        <v>260</v>
      </c>
      <c r="P10" s="1">
        <v>0</v>
      </c>
      <c r="R10" s="1">
        <v>20</v>
      </c>
      <c r="Z10" s="1">
        <v>0.05</v>
      </c>
      <c r="AA10" s="1">
        <v>1</v>
      </c>
      <c r="AC10" s="1">
        <v>1.9</v>
      </c>
      <c r="AI10" s="1">
        <v>1</v>
      </c>
      <c r="AJ10" s="1" t="s">
        <v>224</v>
      </c>
      <c r="AK10" s="1" t="s">
        <v>215</v>
      </c>
      <c r="AL10" s="1" t="s">
        <v>216</v>
      </c>
      <c r="AN10" s="22" t="s">
        <v>9767</v>
      </c>
      <c r="AX10" s="1">
        <v>1</v>
      </c>
      <c r="AZ10" s="1">
        <v>0.25</v>
      </c>
      <c r="BG10" s="1" t="str">
        <f t="shared" si="1"/>
        <v>enemy_1000_gopro</v>
      </c>
      <c r="BQ10" s="1" t="s">
        <v>207</v>
      </c>
      <c r="BR10" s="1" t="s">
        <v>208</v>
      </c>
      <c r="BS10" s="1" t="s">
        <v>217</v>
      </c>
      <c r="BT10" s="1" t="s">
        <v>210</v>
      </c>
      <c r="BX10" s="1">
        <v>1</v>
      </c>
    </row>
    <row r="11" spans="1:76" x14ac:dyDescent="0.25">
      <c r="A11" s="1" t="s">
        <v>225</v>
      </c>
      <c r="B11" s="1" t="s">
        <v>203</v>
      </c>
      <c r="D11" s="1" t="s">
        <v>226</v>
      </c>
      <c r="E11" s="1" t="s">
        <v>227</v>
      </c>
      <c r="F11" s="1" t="str">
        <f t="shared" ref="F11" si="2">"enemy_"&amp;E11&amp;"_"&amp;D11</f>
        <v>enemy_1015_litamr_2</v>
      </c>
      <c r="G11" s="1">
        <v>1</v>
      </c>
      <c r="L11" s="1">
        <v>3700</v>
      </c>
      <c r="N11" s="1">
        <v>600</v>
      </c>
      <c r="P11" s="1">
        <v>500</v>
      </c>
      <c r="R11" s="1">
        <v>0</v>
      </c>
      <c r="Z11" s="1">
        <v>0.05</v>
      </c>
      <c r="AA11" s="1">
        <v>2</v>
      </c>
      <c r="AB11" s="1">
        <v>1</v>
      </c>
      <c r="AC11" s="1">
        <v>1</v>
      </c>
      <c r="AI11" s="1">
        <v>1</v>
      </c>
      <c r="AJ11" s="1" t="s">
        <v>225</v>
      </c>
      <c r="AK11" s="1" t="s">
        <v>215</v>
      </c>
      <c r="AL11" s="1" t="s">
        <v>228</v>
      </c>
      <c r="AN11" s="22" t="s">
        <v>9767</v>
      </c>
      <c r="AX11" s="1">
        <v>1</v>
      </c>
      <c r="AZ11" s="1">
        <v>0.25</v>
      </c>
      <c r="BG11" s="1" t="str">
        <f t="shared" si="1"/>
        <v>enemy_1015_litamr_2</v>
      </c>
      <c r="BQ11" s="1" t="s">
        <v>207</v>
      </c>
      <c r="BR11" s="1" t="s">
        <v>208</v>
      </c>
      <c r="BS11" s="1" t="s">
        <v>229</v>
      </c>
      <c r="BT11" s="1" t="s">
        <v>210</v>
      </c>
      <c r="BX11" s="1">
        <v>1</v>
      </c>
    </row>
    <row r="12" spans="1:76" x14ac:dyDescent="0.25">
      <c r="A12" s="1" t="s">
        <v>230</v>
      </c>
      <c r="B12" s="1" t="s">
        <v>203</v>
      </c>
      <c r="D12" s="1" t="s">
        <v>231</v>
      </c>
      <c r="E12" s="1" t="s">
        <v>232</v>
      </c>
      <c r="F12" s="1" t="str">
        <f t="shared" ref="F12:F15" si="3">"enemy_"&amp;E12&amp;"_"&amp;D12</f>
        <v>enemy_1510_frstar2</v>
      </c>
      <c r="G12" s="1">
        <v>1</v>
      </c>
      <c r="L12" s="1">
        <v>45000</v>
      </c>
      <c r="N12" s="1">
        <v>530</v>
      </c>
      <c r="P12" s="1">
        <v>440</v>
      </c>
      <c r="R12" s="1">
        <v>50</v>
      </c>
      <c r="Z12" s="1">
        <v>0.05</v>
      </c>
      <c r="AA12" s="1">
        <v>1</v>
      </c>
      <c r="AB12" s="1">
        <v>6</v>
      </c>
      <c r="AC12" s="1">
        <v>0.5</v>
      </c>
      <c r="AI12" s="1">
        <v>1</v>
      </c>
      <c r="AJ12" s="1" t="s">
        <v>230</v>
      </c>
      <c r="AK12" s="1" t="s">
        <v>233</v>
      </c>
      <c r="AL12" s="1" t="s">
        <v>234</v>
      </c>
      <c r="AN12" s="22" t="s">
        <v>9770</v>
      </c>
      <c r="AO12" s="22" t="s">
        <v>9769</v>
      </c>
      <c r="AX12" s="1">
        <v>2</v>
      </c>
      <c r="AZ12" s="1">
        <v>0.25</v>
      </c>
      <c r="BG12" s="1" t="str">
        <f t="shared" si="1"/>
        <v>enemy_1510_frstar2</v>
      </c>
      <c r="BQ12" s="1" t="s">
        <v>207</v>
      </c>
      <c r="BR12" s="1" t="s">
        <v>208</v>
      </c>
      <c r="BS12" s="1" t="s">
        <v>229</v>
      </c>
      <c r="BT12" s="1" t="s">
        <v>210</v>
      </c>
      <c r="BX12" s="1">
        <v>1</v>
      </c>
    </row>
    <row r="13" spans="1:76" x14ac:dyDescent="0.25">
      <c r="A13" s="1" t="s">
        <v>235</v>
      </c>
      <c r="B13" s="1" t="s">
        <v>203</v>
      </c>
      <c r="D13" s="1" t="s">
        <v>236</v>
      </c>
      <c r="E13" s="1" t="s">
        <v>237</v>
      </c>
      <c r="F13" s="1" t="str">
        <f t="shared" si="3"/>
        <v>enemy_1064_snsbr</v>
      </c>
      <c r="G13" s="1">
        <v>1</v>
      </c>
      <c r="L13" s="1">
        <v>5000</v>
      </c>
      <c r="N13" s="1">
        <v>380</v>
      </c>
      <c r="P13" s="1">
        <v>135</v>
      </c>
      <c r="R13" s="1">
        <v>0</v>
      </c>
      <c r="Z13" s="1">
        <v>0.05</v>
      </c>
      <c r="AA13" s="1">
        <v>2</v>
      </c>
      <c r="AB13" s="1">
        <v>1</v>
      </c>
      <c r="AC13" s="1">
        <v>1.1000000000000001</v>
      </c>
      <c r="AI13" s="1">
        <v>1</v>
      </c>
      <c r="AJ13" s="1" t="s">
        <v>235</v>
      </c>
      <c r="AK13" s="1" t="s">
        <v>206</v>
      </c>
      <c r="AL13" s="1" t="s">
        <v>238</v>
      </c>
      <c r="AN13" s="22" t="s">
        <v>9767</v>
      </c>
      <c r="AX13" s="1">
        <v>1</v>
      </c>
      <c r="AZ13" s="1">
        <v>0.25</v>
      </c>
      <c r="BG13" s="1" t="str">
        <f t="shared" si="1"/>
        <v>enemy_1064_snsbr</v>
      </c>
      <c r="BQ13" s="1" t="s">
        <v>207</v>
      </c>
      <c r="BR13" s="1" t="s">
        <v>208</v>
      </c>
      <c r="BS13" s="1" t="s">
        <v>239</v>
      </c>
      <c r="BT13" s="1" t="s">
        <v>210</v>
      </c>
      <c r="BX13" s="1">
        <v>1</v>
      </c>
    </row>
    <row r="14" spans="1:76" x14ac:dyDescent="0.25">
      <c r="A14" s="1" t="s">
        <v>240</v>
      </c>
      <c r="B14" s="1" t="s">
        <v>203</v>
      </c>
      <c r="D14" s="1" t="s">
        <v>241</v>
      </c>
      <c r="E14" s="1" t="s">
        <v>242</v>
      </c>
      <c r="F14" s="1" t="str">
        <f t="shared" si="3"/>
        <v>enemy_1065_snwolf_2</v>
      </c>
      <c r="G14" s="1">
        <v>1</v>
      </c>
      <c r="L14" s="1">
        <v>4650</v>
      </c>
      <c r="N14" s="1">
        <v>430</v>
      </c>
      <c r="P14" s="1">
        <v>0</v>
      </c>
      <c r="R14" s="1">
        <v>30</v>
      </c>
      <c r="Z14" s="1">
        <v>0.05</v>
      </c>
      <c r="AA14" s="1">
        <v>1</v>
      </c>
      <c r="AC14" s="1">
        <v>1.9</v>
      </c>
      <c r="AI14" s="1">
        <v>1</v>
      </c>
      <c r="AJ14" s="1" t="s">
        <v>243</v>
      </c>
      <c r="AK14" s="1" t="s">
        <v>244</v>
      </c>
      <c r="AL14" s="1" t="s">
        <v>216</v>
      </c>
      <c r="AN14" s="22" t="s">
        <v>9767</v>
      </c>
      <c r="AX14" s="1">
        <v>1</v>
      </c>
      <c r="AZ14" s="1">
        <v>0.25</v>
      </c>
      <c r="BG14" s="1" t="str">
        <f t="shared" si="1"/>
        <v>enemy_1065_snwolf_2</v>
      </c>
      <c r="BQ14" s="1" t="s">
        <v>207</v>
      </c>
      <c r="BR14" s="1" t="s">
        <v>208</v>
      </c>
      <c r="BS14" s="1" t="s">
        <v>239</v>
      </c>
      <c r="BT14" s="1" t="s">
        <v>210</v>
      </c>
      <c r="BX14" s="1">
        <v>1</v>
      </c>
    </row>
    <row r="15" spans="1:76" x14ac:dyDescent="0.25">
      <c r="A15" s="1" t="s">
        <v>245</v>
      </c>
      <c r="B15" s="1" t="s">
        <v>203</v>
      </c>
      <c r="D15" s="1" t="s">
        <v>246</v>
      </c>
      <c r="E15" s="1" t="s">
        <v>247</v>
      </c>
      <c r="F15" s="1" t="str">
        <f t="shared" si="3"/>
        <v>enemy_1067_snslime_2</v>
      </c>
      <c r="G15" s="1">
        <v>1</v>
      </c>
      <c r="L15" s="1">
        <v>4850</v>
      </c>
      <c r="N15" s="1">
        <v>370</v>
      </c>
      <c r="P15" s="1">
        <v>0</v>
      </c>
      <c r="R15" s="1">
        <v>0</v>
      </c>
      <c r="Z15" s="1">
        <v>0.05</v>
      </c>
      <c r="AA15" s="1">
        <v>1</v>
      </c>
      <c r="AC15" s="1">
        <v>1</v>
      </c>
      <c r="AI15" s="1">
        <v>1</v>
      </c>
      <c r="AJ15" s="1" t="s">
        <v>248</v>
      </c>
      <c r="AK15" s="1" t="s">
        <v>249</v>
      </c>
      <c r="AL15" s="1" t="s">
        <v>250</v>
      </c>
      <c r="AN15" s="22" t="s">
        <v>9767</v>
      </c>
      <c r="AX15" s="1">
        <v>1</v>
      </c>
      <c r="AZ15" s="1">
        <v>0.25</v>
      </c>
      <c r="BG15" s="1" t="str">
        <f t="shared" si="1"/>
        <v>enemy_1067_snslime_2</v>
      </c>
      <c r="BQ15" s="1" t="s">
        <v>207</v>
      </c>
      <c r="BR15" s="1" t="s">
        <v>208</v>
      </c>
      <c r="BS15" s="1" t="s">
        <v>229</v>
      </c>
      <c r="BT15" s="1" t="s">
        <v>210</v>
      </c>
      <c r="BX15" s="1">
        <v>1</v>
      </c>
    </row>
    <row r="16" spans="1:76" x14ac:dyDescent="0.25">
      <c r="A16" s="1" t="s">
        <v>251</v>
      </c>
      <c r="B16" s="1" t="s">
        <v>203</v>
      </c>
      <c r="D16" s="1" t="s">
        <v>252</v>
      </c>
      <c r="E16" s="1" t="s">
        <v>253</v>
      </c>
      <c r="F16" s="1" t="str">
        <f t="shared" ref="F16" si="4">"enemy_"&amp;E16&amp;"_"&amp;D16</f>
        <v>enemy_1068_snmage_2</v>
      </c>
      <c r="G16" s="1">
        <v>1</v>
      </c>
      <c r="L16" s="1">
        <v>8000</v>
      </c>
      <c r="N16" s="1">
        <v>400</v>
      </c>
      <c r="P16" s="1">
        <v>250</v>
      </c>
      <c r="R16" s="1">
        <v>50</v>
      </c>
      <c r="Z16" s="1">
        <v>0.05</v>
      </c>
      <c r="AA16" s="1">
        <v>1</v>
      </c>
      <c r="AB16" s="1">
        <v>2</v>
      </c>
      <c r="AC16" s="1">
        <v>0.8</v>
      </c>
      <c r="AI16" s="1">
        <v>1</v>
      </c>
      <c r="AJ16" s="1" t="s">
        <v>254</v>
      </c>
      <c r="AK16" s="1" t="s">
        <v>233</v>
      </c>
      <c r="AL16" s="1" t="s">
        <v>255</v>
      </c>
      <c r="AN16" s="22" t="s">
        <v>9767</v>
      </c>
      <c r="AX16" s="1">
        <v>1</v>
      </c>
      <c r="AZ16" s="1">
        <v>0.25</v>
      </c>
      <c r="BG16" s="1" t="str">
        <f t="shared" si="1"/>
        <v>enemy_1068_snmage_2</v>
      </c>
      <c r="BQ16" s="1" t="s">
        <v>207</v>
      </c>
      <c r="BR16" s="1" t="s">
        <v>208</v>
      </c>
      <c r="BS16" s="1" t="s">
        <v>229</v>
      </c>
      <c r="BT16" s="1" t="s">
        <v>210</v>
      </c>
      <c r="BX16" s="1">
        <v>1</v>
      </c>
    </row>
    <row r="17" spans="1:76" x14ac:dyDescent="0.25">
      <c r="A17" s="1" t="s">
        <v>256</v>
      </c>
      <c r="B17" s="1" t="s">
        <v>203</v>
      </c>
      <c r="D17" s="1" t="s">
        <v>257</v>
      </c>
      <c r="E17" s="1" t="s">
        <v>258</v>
      </c>
      <c r="F17" s="1" t="str">
        <f t="shared" ref="F17:F19" si="5">"enemy_"&amp;E17&amp;"_"&amp;D17</f>
        <v>enemy_1066_snbow_2</v>
      </c>
      <c r="G17" s="1">
        <v>1</v>
      </c>
      <c r="L17" s="1">
        <v>3500</v>
      </c>
      <c r="N17" s="1">
        <v>360</v>
      </c>
      <c r="P17" s="1">
        <v>100</v>
      </c>
      <c r="R17" s="1">
        <v>0</v>
      </c>
      <c r="Z17" s="1">
        <v>0.05</v>
      </c>
      <c r="AA17" s="1">
        <v>1</v>
      </c>
      <c r="AB17" s="1">
        <v>2</v>
      </c>
      <c r="AC17" s="1">
        <v>0.9</v>
      </c>
      <c r="AI17" s="1">
        <v>1</v>
      </c>
      <c r="AJ17" s="1" t="s">
        <v>259</v>
      </c>
      <c r="AK17" s="1" t="s">
        <v>215</v>
      </c>
      <c r="AL17" s="1" t="s">
        <v>260</v>
      </c>
      <c r="AN17" s="22" t="s">
        <v>9767</v>
      </c>
      <c r="AX17" s="1">
        <v>1</v>
      </c>
      <c r="AZ17" s="1">
        <v>0.25</v>
      </c>
      <c r="BG17" s="1" t="str">
        <f t="shared" si="1"/>
        <v>enemy_1066_snbow_2</v>
      </c>
      <c r="BQ17" s="1" t="s">
        <v>207</v>
      </c>
      <c r="BR17" s="1" t="s">
        <v>208</v>
      </c>
      <c r="BS17" s="1" t="s">
        <v>229</v>
      </c>
      <c r="BT17" s="1" t="s">
        <v>210</v>
      </c>
      <c r="BX17" s="1">
        <v>1</v>
      </c>
    </row>
    <row r="18" spans="1:76" x14ac:dyDescent="0.25">
      <c r="A18" s="1" t="s">
        <v>261</v>
      </c>
      <c r="B18" s="1" t="s">
        <v>203</v>
      </c>
      <c r="D18" s="1" t="s">
        <v>262</v>
      </c>
      <c r="E18" s="1" t="s">
        <v>263</v>
      </c>
      <c r="F18" s="1" t="str">
        <f t="shared" ref="F18" si="6">"enemy_"&amp;E18&amp;"_"&amp;D18</f>
        <v>enemy_1069_icebrk_2</v>
      </c>
      <c r="G18" s="1">
        <v>1</v>
      </c>
      <c r="L18" s="1">
        <v>25000</v>
      </c>
      <c r="N18" s="1">
        <v>1100</v>
      </c>
      <c r="P18" s="1">
        <v>600</v>
      </c>
      <c r="R18" s="1">
        <v>20</v>
      </c>
      <c r="Z18" s="1">
        <v>0.05</v>
      </c>
      <c r="AA18" s="1">
        <v>1</v>
      </c>
      <c r="AB18" s="1">
        <v>3</v>
      </c>
      <c r="AC18" s="1">
        <v>0.7</v>
      </c>
      <c r="AI18" s="1">
        <v>1</v>
      </c>
      <c r="AJ18" s="1" t="s">
        <v>264</v>
      </c>
      <c r="AK18" s="1" t="s">
        <v>265</v>
      </c>
      <c r="AL18" s="1" t="s">
        <v>266</v>
      </c>
      <c r="AN18" s="22" t="s">
        <v>9767</v>
      </c>
      <c r="AX18" s="1">
        <v>1</v>
      </c>
      <c r="AZ18" s="1">
        <v>0.25</v>
      </c>
      <c r="BG18" s="1" t="str">
        <f t="shared" si="1"/>
        <v>enemy_1069_icebrk_2</v>
      </c>
      <c r="BQ18" s="1" t="s">
        <v>207</v>
      </c>
      <c r="BR18" s="1" t="s">
        <v>208</v>
      </c>
      <c r="BS18" s="1" t="s">
        <v>229</v>
      </c>
      <c r="BT18" s="1" t="s">
        <v>210</v>
      </c>
      <c r="BX18" s="1">
        <v>1</v>
      </c>
    </row>
    <row r="19" spans="1:76" x14ac:dyDescent="0.25">
      <c r="A19" s="1" t="s">
        <v>267</v>
      </c>
      <c r="B19" s="1" t="s">
        <v>203</v>
      </c>
      <c r="D19" s="1" t="s">
        <v>268</v>
      </c>
      <c r="E19" s="1" t="s">
        <v>269</v>
      </c>
      <c r="F19" s="1" t="str">
        <f t="shared" si="5"/>
        <v>enemy_1024_mortar_2</v>
      </c>
      <c r="G19" s="1">
        <v>1</v>
      </c>
      <c r="L19" s="1">
        <v>5000</v>
      </c>
      <c r="N19" s="1">
        <v>550</v>
      </c>
      <c r="P19" s="1">
        <v>150</v>
      </c>
      <c r="R19" s="1">
        <v>0</v>
      </c>
      <c r="Z19" s="1">
        <v>0.05</v>
      </c>
      <c r="AA19" s="1">
        <v>1</v>
      </c>
      <c r="AB19" s="1">
        <v>2</v>
      </c>
      <c r="AC19" s="1">
        <v>0.8</v>
      </c>
      <c r="AI19" s="1">
        <v>1</v>
      </c>
      <c r="AJ19" s="1" t="s">
        <v>267</v>
      </c>
      <c r="AK19" s="1" t="s">
        <v>249</v>
      </c>
      <c r="AL19" s="1" t="s">
        <v>270</v>
      </c>
      <c r="AN19" s="22" t="s">
        <v>9767</v>
      </c>
      <c r="AX19" s="1">
        <v>1</v>
      </c>
      <c r="AZ19" s="1">
        <v>0.25</v>
      </c>
      <c r="BG19" s="1" t="str">
        <f t="shared" si="1"/>
        <v>enemy_1024_mortar_2</v>
      </c>
      <c r="BQ19" s="1" t="s">
        <v>207</v>
      </c>
      <c r="BR19" s="1" t="s">
        <v>271</v>
      </c>
      <c r="BS19" s="1" t="s">
        <v>229</v>
      </c>
      <c r="BT19" s="1" t="s">
        <v>210</v>
      </c>
      <c r="BX19" s="1">
        <v>1</v>
      </c>
    </row>
    <row r="20" spans="1:76" x14ac:dyDescent="0.25">
      <c r="A20" s="1" t="s">
        <v>272</v>
      </c>
      <c r="B20" s="1" t="s">
        <v>203</v>
      </c>
      <c r="D20" s="1" t="s">
        <v>273</v>
      </c>
      <c r="E20" s="1" t="s">
        <v>274</v>
      </c>
      <c r="F20" s="1" t="str">
        <f t="shared" ref="F20:F21" si="7">"enemy_"&amp;E20&amp;"_"&amp;D20</f>
        <v>enemy_1005_yokai</v>
      </c>
      <c r="G20" s="1">
        <v>0.5</v>
      </c>
      <c r="L20" s="1">
        <v>800</v>
      </c>
      <c r="N20" s="1">
        <v>0</v>
      </c>
      <c r="P20" s="1">
        <v>50</v>
      </c>
      <c r="R20" s="1">
        <v>0</v>
      </c>
      <c r="Z20" s="1">
        <v>0.05</v>
      </c>
      <c r="AA20" s="1">
        <v>2.2999999999999998</v>
      </c>
      <c r="AB20" s="1">
        <v>0</v>
      </c>
      <c r="AC20" s="1">
        <v>0.9</v>
      </c>
      <c r="AI20" s="1">
        <v>1</v>
      </c>
      <c r="AJ20" s="1" t="s">
        <v>275</v>
      </c>
      <c r="AK20" s="1" t="s">
        <v>206</v>
      </c>
      <c r="AN20" s="22" t="s">
        <v>9767</v>
      </c>
      <c r="AP20" s="1">
        <v>1</v>
      </c>
      <c r="AX20" s="1">
        <v>1</v>
      </c>
      <c r="AZ20" s="1">
        <v>0.25</v>
      </c>
      <c r="BG20" s="1" t="str">
        <f t="shared" si="1"/>
        <v>enemy_1005_yokai</v>
      </c>
      <c r="BQ20" s="1" t="s">
        <v>207</v>
      </c>
      <c r="BR20" s="1" t="s">
        <v>208</v>
      </c>
      <c r="BS20" s="1" t="s">
        <v>209</v>
      </c>
      <c r="BT20" s="1" t="s">
        <v>210</v>
      </c>
      <c r="BX20" s="1">
        <v>1</v>
      </c>
    </row>
    <row r="21" spans="1:76" x14ac:dyDescent="0.25">
      <c r="A21" s="1" t="s">
        <v>276</v>
      </c>
      <c r="B21" s="1" t="s">
        <v>203</v>
      </c>
      <c r="D21" s="1" t="s">
        <v>273</v>
      </c>
      <c r="E21" s="1" t="s">
        <v>274</v>
      </c>
      <c r="F21" s="1" t="str">
        <f t="shared" si="7"/>
        <v>enemy_1005_yokai</v>
      </c>
      <c r="G21" s="1">
        <v>0.5</v>
      </c>
      <c r="L21" s="1">
        <v>1550</v>
      </c>
      <c r="N21" s="1">
        <v>220</v>
      </c>
      <c r="P21" s="1">
        <v>50</v>
      </c>
      <c r="R21" s="1">
        <v>0</v>
      </c>
      <c r="Z21" s="1">
        <v>0.05</v>
      </c>
      <c r="AA21" s="1">
        <v>3</v>
      </c>
      <c r="AB21" s="1">
        <v>0</v>
      </c>
      <c r="AC21" s="1">
        <v>0.9</v>
      </c>
      <c r="AI21" s="1">
        <v>1</v>
      </c>
      <c r="AJ21" s="1" t="s">
        <v>277</v>
      </c>
      <c r="AK21" s="1" t="s">
        <v>206</v>
      </c>
      <c r="AL21" s="1" t="s">
        <v>278</v>
      </c>
      <c r="AN21" s="22" t="s">
        <v>9767</v>
      </c>
      <c r="AP21" s="1">
        <v>1</v>
      </c>
      <c r="AX21" s="1">
        <v>1</v>
      </c>
      <c r="AZ21" s="1">
        <v>0.25</v>
      </c>
      <c r="BG21" s="1" t="str">
        <f t="shared" si="1"/>
        <v>enemy_1005_yokai</v>
      </c>
      <c r="BQ21" s="1" t="s">
        <v>207</v>
      </c>
      <c r="BR21" s="1" t="s">
        <v>208</v>
      </c>
      <c r="BS21" s="1" t="s">
        <v>209</v>
      </c>
      <c r="BT21" s="1" t="s">
        <v>210</v>
      </c>
      <c r="BX21" s="1">
        <v>1</v>
      </c>
    </row>
    <row r="22" spans="1:76" x14ac:dyDescent="0.25">
      <c r="A22" s="1" t="s">
        <v>279</v>
      </c>
      <c r="B22" s="1" t="s">
        <v>203</v>
      </c>
      <c r="D22" s="1" t="s">
        <v>280</v>
      </c>
      <c r="E22" s="1" t="s">
        <v>281</v>
      </c>
      <c r="F22" s="1" t="str">
        <f t="shared" ref="F22" si="8">"enemy_"&amp;E22&amp;"_"&amp;D22</f>
        <v>enemy_1502_crowns</v>
      </c>
      <c r="G22" s="1">
        <v>1</v>
      </c>
      <c r="L22" s="1">
        <v>6000</v>
      </c>
      <c r="N22" s="1">
        <v>400</v>
      </c>
      <c r="P22" s="1">
        <v>120</v>
      </c>
      <c r="R22" s="1">
        <v>50</v>
      </c>
      <c r="Z22" s="1">
        <v>0.05</v>
      </c>
      <c r="AA22" s="1">
        <v>2.8</v>
      </c>
      <c r="AB22" s="1">
        <v>1</v>
      </c>
      <c r="AC22" s="1">
        <v>1.4</v>
      </c>
      <c r="AI22" s="1">
        <v>1</v>
      </c>
      <c r="AJ22" s="1" t="s">
        <v>279</v>
      </c>
      <c r="AK22" s="1" t="s">
        <v>233</v>
      </c>
      <c r="AL22" s="1" t="s">
        <v>282</v>
      </c>
      <c r="AN22" s="22" t="s">
        <v>9772</v>
      </c>
      <c r="AX22" s="1">
        <v>2</v>
      </c>
      <c r="AZ22" s="1">
        <v>0.25</v>
      </c>
      <c r="BG22" s="1" t="str">
        <f t="shared" si="1"/>
        <v>enemy_1502_crowns</v>
      </c>
      <c r="BQ22" s="1" t="s">
        <v>207</v>
      </c>
      <c r="BR22" s="1" t="s">
        <v>208</v>
      </c>
      <c r="BS22" s="1" t="s">
        <v>229</v>
      </c>
      <c r="BT22" s="1" t="s">
        <v>210</v>
      </c>
      <c r="BX22" s="1">
        <v>1</v>
      </c>
    </row>
    <row r="23" spans="1:76" x14ac:dyDescent="0.25">
      <c r="BG23" s="1" t="str">
        <f t="shared" si="1"/>
        <v>enemy__</v>
      </c>
    </row>
    <row r="24" spans="1:76" x14ac:dyDescent="0.25">
      <c r="A24" s="1" t="s">
        <v>283</v>
      </c>
      <c r="B24" s="1" t="s">
        <v>203</v>
      </c>
      <c r="D24" s="1" t="s">
        <v>284</v>
      </c>
      <c r="E24" s="1" t="s">
        <v>227</v>
      </c>
      <c r="F24" s="1" t="str">
        <f t="shared" ref="F24" si="9">"enemy_"&amp;E24&amp;"_"&amp;D24</f>
        <v>enemy_1015_litamr</v>
      </c>
      <c r="G24" s="1">
        <v>1</v>
      </c>
      <c r="L24" s="1">
        <v>2500</v>
      </c>
      <c r="N24" s="1">
        <v>250</v>
      </c>
      <c r="P24" s="1">
        <v>400</v>
      </c>
      <c r="R24" s="1">
        <v>0</v>
      </c>
      <c r="Z24" s="1">
        <v>0.05</v>
      </c>
      <c r="AA24" s="1">
        <v>2</v>
      </c>
      <c r="AB24" s="1">
        <v>1</v>
      </c>
      <c r="AC24" s="1">
        <v>1</v>
      </c>
      <c r="AI24" s="1">
        <v>1</v>
      </c>
      <c r="AJ24" s="1" t="s">
        <v>283</v>
      </c>
      <c r="AK24" s="1" t="s">
        <v>215</v>
      </c>
      <c r="AL24" s="1" t="s">
        <v>228</v>
      </c>
      <c r="AN24" s="22" t="s">
        <v>9767</v>
      </c>
      <c r="AX24" s="1">
        <v>1</v>
      </c>
      <c r="AZ24" s="1">
        <v>0.25</v>
      </c>
      <c r="BG24" s="1" t="str">
        <f t="shared" si="1"/>
        <v>enemy_1015_litamr</v>
      </c>
      <c r="BQ24" s="1" t="s">
        <v>207</v>
      </c>
      <c r="BR24" s="1" t="s">
        <v>208</v>
      </c>
      <c r="BS24" s="1" t="s">
        <v>229</v>
      </c>
      <c r="BT24" s="1" t="s">
        <v>210</v>
      </c>
      <c r="BX24" s="1">
        <v>1</v>
      </c>
    </row>
    <row r="25" spans="1:76" x14ac:dyDescent="0.25">
      <c r="A25" s="1" t="s">
        <v>285</v>
      </c>
      <c r="B25" s="1" t="s">
        <v>203</v>
      </c>
      <c r="D25" s="1" t="s">
        <v>286</v>
      </c>
      <c r="E25" s="1" t="s">
        <v>287</v>
      </c>
      <c r="F25" s="1" t="str">
        <f t="shared" ref="F25" si="10">"enemy_"&amp;E25&amp;"_"&amp;D25</f>
        <v>enemy_1035_haxe</v>
      </c>
      <c r="G25" s="1">
        <v>1</v>
      </c>
      <c r="L25" s="1">
        <v>12000</v>
      </c>
      <c r="N25" s="1">
        <v>1050</v>
      </c>
      <c r="P25" s="1">
        <v>700</v>
      </c>
      <c r="R25" s="1">
        <v>30</v>
      </c>
      <c r="Z25" s="1">
        <v>0.05</v>
      </c>
      <c r="AA25" s="1">
        <v>3.5</v>
      </c>
      <c r="AB25" s="1">
        <v>3</v>
      </c>
      <c r="AC25" s="1">
        <v>0.65</v>
      </c>
      <c r="AI25" s="1">
        <v>1</v>
      </c>
      <c r="AJ25" s="1" t="s">
        <v>285</v>
      </c>
      <c r="AK25" s="1" t="s">
        <v>265</v>
      </c>
      <c r="AL25" s="1" t="s">
        <v>228</v>
      </c>
      <c r="AN25" s="22" t="s">
        <v>9767</v>
      </c>
      <c r="AX25" s="1">
        <v>1</v>
      </c>
      <c r="AZ25" s="1">
        <v>0.25</v>
      </c>
      <c r="BG25" s="1" t="str">
        <f t="shared" si="1"/>
        <v>enemy_1035_haxe</v>
      </c>
      <c r="BQ25" s="1" t="s">
        <v>207</v>
      </c>
      <c r="BR25" s="1" t="s">
        <v>208</v>
      </c>
      <c r="BS25" s="1" t="s">
        <v>229</v>
      </c>
      <c r="BT25" s="1" t="s">
        <v>210</v>
      </c>
      <c r="BX25" s="1">
        <v>1</v>
      </c>
    </row>
    <row r="26" spans="1:76" x14ac:dyDescent="0.25">
      <c r="A26" s="1" t="s">
        <v>288</v>
      </c>
      <c r="B26" s="1" t="s">
        <v>203</v>
      </c>
      <c r="D26" s="1" t="s">
        <v>289</v>
      </c>
      <c r="E26" s="1" t="s">
        <v>290</v>
      </c>
      <c r="F26" s="1" t="str">
        <f t="shared" ref="F26" si="11">"enemy_"&amp;E26&amp;"_"&amp;D26</f>
        <v>enemy_1025_reveng</v>
      </c>
      <c r="G26" s="1">
        <v>1</v>
      </c>
      <c r="L26" s="1">
        <v>5000</v>
      </c>
      <c r="N26" s="1">
        <v>300</v>
      </c>
      <c r="P26" s="1">
        <v>200</v>
      </c>
      <c r="R26" s="1">
        <v>50</v>
      </c>
      <c r="Z26" s="1">
        <v>0.05</v>
      </c>
      <c r="AA26" s="1">
        <v>2.2999999999999998</v>
      </c>
      <c r="AB26" s="1">
        <v>2</v>
      </c>
      <c r="AC26" s="1">
        <v>0.65</v>
      </c>
      <c r="AI26" s="1">
        <v>1</v>
      </c>
      <c r="AJ26" s="1" t="s">
        <v>288</v>
      </c>
      <c r="AK26" s="1" t="s">
        <v>265</v>
      </c>
      <c r="AL26" s="1" t="s">
        <v>291</v>
      </c>
      <c r="AN26" s="22" t="s">
        <v>9767</v>
      </c>
      <c r="AX26" s="1">
        <v>1</v>
      </c>
      <c r="AZ26" s="1">
        <v>0.25</v>
      </c>
      <c r="BG26" s="1" t="str">
        <f t="shared" si="1"/>
        <v>enemy_1025_reveng</v>
      </c>
      <c r="BQ26" s="1" t="s">
        <v>207</v>
      </c>
      <c r="BR26" s="1" t="s">
        <v>208</v>
      </c>
      <c r="BS26" s="1" t="s">
        <v>229</v>
      </c>
      <c r="BT26" s="1" t="s">
        <v>210</v>
      </c>
      <c r="BX26" s="1">
        <v>1</v>
      </c>
    </row>
    <row r="27" spans="1:76" x14ac:dyDescent="0.25">
      <c r="A27" s="1" t="s">
        <v>292</v>
      </c>
      <c r="B27" s="1" t="s">
        <v>203</v>
      </c>
      <c r="D27" s="1" t="s">
        <v>293</v>
      </c>
      <c r="E27" s="1" t="s">
        <v>290</v>
      </c>
      <c r="F27" s="1" t="str">
        <f t="shared" ref="F27:F28" si="12">"enemy_"&amp;E27&amp;"_"&amp;D27</f>
        <v>enemy_1025_reveng_2</v>
      </c>
      <c r="G27" s="1">
        <v>1</v>
      </c>
      <c r="L27" s="1">
        <v>18000</v>
      </c>
      <c r="N27" s="1">
        <v>480</v>
      </c>
      <c r="P27" s="1">
        <v>230</v>
      </c>
      <c r="R27" s="1">
        <v>50</v>
      </c>
      <c r="Z27" s="1">
        <v>0.05</v>
      </c>
      <c r="AA27" s="1">
        <v>2.2999999999999998</v>
      </c>
      <c r="AB27" s="1">
        <v>2</v>
      </c>
      <c r="AC27" s="1">
        <v>0.65</v>
      </c>
      <c r="AI27" s="1">
        <v>1</v>
      </c>
      <c r="AJ27" s="1" t="s">
        <v>292</v>
      </c>
      <c r="AK27" s="1" t="s">
        <v>265</v>
      </c>
      <c r="AL27" s="1" t="s">
        <v>294</v>
      </c>
      <c r="AN27" s="22" t="s">
        <v>9767</v>
      </c>
      <c r="AX27" s="1">
        <v>1</v>
      </c>
      <c r="AZ27" s="1">
        <v>0.25</v>
      </c>
      <c r="BG27" s="1" t="str">
        <f t="shared" si="1"/>
        <v>enemy_1025_reveng_2</v>
      </c>
      <c r="BQ27" s="1" t="s">
        <v>207</v>
      </c>
      <c r="BR27" s="1" t="s">
        <v>208</v>
      </c>
      <c r="BS27" s="1" t="s">
        <v>229</v>
      </c>
      <c r="BT27" s="1" t="s">
        <v>210</v>
      </c>
      <c r="BX27" s="1">
        <v>1</v>
      </c>
    </row>
    <row r="28" spans="1:76" x14ac:dyDescent="0.25">
      <c r="A28" s="1" t="s">
        <v>295</v>
      </c>
      <c r="B28" s="1" t="s">
        <v>203</v>
      </c>
      <c r="D28" s="1" t="s">
        <v>296</v>
      </c>
      <c r="E28" s="1" t="s">
        <v>222</v>
      </c>
      <c r="F28" s="1" t="str">
        <f t="shared" si="12"/>
        <v>enemy_1006_shield</v>
      </c>
      <c r="G28" s="1">
        <v>1</v>
      </c>
      <c r="L28" s="1">
        <v>6000</v>
      </c>
      <c r="N28" s="1">
        <v>600</v>
      </c>
      <c r="P28" s="1">
        <v>800</v>
      </c>
      <c r="R28" s="1">
        <v>0</v>
      </c>
      <c r="Z28" s="1">
        <v>0.05</v>
      </c>
      <c r="AA28" s="1">
        <v>2.6</v>
      </c>
      <c r="AB28" s="1">
        <v>3</v>
      </c>
      <c r="AC28" s="1">
        <v>0.75</v>
      </c>
      <c r="AI28" s="1">
        <v>1</v>
      </c>
      <c r="AJ28" s="1" t="s">
        <v>295</v>
      </c>
      <c r="AK28" s="1" t="s">
        <v>206</v>
      </c>
      <c r="AL28" s="1" t="s">
        <v>228</v>
      </c>
      <c r="AN28" s="22" t="s">
        <v>9767</v>
      </c>
      <c r="AX28" s="1">
        <v>1</v>
      </c>
      <c r="AZ28" s="1">
        <v>0.25</v>
      </c>
      <c r="BG28" s="1" t="str">
        <f t="shared" si="1"/>
        <v>enemy_1006_shield</v>
      </c>
      <c r="BQ28" s="1" t="s">
        <v>207</v>
      </c>
      <c r="BR28" s="1" t="s">
        <v>208</v>
      </c>
      <c r="BS28" s="1" t="s">
        <v>209</v>
      </c>
      <c r="BT28" s="1" t="s">
        <v>210</v>
      </c>
      <c r="BX28" s="1">
        <v>1</v>
      </c>
    </row>
    <row r="29" spans="1:76" x14ac:dyDescent="0.25">
      <c r="A29" s="1" t="s">
        <v>297</v>
      </c>
      <c r="B29" s="1" t="s">
        <v>203</v>
      </c>
      <c r="D29" s="1" t="s">
        <v>298</v>
      </c>
      <c r="E29" s="1" t="s">
        <v>299</v>
      </c>
      <c r="F29" s="1" t="str">
        <f t="shared" ref="F29" si="13">"enemy_"&amp;E29&amp;"_"&amp;D29</f>
        <v>enemy_1023_jmage_2</v>
      </c>
      <c r="G29" s="1">
        <v>1</v>
      </c>
      <c r="L29" s="1">
        <v>4200</v>
      </c>
      <c r="N29" s="1">
        <v>400</v>
      </c>
      <c r="P29" s="1">
        <v>130</v>
      </c>
      <c r="R29" s="1">
        <v>50</v>
      </c>
      <c r="Z29" s="1">
        <v>0.05</v>
      </c>
      <c r="AA29" s="1">
        <v>4</v>
      </c>
      <c r="AB29" s="1">
        <v>2</v>
      </c>
      <c r="AC29" s="1">
        <v>0.8</v>
      </c>
      <c r="AI29" s="1">
        <v>1</v>
      </c>
      <c r="AJ29" s="1" t="s">
        <v>297</v>
      </c>
      <c r="AK29" s="1" t="s">
        <v>206</v>
      </c>
      <c r="AL29" s="1" t="s">
        <v>300</v>
      </c>
      <c r="AN29" s="22" t="s">
        <v>9767</v>
      </c>
      <c r="AX29" s="1">
        <v>1</v>
      </c>
      <c r="AZ29" s="1">
        <v>0.25</v>
      </c>
      <c r="BG29" s="1" t="str">
        <f t="shared" si="1"/>
        <v>enemy_1023_jmage_2</v>
      </c>
      <c r="BQ29" s="1" t="s">
        <v>207</v>
      </c>
      <c r="BR29" s="1" t="s">
        <v>208</v>
      </c>
      <c r="BS29" s="1" t="s">
        <v>229</v>
      </c>
      <c r="BT29" s="1" t="s">
        <v>210</v>
      </c>
      <c r="BX29" s="1">
        <v>1</v>
      </c>
    </row>
    <row r="30" spans="1:76" x14ac:dyDescent="0.25">
      <c r="AI30" s="1">
        <v>1</v>
      </c>
      <c r="BG30" s="1" t="str">
        <f t="shared" si="1"/>
        <v>enemy__</v>
      </c>
    </row>
    <row r="31" spans="1:76" x14ac:dyDescent="0.25">
      <c r="A31" s="1" t="s">
        <v>301</v>
      </c>
      <c r="B31" s="1" t="s">
        <v>203</v>
      </c>
      <c r="D31" s="1" t="s">
        <v>284</v>
      </c>
      <c r="E31" s="1" t="s">
        <v>227</v>
      </c>
      <c r="F31" s="1" t="s">
        <v>302</v>
      </c>
      <c r="G31" s="1">
        <v>1</v>
      </c>
      <c r="L31" s="1">
        <v>2500</v>
      </c>
      <c r="N31" s="1">
        <v>200</v>
      </c>
      <c r="P31" s="1">
        <v>400</v>
      </c>
      <c r="R31" s="1">
        <v>0</v>
      </c>
      <c r="Z31" s="1">
        <v>0.05</v>
      </c>
      <c r="AA31" s="1">
        <v>2</v>
      </c>
      <c r="AB31" s="1">
        <v>1</v>
      </c>
      <c r="AC31" s="1">
        <v>1</v>
      </c>
      <c r="AI31" s="1">
        <v>1</v>
      </c>
      <c r="AJ31" s="1" t="s">
        <v>301</v>
      </c>
      <c r="AK31" s="1" t="s">
        <v>215</v>
      </c>
      <c r="AL31" s="1" t="s">
        <v>228</v>
      </c>
      <c r="AN31" s="22" t="s">
        <v>9767</v>
      </c>
      <c r="AX31" s="1">
        <v>1</v>
      </c>
      <c r="AZ31" s="1">
        <v>0.25</v>
      </c>
      <c r="BG31" s="1" t="str">
        <f t="shared" si="1"/>
        <v>enemy_1015_litamr</v>
      </c>
      <c r="BQ31" s="1" t="s">
        <v>207</v>
      </c>
      <c r="BR31" s="1" t="s">
        <v>208</v>
      </c>
      <c r="BS31" s="1" t="s">
        <v>229</v>
      </c>
      <c r="BT31" s="1" t="s">
        <v>210</v>
      </c>
      <c r="BX31" s="1">
        <v>1</v>
      </c>
    </row>
    <row r="32" spans="1:76" x14ac:dyDescent="0.25">
      <c r="A32" s="1" t="s">
        <v>303</v>
      </c>
      <c r="B32" s="1" t="s">
        <v>203</v>
      </c>
      <c r="D32" s="1" t="s">
        <v>284</v>
      </c>
      <c r="E32" s="1" t="s">
        <v>227</v>
      </c>
      <c r="F32" s="1" t="s">
        <v>304</v>
      </c>
      <c r="G32" s="1">
        <v>1</v>
      </c>
      <c r="L32" s="1">
        <v>10000</v>
      </c>
      <c r="N32" s="1">
        <v>1000</v>
      </c>
      <c r="P32" s="1">
        <v>1000</v>
      </c>
      <c r="R32" s="1">
        <v>0</v>
      </c>
      <c r="Z32" s="1">
        <v>0.05</v>
      </c>
      <c r="AA32" s="1">
        <v>3.5</v>
      </c>
      <c r="AB32" s="1">
        <v>4</v>
      </c>
      <c r="AC32" s="1">
        <v>0.5</v>
      </c>
      <c r="AI32" s="1">
        <v>1</v>
      </c>
      <c r="AJ32" s="1" t="s">
        <v>303</v>
      </c>
      <c r="AK32" s="1" t="s">
        <v>215</v>
      </c>
      <c r="AL32" s="1" t="s">
        <v>305</v>
      </c>
      <c r="AN32" s="22" t="s">
        <v>9767</v>
      </c>
      <c r="AX32" s="1">
        <v>1</v>
      </c>
      <c r="AZ32" s="1">
        <v>0.25</v>
      </c>
      <c r="BG32" s="1" t="str">
        <f t="shared" si="1"/>
        <v>enemy_1015_litamr</v>
      </c>
      <c r="BQ32" s="1" t="s">
        <v>207</v>
      </c>
      <c r="BR32" s="1" t="s">
        <v>208</v>
      </c>
      <c r="BS32" s="1" t="s">
        <v>229</v>
      </c>
      <c r="BT32" s="1" t="s">
        <v>210</v>
      </c>
      <c r="BX32" s="1">
        <v>1</v>
      </c>
    </row>
    <row r="33" spans="1:76" x14ac:dyDescent="0.25">
      <c r="A33" s="1" t="s">
        <v>306</v>
      </c>
      <c r="B33" s="1" t="s">
        <v>203</v>
      </c>
      <c r="D33" s="1" t="s">
        <v>307</v>
      </c>
      <c r="E33" s="1" t="s">
        <v>308</v>
      </c>
      <c r="F33" s="1" t="str">
        <f t="shared" ref="F33:F38" si="14">"enemy_"&amp;E33&amp;"_"&amp;D33</f>
        <v>enemy_1008_ghost</v>
      </c>
      <c r="G33" s="1">
        <v>1</v>
      </c>
      <c r="L33" s="1">
        <v>2300</v>
      </c>
      <c r="N33" s="1">
        <v>100</v>
      </c>
      <c r="P33" s="1">
        <v>120</v>
      </c>
      <c r="R33" s="1">
        <v>35</v>
      </c>
      <c r="Z33" s="1">
        <v>0.05</v>
      </c>
      <c r="AA33" s="1">
        <v>1</v>
      </c>
      <c r="AB33" s="1">
        <v>1</v>
      </c>
      <c r="AC33" s="1">
        <v>1.2</v>
      </c>
      <c r="AI33" s="1">
        <v>1</v>
      </c>
      <c r="AJ33" s="1" t="s">
        <v>306</v>
      </c>
      <c r="AK33" s="1" t="s">
        <v>206</v>
      </c>
      <c r="AL33" s="1" t="s">
        <v>309</v>
      </c>
      <c r="AN33" s="22" t="s">
        <v>9767</v>
      </c>
      <c r="AX33" s="1">
        <v>1</v>
      </c>
      <c r="AZ33" s="1">
        <v>0.25</v>
      </c>
      <c r="BG33" s="1" t="str">
        <f t="shared" si="1"/>
        <v>enemy_1008_ghost</v>
      </c>
      <c r="BQ33" s="1" t="s">
        <v>207</v>
      </c>
      <c r="BR33" s="1" t="s">
        <v>208</v>
      </c>
      <c r="BS33" s="1" t="s">
        <v>209</v>
      </c>
      <c r="BT33" s="1" t="s">
        <v>210</v>
      </c>
      <c r="BX33" s="1">
        <v>1</v>
      </c>
    </row>
    <row r="34" spans="1:76" x14ac:dyDescent="0.25">
      <c r="A34" s="1" t="s">
        <v>310</v>
      </c>
      <c r="B34" s="1" t="s">
        <v>203</v>
      </c>
      <c r="D34" s="1" t="s">
        <v>307</v>
      </c>
      <c r="E34" s="1" t="s">
        <v>308</v>
      </c>
      <c r="F34" s="1" t="s">
        <v>311</v>
      </c>
      <c r="G34" s="1">
        <v>1</v>
      </c>
      <c r="L34" s="1">
        <v>3800</v>
      </c>
      <c r="N34" s="1">
        <v>100</v>
      </c>
      <c r="P34" s="1">
        <v>350</v>
      </c>
      <c r="R34" s="1">
        <v>35</v>
      </c>
      <c r="Z34" s="1">
        <v>0.05</v>
      </c>
      <c r="AA34" s="1">
        <v>1</v>
      </c>
      <c r="AB34" s="1">
        <v>1</v>
      </c>
      <c r="AC34" s="1">
        <v>1.2</v>
      </c>
      <c r="AI34" s="1">
        <v>1</v>
      </c>
      <c r="AJ34" s="1" t="s">
        <v>310</v>
      </c>
      <c r="AK34" s="1" t="s">
        <v>206</v>
      </c>
      <c r="AL34" s="1" t="s">
        <v>309</v>
      </c>
      <c r="AN34" s="22" t="s">
        <v>9767</v>
      </c>
      <c r="AX34" s="1">
        <v>1</v>
      </c>
      <c r="AZ34" s="1">
        <v>0.25</v>
      </c>
      <c r="BG34" s="1" t="str">
        <f t="shared" si="1"/>
        <v>enemy_1008_ghost</v>
      </c>
      <c r="BQ34" s="1" t="s">
        <v>207</v>
      </c>
      <c r="BR34" s="1" t="s">
        <v>208</v>
      </c>
      <c r="BS34" s="1" t="s">
        <v>209</v>
      </c>
      <c r="BT34" s="1" t="s">
        <v>210</v>
      </c>
      <c r="BX34" s="1">
        <v>1</v>
      </c>
    </row>
    <row r="35" spans="1:76" x14ac:dyDescent="0.25">
      <c r="A35" s="1" t="s">
        <v>312</v>
      </c>
      <c r="B35" s="1" t="s">
        <v>203</v>
      </c>
      <c r="D35" s="1" t="s">
        <v>280</v>
      </c>
      <c r="E35" s="1" t="s">
        <v>281</v>
      </c>
      <c r="F35" s="1" t="str">
        <f t="shared" si="14"/>
        <v>enemy_1502_crowns</v>
      </c>
      <c r="G35" s="1">
        <v>1</v>
      </c>
      <c r="L35" s="1">
        <v>27000</v>
      </c>
      <c r="N35" s="1">
        <v>700</v>
      </c>
      <c r="P35" s="1">
        <v>250</v>
      </c>
      <c r="R35" s="1">
        <v>50</v>
      </c>
      <c r="Z35" s="1">
        <v>0.05</v>
      </c>
      <c r="AA35" s="1">
        <v>2.8</v>
      </c>
      <c r="AB35" s="1">
        <v>1</v>
      </c>
      <c r="AC35" s="1">
        <v>1.4</v>
      </c>
      <c r="AI35" s="1">
        <v>1</v>
      </c>
      <c r="AJ35" s="1" t="s">
        <v>312</v>
      </c>
      <c r="AK35" s="1" t="s">
        <v>233</v>
      </c>
      <c r="AL35" s="1" t="s">
        <v>282</v>
      </c>
      <c r="AN35" s="22" t="s">
        <v>9767</v>
      </c>
      <c r="AX35" s="1">
        <v>2</v>
      </c>
      <c r="AZ35" s="1">
        <v>0.25</v>
      </c>
      <c r="BG35" s="1" t="str">
        <f t="shared" si="1"/>
        <v>enemy_1502_crowns</v>
      </c>
      <c r="BQ35" s="1" t="s">
        <v>207</v>
      </c>
      <c r="BR35" s="1" t="s">
        <v>208</v>
      </c>
      <c r="BS35" s="1" t="s">
        <v>229</v>
      </c>
      <c r="BT35" s="1" t="s">
        <v>210</v>
      </c>
      <c r="BX35" s="1">
        <v>1</v>
      </c>
    </row>
    <row r="36" spans="1:76" x14ac:dyDescent="0.25">
      <c r="A36" s="1" t="s">
        <v>313</v>
      </c>
      <c r="B36" s="1" t="s">
        <v>203</v>
      </c>
      <c r="D36" s="1" t="s">
        <v>284</v>
      </c>
      <c r="E36" s="1" t="s">
        <v>227</v>
      </c>
      <c r="F36" s="1" t="str">
        <f t="shared" si="14"/>
        <v>enemy_1015_litamr</v>
      </c>
      <c r="G36" s="1">
        <v>1</v>
      </c>
      <c r="L36" s="1">
        <v>3500</v>
      </c>
      <c r="N36" s="1">
        <v>410</v>
      </c>
      <c r="P36" s="1">
        <v>50</v>
      </c>
      <c r="R36" s="1">
        <v>25</v>
      </c>
      <c r="Z36" s="1">
        <v>0.05</v>
      </c>
      <c r="AA36" s="1">
        <v>1.4</v>
      </c>
      <c r="AB36" s="1">
        <v>1</v>
      </c>
      <c r="AC36" s="1">
        <v>1.9</v>
      </c>
      <c r="AI36" s="1">
        <v>1</v>
      </c>
      <c r="AJ36" s="1" t="s">
        <v>313</v>
      </c>
      <c r="AK36" s="1" t="s">
        <v>215</v>
      </c>
      <c r="AL36" s="1" t="s">
        <v>228</v>
      </c>
      <c r="AN36" s="22" t="s">
        <v>9767</v>
      </c>
      <c r="AX36" s="1">
        <v>1</v>
      </c>
      <c r="AZ36" s="1">
        <v>0.25</v>
      </c>
      <c r="BG36" s="1" t="str">
        <f t="shared" si="1"/>
        <v>enemy_1015_litamr</v>
      </c>
      <c r="BQ36" s="1" t="s">
        <v>207</v>
      </c>
      <c r="BR36" s="1" t="s">
        <v>208</v>
      </c>
      <c r="BS36" s="1" t="s">
        <v>229</v>
      </c>
      <c r="BT36" s="1" t="s">
        <v>210</v>
      </c>
      <c r="BX36" s="1">
        <v>1</v>
      </c>
    </row>
    <row r="37" spans="1:76" x14ac:dyDescent="0.25">
      <c r="A37" s="1" t="s">
        <v>314</v>
      </c>
      <c r="B37" s="1" t="s">
        <v>203</v>
      </c>
      <c r="D37" s="1" t="s">
        <v>315</v>
      </c>
      <c r="E37" s="1" t="s">
        <v>316</v>
      </c>
      <c r="F37" s="1" t="str">
        <f t="shared" si="14"/>
        <v>enemy_1047_sagent</v>
      </c>
      <c r="G37" s="1">
        <v>1</v>
      </c>
      <c r="L37" s="1">
        <v>3500</v>
      </c>
      <c r="N37" s="1">
        <v>360</v>
      </c>
      <c r="P37" s="1">
        <v>100</v>
      </c>
      <c r="R37" s="1">
        <v>0</v>
      </c>
      <c r="Z37" s="1">
        <v>0.05</v>
      </c>
      <c r="AA37" s="1">
        <v>1</v>
      </c>
      <c r="AB37" s="1">
        <v>2</v>
      </c>
      <c r="AC37" s="1">
        <v>0.9</v>
      </c>
      <c r="AI37" s="1">
        <v>1</v>
      </c>
      <c r="AJ37" s="1" t="s">
        <v>314</v>
      </c>
      <c r="AK37" s="1" t="s">
        <v>215</v>
      </c>
      <c r="AL37" s="1" t="s">
        <v>317</v>
      </c>
      <c r="AN37" s="22" t="s">
        <v>9767</v>
      </c>
      <c r="AX37" s="1">
        <v>1</v>
      </c>
      <c r="AZ37" s="1">
        <v>0.25</v>
      </c>
      <c r="BG37" s="1" t="str">
        <f t="shared" si="1"/>
        <v>enemy_1047_sagent</v>
      </c>
      <c r="BQ37" s="1" t="s">
        <v>207</v>
      </c>
      <c r="BR37" s="1" t="s">
        <v>208</v>
      </c>
      <c r="BS37" s="1" t="s">
        <v>229</v>
      </c>
      <c r="BT37" s="1" t="s">
        <v>210</v>
      </c>
      <c r="BX37" s="1">
        <v>1</v>
      </c>
    </row>
    <row r="38" spans="1:76" x14ac:dyDescent="0.25">
      <c r="A38" s="1" t="s">
        <v>318</v>
      </c>
      <c r="B38" s="1" t="s">
        <v>203</v>
      </c>
      <c r="D38" s="1" t="s">
        <v>319</v>
      </c>
      <c r="E38" s="1" t="s">
        <v>320</v>
      </c>
      <c r="F38" s="1" t="str">
        <f t="shared" si="14"/>
        <v>enemy_1057_gansho_2</v>
      </c>
      <c r="G38" s="1">
        <v>1</v>
      </c>
      <c r="L38" s="1">
        <v>3500</v>
      </c>
      <c r="N38" s="1">
        <v>360</v>
      </c>
      <c r="P38" s="1">
        <v>100</v>
      </c>
      <c r="R38" s="1">
        <v>0</v>
      </c>
      <c r="Z38" s="1">
        <v>0.05</v>
      </c>
      <c r="AA38" s="1">
        <v>1</v>
      </c>
      <c r="AB38" s="1">
        <v>2</v>
      </c>
      <c r="AC38" s="1">
        <v>0.9</v>
      </c>
      <c r="AI38" s="1">
        <v>1</v>
      </c>
      <c r="AJ38" s="1" t="s">
        <v>318</v>
      </c>
      <c r="AK38" s="1" t="s">
        <v>215</v>
      </c>
      <c r="AL38" s="1" t="s">
        <v>321</v>
      </c>
      <c r="AN38" s="22" t="s">
        <v>9767</v>
      </c>
      <c r="AX38" s="1">
        <v>1</v>
      </c>
      <c r="AZ38" s="1">
        <v>0.25</v>
      </c>
      <c r="BG38" s="1" t="str">
        <f t="shared" si="1"/>
        <v>enemy_1057_gansho_2</v>
      </c>
      <c r="BQ38" s="1" t="s">
        <v>207</v>
      </c>
      <c r="BR38" s="1" t="s">
        <v>208</v>
      </c>
      <c r="BS38" s="1" t="s">
        <v>229</v>
      </c>
      <c r="BT38" s="1" t="s">
        <v>210</v>
      </c>
      <c r="BX38" s="1">
        <v>1</v>
      </c>
    </row>
    <row r="41" spans="1:76" x14ac:dyDescent="0.25">
      <c r="A41" s="1" t="s">
        <v>86</v>
      </c>
      <c r="BO41" s="1" t="s">
        <v>322</v>
      </c>
    </row>
    <row r="42" spans="1:76" x14ac:dyDescent="0.25">
      <c r="A42" s="1" t="s">
        <v>323</v>
      </c>
    </row>
    <row r="43" spans="1:76" x14ac:dyDescent="0.25">
      <c r="A43" s="1" t="s">
        <v>4</v>
      </c>
      <c r="B43" s="1" t="s">
        <v>324</v>
      </c>
      <c r="D43" s="1" t="s">
        <v>325</v>
      </c>
      <c r="E43" s="1">
        <v>285</v>
      </c>
      <c r="F43" s="1" t="str">
        <f t="shared" ref="F43:F49" si="15">"char_"&amp;E43&amp;"_"&amp;D43</f>
        <v>char_285_medic2</v>
      </c>
      <c r="G43" s="1">
        <v>1</v>
      </c>
      <c r="J43" s="1">
        <v>0</v>
      </c>
      <c r="K43" s="1">
        <v>30</v>
      </c>
      <c r="L43" s="1">
        <v>435</v>
      </c>
      <c r="M43" s="1">
        <v>100</v>
      </c>
      <c r="N43" s="1">
        <v>70</v>
      </c>
      <c r="O43" s="1">
        <v>40</v>
      </c>
      <c r="P43" s="1">
        <v>27</v>
      </c>
      <c r="R43" s="1">
        <v>0</v>
      </c>
      <c r="T43" s="1">
        <v>3</v>
      </c>
      <c r="V43" s="1">
        <v>0.5</v>
      </c>
      <c r="W43" s="1">
        <v>200</v>
      </c>
      <c r="Z43" s="1">
        <v>0.05</v>
      </c>
      <c r="AA43" s="1">
        <v>2.85</v>
      </c>
      <c r="AD43" s="1">
        <v>0</v>
      </c>
      <c r="AJ43" s="1" t="s">
        <v>4</v>
      </c>
      <c r="AK43" s="1" t="s">
        <v>206</v>
      </c>
      <c r="AL43" s="1" t="s">
        <v>326</v>
      </c>
      <c r="AN43" s="22" t="s">
        <v>9773</v>
      </c>
      <c r="AO43" s="22" t="s">
        <v>9769</v>
      </c>
      <c r="AQ43" s="1" t="s">
        <v>9694</v>
      </c>
      <c r="AR43" s="1">
        <v>1</v>
      </c>
      <c r="AS43" s="1">
        <v>0.5</v>
      </c>
      <c r="AZ43" s="1">
        <v>0.25</v>
      </c>
      <c r="BE43" s="1" t="s">
        <v>327</v>
      </c>
      <c r="BF43" s="1" t="s">
        <v>328</v>
      </c>
      <c r="BG43" s="1" t="str">
        <f t="shared" ref="BG43:BG49" si="16">"icon_"&amp;D43</f>
        <v>icon_medic2</v>
      </c>
      <c r="BH43" s="1" t="str">
        <f t="shared" ref="BH43:BH62" si="17">"half_"&amp;D43</f>
        <v>half_medic2</v>
      </c>
      <c r="BI43" s="1" t="str">
        <f t="shared" ref="BI43:BI62" si="18">D43</f>
        <v>medic2</v>
      </c>
      <c r="BJ43" s="1" t="s">
        <v>329</v>
      </c>
      <c r="BK43" s="1">
        <v>1</v>
      </c>
      <c r="BL43" s="1" t="s">
        <v>330</v>
      </c>
      <c r="BM43" s="1" t="s">
        <v>331</v>
      </c>
      <c r="BN43" s="1" t="s">
        <v>332</v>
      </c>
      <c r="BO43" s="1" t="s">
        <v>333</v>
      </c>
      <c r="BQ43" s="1" t="s">
        <v>207</v>
      </c>
      <c r="BR43" s="1" t="s">
        <v>208</v>
      </c>
      <c r="BT43" s="1" t="s">
        <v>210</v>
      </c>
      <c r="BU43" s="1" t="s">
        <v>210</v>
      </c>
      <c r="BX43" s="1">
        <v>1</v>
      </c>
    </row>
    <row r="44" spans="1:76" x14ac:dyDescent="0.25">
      <c r="A44" s="1" t="s">
        <v>5</v>
      </c>
      <c r="B44" s="1" t="s">
        <v>324</v>
      </c>
      <c r="D44" s="1" t="s">
        <v>334</v>
      </c>
      <c r="E44" s="1">
        <v>286</v>
      </c>
      <c r="F44" s="1" t="str">
        <f t="shared" ref="F44" si="19">"char_"&amp;E44&amp;"_"&amp;D44</f>
        <v>char_286_cast3</v>
      </c>
      <c r="G44" s="1">
        <v>1</v>
      </c>
      <c r="J44" s="1">
        <v>0</v>
      </c>
      <c r="K44" s="1">
        <v>30</v>
      </c>
      <c r="L44" s="1">
        <v>1191</v>
      </c>
      <c r="M44" s="1">
        <v>200</v>
      </c>
      <c r="N44" s="1">
        <v>353</v>
      </c>
      <c r="O44" s="1">
        <v>60</v>
      </c>
      <c r="P44" s="1">
        <v>90</v>
      </c>
      <c r="R44" s="1">
        <v>0</v>
      </c>
      <c r="T44" s="1">
        <v>3</v>
      </c>
      <c r="V44" s="1">
        <v>0.5</v>
      </c>
      <c r="W44" s="1">
        <v>200</v>
      </c>
      <c r="Z44" s="1">
        <v>0.05</v>
      </c>
      <c r="AA44" s="1">
        <v>1.5</v>
      </c>
      <c r="AD44" s="1">
        <v>0</v>
      </c>
      <c r="AJ44" s="1" t="s">
        <v>5</v>
      </c>
      <c r="AK44" s="1" t="s">
        <v>206</v>
      </c>
      <c r="AL44" s="1" t="s">
        <v>335</v>
      </c>
      <c r="AN44" s="22" t="s">
        <v>9773</v>
      </c>
      <c r="AO44" s="22" t="s">
        <v>9769</v>
      </c>
      <c r="AQ44" s="1" t="s">
        <v>9695</v>
      </c>
      <c r="AR44" s="1">
        <v>1</v>
      </c>
      <c r="AS44" s="1">
        <v>0.5</v>
      </c>
      <c r="AZ44" s="1">
        <v>0.25</v>
      </c>
      <c r="BE44" s="1" t="s">
        <v>336</v>
      </c>
      <c r="BF44" s="1" t="s">
        <v>337</v>
      </c>
      <c r="BG44" s="1" t="str">
        <f t="shared" ref="BG44" si="20">"icon_"&amp;D44</f>
        <v>icon_cast3</v>
      </c>
      <c r="BH44" s="1" t="str">
        <f t="shared" ref="BH44" si="21">"half_"&amp;D44</f>
        <v>half_cast3</v>
      </c>
      <c r="BI44" s="1" t="str">
        <f t="shared" ref="BI44" si="22">D44</f>
        <v>cast3</v>
      </c>
      <c r="BJ44" s="1" t="s">
        <v>329</v>
      </c>
      <c r="BK44" s="1">
        <v>1</v>
      </c>
      <c r="BL44" s="1" t="s">
        <v>338</v>
      </c>
      <c r="BM44" s="1" t="s">
        <v>339</v>
      </c>
      <c r="BN44" s="1" t="s">
        <v>340</v>
      </c>
      <c r="BO44" s="1" t="s">
        <v>341</v>
      </c>
      <c r="BQ44" s="1" t="s">
        <v>207</v>
      </c>
      <c r="BR44" s="1" t="s">
        <v>208</v>
      </c>
      <c r="BT44" s="1" t="s">
        <v>210</v>
      </c>
      <c r="BU44" s="1" t="s">
        <v>210</v>
      </c>
      <c r="BX44" s="1">
        <v>1</v>
      </c>
    </row>
    <row r="45" spans="1:76" x14ac:dyDescent="0.25">
      <c r="A45" s="1" t="s">
        <v>6</v>
      </c>
      <c r="B45" s="1" t="s">
        <v>324</v>
      </c>
      <c r="D45" s="1" t="s">
        <v>342</v>
      </c>
      <c r="E45" s="1">
        <v>500</v>
      </c>
      <c r="F45" s="1" t="str">
        <f t="shared" ref="F45" si="23">"char_"&amp;E45&amp;"_"&amp;D45</f>
        <v>char_500_noirc</v>
      </c>
      <c r="G45" s="1">
        <v>1</v>
      </c>
      <c r="J45" s="1">
        <v>0</v>
      </c>
      <c r="K45" s="1">
        <v>30</v>
      </c>
      <c r="L45" s="1">
        <v>1760</v>
      </c>
      <c r="M45" s="1">
        <v>90</v>
      </c>
      <c r="N45" s="1">
        <v>240</v>
      </c>
      <c r="P45" s="1">
        <v>315</v>
      </c>
      <c r="Q45" s="1">
        <v>40</v>
      </c>
      <c r="R45" s="1">
        <v>0</v>
      </c>
      <c r="T45" s="1">
        <v>14</v>
      </c>
      <c r="U45" s="1">
        <v>-2</v>
      </c>
      <c r="V45" s="1">
        <v>0.5</v>
      </c>
      <c r="W45" s="1">
        <v>70</v>
      </c>
      <c r="X45" s="1">
        <v>-5</v>
      </c>
      <c r="Z45" s="1">
        <v>0.05</v>
      </c>
      <c r="AA45" s="1">
        <v>1.2</v>
      </c>
      <c r="AD45" s="1">
        <v>1</v>
      </c>
      <c r="AJ45" s="1" t="s">
        <v>6</v>
      </c>
      <c r="AK45" s="1" t="s">
        <v>206</v>
      </c>
      <c r="AL45" s="1" t="s">
        <v>343</v>
      </c>
      <c r="AN45" s="22" t="s">
        <v>9773</v>
      </c>
      <c r="AO45" s="22" t="s">
        <v>9769</v>
      </c>
      <c r="AQ45" s="1" t="s">
        <v>9695</v>
      </c>
      <c r="AR45" s="1">
        <v>3</v>
      </c>
      <c r="AS45" s="1">
        <v>0.5</v>
      </c>
      <c r="AZ45" s="1">
        <v>0.25</v>
      </c>
      <c r="BE45" s="1" t="s">
        <v>344</v>
      </c>
      <c r="BF45" s="1" t="s">
        <v>345</v>
      </c>
      <c r="BG45" s="1" t="str">
        <f t="shared" ref="BG45" si="24">"icon_"&amp;D45</f>
        <v>icon_noirc</v>
      </c>
      <c r="BH45" s="1" t="str">
        <f t="shared" ref="BH45" si="25">"half_"&amp;D45</f>
        <v>half_noirc</v>
      </c>
      <c r="BI45" s="1" t="str">
        <f t="shared" ref="BI45" si="26">D45</f>
        <v>noirc</v>
      </c>
      <c r="BJ45" s="1" t="s">
        <v>329</v>
      </c>
      <c r="BK45" s="1">
        <v>2</v>
      </c>
      <c r="BL45" s="1" t="s">
        <v>338</v>
      </c>
      <c r="BM45" s="1" t="s">
        <v>346</v>
      </c>
      <c r="BN45" s="1" t="s">
        <v>347</v>
      </c>
      <c r="BO45" s="1" t="s">
        <v>348</v>
      </c>
      <c r="BQ45" s="1" t="s">
        <v>207</v>
      </c>
      <c r="BR45" s="1" t="s">
        <v>208</v>
      </c>
      <c r="BT45" s="1" t="s">
        <v>210</v>
      </c>
      <c r="BU45" s="1" t="s">
        <v>210</v>
      </c>
      <c r="BX45" s="1">
        <v>1</v>
      </c>
    </row>
    <row r="46" spans="1:76" x14ac:dyDescent="0.25">
      <c r="A46" s="1" t="s">
        <v>7</v>
      </c>
      <c r="B46" s="1" t="s">
        <v>324</v>
      </c>
      <c r="D46" s="1" t="s">
        <v>349</v>
      </c>
      <c r="E46" s="1">
        <v>503</v>
      </c>
      <c r="F46" s="1" t="str">
        <f t="shared" ref="F46" si="27">"char_"&amp;E46&amp;"_"&amp;D46</f>
        <v>char_503_rang</v>
      </c>
      <c r="G46" s="1">
        <v>1</v>
      </c>
      <c r="J46" s="1">
        <v>0</v>
      </c>
      <c r="K46" s="1">
        <v>30</v>
      </c>
      <c r="L46" s="1">
        <v>780</v>
      </c>
      <c r="N46" s="1">
        <v>269</v>
      </c>
      <c r="O46" s="1">
        <v>30</v>
      </c>
      <c r="P46" s="1">
        <v>66</v>
      </c>
      <c r="R46" s="1">
        <v>0</v>
      </c>
      <c r="T46" s="1">
        <v>7</v>
      </c>
      <c r="U46" s="1">
        <v>-2</v>
      </c>
      <c r="V46" s="1">
        <v>0.5</v>
      </c>
      <c r="W46" s="1">
        <v>70</v>
      </c>
      <c r="X46" s="1">
        <v>-5</v>
      </c>
      <c r="Y46" s="1">
        <v>12</v>
      </c>
      <c r="Z46" s="1">
        <v>0.05</v>
      </c>
      <c r="AA46" s="1">
        <v>1</v>
      </c>
      <c r="AD46" s="1">
        <v>1</v>
      </c>
      <c r="AJ46" s="1" t="s">
        <v>7</v>
      </c>
      <c r="AK46" s="1" t="s">
        <v>206</v>
      </c>
      <c r="AL46" s="1" t="s">
        <v>350</v>
      </c>
      <c r="AN46" s="22" t="s">
        <v>9773</v>
      </c>
      <c r="AO46" s="22" t="s">
        <v>9769</v>
      </c>
      <c r="AQ46" s="1" t="s">
        <v>9694</v>
      </c>
      <c r="AR46" s="1">
        <v>1</v>
      </c>
      <c r="AS46" s="1">
        <v>0.5</v>
      </c>
      <c r="AZ46" s="1">
        <v>0.25</v>
      </c>
      <c r="BE46" s="1" t="s">
        <v>351</v>
      </c>
      <c r="BF46" s="1" t="s">
        <v>352</v>
      </c>
      <c r="BG46" s="1" t="str">
        <f t="shared" ref="BG46" si="28">"icon_"&amp;D46</f>
        <v>icon_rang</v>
      </c>
      <c r="BH46" s="1" t="str">
        <f t="shared" ref="BH46" si="29">"half_"&amp;D46</f>
        <v>half_rang</v>
      </c>
      <c r="BI46" s="1" t="str">
        <f t="shared" ref="BI46" si="30">D46</f>
        <v>rang</v>
      </c>
      <c r="BJ46" s="1" t="s">
        <v>329</v>
      </c>
      <c r="BK46" s="1">
        <v>2</v>
      </c>
      <c r="BL46" s="1" t="s">
        <v>330</v>
      </c>
      <c r="BM46" s="1" t="s">
        <v>353</v>
      </c>
      <c r="BN46" s="1" t="s">
        <v>354</v>
      </c>
      <c r="BO46" s="1" t="s">
        <v>355</v>
      </c>
      <c r="BQ46" s="1" t="s">
        <v>207</v>
      </c>
      <c r="BR46" s="1" t="s">
        <v>208</v>
      </c>
      <c r="BT46" s="1" t="s">
        <v>210</v>
      </c>
      <c r="BU46" s="1" t="s">
        <v>210</v>
      </c>
      <c r="BX46" s="1">
        <v>1</v>
      </c>
    </row>
    <row r="47" spans="1:76" x14ac:dyDescent="0.25">
      <c r="A47" s="1" t="s">
        <v>8</v>
      </c>
      <c r="B47" s="1" t="s">
        <v>324</v>
      </c>
      <c r="D47" s="1" t="s">
        <v>356</v>
      </c>
      <c r="E47" s="1">
        <v>501</v>
      </c>
      <c r="F47" s="1" t="str">
        <f t="shared" ref="F47" si="31">"char_"&amp;E47&amp;"_"&amp;D47</f>
        <v>char_501_durin</v>
      </c>
      <c r="G47" s="1">
        <v>1</v>
      </c>
      <c r="J47" s="1">
        <v>0</v>
      </c>
      <c r="K47" s="1">
        <v>30</v>
      </c>
      <c r="L47" s="1">
        <v>952</v>
      </c>
      <c r="M47" s="1">
        <v>100</v>
      </c>
      <c r="N47" s="1">
        <v>340</v>
      </c>
      <c r="O47" s="1">
        <v>30</v>
      </c>
      <c r="P47" s="1">
        <v>62</v>
      </c>
      <c r="R47" s="1">
        <v>10</v>
      </c>
      <c r="T47" s="1">
        <v>12</v>
      </c>
      <c r="U47" s="1">
        <v>-2</v>
      </c>
      <c r="V47" s="1">
        <v>0.5</v>
      </c>
      <c r="W47" s="1">
        <v>70</v>
      </c>
      <c r="X47" s="1">
        <v>-5</v>
      </c>
      <c r="Z47" s="1">
        <v>0.05</v>
      </c>
      <c r="AA47" s="1">
        <v>1.6</v>
      </c>
      <c r="AD47" s="1">
        <v>1</v>
      </c>
      <c r="AJ47" s="1" t="s">
        <v>8</v>
      </c>
      <c r="AK47" s="1" t="s">
        <v>206</v>
      </c>
      <c r="AL47" s="1" t="s">
        <v>357</v>
      </c>
      <c r="AN47" s="22" t="s">
        <v>9773</v>
      </c>
      <c r="AO47" s="22" t="s">
        <v>9769</v>
      </c>
      <c r="AQ47" s="1" t="s">
        <v>9694</v>
      </c>
      <c r="AR47" s="1">
        <v>1</v>
      </c>
      <c r="AS47" s="1">
        <v>0.5</v>
      </c>
      <c r="AZ47" s="1">
        <v>0.25</v>
      </c>
      <c r="BE47" s="1" t="s">
        <v>358</v>
      </c>
      <c r="BF47" s="1" t="s">
        <v>359</v>
      </c>
      <c r="BG47" s="1" t="str">
        <f t="shared" ref="BG47" si="32">"icon_"&amp;D47</f>
        <v>icon_durin</v>
      </c>
      <c r="BH47" s="1" t="str">
        <f t="shared" ref="BH47" si="33">"half_"&amp;D47</f>
        <v>half_durin</v>
      </c>
      <c r="BI47" s="1" t="str">
        <f t="shared" ref="BI47" si="34">D47</f>
        <v>durin</v>
      </c>
      <c r="BJ47" s="1" t="s">
        <v>329</v>
      </c>
      <c r="BK47" s="1">
        <v>2</v>
      </c>
      <c r="BL47" s="1" t="s">
        <v>330</v>
      </c>
      <c r="BM47" s="1" t="s">
        <v>353</v>
      </c>
      <c r="BN47" s="1" t="s">
        <v>360</v>
      </c>
      <c r="BO47" s="1" t="s">
        <v>361</v>
      </c>
      <c r="BQ47" s="1" t="s">
        <v>207</v>
      </c>
      <c r="BR47" s="1" t="s">
        <v>208</v>
      </c>
      <c r="BT47" s="1" t="s">
        <v>210</v>
      </c>
      <c r="BU47" s="1" t="s">
        <v>210</v>
      </c>
      <c r="BX47" s="1">
        <v>1</v>
      </c>
    </row>
    <row r="48" spans="1:76" x14ac:dyDescent="0.25">
      <c r="AN48" s="22" t="s">
        <v>9773</v>
      </c>
      <c r="AO48" s="22" t="s">
        <v>9769</v>
      </c>
    </row>
    <row r="49" spans="1:76" x14ac:dyDescent="0.25">
      <c r="A49" s="1" t="s">
        <v>9</v>
      </c>
      <c r="B49" s="1" t="s">
        <v>324</v>
      </c>
      <c r="D49" s="1" t="s">
        <v>362</v>
      </c>
      <c r="E49" s="1">
        <v>284</v>
      </c>
      <c r="F49" s="1" t="str">
        <f t="shared" si="15"/>
        <v>char_284_spot</v>
      </c>
      <c r="G49" s="1">
        <v>1</v>
      </c>
      <c r="J49" s="1">
        <v>1</v>
      </c>
      <c r="K49" s="1">
        <v>55</v>
      </c>
      <c r="L49" s="1">
        <v>1833</v>
      </c>
      <c r="N49" s="1">
        <v>320</v>
      </c>
      <c r="O49" s="1">
        <v>30</v>
      </c>
      <c r="P49" s="1">
        <v>442</v>
      </c>
      <c r="Q49" s="1">
        <v>54</v>
      </c>
      <c r="R49" s="1">
        <v>10</v>
      </c>
      <c r="T49" s="1">
        <v>17</v>
      </c>
      <c r="U49" s="1">
        <v>-2</v>
      </c>
      <c r="V49" s="1">
        <v>0.5</v>
      </c>
      <c r="W49" s="1">
        <v>70</v>
      </c>
      <c r="X49" s="1">
        <v>-4</v>
      </c>
      <c r="Z49" s="1">
        <v>0.05</v>
      </c>
      <c r="AA49" s="1">
        <v>1.2</v>
      </c>
      <c r="AD49" s="1">
        <v>1</v>
      </c>
      <c r="AJ49" s="1" t="s">
        <v>9</v>
      </c>
      <c r="AK49" s="1" t="s">
        <v>206</v>
      </c>
      <c r="AL49" s="1" t="s">
        <v>363</v>
      </c>
      <c r="AM49" s="1" t="s">
        <v>364</v>
      </c>
      <c r="AN49" s="22" t="s">
        <v>9773</v>
      </c>
      <c r="AO49" s="22" t="s">
        <v>9769</v>
      </c>
      <c r="AQ49" s="1" t="s">
        <v>9695</v>
      </c>
      <c r="AR49" s="1">
        <v>3</v>
      </c>
      <c r="AS49" s="1">
        <v>0.5</v>
      </c>
      <c r="AZ49" s="1">
        <v>0.25</v>
      </c>
      <c r="BE49" s="1" t="s">
        <v>344</v>
      </c>
      <c r="BF49" s="1" t="s">
        <v>365</v>
      </c>
      <c r="BG49" s="1" t="str">
        <f t="shared" si="16"/>
        <v>icon_spot</v>
      </c>
      <c r="BH49" s="1" t="str">
        <f t="shared" si="17"/>
        <v>half_spot</v>
      </c>
      <c r="BI49" s="1" t="str">
        <f t="shared" si="18"/>
        <v>spot</v>
      </c>
      <c r="BJ49" s="1" t="s">
        <v>329</v>
      </c>
      <c r="BK49" s="1">
        <v>3</v>
      </c>
      <c r="BL49" s="1" t="s">
        <v>338</v>
      </c>
      <c r="BM49" s="1" t="s">
        <v>366</v>
      </c>
      <c r="BN49" s="1" t="s">
        <v>367</v>
      </c>
      <c r="BO49" s="1" t="s">
        <v>368</v>
      </c>
      <c r="BQ49" s="1" t="s">
        <v>207</v>
      </c>
      <c r="BR49" s="1" t="s">
        <v>208</v>
      </c>
      <c r="BT49" s="1" t="s">
        <v>210</v>
      </c>
      <c r="BU49" s="1" t="s">
        <v>210</v>
      </c>
      <c r="BX49" s="1">
        <v>1</v>
      </c>
    </row>
    <row r="50" spans="1:76" x14ac:dyDescent="0.25">
      <c r="A50" s="1" t="s">
        <v>10</v>
      </c>
      <c r="B50" s="1" t="s">
        <v>324</v>
      </c>
      <c r="D50" s="1" t="s">
        <v>369</v>
      </c>
      <c r="E50" s="1">
        <v>281</v>
      </c>
      <c r="F50" s="1" t="str">
        <f t="shared" ref="F50:F62" si="35">"char_"&amp;E50&amp;"_"&amp;D50</f>
        <v>char_281_popka</v>
      </c>
      <c r="G50" s="1">
        <v>1</v>
      </c>
      <c r="J50" s="1">
        <v>1</v>
      </c>
      <c r="K50" s="1">
        <v>55</v>
      </c>
      <c r="L50" s="1">
        <v>1858</v>
      </c>
      <c r="N50" s="1">
        <v>495</v>
      </c>
      <c r="O50" s="1">
        <v>73</v>
      </c>
      <c r="P50" s="1">
        <v>245</v>
      </c>
      <c r="R50" s="1">
        <v>0</v>
      </c>
      <c r="T50" s="1">
        <v>19</v>
      </c>
      <c r="U50" s="1">
        <v>-2</v>
      </c>
      <c r="V50" s="1">
        <v>0.5</v>
      </c>
      <c r="W50" s="1">
        <v>70</v>
      </c>
      <c r="X50" s="1">
        <v>-4</v>
      </c>
      <c r="Z50" s="1">
        <v>0.05</v>
      </c>
      <c r="AA50" s="1">
        <v>1.2</v>
      </c>
      <c r="AD50" s="1">
        <v>1</v>
      </c>
      <c r="AJ50" s="1" t="s">
        <v>10</v>
      </c>
      <c r="AK50" s="1" t="s">
        <v>206</v>
      </c>
      <c r="AL50" s="1" t="s">
        <v>370</v>
      </c>
      <c r="AM50" s="1" t="s">
        <v>371</v>
      </c>
      <c r="AN50" s="22" t="s">
        <v>9773</v>
      </c>
      <c r="AO50" s="22" t="s">
        <v>9769</v>
      </c>
      <c r="AQ50" s="1" t="s">
        <v>9695</v>
      </c>
      <c r="AR50" s="1">
        <v>2</v>
      </c>
      <c r="AS50" s="1">
        <v>0.5</v>
      </c>
      <c r="AZ50" s="1">
        <v>0.25</v>
      </c>
      <c r="BE50" s="1" t="s">
        <v>336</v>
      </c>
      <c r="BF50" s="1" t="s">
        <v>372</v>
      </c>
      <c r="BG50" s="1" t="str">
        <f t="shared" ref="BG50:BG62" si="36">"icon_"&amp;D50</f>
        <v>icon_popka</v>
      </c>
      <c r="BH50" s="1" t="str">
        <f t="shared" si="17"/>
        <v>half_popka</v>
      </c>
      <c r="BI50" s="1" t="str">
        <f t="shared" si="18"/>
        <v>popka</v>
      </c>
      <c r="BJ50" s="1" t="s">
        <v>329</v>
      </c>
      <c r="BK50" s="1">
        <v>3</v>
      </c>
      <c r="BL50" s="1" t="s">
        <v>338</v>
      </c>
      <c r="BM50" s="1" t="s">
        <v>373</v>
      </c>
      <c r="BN50" s="1" t="s">
        <v>374</v>
      </c>
      <c r="BO50" s="1" t="s">
        <v>375</v>
      </c>
      <c r="BQ50" s="1" t="s">
        <v>207</v>
      </c>
      <c r="BR50" s="1" t="s">
        <v>208</v>
      </c>
      <c r="BT50" s="1" t="s">
        <v>210</v>
      </c>
      <c r="BU50" s="1" t="s">
        <v>210</v>
      </c>
      <c r="BX50" s="1">
        <v>1</v>
      </c>
    </row>
    <row r="51" spans="1:76" x14ac:dyDescent="0.25">
      <c r="A51" s="1" t="s">
        <v>11</v>
      </c>
      <c r="B51" s="1" t="s">
        <v>324</v>
      </c>
      <c r="D51" s="1" t="s">
        <v>376</v>
      </c>
      <c r="E51" s="1">
        <v>283</v>
      </c>
      <c r="F51" s="1" t="str">
        <f t="shared" si="35"/>
        <v>char_283_midn</v>
      </c>
      <c r="G51" s="1">
        <v>1</v>
      </c>
      <c r="J51" s="1">
        <v>1</v>
      </c>
      <c r="K51" s="1">
        <v>55</v>
      </c>
      <c r="L51" s="1">
        <v>1653</v>
      </c>
      <c r="N51" s="1">
        <v>497</v>
      </c>
      <c r="O51" s="1">
        <v>72</v>
      </c>
      <c r="P51" s="1">
        <v>282</v>
      </c>
      <c r="R51" s="1">
        <v>10</v>
      </c>
      <c r="T51" s="1">
        <v>16</v>
      </c>
      <c r="U51" s="1">
        <v>-2</v>
      </c>
      <c r="V51" s="1">
        <v>0.5</v>
      </c>
      <c r="W51" s="1">
        <v>70</v>
      </c>
      <c r="X51" s="1">
        <v>-4</v>
      </c>
      <c r="Z51" s="1">
        <v>0.05</v>
      </c>
      <c r="AA51" s="1">
        <v>1.3</v>
      </c>
      <c r="AD51" s="1">
        <v>1</v>
      </c>
      <c r="AJ51" s="1" t="s">
        <v>11</v>
      </c>
      <c r="AK51" s="1" t="s">
        <v>206</v>
      </c>
      <c r="AL51" s="1" t="s">
        <v>377</v>
      </c>
      <c r="AM51" s="1" t="s">
        <v>378</v>
      </c>
      <c r="AN51" s="22" t="s">
        <v>9773</v>
      </c>
      <c r="AO51" s="22" t="s">
        <v>9769</v>
      </c>
      <c r="AQ51" s="1" t="s">
        <v>9695</v>
      </c>
      <c r="AR51" s="1">
        <v>2</v>
      </c>
      <c r="AS51" s="1">
        <v>0.5</v>
      </c>
      <c r="AZ51" s="1">
        <v>0.25</v>
      </c>
      <c r="BE51" s="1" t="s">
        <v>336</v>
      </c>
      <c r="BF51" s="1" t="s">
        <v>379</v>
      </c>
      <c r="BG51" s="1" t="str">
        <f t="shared" si="36"/>
        <v>icon_midn</v>
      </c>
      <c r="BH51" s="1" t="str">
        <f t="shared" si="17"/>
        <v>half_midn</v>
      </c>
      <c r="BI51" s="1" t="str">
        <f t="shared" si="18"/>
        <v>midn</v>
      </c>
      <c r="BJ51" s="1" t="s">
        <v>329</v>
      </c>
      <c r="BK51" s="1">
        <v>3</v>
      </c>
      <c r="BL51" s="1" t="s">
        <v>338</v>
      </c>
      <c r="BM51" s="1" t="s">
        <v>380</v>
      </c>
      <c r="BN51" s="1" t="s">
        <v>381</v>
      </c>
      <c r="BO51" s="1" t="s">
        <v>382</v>
      </c>
      <c r="BQ51" s="1" t="s">
        <v>207</v>
      </c>
      <c r="BR51" s="1" t="s">
        <v>208</v>
      </c>
      <c r="BT51" s="1" t="s">
        <v>210</v>
      </c>
      <c r="BU51" s="1" t="s">
        <v>210</v>
      </c>
      <c r="BX51" s="1">
        <v>2</v>
      </c>
    </row>
    <row r="52" spans="1:76" x14ac:dyDescent="0.25">
      <c r="A52" s="1" t="s">
        <v>12</v>
      </c>
      <c r="B52" s="1" t="s">
        <v>324</v>
      </c>
      <c r="D52" s="1" t="s">
        <v>383</v>
      </c>
      <c r="E52" s="1">
        <v>282</v>
      </c>
      <c r="F52" s="1" t="str">
        <f t="shared" si="35"/>
        <v>char_282_catap</v>
      </c>
      <c r="G52" s="1">
        <v>1</v>
      </c>
      <c r="J52" s="1">
        <v>1</v>
      </c>
      <c r="K52" s="1">
        <v>55</v>
      </c>
      <c r="L52" s="1">
        <v>1150</v>
      </c>
      <c r="N52" s="1">
        <v>617</v>
      </c>
      <c r="O52" s="1">
        <v>82</v>
      </c>
      <c r="P52" s="1">
        <v>85</v>
      </c>
      <c r="R52" s="1">
        <v>0</v>
      </c>
      <c r="T52" s="1">
        <v>23</v>
      </c>
      <c r="U52" s="1">
        <v>-2</v>
      </c>
      <c r="V52" s="1">
        <v>0.5</v>
      </c>
      <c r="W52" s="1">
        <v>70</v>
      </c>
      <c r="X52" s="1">
        <v>-10</v>
      </c>
      <c r="Z52" s="1">
        <v>0.05</v>
      </c>
      <c r="AA52" s="1">
        <v>2.8</v>
      </c>
      <c r="AD52" s="1">
        <v>1</v>
      </c>
      <c r="AJ52" s="1" t="s">
        <v>12</v>
      </c>
      <c r="AK52" s="1" t="s">
        <v>206</v>
      </c>
      <c r="AL52" s="1" t="s">
        <v>384</v>
      </c>
      <c r="AM52" s="1" t="s">
        <v>385</v>
      </c>
      <c r="AN52" s="22" t="s">
        <v>9773</v>
      </c>
      <c r="AO52" s="22" t="s">
        <v>9769</v>
      </c>
      <c r="AQ52" s="1" t="s">
        <v>9694</v>
      </c>
      <c r="AR52" s="1">
        <v>1</v>
      </c>
      <c r="AS52" s="1">
        <v>0.5</v>
      </c>
      <c r="AZ52" s="1">
        <v>0.25</v>
      </c>
      <c r="BE52" s="1" t="s">
        <v>351</v>
      </c>
      <c r="BF52" s="1" t="s">
        <v>386</v>
      </c>
      <c r="BG52" s="1" t="str">
        <f t="shared" si="36"/>
        <v>icon_catap</v>
      </c>
      <c r="BH52" s="1" t="str">
        <f t="shared" si="17"/>
        <v>half_catap</v>
      </c>
      <c r="BI52" s="1" t="str">
        <f t="shared" si="18"/>
        <v>catap</v>
      </c>
      <c r="BJ52" s="1" t="s">
        <v>329</v>
      </c>
      <c r="BK52" s="1">
        <v>3</v>
      </c>
      <c r="BL52" s="1" t="s">
        <v>330</v>
      </c>
      <c r="BM52" s="1" t="s">
        <v>387</v>
      </c>
      <c r="BN52" s="1" t="s">
        <v>388</v>
      </c>
      <c r="BO52" s="1" t="s">
        <v>389</v>
      </c>
      <c r="BQ52" s="1" t="s">
        <v>207</v>
      </c>
      <c r="BR52" s="1" t="s">
        <v>208</v>
      </c>
      <c r="BT52" s="1" t="s">
        <v>210</v>
      </c>
      <c r="BU52" s="1" t="s">
        <v>210</v>
      </c>
      <c r="BX52" s="1">
        <v>1</v>
      </c>
    </row>
    <row r="53" spans="1:76" x14ac:dyDescent="0.25">
      <c r="A53" s="1" t="s">
        <v>13</v>
      </c>
      <c r="B53" s="1" t="s">
        <v>324</v>
      </c>
      <c r="D53" s="1" t="s">
        <v>390</v>
      </c>
      <c r="E53" s="1">
        <v>278</v>
      </c>
      <c r="F53" s="1" t="str">
        <f t="shared" si="35"/>
        <v>char_278_orchid</v>
      </c>
      <c r="G53" s="1">
        <v>1</v>
      </c>
      <c r="J53" s="1">
        <v>1</v>
      </c>
      <c r="K53" s="1">
        <v>55</v>
      </c>
      <c r="L53" s="1">
        <v>935</v>
      </c>
      <c r="N53" s="1">
        <v>378</v>
      </c>
      <c r="O53" s="1">
        <v>59</v>
      </c>
      <c r="P53" s="1">
        <v>83</v>
      </c>
      <c r="R53" s="1">
        <v>15</v>
      </c>
      <c r="T53" s="1">
        <v>12</v>
      </c>
      <c r="U53" s="1">
        <v>-2</v>
      </c>
      <c r="V53" s="1">
        <v>0.5</v>
      </c>
      <c r="W53" s="1">
        <v>70</v>
      </c>
      <c r="X53" s="1">
        <v>-10</v>
      </c>
      <c r="Z53" s="1">
        <v>0.05</v>
      </c>
      <c r="AA53" s="1">
        <v>1.9</v>
      </c>
      <c r="AD53" s="1">
        <v>1</v>
      </c>
      <c r="AJ53" s="1" t="s">
        <v>13</v>
      </c>
      <c r="AK53" s="1" t="s">
        <v>206</v>
      </c>
      <c r="AL53" s="1" t="s">
        <v>391</v>
      </c>
      <c r="AM53" s="1" t="s">
        <v>392</v>
      </c>
      <c r="AN53" s="22" t="s">
        <v>9773</v>
      </c>
      <c r="AO53" s="22" t="s">
        <v>9769</v>
      </c>
      <c r="AQ53" s="1" t="s">
        <v>9694</v>
      </c>
      <c r="AR53" s="1">
        <v>1</v>
      </c>
      <c r="AS53" s="1">
        <v>0.5</v>
      </c>
      <c r="AZ53" s="1">
        <v>0.25</v>
      </c>
      <c r="BE53" s="1" t="s">
        <v>393</v>
      </c>
      <c r="BF53" s="1" t="s">
        <v>394</v>
      </c>
      <c r="BG53" s="1" t="str">
        <f t="shared" si="36"/>
        <v>icon_orchid</v>
      </c>
      <c r="BH53" s="1" t="str">
        <f t="shared" si="17"/>
        <v>half_orchid</v>
      </c>
      <c r="BI53" s="1" t="str">
        <f t="shared" si="18"/>
        <v>orchid</v>
      </c>
      <c r="BJ53" s="1" t="s">
        <v>329</v>
      </c>
      <c r="BK53" s="1">
        <v>3</v>
      </c>
      <c r="BL53" s="1" t="s">
        <v>330</v>
      </c>
      <c r="BM53" s="1" t="s">
        <v>395</v>
      </c>
      <c r="BN53" s="1" t="s">
        <v>396</v>
      </c>
      <c r="BO53" s="1" t="s">
        <v>397</v>
      </c>
      <c r="BQ53" s="1" t="s">
        <v>207</v>
      </c>
      <c r="BR53" s="1" t="s">
        <v>208</v>
      </c>
      <c r="BT53" s="1" t="s">
        <v>210</v>
      </c>
      <c r="BU53" s="1" t="s">
        <v>210</v>
      </c>
      <c r="BX53" s="1">
        <v>1</v>
      </c>
    </row>
    <row r="54" spans="1:76" x14ac:dyDescent="0.25">
      <c r="A54" s="1" t="s">
        <v>14</v>
      </c>
      <c r="B54" s="1" t="s">
        <v>324</v>
      </c>
      <c r="D54" s="1" t="s">
        <v>398</v>
      </c>
      <c r="E54" s="1">
        <v>210</v>
      </c>
      <c r="F54" s="1" t="str">
        <f t="shared" si="35"/>
        <v>char_210_stward</v>
      </c>
      <c r="G54" s="1">
        <v>1</v>
      </c>
      <c r="J54" s="1">
        <v>1</v>
      </c>
      <c r="K54" s="1">
        <v>55</v>
      </c>
      <c r="L54" s="1">
        <v>1100</v>
      </c>
      <c r="N54" s="1">
        <v>470</v>
      </c>
      <c r="O54" s="1">
        <v>73</v>
      </c>
      <c r="P54" s="1">
        <v>90</v>
      </c>
      <c r="R54" s="1">
        <v>15</v>
      </c>
      <c r="T54" s="1">
        <v>18</v>
      </c>
      <c r="U54" s="1">
        <v>-2</v>
      </c>
      <c r="V54" s="1">
        <v>0.5</v>
      </c>
      <c r="W54" s="1">
        <v>70</v>
      </c>
      <c r="X54" s="1">
        <v>-10</v>
      </c>
      <c r="Z54" s="1">
        <v>0.05</v>
      </c>
      <c r="AA54" s="1">
        <v>1.6</v>
      </c>
      <c r="AD54" s="1">
        <v>1</v>
      </c>
      <c r="AJ54" s="1" t="s">
        <v>14</v>
      </c>
      <c r="AK54" s="1" t="s">
        <v>206</v>
      </c>
      <c r="AL54" s="1" t="s">
        <v>399</v>
      </c>
      <c r="AM54" s="1" t="s">
        <v>400</v>
      </c>
      <c r="AN54" s="22" t="s">
        <v>9773</v>
      </c>
      <c r="AO54" s="22" t="s">
        <v>9769</v>
      </c>
      <c r="AQ54" s="1" t="s">
        <v>9694</v>
      </c>
      <c r="AR54" s="1">
        <v>1</v>
      </c>
      <c r="AS54" s="1">
        <v>0.5</v>
      </c>
      <c r="AZ54" s="1">
        <v>0.25</v>
      </c>
      <c r="BE54" s="1" t="s">
        <v>358</v>
      </c>
      <c r="BF54" s="1" t="s">
        <v>359</v>
      </c>
      <c r="BG54" s="1" t="str">
        <f t="shared" si="36"/>
        <v>icon_stward</v>
      </c>
      <c r="BH54" s="1" t="str">
        <f t="shared" si="17"/>
        <v>half_stward</v>
      </c>
      <c r="BI54" s="1" t="str">
        <f t="shared" si="18"/>
        <v>stward</v>
      </c>
      <c r="BJ54" s="1" t="s">
        <v>329</v>
      </c>
      <c r="BK54" s="1">
        <v>3</v>
      </c>
      <c r="BL54" s="1" t="s">
        <v>330</v>
      </c>
      <c r="BM54" s="1" t="s">
        <v>401</v>
      </c>
      <c r="BN54" s="1" t="s">
        <v>360</v>
      </c>
      <c r="BO54" s="1" t="s">
        <v>402</v>
      </c>
      <c r="BQ54" s="1" t="s">
        <v>207</v>
      </c>
      <c r="BR54" s="1" t="s">
        <v>208</v>
      </c>
      <c r="BT54" s="1" t="s">
        <v>210</v>
      </c>
      <c r="BU54" s="1" t="s">
        <v>210</v>
      </c>
      <c r="BX54" s="1">
        <v>1</v>
      </c>
    </row>
    <row r="55" spans="1:76" x14ac:dyDescent="0.25">
      <c r="A55" s="1" t="s">
        <v>15</v>
      </c>
      <c r="B55" s="1" t="s">
        <v>324</v>
      </c>
      <c r="D55" s="1" t="s">
        <v>403</v>
      </c>
      <c r="E55" s="1">
        <v>212</v>
      </c>
      <c r="F55" s="1" t="str">
        <f t="shared" si="35"/>
        <v>char_212_ansel</v>
      </c>
      <c r="G55" s="1">
        <v>1</v>
      </c>
      <c r="J55" s="1">
        <v>1</v>
      </c>
      <c r="K55" s="1">
        <v>55</v>
      </c>
      <c r="L55" s="1">
        <v>1135</v>
      </c>
      <c r="N55" s="1">
        <v>362</v>
      </c>
      <c r="O55" s="1">
        <v>65</v>
      </c>
      <c r="P55" s="1">
        <v>109</v>
      </c>
      <c r="R55" s="1">
        <v>0</v>
      </c>
      <c r="T55" s="1">
        <v>17</v>
      </c>
      <c r="U55" s="1">
        <v>-2</v>
      </c>
      <c r="V55" s="1">
        <v>0.5</v>
      </c>
      <c r="W55" s="1">
        <v>70</v>
      </c>
      <c r="X55" s="1">
        <v>-4</v>
      </c>
      <c r="Z55" s="1">
        <v>0.05</v>
      </c>
      <c r="AA55" s="1">
        <v>2.85</v>
      </c>
      <c r="AD55" s="1">
        <v>1</v>
      </c>
      <c r="AJ55" s="1" t="s">
        <v>15</v>
      </c>
      <c r="AK55" s="1" t="s">
        <v>206</v>
      </c>
      <c r="AL55" s="1" t="s">
        <v>404</v>
      </c>
      <c r="AM55" s="1" t="s">
        <v>405</v>
      </c>
      <c r="AN55" s="22" t="s">
        <v>9773</v>
      </c>
      <c r="AO55" s="22" t="s">
        <v>9769</v>
      </c>
      <c r="AQ55" s="1" t="s">
        <v>9694</v>
      </c>
      <c r="AR55" s="1">
        <v>1</v>
      </c>
      <c r="AS55" s="1">
        <v>0.5</v>
      </c>
      <c r="AZ55" s="1">
        <v>0.25</v>
      </c>
      <c r="BE55" s="1" t="s">
        <v>327</v>
      </c>
      <c r="BF55" s="1" t="s">
        <v>328</v>
      </c>
      <c r="BG55" s="1" t="str">
        <f t="shared" si="36"/>
        <v>icon_ansel</v>
      </c>
      <c r="BH55" s="1" t="str">
        <f t="shared" si="17"/>
        <v>half_ansel</v>
      </c>
      <c r="BI55" s="1" t="str">
        <f t="shared" si="18"/>
        <v>ansel</v>
      </c>
      <c r="BJ55" s="1" t="s">
        <v>329</v>
      </c>
      <c r="BK55" s="1">
        <v>3</v>
      </c>
      <c r="BL55" s="1" t="s">
        <v>330</v>
      </c>
      <c r="BM55" s="1" t="s">
        <v>406</v>
      </c>
      <c r="BN55" s="1" t="s">
        <v>407</v>
      </c>
      <c r="BO55" s="1" t="s">
        <v>408</v>
      </c>
      <c r="BQ55" s="1" t="s">
        <v>207</v>
      </c>
      <c r="BR55" s="1" t="s">
        <v>208</v>
      </c>
      <c r="BT55" s="1" t="s">
        <v>210</v>
      </c>
      <c r="BU55" s="1" t="s">
        <v>210</v>
      </c>
      <c r="BX55" s="1">
        <v>1</v>
      </c>
    </row>
    <row r="56" spans="1:76" x14ac:dyDescent="0.25">
      <c r="A56" s="1" t="s">
        <v>16</v>
      </c>
      <c r="B56" s="1" t="s">
        <v>324</v>
      </c>
      <c r="D56" s="1" t="s">
        <v>409</v>
      </c>
      <c r="E56" s="1">
        <v>120</v>
      </c>
      <c r="F56" s="1" t="str">
        <f t="shared" si="35"/>
        <v>char_120_hibisc</v>
      </c>
      <c r="G56" s="1">
        <v>1</v>
      </c>
      <c r="J56" s="1">
        <v>1</v>
      </c>
      <c r="K56" s="1">
        <v>55</v>
      </c>
      <c r="L56" s="1">
        <v>1220</v>
      </c>
      <c r="N56" s="1">
        <v>345</v>
      </c>
      <c r="O56" s="1">
        <v>63</v>
      </c>
      <c r="P56" s="1">
        <v>110</v>
      </c>
      <c r="R56" s="1">
        <v>0</v>
      </c>
      <c r="T56" s="1">
        <v>17</v>
      </c>
      <c r="U56" s="1">
        <v>-2</v>
      </c>
      <c r="V56" s="1">
        <v>0.5</v>
      </c>
      <c r="W56" s="1">
        <v>70</v>
      </c>
      <c r="X56" s="1">
        <v>-10</v>
      </c>
      <c r="Z56" s="1">
        <v>0.05</v>
      </c>
      <c r="AA56" s="1">
        <v>2.85</v>
      </c>
      <c r="AD56" s="1">
        <v>1</v>
      </c>
      <c r="AJ56" s="1" t="s">
        <v>16</v>
      </c>
      <c r="AK56" s="1" t="s">
        <v>206</v>
      </c>
      <c r="AL56" s="1" t="s">
        <v>410</v>
      </c>
      <c r="AM56" s="1" t="s">
        <v>411</v>
      </c>
      <c r="AN56" s="22" t="s">
        <v>9773</v>
      </c>
      <c r="AO56" s="22" t="s">
        <v>9769</v>
      </c>
      <c r="AQ56" s="1" t="s">
        <v>9694</v>
      </c>
      <c r="AR56" s="1">
        <v>1</v>
      </c>
      <c r="AS56" s="1">
        <v>0.5</v>
      </c>
      <c r="AZ56" s="1">
        <v>0.25</v>
      </c>
      <c r="BE56" s="1" t="s">
        <v>327</v>
      </c>
      <c r="BF56" s="1" t="s">
        <v>328</v>
      </c>
      <c r="BG56" s="1" t="str">
        <f t="shared" si="36"/>
        <v>icon_hibisc</v>
      </c>
      <c r="BH56" s="1" t="str">
        <f t="shared" si="17"/>
        <v>half_hibisc</v>
      </c>
      <c r="BI56" s="1" t="str">
        <f t="shared" si="18"/>
        <v>hibisc</v>
      </c>
      <c r="BJ56" s="1" t="s">
        <v>329</v>
      </c>
      <c r="BK56" s="1">
        <v>3</v>
      </c>
      <c r="BL56" s="1" t="s">
        <v>330</v>
      </c>
      <c r="BM56" s="1" t="s">
        <v>412</v>
      </c>
      <c r="BN56" s="1" t="s">
        <v>407</v>
      </c>
      <c r="BO56" s="1" t="s">
        <v>413</v>
      </c>
      <c r="BQ56" s="1" t="s">
        <v>207</v>
      </c>
      <c r="BR56" s="1" t="s">
        <v>208</v>
      </c>
      <c r="BT56" s="1" t="s">
        <v>210</v>
      </c>
      <c r="BU56" s="1" t="s">
        <v>210</v>
      </c>
      <c r="BX56" s="1">
        <v>1</v>
      </c>
    </row>
    <row r="57" spans="1:76" x14ac:dyDescent="0.25">
      <c r="A57" s="1" t="s">
        <v>17</v>
      </c>
      <c r="B57" s="1" t="s">
        <v>324</v>
      </c>
      <c r="D57" s="1" t="s">
        <v>414</v>
      </c>
      <c r="E57" s="1">
        <v>121</v>
      </c>
      <c r="F57" s="1" t="str">
        <f t="shared" si="35"/>
        <v>char_121_lava</v>
      </c>
      <c r="G57" s="1">
        <v>1</v>
      </c>
      <c r="J57" s="1">
        <v>1</v>
      </c>
      <c r="K57" s="1">
        <v>55</v>
      </c>
      <c r="L57" s="1">
        <v>1141</v>
      </c>
      <c r="N57" s="1">
        <v>582</v>
      </c>
      <c r="O57" s="1">
        <v>60</v>
      </c>
      <c r="P57" s="1">
        <v>95</v>
      </c>
      <c r="R57" s="1">
        <v>15</v>
      </c>
      <c r="T57" s="1">
        <v>30</v>
      </c>
      <c r="U57" s="1">
        <v>-2</v>
      </c>
      <c r="V57" s="1">
        <v>0.5</v>
      </c>
      <c r="W57" s="1">
        <v>70</v>
      </c>
      <c r="X57" s="1">
        <v>-4</v>
      </c>
      <c r="Z57" s="1">
        <v>0.05</v>
      </c>
      <c r="AA57" s="1">
        <v>2.9</v>
      </c>
      <c r="AD57" s="1">
        <v>1</v>
      </c>
      <c r="AJ57" s="1" t="s">
        <v>17</v>
      </c>
      <c r="AK57" s="1" t="s">
        <v>206</v>
      </c>
      <c r="AL57" s="1" t="s">
        <v>415</v>
      </c>
      <c r="AM57" s="1" t="s">
        <v>416</v>
      </c>
      <c r="AN57" s="22" t="s">
        <v>9773</v>
      </c>
      <c r="AO57" s="22" t="s">
        <v>9769</v>
      </c>
      <c r="AQ57" s="1" t="s">
        <v>9694</v>
      </c>
      <c r="AR57" s="1">
        <v>1</v>
      </c>
      <c r="AS57" s="1">
        <v>0.5</v>
      </c>
      <c r="AZ57" s="1">
        <v>0.25</v>
      </c>
      <c r="BE57" s="1" t="s">
        <v>358</v>
      </c>
      <c r="BF57" s="1" t="s">
        <v>417</v>
      </c>
      <c r="BG57" s="1" t="str">
        <f t="shared" si="36"/>
        <v>icon_lava</v>
      </c>
      <c r="BH57" s="1" t="str">
        <f t="shared" si="17"/>
        <v>half_lava</v>
      </c>
      <c r="BI57" s="1" t="str">
        <f t="shared" si="18"/>
        <v>lava</v>
      </c>
      <c r="BJ57" s="1" t="s">
        <v>329</v>
      </c>
      <c r="BK57" s="1">
        <v>3</v>
      </c>
      <c r="BL57" s="1" t="s">
        <v>330</v>
      </c>
      <c r="BM57" s="1" t="s">
        <v>412</v>
      </c>
      <c r="BN57" s="1" t="s">
        <v>418</v>
      </c>
      <c r="BO57" s="1" t="s">
        <v>419</v>
      </c>
      <c r="BQ57" s="1" t="s">
        <v>207</v>
      </c>
      <c r="BR57" s="1" t="s">
        <v>208</v>
      </c>
      <c r="BT57" s="1" t="s">
        <v>210</v>
      </c>
      <c r="BU57" s="1" t="s">
        <v>210</v>
      </c>
      <c r="BX57" s="1">
        <v>1</v>
      </c>
    </row>
    <row r="58" spans="1:76" x14ac:dyDescent="0.25">
      <c r="A58" s="1" t="s">
        <v>18</v>
      </c>
      <c r="B58" s="1" t="s">
        <v>324</v>
      </c>
      <c r="D58" s="1" t="s">
        <v>420</v>
      </c>
      <c r="E58" s="1">
        <v>211</v>
      </c>
      <c r="F58" s="1" t="str">
        <f t="shared" si="35"/>
        <v>char_211_adnach</v>
      </c>
      <c r="G58" s="1">
        <v>1</v>
      </c>
      <c r="J58" s="1">
        <v>1</v>
      </c>
      <c r="K58" s="1">
        <v>55</v>
      </c>
      <c r="L58" s="1">
        <v>1080</v>
      </c>
      <c r="N58" s="1">
        <v>365</v>
      </c>
      <c r="O58" s="1">
        <v>73</v>
      </c>
      <c r="P58" s="1">
        <v>134</v>
      </c>
      <c r="R58" s="1">
        <v>0</v>
      </c>
      <c r="T58" s="1">
        <v>11</v>
      </c>
      <c r="U58" s="1">
        <v>-2</v>
      </c>
      <c r="V58" s="1">
        <v>0.5</v>
      </c>
      <c r="W58" s="1">
        <v>70</v>
      </c>
      <c r="X58" s="1">
        <v>-10</v>
      </c>
      <c r="Z58" s="1">
        <v>0.05</v>
      </c>
      <c r="AA58" s="1">
        <v>1</v>
      </c>
      <c r="AD58" s="1">
        <v>1</v>
      </c>
      <c r="AJ58" s="1" t="s">
        <v>18</v>
      </c>
      <c r="AK58" s="1" t="s">
        <v>206</v>
      </c>
      <c r="AL58" s="1" t="s">
        <v>421</v>
      </c>
      <c r="AM58" s="1" t="s">
        <v>371</v>
      </c>
      <c r="AN58" s="22" t="s">
        <v>9773</v>
      </c>
      <c r="AO58" s="22" t="s">
        <v>9769</v>
      </c>
      <c r="AQ58" s="1" t="s">
        <v>9694</v>
      </c>
      <c r="AR58" s="1">
        <v>1</v>
      </c>
      <c r="AS58" s="1">
        <v>0.5</v>
      </c>
      <c r="AZ58" s="1">
        <v>0.25</v>
      </c>
      <c r="BE58" s="1" t="s">
        <v>351</v>
      </c>
      <c r="BF58" s="1" t="s">
        <v>352</v>
      </c>
      <c r="BG58" s="1" t="str">
        <f t="shared" si="36"/>
        <v>icon_adnach</v>
      </c>
      <c r="BH58" s="1" t="str">
        <f t="shared" si="17"/>
        <v>half_adnach</v>
      </c>
      <c r="BI58" s="1" t="str">
        <f t="shared" si="18"/>
        <v>adnach</v>
      </c>
      <c r="BJ58" s="1" t="s">
        <v>329</v>
      </c>
      <c r="BK58" s="1">
        <v>3</v>
      </c>
      <c r="BL58" s="1" t="s">
        <v>330</v>
      </c>
      <c r="BM58" s="1" t="s">
        <v>422</v>
      </c>
      <c r="BN58" s="1" t="s">
        <v>354</v>
      </c>
      <c r="BO58" s="1" t="s">
        <v>423</v>
      </c>
      <c r="BQ58" s="1" t="s">
        <v>207</v>
      </c>
      <c r="BR58" s="1" t="s">
        <v>208</v>
      </c>
      <c r="BT58" s="1" t="s">
        <v>210</v>
      </c>
      <c r="BU58" s="1" t="s">
        <v>210</v>
      </c>
      <c r="BX58" s="1">
        <v>1</v>
      </c>
    </row>
    <row r="59" spans="1:76" x14ac:dyDescent="0.25">
      <c r="A59" s="1" t="s">
        <v>19</v>
      </c>
      <c r="B59" s="1" t="s">
        <v>324</v>
      </c>
      <c r="D59" s="1" t="s">
        <v>424</v>
      </c>
      <c r="E59" s="1" t="s">
        <v>425</v>
      </c>
      <c r="F59" s="1" t="str">
        <f t="shared" si="35"/>
        <v>char_124_kroos</v>
      </c>
      <c r="G59" s="1">
        <v>1</v>
      </c>
      <c r="J59" s="1">
        <v>1</v>
      </c>
      <c r="K59" s="1">
        <v>55</v>
      </c>
      <c r="L59" s="1">
        <v>1060</v>
      </c>
      <c r="N59" s="1">
        <v>375</v>
      </c>
      <c r="O59" s="1">
        <v>71</v>
      </c>
      <c r="P59" s="1">
        <v>126</v>
      </c>
      <c r="R59" s="1">
        <v>0</v>
      </c>
      <c r="T59" s="1">
        <v>11</v>
      </c>
      <c r="U59" s="1">
        <v>-2</v>
      </c>
      <c r="V59" s="1">
        <v>0.5</v>
      </c>
      <c r="W59" s="1">
        <v>70</v>
      </c>
      <c r="X59" s="1">
        <v>-4</v>
      </c>
      <c r="Z59" s="1">
        <v>0.05</v>
      </c>
      <c r="AA59" s="1">
        <v>1</v>
      </c>
      <c r="AD59" s="1">
        <v>1</v>
      </c>
      <c r="AJ59" s="1" t="s">
        <v>19</v>
      </c>
      <c r="AK59" s="1" t="s">
        <v>206</v>
      </c>
      <c r="AL59" s="1" t="s">
        <v>426</v>
      </c>
      <c r="AM59" s="1" t="s">
        <v>427</v>
      </c>
      <c r="AN59" s="22" t="s">
        <v>9773</v>
      </c>
      <c r="AO59" s="22" t="s">
        <v>9769</v>
      </c>
      <c r="AQ59" s="1" t="s">
        <v>9694</v>
      </c>
      <c r="AR59" s="1">
        <v>1</v>
      </c>
      <c r="AS59" s="1">
        <v>0.5</v>
      </c>
      <c r="AZ59" s="1">
        <v>0.25</v>
      </c>
      <c r="BE59" s="1" t="s">
        <v>351</v>
      </c>
      <c r="BF59" s="1" t="s">
        <v>352</v>
      </c>
      <c r="BG59" s="1" t="str">
        <f t="shared" si="36"/>
        <v>icon_kroos</v>
      </c>
      <c r="BH59" s="1" t="str">
        <f t="shared" si="17"/>
        <v>half_kroos</v>
      </c>
      <c r="BI59" s="1" t="str">
        <f t="shared" si="18"/>
        <v>kroos</v>
      </c>
      <c r="BJ59" s="1" t="s">
        <v>329</v>
      </c>
      <c r="BK59" s="1">
        <v>3</v>
      </c>
      <c r="BL59" s="1" t="s">
        <v>330</v>
      </c>
      <c r="BM59" s="1" t="s">
        <v>428</v>
      </c>
      <c r="BN59" s="1" t="s">
        <v>354</v>
      </c>
      <c r="BO59" s="1" t="s">
        <v>382</v>
      </c>
      <c r="BQ59" s="1" t="s">
        <v>207</v>
      </c>
      <c r="BR59" s="1" t="s">
        <v>208</v>
      </c>
      <c r="BT59" s="1" t="s">
        <v>210</v>
      </c>
      <c r="BU59" s="1" t="s">
        <v>210</v>
      </c>
      <c r="BX59" s="1">
        <v>1</v>
      </c>
    </row>
    <row r="60" spans="1:76" x14ac:dyDescent="0.25">
      <c r="A60" s="1" t="s">
        <v>20</v>
      </c>
      <c r="B60" s="1" t="s">
        <v>324</v>
      </c>
      <c r="D60" s="1" t="s">
        <v>429</v>
      </c>
      <c r="E60" s="1">
        <v>122</v>
      </c>
      <c r="F60" s="1" t="str">
        <f t="shared" si="35"/>
        <v>char_122_beagle</v>
      </c>
      <c r="G60" s="1">
        <v>1</v>
      </c>
      <c r="J60" s="1">
        <v>1</v>
      </c>
      <c r="K60" s="1">
        <v>55</v>
      </c>
      <c r="L60" s="1">
        <v>2035</v>
      </c>
      <c r="N60" s="1">
        <v>295</v>
      </c>
      <c r="P60" s="1">
        <v>490</v>
      </c>
      <c r="Q60" s="1">
        <v>88</v>
      </c>
      <c r="R60" s="1">
        <v>0</v>
      </c>
      <c r="T60" s="1">
        <v>18</v>
      </c>
      <c r="U60" s="1">
        <v>-2</v>
      </c>
      <c r="V60" s="1">
        <v>0.5</v>
      </c>
      <c r="W60" s="1">
        <v>70</v>
      </c>
      <c r="X60" s="1">
        <v>-10</v>
      </c>
      <c r="Z60" s="1">
        <v>0.05</v>
      </c>
      <c r="AA60" s="1">
        <v>1.2</v>
      </c>
      <c r="AD60" s="1">
        <v>1</v>
      </c>
      <c r="AJ60" s="1" t="s">
        <v>20</v>
      </c>
      <c r="AK60" s="1" t="s">
        <v>206</v>
      </c>
      <c r="AL60" s="1" t="s">
        <v>430</v>
      </c>
      <c r="AM60" s="1" t="s">
        <v>431</v>
      </c>
      <c r="AN60" s="22" t="s">
        <v>9773</v>
      </c>
      <c r="AO60" s="22" t="s">
        <v>9769</v>
      </c>
      <c r="AQ60" s="1" t="s">
        <v>9695</v>
      </c>
      <c r="AR60" s="1">
        <v>3</v>
      </c>
      <c r="AS60" s="1">
        <v>0.5</v>
      </c>
      <c r="AZ60" s="1">
        <v>0.25</v>
      </c>
      <c r="BE60" s="1" t="s">
        <v>344</v>
      </c>
      <c r="BF60" s="1" t="s">
        <v>345</v>
      </c>
      <c r="BG60" s="1" t="str">
        <f t="shared" si="36"/>
        <v>icon_beagle</v>
      </c>
      <c r="BH60" s="1" t="str">
        <f t="shared" si="17"/>
        <v>half_beagle</v>
      </c>
      <c r="BI60" s="1" t="str">
        <f t="shared" si="18"/>
        <v>beagle</v>
      </c>
      <c r="BJ60" s="1" t="s">
        <v>329</v>
      </c>
      <c r="BK60" s="1">
        <v>3</v>
      </c>
      <c r="BL60" s="1" t="s">
        <v>338</v>
      </c>
      <c r="BM60" s="1" t="s">
        <v>432</v>
      </c>
      <c r="BN60" s="1" t="s">
        <v>347</v>
      </c>
      <c r="BO60" s="1" t="s">
        <v>433</v>
      </c>
      <c r="BQ60" s="1" t="s">
        <v>207</v>
      </c>
      <c r="BR60" s="1" t="s">
        <v>208</v>
      </c>
      <c r="BT60" s="1" t="s">
        <v>210</v>
      </c>
      <c r="BU60" s="1" t="s">
        <v>210</v>
      </c>
      <c r="BX60" s="1">
        <v>1</v>
      </c>
    </row>
    <row r="61" spans="1:76" x14ac:dyDescent="0.25">
      <c r="A61" s="1" t="s">
        <v>21</v>
      </c>
      <c r="B61" s="1" t="s">
        <v>324</v>
      </c>
      <c r="D61" s="1" t="s">
        <v>434</v>
      </c>
      <c r="E61" s="1">
        <v>209</v>
      </c>
      <c r="F61" s="1" t="str">
        <f t="shared" si="35"/>
        <v>char_209_ardign</v>
      </c>
      <c r="G61" s="1">
        <v>1</v>
      </c>
      <c r="J61" s="1">
        <v>1</v>
      </c>
      <c r="K61" s="1">
        <v>55</v>
      </c>
      <c r="L61" s="1">
        <v>2130</v>
      </c>
      <c r="M61" s="1">
        <v>500</v>
      </c>
      <c r="N61" s="1">
        <v>305</v>
      </c>
      <c r="P61" s="1">
        <v>475</v>
      </c>
      <c r="R61" s="1">
        <v>0</v>
      </c>
      <c r="T61" s="1">
        <v>18</v>
      </c>
      <c r="U61" s="1">
        <v>-2</v>
      </c>
      <c r="V61" s="1">
        <v>0.5</v>
      </c>
      <c r="W61" s="1">
        <v>70</v>
      </c>
      <c r="X61" s="1">
        <v>-10</v>
      </c>
      <c r="Z61" s="1">
        <v>0.05</v>
      </c>
      <c r="AA61" s="1">
        <v>1.2</v>
      </c>
      <c r="AD61" s="1">
        <v>1</v>
      </c>
      <c r="AJ61" s="1" t="s">
        <v>21</v>
      </c>
      <c r="AK61" s="1" t="s">
        <v>206</v>
      </c>
      <c r="AL61" s="1" t="s">
        <v>435</v>
      </c>
      <c r="AM61" s="1" t="s">
        <v>436</v>
      </c>
      <c r="AN61" s="22" t="s">
        <v>9773</v>
      </c>
      <c r="AO61" s="22" t="s">
        <v>9769</v>
      </c>
      <c r="AQ61" s="1" t="s">
        <v>9695</v>
      </c>
      <c r="AR61" s="1">
        <v>3</v>
      </c>
      <c r="AS61" s="1">
        <v>0.5</v>
      </c>
      <c r="AZ61" s="1">
        <v>0.25</v>
      </c>
      <c r="BE61" s="1" t="s">
        <v>344</v>
      </c>
      <c r="BF61" s="1" t="s">
        <v>345</v>
      </c>
      <c r="BG61" s="1" t="str">
        <f t="shared" si="36"/>
        <v>icon_ardign</v>
      </c>
      <c r="BH61" s="1" t="str">
        <f t="shared" si="17"/>
        <v>half_ardign</v>
      </c>
      <c r="BI61" s="1" t="str">
        <f t="shared" si="18"/>
        <v>ardign</v>
      </c>
      <c r="BJ61" s="1" t="s">
        <v>329</v>
      </c>
      <c r="BK61" s="1">
        <v>3</v>
      </c>
      <c r="BL61" s="1" t="s">
        <v>338</v>
      </c>
      <c r="BM61" s="1" t="s">
        <v>437</v>
      </c>
      <c r="BN61" s="1" t="s">
        <v>347</v>
      </c>
      <c r="BO61" s="1" t="s">
        <v>438</v>
      </c>
      <c r="BQ61" s="1" t="s">
        <v>207</v>
      </c>
      <c r="BR61" s="1" t="s">
        <v>208</v>
      </c>
      <c r="BT61" s="1" t="s">
        <v>210</v>
      </c>
      <c r="BU61" s="1" t="s">
        <v>210</v>
      </c>
      <c r="BX61" s="1">
        <v>1</v>
      </c>
    </row>
    <row r="62" spans="1:76" x14ac:dyDescent="0.25">
      <c r="A62" s="1" t="s">
        <v>22</v>
      </c>
      <c r="B62" s="1" t="s">
        <v>324</v>
      </c>
      <c r="D62" s="1" t="s">
        <v>439</v>
      </c>
      <c r="E62" s="1">
        <v>208</v>
      </c>
      <c r="F62" s="1" t="str">
        <f t="shared" si="35"/>
        <v>char_208_melan</v>
      </c>
      <c r="G62" s="1">
        <v>1</v>
      </c>
      <c r="J62" s="1">
        <v>1</v>
      </c>
      <c r="K62" s="1">
        <v>55</v>
      </c>
      <c r="L62" s="1">
        <v>2745</v>
      </c>
      <c r="N62" s="1">
        <v>738</v>
      </c>
      <c r="O62" s="1">
        <v>90</v>
      </c>
      <c r="P62" s="1">
        <v>155</v>
      </c>
      <c r="R62" s="1">
        <v>0</v>
      </c>
      <c r="T62" s="1">
        <v>15</v>
      </c>
      <c r="U62" s="1">
        <v>-2</v>
      </c>
      <c r="V62" s="1">
        <v>0.5</v>
      </c>
      <c r="W62" s="1">
        <v>70</v>
      </c>
      <c r="X62" s="1">
        <v>-10</v>
      </c>
      <c r="Z62" s="1">
        <v>0.05</v>
      </c>
      <c r="AA62" s="1">
        <v>1.5</v>
      </c>
      <c r="AD62" s="1">
        <v>1</v>
      </c>
      <c r="AJ62" s="1" t="s">
        <v>22</v>
      </c>
      <c r="AK62" s="1" t="s">
        <v>206</v>
      </c>
      <c r="AL62" s="1" t="s">
        <v>440</v>
      </c>
      <c r="AM62" s="1" t="s">
        <v>371</v>
      </c>
      <c r="AN62" s="22" t="s">
        <v>9773</v>
      </c>
      <c r="AO62" s="22" t="s">
        <v>9769</v>
      </c>
      <c r="AQ62" s="1" t="s">
        <v>9695</v>
      </c>
      <c r="AR62" s="1">
        <v>1</v>
      </c>
      <c r="AS62" s="1">
        <v>0.5</v>
      </c>
      <c r="AZ62" s="1">
        <v>0.25</v>
      </c>
      <c r="BE62" s="1" t="s">
        <v>336</v>
      </c>
      <c r="BF62" s="1" t="s">
        <v>337</v>
      </c>
      <c r="BG62" s="1" t="str">
        <f t="shared" si="36"/>
        <v>icon_melan</v>
      </c>
      <c r="BH62" s="1" t="str">
        <f t="shared" si="17"/>
        <v>half_melan</v>
      </c>
      <c r="BI62" s="1" t="str">
        <f t="shared" si="18"/>
        <v>melan</v>
      </c>
      <c r="BJ62" s="1" t="s">
        <v>329</v>
      </c>
      <c r="BK62" s="1">
        <v>3</v>
      </c>
      <c r="BL62" s="1" t="s">
        <v>338</v>
      </c>
      <c r="BM62" s="1" t="s">
        <v>441</v>
      </c>
      <c r="BN62" s="1" t="s">
        <v>442</v>
      </c>
      <c r="BO62" s="1" t="s">
        <v>443</v>
      </c>
      <c r="BQ62" s="1" t="s">
        <v>207</v>
      </c>
      <c r="BR62" s="1" t="s">
        <v>208</v>
      </c>
      <c r="BT62" s="1" t="s">
        <v>210</v>
      </c>
      <c r="BU62" s="1" t="s">
        <v>210</v>
      </c>
      <c r="BX62" s="1">
        <v>2</v>
      </c>
    </row>
    <row r="63" spans="1:76" x14ac:dyDescent="0.25">
      <c r="AN63" s="22"/>
      <c r="AO63" s="22"/>
    </row>
    <row r="64" spans="1:76" x14ac:dyDescent="0.25">
      <c r="A64" s="1" t="s">
        <v>23</v>
      </c>
      <c r="AN64" s="22"/>
      <c r="AO64" s="22"/>
    </row>
    <row r="65" spans="1:76" x14ac:dyDescent="0.25">
      <c r="A65" s="1" t="s">
        <v>24</v>
      </c>
      <c r="B65" s="1" t="s">
        <v>324</v>
      </c>
      <c r="D65" s="1" t="s">
        <v>444</v>
      </c>
      <c r="E65" s="1">
        <v>141</v>
      </c>
      <c r="F65" s="1" t="str">
        <f t="shared" ref="F65" si="37">"char_"&amp;E65&amp;"_"&amp;D65</f>
        <v>char_141_nights</v>
      </c>
      <c r="G65" s="1">
        <v>1</v>
      </c>
      <c r="J65" s="1">
        <v>2</v>
      </c>
      <c r="K65" s="1">
        <v>70</v>
      </c>
      <c r="L65" s="1">
        <v>1420</v>
      </c>
      <c r="M65" s="1">
        <v>100</v>
      </c>
      <c r="N65" s="1">
        <v>583</v>
      </c>
      <c r="O65" s="1">
        <v>60</v>
      </c>
      <c r="P65" s="1">
        <v>110</v>
      </c>
      <c r="R65" s="1">
        <v>20</v>
      </c>
      <c r="T65" s="1">
        <v>19</v>
      </c>
      <c r="U65" s="1">
        <v>-2</v>
      </c>
      <c r="V65" s="1">
        <v>0.5</v>
      </c>
      <c r="W65" s="1">
        <v>70</v>
      </c>
      <c r="X65" s="1">
        <v>-4</v>
      </c>
      <c r="Z65" s="1">
        <v>0.05</v>
      </c>
      <c r="AA65" s="1">
        <v>1.6</v>
      </c>
      <c r="AD65" s="1">
        <v>1</v>
      </c>
      <c r="AJ65" s="1" t="s">
        <v>24</v>
      </c>
      <c r="AK65" s="1" t="s">
        <v>206</v>
      </c>
      <c r="AL65" s="1" t="s">
        <v>445</v>
      </c>
      <c r="AM65" s="1" t="s">
        <v>446</v>
      </c>
      <c r="AN65" s="22" t="s">
        <v>9773</v>
      </c>
      <c r="AO65" s="22" t="s">
        <v>9769</v>
      </c>
      <c r="AQ65" s="1" t="s">
        <v>9694</v>
      </c>
      <c r="AR65" s="1">
        <v>1</v>
      </c>
      <c r="AS65" s="1">
        <v>0.5</v>
      </c>
      <c r="AZ65" s="1">
        <v>0.25</v>
      </c>
      <c r="BE65" s="1" t="s">
        <v>358</v>
      </c>
      <c r="BF65" s="1" t="s">
        <v>359</v>
      </c>
      <c r="BG65" s="1" t="str">
        <f t="shared" ref="BG65" si="38">"icon_"&amp;D65</f>
        <v>icon_nights</v>
      </c>
      <c r="BH65" s="1" t="str">
        <f t="shared" ref="BH65" si="39">"half_"&amp;D65</f>
        <v>half_nights</v>
      </c>
      <c r="BI65" s="1" t="str">
        <f t="shared" ref="BI65" si="40">D65</f>
        <v>nights</v>
      </c>
      <c r="BJ65" s="1" t="s">
        <v>329</v>
      </c>
      <c r="BK65" s="1">
        <v>4</v>
      </c>
      <c r="BL65" s="1" t="s">
        <v>330</v>
      </c>
      <c r="BM65" s="1" t="s">
        <v>447</v>
      </c>
      <c r="BN65" s="1" t="s">
        <v>360</v>
      </c>
      <c r="BO65" s="1" t="s">
        <v>448</v>
      </c>
      <c r="BQ65" s="1" t="s">
        <v>207</v>
      </c>
      <c r="BR65" s="1" t="s">
        <v>208</v>
      </c>
      <c r="BT65" s="1" t="s">
        <v>210</v>
      </c>
      <c r="BU65" s="1" t="s">
        <v>210</v>
      </c>
      <c r="BX65" s="1">
        <v>1</v>
      </c>
    </row>
    <row r="66" spans="1:76" x14ac:dyDescent="0.25">
      <c r="A66" s="1" t="s">
        <v>25</v>
      </c>
      <c r="B66" s="1" t="s">
        <v>324</v>
      </c>
      <c r="D66" s="1" t="s">
        <v>449</v>
      </c>
      <c r="E66" s="1">
        <v>109</v>
      </c>
      <c r="F66" s="1" t="str">
        <f t="shared" ref="F66" si="41">"char_"&amp;E66&amp;"_"&amp;D66</f>
        <v>char_109_fmout</v>
      </c>
      <c r="G66" s="1">
        <v>1</v>
      </c>
      <c r="J66" s="1">
        <v>2</v>
      </c>
      <c r="K66" s="1">
        <v>70</v>
      </c>
      <c r="L66" s="1">
        <v>1598</v>
      </c>
      <c r="N66" s="1">
        <v>715</v>
      </c>
      <c r="O66" s="1">
        <v>97</v>
      </c>
      <c r="P66" s="1">
        <v>118</v>
      </c>
      <c r="R66" s="1">
        <v>20</v>
      </c>
      <c r="T66" s="1">
        <v>32</v>
      </c>
      <c r="U66" s="1">
        <v>-2</v>
      </c>
      <c r="V66" s="1">
        <v>0.5</v>
      </c>
      <c r="W66" s="1">
        <v>70</v>
      </c>
      <c r="X66" s="1">
        <v>-4</v>
      </c>
      <c r="Z66" s="1">
        <v>0.05</v>
      </c>
      <c r="AA66" s="1">
        <v>2.9</v>
      </c>
      <c r="AD66" s="1">
        <v>1</v>
      </c>
      <c r="AJ66" s="1" t="s">
        <v>25</v>
      </c>
      <c r="AK66" s="1" t="s">
        <v>206</v>
      </c>
      <c r="AL66" s="1" t="s">
        <v>450</v>
      </c>
      <c r="AM66" s="1" t="s">
        <v>451</v>
      </c>
      <c r="AN66" s="22" t="s">
        <v>9773</v>
      </c>
      <c r="AO66" s="22" t="s">
        <v>9769</v>
      </c>
      <c r="AQ66" s="1" t="s">
        <v>9694</v>
      </c>
      <c r="AR66" s="1">
        <v>1</v>
      </c>
      <c r="AS66" s="1">
        <v>0.5</v>
      </c>
      <c r="AZ66" s="1">
        <v>0.25</v>
      </c>
      <c r="BE66" s="1" t="s">
        <v>358</v>
      </c>
      <c r="BF66" s="1" t="s">
        <v>417</v>
      </c>
      <c r="BG66" s="1" t="str">
        <f t="shared" ref="BG66" si="42">"icon_"&amp;D66</f>
        <v>icon_fmout</v>
      </c>
      <c r="BH66" s="1" t="str">
        <f t="shared" ref="BH66" si="43">"half_"&amp;D66</f>
        <v>half_fmout</v>
      </c>
      <c r="BI66" s="1" t="str">
        <f t="shared" ref="BI66" si="44">D66</f>
        <v>fmout</v>
      </c>
      <c r="BJ66" s="1" t="s">
        <v>329</v>
      </c>
      <c r="BK66" s="1">
        <v>4</v>
      </c>
      <c r="BL66" s="1" t="s">
        <v>330</v>
      </c>
      <c r="BM66" s="1" t="s">
        <v>452</v>
      </c>
      <c r="BN66" s="1" t="s">
        <v>418</v>
      </c>
      <c r="BO66" s="1" t="s">
        <v>453</v>
      </c>
      <c r="BQ66" s="1" t="s">
        <v>207</v>
      </c>
      <c r="BR66" s="1" t="s">
        <v>208</v>
      </c>
      <c r="BT66" s="1" t="s">
        <v>210</v>
      </c>
      <c r="BU66" s="1" t="s">
        <v>210</v>
      </c>
      <c r="BX66" s="1">
        <v>1</v>
      </c>
    </row>
    <row r="67" spans="1:76" x14ac:dyDescent="0.25">
      <c r="A67" s="1" t="s">
        <v>26</v>
      </c>
      <c r="B67" s="1" t="s">
        <v>324</v>
      </c>
      <c r="D67" s="1" t="s">
        <v>454</v>
      </c>
      <c r="E67" s="1">
        <v>235</v>
      </c>
      <c r="F67" s="1" t="str">
        <f t="shared" ref="F67" si="45">"char_"&amp;E67&amp;"_"&amp;D67</f>
        <v>char_235_jesica</v>
      </c>
      <c r="G67" s="1">
        <v>1</v>
      </c>
      <c r="J67" s="1">
        <v>2</v>
      </c>
      <c r="K67" s="1">
        <v>70</v>
      </c>
      <c r="L67" s="1">
        <v>1320</v>
      </c>
      <c r="N67" s="1">
        <v>475</v>
      </c>
      <c r="O67" s="1">
        <v>88</v>
      </c>
      <c r="P67" s="1">
        <v>154</v>
      </c>
      <c r="R67" s="1">
        <v>0</v>
      </c>
      <c r="T67" s="1">
        <v>12</v>
      </c>
      <c r="U67" s="1">
        <v>-2</v>
      </c>
      <c r="V67" s="1">
        <v>0.5</v>
      </c>
      <c r="W67" s="1">
        <v>70</v>
      </c>
      <c r="X67" s="1">
        <v>-10</v>
      </c>
      <c r="Y67" s="1">
        <v>12</v>
      </c>
      <c r="Z67" s="1">
        <v>0.05</v>
      </c>
      <c r="AA67" s="1">
        <v>1</v>
      </c>
      <c r="AD67" s="1">
        <v>1</v>
      </c>
      <c r="AJ67" s="1" t="s">
        <v>26</v>
      </c>
      <c r="AK67" s="1" t="s">
        <v>206</v>
      </c>
      <c r="AL67" s="1" t="s">
        <v>455</v>
      </c>
      <c r="AM67" s="1" t="s">
        <v>456</v>
      </c>
      <c r="AN67" s="22" t="s">
        <v>9773</v>
      </c>
      <c r="AO67" s="22" t="s">
        <v>9769</v>
      </c>
      <c r="AQ67" s="1" t="s">
        <v>9694</v>
      </c>
      <c r="AR67" s="1">
        <v>1</v>
      </c>
      <c r="AS67" s="1">
        <v>0.5</v>
      </c>
      <c r="AZ67" s="1">
        <v>0.25</v>
      </c>
      <c r="BE67" s="1" t="s">
        <v>351</v>
      </c>
      <c r="BF67" s="1" t="s">
        <v>352</v>
      </c>
      <c r="BG67" s="1" t="str">
        <f t="shared" ref="BG67" si="46">"icon_"&amp;D67</f>
        <v>icon_jesica</v>
      </c>
      <c r="BH67" s="1" t="str">
        <f t="shared" ref="BH67" si="47">"half_"&amp;D67</f>
        <v>half_jesica</v>
      </c>
      <c r="BI67" s="1" t="str">
        <f t="shared" ref="BI67" si="48">D67</f>
        <v>jesica</v>
      </c>
      <c r="BJ67" s="1" t="s">
        <v>329</v>
      </c>
      <c r="BK67" s="1">
        <v>4</v>
      </c>
      <c r="BL67" s="1" t="s">
        <v>330</v>
      </c>
      <c r="BM67" s="1" t="s">
        <v>457</v>
      </c>
      <c r="BN67" s="1" t="s">
        <v>354</v>
      </c>
      <c r="BO67" s="1" t="s">
        <v>458</v>
      </c>
      <c r="BQ67" s="1" t="s">
        <v>207</v>
      </c>
      <c r="BR67" s="1" t="s">
        <v>208</v>
      </c>
      <c r="BT67" s="1" t="s">
        <v>210</v>
      </c>
      <c r="BU67" s="1" t="s">
        <v>210</v>
      </c>
      <c r="BX67" s="1">
        <v>1</v>
      </c>
    </row>
    <row r="68" spans="1:76" x14ac:dyDescent="0.25">
      <c r="A68" s="1" t="s">
        <v>27</v>
      </c>
      <c r="B68" s="1" t="s">
        <v>324</v>
      </c>
      <c r="D68" s="1" t="s">
        <v>459</v>
      </c>
      <c r="E68" s="1">
        <v>126</v>
      </c>
      <c r="F68" s="1" t="str">
        <f t="shared" ref="F68" si="49">"char_"&amp;E68&amp;"_"&amp;D68</f>
        <v>char_126_shotst</v>
      </c>
      <c r="G68" s="1">
        <v>1</v>
      </c>
      <c r="J68" s="1">
        <v>2</v>
      </c>
      <c r="K68" s="1">
        <v>70</v>
      </c>
      <c r="L68" s="1">
        <v>1370</v>
      </c>
      <c r="N68" s="1">
        <v>465</v>
      </c>
      <c r="O68" s="1">
        <v>88</v>
      </c>
      <c r="P68" s="1">
        <v>165</v>
      </c>
      <c r="R68" s="1">
        <v>0</v>
      </c>
      <c r="T68" s="1">
        <v>12</v>
      </c>
      <c r="U68" s="1">
        <v>-2</v>
      </c>
      <c r="V68" s="1">
        <v>0.5</v>
      </c>
      <c r="W68" s="1">
        <v>70</v>
      </c>
      <c r="X68" s="1">
        <v>-4</v>
      </c>
      <c r="Z68" s="1">
        <v>0.05</v>
      </c>
      <c r="AA68" s="1">
        <v>1</v>
      </c>
      <c r="AD68" s="1">
        <v>1</v>
      </c>
      <c r="AJ68" s="1" t="s">
        <v>27</v>
      </c>
      <c r="AK68" s="1" t="s">
        <v>206</v>
      </c>
      <c r="AL68" s="1" t="s">
        <v>460</v>
      </c>
      <c r="AM68" s="1" t="s">
        <v>461</v>
      </c>
      <c r="AN68" s="22" t="s">
        <v>9773</v>
      </c>
      <c r="AO68" s="22" t="s">
        <v>9769</v>
      </c>
      <c r="AQ68" s="1" t="s">
        <v>9694</v>
      </c>
      <c r="AR68" s="1">
        <v>1</v>
      </c>
      <c r="AS68" s="1">
        <v>0.5</v>
      </c>
      <c r="AZ68" s="1">
        <v>0.25</v>
      </c>
      <c r="BE68" s="1" t="s">
        <v>351</v>
      </c>
      <c r="BF68" s="1" t="s">
        <v>352</v>
      </c>
      <c r="BG68" s="1" t="str">
        <f t="shared" ref="BG68" si="50">"icon_"&amp;D68</f>
        <v>icon_shotst</v>
      </c>
      <c r="BH68" s="1" t="str">
        <f t="shared" ref="BH68" si="51">"half_"&amp;D68</f>
        <v>half_shotst</v>
      </c>
      <c r="BI68" s="1" t="str">
        <f t="shared" ref="BI68" si="52">D68</f>
        <v>shotst</v>
      </c>
      <c r="BJ68" s="1" t="s">
        <v>329</v>
      </c>
      <c r="BK68" s="1">
        <v>4</v>
      </c>
      <c r="BL68" s="1" t="s">
        <v>330</v>
      </c>
      <c r="BM68" s="1" t="s">
        <v>462</v>
      </c>
      <c r="BN68" s="1" t="s">
        <v>354</v>
      </c>
      <c r="BO68" s="1" t="s">
        <v>463</v>
      </c>
      <c r="BQ68" s="1" t="s">
        <v>207</v>
      </c>
      <c r="BR68" s="1" t="s">
        <v>208</v>
      </c>
      <c r="BT68" s="1" t="s">
        <v>210</v>
      </c>
      <c r="BU68" s="1" t="s">
        <v>210</v>
      </c>
      <c r="BX68" s="1">
        <v>1</v>
      </c>
    </row>
    <row r="69" spans="1:76" x14ac:dyDescent="0.25">
      <c r="A69" s="1" t="s">
        <v>28</v>
      </c>
      <c r="B69" s="1" t="s">
        <v>324</v>
      </c>
      <c r="D69" s="1" t="s">
        <v>464</v>
      </c>
      <c r="E69" s="1">
        <v>118</v>
      </c>
      <c r="F69" s="1" t="str">
        <f t="shared" ref="F69" si="53">"char_"&amp;E69&amp;"_"&amp;D69</f>
        <v>char_118_yuki</v>
      </c>
      <c r="G69" s="1">
        <v>1</v>
      </c>
      <c r="J69" s="1">
        <v>2</v>
      </c>
      <c r="K69" s="1">
        <v>70</v>
      </c>
      <c r="L69" s="1">
        <v>1630</v>
      </c>
      <c r="N69" s="1">
        <v>797</v>
      </c>
      <c r="O69" s="1">
        <v>100</v>
      </c>
      <c r="P69" s="1">
        <v>100</v>
      </c>
      <c r="R69" s="1">
        <v>0</v>
      </c>
      <c r="T69" s="1">
        <v>27</v>
      </c>
      <c r="U69" s="1">
        <v>-2</v>
      </c>
      <c r="V69" s="1">
        <v>0.5</v>
      </c>
      <c r="W69" s="1">
        <v>70</v>
      </c>
      <c r="X69" s="1">
        <v>-10</v>
      </c>
      <c r="Z69" s="1">
        <v>0.05</v>
      </c>
      <c r="AA69" s="1">
        <v>2.8</v>
      </c>
      <c r="AD69" s="1">
        <v>1</v>
      </c>
      <c r="AJ69" s="1" t="s">
        <v>28</v>
      </c>
      <c r="AK69" s="1" t="s">
        <v>206</v>
      </c>
      <c r="AL69" s="1" t="s">
        <v>465</v>
      </c>
      <c r="AM69" s="1" t="s">
        <v>466</v>
      </c>
      <c r="AN69" s="22" t="s">
        <v>9773</v>
      </c>
      <c r="AO69" s="22" t="s">
        <v>9769</v>
      </c>
      <c r="AQ69" s="1" t="s">
        <v>9694</v>
      </c>
      <c r="AR69" s="1">
        <v>1</v>
      </c>
      <c r="AS69" s="1">
        <v>0.5</v>
      </c>
      <c r="AZ69" s="1">
        <v>0.25</v>
      </c>
      <c r="BE69" s="1" t="s">
        <v>351</v>
      </c>
      <c r="BF69" s="1" t="s">
        <v>386</v>
      </c>
      <c r="BG69" s="1" t="str">
        <f t="shared" ref="BG69" si="54">"icon_"&amp;D69</f>
        <v>icon_yuki</v>
      </c>
      <c r="BH69" s="1" t="str">
        <f t="shared" ref="BH69" si="55">"half_"&amp;D69</f>
        <v>half_yuki</v>
      </c>
      <c r="BI69" s="1" t="str">
        <f t="shared" ref="BI69" si="56">D69</f>
        <v>yuki</v>
      </c>
      <c r="BJ69" s="1" t="s">
        <v>329</v>
      </c>
      <c r="BK69" s="1">
        <v>4</v>
      </c>
      <c r="BL69" s="1" t="s">
        <v>330</v>
      </c>
      <c r="BM69" s="1" t="s">
        <v>467</v>
      </c>
      <c r="BN69" s="1" t="s">
        <v>388</v>
      </c>
      <c r="BO69" s="1" t="s">
        <v>468</v>
      </c>
      <c r="BQ69" s="1" t="s">
        <v>207</v>
      </c>
      <c r="BR69" s="1" t="s">
        <v>208</v>
      </c>
      <c r="BT69" s="1" t="s">
        <v>210</v>
      </c>
      <c r="BU69" s="1" t="s">
        <v>210</v>
      </c>
      <c r="BX69" s="1">
        <v>1</v>
      </c>
    </row>
    <row r="70" spans="1:76" x14ac:dyDescent="0.25">
      <c r="A70" s="1" t="s">
        <v>29</v>
      </c>
      <c r="B70" s="1" t="s">
        <v>324</v>
      </c>
      <c r="D70" s="1" t="s">
        <v>469</v>
      </c>
      <c r="E70" s="1">
        <v>130</v>
      </c>
      <c r="F70" s="1" t="str">
        <f t="shared" ref="F70" si="57">"char_"&amp;E70&amp;"_"&amp;D70</f>
        <v>char_130_doberm</v>
      </c>
      <c r="G70" s="1">
        <v>1</v>
      </c>
      <c r="J70" s="1">
        <v>2</v>
      </c>
      <c r="K70" s="1">
        <v>70</v>
      </c>
      <c r="L70" s="1">
        <v>2024</v>
      </c>
      <c r="M70" s="1">
        <v>150</v>
      </c>
      <c r="N70" s="1">
        <v>602</v>
      </c>
      <c r="O70" s="1">
        <v>30</v>
      </c>
      <c r="P70" s="1">
        <v>382</v>
      </c>
      <c r="Q70" s="1">
        <v>30</v>
      </c>
      <c r="R70" s="1">
        <v>0</v>
      </c>
      <c r="T70" s="1">
        <v>15</v>
      </c>
      <c r="U70" s="1">
        <v>-2</v>
      </c>
      <c r="V70" s="1">
        <v>0.5</v>
      </c>
      <c r="W70" s="1">
        <v>70</v>
      </c>
      <c r="X70" s="1">
        <v>-4</v>
      </c>
      <c r="Z70" s="1">
        <v>0.05</v>
      </c>
      <c r="AA70" s="1">
        <v>1.05</v>
      </c>
      <c r="AD70" s="1">
        <v>1</v>
      </c>
      <c r="AJ70" s="1" t="s">
        <v>29</v>
      </c>
      <c r="AK70" s="1" t="s">
        <v>206</v>
      </c>
      <c r="AL70" s="1" t="s">
        <v>470</v>
      </c>
      <c r="AM70" s="1" t="s">
        <v>471</v>
      </c>
      <c r="AN70" s="22" t="s">
        <v>9773</v>
      </c>
      <c r="AO70" s="22" t="s">
        <v>9769</v>
      </c>
      <c r="AQ70" s="1" t="s">
        <v>9695</v>
      </c>
      <c r="AR70" s="1">
        <v>2</v>
      </c>
      <c r="AS70" s="1">
        <v>0.5</v>
      </c>
      <c r="AZ70" s="1">
        <v>0.25</v>
      </c>
      <c r="BE70" s="1" t="s">
        <v>336</v>
      </c>
      <c r="BF70" s="1" t="s">
        <v>472</v>
      </c>
      <c r="BG70" s="1" t="str">
        <f t="shared" ref="BG70" si="58">"icon_"&amp;D70</f>
        <v>icon_doberm</v>
      </c>
      <c r="BH70" s="1" t="str">
        <f t="shared" ref="BH70" si="59">"half_"&amp;D70</f>
        <v>half_doberm</v>
      </c>
      <c r="BI70" s="1" t="str">
        <f t="shared" ref="BI70" si="60">D70</f>
        <v>doberm</v>
      </c>
      <c r="BJ70" s="1" t="s">
        <v>329</v>
      </c>
      <c r="BK70" s="1">
        <v>4</v>
      </c>
      <c r="BL70" s="1" t="s">
        <v>338</v>
      </c>
      <c r="BM70" s="1" t="s">
        <v>473</v>
      </c>
      <c r="BN70" s="1" t="s">
        <v>474</v>
      </c>
      <c r="BO70" s="1" t="s">
        <v>475</v>
      </c>
      <c r="BQ70" s="1" t="s">
        <v>207</v>
      </c>
      <c r="BR70" s="1" t="s">
        <v>208</v>
      </c>
      <c r="BT70" s="1" t="s">
        <v>210</v>
      </c>
      <c r="BU70" s="1" t="s">
        <v>210</v>
      </c>
      <c r="BX70" s="1">
        <v>1</v>
      </c>
    </row>
    <row r="71" spans="1:76" x14ac:dyDescent="0.25">
      <c r="A71" s="1" t="s">
        <v>30</v>
      </c>
      <c r="B71" s="1" t="s">
        <v>324</v>
      </c>
      <c r="D71" s="1" t="s">
        <v>476</v>
      </c>
      <c r="E71" s="1">
        <v>289</v>
      </c>
      <c r="F71" s="1" t="str">
        <f t="shared" ref="F71" si="61">"char_"&amp;E71&amp;"_"&amp;D71</f>
        <v>char_289_gyuki</v>
      </c>
      <c r="G71" s="1">
        <v>1</v>
      </c>
      <c r="J71" s="1">
        <v>2</v>
      </c>
      <c r="K71" s="1">
        <v>70</v>
      </c>
      <c r="L71" s="1">
        <v>3640</v>
      </c>
      <c r="M71" s="1">
        <v>630</v>
      </c>
      <c r="N71" s="1">
        <v>916</v>
      </c>
      <c r="P71" s="1">
        <v>156</v>
      </c>
      <c r="R71" s="1">
        <v>0</v>
      </c>
      <c r="T71" s="1">
        <v>17</v>
      </c>
      <c r="U71" s="1">
        <v>-2</v>
      </c>
      <c r="V71" s="1">
        <v>0.5</v>
      </c>
      <c r="W71" s="1">
        <v>70</v>
      </c>
      <c r="X71" s="1">
        <v>-4</v>
      </c>
      <c r="Z71" s="1">
        <v>0.05</v>
      </c>
      <c r="AA71" s="1">
        <v>1.5</v>
      </c>
      <c r="AD71" s="1">
        <v>1</v>
      </c>
      <c r="AJ71" s="1" t="s">
        <v>30</v>
      </c>
      <c r="AK71" s="1" t="s">
        <v>206</v>
      </c>
      <c r="AL71" s="1" t="s">
        <v>477</v>
      </c>
      <c r="AM71" s="1" t="s">
        <v>478</v>
      </c>
      <c r="AN71" s="22" t="s">
        <v>9773</v>
      </c>
      <c r="AO71" s="22" t="s">
        <v>9769</v>
      </c>
      <c r="AQ71" s="1" t="s">
        <v>9695</v>
      </c>
      <c r="AR71" s="1">
        <v>1</v>
      </c>
      <c r="AS71" s="1">
        <v>0.5</v>
      </c>
      <c r="AZ71" s="1">
        <v>0.25</v>
      </c>
      <c r="BE71" s="1" t="s">
        <v>336</v>
      </c>
      <c r="BF71" s="1" t="s">
        <v>337</v>
      </c>
      <c r="BG71" s="1" t="str">
        <f t="shared" ref="BG71" si="62">"icon_"&amp;D71</f>
        <v>icon_gyuki</v>
      </c>
      <c r="BH71" s="1" t="str">
        <f t="shared" ref="BH71" si="63">"half_"&amp;D71</f>
        <v>half_gyuki</v>
      </c>
      <c r="BI71" s="1" t="str">
        <f t="shared" ref="BI71" si="64">D71</f>
        <v>gyuki</v>
      </c>
      <c r="BJ71" s="1" t="s">
        <v>329</v>
      </c>
      <c r="BK71" s="1">
        <v>4</v>
      </c>
      <c r="BL71" s="1" t="s">
        <v>338</v>
      </c>
      <c r="BM71" s="1" t="s">
        <v>479</v>
      </c>
      <c r="BN71" s="1" t="s">
        <v>442</v>
      </c>
      <c r="BO71" s="1" t="s">
        <v>480</v>
      </c>
      <c r="BQ71" s="1" t="s">
        <v>207</v>
      </c>
      <c r="BR71" s="1" t="s">
        <v>208</v>
      </c>
      <c r="BT71" s="1" t="s">
        <v>210</v>
      </c>
      <c r="BU71" s="1" t="s">
        <v>210</v>
      </c>
      <c r="BX71" s="1">
        <v>1</v>
      </c>
    </row>
    <row r="72" spans="1:76" x14ac:dyDescent="0.25">
      <c r="A72" s="1" t="s">
        <v>31</v>
      </c>
      <c r="B72" s="1" t="s">
        <v>324</v>
      </c>
      <c r="D72" s="1" t="s">
        <v>481</v>
      </c>
      <c r="E72" s="1">
        <v>193</v>
      </c>
      <c r="F72" s="1" t="str">
        <f t="shared" ref="F72" si="65">"char_"&amp;E72&amp;"_"&amp;D72</f>
        <v>char_193_frostl</v>
      </c>
      <c r="G72" s="1">
        <v>1</v>
      </c>
      <c r="J72" s="1">
        <v>2</v>
      </c>
      <c r="K72" s="1">
        <v>70</v>
      </c>
      <c r="L72" s="1">
        <v>2260</v>
      </c>
      <c r="N72" s="1">
        <v>660</v>
      </c>
      <c r="P72" s="1">
        <v>323</v>
      </c>
      <c r="Q72" s="1">
        <v>55</v>
      </c>
      <c r="R72" s="1">
        <v>10</v>
      </c>
      <c r="T72" s="1">
        <v>18</v>
      </c>
      <c r="U72" s="1">
        <v>-2</v>
      </c>
      <c r="V72" s="1">
        <v>0.5</v>
      </c>
      <c r="W72" s="1">
        <v>70</v>
      </c>
      <c r="X72" s="1">
        <v>-10</v>
      </c>
      <c r="Z72" s="1">
        <v>0.05</v>
      </c>
      <c r="AA72" s="1">
        <v>1.45</v>
      </c>
      <c r="AD72" s="1">
        <v>1</v>
      </c>
      <c r="AJ72" s="1" t="s">
        <v>31</v>
      </c>
      <c r="AK72" s="1" t="s">
        <v>206</v>
      </c>
      <c r="AL72" s="1" t="s">
        <v>482</v>
      </c>
      <c r="AM72" s="1" t="s">
        <v>483</v>
      </c>
      <c r="AN72" s="22" t="s">
        <v>9773</v>
      </c>
      <c r="AO72" s="22" t="s">
        <v>9769</v>
      </c>
      <c r="AQ72" s="1" t="s">
        <v>9695</v>
      </c>
      <c r="AR72" s="1">
        <v>2</v>
      </c>
      <c r="AS72" s="1">
        <v>0.5</v>
      </c>
      <c r="AZ72" s="1">
        <v>0.25</v>
      </c>
      <c r="BE72" s="1" t="s">
        <v>336</v>
      </c>
      <c r="BF72" s="1" t="s">
        <v>379</v>
      </c>
      <c r="BG72" s="1" t="str">
        <f t="shared" ref="BG72" si="66">"icon_"&amp;D72</f>
        <v>icon_frostl</v>
      </c>
      <c r="BH72" s="1" t="str">
        <f t="shared" ref="BH72" si="67">"half_"&amp;D72</f>
        <v>half_frostl</v>
      </c>
      <c r="BI72" s="1" t="str">
        <f t="shared" ref="BI72" si="68">D72</f>
        <v>frostl</v>
      </c>
      <c r="BJ72" s="1" t="s">
        <v>329</v>
      </c>
      <c r="BK72" s="1">
        <v>4</v>
      </c>
      <c r="BL72" s="1" t="s">
        <v>338</v>
      </c>
      <c r="BM72" s="1" t="s">
        <v>484</v>
      </c>
      <c r="BN72" s="1" t="s">
        <v>381</v>
      </c>
      <c r="BO72" s="1" t="s">
        <v>485</v>
      </c>
      <c r="BQ72" s="1" t="s">
        <v>207</v>
      </c>
      <c r="BR72" s="1" t="s">
        <v>208</v>
      </c>
      <c r="BT72" s="1" t="s">
        <v>210</v>
      </c>
      <c r="BU72" s="1" t="s">
        <v>210</v>
      </c>
      <c r="BX72" s="1">
        <v>1</v>
      </c>
    </row>
    <row r="73" spans="1:76" x14ac:dyDescent="0.25">
      <c r="A73" s="1" t="s">
        <v>32</v>
      </c>
      <c r="B73" s="1" t="s">
        <v>324</v>
      </c>
      <c r="D73" s="1" t="s">
        <v>486</v>
      </c>
      <c r="E73" s="1">
        <v>127</v>
      </c>
      <c r="F73" s="1" t="str">
        <f t="shared" ref="F73" si="69">"char_"&amp;E73&amp;"_"&amp;D73</f>
        <v>char_127_estell</v>
      </c>
      <c r="G73" s="1">
        <v>1</v>
      </c>
      <c r="J73" s="1">
        <v>2</v>
      </c>
      <c r="K73" s="1">
        <v>70</v>
      </c>
      <c r="L73" s="1">
        <v>2500</v>
      </c>
      <c r="M73" s="1">
        <v>550</v>
      </c>
      <c r="N73" s="1">
        <v>690</v>
      </c>
      <c r="P73" s="1">
        <v>315</v>
      </c>
      <c r="R73" s="1">
        <v>0</v>
      </c>
      <c r="T73" s="1">
        <v>22</v>
      </c>
      <c r="U73" s="1">
        <v>-2</v>
      </c>
      <c r="V73" s="1">
        <v>0.5</v>
      </c>
      <c r="W73" s="1">
        <v>70</v>
      </c>
      <c r="X73" s="1">
        <v>-4</v>
      </c>
      <c r="Z73" s="1">
        <v>0.05</v>
      </c>
      <c r="AA73" s="1">
        <v>1.2</v>
      </c>
      <c r="AD73" s="1">
        <v>1</v>
      </c>
      <c r="AJ73" s="1" t="s">
        <v>487</v>
      </c>
      <c r="AK73" s="1" t="s">
        <v>206</v>
      </c>
      <c r="AL73" s="1" t="s">
        <v>488</v>
      </c>
      <c r="AM73" s="1" t="s">
        <v>489</v>
      </c>
      <c r="AN73" s="22" t="s">
        <v>9773</v>
      </c>
      <c r="AO73" s="22" t="s">
        <v>9769</v>
      </c>
      <c r="AQ73" s="1" t="s">
        <v>9695</v>
      </c>
      <c r="AR73" s="1">
        <v>2</v>
      </c>
      <c r="AS73" s="1">
        <v>0.5</v>
      </c>
      <c r="AZ73" s="1">
        <v>0.25</v>
      </c>
      <c r="BE73" s="1" t="s">
        <v>336</v>
      </c>
      <c r="BF73" s="1" t="s">
        <v>372</v>
      </c>
      <c r="BG73" s="1" t="str">
        <f t="shared" ref="BG73" si="70">"icon_"&amp;D73</f>
        <v>icon_estell</v>
      </c>
      <c r="BH73" s="1" t="str">
        <f t="shared" ref="BH73" si="71">"half_"&amp;D73</f>
        <v>half_estell</v>
      </c>
      <c r="BI73" s="1" t="str">
        <f t="shared" ref="BI73" si="72">D73</f>
        <v>estell</v>
      </c>
      <c r="BJ73" s="1" t="s">
        <v>329</v>
      </c>
      <c r="BK73" s="1">
        <v>4</v>
      </c>
      <c r="BL73" s="1" t="s">
        <v>338</v>
      </c>
      <c r="BM73" s="1" t="s">
        <v>490</v>
      </c>
      <c r="BN73" s="1" t="s">
        <v>374</v>
      </c>
      <c r="BO73" s="1" t="s">
        <v>491</v>
      </c>
      <c r="BQ73" s="1" t="s">
        <v>207</v>
      </c>
      <c r="BR73" s="1" t="s">
        <v>208</v>
      </c>
      <c r="BT73" s="1" t="s">
        <v>210</v>
      </c>
      <c r="BU73" s="1" t="s">
        <v>210</v>
      </c>
      <c r="BX73" s="1">
        <v>1</v>
      </c>
    </row>
    <row r="74" spans="1:76" x14ac:dyDescent="0.25">
      <c r="A74" s="1" t="s">
        <v>33</v>
      </c>
      <c r="B74" s="1" t="s">
        <v>324</v>
      </c>
      <c r="D74" s="1" t="s">
        <v>492</v>
      </c>
      <c r="E74" s="1">
        <v>185</v>
      </c>
      <c r="F74" s="1" t="str">
        <f t="shared" ref="F74" si="73">"char_"&amp;E74&amp;"_"&amp;D74</f>
        <v>char_185_frncat</v>
      </c>
      <c r="G74" s="1">
        <v>1</v>
      </c>
      <c r="J74" s="1">
        <v>2</v>
      </c>
      <c r="K74" s="1">
        <v>70</v>
      </c>
      <c r="L74" s="1">
        <v>2345</v>
      </c>
      <c r="N74" s="1">
        <v>644</v>
      </c>
      <c r="O74" s="1">
        <v>61</v>
      </c>
      <c r="P74" s="1">
        <v>357</v>
      </c>
      <c r="Q74" s="1">
        <v>35</v>
      </c>
      <c r="R74" s="1">
        <v>15</v>
      </c>
      <c r="T74" s="1">
        <v>20</v>
      </c>
      <c r="U74" s="1">
        <v>-2</v>
      </c>
      <c r="V74" s="1">
        <v>0.5</v>
      </c>
      <c r="W74" s="1">
        <v>70</v>
      </c>
      <c r="X74" s="1">
        <v>-4</v>
      </c>
      <c r="Z74" s="1">
        <v>0.05</v>
      </c>
      <c r="AA74" s="1">
        <v>1.25</v>
      </c>
      <c r="AD74" s="1">
        <v>1</v>
      </c>
      <c r="AJ74" s="1" t="s">
        <v>33</v>
      </c>
      <c r="AK74" s="1" t="s">
        <v>206</v>
      </c>
      <c r="AL74" s="1" t="s">
        <v>493</v>
      </c>
      <c r="AM74" s="1" t="s">
        <v>494</v>
      </c>
      <c r="AN74" s="22" t="s">
        <v>9773</v>
      </c>
      <c r="AO74" s="22" t="s">
        <v>9769</v>
      </c>
      <c r="AQ74" s="1" t="s">
        <v>9695</v>
      </c>
      <c r="AR74" s="1">
        <v>1</v>
      </c>
      <c r="AS74" s="1">
        <v>0.5</v>
      </c>
      <c r="AZ74" s="1">
        <v>0.25</v>
      </c>
      <c r="BE74" s="1" t="s">
        <v>336</v>
      </c>
      <c r="BF74" s="1" t="s">
        <v>495</v>
      </c>
      <c r="BG74" s="1" t="str">
        <f t="shared" ref="BG74" si="74">"icon_"&amp;D74</f>
        <v>icon_frncat</v>
      </c>
      <c r="BH74" s="1" t="str">
        <f t="shared" ref="BH74" si="75">"half_"&amp;D74</f>
        <v>half_frncat</v>
      </c>
      <c r="BI74" s="1" t="str">
        <f t="shared" ref="BI74" si="76">D74</f>
        <v>frncat</v>
      </c>
      <c r="BJ74" s="1" t="s">
        <v>329</v>
      </c>
      <c r="BK74" s="1">
        <v>4</v>
      </c>
      <c r="BL74" s="1" t="s">
        <v>338</v>
      </c>
      <c r="BM74" s="1" t="s">
        <v>496</v>
      </c>
      <c r="BN74" s="1" t="s">
        <v>360</v>
      </c>
      <c r="BO74" s="1" t="s">
        <v>497</v>
      </c>
      <c r="BQ74" s="1" t="s">
        <v>207</v>
      </c>
      <c r="BR74" s="1" t="s">
        <v>208</v>
      </c>
      <c r="BT74" s="1" t="s">
        <v>210</v>
      </c>
      <c r="BU74" s="1" t="s">
        <v>210</v>
      </c>
      <c r="BX74" s="1">
        <v>1</v>
      </c>
    </row>
    <row r="75" spans="1:76" x14ac:dyDescent="0.25">
      <c r="A75" s="1" t="s">
        <v>34</v>
      </c>
      <c r="B75" s="1" t="s">
        <v>324</v>
      </c>
      <c r="D75" s="1" t="s">
        <v>498</v>
      </c>
      <c r="E75" s="1">
        <v>237</v>
      </c>
      <c r="F75" s="1" t="str">
        <f t="shared" ref="F75" si="77">"char_"&amp;E75&amp;"_"&amp;D75</f>
        <v>char_237_gravel</v>
      </c>
      <c r="G75" s="1">
        <v>1</v>
      </c>
      <c r="J75" s="1">
        <v>2</v>
      </c>
      <c r="K75" s="1">
        <v>70</v>
      </c>
      <c r="L75" s="1">
        <v>1420</v>
      </c>
      <c r="M75" s="1">
        <v>460</v>
      </c>
      <c r="N75" s="1">
        <v>452</v>
      </c>
      <c r="P75" s="1">
        <v>335</v>
      </c>
      <c r="R75" s="1">
        <v>0</v>
      </c>
      <c r="T75" s="1">
        <v>8</v>
      </c>
      <c r="U75" s="1">
        <v>-4</v>
      </c>
      <c r="V75" s="1">
        <v>0.5</v>
      </c>
      <c r="W75" s="1">
        <v>18</v>
      </c>
      <c r="X75" s="1">
        <v>-2</v>
      </c>
      <c r="Z75" s="1">
        <v>0.05</v>
      </c>
      <c r="AA75" s="1">
        <v>0.93</v>
      </c>
      <c r="AD75" s="1">
        <v>1</v>
      </c>
      <c r="AJ75" s="1" t="s">
        <v>34</v>
      </c>
      <c r="AK75" s="1" t="s">
        <v>206</v>
      </c>
      <c r="AL75" s="1" t="s">
        <v>499</v>
      </c>
      <c r="AM75" s="1" t="s">
        <v>500</v>
      </c>
      <c r="AN75" s="22" t="s">
        <v>9773</v>
      </c>
      <c r="AO75" s="22" t="s">
        <v>9769</v>
      </c>
      <c r="AQ75" s="1" t="s">
        <v>9695</v>
      </c>
      <c r="AR75" s="1">
        <v>1</v>
      </c>
      <c r="AS75" s="1">
        <v>0.5</v>
      </c>
      <c r="AZ75" s="1">
        <v>0.25</v>
      </c>
      <c r="BE75" s="1" t="s">
        <v>501</v>
      </c>
      <c r="BF75" s="1" t="s">
        <v>502</v>
      </c>
      <c r="BG75" s="1" t="str">
        <f t="shared" ref="BG75" si="78">"icon_"&amp;D75</f>
        <v>icon_gravel</v>
      </c>
      <c r="BH75" s="1" t="str">
        <f t="shared" ref="BH75:BH76" si="79">"half_"&amp;D75</f>
        <v>half_gravel</v>
      </c>
      <c r="BI75" s="1" t="str">
        <f t="shared" ref="BI75" si="80">D75</f>
        <v>gravel</v>
      </c>
      <c r="BJ75" s="1" t="s">
        <v>329</v>
      </c>
      <c r="BK75" s="1">
        <v>4</v>
      </c>
      <c r="BL75" s="1" t="s">
        <v>338</v>
      </c>
      <c r="BM75" s="1" t="s">
        <v>503</v>
      </c>
      <c r="BN75" s="1" t="s">
        <v>504</v>
      </c>
      <c r="BO75" s="1" t="s">
        <v>505</v>
      </c>
      <c r="BQ75" s="1" t="s">
        <v>207</v>
      </c>
      <c r="BR75" s="1" t="s">
        <v>208</v>
      </c>
      <c r="BT75" s="1" t="s">
        <v>210</v>
      </c>
      <c r="BU75" s="1" t="s">
        <v>210</v>
      </c>
      <c r="BX75" s="1">
        <v>1</v>
      </c>
    </row>
    <row r="76" spans="1:76" x14ac:dyDescent="0.25">
      <c r="A76" s="1" t="s">
        <v>35</v>
      </c>
      <c r="B76" s="1" t="s">
        <v>324</v>
      </c>
      <c r="D76" s="1" t="s">
        <v>506</v>
      </c>
      <c r="E76" s="1">
        <v>236</v>
      </c>
      <c r="F76" s="1" t="str">
        <f t="shared" ref="F76" si="81">"char_"&amp;E76&amp;"_"&amp;D76</f>
        <v>char_236_rope</v>
      </c>
      <c r="G76" s="1">
        <v>1</v>
      </c>
      <c r="J76" s="1">
        <v>2</v>
      </c>
      <c r="K76" s="1">
        <v>70</v>
      </c>
      <c r="L76" s="1">
        <v>1720</v>
      </c>
      <c r="N76" s="1">
        <v>728</v>
      </c>
      <c r="P76" s="1">
        <v>325</v>
      </c>
      <c r="Q76" s="1">
        <v>82</v>
      </c>
      <c r="R76" s="1">
        <v>0</v>
      </c>
      <c r="T76" s="1">
        <v>12</v>
      </c>
      <c r="U76" s="1">
        <v>-2</v>
      </c>
      <c r="V76" s="1">
        <v>0.5</v>
      </c>
      <c r="W76" s="1">
        <v>70</v>
      </c>
      <c r="X76" s="1">
        <v>-4</v>
      </c>
      <c r="Z76" s="1">
        <v>0.05</v>
      </c>
      <c r="AA76" s="1">
        <v>1.8</v>
      </c>
      <c r="AD76" s="1">
        <v>1</v>
      </c>
      <c r="AJ76" s="1" t="s">
        <v>35</v>
      </c>
      <c r="AK76" s="1" t="s">
        <v>206</v>
      </c>
      <c r="AL76" s="1" t="s">
        <v>507</v>
      </c>
      <c r="AM76" s="1" t="s">
        <v>508</v>
      </c>
      <c r="AN76" s="22" t="s">
        <v>9773</v>
      </c>
      <c r="AO76" s="22" t="s">
        <v>9769</v>
      </c>
      <c r="AQ76" s="1" t="s">
        <v>9696</v>
      </c>
      <c r="AR76" s="1">
        <v>2</v>
      </c>
      <c r="AS76" s="1">
        <v>0.5</v>
      </c>
      <c r="AZ76" s="1">
        <v>0.25</v>
      </c>
      <c r="BE76" s="1" t="s">
        <v>501</v>
      </c>
      <c r="BF76" s="1" t="s">
        <v>509</v>
      </c>
      <c r="BG76" s="1" t="str">
        <f t="shared" ref="BG76" si="82">"icon_"&amp;D76</f>
        <v>icon_rope</v>
      </c>
      <c r="BH76" s="1" t="str">
        <f t="shared" si="79"/>
        <v>half_rope</v>
      </c>
      <c r="BI76" s="1" t="str">
        <f t="shared" ref="BI76" si="83">D76</f>
        <v>rope</v>
      </c>
      <c r="BJ76" s="1" t="s">
        <v>329</v>
      </c>
      <c r="BK76" s="1">
        <v>4</v>
      </c>
      <c r="BL76" s="1" t="s">
        <v>338</v>
      </c>
      <c r="BM76" s="1" t="s">
        <v>510</v>
      </c>
      <c r="BN76" s="1" t="s">
        <v>511</v>
      </c>
      <c r="BO76" s="1" t="s">
        <v>512</v>
      </c>
      <c r="BQ76" s="1" t="s">
        <v>207</v>
      </c>
      <c r="BR76" s="1" t="s">
        <v>208</v>
      </c>
      <c r="BT76" s="1" t="s">
        <v>210</v>
      </c>
      <c r="BU76" s="1" t="s">
        <v>210</v>
      </c>
      <c r="BV76" s="1" t="s">
        <v>513</v>
      </c>
      <c r="BX76" s="1">
        <v>1</v>
      </c>
    </row>
    <row r="77" spans="1:76" x14ac:dyDescent="0.25">
      <c r="A77" s="1" t="s">
        <v>36</v>
      </c>
      <c r="B77" s="1" t="s">
        <v>324</v>
      </c>
      <c r="D77" s="1" t="s">
        <v>514</v>
      </c>
      <c r="E77" s="1">
        <v>277</v>
      </c>
      <c r="F77" s="1" t="str">
        <f t="shared" ref="F77:F78" si="84">"char_"&amp;E77&amp;"_"&amp;D77</f>
        <v>char_277_sqrrel</v>
      </c>
      <c r="G77" s="1">
        <v>1</v>
      </c>
      <c r="J77" s="1">
        <v>2</v>
      </c>
      <c r="K77" s="1">
        <v>70</v>
      </c>
      <c r="L77" s="1">
        <v>1785</v>
      </c>
      <c r="M77" s="1">
        <v>340</v>
      </c>
      <c r="N77" s="1">
        <v>580</v>
      </c>
      <c r="O77" s="1">
        <v>35</v>
      </c>
      <c r="P77" s="1">
        <v>365</v>
      </c>
      <c r="R77" s="1">
        <v>0</v>
      </c>
      <c r="T77" s="1">
        <v>19</v>
      </c>
      <c r="U77" s="1">
        <v>-2</v>
      </c>
      <c r="V77" s="1">
        <v>0.5</v>
      </c>
      <c r="W77" s="1">
        <v>70</v>
      </c>
      <c r="X77" s="1">
        <v>-4</v>
      </c>
      <c r="Z77" s="1">
        <v>0.05</v>
      </c>
      <c r="AA77" s="1">
        <v>1.2</v>
      </c>
      <c r="AD77" s="1">
        <v>1</v>
      </c>
      <c r="AJ77" s="1" t="s">
        <v>36</v>
      </c>
      <c r="AK77" s="1" t="s">
        <v>206</v>
      </c>
      <c r="AL77" s="1" t="s">
        <v>515</v>
      </c>
      <c r="AM77" s="1" t="s">
        <v>516</v>
      </c>
      <c r="AN77" s="22" t="s">
        <v>9773</v>
      </c>
      <c r="AO77" s="22" t="s">
        <v>9769</v>
      </c>
      <c r="AQ77" s="1" t="s">
        <v>9696</v>
      </c>
      <c r="AR77" s="1">
        <v>2</v>
      </c>
      <c r="AS77" s="1">
        <v>0.5</v>
      </c>
      <c r="AZ77" s="1">
        <v>0.25</v>
      </c>
      <c r="BE77" s="1" t="s">
        <v>501</v>
      </c>
      <c r="BF77" s="1" t="s">
        <v>517</v>
      </c>
      <c r="BG77" s="1" t="str">
        <f t="shared" ref="BG77:BG78" si="85">"icon_"&amp;D77</f>
        <v>icon_sqrrel</v>
      </c>
      <c r="BH77" s="1" t="str">
        <f t="shared" ref="BH77:BH78" si="86">"half_"&amp;D77</f>
        <v>half_sqrrel</v>
      </c>
      <c r="BI77" s="1" t="str">
        <f t="shared" ref="BI77:BI78" si="87">D77</f>
        <v>sqrrel</v>
      </c>
      <c r="BJ77" s="1" t="s">
        <v>329</v>
      </c>
      <c r="BK77" s="1">
        <v>4</v>
      </c>
      <c r="BL77" s="1" t="s">
        <v>338</v>
      </c>
      <c r="BM77" s="1" t="s">
        <v>518</v>
      </c>
      <c r="BN77" s="1" t="s">
        <v>519</v>
      </c>
      <c r="BO77" s="1" t="s">
        <v>520</v>
      </c>
      <c r="BQ77" s="1" t="s">
        <v>207</v>
      </c>
      <c r="BR77" s="1" t="s">
        <v>208</v>
      </c>
      <c r="BT77" s="1" t="s">
        <v>210</v>
      </c>
      <c r="BU77" s="1" t="s">
        <v>210</v>
      </c>
      <c r="BV77" s="1" t="s">
        <v>513</v>
      </c>
      <c r="BX77" s="1">
        <v>1</v>
      </c>
    </row>
    <row r="78" spans="1:76" x14ac:dyDescent="0.25">
      <c r="A78" s="1" t="s">
        <v>37</v>
      </c>
      <c r="B78" s="1" t="s">
        <v>324</v>
      </c>
      <c r="D78" s="1" t="s">
        <v>521</v>
      </c>
      <c r="E78" s="1">
        <v>117</v>
      </c>
      <c r="F78" s="1" t="str">
        <f t="shared" si="84"/>
        <v>char_117_myrrh</v>
      </c>
      <c r="G78" s="1">
        <v>1</v>
      </c>
      <c r="J78" s="1">
        <v>2</v>
      </c>
      <c r="K78" s="1">
        <v>70</v>
      </c>
      <c r="L78" s="1">
        <v>1420</v>
      </c>
      <c r="N78" s="1">
        <v>465</v>
      </c>
      <c r="O78" s="1">
        <v>83</v>
      </c>
      <c r="P78" s="1">
        <v>131</v>
      </c>
      <c r="R78" s="1">
        <v>0</v>
      </c>
      <c r="T78" s="1">
        <v>18</v>
      </c>
      <c r="U78" s="1">
        <v>-2</v>
      </c>
      <c r="V78" s="1">
        <v>0.5</v>
      </c>
      <c r="W78" s="1">
        <v>70</v>
      </c>
      <c r="X78" s="1">
        <v>-4</v>
      </c>
      <c r="Z78" s="1">
        <v>0.05</v>
      </c>
      <c r="AA78" s="1">
        <v>2.85</v>
      </c>
      <c r="AD78" s="1">
        <v>1</v>
      </c>
      <c r="AJ78" s="1" t="s">
        <v>37</v>
      </c>
      <c r="AK78" s="1" t="s">
        <v>206</v>
      </c>
      <c r="AL78" s="1" t="s">
        <v>522</v>
      </c>
      <c r="AM78" s="1" t="s">
        <v>523</v>
      </c>
      <c r="AN78" s="22" t="s">
        <v>9773</v>
      </c>
      <c r="AO78" s="22" t="s">
        <v>9769</v>
      </c>
      <c r="AQ78" s="1" t="s">
        <v>9694</v>
      </c>
      <c r="AR78" s="1">
        <v>1</v>
      </c>
      <c r="AS78" s="1">
        <v>0.5</v>
      </c>
      <c r="AZ78" s="1">
        <v>0.25</v>
      </c>
      <c r="BE78" s="1" t="s">
        <v>327</v>
      </c>
      <c r="BF78" s="1" t="s">
        <v>328</v>
      </c>
      <c r="BG78" s="1" t="str">
        <f t="shared" si="85"/>
        <v>icon_myrrh</v>
      </c>
      <c r="BH78" s="1" t="str">
        <f t="shared" si="86"/>
        <v>half_myrrh</v>
      </c>
      <c r="BI78" s="1" t="str">
        <f t="shared" si="87"/>
        <v>myrrh</v>
      </c>
      <c r="BJ78" s="1" t="s">
        <v>329</v>
      </c>
      <c r="BK78" s="1">
        <v>4</v>
      </c>
      <c r="BL78" s="1" t="s">
        <v>330</v>
      </c>
      <c r="BM78" s="1" t="s">
        <v>331</v>
      </c>
      <c r="BN78" s="1" t="s">
        <v>407</v>
      </c>
      <c r="BO78" s="1" t="s">
        <v>524</v>
      </c>
      <c r="BQ78" s="1" t="s">
        <v>207</v>
      </c>
      <c r="BR78" s="1" t="s">
        <v>208</v>
      </c>
      <c r="BT78" s="1" t="s">
        <v>210</v>
      </c>
      <c r="BU78" s="1" t="s">
        <v>210</v>
      </c>
      <c r="BX78" s="1">
        <v>1</v>
      </c>
    </row>
    <row r="79" spans="1:76" x14ac:dyDescent="0.25">
      <c r="A79" s="1" t="s">
        <v>38</v>
      </c>
      <c r="B79" s="1" t="s">
        <v>324</v>
      </c>
      <c r="D79" s="1" t="s">
        <v>525</v>
      </c>
      <c r="E79" s="1">
        <v>187</v>
      </c>
      <c r="F79" s="1" t="str">
        <f t="shared" ref="F79" si="88">"char_"&amp;E79&amp;"_"&amp;D79</f>
        <v>char_187_ccheal</v>
      </c>
      <c r="G79" s="1">
        <v>1</v>
      </c>
      <c r="J79" s="1">
        <v>2</v>
      </c>
      <c r="K79" s="1">
        <v>70</v>
      </c>
      <c r="L79" s="1">
        <v>1580</v>
      </c>
      <c r="N79" s="1">
        <v>450</v>
      </c>
      <c r="O79" s="1">
        <v>53</v>
      </c>
      <c r="P79" s="1">
        <v>152</v>
      </c>
      <c r="Q79" s="1">
        <v>30</v>
      </c>
      <c r="R79" s="1">
        <v>0</v>
      </c>
      <c r="T79" s="1">
        <v>18</v>
      </c>
      <c r="U79" s="1">
        <v>-2</v>
      </c>
      <c r="V79" s="1">
        <v>0.5</v>
      </c>
      <c r="W79" s="1">
        <v>70</v>
      </c>
      <c r="X79" s="1">
        <v>-4</v>
      </c>
      <c r="Z79" s="1">
        <v>0.05</v>
      </c>
      <c r="AA79" s="1">
        <v>2.85</v>
      </c>
      <c r="AD79" s="1">
        <v>1</v>
      </c>
      <c r="AJ79" s="1" t="s">
        <v>38</v>
      </c>
      <c r="AK79" s="1" t="s">
        <v>206</v>
      </c>
      <c r="AL79" s="1" t="s">
        <v>526</v>
      </c>
      <c r="AM79" s="1" t="s">
        <v>527</v>
      </c>
      <c r="AN79" s="22" t="s">
        <v>9773</v>
      </c>
      <c r="AO79" s="22" t="s">
        <v>9769</v>
      </c>
      <c r="AQ79" s="1" t="s">
        <v>9694</v>
      </c>
      <c r="AR79" s="1">
        <v>1</v>
      </c>
      <c r="AS79" s="1">
        <v>0.5</v>
      </c>
      <c r="AZ79" s="1">
        <v>0.25</v>
      </c>
      <c r="BE79" s="1" t="s">
        <v>327</v>
      </c>
      <c r="BF79" s="1" t="s">
        <v>328</v>
      </c>
      <c r="BG79" s="1" t="str">
        <f t="shared" ref="BG79" si="89">"icon_"&amp;D79</f>
        <v>icon_ccheal</v>
      </c>
      <c r="BH79" s="1" t="str">
        <f t="shared" ref="BH79" si="90">"half_"&amp;D79</f>
        <v>half_ccheal</v>
      </c>
      <c r="BI79" s="1" t="str">
        <f t="shared" ref="BI79" si="91">D79</f>
        <v>ccheal</v>
      </c>
      <c r="BJ79" s="1" t="s">
        <v>329</v>
      </c>
      <c r="BK79" s="1">
        <v>4</v>
      </c>
      <c r="BL79" s="1" t="s">
        <v>330</v>
      </c>
      <c r="BM79" s="1" t="s">
        <v>331</v>
      </c>
      <c r="BN79" s="1" t="s">
        <v>407</v>
      </c>
      <c r="BO79" s="1" t="s">
        <v>528</v>
      </c>
      <c r="BQ79" s="1" t="s">
        <v>207</v>
      </c>
      <c r="BR79" s="1" t="s">
        <v>208</v>
      </c>
      <c r="BT79" s="1" t="s">
        <v>210</v>
      </c>
      <c r="BU79" s="1" t="s">
        <v>210</v>
      </c>
      <c r="BX79" s="1">
        <v>1</v>
      </c>
    </row>
    <row r="80" spans="1:76" x14ac:dyDescent="0.25">
      <c r="A80" s="1" t="s">
        <v>39</v>
      </c>
      <c r="B80" s="1" t="s">
        <v>324</v>
      </c>
      <c r="D80" s="1" t="s">
        <v>529</v>
      </c>
      <c r="E80" s="1">
        <v>181</v>
      </c>
      <c r="F80" s="1" t="str">
        <f t="shared" ref="F80:F81" si="92">"char_"&amp;E80&amp;"_"&amp;D80</f>
        <v>char_181_flower</v>
      </c>
      <c r="G80" s="1">
        <v>1</v>
      </c>
      <c r="J80" s="1">
        <v>2</v>
      </c>
      <c r="K80" s="1">
        <v>70</v>
      </c>
      <c r="L80" s="1">
        <v>1560</v>
      </c>
      <c r="M80" s="1">
        <v>150</v>
      </c>
      <c r="N80" s="1">
        <v>320</v>
      </c>
      <c r="O80" s="1">
        <v>44</v>
      </c>
      <c r="P80" s="1">
        <v>145</v>
      </c>
      <c r="R80" s="1">
        <v>0</v>
      </c>
      <c r="T80" s="1">
        <v>16</v>
      </c>
      <c r="U80" s="1">
        <v>-2</v>
      </c>
      <c r="V80" s="1">
        <v>0.5</v>
      </c>
      <c r="W80" s="1">
        <v>70</v>
      </c>
      <c r="X80" s="1">
        <v>-4</v>
      </c>
      <c r="Z80" s="1">
        <v>0.05</v>
      </c>
      <c r="AA80" s="1">
        <v>2.85</v>
      </c>
      <c r="AD80" s="1">
        <v>1</v>
      </c>
      <c r="AJ80" s="1" t="s">
        <v>39</v>
      </c>
      <c r="AK80" s="1" t="s">
        <v>206</v>
      </c>
      <c r="AL80" s="1" t="s">
        <v>530</v>
      </c>
      <c r="AM80" s="1" t="s">
        <v>531</v>
      </c>
      <c r="AN80" s="22" t="s">
        <v>9773</v>
      </c>
      <c r="AO80" s="22" t="s">
        <v>9769</v>
      </c>
      <c r="AQ80" s="1" t="s">
        <v>9694</v>
      </c>
      <c r="AR80" s="1">
        <v>1</v>
      </c>
      <c r="AS80" s="1">
        <v>0.5</v>
      </c>
      <c r="AZ80" s="1">
        <v>0.25</v>
      </c>
      <c r="BE80" s="1" t="s">
        <v>327</v>
      </c>
      <c r="BF80" s="1" t="s">
        <v>532</v>
      </c>
      <c r="BG80" s="1" t="str">
        <f t="shared" ref="BG80:BG81" si="93">"icon_"&amp;D80</f>
        <v>icon_flower</v>
      </c>
      <c r="BH80" s="1" t="str">
        <f t="shared" ref="BH80:BH81" si="94">"half_"&amp;D80</f>
        <v>half_flower</v>
      </c>
      <c r="BI80" s="1" t="str">
        <f t="shared" ref="BI80:BI81" si="95">D80</f>
        <v>flower</v>
      </c>
      <c r="BJ80" s="1" t="s">
        <v>329</v>
      </c>
      <c r="BK80" s="1">
        <v>4</v>
      </c>
      <c r="BL80" s="1" t="s">
        <v>330</v>
      </c>
      <c r="BM80" s="1" t="s">
        <v>533</v>
      </c>
      <c r="BN80" s="1" t="s">
        <v>534</v>
      </c>
      <c r="BO80" s="1" t="s">
        <v>535</v>
      </c>
      <c r="BQ80" s="1" t="s">
        <v>207</v>
      </c>
      <c r="BR80" s="1" t="s">
        <v>208</v>
      </c>
      <c r="BT80" s="1" t="s">
        <v>210</v>
      </c>
      <c r="BU80" s="1" t="s">
        <v>210</v>
      </c>
      <c r="BX80" s="1">
        <v>1</v>
      </c>
    </row>
    <row r="81" spans="1:76" x14ac:dyDescent="0.25">
      <c r="A81" s="1" t="s">
        <v>40</v>
      </c>
      <c r="B81" s="1" t="s">
        <v>324</v>
      </c>
      <c r="D81" s="1" t="s">
        <v>536</v>
      </c>
      <c r="E81" s="1">
        <v>199</v>
      </c>
      <c r="F81" s="1" t="str">
        <f t="shared" si="92"/>
        <v>char_199_yak</v>
      </c>
      <c r="G81" s="1">
        <v>1</v>
      </c>
      <c r="J81" s="1">
        <v>2</v>
      </c>
      <c r="K81" s="1">
        <v>70</v>
      </c>
      <c r="L81" s="1">
        <v>3235</v>
      </c>
      <c r="M81" s="1">
        <v>635</v>
      </c>
      <c r="N81" s="1">
        <v>375</v>
      </c>
      <c r="P81" s="1">
        <v>670</v>
      </c>
      <c r="R81" s="1">
        <v>5</v>
      </c>
      <c r="T81" s="1">
        <v>21</v>
      </c>
      <c r="U81" s="1">
        <v>-2</v>
      </c>
      <c r="V81" s="1">
        <v>0.5</v>
      </c>
      <c r="W81" s="1">
        <v>70</v>
      </c>
      <c r="X81" s="1">
        <v>-10</v>
      </c>
      <c r="Z81" s="1">
        <v>0.05</v>
      </c>
      <c r="AA81" s="1">
        <v>1.2</v>
      </c>
      <c r="AD81" s="1">
        <v>1</v>
      </c>
      <c r="AJ81" s="1" t="s">
        <v>40</v>
      </c>
      <c r="AK81" s="1" t="s">
        <v>206</v>
      </c>
      <c r="AL81" s="1" t="s">
        <v>537</v>
      </c>
      <c r="AM81" s="1" t="s">
        <v>538</v>
      </c>
      <c r="AN81" s="22" t="s">
        <v>9773</v>
      </c>
      <c r="AO81" s="22" t="s">
        <v>9769</v>
      </c>
      <c r="AQ81" s="1" t="s">
        <v>9695</v>
      </c>
      <c r="AR81" s="1">
        <v>3</v>
      </c>
      <c r="AS81" s="1">
        <v>0.5</v>
      </c>
      <c r="AZ81" s="1">
        <v>0.25</v>
      </c>
      <c r="BE81" s="1" t="s">
        <v>344</v>
      </c>
      <c r="BF81" s="1" t="s">
        <v>345</v>
      </c>
      <c r="BG81" s="1" t="str">
        <f t="shared" si="93"/>
        <v>icon_yak</v>
      </c>
      <c r="BH81" s="1" t="str">
        <f t="shared" si="94"/>
        <v>half_yak</v>
      </c>
      <c r="BI81" s="1" t="str">
        <f t="shared" si="95"/>
        <v>yak</v>
      </c>
      <c r="BJ81" s="1" t="s">
        <v>329</v>
      </c>
      <c r="BK81" s="1">
        <v>4</v>
      </c>
      <c r="BL81" s="1" t="s">
        <v>338</v>
      </c>
      <c r="BM81" s="1" t="s">
        <v>539</v>
      </c>
      <c r="BN81" s="1" t="s">
        <v>347</v>
      </c>
      <c r="BO81" s="1" t="s">
        <v>540</v>
      </c>
      <c r="BQ81" s="1" t="s">
        <v>207</v>
      </c>
      <c r="BR81" s="1" t="s">
        <v>208</v>
      </c>
      <c r="BT81" s="1" t="s">
        <v>210</v>
      </c>
      <c r="BU81" s="1" t="s">
        <v>210</v>
      </c>
      <c r="BX81" s="1">
        <v>1</v>
      </c>
    </row>
    <row r="82" spans="1:76" x14ac:dyDescent="0.25">
      <c r="A82" s="1" t="s">
        <v>41</v>
      </c>
      <c r="B82" s="1" t="s">
        <v>324</v>
      </c>
      <c r="D82" s="1" t="s">
        <v>541</v>
      </c>
      <c r="E82" s="1">
        <v>150</v>
      </c>
      <c r="F82" s="1" t="str">
        <f t="shared" ref="F82" si="96">"char_"&amp;E82&amp;"_"&amp;D82</f>
        <v>char_150_snakek</v>
      </c>
      <c r="G82" s="1">
        <v>1</v>
      </c>
      <c r="J82" s="1">
        <v>2</v>
      </c>
      <c r="K82" s="1">
        <v>70</v>
      </c>
      <c r="L82" s="1">
        <v>3105</v>
      </c>
      <c r="N82" s="1">
        <v>365</v>
      </c>
      <c r="P82" s="1">
        <v>690</v>
      </c>
      <c r="Q82" s="1">
        <v>102</v>
      </c>
      <c r="R82" s="1">
        <v>0</v>
      </c>
      <c r="T82" s="1">
        <v>21</v>
      </c>
      <c r="U82" s="1">
        <v>-2</v>
      </c>
      <c r="V82" s="1">
        <v>0.5</v>
      </c>
      <c r="W82" s="1">
        <v>70</v>
      </c>
      <c r="X82" s="1">
        <v>-10</v>
      </c>
      <c r="Z82" s="1">
        <v>0.05</v>
      </c>
      <c r="AA82" s="1">
        <v>1.2</v>
      </c>
      <c r="AD82" s="1">
        <v>1</v>
      </c>
      <c r="AJ82" s="1" t="s">
        <v>41</v>
      </c>
      <c r="AK82" s="1" t="s">
        <v>206</v>
      </c>
      <c r="AL82" s="1" t="s">
        <v>542</v>
      </c>
      <c r="AM82" s="1" t="s">
        <v>543</v>
      </c>
      <c r="AN82" s="22" t="s">
        <v>9773</v>
      </c>
      <c r="AO82" s="22" t="s">
        <v>9769</v>
      </c>
      <c r="AQ82" s="1" t="s">
        <v>9695</v>
      </c>
      <c r="AR82" s="1">
        <v>3</v>
      </c>
      <c r="AS82" s="1">
        <v>0.5</v>
      </c>
      <c r="AZ82" s="1">
        <v>0.25</v>
      </c>
      <c r="BE82" s="1" t="s">
        <v>344</v>
      </c>
      <c r="BF82" s="1" t="s">
        <v>345</v>
      </c>
      <c r="BG82" s="1" t="str">
        <f t="shared" ref="BG82" si="97">"icon_"&amp;D82</f>
        <v>icon_snakek</v>
      </c>
      <c r="BH82" s="1" t="str">
        <f t="shared" ref="BH82" si="98">"half_"&amp;D82</f>
        <v>half_snakek</v>
      </c>
      <c r="BI82" s="1" t="str">
        <f t="shared" ref="BI82" si="99">D82</f>
        <v>snakek</v>
      </c>
      <c r="BJ82" s="1" t="s">
        <v>329</v>
      </c>
      <c r="BK82" s="1">
        <v>4</v>
      </c>
      <c r="BL82" s="1" t="s">
        <v>338</v>
      </c>
      <c r="BM82" s="1" t="s">
        <v>544</v>
      </c>
      <c r="BN82" s="1" t="s">
        <v>347</v>
      </c>
      <c r="BO82" s="1" t="s">
        <v>545</v>
      </c>
      <c r="BQ82" s="1" t="s">
        <v>207</v>
      </c>
      <c r="BR82" s="1" t="s">
        <v>208</v>
      </c>
      <c r="BT82" s="1" t="s">
        <v>210</v>
      </c>
      <c r="BU82" s="1" t="s">
        <v>210</v>
      </c>
      <c r="BX82" s="1">
        <v>1</v>
      </c>
    </row>
    <row r="83" spans="1:76" x14ac:dyDescent="0.25">
      <c r="A83" s="1" t="s">
        <v>42</v>
      </c>
      <c r="B83" s="1" t="s">
        <v>324</v>
      </c>
      <c r="D83" s="1" t="s">
        <v>546</v>
      </c>
      <c r="E83" s="1">
        <v>196</v>
      </c>
      <c r="F83" s="1" t="str">
        <f t="shared" ref="F83:F84" si="100">"char_"&amp;E83&amp;"_"&amp;D83</f>
        <v>char_196_sunbr</v>
      </c>
      <c r="G83" s="1">
        <v>1</v>
      </c>
      <c r="J83" s="1">
        <v>2</v>
      </c>
      <c r="K83" s="1">
        <v>70</v>
      </c>
      <c r="L83" s="1">
        <v>2550</v>
      </c>
      <c r="M83" s="1">
        <v>400</v>
      </c>
      <c r="N83" s="1">
        <v>435</v>
      </c>
      <c r="O83" s="1">
        <v>21</v>
      </c>
      <c r="P83" s="1">
        <v>562</v>
      </c>
      <c r="R83" s="1">
        <v>10</v>
      </c>
      <c r="T83" s="1">
        <v>20</v>
      </c>
      <c r="U83" s="1">
        <v>-2</v>
      </c>
      <c r="V83" s="1">
        <v>0.5</v>
      </c>
      <c r="W83" s="1">
        <v>70</v>
      </c>
      <c r="X83" s="1">
        <v>-4</v>
      </c>
      <c r="Z83" s="1">
        <v>0.05</v>
      </c>
      <c r="AA83" s="1">
        <v>1.2</v>
      </c>
      <c r="AD83" s="1">
        <v>1</v>
      </c>
      <c r="AJ83" s="1" t="s">
        <v>42</v>
      </c>
      <c r="AK83" s="1" t="s">
        <v>206</v>
      </c>
      <c r="AL83" s="1" t="s">
        <v>547</v>
      </c>
      <c r="AM83" s="1" t="s">
        <v>548</v>
      </c>
      <c r="AN83" s="22" t="s">
        <v>9773</v>
      </c>
      <c r="AO83" s="22" t="s">
        <v>9769</v>
      </c>
      <c r="AQ83" s="1" t="s">
        <v>9695</v>
      </c>
      <c r="AR83" s="1">
        <v>3</v>
      </c>
      <c r="AS83" s="1">
        <v>0.5</v>
      </c>
      <c r="AZ83" s="1">
        <v>0.25</v>
      </c>
      <c r="BE83" s="1" t="s">
        <v>344</v>
      </c>
      <c r="BF83" s="1" t="s">
        <v>365</v>
      </c>
      <c r="BG83" s="1" t="str">
        <f t="shared" ref="BG83" si="101">"icon_"&amp;D83</f>
        <v>icon_sunbr</v>
      </c>
      <c r="BH83" s="1" t="str">
        <f t="shared" ref="BH83" si="102">"half_"&amp;D83</f>
        <v>half_sunbr</v>
      </c>
      <c r="BI83" s="1" t="str">
        <f t="shared" ref="BI83" si="103">D83</f>
        <v>sunbr</v>
      </c>
      <c r="BJ83" s="1" t="s">
        <v>329</v>
      </c>
      <c r="BK83" s="1">
        <v>4</v>
      </c>
      <c r="BL83" s="1" t="s">
        <v>338</v>
      </c>
      <c r="BM83" s="1" t="s">
        <v>549</v>
      </c>
      <c r="BN83" s="1" t="s">
        <v>367</v>
      </c>
      <c r="BO83" s="1" t="s">
        <v>550</v>
      </c>
      <c r="BQ83" s="1" t="s">
        <v>207</v>
      </c>
      <c r="BR83" s="1" t="s">
        <v>208</v>
      </c>
      <c r="BT83" s="1" t="s">
        <v>210</v>
      </c>
      <c r="BU83" s="1" t="s">
        <v>210</v>
      </c>
      <c r="BX83" s="1">
        <v>1</v>
      </c>
    </row>
    <row r="84" spans="1:76" x14ac:dyDescent="0.25">
      <c r="A84" s="1" t="s">
        <v>43</v>
      </c>
      <c r="B84" s="1" t="s">
        <v>324</v>
      </c>
      <c r="D84" s="1" t="s">
        <v>551</v>
      </c>
      <c r="E84" s="1">
        <v>110</v>
      </c>
      <c r="F84" s="1" t="str">
        <f t="shared" si="100"/>
        <v>char_110_deepcl</v>
      </c>
      <c r="G84" s="1">
        <v>1</v>
      </c>
      <c r="J84" s="1">
        <v>2</v>
      </c>
      <c r="K84" s="1">
        <v>70</v>
      </c>
      <c r="L84" s="1">
        <v>1050</v>
      </c>
      <c r="M84" s="1">
        <v>300</v>
      </c>
      <c r="N84" s="1">
        <v>403</v>
      </c>
      <c r="P84" s="1">
        <v>125</v>
      </c>
      <c r="R84" s="1">
        <v>15</v>
      </c>
      <c r="T84" s="1">
        <v>10</v>
      </c>
      <c r="U84" s="1">
        <v>-2</v>
      </c>
      <c r="V84" s="1">
        <v>0.5</v>
      </c>
      <c r="W84" s="1">
        <v>70</v>
      </c>
      <c r="X84" s="1">
        <v>-10</v>
      </c>
      <c r="Z84" s="1">
        <v>0.05</v>
      </c>
      <c r="AA84" s="1">
        <v>1.6</v>
      </c>
      <c r="AD84" s="1">
        <v>1</v>
      </c>
      <c r="AJ84" s="1" t="s">
        <v>43</v>
      </c>
      <c r="AK84" s="1" t="s">
        <v>206</v>
      </c>
      <c r="AL84" s="1" t="s">
        <v>552</v>
      </c>
      <c r="AM84" s="1" t="s">
        <v>553</v>
      </c>
      <c r="AN84" s="22" t="s">
        <v>9773</v>
      </c>
      <c r="AO84" s="22" t="s">
        <v>9769</v>
      </c>
      <c r="AQ84" s="1" t="s">
        <v>9694</v>
      </c>
      <c r="AR84" s="1">
        <v>1</v>
      </c>
      <c r="AS84" s="1">
        <v>0.5</v>
      </c>
      <c r="AZ84" s="1">
        <v>0.25</v>
      </c>
      <c r="BE84" s="1" t="s">
        <v>393</v>
      </c>
      <c r="BF84" s="1" t="s">
        <v>554</v>
      </c>
      <c r="BG84" s="1" t="str">
        <f t="shared" ref="BG84" si="104">"icon_"&amp;D84</f>
        <v>icon_deepcl</v>
      </c>
      <c r="BH84" s="1" t="str">
        <f t="shared" ref="BH84:BH85" si="105">"half_"&amp;D84</f>
        <v>half_deepcl</v>
      </c>
      <c r="BI84" s="1" t="str">
        <f t="shared" ref="BI84:BI85" si="106">D84</f>
        <v>deepcl</v>
      </c>
      <c r="BJ84" s="1" t="s">
        <v>329</v>
      </c>
      <c r="BK84" s="1">
        <v>4</v>
      </c>
      <c r="BL84" s="1" t="s">
        <v>330</v>
      </c>
      <c r="BM84" s="1" t="s">
        <v>555</v>
      </c>
      <c r="BN84" s="1" t="s">
        <v>556</v>
      </c>
      <c r="BO84" s="1" t="s">
        <v>557</v>
      </c>
      <c r="BQ84" s="1" t="s">
        <v>207</v>
      </c>
      <c r="BR84" s="1" t="s">
        <v>208</v>
      </c>
      <c r="BT84" s="1" t="s">
        <v>210</v>
      </c>
      <c r="BU84" s="1" t="s">
        <v>210</v>
      </c>
      <c r="BX84" s="1">
        <v>1</v>
      </c>
    </row>
    <row r="85" spans="1:76" x14ac:dyDescent="0.25">
      <c r="A85" s="1" t="s">
        <v>558</v>
      </c>
      <c r="B85" s="1" t="s">
        <v>324</v>
      </c>
      <c r="D85" s="1" t="s">
        <v>551</v>
      </c>
      <c r="E85" s="1" t="s">
        <v>559</v>
      </c>
      <c r="F85" s="1" t="s">
        <v>560</v>
      </c>
      <c r="G85" s="1">
        <v>1</v>
      </c>
      <c r="J85" s="1">
        <v>2</v>
      </c>
      <c r="K85" s="1">
        <v>70</v>
      </c>
      <c r="L85" s="1">
        <v>2016</v>
      </c>
      <c r="N85" s="1">
        <v>462</v>
      </c>
      <c r="P85" s="1">
        <v>335</v>
      </c>
      <c r="R85" s="1">
        <v>0</v>
      </c>
      <c r="T85" s="1">
        <v>5</v>
      </c>
      <c r="V85" s="1">
        <v>0</v>
      </c>
      <c r="W85" s="1">
        <v>10</v>
      </c>
      <c r="Z85" s="1">
        <v>0.05</v>
      </c>
      <c r="AA85" s="1">
        <v>1.25</v>
      </c>
      <c r="AD85" s="1">
        <v>1</v>
      </c>
      <c r="AJ85" s="1" t="s">
        <v>558</v>
      </c>
      <c r="AK85" s="1" t="s">
        <v>206</v>
      </c>
      <c r="AL85" s="1" t="s">
        <v>561</v>
      </c>
      <c r="AN85" s="22" t="s">
        <v>9767</v>
      </c>
      <c r="AQ85" s="1" t="s">
        <v>9695</v>
      </c>
      <c r="AR85" s="1">
        <v>1</v>
      </c>
      <c r="AS85" s="1">
        <v>0.5</v>
      </c>
      <c r="AZ85" s="1">
        <v>0.25</v>
      </c>
      <c r="BE85" s="1" t="s">
        <v>336</v>
      </c>
      <c r="BG85" s="1" t="s">
        <v>562</v>
      </c>
      <c r="BH85" s="1" t="str">
        <f t="shared" si="105"/>
        <v>half_deepcl</v>
      </c>
      <c r="BI85" s="1" t="str">
        <f t="shared" si="106"/>
        <v>deepcl</v>
      </c>
      <c r="BJ85" s="1" t="s">
        <v>329</v>
      </c>
      <c r="BK85" s="1">
        <v>4</v>
      </c>
      <c r="BL85" s="1" t="s">
        <v>338</v>
      </c>
      <c r="BM85" s="1" t="s">
        <v>563</v>
      </c>
      <c r="BQ85" s="1" t="s">
        <v>207</v>
      </c>
      <c r="BR85" s="1" t="s">
        <v>208</v>
      </c>
      <c r="BT85" s="1" t="s">
        <v>210</v>
      </c>
      <c r="BU85" s="1" t="s">
        <v>210</v>
      </c>
      <c r="BX85" s="1">
        <v>1</v>
      </c>
    </row>
    <row r="86" spans="1:76" x14ac:dyDescent="0.25">
      <c r="A86" s="1" t="s">
        <v>44</v>
      </c>
      <c r="B86" s="1" t="s">
        <v>324</v>
      </c>
      <c r="D86" s="1" t="s">
        <v>564</v>
      </c>
      <c r="E86" s="1">
        <v>183</v>
      </c>
      <c r="F86" s="1" t="str">
        <f>"char_"&amp;E86&amp;"_"&amp;D86</f>
        <v>char_183_skgoat</v>
      </c>
      <c r="G86" s="1">
        <v>1</v>
      </c>
      <c r="J86" s="1">
        <v>2</v>
      </c>
      <c r="K86" s="1">
        <v>70</v>
      </c>
      <c r="L86" s="1">
        <v>1205</v>
      </c>
      <c r="N86" s="1">
        <v>480</v>
      </c>
      <c r="O86" s="1">
        <v>50</v>
      </c>
      <c r="P86" s="1">
        <v>101</v>
      </c>
      <c r="R86" s="1">
        <v>20</v>
      </c>
      <c r="T86" s="1">
        <v>14</v>
      </c>
      <c r="U86" s="1">
        <v>-2</v>
      </c>
      <c r="V86" s="1">
        <v>0.5</v>
      </c>
      <c r="W86" s="1">
        <v>70</v>
      </c>
      <c r="X86" s="1">
        <v>-10</v>
      </c>
      <c r="Z86" s="1">
        <v>0.05</v>
      </c>
      <c r="AA86" s="1">
        <v>1.9</v>
      </c>
      <c r="AD86" s="1">
        <v>1</v>
      </c>
      <c r="AJ86" s="1" t="s">
        <v>44</v>
      </c>
      <c r="AK86" s="1" t="s">
        <v>206</v>
      </c>
      <c r="AL86" s="1" t="s">
        <v>565</v>
      </c>
      <c r="AM86" s="1" t="s">
        <v>566</v>
      </c>
      <c r="AN86" s="22" t="s">
        <v>9773</v>
      </c>
      <c r="AO86" s="22" t="s">
        <v>9769</v>
      </c>
      <c r="AQ86" s="1" t="s">
        <v>9694</v>
      </c>
      <c r="AR86" s="1">
        <v>1</v>
      </c>
      <c r="AS86" s="1">
        <v>0.5</v>
      </c>
      <c r="AZ86" s="1">
        <v>0.25</v>
      </c>
      <c r="BE86" s="1" t="s">
        <v>393</v>
      </c>
      <c r="BF86" s="1" t="s">
        <v>394</v>
      </c>
      <c r="BG86" s="1" t="str">
        <f t="shared" ref="BG86" si="107">"icon_"&amp;D86</f>
        <v>icon_skgoat</v>
      </c>
      <c r="BH86" s="1" t="str">
        <f t="shared" ref="BH86" si="108">"half_"&amp;D86</f>
        <v>half_skgoat</v>
      </c>
      <c r="BI86" s="1" t="str">
        <f t="shared" ref="BI86" si="109">D86</f>
        <v>skgoat</v>
      </c>
      <c r="BJ86" s="1" t="s">
        <v>329</v>
      </c>
      <c r="BK86" s="1">
        <v>4</v>
      </c>
      <c r="BL86" s="1" t="s">
        <v>330</v>
      </c>
      <c r="BM86" s="1" t="s">
        <v>567</v>
      </c>
      <c r="BN86" s="1" t="s">
        <v>396</v>
      </c>
      <c r="BO86" s="1" t="s">
        <v>568</v>
      </c>
      <c r="BQ86" s="1" t="s">
        <v>207</v>
      </c>
      <c r="BR86" s="1" t="s">
        <v>208</v>
      </c>
      <c r="BT86" s="1" t="s">
        <v>210</v>
      </c>
      <c r="BU86" s="1" t="s">
        <v>210</v>
      </c>
      <c r="BX86" s="1">
        <v>1</v>
      </c>
    </row>
    <row r="88" spans="1:76" x14ac:dyDescent="0.25">
      <c r="A88" s="1" t="s">
        <v>45</v>
      </c>
    </row>
    <row r="89" spans="1:76" x14ac:dyDescent="0.25">
      <c r="A89" s="1" t="s">
        <v>46</v>
      </c>
      <c r="B89" s="1" t="s">
        <v>324</v>
      </c>
      <c r="D89" s="1" t="s">
        <v>569</v>
      </c>
      <c r="E89" s="1">
        <v>128</v>
      </c>
      <c r="F89" s="1" t="str">
        <f t="shared" ref="F89" si="110">"char_"&amp;E89&amp;"_"&amp;D89</f>
        <v>char_128_plosis</v>
      </c>
      <c r="G89" s="1">
        <v>1</v>
      </c>
      <c r="J89" s="1">
        <v>2</v>
      </c>
      <c r="K89" s="1">
        <v>80</v>
      </c>
      <c r="L89" s="1">
        <v>1610</v>
      </c>
      <c r="N89" s="1">
        <v>335</v>
      </c>
      <c r="O89" s="1">
        <v>76</v>
      </c>
      <c r="P89" s="1">
        <v>150</v>
      </c>
      <c r="R89" s="1">
        <v>0</v>
      </c>
      <c r="T89" s="1">
        <v>17</v>
      </c>
      <c r="U89" s="1">
        <v>-2</v>
      </c>
      <c r="V89" s="1">
        <v>0.5</v>
      </c>
      <c r="W89" s="1">
        <v>70</v>
      </c>
      <c r="X89" s="1">
        <v>-10</v>
      </c>
      <c r="Z89" s="1">
        <v>0.05</v>
      </c>
      <c r="AA89" s="1">
        <v>2.85</v>
      </c>
      <c r="AD89" s="1">
        <v>1</v>
      </c>
      <c r="AJ89" s="1" t="s">
        <v>46</v>
      </c>
      <c r="AK89" s="1" t="s">
        <v>206</v>
      </c>
      <c r="AL89" s="1" t="s">
        <v>570</v>
      </c>
      <c r="AM89" s="1" t="s">
        <v>571</v>
      </c>
      <c r="AN89" s="22" t="s">
        <v>9773</v>
      </c>
      <c r="AO89" s="22" t="s">
        <v>9769</v>
      </c>
      <c r="AQ89" s="1" t="s">
        <v>9694</v>
      </c>
      <c r="AR89" s="1">
        <v>1</v>
      </c>
      <c r="AS89" s="1">
        <v>0.5</v>
      </c>
      <c r="AZ89" s="1">
        <v>0.25</v>
      </c>
      <c r="BE89" s="1" t="s">
        <v>327</v>
      </c>
      <c r="BF89" s="1" t="s">
        <v>532</v>
      </c>
      <c r="BG89" s="1" t="str">
        <f t="shared" ref="BG89" si="111">"icon_"&amp;D89</f>
        <v>icon_plosis</v>
      </c>
      <c r="BH89" s="1" t="str">
        <f t="shared" ref="BH89" si="112">"half_"&amp;D89</f>
        <v>half_plosis</v>
      </c>
      <c r="BI89" s="1" t="str">
        <f t="shared" ref="BI89" si="113">D89</f>
        <v>plosis</v>
      </c>
      <c r="BJ89" s="1" t="s">
        <v>329</v>
      </c>
      <c r="BK89" s="1">
        <v>5</v>
      </c>
      <c r="BL89" s="1" t="s">
        <v>330</v>
      </c>
      <c r="BM89" s="1" t="s">
        <v>572</v>
      </c>
      <c r="BN89" s="1" t="s">
        <v>534</v>
      </c>
      <c r="BO89" s="1" t="s">
        <v>573</v>
      </c>
      <c r="BQ89" s="1" t="s">
        <v>207</v>
      </c>
      <c r="BR89" s="1" t="s">
        <v>208</v>
      </c>
      <c r="BT89" s="1" t="s">
        <v>210</v>
      </c>
      <c r="BU89" s="1" t="s">
        <v>210</v>
      </c>
      <c r="BX89" s="1">
        <v>1</v>
      </c>
    </row>
    <row r="90" spans="1:76" x14ac:dyDescent="0.25">
      <c r="A90" s="1" t="s">
        <v>47</v>
      </c>
      <c r="B90" s="1" t="s">
        <v>324</v>
      </c>
      <c r="D90" s="1" t="s">
        <v>574</v>
      </c>
      <c r="E90" s="1">
        <v>106</v>
      </c>
      <c r="F90" s="1" t="str">
        <f t="shared" ref="F90" si="114">"char_"&amp;E90&amp;"_"&amp;D90</f>
        <v>char_106_franka</v>
      </c>
      <c r="G90" s="1">
        <v>1</v>
      </c>
      <c r="J90" s="1">
        <v>2</v>
      </c>
      <c r="K90" s="1">
        <v>80</v>
      </c>
      <c r="L90" s="1">
        <v>3768</v>
      </c>
      <c r="N90" s="1">
        <v>936</v>
      </c>
      <c r="O90" s="1">
        <v>105</v>
      </c>
      <c r="P90" s="1">
        <v>235</v>
      </c>
      <c r="Q90" s="1">
        <v>25</v>
      </c>
      <c r="R90" s="1">
        <v>0</v>
      </c>
      <c r="T90" s="1">
        <v>18</v>
      </c>
      <c r="U90" s="1">
        <v>-2</v>
      </c>
      <c r="V90" s="1">
        <v>0.5</v>
      </c>
      <c r="W90" s="1">
        <v>70</v>
      </c>
      <c r="X90" s="1">
        <v>-10</v>
      </c>
      <c r="Z90" s="1">
        <v>0.05</v>
      </c>
      <c r="AA90" s="1">
        <v>1.5</v>
      </c>
      <c r="AD90" s="1">
        <v>1</v>
      </c>
      <c r="AJ90" s="1" t="s">
        <v>47</v>
      </c>
      <c r="AK90" s="1" t="s">
        <v>206</v>
      </c>
      <c r="AL90" s="1" t="s">
        <v>575</v>
      </c>
      <c r="AM90" s="1" t="s">
        <v>576</v>
      </c>
      <c r="AN90" s="22" t="s">
        <v>9773</v>
      </c>
      <c r="AO90" s="22" t="s">
        <v>9769</v>
      </c>
      <c r="AQ90" s="1" t="s">
        <v>9695</v>
      </c>
      <c r="AR90" s="1">
        <v>1</v>
      </c>
      <c r="AS90" s="1">
        <v>0.5</v>
      </c>
      <c r="AZ90" s="1">
        <v>0.25</v>
      </c>
      <c r="BE90" s="1" t="s">
        <v>336</v>
      </c>
      <c r="BF90" s="1" t="s">
        <v>337</v>
      </c>
      <c r="BG90" s="1" t="str">
        <f t="shared" ref="BG90" si="115">"icon_"&amp;D90</f>
        <v>icon_franka</v>
      </c>
      <c r="BH90" s="1" t="str">
        <f t="shared" ref="BH90" si="116">"half_"&amp;D90</f>
        <v>half_franka</v>
      </c>
      <c r="BI90" s="1" t="str">
        <f t="shared" ref="BI90" si="117">D90</f>
        <v>franka</v>
      </c>
      <c r="BJ90" s="1" t="s">
        <v>329</v>
      </c>
      <c r="BK90" s="1">
        <v>5</v>
      </c>
      <c r="BL90" s="1" t="s">
        <v>338</v>
      </c>
      <c r="BM90" s="1" t="s">
        <v>577</v>
      </c>
      <c r="BN90" s="1" t="s">
        <v>442</v>
      </c>
      <c r="BO90" s="1" t="s">
        <v>578</v>
      </c>
      <c r="BQ90" s="1" t="s">
        <v>207</v>
      </c>
      <c r="BR90" s="1" t="s">
        <v>208</v>
      </c>
      <c r="BT90" s="1" t="s">
        <v>210</v>
      </c>
      <c r="BU90" s="1" t="s">
        <v>210</v>
      </c>
      <c r="BX90" s="1">
        <v>1</v>
      </c>
    </row>
    <row r="91" spans="1:76" x14ac:dyDescent="0.25">
      <c r="A91" s="1" t="s">
        <v>48</v>
      </c>
      <c r="B91" s="1" t="s">
        <v>324</v>
      </c>
      <c r="D91" s="1" t="s">
        <v>579</v>
      </c>
      <c r="E91" s="1">
        <v>155</v>
      </c>
      <c r="F91" s="1" t="str">
        <f t="shared" ref="F91" si="118">"char_"&amp;E91&amp;"_"&amp;D91</f>
        <v>char_155_tiger</v>
      </c>
      <c r="G91" s="1">
        <v>1</v>
      </c>
      <c r="J91" s="1">
        <v>2</v>
      </c>
      <c r="K91" s="1">
        <v>80</v>
      </c>
      <c r="L91" s="1">
        <v>2565</v>
      </c>
      <c r="N91" s="1">
        <v>530</v>
      </c>
      <c r="O91" s="1">
        <v>98</v>
      </c>
      <c r="P91" s="1">
        <v>350</v>
      </c>
      <c r="R91" s="1">
        <v>0</v>
      </c>
      <c r="T91" s="1">
        <v>10</v>
      </c>
      <c r="U91" s="1">
        <v>-2</v>
      </c>
      <c r="V91" s="1">
        <v>0.5</v>
      </c>
      <c r="W91" s="1">
        <v>70</v>
      </c>
      <c r="X91" s="1">
        <v>-4</v>
      </c>
      <c r="Z91" s="1">
        <v>0.05</v>
      </c>
      <c r="AA91" s="1">
        <v>0.78</v>
      </c>
      <c r="AD91" s="1">
        <v>1</v>
      </c>
      <c r="AJ91" s="1" t="s">
        <v>48</v>
      </c>
      <c r="AK91" s="1" t="s">
        <v>206</v>
      </c>
      <c r="AL91" s="1" t="s">
        <v>580</v>
      </c>
      <c r="AM91" s="1" t="s">
        <v>581</v>
      </c>
      <c r="AN91" s="22" t="s">
        <v>9773</v>
      </c>
      <c r="AO91" s="22" t="s">
        <v>9769</v>
      </c>
      <c r="AQ91" s="1" t="s">
        <v>9695</v>
      </c>
      <c r="AR91" s="1">
        <v>1</v>
      </c>
      <c r="AS91" s="1">
        <v>0.5</v>
      </c>
      <c r="AZ91" s="1">
        <v>0.25</v>
      </c>
      <c r="BE91" s="1" t="s">
        <v>336</v>
      </c>
      <c r="BF91" s="1" t="s">
        <v>582</v>
      </c>
      <c r="BG91" s="1" t="str">
        <f t="shared" ref="BG91" si="119">"icon_"&amp;D91</f>
        <v>icon_tiger</v>
      </c>
      <c r="BH91" s="1" t="str">
        <f t="shared" ref="BH91" si="120">"half_"&amp;D91</f>
        <v>half_tiger</v>
      </c>
      <c r="BI91" s="1" t="str">
        <f t="shared" ref="BI91:BI92" si="121">D91</f>
        <v>tiger</v>
      </c>
      <c r="BJ91" s="1" t="s">
        <v>329</v>
      </c>
      <c r="BK91" s="1">
        <v>5</v>
      </c>
      <c r="BL91" s="1" t="s">
        <v>338</v>
      </c>
      <c r="BM91" s="1" t="s">
        <v>583</v>
      </c>
      <c r="BN91" s="1" t="s">
        <v>442</v>
      </c>
      <c r="BO91" s="1" t="s">
        <v>584</v>
      </c>
      <c r="BQ91" s="1" t="s">
        <v>207</v>
      </c>
      <c r="BR91" s="1" t="s">
        <v>208</v>
      </c>
      <c r="BT91" s="1" t="s">
        <v>210</v>
      </c>
      <c r="BU91" s="1" t="s">
        <v>210</v>
      </c>
      <c r="BX91" s="1">
        <v>1</v>
      </c>
    </row>
    <row r="92" spans="1:76" x14ac:dyDescent="0.25">
      <c r="A92" s="1" t="s">
        <v>49</v>
      </c>
      <c r="B92" s="1" t="s">
        <v>324</v>
      </c>
      <c r="D92" s="1" t="s">
        <v>585</v>
      </c>
      <c r="E92" s="1">
        <v>140</v>
      </c>
      <c r="F92" s="1" t="str">
        <f t="shared" ref="F92" si="122">"char_"&amp;E92&amp;"_"&amp;D92</f>
        <v>char_140_whitew</v>
      </c>
      <c r="G92" s="1">
        <v>1</v>
      </c>
      <c r="J92" s="1">
        <v>2</v>
      </c>
      <c r="K92" s="1">
        <v>80</v>
      </c>
      <c r="L92" s="1">
        <v>2350</v>
      </c>
      <c r="N92" s="1">
        <v>685</v>
      </c>
      <c r="O92" s="1">
        <v>75</v>
      </c>
      <c r="P92" s="1">
        <v>365</v>
      </c>
      <c r="R92" s="1">
        <v>15</v>
      </c>
      <c r="T92" s="1">
        <v>19</v>
      </c>
      <c r="U92" s="1">
        <v>-2</v>
      </c>
      <c r="V92" s="1">
        <v>0.5</v>
      </c>
      <c r="W92" s="1">
        <v>70</v>
      </c>
      <c r="X92" s="1">
        <v>-4</v>
      </c>
      <c r="Z92" s="1">
        <v>0.05</v>
      </c>
      <c r="AA92" s="1">
        <v>1.3</v>
      </c>
      <c r="AD92" s="1">
        <v>1</v>
      </c>
      <c r="AJ92" s="1" t="s">
        <v>49</v>
      </c>
      <c r="AK92" s="1" t="s">
        <v>206</v>
      </c>
      <c r="AL92" s="1" t="s">
        <v>586</v>
      </c>
      <c r="AM92" s="1" t="s">
        <v>587</v>
      </c>
      <c r="AN92" s="22" t="s">
        <v>9773</v>
      </c>
      <c r="AO92" s="22" t="s">
        <v>9769</v>
      </c>
      <c r="AQ92" s="1" t="s">
        <v>9695</v>
      </c>
      <c r="AR92" s="1">
        <v>2</v>
      </c>
      <c r="AS92" s="1">
        <v>0.5</v>
      </c>
      <c r="AZ92" s="1">
        <v>0.25</v>
      </c>
      <c r="BE92" s="1" t="s">
        <v>336</v>
      </c>
      <c r="BF92" s="1" t="s">
        <v>379</v>
      </c>
      <c r="BG92" s="1" t="str">
        <f t="shared" ref="BG92" si="123">"icon_"&amp;D92</f>
        <v>icon_whitew</v>
      </c>
      <c r="BH92" s="1" t="str">
        <f t="shared" ref="BH92" si="124">"half_"&amp;D92</f>
        <v>half_whitew</v>
      </c>
      <c r="BI92" s="1" t="str">
        <f t="shared" si="121"/>
        <v>whitew</v>
      </c>
      <c r="BJ92" s="1" t="s">
        <v>329</v>
      </c>
      <c r="BK92" s="1">
        <v>5</v>
      </c>
      <c r="BL92" s="1" t="s">
        <v>338</v>
      </c>
      <c r="BM92" s="1" t="s">
        <v>588</v>
      </c>
      <c r="BN92" s="1" t="s">
        <v>381</v>
      </c>
      <c r="BO92" s="1" t="s">
        <v>589</v>
      </c>
      <c r="BQ92" s="1" t="s">
        <v>207</v>
      </c>
      <c r="BR92" s="1" t="s">
        <v>208</v>
      </c>
      <c r="BT92" s="1" t="s">
        <v>210</v>
      </c>
      <c r="BU92" s="1" t="s">
        <v>210</v>
      </c>
      <c r="BX92" s="1">
        <v>1</v>
      </c>
    </row>
    <row r="93" spans="1:76" x14ac:dyDescent="0.25">
      <c r="A93" s="1" t="s">
        <v>50</v>
      </c>
      <c r="B93" s="1" t="s">
        <v>324</v>
      </c>
      <c r="D93" s="1" t="s">
        <v>307</v>
      </c>
      <c r="E93" s="1">
        <v>143</v>
      </c>
      <c r="F93" s="1" t="str">
        <f t="shared" ref="F93:F94" si="125">"char_"&amp;E93&amp;"_"&amp;D93</f>
        <v>char_143_ghost</v>
      </c>
      <c r="G93" s="1">
        <v>1</v>
      </c>
      <c r="J93" s="1">
        <v>2</v>
      </c>
      <c r="K93" s="1">
        <v>80</v>
      </c>
      <c r="L93" s="1">
        <v>2630</v>
      </c>
      <c r="N93" s="1">
        <v>725</v>
      </c>
      <c r="O93" s="1">
        <v>107</v>
      </c>
      <c r="P93" s="1">
        <v>355</v>
      </c>
      <c r="R93" s="1">
        <v>0</v>
      </c>
      <c r="T93" s="1">
        <v>23</v>
      </c>
      <c r="U93" s="1">
        <v>-2</v>
      </c>
      <c r="V93" s="1">
        <v>0.5</v>
      </c>
      <c r="W93" s="1">
        <v>70</v>
      </c>
      <c r="X93" s="1">
        <v>-4</v>
      </c>
      <c r="Z93" s="1">
        <v>0.05</v>
      </c>
      <c r="AA93" s="1">
        <v>1.2</v>
      </c>
      <c r="AD93" s="1">
        <v>1</v>
      </c>
      <c r="AJ93" s="1" t="s">
        <v>50</v>
      </c>
      <c r="AK93" s="1" t="s">
        <v>206</v>
      </c>
      <c r="AL93" s="1" t="s">
        <v>590</v>
      </c>
      <c r="AM93" s="1" t="s">
        <v>591</v>
      </c>
      <c r="AN93" s="22" t="s">
        <v>9773</v>
      </c>
      <c r="AO93" s="22" t="s">
        <v>9769</v>
      </c>
      <c r="AQ93" s="1" t="s">
        <v>9695</v>
      </c>
      <c r="AR93" s="1">
        <v>3</v>
      </c>
      <c r="AS93" s="1">
        <v>0.5</v>
      </c>
      <c r="AZ93" s="1">
        <v>0.25</v>
      </c>
      <c r="BE93" s="1" t="s">
        <v>336</v>
      </c>
      <c r="BF93" s="1" t="s">
        <v>372</v>
      </c>
      <c r="BG93" s="1" t="str">
        <f t="shared" ref="BG93:BG94" si="126">"icon_"&amp;D93</f>
        <v>icon_ghost</v>
      </c>
      <c r="BH93" s="1" t="str">
        <f t="shared" ref="BH93:BH94" si="127">"half_"&amp;D93</f>
        <v>half_ghost</v>
      </c>
      <c r="BI93" s="1" t="str">
        <f t="shared" ref="BI93:BI94" si="128">D93</f>
        <v>ghost</v>
      </c>
      <c r="BJ93" s="1" t="s">
        <v>329</v>
      </c>
      <c r="BK93" s="1">
        <v>5</v>
      </c>
      <c r="BL93" s="1" t="s">
        <v>338</v>
      </c>
      <c r="BM93" s="1" t="s">
        <v>592</v>
      </c>
      <c r="BN93" s="1" t="s">
        <v>374</v>
      </c>
      <c r="BO93" s="1" t="s">
        <v>593</v>
      </c>
      <c r="BQ93" s="1" t="s">
        <v>207</v>
      </c>
      <c r="BR93" s="1" t="s">
        <v>208</v>
      </c>
      <c r="BT93" s="1" t="s">
        <v>210</v>
      </c>
      <c r="BU93" s="1" t="s">
        <v>210</v>
      </c>
      <c r="BX93" s="1">
        <v>1</v>
      </c>
    </row>
    <row r="94" spans="1:76" x14ac:dyDescent="0.25">
      <c r="A94" s="1" t="s">
        <v>51</v>
      </c>
      <c r="B94" s="1" t="s">
        <v>324</v>
      </c>
      <c r="D94" s="1" t="s">
        <v>594</v>
      </c>
      <c r="E94" s="1">
        <v>129</v>
      </c>
      <c r="F94" s="1" t="str">
        <f t="shared" si="125"/>
        <v>char_129_bluep</v>
      </c>
      <c r="G94" s="1">
        <v>1</v>
      </c>
      <c r="J94" s="1">
        <v>2</v>
      </c>
      <c r="K94" s="1">
        <v>80</v>
      </c>
      <c r="L94" s="1">
        <v>1230</v>
      </c>
      <c r="N94" s="1">
        <v>535</v>
      </c>
      <c r="O94" s="1">
        <v>99</v>
      </c>
      <c r="P94" s="1">
        <v>130</v>
      </c>
      <c r="R94" s="1">
        <v>0</v>
      </c>
      <c r="T94" s="1">
        <v>13</v>
      </c>
      <c r="U94" s="1">
        <v>-2</v>
      </c>
      <c r="V94" s="1">
        <v>0.5</v>
      </c>
      <c r="W94" s="1">
        <v>70</v>
      </c>
      <c r="X94" s="1">
        <v>-4</v>
      </c>
      <c r="Z94" s="1">
        <v>0.05</v>
      </c>
      <c r="AA94" s="1">
        <v>1</v>
      </c>
      <c r="AD94" s="1">
        <v>1</v>
      </c>
      <c r="AJ94" s="1" t="s">
        <v>51</v>
      </c>
      <c r="AK94" s="1" t="s">
        <v>206</v>
      </c>
      <c r="AL94" s="1" t="s">
        <v>595</v>
      </c>
      <c r="AM94" s="1" t="s">
        <v>596</v>
      </c>
      <c r="AN94" s="22" t="s">
        <v>9773</v>
      </c>
      <c r="AO94" s="22" t="s">
        <v>9769</v>
      </c>
      <c r="AQ94" s="1" t="s">
        <v>9694</v>
      </c>
      <c r="AR94" s="1">
        <v>1</v>
      </c>
      <c r="AS94" s="1">
        <v>0.5</v>
      </c>
      <c r="AZ94" s="1">
        <v>0.25</v>
      </c>
      <c r="BE94" s="1" t="s">
        <v>351</v>
      </c>
      <c r="BF94" s="1" t="s">
        <v>352</v>
      </c>
      <c r="BG94" s="1" t="str">
        <f t="shared" si="126"/>
        <v>icon_bluep</v>
      </c>
      <c r="BH94" s="1" t="str">
        <f t="shared" si="127"/>
        <v>half_bluep</v>
      </c>
      <c r="BI94" s="1" t="str">
        <f t="shared" si="128"/>
        <v>bluep</v>
      </c>
      <c r="BJ94" s="1" t="s">
        <v>329</v>
      </c>
      <c r="BK94" s="1">
        <v>5</v>
      </c>
      <c r="BL94" s="1" t="s">
        <v>330</v>
      </c>
      <c r="BM94" s="1" t="s">
        <v>597</v>
      </c>
      <c r="BN94" s="1" t="s">
        <v>354</v>
      </c>
      <c r="BO94" s="1" t="s">
        <v>598</v>
      </c>
      <c r="BQ94" s="1" t="s">
        <v>207</v>
      </c>
      <c r="BR94" s="1" t="s">
        <v>208</v>
      </c>
      <c r="BT94" s="1" t="s">
        <v>210</v>
      </c>
      <c r="BU94" s="1" t="s">
        <v>210</v>
      </c>
      <c r="BX94" s="1">
        <v>1</v>
      </c>
    </row>
    <row r="95" spans="1:76" x14ac:dyDescent="0.25">
      <c r="A95" s="1" t="s">
        <v>52</v>
      </c>
      <c r="B95" s="1" t="s">
        <v>324</v>
      </c>
      <c r="D95" s="1" t="s">
        <v>599</v>
      </c>
      <c r="E95" s="1">
        <v>204</v>
      </c>
      <c r="F95" s="1" t="str">
        <f t="shared" ref="F95" si="129">"char_"&amp;E95&amp;"_"&amp;D95</f>
        <v>char_204_platnm</v>
      </c>
      <c r="G95" s="1">
        <v>1</v>
      </c>
      <c r="J95" s="1">
        <v>2</v>
      </c>
      <c r="K95" s="1">
        <v>80</v>
      </c>
      <c r="L95" s="1">
        <v>1550</v>
      </c>
      <c r="N95" s="1">
        <v>505</v>
      </c>
      <c r="O95" s="1">
        <v>98</v>
      </c>
      <c r="P95" s="1">
        <v>165</v>
      </c>
      <c r="R95" s="1">
        <v>0</v>
      </c>
      <c r="T95" s="1">
        <v>13</v>
      </c>
      <c r="U95" s="1">
        <v>-2</v>
      </c>
      <c r="V95" s="1">
        <v>0.5</v>
      </c>
      <c r="W95" s="1">
        <v>70</v>
      </c>
      <c r="X95" s="1">
        <v>-4</v>
      </c>
      <c r="Z95" s="1">
        <v>0.05</v>
      </c>
      <c r="AA95" s="1">
        <v>1</v>
      </c>
      <c r="AD95" s="1">
        <v>1</v>
      </c>
      <c r="AJ95" s="1" t="s">
        <v>52</v>
      </c>
      <c r="AK95" s="1" t="s">
        <v>206</v>
      </c>
      <c r="AL95" s="1" t="s">
        <v>600</v>
      </c>
      <c r="AM95" s="1" t="s">
        <v>601</v>
      </c>
      <c r="AN95" s="22" t="s">
        <v>9773</v>
      </c>
      <c r="AO95" s="22" t="s">
        <v>9769</v>
      </c>
      <c r="AQ95" s="1" t="s">
        <v>9694</v>
      </c>
      <c r="AR95" s="1">
        <v>1</v>
      </c>
      <c r="AS95" s="1">
        <v>0.5</v>
      </c>
      <c r="AZ95" s="1">
        <v>0.25</v>
      </c>
      <c r="BE95" s="1" t="s">
        <v>351</v>
      </c>
      <c r="BF95" s="1" t="s">
        <v>352</v>
      </c>
      <c r="BG95" s="1" t="str">
        <f t="shared" ref="BG95" si="130">"icon_"&amp;D95</f>
        <v>icon_platnm</v>
      </c>
      <c r="BH95" s="1" t="str">
        <f t="shared" ref="BH95" si="131">"half_"&amp;D95</f>
        <v>half_platnm</v>
      </c>
      <c r="BI95" s="1" t="str">
        <f t="shared" ref="BI95" si="132">D95</f>
        <v>platnm</v>
      </c>
      <c r="BJ95" s="1" t="s">
        <v>329</v>
      </c>
      <c r="BK95" s="1">
        <v>5</v>
      </c>
      <c r="BL95" s="1" t="s">
        <v>330</v>
      </c>
      <c r="BM95" s="1" t="s">
        <v>462</v>
      </c>
      <c r="BN95" s="1" t="s">
        <v>354</v>
      </c>
      <c r="BO95" s="1" t="s">
        <v>602</v>
      </c>
      <c r="BQ95" s="1" t="s">
        <v>207</v>
      </c>
      <c r="BR95" s="1" t="s">
        <v>208</v>
      </c>
      <c r="BT95" s="1" t="s">
        <v>210</v>
      </c>
      <c r="BU95" s="1" t="s">
        <v>210</v>
      </c>
      <c r="BX95" s="1">
        <v>1</v>
      </c>
    </row>
    <row r="96" spans="1:76" x14ac:dyDescent="0.25">
      <c r="A96" s="1" t="s">
        <v>53</v>
      </c>
      <c r="B96" s="1" t="s">
        <v>324</v>
      </c>
      <c r="D96" s="1" t="s">
        <v>603</v>
      </c>
      <c r="E96" s="1">
        <v>219</v>
      </c>
      <c r="F96" s="1" t="str">
        <f t="shared" ref="F96" si="133">"char_"&amp;E96&amp;"_"&amp;D96</f>
        <v>char_219_meteo</v>
      </c>
      <c r="G96" s="1">
        <v>1</v>
      </c>
      <c r="J96" s="1">
        <v>2</v>
      </c>
      <c r="K96" s="1">
        <v>80</v>
      </c>
      <c r="L96" s="1">
        <v>1505</v>
      </c>
      <c r="N96" s="1">
        <v>865</v>
      </c>
      <c r="O96" s="1">
        <v>120</v>
      </c>
      <c r="P96" s="1">
        <v>116</v>
      </c>
      <c r="R96" s="1">
        <v>0</v>
      </c>
      <c r="T96" s="1">
        <v>28</v>
      </c>
      <c r="U96" s="1">
        <v>-2</v>
      </c>
      <c r="V96" s="1">
        <v>0.5</v>
      </c>
      <c r="W96" s="1">
        <v>70</v>
      </c>
      <c r="X96" s="1">
        <v>-10</v>
      </c>
      <c r="Z96" s="1">
        <v>0.05</v>
      </c>
      <c r="AA96" s="1">
        <v>2.8</v>
      </c>
      <c r="AD96" s="1">
        <v>1</v>
      </c>
      <c r="AJ96" s="1" t="s">
        <v>53</v>
      </c>
      <c r="AK96" s="1" t="s">
        <v>206</v>
      </c>
      <c r="AL96" s="1" t="s">
        <v>604</v>
      </c>
      <c r="AM96" s="1" t="s">
        <v>605</v>
      </c>
      <c r="AN96" s="22" t="s">
        <v>9773</v>
      </c>
      <c r="AO96" s="22" t="s">
        <v>9769</v>
      </c>
      <c r="AQ96" s="1" t="s">
        <v>9694</v>
      </c>
      <c r="AR96" s="1">
        <v>1</v>
      </c>
      <c r="AS96" s="1">
        <v>0.5</v>
      </c>
      <c r="AZ96" s="1">
        <v>0.25</v>
      </c>
      <c r="BE96" s="1" t="s">
        <v>351</v>
      </c>
      <c r="BF96" s="1" t="s">
        <v>386</v>
      </c>
      <c r="BG96" s="1" t="str">
        <f t="shared" ref="BG96" si="134">"icon_"&amp;D96</f>
        <v>icon_meteo</v>
      </c>
      <c r="BH96" s="1" t="str">
        <f t="shared" ref="BH96" si="135">"half_"&amp;D96</f>
        <v>half_meteo</v>
      </c>
      <c r="BI96" s="1" t="str">
        <f t="shared" ref="BI96" si="136">D96</f>
        <v>meteo</v>
      </c>
      <c r="BJ96" s="1" t="s">
        <v>329</v>
      </c>
      <c r="BK96" s="1">
        <v>5</v>
      </c>
      <c r="BL96" s="1" t="s">
        <v>330</v>
      </c>
      <c r="BM96" s="1" t="s">
        <v>606</v>
      </c>
      <c r="BN96" s="1" t="s">
        <v>388</v>
      </c>
      <c r="BO96" s="1" t="s">
        <v>607</v>
      </c>
      <c r="BQ96" s="1" t="s">
        <v>207</v>
      </c>
      <c r="BR96" s="1" t="s">
        <v>208</v>
      </c>
      <c r="BT96" s="1" t="s">
        <v>210</v>
      </c>
      <c r="BU96" s="1" t="s">
        <v>210</v>
      </c>
      <c r="BX96" s="1">
        <v>1</v>
      </c>
    </row>
    <row r="97" spans="1:76" x14ac:dyDescent="0.25">
      <c r="A97" s="1" t="s">
        <v>54</v>
      </c>
      <c r="B97" s="1" t="s">
        <v>324</v>
      </c>
      <c r="D97" s="1" t="s">
        <v>608</v>
      </c>
      <c r="E97" s="1" t="s">
        <v>609</v>
      </c>
      <c r="F97" s="1" t="str">
        <f t="shared" ref="F97" si="137">"char_"&amp;E97&amp;"_"&amp;D97</f>
        <v>char_002_amiya</v>
      </c>
      <c r="G97" s="1">
        <v>1</v>
      </c>
      <c r="J97" s="1">
        <v>2</v>
      </c>
      <c r="K97" s="1">
        <v>80</v>
      </c>
      <c r="L97" s="1">
        <v>1480</v>
      </c>
      <c r="M97" s="1">
        <v>400</v>
      </c>
      <c r="N97" s="1">
        <v>612</v>
      </c>
      <c r="O97" s="1">
        <v>100</v>
      </c>
      <c r="P97" s="1">
        <v>121</v>
      </c>
      <c r="R97" s="1">
        <v>20</v>
      </c>
      <c r="T97" s="1">
        <v>20</v>
      </c>
      <c r="U97" s="1">
        <v>-2</v>
      </c>
      <c r="V97" s="1">
        <v>0.5</v>
      </c>
      <c r="W97" s="1">
        <v>70</v>
      </c>
      <c r="Z97" s="1">
        <v>0.05</v>
      </c>
      <c r="AA97" s="1">
        <v>1.6</v>
      </c>
      <c r="AD97" s="1">
        <v>1</v>
      </c>
      <c r="AJ97" s="1" t="s">
        <v>54</v>
      </c>
      <c r="AK97" s="1" t="s">
        <v>206</v>
      </c>
      <c r="AL97" s="1" t="s">
        <v>610</v>
      </c>
      <c r="AM97" s="1" t="s">
        <v>611</v>
      </c>
      <c r="AN97" s="22" t="s">
        <v>9773</v>
      </c>
      <c r="AO97" s="22" t="s">
        <v>9769</v>
      </c>
      <c r="AQ97" s="1" t="s">
        <v>9694</v>
      </c>
      <c r="AR97" s="1">
        <v>1</v>
      </c>
      <c r="AS97" s="1">
        <v>0.5</v>
      </c>
      <c r="AZ97" s="1">
        <v>0.25</v>
      </c>
      <c r="BE97" s="1" t="s">
        <v>358</v>
      </c>
      <c r="BF97" s="1" t="s">
        <v>359</v>
      </c>
      <c r="BG97" s="1" t="str">
        <f t="shared" ref="BG97" si="138">"icon_"&amp;D97</f>
        <v>icon_amiya</v>
      </c>
      <c r="BH97" s="1" t="str">
        <f t="shared" ref="BH97" si="139">"half_"&amp;D97</f>
        <v>half_amiya</v>
      </c>
      <c r="BI97" s="1" t="str">
        <f t="shared" ref="BI97" si="140">D97</f>
        <v>amiya</v>
      </c>
      <c r="BJ97" s="1" t="s">
        <v>329</v>
      </c>
      <c r="BK97" s="1">
        <v>5</v>
      </c>
      <c r="BL97" s="1" t="s">
        <v>330</v>
      </c>
      <c r="BM97" s="1" t="s">
        <v>612</v>
      </c>
      <c r="BN97" s="1" t="s">
        <v>360</v>
      </c>
      <c r="BO97" s="1" t="s">
        <v>613</v>
      </c>
      <c r="BQ97" s="1" t="s">
        <v>207</v>
      </c>
      <c r="BR97" s="1" t="s">
        <v>208</v>
      </c>
      <c r="BT97" s="1" t="s">
        <v>210</v>
      </c>
      <c r="BU97" s="1" t="s">
        <v>210</v>
      </c>
      <c r="BX97" s="1">
        <v>1</v>
      </c>
    </row>
    <row r="98" spans="1:76" x14ac:dyDescent="0.25">
      <c r="A98" s="1" t="s">
        <v>55</v>
      </c>
      <c r="B98" s="1" t="s">
        <v>324</v>
      </c>
      <c r="D98" s="1" t="s">
        <v>614</v>
      </c>
      <c r="E98" s="1" t="s">
        <v>615</v>
      </c>
      <c r="F98" s="1" t="str">
        <f t="shared" ref="F98" si="141">"char_"&amp;E98&amp;"_"&amp;D98</f>
        <v>char_166_skfire</v>
      </c>
      <c r="G98" s="1">
        <v>1</v>
      </c>
      <c r="J98" s="1">
        <v>2</v>
      </c>
      <c r="K98" s="1">
        <v>80</v>
      </c>
      <c r="L98" s="1">
        <v>1620</v>
      </c>
      <c r="N98" s="1">
        <v>784</v>
      </c>
      <c r="O98" s="1">
        <v>123</v>
      </c>
      <c r="P98" s="1">
        <v>122</v>
      </c>
      <c r="R98" s="1">
        <v>20</v>
      </c>
      <c r="T98" s="1">
        <v>33</v>
      </c>
      <c r="U98" s="1">
        <v>-2</v>
      </c>
      <c r="V98" s="1">
        <v>0.5</v>
      </c>
      <c r="W98" s="1">
        <v>70</v>
      </c>
      <c r="X98" s="1">
        <v>-4</v>
      </c>
      <c r="Z98" s="1">
        <v>0.05</v>
      </c>
      <c r="AA98" s="1">
        <v>2.9</v>
      </c>
      <c r="AD98" s="1">
        <v>1</v>
      </c>
      <c r="AJ98" s="1" t="s">
        <v>55</v>
      </c>
      <c r="AK98" s="1" t="s">
        <v>206</v>
      </c>
      <c r="AL98" s="1" t="s">
        <v>616</v>
      </c>
      <c r="AM98" s="1" t="s">
        <v>617</v>
      </c>
      <c r="AN98" s="22" t="s">
        <v>9773</v>
      </c>
      <c r="AO98" s="22" t="s">
        <v>9769</v>
      </c>
      <c r="AQ98" s="1" t="s">
        <v>9694</v>
      </c>
      <c r="AR98" s="1">
        <v>1</v>
      </c>
      <c r="AS98" s="1">
        <v>0.5</v>
      </c>
      <c r="AZ98" s="1">
        <v>0.25</v>
      </c>
      <c r="BE98" s="1" t="s">
        <v>358</v>
      </c>
      <c r="BF98" s="1" t="s">
        <v>417</v>
      </c>
      <c r="BG98" s="1" t="str">
        <f t="shared" ref="BG98" si="142">"icon_"&amp;D98</f>
        <v>icon_skfire</v>
      </c>
      <c r="BH98" s="1" t="str">
        <f t="shared" ref="BH98" si="143">"half_"&amp;D98</f>
        <v>half_skfire</v>
      </c>
      <c r="BI98" s="1" t="str">
        <f t="shared" ref="BI98" si="144">D98</f>
        <v>skfire</v>
      </c>
      <c r="BJ98" s="1" t="s">
        <v>329</v>
      </c>
      <c r="BK98" s="1">
        <v>5</v>
      </c>
      <c r="BL98" s="1" t="s">
        <v>330</v>
      </c>
      <c r="BM98" s="1" t="s">
        <v>447</v>
      </c>
      <c r="BN98" s="1" t="s">
        <v>418</v>
      </c>
      <c r="BO98" s="1" t="s">
        <v>618</v>
      </c>
      <c r="BQ98" s="1" t="s">
        <v>207</v>
      </c>
      <c r="BR98" s="1" t="s">
        <v>208</v>
      </c>
      <c r="BT98" s="1" t="s">
        <v>210</v>
      </c>
      <c r="BU98" s="1" t="s">
        <v>210</v>
      </c>
      <c r="BX98" s="1">
        <v>1</v>
      </c>
    </row>
    <row r="99" spans="1:76" x14ac:dyDescent="0.25">
      <c r="A99" s="1" t="s">
        <v>56</v>
      </c>
      <c r="B99" s="1" t="s">
        <v>324</v>
      </c>
      <c r="D99" s="1" t="s">
        <v>619</v>
      </c>
      <c r="E99" s="1" t="s">
        <v>620</v>
      </c>
      <c r="F99" s="1" t="str">
        <f t="shared" ref="F99" si="145">"char_"&amp;E99&amp;"_"&amp;D99</f>
        <v>char_242_otter</v>
      </c>
      <c r="G99" s="1">
        <v>1</v>
      </c>
      <c r="J99" s="1">
        <v>2</v>
      </c>
      <c r="K99" s="1">
        <v>80</v>
      </c>
      <c r="L99" s="1">
        <v>1068</v>
      </c>
      <c r="M99" s="1">
        <v>200</v>
      </c>
      <c r="N99" s="1">
        <v>443</v>
      </c>
      <c r="O99" s="1">
        <v>35</v>
      </c>
      <c r="P99" s="1">
        <v>130</v>
      </c>
      <c r="R99" s="1">
        <v>28</v>
      </c>
      <c r="T99" s="1">
        <v>11</v>
      </c>
      <c r="U99" s="1">
        <v>-2</v>
      </c>
      <c r="V99" s="1">
        <v>0.5</v>
      </c>
      <c r="W99" s="1">
        <v>70</v>
      </c>
      <c r="X99" s="1">
        <v>-10</v>
      </c>
      <c r="Z99" s="1">
        <v>0.05</v>
      </c>
      <c r="AA99" s="1">
        <v>1.6</v>
      </c>
      <c r="AD99" s="1">
        <v>1</v>
      </c>
      <c r="AJ99" s="1" t="s">
        <v>56</v>
      </c>
      <c r="AK99" s="1" t="s">
        <v>206</v>
      </c>
      <c r="AL99" s="1" t="s">
        <v>621</v>
      </c>
      <c r="AM99" s="1" t="s">
        <v>622</v>
      </c>
      <c r="AN99" s="22" t="s">
        <v>9773</v>
      </c>
      <c r="AO99" s="22" t="s">
        <v>9769</v>
      </c>
      <c r="AQ99" s="1" t="s">
        <v>9694</v>
      </c>
      <c r="AR99" s="1">
        <v>1</v>
      </c>
      <c r="AS99" s="1">
        <v>0.5</v>
      </c>
      <c r="AZ99" s="1">
        <v>0.25</v>
      </c>
      <c r="BE99" s="1" t="s">
        <v>393</v>
      </c>
      <c r="BF99" s="1" t="s">
        <v>554</v>
      </c>
      <c r="BG99" s="1" t="str">
        <f t="shared" ref="BG99:BG102" si="146">"icon_"&amp;D99</f>
        <v>icon_otter</v>
      </c>
      <c r="BH99" s="1" t="str">
        <f t="shared" ref="BH99:BH102" si="147">"half_"&amp;D99</f>
        <v>half_otter</v>
      </c>
      <c r="BI99" s="1" t="str">
        <f t="shared" ref="BI99:BI102" si="148">D99</f>
        <v>otter</v>
      </c>
      <c r="BJ99" s="1" t="s">
        <v>329</v>
      </c>
      <c r="BK99" s="1">
        <v>5</v>
      </c>
      <c r="BL99" s="1" t="s">
        <v>330</v>
      </c>
      <c r="BM99" s="1" t="s">
        <v>572</v>
      </c>
      <c r="BN99" s="1" t="s">
        <v>556</v>
      </c>
      <c r="BO99" s="1" t="s">
        <v>623</v>
      </c>
      <c r="BQ99" s="1" t="s">
        <v>207</v>
      </c>
      <c r="BR99" s="1" t="s">
        <v>208</v>
      </c>
      <c r="BT99" s="1" t="s">
        <v>210</v>
      </c>
      <c r="BU99" s="1" t="s">
        <v>210</v>
      </c>
      <c r="BV99" s="1" t="s">
        <v>624</v>
      </c>
      <c r="BX99" s="1">
        <v>1</v>
      </c>
    </row>
    <row r="100" spans="1:76" x14ac:dyDescent="0.25">
      <c r="A100" s="1" t="s">
        <v>625</v>
      </c>
      <c r="B100" s="1" t="s">
        <v>324</v>
      </c>
      <c r="D100" s="1" t="s">
        <v>619</v>
      </c>
      <c r="E100" s="1" t="s">
        <v>620</v>
      </c>
      <c r="F100" s="1" t="s">
        <v>626</v>
      </c>
      <c r="G100" s="1">
        <v>1</v>
      </c>
      <c r="J100" s="1">
        <v>2</v>
      </c>
      <c r="K100" s="1">
        <v>80</v>
      </c>
      <c r="L100" s="1">
        <v>1950</v>
      </c>
      <c r="N100" s="1">
        <v>444</v>
      </c>
      <c r="P100" s="1">
        <v>415</v>
      </c>
      <c r="R100" s="1">
        <v>0</v>
      </c>
      <c r="T100" s="1">
        <v>5</v>
      </c>
      <c r="V100" s="1">
        <v>0.5</v>
      </c>
      <c r="W100" s="1">
        <v>10</v>
      </c>
      <c r="Z100" s="1">
        <v>0.05</v>
      </c>
      <c r="AA100" s="1">
        <v>1.25</v>
      </c>
      <c r="AD100" s="1">
        <v>1</v>
      </c>
      <c r="AJ100" s="1" t="s">
        <v>625</v>
      </c>
      <c r="AK100" s="1" t="s">
        <v>206</v>
      </c>
      <c r="AL100" s="1" t="s">
        <v>627</v>
      </c>
      <c r="AN100" s="22" t="s">
        <v>9767</v>
      </c>
      <c r="AQ100" s="1" t="s">
        <v>9695</v>
      </c>
      <c r="AR100" s="1">
        <v>1</v>
      </c>
      <c r="AS100" s="1">
        <v>0.5</v>
      </c>
      <c r="AZ100" s="1">
        <v>0.25</v>
      </c>
      <c r="BE100" s="1" t="s">
        <v>393</v>
      </c>
      <c r="BG100" s="1" t="s">
        <v>628</v>
      </c>
      <c r="BH100" s="1" t="str">
        <f t="shared" si="147"/>
        <v>half_otter</v>
      </c>
      <c r="BI100" s="1" t="str">
        <f t="shared" si="148"/>
        <v>otter</v>
      </c>
      <c r="BJ100" s="1" t="s">
        <v>329</v>
      </c>
      <c r="BK100" s="1">
        <v>5</v>
      </c>
      <c r="BL100" s="1" t="s">
        <v>338</v>
      </c>
      <c r="BM100" s="1" t="s">
        <v>563</v>
      </c>
      <c r="BQ100" s="1" t="s">
        <v>207</v>
      </c>
      <c r="BR100" s="1" t="s">
        <v>208</v>
      </c>
      <c r="BT100" s="1" t="s">
        <v>210</v>
      </c>
      <c r="BU100" s="1" t="s">
        <v>210</v>
      </c>
      <c r="BX100" s="1">
        <v>1</v>
      </c>
    </row>
    <row r="101" spans="1:76" x14ac:dyDescent="0.25">
      <c r="A101" s="1" t="s">
        <v>57</v>
      </c>
      <c r="B101" s="1" t="s">
        <v>324</v>
      </c>
      <c r="D101" s="1" t="s">
        <v>629</v>
      </c>
      <c r="E101" s="1">
        <v>148</v>
      </c>
      <c r="F101" s="1" t="str">
        <f t="shared" ref="F101:F102" si="149">"char_"&amp;E101&amp;"_"&amp;D101</f>
        <v>char_148_nearl</v>
      </c>
      <c r="G101" s="1">
        <v>1</v>
      </c>
      <c r="J101" s="1">
        <v>2</v>
      </c>
      <c r="K101" s="1">
        <v>80</v>
      </c>
      <c r="L101" s="1">
        <v>2780</v>
      </c>
      <c r="N101" s="1">
        <v>462</v>
      </c>
      <c r="O101" s="1">
        <v>40</v>
      </c>
      <c r="P101" s="1">
        <v>575</v>
      </c>
      <c r="Q101" s="1">
        <v>75</v>
      </c>
      <c r="R101" s="1">
        <v>10</v>
      </c>
      <c r="T101" s="1">
        <v>21</v>
      </c>
      <c r="U101" s="1">
        <v>-2</v>
      </c>
      <c r="V101" s="1">
        <v>0.5</v>
      </c>
      <c r="W101" s="1">
        <v>70</v>
      </c>
      <c r="X101" s="1">
        <v>-4</v>
      </c>
      <c r="Z101" s="1">
        <v>0.05</v>
      </c>
      <c r="AA101" s="1">
        <v>1.2</v>
      </c>
      <c r="AD101" s="1">
        <v>1</v>
      </c>
      <c r="AJ101" s="1" t="s">
        <v>57</v>
      </c>
      <c r="AK101" s="1" t="s">
        <v>206</v>
      </c>
      <c r="AL101" s="1" t="s">
        <v>630</v>
      </c>
      <c r="AM101" s="1" t="s">
        <v>631</v>
      </c>
      <c r="AN101" s="22" t="s">
        <v>9773</v>
      </c>
      <c r="AO101" s="22" t="s">
        <v>9769</v>
      </c>
      <c r="AQ101" s="1" t="s">
        <v>9695</v>
      </c>
      <c r="AR101" s="1">
        <v>3</v>
      </c>
      <c r="AS101" s="1">
        <v>0.5</v>
      </c>
      <c r="AZ101" s="1">
        <v>0.25</v>
      </c>
      <c r="BE101" s="1" t="s">
        <v>344</v>
      </c>
      <c r="BF101" s="1" t="s">
        <v>365</v>
      </c>
      <c r="BG101" s="1" t="str">
        <f t="shared" si="146"/>
        <v>icon_nearl</v>
      </c>
      <c r="BH101" s="1" t="str">
        <f t="shared" si="147"/>
        <v>half_nearl</v>
      </c>
      <c r="BI101" s="1" t="str">
        <f t="shared" si="148"/>
        <v>nearl</v>
      </c>
      <c r="BJ101" s="1" t="s">
        <v>329</v>
      </c>
      <c r="BK101" s="1">
        <v>5</v>
      </c>
      <c r="BL101" s="1" t="s">
        <v>338</v>
      </c>
      <c r="BM101" s="1" t="s">
        <v>632</v>
      </c>
      <c r="BN101" s="1" t="s">
        <v>367</v>
      </c>
      <c r="BO101" s="1" t="s">
        <v>633</v>
      </c>
      <c r="BQ101" s="1" t="s">
        <v>207</v>
      </c>
      <c r="BR101" s="1" t="s">
        <v>208</v>
      </c>
      <c r="BT101" s="1" t="s">
        <v>210</v>
      </c>
      <c r="BU101" s="1" t="s">
        <v>210</v>
      </c>
      <c r="BX101" s="1">
        <v>1</v>
      </c>
    </row>
    <row r="102" spans="1:76" x14ac:dyDescent="0.25">
      <c r="A102" s="1" t="s">
        <v>58</v>
      </c>
      <c r="B102" s="1" t="s">
        <v>324</v>
      </c>
      <c r="D102" s="1" t="s">
        <v>634</v>
      </c>
      <c r="E102" s="1">
        <v>108</v>
      </c>
      <c r="F102" s="1" t="str">
        <f t="shared" si="149"/>
        <v>char_108_silent</v>
      </c>
      <c r="G102" s="1">
        <v>1</v>
      </c>
      <c r="J102" s="1">
        <v>2</v>
      </c>
      <c r="K102" s="1">
        <v>80</v>
      </c>
      <c r="L102" s="1">
        <v>1595</v>
      </c>
      <c r="N102" s="1">
        <v>482</v>
      </c>
      <c r="O102" s="1">
        <v>99</v>
      </c>
      <c r="P102" s="1">
        <v>142</v>
      </c>
      <c r="R102" s="1">
        <v>0</v>
      </c>
      <c r="T102" s="1">
        <v>19</v>
      </c>
      <c r="U102" s="1">
        <v>-2</v>
      </c>
      <c r="V102" s="1">
        <v>0.5</v>
      </c>
      <c r="W102" s="1">
        <v>70</v>
      </c>
      <c r="X102" s="1">
        <v>-4</v>
      </c>
      <c r="Z102" s="1">
        <v>0.05</v>
      </c>
      <c r="AA102" s="1">
        <v>2.85</v>
      </c>
      <c r="AD102" s="1">
        <v>1</v>
      </c>
      <c r="AJ102" s="1" t="s">
        <v>58</v>
      </c>
      <c r="AK102" s="1" t="s">
        <v>206</v>
      </c>
      <c r="AL102" s="1" t="s">
        <v>635</v>
      </c>
      <c r="AM102" s="1" t="s">
        <v>636</v>
      </c>
      <c r="AN102" s="22" t="s">
        <v>9773</v>
      </c>
      <c r="AO102" s="22" t="s">
        <v>9769</v>
      </c>
      <c r="AQ102" s="1" t="s">
        <v>9694</v>
      </c>
      <c r="AR102" s="1">
        <v>1</v>
      </c>
      <c r="AS102" s="1">
        <v>0.5</v>
      </c>
      <c r="AZ102" s="1">
        <v>0.25</v>
      </c>
      <c r="BE102" s="1" t="s">
        <v>327</v>
      </c>
      <c r="BF102" s="1" t="s">
        <v>328</v>
      </c>
      <c r="BG102" s="1" t="str">
        <f t="shared" si="146"/>
        <v>icon_silent</v>
      </c>
      <c r="BH102" s="1" t="str">
        <f t="shared" si="147"/>
        <v>half_silent</v>
      </c>
      <c r="BI102" s="1" t="str">
        <f t="shared" si="148"/>
        <v>silent</v>
      </c>
      <c r="BJ102" s="1" t="s">
        <v>329</v>
      </c>
      <c r="BK102" s="1">
        <v>5</v>
      </c>
      <c r="BL102" s="1" t="s">
        <v>330</v>
      </c>
      <c r="BM102" s="1" t="s">
        <v>572</v>
      </c>
      <c r="BN102" s="1" t="s">
        <v>407</v>
      </c>
      <c r="BO102" s="1" t="s">
        <v>637</v>
      </c>
      <c r="BQ102" s="1" t="s">
        <v>207</v>
      </c>
      <c r="BR102" s="1" t="s">
        <v>208</v>
      </c>
      <c r="BT102" s="1" t="s">
        <v>210</v>
      </c>
      <c r="BU102" s="1" t="s">
        <v>210</v>
      </c>
      <c r="BX102" s="1">
        <v>1</v>
      </c>
    </row>
    <row r="103" spans="1:76" x14ac:dyDescent="0.25">
      <c r="A103" s="1" t="s">
        <v>638</v>
      </c>
      <c r="B103" s="1" t="s">
        <v>324</v>
      </c>
      <c r="D103" s="1" t="s">
        <v>634</v>
      </c>
      <c r="E103" s="1">
        <v>108</v>
      </c>
      <c r="F103" s="1" t="s">
        <v>639</v>
      </c>
      <c r="G103" s="1">
        <v>1</v>
      </c>
      <c r="J103" s="1">
        <v>2</v>
      </c>
      <c r="K103" s="1">
        <v>80</v>
      </c>
      <c r="L103" s="1">
        <v>1000</v>
      </c>
      <c r="N103" s="1">
        <v>125</v>
      </c>
      <c r="P103" s="1">
        <v>0</v>
      </c>
      <c r="R103" s="1">
        <v>0</v>
      </c>
      <c r="T103" s="1">
        <v>5</v>
      </c>
      <c r="V103" s="1">
        <v>0.5</v>
      </c>
      <c r="W103" s="1">
        <v>5</v>
      </c>
      <c r="Z103" s="1">
        <v>0.05</v>
      </c>
      <c r="AA103" s="1">
        <v>0.5</v>
      </c>
      <c r="AD103" s="1">
        <v>0</v>
      </c>
      <c r="AE103" s="1">
        <v>1</v>
      </c>
      <c r="AJ103" s="1" t="s">
        <v>638</v>
      </c>
      <c r="AK103" s="1" t="s">
        <v>206</v>
      </c>
      <c r="AL103" s="1" t="s">
        <v>640</v>
      </c>
      <c r="AN103" s="22" t="s">
        <v>9767</v>
      </c>
      <c r="AQ103" s="1" t="s">
        <v>9695</v>
      </c>
      <c r="AR103" s="1">
        <v>0</v>
      </c>
      <c r="AS103" s="1">
        <v>0.5</v>
      </c>
      <c r="AZ103" s="1">
        <v>0.25</v>
      </c>
      <c r="BD103" s="1">
        <v>10</v>
      </c>
      <c r="BE103" s="1" t="s">
        <v>327</v>
      </c>
      <c r="BG103" s="1" t="s">
        <v>641</v>
      </c>
      <c r="BH103" s="1" t="str">
        <f t="shared" ref="BH103:BH106" si="150">"half_"&amp;D103</f>
        <v>half_silent</v>
      </c>
      <c r="BI103" s="1" t="str">
        <f t="shared" ref="BI103:BI106" si="151">D103</f>
        <v>silent</v>
      </c>
      <c r="BJ103" s="1" t="s">
        <v>329</v>
      </c>
      <c r="BK103" s="1">
        <v>5</v>
      </c>
      <c r="BL103" s="1" t="s">
        <v>338</v>
      </c>
      <c r="BM103" s="1" t="s">
        <v>642</v>
      </c>
      <c r="BQ103" s="1" t="s">
        <v>207</v>
      </c>
      <c r="BR103" s="1" t="s">
        <v>208</v>
      </c>
      <c r="BX103" s="1">
        <v>1</v>
      </c>
    </row>
    <row r="104" spans="1:76" x14ac:dyDescent="0.25">
      <c r="A104" s="1" t="s">
        <v>59</v>
      </c>
      <c r="B104" s="1" t="s">
        <v>324</v>
      </c>
      <c r="D104" s="1" t="s">
        <v>643</v>
      </c>
      <c r="E104" s="1">
        <v>171</v>
      </c>
      <c r="F104" s="1" t="str">
        <f t="shared" ref="F104:F105" si="152">"char_"&amp;E104&amp;"_"&amp;D104</f>
        <v>char_171_bldsk</v>
      </c>
      <c r="G104" s="1">
        <v>1</v>
      </c>
      <c r="J104" s="1">
        <v>2</v>
      </c>
      <c r="K104" s="1">
        <v>80</v>
      </c>
      <c r="L104" s="1">
        <v>1520</v>
      </c>
      <c r="N104" s="1">
        <v>505</v>
      </c>
      <c r="O104" s="1">
        <v>102</v>
      </c>
      <c r="P104" s="1">
        <v>125</v>
      </c>
      <c r="R104" s="1">
        <v>0</v>
      </c>
      <c r="T104" s="1">
        <v>19</v>
      </c>
      <c r="U104" s="1">
        <v>-2</v>
      </c>
      <c r="V104" s="1">
        <v>0.5</v>
      </c>
      <c r="W104" s="1">
        <v>70</v>
      </c>
      <c r="X104" s="1">
        <v>-10</v>
      </c>
      <c r="Z104" s="1">
        <v>0.05</v>
      </c>
      <c r="AA104" s="1">
        <v>2.85</v>
      </c>
      <c r="AD104" s="1">
        <v>1</v>
      </c>
      <c r="AJ104" s="1" t="s">
        <v>59</v>
      </c>
      <c r="AK104" s="1" t="s">
        <v>206</v>
      </c>
      <c r="AL104" s="1" t="s">
        <v>644</v>
      </c>
      <c r="AM104" s="1" t="s">
        <v>645</v>
      </c>
      <c r="AN104" s="22" t="s">
        <v>9773</v>
      </c>
      <c r="AO104" s="22" t="s">
        <v>9769</v>
      </c>
      <c r="AQ104" s="1" t="s">
        <v>9694</v>
      </c>
      <c r="AR104" s="1">
        <v>1</v>
      </c>
      <c r="AS104" s="1">
        <v>0.5</v>
      </c>
      <c r="AZ104" s="1">
        <v>0.25</v>
      </c>
      <c r="BE104" s="1" t="s">
        <v>327</v>
      </c>
      <c r="BF104" s="1" t="s">
        <v>328</v>
      </c>
      <c r="BG104" s="1" t="str">
        <f t="shared" ref="BG104:BG106" si="153">"icon_"&amp;D104</f>
        <v>icon_bldsk</v>
      </c>
      <c r="BH104" s="1" t="str">
        <f t="shared" si="150"/>
        <v>half_bldsk</v>
      </c>
      <c r="BI104" s="1" t="str">
        <f t="shared" si="151"/>
        <v>bldsk</v>
      </c>
      <c r="BJ104" s="1" t="s">
        <v>329</v>
      </c>
      <c r="BK104" s="1">
        <v>5</v>
      </c>
      <c r="BL104" s="1" t="s">
        <v>330</v>
      </c>
      <c r="BM104" s="1" t="s">
        <v>606</v>
      </c>
      <c r="BN104" s="1" t="s">
        <v>407</v>
      </c>
      <c r="BO104" s="1" t="s">
        <v>646</v>
      </c>
      <c r="BQ104" s="1" t="s">
        <v>207</v>
      </c>
      <c r="BR104" s="1" t="s">
        <v>208</v>
      </c>
      <c r="BT104" s="1" t="s">
        <v>210</v>
      </c>
      <c r="BU104" s="1" t="s">
        <v>210</v>
      </c>
      <c r="BX104" s="1">
        <v>1</v>
      </c>
    </row>
    <row r="105" spans="1:76" x14ac:dyDescent="0.25">
      <c r="A105" s="1" t="s">
        <v>60</v>
      </c>
      <c r="B105" s="1" t="s">
        <v>324</v>
      </c>
      <c r="D105" s="1" t="s">
        <v>647</v>
      </c>
      <c r="E105" s="1">
        <v>144</v>
      </c>
      <c r="F105" s="1" t="str">
        <f t="shared" si="152"/>
        <v>char_144_red</v>
      </c>
      <c r="G105" s="1">
        <v>1</v>
      </c>
      <c r="J105" s="1">
        <v>2</v>
      </c>
      <c r="K105" s="1">
        <v>80</v>
      </c>
      <c r="L105" s="1">
        <v>1505</v>
      </c>
      <c r="N105" s="1">
        <v>530</v>
      </c>
      <c r="O105" s="1">
        <v>95</v>
      </c>
      <c r="P105" s="1">
        <v>302</v>
      </c>
      <c r="R105" s="1">
        <v>0</v>
      </c>
      <c r="T105" s="1">
        <v>9</v>
      </c>
      <c r="U105" s="1">
        <v>-2</v>
      </c>
      <c r="V105" s="1">
        <v>0.5</v>
      </c>
      <c r="W105" s="1">
        <v>18</v>
      </c>
      <c r="X105" s="1">
        <v>-2</v>
      </c>
      <c r="Z105" s="1">
        <v>0.33</v>
      </c>
      <c r="AA105" s="1">
        <v>0.93</v>
      </c>
      <c r="AD105" s="1">
        <v>1</v>
      </c>
      <c r="AJ105" s="1" t="s">
        <v>60</v>
      </c>
      <c r="AK105" s="1" t="s">
        <v>206</v>
      </c>
      <c r="AL105" s="1" t="s">
        <v>648</v>
      </c>
      <c r="AM105" s="1" t="s">
        <v>649</v>
      </c>
      <c r="AN105" s="22" t="s">
        <v>9773</v>
      </c>
      <c r="AO105" s="22" t="s">
        <v>9769</v>
      </c>
      <c r="AQ105" s="1" t="s">
        <v>9695</v>
      </c>
      <c r="AR105" s="1">
        <v>1</v>
      </c>
      <c r="AS105" s="1">
        <v>0.5</v>
      </c>
      <c r="AZ105" s="1">
        <v>0.25</v>
      </c>
      <c r="BE105" s="1" t="s">
        <v>501</v>
      </c>
      <c r="BF105" s="1" t="s">
        <v>502</v>
      </c>
      <c r="BG105" s="1" t="str">
        <f t="shared" si="153"/>
        <v>icon_red</v>
      </c>
      <c r="BH105" s="1" t="str">
        <f t="shared" si="150"/>
        <v>half_red</v>
      </c>
      <c r="BI105" s="1" t="str">
        <f t="shared" si="151"/>
        <v>red</v>
      </c>
      <c r="BJ105" s="1" t="s">
        <v>329</v>
      </c>
      <c r="BK105" s="1">
        <v>5</v>
      </c>
      <c r="BL105" s="1" t="s">
        <v>338</v>
      </c>
      <c r="BM105" s="1" t="s">
        <v>650</v>
      </c>
      <c r="BN105" s="1" t="s">
        <v>504</v>
      </c>
      <c r="BO105" s="1" t="s">
        <v>651</v>
      </c>
      <c r="BQ105" s="1" t="s">
        <v>207</v>
      </c>
      <c r="BR105" s="1" t="s">
        <v>208</v>
      </c>
      <c r="BT105" s="1" t="s">
        <v>210</v>
      </c>
      <c r="BU105" s="1" t="s">
        <v>210</v>
      </c>
      <c r="BX105" s="1">
        <v>1</v>
      </c>
    </row>
    <row r="106" spans="1:76" x14ac:dyDescent="0.25">
      <c r="A106" s="1" t="s">
        <v>61</v>
      </c>
      <c r="B106" s="1" t="s">
        <v>324</v>
      </c>
      <c r="D106" s="1" t="s">
        <v>652</v>
      </c>
      <c r="E106" s="1">
        <v>107</v>
      </c>
      <c r="F106" s="1" t="s">
        <v>653</v>
      </c>
      <c r="G106" s="1">
        <v>1</v>
      </c>
      <c r="J106" s="1">
        <v>2</v>
      </c>
      <c r="K106" s="1">
        <v>80</v>
      </c>
      <c r="L106" s="1">
        <v>3240</v>
      </c>
      <c r="N106" s="1">
        <v>425</v>
      </c>
      <c r="O106" s="1">
        <v>45</v>
      </c>
      <c r="P106" s="1">
        <v>710</v>
      </c>
      <c r="Q106" s="1">
        <v>72</v>
      </c>
      <c r="R106" s="1">
        <v>13</v>
      </c>
      <c r="T106" s="1">
        <v>22</v>
      </c>
      <c r="U106" s="1">
        <v>-2</v>
      </c>
      <c r="V106" s="1">
        <v>0.5</v>
      </c>
      <c r="W106" s="1">
        <v>70</v>
      </c>
      <c r="X106" s="1">
        <v>-4</v>
      </c>
      <c r="Z106" s="1">
        <v>0.05</v>
      </c>
      <c r="AA106" s="1">
        <v>1.2</v>
      </c>
      <c r="AD106" s="1">
        <v>1</v>
      </c>
      <c r="AJ106" s="1" t="s">
        <v>61</v>
      </c>
      <c r="AK106" s="1" t="s">
        <v>206</v>
      </c>
      <c r="AL106" s="1" t="s">
        <v>654</v>
      </c>
      <c r="AM106" s="1" t="s">
        <v>655</v>
      </c>
      <c r="AN106" s="22" t="s">
        <v>9773</v>
      </c>
      <c r="AO106" s="22" t="s">
        <v>9769</v>
      </c>
      <c r="AQ106" s="1" t="s">
        <v>9695</v>
      </c>
      <c r="AR106" s="1">
        <v>3</v>
      </c>
      <c r="AS106" s="1">
        <v>0.5</v>
      </c>
      <c r="AZ106" s="1">
        <v>0.25</v>
      </c>
      <c r="BE106" s="1" t="s">
        <v>344</v>
      </c>
      <c r="BF106" s="1" t="s">
        <v>345</v>
      </c>
      <c r="BG106" s="1" t="str">
        <f t="shared" si="153"/>
        <v>icon_liskam</v>
      </c>
      <c r="BH106" s="1" t="str">
        <f t="shared" si="150"/>
        <v>half_liskam</v>
      </c>
      <c r="BI106" s="1" t="str">
        <f t="shared" si="151"/>
        <v>liskam</v>
      </c>
      <c r="BJ106" s="1" t="s">
        <v>329</v>
      </c>
      <c r="BK106" s="1">
        <v>5</v>
      </c>
      <c r="BL106" s="1" t="s">
        <v>338</v>
      </c>
      <c r="BM106" s="1" t="s">
        <v>577</v>
      </c>
      <c r="BN106" s="1" t="s">
        <v>347</v>
      </c>
      <c r="BO106" s="1" t="s">
        <v>656</v>
      </c>
      <c r="BQ106" s="1" t="s">
        <v>207</v>
      </c>
      <c r="BR106" s="1" t="s">
        <v>208</v>
      </c>
      <c r="BT106" s="1" t="s">
        <v>210</v>
      </c>
      <c r="BU106" s="1" t="s">
        <v>210</v>
      </c>
      <c r="BX106" s="1">
        <v>1</v>
      </c>
    </row>
    <row r="107" spans="1:76" x14ac:dyDescent="0.25">
      <c r="A107" s="1" t="s">
        <v>62</v>
      </c>
      <c r="B107" s="1" t="s">
        <v>324</v>
      </c>
      <c r="D107" s="1" t="s">
        <v>657</v>
      </c>
      <c r="E107" s="1">
        <v>201</v>
      </c>
      <c r="F107" s="1" t="str">
        <f t="shared" ref="F107" si="154">"char_"&amp;E107&amp;"_"&amp;D107</f>
        <v>char_201_moeshd</v>
      </c>
      <c r="G107" s="1">
        <v>1</v>
      </c>
      <c r="J107" s="1">
        <v>2</v>
      </c>
      <c r="K107" s="1">
        <v>80</v>
      </c>
      <c r="L107" s="1">
        <v>3520</v>
      </c>
      <c r="N107" s="1">
        <v>380</v>
      </c>
      <c r="P107" s="1">
        <v>710</v>
      </c>
      <c r="Q107" s="1">
        <v>86</v>
      </c>
      <c r="R107" s="1">
        <v>0</v>
      </c>
      <c r="T107" s="1">
        <v>22</v>
      </c>
      <c r="U107" s="1">
        <v>-2</v>
      </c>
      <c r="V107" s="1">
        <v>0.5</v>
      </c>
      <c r="W107" s="1">
        <v>70</v>
      </c>
      <c r="X107" s="1">
        <v>-4</v>
      </c>
      <c r="Z107" s="1">
        <v>0.05</v>
      </c>
      <c r="AA107" s="1">
        <v>1.2</v>
      </c>
      <c r="AD107" s="1">
        <v>1</v>
      </c>
      <c r="AJ107" s="1" t="s">
        <v>62</v>
      </c>
      <c r="AK107" s="1" t="s">
        <v>206</v>
      </c>
      <c r="AL107" s="1" t="s">
        <v>658</v>
      </c>
      <c r="AM107" s="1" t="s">
        <v>659</v>
      </c>
      <c r="AN107" s="22" t="s">
        <v>9773</v>
      </c>
      <c r="AO107" s="22" t="s">
        <v>9769</v>
      </c>
      <c r="AQ107" s="1" t="s">
        <v>9695</v>
      </c>
      <c r="AR107" s="1">
        <v>3</v>
      </c>
      <c r="AS107" s="1">
        <v>0.5</v>
      </c>
      <c r="AZ107" s="1">
        <v>0.25</v>
      </c>
      <c r="BE107" s="1" t="s">
        <v>344</v>
      </c>
      <c r="BF107" s="1" t="s">
        <v>345</v>
      </c>
      <c r="BG107" s="1" t="str">
        <f t="shared" ref="BG107" si="155">"icon_"&amp;D107</f>
        <v>icon_moeshd</v>
      </c>
      <c r="BH107" s="1" t="str">
        <f t="shared" ref="BH107" si="156">"half_"&amp;D107</f>
        <v>half_moeshd</v>
      </c>
      <c r="BI107" s="1" t="str">
        <f t="shared" ref="BI107" si="157">D107</f>
        <v>moeshd</v>
      </c>
      <c r="BJ107" s="1" t="s">
        <v>329</v>
      </c>
      <c r="BK107" s="1">
        <v>5</v>
      </c>
      <c r="BL107" s="1" t="s">
        <v>338</v>
      </c>
      <c r="BM107" s="1" t="s">
        <v>660</v>
      </c>
      <c r="BN107" s="1" t="s">
        <v>347</v>
      </c>
      <c r="BO107" s="1" t="s">
        <v>661</v>
      </c>
      <c r="BQ107" s="1" t="s">
        <v>207</v>
      </c>
      <c r="BR107" s="1" t="s">
        <v>208</v>
      </c>
      <c r="BT107" s="1" t="s">
        <v>210</v>
      </c>
      <c r="BU107" s="1" t="s">
        <v>210</v>
      </c>
      <c r="BV107" s="1" t="s">
        <v>624</v>
      </c>
      <c r="BX107" s="1">
        <v>1</v>
      </c>
    </row>
    <row r="108" spans="1:76" x14ac:dyDescent="0.25">
      <c r="A108" s="1" t="s">
        <v>63</v>
      </c>
      <c r="B108" s="1" t="s">
        <v>324</v>
      </c>
      <c r="D108" s="1" t="s">
        <v>662</v>
      </c>
      <c r="E108" s="1">
        <v>163</v>
      </c>
      <c r="F108" s="1" t="str">
        <f t="shared" ref="F108:F109" si="158">"char_"&amp;E108&amp;"_"&amp;D108</f>
        <v>char_163_hpsts</v>
      </c>
      <c r="G108" s="1">
        <v>1</v>
      </c>
      <c r="J108" s="1">
        <v>2</v>
      </c>
      <c r="K108" s="1">
        <v>80</v>
      </c>
      <c r="L108" s="1">
        <v>3688</v>
      </c>
      <c r="M108" s="1">
        <v>650</v>
      </c>
      <c r="N108" s="1">
        <v>820</v>
      </c>
      <c r="O108" s="1">
        <v>50</v>
      </c>
      <c r="P108" s="1">
        <v>585</v>
      </c>
      <c r="Q108" s="1">
        <v>10</v>
      </c>
      <c r="R108" s="1">
        <v>0</v>
      </c>
      <c r="T108" s="1">
        <v>35</v>
      </c>
      <c r="U108" s="1">
        <v>-2</v>
      </c>
      <c r="V108" s="1">
        <v>0.5</v>
      </c>
      <c r="W108" s="1">
        <v>70</v>
      </c>
      <c r="X108" s="1">
        <v>-4</v>
      </c>
      <c r="Z108" s="1">
        <v>0.05</v>
      </c>
      <c r="AA108" s="1">
        <v>1.6</v>
      </c>
      <c r="AD108" s="1">
        <v>1</v>
      </c>
      <c r="AJ108" s="1" t="s">
        <v>63</v>
      </c>
      <c r="AK108" s="1" t="s">
        <v>206</v>
      </c>
      <c r="AL108" s="1" t="s">
        <v>663</v>
      </c>
      <c r="AM108" s="1" t="s">
        <v>664</v>
      </c>
      <c r="AN108" s="22" t="s">
        <v>9773</v>
      </c>
      <c r="AO108" s="22" t="s">
        <v>9769</v>
      </c>
      <c r="AQ108" s="1" t="s">
        <v>9695</v>
      </c>
      <c r="AR108" s="1">
        <v>3</v>
      </c>
      <c r="AS108" s="1">
        <v>0.5</v>
      </c>
      <c r="AZ108" s="1">
        <v>0.25</v>
      </c>
      <c r="BE108" s="1" t="s">
        <v>344</v>
      </c>
      <c r="BF108" s="1" t="s">
        <v>665</v>
      </c>
      <c r="BG108" s="1" t="str">
        <f t="shared" ref="BG108:BG109" si="159">"icon_"&amp;D108</f>
        <v>icon_hpsts</v>
      </c>
      <c r="BH108" s="1" t="str">
        <f t="shared" ref="BH108:BH109" si="160">"half_"&amp;D108</f>
        <v>half_hpsts</v>
      </c>
      <c r="BI108" s="1" t="str">
        <f t="shared" ref="BI108:BI109" si="161">D108</f>
        <v>hpsts</v>
      </c>
      <c r="BJ108" s="1" t="s">
        <v>329</v>
      </c>
      <c r="BK108" s="1">
        <v>5</v>
      </c>
      <c r="BL108" s="1" t="s">
        <v>338</v>
      </c>
      <c r="BM108" s="1" t="s">
        <v>666</v>
      </c>
      <c r="BN108" s="1" t="s">
        <v>667</v>
      </c>
      <c r="BO108" s="1" t="s">
        <v>668</v>
      </c>
      <c r="BQ108" s="1" t="s">
        <v>207</v>
      </c>
      <c r="BR108" s="1" t="s">
        <v>208</v>
      </c>
      <c r="BT108" s="1" t="s">
        <v>210</v>
      </c>
      <c r="BU108" s="1" t="s">
        <v>210</v>
      </c>
      <c r="BX108" s="1">
        <v>1</v>
      </c>
    </row>
    <row r="109" spans="1:76" x14ac:dyDescent="0.25">
      <c r="A109" s="1" t="s">
        <v>64</v>
      </c>
      <c r="B109" s="1" t="s">
        <v>324</v>
      </c>
      <c r="D109" s="1" t="s">
        <v>669</v>
      </c>
      <c r="E109" s="1">
        <v>145</v>
      </c>
      <c r="F109" s="1" t="str">
        <f t="shared" si="158"/>
        <v>char_145_prove</v>
      </c>
      <c r="G109" s="1">
        <v>1</v>
      </c>
      <c r="J109" s="1">
        <v>2</v>
      </c>
      <c r="K109" s="1">
        <v>80</v>
      </c>
      <c r="L109" s="1">
        <v>1680</v>
      </c>
      <c r="N109" s="1">
        <v>781</v>
      </c>
      <c r="O109" s="1">
        <v>120</v>
      </c>
      <c r="P109" s="1">
        <v>215</v>
      </c>
      <c r="R109" s="1">
        <v>0</v>
      </c>
      <c r="T109" s="1">
        <v>19</v>
      </c>
      <c r="U109" s="1">
        <v>-2</v>
      </c>
      <c r="V109" s="1">
        <v>0.5</v>
      </c>
      <c r="W109" s="1">
        <v>70</v>
      </c>
      <c r="X109" s="1">
        <v>-4</v>
      </c>
      <c r="Z109" s="1">
        <v>0.05</v>
      </c>
      <c r="AA109" s="1">
        <v>1.6</v>
      </c>
      <c r="AD109" s="1">
        <v>1</v>
      </c>
      <c r="AJ109" s="1" t="s">
        <v>64</v>
      </c>
      <c r="AK109" s="1" t="s">
        <v>206</v>
      </c>
      <c r="AL109" s="1" t="s">
        <v>670</v>
      </c>
      <c r="AM109" s="1" t="s">
        <v>671</v>
      </c>
      <c r="AN109" s="22" t="s">
        <v>9773</v>
      </c>
      <c r="AO109" s="22" t="s">
        <v>9769</v>
      </c>
      <c r="AQ109" s="1" t="s">
        <v>9694</v>
      </c>
      <c r="AR109" s="1">
        <v>1</v>
      </c>
      <c r="AS109" s="1">
        <v>0.5</v>
      </c>
      <c r="AZ109" s="1">
        <v>0.25</v>
      </c>
      <c r="BE109" s="1" t="s">
        <v>351</v>
      </c>
      <c r="BF109" s="1" t="s">
        <v>672</v>
      </c>
      <c r="BG109" s="1" t="str">
        <f t="shared" si="159"/>
        <v>icon_prove</v>
      </c>
      <c r="BH109" s="1" t="str">
        <f t="shared" si="160"/>
        <v>half_prove</v>
      </c>
      <c r="BI109" s="1" t="str">
        <f t="shared" si="161"/>
        <v>prove</v>
      </c>
      <c r="BJ109" s="1" t="s">
        <v>329</v>
      </c>
      <c r="BK109" s="1">
        <v>5</v>
      </c>
      <c r="BL109" s="1" t="s">
        <v>330</v>
      </c>
      <c r="BM109" s="1" t="s">
        <v>673</v>
      </c>
      <c r="BN109" s="1" t="s">
        <v>674</v>
      </c>
      <c r="BO109" s="1" t="s">
        <v>675</v>
      </c>
      <c r="BQ109" s="1" t="s">
        <v>207</v>
      </c>
      <c r="BR109" s="1" t="s">
        <v>208</v>
      </c>
      <c r="BT109" s="1" t="s">
        <v>210</v>
      </c>
      <c r="BU109" s="1" t="s">
        <v>210</v>
      </c>
      <c r="BX109" s="1">
        <v>1</v>
      </c>
    </row>
    <row r="110" spans="1:76" x14ac:dyDescent="0.25">
      <c r="A110" s="1" t="s">
        <v>65</v>
      </c>
      <c r="B110" s="1" t="s">
        <v>324</v>
      </c>
      <c r="D110" s="1" t="s">
        <v>676</v>
      </c>
      <c r="E110" s="1">
        <v>158</v>
      </c>
      <c r="F110" s="1" t="str">
        <f t="shared" ref="F110:F111" si="162">"char_"&amp;E110&amp;"_"&amp;D110</f>
        <v>char_158_milu</v>
      </c>
      <c r="G110" s="1">
        <v>1</v>
      </c>
      <c r="J110" s="1">
        <v>2</v>
      </c>
      <c r="K110" s="1">
        <v>80</v>
      </c>
      <c r="L110" s="1">
        <v>1450</v>
      </c>
      <c r="N110" s="1">
        <v>1085</v>
      </c>
      <c r="O110" s="1">
        <v>125</v>
      </c>
      <c r="P110" s="1">
        <v>131</v>
      </c>
      <c r="R110" s="1">
        <v>0</v>
      </c>
      <c r="T110" s="1">
        <v>21</v>
      </c>
      <c r="U110" s="1">
        <v>-2</v>
      </c>
      <c r="V110" s="1">
        <v>0.5</v>
      </c>
      <c r="W110" s="1">
        <v>70</v>
      </c>
      <c r="X110" s="1">
        <v>-4</v>
      </c>
      <c r="Z110" s="1">
        <v>0.05</v>
      </c>
      <c r="AA110" s="1">
        <v>2.7</v>
      </c>
      <c r="AD110" s="1">
        <v>1</v>
      </c>
      <c r="AJ110" s="1" t="s">
        <v>65</v>
      </c>
      <c r="AK110" s="1" t="s">
        <v>206</v>
      </c>
      <c r="AL110" s="1" t="s">
        <v>677</v>
      </c>
      <c r="AM110" s="1" t="s">
        <v>678</v>
      </c>
      <c r="AN110" s="22" t="s">
        <v>9773</v>
      </c>
      <c r="AO110" s="22" t="s">
        <v>9769</v>
      </c>
      <c r="AQ110" s="1" t="s">
        <v>9694</v>
      </c>
      <c r="AR110" s="1">
        <v>1</v>
      </c>
      <c r="AS110" s="1">
        <v>0.5</v>
      </c>
      <c r="AZ110" s="1">
        <v>0.25</v>
      </c>
      <c r="BE110" s="1" t="s">
        <v>351</v>
      </c>
      <c r="BF110" s="1" t="s">
        <v>318</v>
      </c>
      <c r="BG110" s="1" t="str">
        <f t="shared" ref="BG110:BG111" si="163">"icon_"&amp;D110</f>
        <v>icon_milu</v>
      </c>
      <c r="BH110" s="1" t="str">
        <f t="shared" ref="BH110:BH111" si="164">"half_"&amp;D110</f>
        <v>half_milu</v>
      </c>
      <c r="BI110" s="1" t="str">
        <f t="shared" ref="BI110:BI111" si="165">D110</f>
        <v>milu</v>
      </c>
      <c r="BJ110" s="1" t="s">
        <v>329</v>
      </c>
      <c r="BK110" s="1">
        <v>5</v>
      </c>
      <c r="BL110" s="1" t="s">
        <v>330</v>
      </c>
      <c r="BM110" s="1" t="s">
        <v>331</v>
      </c>
      <c r="BN110" s="1" t="s">
        <v>679</v>
      </c>
      <c r="BO110" s="1" t="s">
        <v>680</v>
      </c>
      <c r="BQ110" s="1" t="s">
        <v>207</v>
      </c>
      <c r="BR110" s="1" t="s">
        <v>208</v>
      </c>
      <c r="BT110" s="1" t="s">
        <v>210</v>
      </c>
      <c r="BU110" s="1" t="s">
        <v>210</v>
      </c>
      <c r="BV110" s="1" t="s">
        <v>624</v>
      </c>
      <c r="BX110" s="1">
        <v>1</v>
      </c>
    </row>
    <row r="111" spans="1:76" x14ac:dyDescent="0.25">
      <c r="A111" s="1" t="s">
        <v>66</v>
      </c>
      <c r="B111" s="1" t="s">
        <v>324</v>
      </c>
      <c r="D111" s="1" t="s">
        <v>681</v>
      </c>
      <c r="E111" s="1">
        <v>173</v>
      </c>
      <c r="F111" s="1" t="str">
        <f t="shared" si="162"/>
        <v>char_173_slchan</v>
      </c>
      <c r="G111" s="1">
        <v>1</v>
      </c>
      <c r="J111" s="1">
        <v>2</v>
      </c>
      <c r="K111" s="1">
        <v>80</v>
      </c>
      <c r="L111" s="1">
        <v>1970</v>
      </c>
      <c r="N111" s="1">
        <v>765</v>
      </c>
      <c r="O111" s="1">
        <v>70</v>
      </c>
      <c r="P111" s="1">
        <v>340</v>
      </c>
      <c r="R111" s="1">
        <v>0</v>
      </c>
      <c r="T111" s="1">
        <v>13</v>
      </c>
      <c r="U111" s="1">
        <v>-2</v>
      </c>
      <c r="V111" s="1">
        <v>0.5</v>
      </c>
      <c r="W111" s="1">
        <v>70</v>
      </c>
      <c r="X111" s="1">
        <v>-4</v>
      </c>
      <c r="Z111" s="1">
        <v>0.05</v>
      </c>
      <c r="AA111" s="1">
        <v>1.8</v>
      </c>
      <c r="AD111" s="1">
        <v>1</v>
      </c>
      <c r="AJ111" s="1" t="s">
        <v>66</v>
      </c>
      <c r="AK111" s="1" t="s">
        <v>206</v>
      </c>
      <c r="AL111" s="1" t="s">
        <v>682</v>
      </c>
      <c r="AM111" s="1" t="s">
        <v>683</v>
      </c>
      <c r="AN111" s="22" t="s">
        <v>9773</v>
      </c>
      <c r="AO111" s="22" t="s">
        <v>9769</v>
      </c>
      <c r="AQ111" s="1" t="s">
        <v>9696</v>
      </c>
      <c r="AR111" s="1">
        <v>2</v>
      </c>
      <c r="AS111" s="1">
        <v>0.5</v>
      </c>
      <c r="AZ111" s="1">
        <v>0.25</v>
      </c>
      <c r="BE111" s="1" t="s">
        <v>501</v>
      </c>
      <c r="BF111" s="1" t="s">
        <v>509</v>
      </c>
      <c r="BG111" s="1" t="str">
        <f t="shared" si="163"/>
        <v>icon_slchan</v>
      </c>
      <c r="BH111" s="1" t="str">
        <f t="shared" si="164"/>
        <v>half_slchan</v>
      </c>
      <c r="BI111" s="1" t="str">
        <f t="shared" si="165"/>
        <v>slchan</v>
      </c>
      <c r="BJ111" s="1" t="s">
        <v>329</v>
      </c>
      <c r="BK111" s="1">
        <v>5</v>
      </c>
      <c r="BL111" s="1" t="s">
        <v>338</v>
      </c>
      <c r="BM111" s="1" t="s">
        <v>539</v>
      </c>
      <c r="BN111" s="1" t="s">
        <v>511</v>
      </c>
      <c r="BO111" s="1" t="s">
        <v>684</v>
      </c>
      <c r="BQ111" s="1" t="s">
        <v>207</v>
      </c>
      <c r="BR111" s="1" t="s">
        <v>208</v>
      </c>
      <c r="BT111" s="1" t="s">
        <v>210</v>
      </c>
      <c r="BU111" s="1" t="s">
        <v>210</v>
      </c>
      <c r="BX111" s="1">
        <v>1</v>
      </c>
    </row>
    <row r="112" spans="1:76" x14ac:dyDescent="0.25">
      <c r="A112" s="1" t="s">
        <v>67</v>
      </c>
      <c r="B112" s="1" t="s">
        <v>324</v>
      </c>
      <c r="D112" s="1" t="s">
        <v>685</v>
      </c>
      <c r="E112" s="1">
        <v>174</v>
      </c>
      <c r="F112" s="1" t="str">
        <f t="shared" ref="F112" si="166">"char_"&amp;E112&amp;"_"&amp;D112</f>
        <v>char_174_slbell</v>
      </c>
      <c r="G112" s="1">
        <v>1</v>
      </c>
      <c r="J112" s="1">
        <v>2</v>
      </c>
      <c r="K112" s="1">
        <v>80</v>
      </c>
      <c r="L112" s="1">
        <v>1605</v>
      </c>
      <c r="N112" s="1">
        <v>430</v>
      </c>
      <c r="O112" s="1">
        <v>65</v>
      </c>
      <c r="P112" s="1">
        <v>102</v>
      </c>
      <c r="R112" s="1">
        <v>33</v>
      </c>
      <c r="T112" s="1">
        <v>12</v>
      </c>
      <c r="U112" s="1">
        <v>-2</v>
      </c>
      <c r="V112" s="1">
        <v>0.5</v>
      </c>
      <c r="W112" s="1">
        <v>70</v>
      </c>
      <c r="X112" s="1">
        <v>-4</v>
      </c>
      <c r="Z112" s="1">
        <v>0.05</v>
      </c>
      <c r="AA112" s="1">
        <v>1.6</v>
      </c>
      <c r="AD112" s="1">
        <v>1</v>
      </c>
      <c r="AJ112" s="1" t="s">
        <v>67</v>
      </c>
      <c r="AK112" s="1" t="s">
        <v>206</v>
      </c>
      <c r="AL112" s="1" t="s">
        <v>686</v>
      </c>
      <c r="AM112" s="1" t="s">
        <v>687</v>
      </c>
      <c r="AN112" s="22" t="s">
        <v>9773</v>
      </c>
      <c r="AO112" s="22" t="s">
        <v>9769</v>
      </c>
      <c r="AQ112" s="1" t="s">
        <v>9694</v>
      </c>
      <c r="AR112" s="1">
        <v>1</v>
      </c>
      <c r="AS112" s="1">
        <v>0.5</v>
      </c>
      <c r="AZ112" s="1">
        <v>0.25</v>
      </c>
      <c r="BE112" s="1" t="s">
        <v>393</v>
      </c>
      <c r="BF112" s="1" t="s">
        <v>688</v>
      </c>
      <c r="BG112" s="1" t="str">
        <f t="shared" ref="BG112" si="167">"icon_"&amp;D112</f>
        <v>icon_slbell</v>
      </c>
      <c r="BH112" s="1" t="str">
        <f t="shared" ref="BH112" si="168">"half_"&amp;D112</f>
        <v>half_slbell</v>
      </c>
      <c r="BI112" s="1" t="str">
        <f t="shared" ref="BI112" si="169">D112</f>
        <v>slbell</v>
      </c>
      <c r="BJ112" s="1" t="s">
        <v>329</v>
      </c>
      <c r="BK112" s="1">
        <v>5</v>
      </c>
      <c r="BL112" s="1" t="s">
        <v>330</v>
      </c>
      <c r="BM112" s="1" t="s">
        <v>689</v>
      </c>
      <c r="BN112" s="1" t="s">
        <v>360</v>
      </c>
      <c r="BO112" s="1" t="s">
        <v>690</v>
      </c>
      <c r="BQ112" s="1" t="s">
        <v>207</v>
      </c>
      <c r="BR112" s="1" t="s">
        <v>208</v>
      </c>
      <c r="BT112" s="1" t="s">
        <v>210</v>
      </c>
      <c r="BU112" s="1" t="s">
        <v>210</v>
      </c>
      <c r="BX112" s="1">
        <v>1</v>
      </c>
    </row>
    <row r="113" spans="1:76" x14ac:dyDescent="0.25">
      <c r="A113" s="1" t="s">
        <v>68</v>
      </c>
      <c r="B113" s="1" t="s">
        <v>324</v>
      </c>
      <c r="D113" s="1" t="s">
        <v>691</v>
      </c>
      <c r="E113" s="1">
        <v>195</v>
      </c>
      <c r="F113" s="1" t="str">
        <f t="shared" ref="F113" si="170">"char_"&amp;E113&amp;"_"&amp;D113</f>
        <v>char_195_glassb</v>
      </c>
      <c r="G113" s="1">
        <v>1</v>
      </c>
      <c r="J113" s="1">
        <v>2</v>
      </c>
      <c r="K113" s="1">
        <v>80</v>
      </c>
      <c r="L113" s="1">
        <v>1280</v>
      </c>
      <c r="N113" s="1">
        <v>518</v>
      </c>
      <c r="O113" s="1">
        <v>88</v>
      </c>
      <c r="P113" s="1">
        <v>104</v>
      </c>
      <c r="R113" s="1">
        <v>20</v>
      </c>
      <c r="T113" s="1">
        <v>15</v>
      </c>
      <c r="U113" s="1">
        <v>-2</v>
      </c>
      <c r="V113" s="1">
        <v>0.5</v>
      </c>
      <c r="W113" s="1">
        <v>70</v>
      </c>
      <c r="X113" s="1">
        <v>-4</v>
      </c>
      <c r="Z113" s="1">
        <v>0.05</v>
      </c>
      <c r="AA113" s="1">
        <v>1.9</v>
      </c>
      <c r="AD113" s="1">
        <v>1</v>
      </c>
      <c r="AJ113" s="1" t="s">
        <v>68</v>
      </c>
      <c r="AK113" s="1" t="s">
        <v>206</v>
      </c>
      <c r="AL113" s="1" t="s">
        <v>692</v>
      </c>
      <c r="AM113" s="1" t="s">
        <v>693</v>
      </c>
      <c r="AN113" s="22" t="s">
        <v>9773</v>
      </c>
      <c r="AO113" s="22" t="s">
        <v>9769</v>
      </c>
      <c r="AQ113" s="1" t="s">
        <v>9694</v>
      </c>
      <c r="AR113" s="1">
        <v>1</v>
      </c>
      <c r="AS113" s="1">
        <v>0.5</v>
      </c>
      <c r="AZ113" s="1">
        <v>0.25</v>
      </c>
      <c r="BE113" s="1" t="s">
        <v>393</v>
      </c>
      <c r="BF113" s="1" t="s">
        <v>394</v>
      </c>
      <c r="BG113" s="1" t="str">
        <f t="shared" ref="BG113" si="171">"icon_"&amp;D113</f>
        <v>icon_glassb</v>
      </c>
      <c r="BH113" s="1" t="str">
        <f t="shared" ref="BH113" si="172">"half_"&amp;D113</f>
        <v>half_glassb</v>
      </c>
      <c r="BI113" s="1" t="str">
        <f t="shared" ref="BI113" si="173">D113</f>
        <v>glassb</v>
      </c>
      <c r="BJ113" s="1" t="s">
        <v>329</v>
      </c>
      <c r="BK113" s="1">
        <v>5</v>
      </c>
      <c r="BL113" s="1" t="s">
        <v>330</v>
      </c>
      <c r="BM113" s="1" t="s">
        <v>694</v>
      </c>
      <c r="BN113" s="1" t="s">
        <v>396</v>
      </c>
      <c r="BO113" s="1" t="s">
        <v>695</v>
      </c>
      <c r="BQ113" s="1" t="s">
        <v>207</v>
      </c>
      <c r="BR113" s="1" t="s">
        <v>208</v>
      </c>
      <c r="BT113" s="1" t="s">
        <v>210</v>
      </c>
      <c r="BU113" s="1" t="s">
        <v>210</v>
      </c>
      <c r="BV113" s="1" t="s">
        <v>513</v>
      </c>
      <c r="BX113" s="1">
        <v>2</v>
      </c>
    </row>
    <row r="114" spans="1:76" x14ac:dyDescent="0.25">
      <c r="A114" s="1" t="s">
        <v>69</v>
      </c>
      <c r="B114" s="1" t="s">
        <v>324</v>
      </c>
      <c r="D114" s="1" t="s">
        <v>696</v>
      </c>
      <c r="E114" s="1">
        <v>101</v>
      </c>
      <c r="F114" s="1" t="str">
        <f t="shared" ref="F114:F115" si="174">"char_"&amp;E114&amp;"_"&amp;D114</f>
        <v>char_101_sora</v>
      </c>
      <c r="G114" s="1">
        <v>1</v>
      </c>
      <c r="J114" s="1">
        <v>2</v>
      </c>
      <c r="K114" s="1">
        <v>80</v>
      </c>
      <c r="L114" s="1">
        <v>1356</v>
      </c>
      <c r="N114" s="1">
        <v>335</v>
      </c>
      <c r="O114" s="1">
        <v>50</v>
      </c>
      <c r="P114" s="1">
        <v>238</v>
      </c>
      <c r="R114" s="1">
        <v>0</v>
      </c>
      <c r="T114" s="1">
        <v>7</v>
      </c>
      <c r="U114" s="1">
        <v>-2</v>
      </c>
      <c r="V114" s="1">
        <v>0.5</v>
      </c>
      <c r="W114" s="1">
        <v>70</v>
      </c>
      <c r="X114" s="1">
        <v>-4</v>
      </c>
      <c r="Z114" s="1">
        <v>0.05</v>
      </c>
      <c r="AA114" s="1">
        <v>1</v>
      </c>
      <c r="AD114" s="1">
        <v>1</v>
      </c>
      <c r="AJ114" s="1" t="s">
        <v>69</v>
      </c>
      <c r="AK114" s="1" t="s">
        <v>206</v>
      </c>
      <c r="AL114" s="1" t="s">
        <v>697</v>
      </c>
      <c r="AM114" s="1" t="s">
        <v>698</v>
      </c>
      <c r="AN114" s="22" t="s">
        <v>9773</v>
      </c>
      <c r="AO114" s="22" t="s">
        <v>9769</v>
      </c>
      <c r="AQ114" s="1" t="s">
        <v>9694</v>
      </c>
      <c r="AR114" s="1">
        <v>1</v>
      </c>
      <c r="AS114" s="1">
        <v>0.5</v>
      </c>
      <c r="AZ114" s="1">
        <v>0.25</v>
      </c>
      <c r="BE114" s="1" t="s">
        <v>393</v>
      </c>
      <c r="BF114" s="1" t="s">
        <v>699</v>
      </c>
      <c r="BG114" s="1" t="str">
        <f t="shared" ref="BG114:BG115" si="175">"icon_"&amp;D114</f>
        <v>icon_sora</v>
      </c>
      <c r="BH114" s="1" t="str">
        <f t="shared" ref="BH114:BH115" si="176">"half_"&amp;D114</f>
        <v>half_sora</v>
      </c>
      <c r="BI114" s="1" t="str">
        <f t="shared" ref="BI114:BI115" si="177">D114</f>
        <v>sora</v>
      </c>
      <c r="BJ114" s="1" t="s">
        <v>329</v>
      </c>
      <c r="BK114" s="1">
        <v>5</v>
      </c>
      <c r="BL114" s="1" t="s">
        <v>338</v>
      </c>
      <c r="BM114" s="1" t="s">
        <v>700</v>
      </c>
      <c r="BN114" s="1" t="s">
        <v>701</v>
      </c>
      <c r="BO114" s="1" t="s">
        <v>702</v>
      </c>
      <c r="BQ114" s="1" t="s">
        <v>207</v>
      </c>
      <c r="BR114" s="1" t="s">
        <v>208</v>
      </c>
      <c r="BT114" s="1" t="s">
        <v>210</v>
      </c>
      <c r="BU114" s="1" t="s">
        <v>210</v>
      </c>
      <c r="BX114" s="1">
        <v>1</v>
      </c>
    </row>
    <row r="115" spans="1:76" x14ac:dyDescent="0.25">
      <c r="A115" s="1" t="s">
        <v>70</v>
      </c>
      <c r="B115" s="1" t="s">
        <v>324</v>
      </c>
      <c r="D115" s="1" t="s">
        <v>703</v>
      </c>
      <c r="E115" s="1">
        <v>215</v>
      </c>
      <c r="F115" s="1" t="str">
        <f t="shared" si="174"/>
        <v>char_215_mantic</v>
      </c>
      <c r="G115" s="1">
        <v>1</v>
      </c>
      <c r="J115" s="1">
        <v>2</v>
      </c>
      <c r="K115" s="1">
        <v>80</v>
      </c>
      <c r="L115" s="1">
        <v>1630</v>
      </c>
      <c r="N115" s="1">
        <v>811</v>
      </c>
      <c r="O115" s="1">
        <v>90</v>
      </c>
      <c r="P115" s="1">
        <v>343</v>
      </c>
      <c r="Q115" s="1">
        <v>30</v>
      </c>
      <c r="R115" s="1">
        <v>30</v>
      </c>
      <c r="T115" s="1">
        <v>20</v>
      </c>
      <c r="U115" s="1">
        <v>-2</v>
      </c>
      <c r="V115" s="1">
        <v>0.5</v>
      </c>
      <c r="W115" s="1">
        <v>70</v>
      </c>
      <c r="X115" s="1">
        <v>-4</v>
      </c>
      <c r="Z115" s="1">
        <v>0.05</v>
      </c>
      <c r="AA115" s="1">
        <v>3.5</v>
      </c>
      <c r="AD115" s="1">
        <v>1</v>
      </c>
      <c r="AH115" s="1">
        <v>-1</v>
      </c>
      <c r="AJ115" s="1" t="s">
        <v>70</v>
      </c>
      <c r="AK115" s="1" t="s">
        <v>206</v>
      </c>
      <c r="AL115" s="1" t="s">
        <v>704</v>
      </c>
      <c r="AM115" s="1" t="s">
        <v>705</v>
      </c>
      <c r="AN115" s="22" t="s">
        <v>9773</v>
      </c>
      <c r="AO115" s="22" t="s">
        <v>9769</v>
      </c>
      <c r="AQ115" s="1" t="s">
        <v>9695</v>
      </c>
      <c r="AR115" s="1">
        <v>0</v>
      </c>
      <c r="AS115" s="1">
        <v>0.5</v>
      </c>
      <c r="AZ115" s="1">
        <v>0.25</v>
      </c>
      <c r="BE115" s="1" t="s">
        <v>501</v>
      </c>
      <c r="BF115" s="1" t="s">
        <v>706</v>
      </c>
      <c r="BG115" s="1" t="str">
        <f t="shared" si="175"/>
        <v>icon_mantic</v>
      </c>
      <c r="BH115" s="1" t="str">
        <f t="shared" si="176"/>
        <v>half_mantic</v>
      </c>
      <c r="BI115" s="1" t="str">
        <f t="shared" si="177"/>
        <v>mantic</v>
      </c>
      <c r="BJ115" s="1" t="s">
        <v>329</v>
      </c>
      <c r="BK115" s="1">
        <v>5</v>
      </c>
      <c r="BL115" s="1" t="s">
        <v>338</v>
      </c>
      <c r="BM115" s="1" t="s">
        <v>490</v>
      </c>
      <c r="BN115" s="1" t="s">
        <v>707</v>
      </c>
      <c r="BO115" s="1" t="s">
        <v>708</v>
      </c>
      <c r="BQ115" s="1" t="s">
        <v>207</v>
      </c>
      <c r="BR115" s="1" t="s">
        <v>208</v>
      </c>
      <c r="BT115" s="1" t="s">
        <v>210</v>
      </c>
      <c r="BU115" s="1" t="s">
        <v>210</v>
      </c>
      <c r="BX115" s="1">
        <v>1</v>
      </c>
    </row>
    <row r="116" spans="1:76" x14ac:dyDescent="0.25">
      <c r="A116" s="1" t="s">
        <v>71</v>
      </c>
      <c r="B116" s="1" t="s">
        <v>324</v>
      </c>
      <c r="D116" s="1" t="s">
        <v>709</v>
      </c>
      <c r="E116" s="1">
        <v>241</v>
      </c>
      <c r="F116" s="1" t="str">
        <f t="shared" ref="F116" si="178">"char_"&amp;E116&amp;"_"&amp;D116</f>
        <v>char_241_panda</v>
      </c>
      <c r="G116" s="1">
        <v>1</v>
      </c>
      <c r="J116" s="1">
        <v>2</v>
      </c>
      <c r="K116" s="1">
        <v>80</v>
      </c>
      <c r="L116" s="1">
        <v>1845</v>
      </c>
      <c r="M116" s="1">
        <v>300</v>
      </c>
      <c r="N116" s="1">
        <v>640</v>
      </c>
      <c r="O116" s="1">
        <v>45</v>
      </c>
      <c r="P116" s="1">
        <v>382</v>
      </c>
      <c r="R116" s="1">
        <v>0</v>
      </c>
      <c r="T116" s="1">
        <v>20</v>
      </c>
      <c r="U116" s="1">
        <v>-2</v>
      </c>
      <c r="V116" s="1">
        <v>0.5</v>
      </c>
      <c r="W116" s="1">
        <v>70</v>
      </c>
      <c r="X116" s="1">
        <v>-4</v>
      </c>
      <c r="Z116" s="1">
        <v>0.05</v>
      </c>
      <c r="AA116" s="1">
        <v>1.2</v>
      </c>
      <c r="AD116" s="1">
        <v>1</v>
      </c>
      <c r="AJ116" s="1" t="s">
        <v>71</v>
      </c>
      <c r="AK116" s="1" t="s">
        <v>206</v>
      </c>
      <c r="AL116" s="1" t="s">
        <v>710</v>
      </c>
      <c r="AM116" s="1" t="s">
        <v>711</v>
      </c>
      <c r="AN116" s="22" t="s">
        <v>9773</v>
      </c>
      <c r="AO116" s="22" t="s">
        <v>9769</v>
      </c>
      <c r="AQ116" s="1" t="s">
        <v>9696</v>
      </c>
      <c r="AR116" s="1">
        <v>2</v>
      </c>
      <c r="AS116" s="1">
        <v>0.5</v>
      </c>
      <c r="AZ116" s="1">
        <v>0.25</v>
      </c>
      <c r="BE116" s="1" t="s">
        <v>501</v>
      </c>
      <c r="BF116" s="1" t="s">
        <v>517</v>
      </c>
      <c r="BG116" s="1" t="str">
        <f t="shared" ref="BG116" si="179">"icon_"&amp;D116</f>
        <v>icon_panda</v>
      </c>
      <c r="BH116" s="1" t="str">
        <f t="shared" ref="BH116" si="180">"half_"&amp;D116</f>
        <v>half_panda</v>
      </c>
      <c r="BI116" s="1" t="str">
        <f t="shared" ref="BI116" si="181">D116</f>
        <v>panda</v>
      </c>
      <c r="BJ116" s="1" t="s">
        <v>329</v>
      </c>
      <c r="BK116" s="1">
        <v>5</v>
      </c>
      <c r="BL116" s="1" t="s">
        <v>338</v>
      </c>
      <c r="BM116" s="1" t="s">
        <v>518</v>
      </c>
      <c r="BN116" s="1" t="s">
        <v>519</v>
      </c>
      <c r="BO116" s="1" t="s">
        <v>712</v>
      </c>
      <c r="BQ116" s="1" t="s">
        <v>207</v>
      </c>
      <c r="BR116" s="1" t="s">
        <v>208</v>
      </c>
      <c r="BT116" s="1" t="s">
        <v>210</v>
      </c>
      <c r="BU116" s="1" t="s">
        <v>210</v>
      </c>
      <c r="BV116" s="1" t="s">
        <v>513</v>
      </c>
      <c r="BX116" s="1">
        <v>1</v>
      </c>
    </row>
    <row r="117" spans="1:76" x14ac:dyDescent="0.25">
      <c r="AN117" s="22"/>
      <c r="AO117" s="22"/>
    </row>
    <row r="118" spans="1:76" x14ac:dyDescent="0.25">
      <c r="A118" s="1" t="s">
        <v>72</v>
      </c>
      <c r="Z118" s="1">
        <v>0.05</v>
      </c>
      <c r="AN118" s="22"/>
      <c r="AO118" s="22"/>
    </row>
    <row r="119" spans="1:76" x14ac:dyDescent="0.25">
      <c r="A119" s="1" t="s">
        <v>713</v>
      </c>
      <c r="B119" s="1" t="s">
        <v>324</v>
      </c>
      <c r="D119" s="1" t="s">
        <v>714</v>
      </c>
      <c r="E119" s="1" t="s">
        <v>715</v>
      </c>
      <c r="F119" s="1" t="str">
        <f>"char_"&amp;E119&amp;"_"&amp;D119</f>
        <v>char_172_svrash</v>
      </c>
      <c r="G119" s="1">
        <v>1</v>
      </c>
      <c r="J119" s="1">
        <v>1</v>
      </c>
      <c r="K119" s="1">
        <v>80</v>
      </c>
      <c r="L119" s="1">
        <v>2022</v>
      </c>
      <c r="N119" s="1">
        <v>653</v>
      </c>
      <c r="O119" s="1">
        <v>76</v>
      </c>
      <c r="P119" s="1">
        <v>379</v>
      </c>
      <c r="Q119" s="1">
        <v>50</v>
      </c>
      <c r="R119" s="1">
        <v>10</v>
      </c>
      <c r="T119" s="1">
        <v>20</v>
      </c>
      <c r="U119" s="1">
        <v>-2</v>
      </c>
      <c r="V119" s="1">
        <v>0.5</v>
      </c>
      <c r="W119" s="1">
        <v>70</v>
      </c>
      <c r="X119" s="1">
        <v>-4</v>
      </c>
      <c r="Z119" s="1">
        <v>0.05</v>
      </c>
      <c r="AA119" s="1">
        <v>1</v>
      </c>
      <c r="AD119" s="1">
        <v>1</v>
      </c>
      <c r="AJ119" s="1" t="s">
        <v>73</v>
      </c>
      <c r="AK119" s="1" t="s">
        <v>206</v>
      </c>
      <c r="AL119" s="1" t="s">
        <v>716</v>
      </c>
      <c r="AM119" s="1" t="s">
        <v>717</v>
      </c>
      <c r="AN119" s="22" t="s">
        <v>9773</v>
      </c>
      <c r="AO119" s="22" t="s">
        <v>9769</v>
      </c>
      <c r="AQ119" s="1" t="s">
        <v>9695</v>
      </c>
      <c r="AR119" s="1">
        <v>2</v>
      </c>
      <c r="AS119" s="1">
        <v>0.5</v>
      </c>
      <c r="AZ119" s="1">
        <v>0.25</v>
      </c>
      <c r="BE119" s="1" t="s">
        <v>336</v>
      </c>
      <c r="BF119" s="1" t="s">
        <v>379</v>
      </c>
      <c r="BG119" s="1" t="str">
        <f>"icon_"&amp;D119</f>
        <v>icon_svrash</v>
      </c>
      <c r="BH119" s="1" t="str">
        <f t="shared" ref="BH119:BH124" si="182">"half_"&amp;D119</f>
        <v>half_svrash</v>
      </c>
      <c r="BI119" s="1" t="str">
        <f t="shared" ref="BI119:BI124" si="183">D119</f>
        <v>svrash</v>
      </c>
      <c r="BJ119" s="1" t="s">
        <v>329</v>
      </c>
      <c r="BK119" s="1">
        <v>6</v>
      </c>
      <c r="BL119" s="1" t="s">
        <v>338</v>
      </c>
      <c r="BM119" s="1" t="s">
        <v>539</v>
      </c>
      <c r="BN119" s="1" t="s">
        <v>381</v>
      </c>
      <c r="BO119" s="1" t="s">
        <v>718</v>
      </c>
      <c r="BQ119" s="1" t="s">
        <v>207</v>
      </c>
      <c r="BR119" s="1" t="s">
        <v>208</v>
      </c>
      <c r="BT119" s="1" t="s">
        <v>210</v>
      </c>
      <c r="BU119" s="1" t="s">
        <v>210</v>
      </c>
      <c r="BX119" s="1">
        <v>1</v>
      </c>
    </row>
    <row r="120" spans="1:76" x14ac:dyDescent="0.25">
      <c r="A120" s="1" t="s">
        <v>719</v>
      </c>
      <c r="B120" s="1" t="s">
        <v>324</v>
      </c>
      <c r="D120" s="1" t="s">
        <v>714</v>
      </c>
      <c r="E120" s="1" t="s">
        <v>715</v>
      </c>
      <c r="F120" s="1" t="str">
        <f>"char_"&amp;E120&amp;"_"&amp;D120</f>
        <v>char_172_svrash</v>
      </c>
      <c r="G120" s="1">
        <v>1</v>
      </c>
      <c r="J120" s="1">
        <v>2</v>
      </c>
      <c r="K120" s="1">
        <v>90</v>
      </c>
      <c r="L120" s="1">
        <v>2560</v>
      </c>
      <c r="N120" s="1">
        <v>713</v>
      </c>
      <c r="O120" s="1">
        <v>76</v>
      </c>
      <c r="P120" s="1">
        <v>397</v>
      </c>
      <c r="Q120" s="1">
        <v>50</v>
      </c>
      <c r="R120" s="1">
        <v>10</v>
      </c>
      <c r="T120" s="1">
        <v>20</v>
      </c>
      <c r="U120" s="1">
        <v>-2</v>
      </c>
      <c r="V120" s="1">
        <v>0.5</v>
      </c>
      <c r="W120" s="1">
        <v>70</v>
      </c>
      <c r="X120" s="1">
        <v>-4</v>
      </c>
      <c r="Z120" s="1">
        <v>0.05</v>
      </c>
      <c r="AA120" s="1">
        <v>1</v>
      </c>
      <c r="AD120" s="1">
        <v>1</v>
      </c>
      <c r="AJ120" s="1" t="s">
        <v>73</v>
      </c>
      <c r="AK120" s="1" t="s">
        <v>206</v>
      </c>
      <c r="AL120" s="1" t="s">
        <v>716</v>
      </c>
      <c r="AM120" s="1" t="s">
        <v>717</v>
      </c>
      <c r="AN120" s="22" t="s">
        <v>9773</v>
      </c>
      <c r="AO120" s="22" t="s">
        <v>9769</v>
      </c>
      <c r="AQ120" s="1" t="s">
        <v>9695</v>
      </c>
      <c r="AR120" s="1">
        <v>2</v>
      </c>
      <c r="AS120" s="1">
        <v>0.5</v>
      </c>
      <c r="AZ120" s="1">
        <v>0.25</v>
      </c>
      <c r="BE120" s="1" t="s">
        <v>336</v>
      </c>
      <c r="BF120" s="1" t="s">
        <v>379</v>
      </c>
      <c r="BG120" s="1" t="str">
        <f>"icon_"&amp;D120</f>
        <v>icon_svrash</v>
      </c>
      <c r="BH120" s="1" t="str">
        <f t="shared" si="182"/>
        <v>half_svrash</v>
      </c>
      <c r="BI120" s="1" t="str">
        <f t="shared" si="183"/>
        <v>svrash</v>
      </c>
      <c r="BJ120" s="1" t="s">
        <v>329</v>
      </c>
      <c r="BK120" s="1">
        <v>6</v>
      </c>
      <c r="BL120" s="1" t="s">
        <v>338</v>
      </c>
      <c r="BM120" s="1" t="s">
        <v>539</v>
      </c>
      <c r="BN120" s="1" t="s">
        <v>381</v>
      </c>
      <c r="BO120" s="1" t="s">
        <v>718</v>
      </c>
      <c r="BQ120" s="1" t="s">
        <v>207</v>
      </c>
      <c r="BR120" s="1" t="s">
        <v>208</v>
      </c>
      <c r="BT120" s="1" t="s">
        <v>210</v>
      </c>
      <c r="BU120" s="1" t="s">
        <v>210</v>
      </c>
      <c r="BX120" s="1">
        <v>1</v>
      </c>
    </row>
    <row r="121" spans="1:76" x14ac:dyDescent="0.25">
      <c r="A121" s="1" t="s">
        <v>74</v>
      </c>
      <c r="B121" s="1" t="s">
        <v>324</v>
      </c>
      <c r="D121" s="1" t="s">
        <v>714</v>
      </c>
      <c r="E121" s="1" t="s">
        <v>715</v>
      </c>
      <c r="F121" s="1" t="str">
        <f>"char_"&amp;E121&amp;"_"&amp;D121</f>
        <v>char_172_svrash</v>
      </c>
      <c r="G121" s="1">
        <v>1</v>
      </c>
      <c r="J121" s="1">
        <v>2</v>
      </c>
      <c r="K121" s="1">
        <v>90</v>
      </c>
      <c r="L121" s="1">
        <v>2560</v>
      </c>
      <c r="N121" s="1">
        <v>713</v>
      </c>
      <c r="O121" s="1">
        <v>76</v>
      </c>
      <c r="P121" s="1">
        <v>397</v>
      </c>
      <c r="Q121" s="1">
        <v>50</v>
      </c>
      <c r="R121" s="1">
        <v>10</v>
      </c>
      <c r="T121" s="1">
        <v>20</v>
      </c>
      <c r="U121" s="1">
        <v>-2</v>
      </c>
      <c r="V121" s="1">
        <v>0.5</v>
      </c>
      <c r="W121" s="1">
        <v>70</v>
      </c>
      <c r="X121" s="1">
        <v>-4</v>
      </c>
      <c r="Z121" s="1">
        <v>0.05</v>
      </c>
      <c r="AA121" s="1">
        <v>1</v>
      </c>
      <c r="AD121" s="1">
        <v>1</v>
      </c>
      <c r="AJ121" s="1" t="s">
        <v>73</v>
      </c>
      <c r="AK121" s="1" t="s">
        <v>206</v>
      </c>
      <c r="AL121" s="1" t="s">
        <v>720</v>
      </c>
      <c r="AM121" s="1" t="s">
        <v>721</v>
      </c>
      <c r="AN121" s="22" t="s">
        <v>9773</v>
      </c>
      <c r="AO121" s="22" t="s">
        <v>9769</v>
      </c>
      <c r="AQ121" s="1" t="s">
        <v>9695</v>
      </c>
      <c r="AR121" s="1">
        <v>2</v>
      </c>
      <c r="AS121" s="1">
        <v>0.5</v>
      </c>
      <c r="AZ121" s="1">
        <v>0.25</v>
      </c>
      <c r="BE121" s="1" t="s">
        <v>336</v>
      </c>
      <c r="BF121" s="1" t="s">
        <v>379</v>
      </c>
      <c r="BG121" s="1" t="str">
        <f>"icon_"&amp;D121</f>
        <v>icon_svrash</v>
      </c>
      <c r="BH121" s="1" t="str">
        <f t="shared" si="182"/>
        <v>half_svrash</v>
      </c>
      <c r="BI121" s="1" t="str">
        <f t="shared" si="183"/>
        <v>svrash</v>
      </c>
      <c r="BJ121" s="1" t="s">
        <v>329</v>
      </c>
      <c r="BK121" s="1">
        <v>6</v>
      </c>
      <c r="BL121" s="1" t="s">
        <v>338</v>
      </c>
      <c r="BM121" s="1" t="s">
        <v>539</v>
      </c>
      <c r="BN121" s="1" t="s">
        <v>381</v>
      </c>
      <c r="BO121" s="1" t="s">
        <v>718</v>
      </c>
      <c r="BQ121" s="1" t="s">
        <v>207</v>
      </c>
      <c r="BR121" s="1" t="s">
        <v>208</v>
      </c>
      <c r="BT121" s="1" t="s">
        <v>210</v>
      </c>
      <c r="BU121" s="1" t="s">
        <v>210</v>
      </c>
      <c r="BX121" s="1">
        <v>1</v>
      </c>
    </row>
    <row r="122" spans="1:76" x14ac:dyDescent="0.25">
      <c r="A122" s="1" t="s">
        <v>75</v>
      </c>
      <c r="B122" s="1" t="s">
        <v>324</v>
      </c>
      <c r="D122" s="1" t="s">
        <v>722</v>
      </c>
      <c r="E122" s="1" t="s">
        <v>723</v>
      </c>
      <c r="F122" s="1" t="str">
        <f>"char_"&amp;E122&amp;"_"&amp;D122</f>
        <v>char_350_surtr</v>
      </c>
      <c r="G122" s="1">
        <v>1</v>
      </c>
      <c r="J122" s="1">
        <v>2</v>
      </c>
      <c r="K122" s="1">
        <v>90</v>
      </c>
      <c r="L122" s="1">
        <v>2916</v>
      </c>
      <c r="N122" s="1">
        <v>672</v>
      </c>
      <c r="O122" s="1">
        <v>128</v>
      </c>
      <c r="P122" s="1">
        <v>414</v>
      </c>
      <c r="Q122" s="1">
        <v>0</v>
      </c>
      <c r="R122" s="1">
        <v>15</v>
      </c>
      <c r="T122" s="1">
        <v>21</v>
      </c>
      <c r="U122" s="1">
        <v>-2</v>
      </c>
      <c r="V122" s="1">
        <v>0.5</v>
      </c>
      <c r="W122" s="1">
        <v>70</v>
      </c>
      <c r="Z122" s="1">
        <v>0.05</v>
      </c>
      <c r="AA122" s="1">
        <v>1.25</v>
      </c>
      <c r="AD122" s="1">
        <v>1</v>
      </c>
      <c r="AJ122" s="1" t="s">
        <v>75</v>
      </c>
      <c r="AK122" s="1" t="s">
        <v>206</v>
      </c>
      <c r="AL122" s="1" t="s">
        <v>724</v>
      </c>
      <c r="AM122" s="1" t="s">
        <v>725</v>
      </c>
      <c r="AN122" s="22" t="s">
        <v>9773</v>
      </c>
      <c r="AO122" s="22" t="s">
        <v>9769</v>
      </c>
      <c r="AQ122" s="1" t="s">
        <v>9695</v>
      </c>
      <c r="AR122" s="1">
        <v>1</v>
      </c>
      <c r="AS122" s="1">
        <v>0.5</v>
      </c>
      <c r="AZ122" s="1">
        <v>0.25</v>
      </c>
      <c r="BE122" s="1" t="s">
        <v>336</v>
      </c>
      <c r="BF122" s="1" t="s">
        <v>495</v>
      </c>
      <c r="BG122" s="1" t="str">
        <f>"icon_"&amp;D122</f>
        <v>icon_surtr</v>
      </c>
      <c r="BH122" s="1" t="str">
        <f t="shared" si="182"/>
        <v>half_surtr</v>
      </c>
      <c r="BI122" s="1" t="str">
        <f t="shared" si="183"/>
        <v>surtr</v>
      </c>
      <c r="BJ122" s="1" t="s">
        <v>726</v>
      </c>
      <c r="BK122" s="1">
        <v>6</v>
      </c>
      <c r="BL122" s="1" t="s">
        <v>338</v>
      </c>
      <c r="BM122" s="1" t="s">
        <v>339</v>
      </c>
      <c r="BN122" s="1" t="s">
        <v>360</v>
      </c>
      <c r="BO122" s="1" t="s">
        <v>727</v>
      </c>
      <c r="BQ122" s="1" t="s">
        <v>207</v>
      </c>
      <c r="BR122" s="1" t="s">
        <v>208</v>
      </c>
      <c r="BT122" s="1" t="s">
        <v>210</v>
      </c>
      <c r="BU122" s="1" t="s">
        <v>210</v>
      </c>
      <c r="BX122" s="1">
        <v>1</v>
      </c>
    </row>
    <row r="123" spans="1:76" x14ac:dyDescent="0.25">
      <c r="A123" s="1" t="s">
        <v>76</v>
      </c>
      <c r="B123" s="1" t="s">
        <v>324</v>
      </c>
      <c r="D123" s="1" t="s">
        <v>728</v>
      </c>
      <c r="E123" s="1" t="s">
        <v>729</v>
      </c>
      <c r="F123" s="1" t="str">
        <f>"char_"&amp;E123&amp;"_"&amp;D123</f>
        <v>char_003_kalts</v>
      </c>
      <c r="G123" s="1">
        <v>1</v>
      </c>
      <c r="J123" s="1">
        <v>2</v>
      </c>
      <c r="K123" s="1">
        <v>90</v>
      </c>
      <c r="L123" s="1">
        <v>1633</v>
      </c>
      <c r="M123" s="1">
        <v>400</v>
      </c>
      <c r="N123" s="1">
        <v>490</v>
      </c>
      <c r="O123" s="1">
        <v>25</v>
      </c>
      <c r="P123" s="1">
        <v>215</v>
      </c>
      <c r="Q123" s="1">
        <v>40</v>
      </c>
      <c r="R123" s="1">
        <v>0</v>
      </c>
      <c r="T123" s="1">
        <v>20</v>
      </c>
      <c r="U123" s="1">
        <v>-2</v>
      </c>
      <c r="V123" s="1">
        <v>0.5</v>
      </c>
      <c r="W123" s="1">
        <v>70</v>
      </c>
      <c r="X123" s="1">
        <v>-4</v>
      </c>
      <c r="Z123" s="1">
        <v>0.05</v>
      </c>
      <c r="AA123" s="1">
        <v>2.85</v>
      </c>
      <c r="AD123" s="1">
        <v>1</v>
      </c>
      <c r="AJ123" s="1" t="s">
        <v>76</v>
      </c>
      <c r="AK123" s="1" t="s">
        <v>206</v>
      </c>
      <c r="AL123" s="1" t="s">
        <v>730</v>
      </c>
      <c r="AM123" s="1" t="s">
        <v>731</v>
      </c>
      <c r="AN123" s="22" t="s">
        <v>9773</v>
      </c>
      <c r="AO123" s="22" t="s">
        <v>9769</v>
      </c>
      <c r="AQ123" s="1" t="s">
        <v>9694</v>
      </c>
      <c r="AR123" s="1">
        <v>1</v>
      </c>
      <c r="AS123" s="1">
        <v>0.5</v>
      </c>
      <c r="AZ123" s="1">
        <v>0.25</v>
      </c>
      <c r="BE123" s="1" t="s">
        <v>327</v>
      </c>
      <c r="BF123" s="1" t="s">
        <v>328</v>
      </c>
      <c r="BG123" s="1" t="str">
        <f>"icon_"&amp;D123</f>
        <v>icon_kalts</v>
      </c>
      <c r="BH123" s="1" t="str">
        <f t="shared" si="182"/>
        <v>half_kalts</v>
      </c>
      <c r="BI123" s="1" t="str">
        <f t="shared" si="183"/>
        <v>kalts</v>
      </c>
      <c r="BJ123" s="1" t="s">
        <v>329</v>
      </c>
      <c r="BK123" s="1">
        <v>6</v>
      </c>
      <c r="BL123" s="1" t="s">
        <v>330</v>
      </c>
      <c r="BM123" s="1" t="s">
        <v>331</v>
      </c>
      <c r="BN123" s="1" t="s">
        <v>407</v>
      </c>
      <c r="BO123" s="1" t="s">
        <v>732</v>
      </c>
      <c r="BQ123" s="1" t="s">
        <v>207</v>
      </c>
      <c r="BR123" s="1" t="s">
        <v>208</v>
      </c>
      <c r="BT123" s="1" t="s">
        <v>210</v>
      </c>
      <c r="BU123" s="1" t="s">
        <v>210</v>
      </c>
      <c r="BX123" s="1">
        <v>1</v>
      </c>
    </row>
    <row r="124" spans="1:76" x14ac:dyDescent="0.25">
      <c r="A124" s="1" t="s">
        <v>733</v>
      </c>
      <c r="B124" s="1" t="s">
        <v>324</v>
      </c>
      <c r="D124" s="1" t="s">
        <v>728</v>
      </c>
      <c r="E124" s="1" t="s">
        <v>723</v>
      </c>
      <c r="F124" s="1" t="s">
        <v>734</v>
      </c>
      <c r="G124" s="1">
        <v>1</v>
      </c>
      <c r="J124" s="1">
        <v>2</v>
      </c>
      <c r="K124" s="1">
        <v>90</v>
      </c>
      <c r="L124" s="1">
        <v>5433</v>
      </c>
      <c r="N124" s="1">
        <v>1402</v>
      </c>
      <c r="P124" s="1">
        <v>405</v>
      </c>
      <c r="Q124" s="1">
        <v>0</v>
      </c>
      <c r="R124" s="1">
        <v>0</v>
      </c>
      <c r="T124" s="1">
        <v>10</v>
      </c>
      <c r="V124" s="1">
        <v>0</v>
      </c>
      <c r="W124" s="1">
        <v>25</v>
      </c>
      <c r="Z124" s="1">
        <v>0.05</v>
      </c>
      <c r="AA124" s="1">
        <v>2</v>
      </c>
      <c r="AD124" s="1">
        <v>1</v>
      </c>
      <c r="AJ124" s="1" t="s">
        <v>733</v>
      </c>
      <c r="AK124" s="1" t="s">
        <v>735</v>
      </c>
      <c r="AL124" s="1" t="s">
        <v>736</v>
      </c>
      <c r="AN124" s="22" t="s">
        <v>9767</v>
      </c>
      <c r="AQ124" s="1" t="s">
        <v>9695</v>
      </c>
      <c r="AR124" s="1">
        <v>3</v>
      </c>
      <c r="AS124" s="1">
        <v>0</v>
      </c>
      <c r="AZ124" s="1">
        <v>0.25</v>
      </c>
      <c r="BE124" s="1" t="s">
        <v>336</v>
      </c>
      <c r="BG124" s="1" t="s">
        <v>737</v>
      </c>
      <c r="BH124" s="1" t="str">
        <f t="shared" si="182"/>
        <v>half_kalts</v>
      </c>
      <c r="BI124" s="1" t="str">
        <f t="shared" si="183"/>
        <v>kalts</v>
      </c>
      <c r="BJ124" s="1" t="s">
        <v>329</v>
      </c>
      <c r="BK124" s="1">
        <v>6</v>
      </c>
      <c r="BL124" s="1" t="s">
        <v>338</v>
      </c>
      <c r="BM124" s="1" t="s">
        <v>563</v>
      </c>
      <c r="BQ124" s="1" t="s">
        <v>207</v>
      </c>
      <c r="BR124" s="1" t="s">
        <v>208</v>
      </c>
      <c r="BT124" s="1" t="s">
        <v>210</v>
      </c>
      <c r="BU124" s="1" t="s">
        <v>210</v>
      </c>
      <c r="BX124" s="1">
        <v>1</v>
      </c>
    </row>
    <row r="125" spans="1:76" x14ac:dyDescent="0.25">
      <c r="A125" s="1" t="s">
        <v>77</v>
      </c>
      <c r="B125" s="1" t="s">
        <v>324</v>
      </c>
      <c r="D125" s="1" t="s">
        <v>738</v>
      </c>
      <c r="E125" s="1" t="s">
        <v>739</v>
      </c>
      <c r="F125" s="1" t="str">
        <f>"char_"&amp;E125&amp;"_"&amp;D125</f>
        <v>char_293_thorns</v>
      </c>
      <c r="G125" s="1">
        <v>1</v>
      </c>
      <c r="J125" s="1">
        <v>2</v>
      </c>
      <c r="K125" s="1">
        <v>90</v>
      </c>
      <c r="L125" s="1">
        <v>2612</v>
      </c>
      <c r="N125" s="1">
        <v>711</v>
      </c>
      <c r="O125" s="1">
        <v>56</v>
      </c>
      <c r="P125" s="1">
        <v>402</v>
      </c>
      <c r="Q125" s="1">
        <v>70</v>
      </c>
      <c r="R125" s="1">
        <v>10</v>
      </c>
      <c r="T125" s="1">
        <v>20</v>
      </c>
      <c r="U125" s="1">
        <v>-2</v>
      </c>
      <c r="V125" s="1">
        <v>0.5</v>
      </c>
      <c r="W125" s="1">
        <v>70</v>
      </c>
      <c r="Z125" s="1">
        <v>0.05</v>
      </c>
      <c r="AA125" s="1">
        <v>1.3</v>
      </c>
      <c r="AD125" s="1">
        <v>1</v>
      </c>
      <c r="AJ125" s="1" t="s">
        <v>77</v>
      </c>
      <c r="AK125" s="1" t="s">
        <v>206</v>
      </c>
      <c r="AL125" s="1" t="s">
        <v>740</v>
      </c>
      <c r="AM125" s="1" t="s">
        <v>741</v>
      </c>
      <c r="AN125" s="22" t="s">
        <v>9773</v>
      </c>
      <c r="AO125" s="22" t="s">
        <v>9769</v>
      </c>
      <c r="AQ125" s="1" t="s">
        <v>9695</v>
      </c>
      <c r="AR125" s="1">
        <v>2</v>
      </c>
      <c r="AS125" s="1">
        <v>0.5</v>
      </c>
      <c r="AZ125" s="1">
        <v>0.25</v>
      </c>
      <c r="BE125" s="1" t="s">
        <v>336</v>
      </c>
      <c r="BF125" s="1" t="s">
        <v>379</v>
      </c>
      <c r="BG125" s="1" t="str">
        <f t="shared" ref="BG125:BG129" si="184">"icon_"&amp;D125</f>
        <v>icon_thorns</v>
      </c>
      <c r="BH125" s="1" t="str">
        <f t="shared" ref="BH125" si="185">"half_"&amp;D125</f>
        <v>half_thorns</v>
      </c>
      <c r="BI125" s="1" t="str">
        <f t="shared" ref="BI125" si="186">D125</f>
        <v>thorns</v>
      </c>
      <c r="BJ125" s="1" t="s">
        <v>329</v>
      </c>
      <c r="BK125" s="1">
        <v>6</v>
      </c>
      <c r="BL125" s="1" t="s">
        <v>338</v>
      </c>
      <c r="BM125" s="1" t="s">
        <v>742</v>
      </c>
      <c r="BN125" s="1" t="s">
        <v>381</v>
      </c>
      <c r="BO125" s="1" t="s">
        <v>743</v>
      </c>
      <c r="BQ125" s="1" t="s">
        <v>207</v>
      </c>
      <c r="BR125" s="1" t="s">
        <v>208</v>
      </c>
      <c r="BT125" s="1" t="s">
        <v>210</v>
      </c>
      <c r="BU125" s="1" t="s">
        <v>210</v>
      </c>
      <c r="BV125" s="1" t="s">
        <v>744</v>
      </c>
      <c r="BX125" s="1">
        <v>1</v>
      </c>
    </row>
    <row r="126" spans="1:76" x14ac:dyDescent="0.25">
      <c r="A126" s="1" t="s">
        <v>78</v>
      </c>
      <c r="B126" s="1" t="s">
        <v>324</v>
      </c>
      <c r="D126" s="1" t="s">
        <v>745</v>
      </c>
      <c r="E126" s="1" t="s">
        <v>746</v>
      </c>
      <c r="F126" s="1" t="str">
        <f t="shared" ref="F126:F131" si="187">"char_"&amp;E126&amp;"_"&amp;D126</f>
        <v>char_103_angel</v>
      </c>
      <c r="G126" s="1">
        <v>1</v>
      </c>
      <c r="J126" s="1">
        <v>2</v>
      </c>
      <c r="K126" s="1">
        <v>90</v>
      </c>
      <c r="L126" s="1">
        <v>1673</v>
      </c>
      <c r="N126" s="1">
        <v>540</v>
      </c>
      <c r="O126" s="1">
        <v>117</v>
      </c>
      <c r="P126" s="1">
        <v>161</v>
      </c>
      <c r="R126" s="1">
        <v>0</v>
      </c>
      <c r="T126" s="1">
        <v>14</v>
      </c>
      <c r="U126" s="1">
        <v>-2</v>
      </c>
      <c r="V126" s="1">
        <v>0.5</v>
      </c>
      <c r="W126" s="1">
        <v>70</v>
      </c>
      <c r="Z126" s="1">
        <v>0.05</v>
      </c>
      <c r="AA126" s="1">
        <v>1</v>
      </c>
      <c r="AD126" s="1">
        <v>1</v>
      </c>
      <c r="AJ126" s="1" t="s">
        <v>78</v>
      </c>
      <c r="AK126" s="1" t="s">
        <v>206</v>
      </c>
      <c r="AL126" s="1" t="s">
        <v>747</v>
      </c>
      <c r="AM126" s="1" t="s">
        <v>748</v>
      </c>
      <c r="AN126" s="22" t="s">
        <v>9773</v>
      </c>
      <c r="AO126" s="22" t="s">
        <v>9769</v>
      </c>
      <c r="AQ126" s="1" t="s">
        <v>9694</v>
      </c>
      <c r="AR126" s="1">
        <v>1</v>
      </c>
      <c r="AS126" s="1">
        <v>0.5</v>
      </c>
      <c r="AZ126" s="1">
        <v>0.25</v>
      </c>
      <c r="BE126" s="1" t="s">
        <v>351</v>
      </c>
      <c r="BF126" s="1" t="s">
        <v>352</v>
      </c>
      <c r="BG126" s="1" t="str">
        <f t="shared" si="184"/>
        <v>icon_angel</v>
      </c>
      <c r="BH126" s="1" t="str">
        <f t="shared" ref="BH126" si="188">"half_"&amp;D126</f>
        <v>half_angel</v>
      </c>
      <c r="BI126" s="1" t="str">
        <f t="shared" ref="BI126" si="189">D126</f>
        <v>angel</v>
      </c>
      <c r="BJ126" s="1" t="s">
        <v>329</v>
      </c>
      <c r="BK126" s="1">
        <v>6</v>
      </c>
      <c r="BL126" s="1" t="s">
        <v>338</v>
      </c>
      <c r="BM126" s="1" t="s">
        <v>700</v>
      </c>
      <c r="BN126" s="1" t="s">
        <v>354</v>
      </c>
      <c r="BO126" s="1" t="s">
        <v>749</v>
      </c>
      <c r="BQ126" s="1" t="s">
        <v>207</v>
      </c>
      <c r="BR126" s="1" t="s">
        <v>208</v>
      </c>
      <c r="BT126" s="1" t="s">
        <v>210</v>
      </c>
      <c r="BU126" s="1" t="s">
        <v>210</v>
      </c>
      <c r="BX126" s="1">
        <v>1</v>
      </c>
    </row>
    <row r="127" spans="1:76" x14ac:dyDescent="0.25">
      <c r="A127" s="1" t="s">
        <v>79</v>
      </c>
      <c r="B127" s="1" t="s">
        <v>324</v>
      </c>
      <c r="D127" s="1" t="s">
        <v>750</v>
      </c>
      <c r="E127" s="1" t="s">
        <v>751</v>
      </c>
      <c r="F127" s="1" t="str">
        <f t="shared" si="187"/>
        <v>char_134_ifrit</v>
      </c>
      <c r="G127" s="1">
        <v>1</v>
      </c>
      <c r="J127" s="1">
        <v>2</v>
      </c>
      <c r="K127" s="1">
        <v>90</v>
      </c>
      <c r="L127" s="1">
        <v>1680</v>
      </c>
      <c r="N127" s="1">
        <v>870</v>
      </c>
      <c r="O127" s="1">
        <v>145</v>
      </c>
      <c r="P127" s="1">
        <v>130</v>
      </c>
      <c r="R127" s="1">
        <v>20</v>
      </c>
      <c r="T127" s="1">
        <v>34</v>
      </c>
      <c r="U127" s="1">
        <v>-2</v>
      </c>
      <c r="V127" s="1">
        <v>0.5</v>
      </c>
      <c r="W127" s="1">
        <v>70</v>
      </c>
      <c r="Z127" s="1">
        <v>0.05</v>
      </c>
      <c r="AA127" s="1">
        <v>2.9</v>
      </c>
      <c r="AD127" s="1">
        <v>1</v>
      </c>
      <c r="AJ127" s="1" t="s">
        <v>79</v>
      </c>
      <c r="AK127" s="1" t="s">
        <v>206</v>
      </c>
      <c r="AL127" s="1" t="s">
        <v>752</v>
      </c>
      <c r="AM127" s="1" t="s">
        <v>753</v>
      </c>
      <c r="AN127" s="22" t="s">
        <v>9773</v>
      </c>
      <c r="AO127" s="22" t="s">
        <v>9769</v>
      </c>
      <c r="AQ127" s="1" t="s">
        <v>9694</v>
      </c>
      <c r="AR127" s="1">
        <v>1</v>
      </c>
      <c r="AS127" s="1">
        <v>0.5</v>
      </c>
      <c r="AZ127" s="1">
        <v>0.25</v>
      </c>
      <c r="BE127" s="1" t="s">
        <v>358</v>
      </c>
      <c r="BF127" s="1" t="s">
        <v>754</v>
      </c>
      <c r="BG127" s="1" t="str">
        <f t="shared" si="184"/>
        <v>icon_ifrit</v>
      </c>
      <c r="BH127" s="1" t="str">
        <f t="shared" ref="BH127" si="190">"half_"&amp;D127</f>
        <v>half_ifrit</v>
      </c>
      <c r="BI127" s="1" t="str">
        <f t="shared" ref="BI127" si="191">D127</f>
        <v>ifrit</v>
      </c>
      <c r="BJ127" s="1" t="s">
        <v>329</v>
      </c>
      <c r="BK127" s="1">
        <v>6</v>
      </c>
      <c r="BL127" s="1" t="s">
        <v>330</v>
      </c>
      <c r="BM127" s="1" t="s">
        <v>572</v>
      </c>
      <c r="BN127" s="1" t="s">
        <v>755</v>
      </c>
      <c r="BO127" s="1" t="s">
        <v>756</v>
      </c>
      <c r="BQ127" s="1" t="s">
        <v>207</v>
      </c>
      <c r="BR127" s="1" t="s">
        <v>208</v>
      </c>
      <c r="BT127" s="1" t="s">
        <v>210</v>
      </c>
      <c r="BU127" s="1" t="s">
        <v>210</v>
      </c>
      <c r="BX127" s="1">
        <v>1</v>
      </c>
    </row>
    <row r="128" spans="1:76" x14ac:dyDescent="0.25">
      <c r="A128" s="1" t="s">
        <v>80</v>
      </c>
      <c r="B128" s="1" t="s">
        <v>324</v>
      </c>
      <c r="D128" s="1" t="s">
        <v>757</v>
      </c>
      <c r="E128" s="1" t="s">
        <v>758</v>
      </c>
      <c r="F128" s="1" t="str">
        <f t="shared" si="187"/>
        <v>char_180_amgoat</v>
      </c>
      <c r="G128" s="1">
        <v>1</v>
      </c>
      <c r="J128" s="1">
        <v>2</v>
      </c>
      <c r="K128" s="1">
        <v>90</v>
      </c>
      <c r="L128" s="1">
        <v>1743</v>
      </c>
      <c r="N128" s="1">
        <v>645</v>
      </c>
      <c r="O128" s="1">
        <v>117</v>
      </c>
      <c r="P128" s="1">
        <v>122</v>
      </c>
      <c r="R128" s="1">
        <v>20</v>
      </c>
      <c r="T128" s="1">
        <v>21</v>
      </c>
      <c r="U128" s="1">
        <v>-2</v>
      </c>
      <c r="V128" s="1">
        <v>0.5</v>
      </c>
      <c r="W128" s="1">
        <v>70</v>
      </c>
      <c r="Z128" s="1">
        <v>0.05</v>
      </c>
      <c r="AA128" s="1">
        <v>1.6</v>
      </c>
      <c r="AD128" s="1">
        <v>1</v>
      </c>
      <c r="AJ128" s="1" t="s">
        <v>80</v>
      </c>
      <c r="AK128" s="1" t="s">
        <v>206</v>
      </c>
      <c r="AL128" s="1" t="s">
        <v>759</v>
      </c>
      <c r="AM128" s="1" t="s">
        <v>760</v>
      </c>
      <c r="AN128" s="22" t="s">
        <v>9773</v>
      </c>
      <c r="AO128" s="22" t="s">
        <v>9769</v>
      </c>
      <c r="AQ128" s="1" t="s">
        <v>9694</v>
      </c>
      <c r="AR128" s="1">
        <v>1</v>
      </c>
      <c r="AS128" s="1">
        <v>0.5</v>
      </c>
      <c r="AZ128" s="1">
        <v>0.25</v>
      </c>
      <c r="BE128" s="1" t="s">
        <v>358</v>
      </c>
      <c r="BF128" s="1" t="s">
        <v>359</v>
      </c>
      <c r="BG128" s="1" t="str">
        <f t="shared" si="184"/>
        <v>icon_amgoat</v>
      </c>
      <c r="BH128" s="1" t="str">
        <f t="shared" ref="BH128" si="192">"half_"&amp;D128</f>
        <v>half_amgoat</v>
      </c>
      <c r="BI128" s="1" t="str">
        <f t="shared" ref="BI128" si="193">D128</f>
        <v>amgoat</v>
      </c>
      <c r="BJ128" s="1" t="s">
        <v>329</v>
      </c>
      <c r="BK128" s="1">
        <v>6</v>
      </c>
      <c r="BL128" s="1" t="s">
        <v>330</v>
      </c>
      <c r="BM128" s="1" t="s">
        <v>567</v>
      </c>
      <c r="BN128" s="1" t="s">
        <v>360</v>
      </c>
      <c r="BO128" s="1" t="s">
        <v>761</v>
      </c>
      <c r="BQ128" s="1" t="s">
        <v>207</v>
      </c>
      <c r="BR128" s="1" t="s">
        <v>208</v>
      </c>
      <c r="BT128" s="1" t="s">
        <v>210</v>
      </c>
      <c r="BU128" s="1" t="s">
        <v>210</v>
      </c>
      <c r="BV128" s="1" t="s">
        <v>513</v>
      </c>
      <c r="BX128" s="1">
        <v>1</v>
      </c>
    </row>
    <row r="129" spans="1:76" x14ac:dyDescent="0.25">
      <c r="A129" s="1" t="s">
        <v>81</v>
      </c>
      <c r="B129" s="1" t="s">
        <v>324</v>
      </c>
      <c r="D129" s="1" t="s">
        <v>762</v>
      </c>
      <c r="E129" s="1" t="s">
        <v>763</v>
      </c>
      <c r="F129" s="1" t="str">
        <f t="shared" si="187"/>
        <v>char_291_aglina</v>
      </c>
      <c r="G129" s="1">
        <v>1</v>
      </c>
      <c r="J129" s="1">
        <v>2</v>
      </c>
      <c r="K129" s="1">
        <v>90</v>
      </c>
      <c r="L129" s="1">
        <v>1385</v>
      </c>
      <c r="N129" s="1">
        <v>542</v>
      </c>
      <c r="O129" s="1">
        <v>100</v>
      </c>
      <c r="P129" s="1">
        <v>120</v>
      </c>
      <c r="R129" s="1">
        <v>25</v>
      </c>
      <c r="T129" s="1">
        <v>16</v>
      </c>
      <c r="U129" s="1">
        <v>-2</v>
      </c>
      <c r="V129" s="1">
        <v>0.5</v>
      </c>
      <c r="W129" s="1">
        <v>70</v>
      </c>
      <c r="Z129" s="1">
        <v>0.05</v>
      </c>
      <c r="AA129" s="1">
        <v>1.9</v>
      </c>
      <c r="AD129" s="1">
        <v>1</v>
      </c>
      <c r="AJ129" s="1" t="s">
        <v>81</v>
      </c>
      <c r="AK129" s="1" t="s">
        <v>206</v>
      </c>
      <c r="AL129" s="1" t="s">
        <v>764</v>
      </c>
      <c r="AM129" s="1" t="s">
        <v>765</v>
      </c>
      <c r="AN129" s="22" t="s">
        <v>9773</v>
      </c>
      <c r="AO129" s="22" t="s">
        <v>9769</v>
      </c>
      <c r="AQ129" s="1" t="s">
        <v>9694</v>
      </c>
      <c r="AR129" s="1">
        <v>1</v>
      </c>
      <c r="AS129" s="1">
        <v>0.5</v>
      </c>
      <c r="AZ129" s="1">
        <v>0.25</v>
      </c>
      <c r="BE129" s="1" t="s">
        <v>393</v>
      </c>
      <c r="BF129" s="1" t="s">
        <v>394</v>
      </c>
      <c r="BG129" s="1" t="str">
        <f t="shared" si="184"/>
        <v>icon_aglina</v>
      </c>
      <c r="BH129" s="1" t="str">
        <f t="shared" ref="BH129" si="194">"half_"&amp;D129</f>
        <v>half_aglina</v>
      </c>
      <c r="BI129" s="1" t="str">
        <f t="shared" ref="BI129" si="195">D129</f>
        <v>aglina</v>
      </c>
      <c r="BJ129" s="1" t="s">
        <v>329</v>
      </c>
      <c r="BK129" s="1">
        <v>6</v>
      </c>
      <c r="BL129" s="1" t="s">
        <v>330</v>
      </c>
      <c r="BM129" s="1" t="s">
        <v>673</v>
      </c>
      <c r="BN129" s="1" t="s">
        <v>396</v>
      </c>
      <c r="BO129" s="1" t="s">
        <v>766</v>
      </c>
      <c r="BQ129" s="1" t="s">
        <v>207</v>
      </c>
      <c r="BR129" s="1" t="s">
        <v>208</v>
      </c>
      <c r="BT129" s="1" t="s">
        <v>210</v>
      </c>
      <c r="BU129" s="1" t="s">
        <v>210</v>
      </c>
      <c r="BX129" s="1">
        <v>1</v>
      </c>
    </row>
    <row r="130" spans="1:76" x14ac:dyDescent="0.25">
      <c r="A130" s="1" t="s">
        <v>82</v>
      </c>
      <c r="B130" s="1" t="s">
        <v>324</v>
      </c>
      <c r="D130" s="1" t="s">
        <v>9700</v>
      </c>
      <c r="E130" s="1" t="s">
        <v>9701</v>
      </c>
      <c r="F130" s="1" t="str">
        <f t="shared" si="187"/>
        <v>char_147_shining</v>
      </c>
      <c r="G130" s="1">
        <v>1</v>
      </c>
      <c r="J130" s="1">
        <v>2</v>
      </c>
      <c r="K130" s="1">
        <v>90</v>
      </c>
      <c r="L130" s="1">
        <v>1613</v>
      </c>
      <c r="N130" s="1">
        <v>530</v>
      </c>
      <c r="O130" s="1">
        <v>80</v>
      </c>
      <c r="P130" s="1">
        <v>138</v>
      </c>
      <c r="Q130" s="1">
        <v>45</v>
      </c>
      <c r="R130" s="1">
        <v>0</v>
      </c>
      <c r="T130" s="1">
        <v>20</v>
      </c>
      <c r="U130" s="1">
        <v>-2</v>
      </c>
      <c r="V130" s="1">
        <v>0.5</v>
      </c>
      <c r="W130" s="1">
        <v>70</v>
      </c>
      <c r="Z130" s="1">
        <v>0.05</v>
      </c>
      <c r="AA130" s="1">
        <v>2.85</v>
      </c>
      <c r="AD130" s="1">
        <v>1</v>
      </c>
      <c r="AJ130" s="1" t="s">
        <v>82</v>
      </c>
      <c r="AK130" s="1" t="s">
        <v>206</v>
      </c>
      <c r="AL130" s="1" t="s">
        <v>767</v>
      </c>
      <c r="AM130" s="1" t="s">
        <v>768</v>
      </c>
      <c r="AN130" s="22" t="s">
        <v>9773</v>
      </c>
      <c r="AO130" s="22" t="s">
        <v>9769</v>
      </c>
      <c r="AQ130" s="1" t="s">
        <v>9694</v>
      </c>
      <c r="AR130" s="1">
        <v>1</v>
      </c>
      <c r="AS130" s="1">
        <v>0.5</v>
      </c>
      <c r="AZ130" s="1">
        <v>0.25</v>
      </c>
      <c r="BE130" s="1" t="s">
        <v>327</v>
      </c>
      <c r="BF130" s="1" t="s">
        <v>328</v>
      </c>
      <c r="BG130" s="1" t="str">
        <f>"icon_"&amp;"shining"</f>
        <v>icon_shining</v>
      </c>
      <c r="BH130" s="1" t="str">
        <f>"half_"&amp;"shining"</f>
        <v>half_shining</v>
      </c>
      <c r="BI130" s="1" t="str">
        <f>"shining"</f>
        <v>shining</v>
      </c>
      <c r="BJ130" s="1" t="s">
        <v>329</v>
      </c>
      <c r="BK130" s="1">
        <v>6</v>
      </c>
      <c r="BL130" s="1" t="s">
        <v>330</v>
      </c>
      <c r="BM130" s="1" t="s">
        <v>769</v>
      </c>
      <c r="BN130" s="1" t="s">
        <v>407</v>
      </c>
      <c r="BO130" s="1" t="s">
        <v>770</v>
      </c>
      <c r="BQ130" s="1" t="s">
        <v>207</v>
      </c>
      <c r="BR130" s="1" t="s">
        <v>208</v>
      </c>
      <c r="BT130" s="1" t="s">
        <v>210</v>
      </c>
      <c r="BU130" s="1" t="s">
        <v>210</v>
      </c>
      <c r="BX130" s="1">
        <v>1</v>
      </c>
    </row>
    <row r="131" spans="1:76" x14ac:dyDescent="0.25">
      <c r="A131" s="1" t="s">
        <v>83</v>
      </c>
      <c r="B131" s="1" t="s">
        <v>324</v>
      </c>
      <c r="D131" s="1" t="s">
        <v>775</v>
      </c>
      <c r="E131" s="1" t="s">
        <v>9702</v>
      </c>
      <c r="F131" s="1" t="str">
        <f t="shared" si="187"/>
        <v>char_179_cgbird</v>
      </c>
      <c r="G131" s="1">
        <v>1</v>
      </c>
      <c r="J131" s="1">
        <v>2</v>
      </c>
      <c r="K131" s="1">
        <v>90</v>
      </c>
      <c r="L131" s="1">
        <v>1705</v>
      </c>
      <c r="N131" s="1">
        <v>350</v>
      </c>
      <c r="O131" s="1">
        <v>70</v>
      </c>
      <c r="P131" s="1">
        <v>169</v>
      </c>
      <c r="R131" s="1">
        <v>5</v>
      </c>
      <c r="S131" s="1">
        <v>10</v>
      </c>
      <c r="T131" s="1">
        <v>18</v>
      </c>
      <c r="U131" s="1">
        <v>-2</v>
      </c>
      <c r="V131" s="1">
        <v>0.5</v>
      </c>
      <c r="W131" s="1">
        <v>70</v>
      </c>
      <c r="X131" s="1">
        <v>-4</v>
      </c>
      <c r="Z131" s="1">
        <v>0.05</v>
      </c>
      <c r="AA131" s="1">
        <v>2.85</v>
      </c>
      <c r="AD131" s="1">
        <v>1</v>
      </c>
      <c r="AJ131" s="1" t="s">
        <v>83</v>
      </c>
      <c r="AK131" s="1" t="s">
        <v>206</v>
      </c>
      <c r="AL131" s="1" t="s">
        <v>771</v>
      </c>
      <c r="AM131" s="1" t="s">
        <v>772</v>
      </c>
      <c r="AN131" s="22" t="s">
        <v>9773</v>
      </c>
      <c r="AO131" s="22" t="s">
        <v>9769</v>
      </c>
      <c r="AQ131" s="1" t="s">
        <v>9694</v>
      </c>
      <c r="AR131" s="1">
        <v>1</v>
      </c>
      <c r="AS131" s="1">
        <v>0.5</v>
      </c>
      <c r="AZ131" s="1">
        <v>0.25</v>
      </c>
      <c r="BE131" s="1" t="s">
        <v>327</v>
      </c>
      <c r="BF131" s="1" t="s">
        <v>532</v>
      </c>
      <c r="BG131" s="1" t="s">
        <v>773</v>
      </c>
      <c r="BH131" s="1" t="s">
        <v>774</v>
      </c>
      <c r="BI131" s="1" t="s">
        <v>775</v>
      </c>
      <c r="BJ131" s="1" t="s">
        <v>329</v>
      </c>
      <c r="BK131" s="1">
        <v>6</v>
      </c>
      <c r="BL131" s="1" t="s">
        <v>330</v>
      </c>
      <c r="BM131" s="1" t="s">
        <v>769</v>
      </c>
      <c r="BN131" s="1" t="s">
        <v>534</v>
      </c>
      <c r="BO131" s="1" t="s">
        <v>776</v>
      </c>
      <c r="BQ131" s="1" t="s">
        <v>207</v>
      </c>
      <c r="BR131" s="1" t="s">
        <v>208</v>
      </c>
      <c r="BT131" s="1" t="s">
        <v>210</v>
      </c>
      <c r="BU131" s="1" t="s">
        <v>210</v>
      </c>
      <c r="BX131" s="1">
        <v>1</v>
      </c>
    </row>
    <row r="132" spans="1:76" x14ac:dyDescent="0.25">
      <c r="A132" s="1" t="s">
        <v>777</v>
      </c>
      <c r="B132" s="1" t="s">
        <v>324</v>
      </c>
      <c r="D132" s="1" t="s">
        <v>775</v>
      </c>
      <c r="E132" s="1" t="s">
        <v>778</v>
      </c>
      <c r="F132" s="1" t="s">
        <v>779</v>
      </c>
      <c r="G132" s="1">
        <v>1</v>
      </c>
      <c r="J132" s="1">
        <v>2</v>
      </c>
      <c r="K132" s="1">
        <v>90</v>
      </c>
      <c r="L132" s="1">
        <v>6000</v>
      </c>
      <c r="N132" s="1">
        <v>0</v>
      </c>
      <c r="P132" s="1">
        <v>0</v>
      </c>
      <c r="Q132" s="1">
        <v>0</v>
      </c>
      <c r="R132" s="1">
        <v>75</v>
      </c>
      <c r="T132" s="1">
        <v>5</v>
      </c>
      <c r="V132" s="1">
        <v>0</v>
      </c>
      <c r="W132" s="1">
        <v>20</v>
      </c>
      <c r="Z132" s="1">
        <v>0.05</v>
      </c>
      <c r="AA132" s="1">
        <v>1</v>
      </c>
      <c r="AD132" s="1">
        <v>0</v>
      </c>
      <c r="AE132" s="1">
        <v>1</v>
      </c>
      <c r="AF132" s="22"/>
      <c r="AG132" s="22"/>
      <c r="AH132" s="1">
        <v>1</v>
      </c>
      <c r="AJ132" s="1" t="s">
        <v>780</v>
      </c>
      <c r="AK132" s="1" t="s">
        <v>206</v>
      </c>
      <c r="AL132" s="1" t="s">
        <v>781</v>
      </c>
      <c r="AN132" s="22" t="s">
        <v>9767</v>
      </c>
      <c r="AQ132" s="1" t="s">
        <v>9695</v>
      </c>
      <c r="AR132" s="1">
        <v>0</v>
      </c>
      <c r="AS132" s="1">
        <v>0</v>
      </c>
      <c r="AZ132" s="1">
        <v>0.25</v>
      </c>
      <c r="BE132" s="1" t="s">
        <v>336</v>
      </c>
      <c r="BG132" s="1" t="s">
        <v>782</v>
      </c>
      <c r="BH132" s="1" t="str">
        <f t="shared" ref="BH132:BH135" si="196">"half_"&amp;D132</f>
        <v>half_cgbird</v>
      </c>
      <c r="BI132" s="1" t="str">
        <f t="shared" ref="BI132:BI135" si="197">D132</f>
        <v>cgbird</v>
      </c>
      <c r="BJ132" s="1" t="s">
        <v>329</v>
      </c>
      <c r="BK132" s="1">
        <v>6</v>
      </c>
      <c r="BL132" s="1" t="s">
        <v>338</v>
      </c>
      <c r="BM132" s="1" t="s">
        <v>563</v>
      </c>
      <c r="BQ132" s="1" t="s">
        <v>207</v>
      </c>
      <c r="BR132" s="1" t="s">
        <v>208</v>
      </c>
      <c r="BX132" s="1">
        <v>1</v>
      </c>
    </row>
    <row r="133" spans="1:76" x14ac:dyDescent="0.25">
      <c r="A133" s="1" t="s">
        <v>783</v>
      </c>
      <c r="B133" s="1" t="s">
        <v>324</v>
      </c>
      <c r="D133" s="1" t="s">
        <v>784</v>
      </c>
      <c r="E133" s="1" t="s">
        <v>785</v>
      </c>
      <c r="F133" s="1" t="str">
        <f t="shared" ref="F133:F135" si="198">"char_"&amp;E133&amp;"_"&amp;D133</f>
        <v>char_136_hsguma</v>
      </c>
      <c r="G133" s="1">
        <v>1</v>
      </c>
      <c r="J133" s="1">
        <v>2</v>
      </c>
      <c r="K133" s="1">
        <v>90</v>
      </c>
      <c r="L133" s="1">
        <v>3850</v>
      </c>
      <c r="N133" s="1">
        <v>430</v>
      </c>
      <c r="O133" s="1">
        <v>60</v>
      </c>
      <c r="P133" s="1">
        <v>723</v>
      </c>
      <c r="Q133" s="1">
        <v>90</v>
      </c>
      <c r="R133" s="1">
        <v>0</v>
      </c>
      <c r="T133" s="1">
        <v>23</v>
      </c>
      <c r="U133" s="1">
        <v>-2</v>
      </c>
      <c r="V133" s="1">
        <v>0.5</v>
      </c>
      <c r="W133" s="1">
        <v>70</v>
      </c>
      <c r="Z133" s="1">
        <v>0.05</v>
      </c>
      <c r="AA133" s="1">
        <v>1.2</v>
      </c>
      <c r="AD133" s="1">
        <v>1</v>
      </c>
      <c r="AJ133" s="1" t="s">
        <v>783</v>
      </c>
      <c r="AK133" s="1" t="s">
        <v>206</v>
      </c>
      <c r="AL133" s="1" t="s">
        <v>786</v>
      </c>
      <c r="AM133" s="1" t="s">
        <v>787</v>
      </c>
      <c r="AN133" s="22" t="s">
        <v>9773</v>
      </c>
      <c r="AO133" s="22" t="s">
        <v>9769</v>
      </c>
      <c r="AQ133" s="1" t="s">
        <v>9695</v>
      </c>
      <c r="AR133" s="1">
        <v>3</v>
      </c>
      <c r="AS133" s="1">
        <v>0.5</v>
      </c>
      <c r="AZ133" s="1">
        <v>0.25</v>
      </c>
      <c r="BE133" s="1" t="s">
        <v>344</v>
      </c>
      <c r="BF133" s="1" t="s">
        <v>345</v>
      </c>
      <c r="BG133" s="1" t="str">
        <f t="shared" ref="BG133:BG135" si="199">"icon_"&amp;D133</f>
        <v>icon_hsguma</v>
      </c>
      <c r="BH133" s="1" t="str">
        <f t="shared" si="196"/>
        <v>half_hsguma</v>
      </c>
      <c r="BI133" s="1" t="str">
        <f t="shared" si="197"/>
        <v>hsguma</v>
      </c>
      <c r="BJ133" s="1" t="s">
        <v>329</v>
      </c>
      <c r="BK133" s="1">
        <v>6</v>
      </c>
      <c r="BL133" s="1" t="s">
        <v>338</v>
      </c>
      <c r="BM133" s="1" t="s">
        <v>788</v>
      </c>
      <c r="BN133" s="1" t="s">
        <v>347</v>
      </c>
      <c r="BO133" s="1" t="s">
        <v>789</v>
      </c>
      <c r="BQ133" s="1" t="s">
        <v>207</v>
      </c>
      <c r="BR133" s="1" t="s">
        <v>208</v>
      </c>
      <c r="BT133" s="1" t="s">
        <v>210</v>
      </c>
      <c r="BU133" s="1" t="s">
        <v>210</v>
      </c>
      <c r="BX133" s="1">
        <v>1</v>
      </c>
    </row>
    <row r="134" spans="1:76" x14ac:dyDescent="0.25">
      <c r="A134" s="1" t="s">
        <v>84</v>
      </c>
      <c r="B134" s="1" t="s">
        <v>324</v>
      </c>
      <c r="D134" s="1" t="s">
        <v>790</v>
      </c>
      <c r="E134" s="1" t="s">
        <v>791</v>
      </c>
      <c r="F134" s="1" t="str">
        <f t="shared" si="198"/>
        <v>char_202_demkni</v>
      </c>
      <c r="G134" s="1">
        <v>1</v>
      </c>
      <c r="J134" s="1">
        <v>2</v>
      </c>
      <c r="K134" s="1">
        <v>90</v>
      </c>
      <c r="L134" s="1">
        <v>3150</v>
      </c>
      <c r="N134" s="1">
        <v>485</v>
      </c>
      <c r="O134" s="1">
        <v>50</v>
      </c>
      <c r="P134" s="1">
        <v>595</v>
      </c>
      <c r="Q134" s="1">
        <v>87</v>
      </c>
      <c r="R134" s="1">
        <v>10</v>
      </c>
      <c r="T134" s="1">
        <v>22</v>
      </c>
      <c r="U134" s="1">
        <v>-2</v>
      </c>
      <c r="V134" s="1">
        <v>0.5</v>
      </c>
      <c r="W134" s="1">
        <v>70</v>
      </c>
      <c r="X134" s="1">
        <v>-4</v>
      </c>
      <c r="Z134" s="1">
        <v>0.05</v>
      </c>
      <c r="AA134" s="1">
        <v>1.2</v>
      </c>
      <c r="AD134" s="1">
        <v>1</v>
      </c>
      <c r="AJ134" s="1" t="s">
        <v>84</v>
      </c>
      <c r="AK134" s="1" t="s">
        <v>206</v>
      </c>
      <c r="AL134" s="1" t="s">
        <v>792</v>
      </c>
      <c r="AM134" s="1" t="s">
        <v>793</v>
      </c>
      <c r="AN134" s="22" t="s">
        <v>9773</v>
      </c>
      <c r="AO134" s="22" t="s">
        <v>9769</v>
      </c>
      <c r="AQ134" s="1" t="s">
        <v>9695</v>
      </c>
      <c r="AR134" s="1">
        <v>3</v>
      </c>
      <c r="AS134" s="1">
        <v>0.5</v>
      </c>
      <c r="AZ134" s="1">
        <v>0.25</v>
      </c>
      <c r="BE134" s="1" t="s">
        <v>344</v>
      </c>
      <c r="BF134" s="1" t="s">
        <v>365</v>
      </c>
      <c r="BG134" s="1" t="str">
        <f t="shared" si="199"/>
        <v>icon_demkni</v>
      </c>
      <c r="BH134" s="1" t="str">
        <f t="shared" si="196"/>
        <v>half_demkni</v>
      </c>
      <c r="BI134" s="1" t="str">
        <f t="shared" si="197"/>
        <v>demkni</v>
      </c>
      <c r="BJ134" s="1" t="s">
        <v>329</v>
      </c>
      <c r="BK134" s="1">
        <v>6</v>
      </c>
      <c r="BL134" s="1" t="s">
        <v>338</v>
      </c>
      <c r="BM134" s="1" t="s">
        <v>794</v>
      </c>
      <c r="BN134" s="1" t="s">
        <v>367</v>
      </c>
      <c r="BO134" s="1" t="s">
        <v>795</v>
      </c>
      <c r="BQ134" s="1" t="s">
        <v>207</v>
      </c>
      <c r="BR134" s="1" t="s">
        <v>208</v>
      </c>
      <c r="BT134" s="1" t="s">
        <v>210</v>
      </c>
      <c r="BU134" s="1" t="s">
        <v>210</v>
      </c>
      <c r="BV134" s="1" t="s">
        <v>796</v>
      </c>
      <c r="BX134" s="1">
        <v>1</v>
      </c>
    </row>
    <row r="135" spans="1:76" x14ac:dyDescent="0.25">
      <c r="A135" s="1" t="s">
        <v>85</v>
      </c>
      <c r="B135" s="1" t="s">
        <v>324</v>
      </c>
      <c r="D135" s="1" t="s">
        <v>797</v>
      </c>
      <c r="E135" s="1" t="s">
        <v>798</v>
      </c>
      <c r="F135" s="1" t="str">
        <f t="shared" si="198"/>
        <v>char_264_f12yin</v>
      </c>
      <c r="G135" s="1">
        <v>1</v>
      </c>
      <c r="J135" s="1">
        <v>2</v>
      </c>
      <c r="K135" s="1">
        <v>90</v>
      </c>
      <c r="L135" s="1">
        <v>2745</v>
      </c>
      <c r="N135" s="1">
        <v>587</v>
      </c>
      <c r="O135" s="1">
        <v>69</v>
      </c>
      <c r="P135" s="1">
        <v>357</v>
      </c>
      <c r="Q135" s="1">
        <v>45</v>
      </c>
      <c r="R135" s="1">
        <v>0</v>
      </c>
      <c r="T135" s="1">
        <v>11</v>
      </c>
      <c r="U135" s="1">
        <v>-2</v>
      </c>
      <c r="V135" s="1">
        <v>0.5</v>
      </c>
      <c r="W135" s="1">
        <v>70</v>
      </c>
      <c r="X135" s="1">
        <v>-4</v>
      </c>
      <c r="Z135" s="1">
        <v>0.05</v>
      </c>
      <c r="AA135" s="1">
        <v>0.78</v>
      </c>
      <c r="AD135" s="1">
        <v>1</v>
      </c>
      <c r="AJ135" s="1" t="s">
        <v>85</v>
      </c>
      <c r="AK135" s="1" t="s">
        <v>206</v>
      </c>
      <c r="AL135" s="1" t="s">
        <v>799</v>
      </c>
      <c r="AM135" s="1" t="s">
        <v>800</v>
      </c>
      <c r="AN135" s="22" t="s">
        <v>9773</v>
      </c>
      <c r="AO135" s="22" t="s">
        <v>9769</v>
      </c>
      <c r="AQ135" s="1" t="s">
        <v>9695</v>
      </c>
      <c r="AR135" s="1">
        <v>1</v>
      </c>
      <c r="AS135" s="1">
        <v>1</v>
      </c>
      <c r="AZ135" s="1">
        <v>0.25</v>
      </c>
      <c r="BE135" s="1" t="s">
        <v>336</v>
      </c>
      <c r="BF135" s="1" t="s">
        <v>582</v>
      </c>
      <c r="BG135" s="1" t="str">
        <f t="shared" si="199"/>
        <v>icon_f12yin</v>
      </c>
      <c r="BH135" s="1" t="str">
        <f t="shared" si="196"/>
        <v>half_f12yin</v>
      </c>
      <c r="BI135" s="1" t="str">
        <f t="shared" si="197"/>
        <v>f12yin</v>
      </c>
      <c r="BJ135" s="1" t="s">
        <v>329</v>
      </c>
      <c r="BK135" s="1">
        <v>6</v>
      </c>
      <c r="BL135" s="1" t="s">
        <v>338</v>
      </c>
      <c r="BM135" s="1" t="s">
        <v>544</v>
      </c>
      <c r="BN135" s="1" t="s">
        <v>442</v>
      </c>
      <c r="BO135" s="1" t="s">
        <v>801</v>
      </c>
      <c r="BQ135" s="1" t="s">
        <v>207</v>
      </c>
      <c r="BR135" s="1" t="s">
        <v>208</v>
      </c>
      <c r="BT135" s="1" t="s">
        <v>210</v>
      </c>
      <c r="BU135" s="1" t="s">
        <v>210</v>
      </c>
      <c r="BX135" s="1">
        <v>2</v>
      </c>
    </row>
    <row r="136" spans="1:76" x14ac:dyDescent="0.25">
      <c r="AN136" s="22"/>
      <c r="AO136" s="22"/>
    </row>
    <row r="137" spans="1:76" customFormat="1" x14ac:dyDescent="0.25">
      <c r="A137" t="s">
        <v>802</v>
      </c>
      <c r="B137" t="s">
        <v>324</v>
      </c>
      <c r="D137" t="s">
        <v>790</v>
      </c>
      <c r="E137" s="2" t="s">
        <v>791</v>
      </c>
      <c r="F137" s="29" t="s">
        <v>9782</v>
      </c>
      <c r="G137">
        <v>1</v>
      </c>
      <c r="J137">
        <v>0</v>
      </c>
      <c r="K137">
        <v>1</v>
      </c>
      <c r="L137">
        <v>100</v>
      </c>
      <c r="N137">
        <v>0</v>
      </c>
      <c r="P137">
        <v>0</v>
      </c>
      <c r="R137">
        <v>0</v>
      </c>
      <c r="T137">
        <v>5</v>
      </c>
      <c r="W137">
        <v>10</v>
      </c>
      <c r="Z137">
        <v>0.05</v>
      </c>
      <c r="AA137">
        <v>1</v>
      </c>
      <c r="AD137">
        <v>0</v>
      </c>
      <c r="AE137">
        <v>1</v>
      </c>
      <c r="AI137" s="1"/>
      <c r="AJ137" t="s">
        <v>802</v>
      </c>
      <c r="AK137" t="s">
        <v>206</v>
      </c>
      <c r="AL137" s="29" t="s">
        <v>9746</v>
      </c>
      <c r="AN137" s="22" t="s">
        <v>9773</v>
      </c>
      <c r="AO137" s="22" t="s">
        <v>9768</v>
      </c>
      <c r="AQ137" s="23" t="s">
        <v>9695</v>
      </c>
      <c r="AR137">
        <v>3</v>
      </c>
      <c r="AS137">
        <v>0</v>
      </c>
      <c r="AZ137">
        <v>0.25</v>
      </c>
      <c r="BC137">
        <v>1</v>
      </c>
      <c r="BE137" t="s">
        <v>344</v>
      </c>
      <c r="BG137" t="s">
        <v>804</v>
      </c>
      <c r="BJ137" t="s">
        <v>329</v>
      </c>
      <c r="BL137" t="s">
        <v>338</v>
      </c>
      <c r="BN137" s="26" t="s">
        <v>805</v>
      </c>
      <c r="BQ137" t="s">
        <v>207</v>
      </c>
      <c r="BR137" t="s">
        <v>208</v>
      </c>
      <c r="BU137" t="s">
        <v>806</v>
      </c>
      <c r="BX137">
        <v>1</v>
      </c>
    </row>
    <row r="138" spans="1:76" customFormat="1" x14ac:dyDescent="0.25">
      <c r="E138" s="2"/>
      <c r="F138" t="s">
        <v>803</v>
      </c>
      <c r="AN138" s="22"/>
      <c r="AO138" s="22"/>
    </row>
    <row r="139" spans="1:76" customFormat="1" x14ac:dyDescent="0.25">
      <c r="A139" t="s">
        <v>807</v>
      </c>
      <c r="Z139">
        <v>0.05</v>
      </c>
      <c r="AN139" s="22"/>
      <c r="AO139" s="22"/>
    </row>
    <row r="140" spans="1:76" customFormat="1" x14ac:dyDescent="0.25">
      <c r="A140" t="s">
        <v>808</v>
      </c>
      <c r="B140" t="s">
        <v>809</v>
      </c>
      <c r="F140" t="s">
        <v>810</v>
      </c>
      <c r="G140">
        <v>1</v>
      </c>
      <c r="L140">
        <v>100</v>
      </c>
      <c r="Z140">
        <v>0.05</v>
      </c>
      <c r="AH140" s="1"/>
      <c r="AI140">
        <v>2</v>
      </c>
      <c r="AJ140" t="s">
        <v>808</v>
      </c>
      <c r="AN140" s="23" t="s">
        <v>9768</v>
      </c>
      <c r="AO140" s="23" t="s">
        <v>9768</v>
      </c>
      <c r="AZ140">
        <v>0.25</v>
      </c>
      <c r="BN140" t="s">
        <v>811</v>
      </c>
      <c r="BO140" s="29"/>
      <c r="BQ140" t="s">
        <v>207</v>
      </c>
    </row>
    <row r="141" spans="1:76" customFormat="1" x14ac:dyDescent="0.25">
      <c r="A141" t="s">
        <v>812</v>
      </c>
      <c r="B141" t="s">
        <v>809</v>
      </c>
      <c r="F141" t="s">
        <v>812</v>
      </c>
      <c r="G141">
        <v>1</v>
      </c>
      <c r="L141">
        <v>100</v>
      </c>
      <c r="Z141">
        <v>0.05</v>
      </c>
      <c r="AH141" s="1"/>
      <c r="AI141">
        <v>2</v>
      </c>
      <c r="AJ141" t="s">
        <v>812</v>
      </c>
      <c r="AN141" s="23" t="s">
        <v>9768</v>
      </c>
      <c r="AO141" s="23" t="s">
        <v>9768</v>
      </c>
      <c r="AZ141">
        <v>0.25</v>
      </c>
      <c r="BN141" t="s">
        <v>811</v>
      </c>
      <c r="BQ141" t="s">
        <v>207</v>
      </c>
    </row>
    <row r="142" spans="1:76" customFormat="1" x14ac:dyDescent="0.25">
      <c r="A142" t="s">
        <v>813</v>
      </c>
      <c r="B142" t="s">
        <v>809</v>
      </c>
      <c r="F142" t="s">
        <v>814</v>
      </c>
      <c r="G142">
        <v>1</v>
      </c>
      <c r="L142">
        <v>100</v>
      </c>
      <c r="Z142">
        <v>0.05</v>
      </c>
      <c r="AH142" s="1"/>
      <c r="AI142">
        <v>2</v>
      </c>
      <c r="AJ142" t="s">
        <v>813</v>
      </c>
      <c r="AN142" s="23" t="s">
        <v>9768</v>
      </c>
      <c r="AO142" s="23" t="s">
        <v>9768</v>
      </c>
      <c r="AZ142">
        <v>0.25</v>
      </c>
      <c r="BN142" t="s">
        <v>811</v>
      </c>
      <c r="BQ142" t="s">
        <v>207</v>
      </c>
    </row>
    <row r="143" spans="1:76" customFormat="1" x14ac:dyDescent="0.25">
      <c r="A143" t="s">
        <v>815</v>
      </c>
      <c r="B143" t="s">
        <v>809</v>
      </c>
      <c r="F143" t="s">
        <v>815</v>
      </c>
      <c r="G143">
        <v>1</v>
      </c>
      <c r="L143">
        <v>100</v>
      </c>
      <c r="Z143">
        <v>0.05</v>
      </c>
      <c r="AH143" s="1"/>
      <c r="AI143">
        <v>2</v>
      </c>
      <c r="AJ143" t="s">
        <v>816</v>
      </c>
      <c r="AN143" s="23" t="s">
        <v>9768</v>
      </c>
      <c r="AO143" s="23" t="s">
        <v>9768</v>
      </c>
      <c r="AZ143">
        <v>0.25</v>
      </c>
      <c r="BN143" t="s">
        <v>811</v>
      </c>
      <c r="BQ143" t="s">
        <v>207</v>
      </c>
    </row>
    <row r="144" spans="1:76" customFormat="1" x14ac:dyDescent="0.25">
      <c r="A144" t="s">
        <v>817</v>
      </c>
      <c r="B144" t="s">
        <v>809</v>
      </c>
      <c r="F144" t="s">
        <v>817</v>
      </c>
      <c r="G144">
        <v>1</v>
      </c>
      <c r="L144">
        <v>100</v>
      </c>
      <c r="Z144">
        <v>0.05</v>
      </c>
      <c r="AH144" s="1"/>
      <c r="AI144">
        <v>2</v>
      </c>
      <c r="AJ144" t="s">
        <v>818</v>
      </c>
      <c r="AN144" s="23" t="s">
        <v>9768</v>
      </c>
      <c r="AO144" s="23" t="s">
        <v>9768</v>
      </c>
      <c r="AZ144">
        <v>0.25</v>
      </c>
      <c r="BN144" t="s">
        <v>811</v>
      </c>
      <c r="BQ144" t="s">
        <v>207</v>
      </c>
    </row>
    <row r="145" spans="1:76" customFormat="1" x14ac:dyDescent="0.25">
      <c r="A145" t="s">
        <v>819</v>
      </c>
      <c r="B145" t="s">
        <v>809</v>
      </c>
      <c r="F145" t="s">
        <v>819</v>
      </c>
      <c r="G145">
        <v>1</v>
      </c>
      <c r="L145">
        <v>100</v>
      </c>
      <c r="Z145">
        <v>0.05</v>
      </c>
      <c r="AH145" s="1"/>
      <c r="AI145">
        <v>2</v>
      </c>
      <c r="AJ145" t="s">
        <v>820</v>
      </c>
      <c r="AN145" s="23" t="s">
        <v>9768</v>
      </c>
      <c r="AO145" s="23" t="s">
        <v>9768</v>
      </c>
      <c r="AZ145">
        <v>0.25</v>
      </c>
      <c r="BN145" t="s">
        <v>811</v>
      </c>
      <c r="BQ145" t="s">
        <v>207</v>
      </c>
    </row>
    <row r="146" spans="1:76" customFormat="1" x14ac:dyDescent="0.25">
      <c r="A146" t="s">
        <v>821</v>
      </c>
      <c r="B146" t="s">
        <v>809</v>
      </c>
      <c r="F146" t="s">
        <v>821</v>
      </c>
      <c r="G146">
        <v>1</v>
      </c>
      <c r="L146">
        <v>100</v>
      </c>
      <c r="Z146">
        <v>0.05</v>
      </c>
      <c r="AH146" s="1"/>
      <c r="AI146">
        <v>2</v>
      </c>
      <c r="AJ146" t="s">
        <v>822</v>
      </c>
      <c r="AN146" s="23" t="s">
        <v>9768</v>
      </c>
      <c r="AO146" s="23" t="s">
        <v>9768</v>
      </c>
      <c r="AZ146">
        <v>0.25</v>
      </c>
      <c r="BN146" t="s">
        <v>811</v>
      </c>
      <c r="BQ146" t="s">
        <v>207</v>
      </c>
    </row>
    <row r="147" spans="1:76" customFormat="1" x14ac:dyDescent="0.25">
      <c r="A147" t="s">
        <v>823</v>
      </c>
      <c r="B147" t="s">
        <v>809</v>
      </c>
      <c r="F147" t="s">
        <v>824</v>
      </c>
      <c r="G147">
        <v>1</v>
      </c>
      <c r="Z147">
        <v>0.05</v>
      </c>
      <c r="AG147" s="1"/>
      <c r="AI147">
        <v>2</v>
      </c>
      <c r="AJ147" t="s">
        <v>823</v>
      </c>
      <c r="AL147" s="23" t="s">
        <v>9747</v>
      </c>
      <c r="AN147" s="23" t="s">
        <v>9768</v>
      </c>
      <c r="AO147" s="23" t="s">
        <v>9768</v>
      </c>
      <c r="AP147" s="1"/>
      <c r="AZ147">
        <v>0.25</v>
      </c>
      <c r="BN147" t="s">
        <v>826</v>
      </c>
      <c r="BQ147" t="s">
        <v>207</v>
      </c>
    </row>
    <row r="148" spans="1:76" customFormat="1" x14ac:dyDescent="0.25">
      <c r="A148" t="s">
        <v>827</v>
      </c>
      <c r="B148" t="s">
        <v>809</v>
      </c>
      <c r="F148" t="s">
        <v>803</v>
      </c>
      <c r="G148">
        <v>1</v>
      </c>
      <c r="L148">
        <v>100</v>
      </c>
      <c r="N148">
        <v>200</v>
      </c>
      <c r="Z148">
        <v>0.05</v>
      </c>
      <c r="AG148" s="1"/>
      <c r="AI148">
        <v>2</v>
      </c>
      <c r="AJ148" t="s">
        <v>827</v>
      </c>
      <c r="AL148" t="s">
        <v>828</v>
      </c>
      <c r="AM148" t="s">
        <v>829</v>
      </c>
      <c r="AN148" s="23" t="s">
        <v>9768</v>
      </c>
      <c r="AO148" s="23" t="s">
        <v>9769</v>
      </c>
      <c r="AP148" s="1"/>
      <c r="AZ148">
        <v>0.25</v>
      </c>
      <c r="BN148" t="s">
        <v>830</v>
      </c>
      <c r="BQ148" t="s">
        <v>207</v>
      </c>
      <c r="BR148" t="s">
        <v>208</v>
      </c>
      <c r="BU148" t="s">
        <v>806</v>
      </c>
      <c r="BX148">
        <v>1</v>
      </c>
    </row>
    <row r="149" spans="1:76" customFormat="1" x14ac:dyDescent="0.25">
      <c r="A149" t="s">
        <v>831</v>
      </c>
      <c r="B149" t="s">
        <v>809</v>
      </c>
      <c r="F149" t="s">
        <v>832</v>
      </c>
      <c r="G149">
        <v>1</v>
      </c>
      <c r="L149">
        <v>100</v>
      </c>
      <c r="N149">
        <v>200</v>
      </c>
      <c r="Z149">
        <v>0.05</v>
      </c>
      <c r="AG149" s="1"/>
      <c r="AI149">
        <v>2</v>
      </c>
      <c r="AJ149" t="s">
        <v>831</v>
      </c>
      <c r="AL149" t="s">
        <v>828</v>
      </c>
      <c r="AM149" t="s">
        <v>833</v>
      </c>
      <c r="AN149" s="23" t="s">
        <v>9768</v>
      </c>
      <c r="AO149" s="23" t="s">
        <v>9769</v>
      </c>
      <c r="AP149" s="1"/>
      <c r="AZ149">
        <v>0.25</v>
      </c>
      <c r="BN149" t="s">
        <v>834</v>
      </c>
      <c r="BQ149" t="s">
        <v>207</v>
      </c>
      <c r="BR149" t="s">
        <v>208</v>
      </c>
      <c r="BU149" t="s">
        <v>806</v>
      </c>
      <c r="BX149">
        <v>1</v>
      </c>
    </row>
    <row r="150" spans="1:76" customFormat="1" x14ac:dyDescent="0.25">
      <c r="A150" t="s">
        <v>835</v>
      </c>
      <c r="B150" t="s">
        <v>809</v>
      </c>
      <c r="F150" t="s">
        <v>836</v>
      </c>
      <c r="G150">
        <v>1</v>
      </c>
      <c r="L150">
        <v>100</v>
      </c>
      <c r="N150">
        <v>200</v>
      </c>
      <c r="Z150">
        <v>0.05</v>
      </c>
      <c r="AG150" s="1"/>
      <c r="AI150">
        <v>2</v>
      </c>
      <c r="AJ150" t="s">
        <v>835</v>
      </c>
      <c r="AL150" t="s">
        <v>828</v>
      </c>
      <c r="AM150" t="s">
        <v>837</v>
      </c>
      <c r="AN150" s="23" t="s">
        <v>9768</v>
      </c>
      <c r="AO150" s="23" t="s">
        <v>9769</v>
      </c>
      <c r="AP150" s="1"/>
      <c r="AZ150">
        <v>0.25</v>
      </c>
      <c r="BN150" t="s">
        <v>838</v>
      </c>
      <c r="BQ150" t="s">
        <v>207</v>
      </c>
      <c r="BR150" t="s">
        <v>208</v>
      </c>
      <c r="BT150" t="s">
        <v>208</v>
      </c>
      <c r="BU150" t="s">
        <v>806</v>
      </c>
      <c r="BX150">
        <v>1</v>
      </c>
    </row>
    <row r="151" spans="1:76" customFormat="1" x14ac:dyDescent="0.25">
      <c r="A151" t="s">
        <v>839</v>
      </c>
      <c r="B151" t="s">
        <v>809</v>
      </c>
      <c r="F151" t="s">
        <v>840</v>
      </c>
      <c r="G151">
        <v>1</v>
      </c>
      <c r="L151">
        <v>100</v>
      </c>
      <c r="N151">
        <v>20000</v>
      </c>
      <c r="Z151">
        <v>0.05</v>
      </c>
      <c r="AG151" s="1"/>
      <c r="AI151">
        <v>2</v>
      </c>
      <c r="AJ151" t="s">
        <v>839</v>
      </c>
      <c r="AL151" t="s">
        <v>841</v>
      </c>
      <c r="AM151" t="s">
        <v>842</v>
      </c>
      <c r="AN151" s="23" t="s">
        <v>9768</v>
      </c>
      <c r="AO151" s="23" t="s">
        <v>9769</v>
      </c>
      <c r="AP151" s="1"/>
      <c r="AZ151">
        <v>0.25</v>
      </c>
      <c r="BN151" t="s">
        <v>843</v>
      </c>
      <c r="BQ151" t="s">
        <v>207</v>
      </c>
      <c r="BR151" t="s">
        <v>208</v>
      </c>
      <c r="BT151" t="s">
        <v>210</v>
      </c>
      <c r="BU151" t="s">
        <v>806</v>
      </c>
      <c r="BX151">
        <v>1</v>
      </c>
    </row>
    <row r="152" spans="1:76" customFormat="1" x14ac:dyDescent="0.25">
      <c r="A152" t="s">
        <v>844</v>
      </c>
      <c r="B152" t="s">
        <v>809</v>
      </c>
      <c r="F152" t="s">
        <v>844</v>
      </c>
      <c r="L152">
        <v>100</v>
      </c>
      <c r="N152">
        <v>200</v>
      </c>
      <c r="AG152" s="1"/>
      <c r="AI152">
        <v>2</v>
      </c>
      <c r="AJ152" t="s">
        <v>844</v>
      </c>
      <c r="AL152" t="s">
        <v>845</v>
      </c>
      <c r="AN152" s="23" t="s">
        <v>9768</v>
      </c>
      <c r="AO152" s="23" t="s">
        <v>9768</v>
      </c>
      <c r="AP152" s="1"/>
      <c r="AT152">
        <v>1</v>
      </c>
      <c r="AZ152">
        <v>0.25</v>
      </c>
      <c r="BN152" t="s">
        <v>846</v>
      </c>
      <c r="BQ152" t="s">
        <v>207</v>
      </c>
    </row>
    <row r="153" spans="1:76" customFormat="1" x14ac:dyDescent="0.25">
      <c r="A153" t="s">
        <v>847</v>
      </c>
      <c r="B153" t="s">
        <v>809</v>
      </c>
      <c r="F153" t="s">
        <v>848</v>
      </c>
      <c r="L153">
        <v>100</v>
      </c>
      <c r="N153">
        <v>200</v>
      </c>
      <c r="AG153" s="1"/>
      <c r="AI153">
        <v>2</v>
      </c>
      <c r="AJ153" t="s">
        <v>849</v>
      </c>
      <c r="AL153" t="s">
        <v>850</v>
      </c>
      <c r="AN153" s="23" t="s">
        <v>9768</v>
      </c>
      <c r="AO153" s="23" t="s">
        <v>9768</v>
      </c>
      <c r="AP153" s="1"/>
      <c r="AT153">
        <v>1</v>
      </c>
      <c r="AZ153">
        <v>0.25</v>
      </c>
      <c r="BN153" t="s">
        <v>851</v>
      </c>
      <c r="BQ153" t="s">
        <v>207</v>
      </c>
    </row>
    <row r="154" spans="1:76" customFormat="1" x14ac:dyDescent="0.25">
      <c r="A154" t="s">
        <v>852</v>
      </c>
      <c r="B154" t="s">
        <v>809</v>
      </c>
      <c r="F154" t="s">
        <v>853</v>
      </c>
      <c r="L154">
        <v>100</v>
      </c>
      <c r="N154">
        <v>200</v>
      </c>
      <c r="AG154" s="1"/>
      <c r="AI154">
        <v>2</v>
      </c>
      <c r="AJ154" t="s">
        <v>852</v>
      </c>
      <c r="AN154" s="23" t="s">
        <v>9768</v>
      </c>
      <c r="AO154" s="23" t="s">
        <v>9768</v>
      </c>
      <c r="AP154" s="1"/>
      <c r="AZ154">
        <v>0.25</v>
      </c>
      <c r="BN154" t="s">
        <v>854</v>
      </c>
      <c r="BQ154" t="s">
        <v>207</v>
      </c>
    </row>
    <row r="155" spans="1:76" customFormat="1" x14ac:dyDescent="0.25">
      <c r="A155" t="s">
        <v>855</v>
      </c>
      <c r="B155" t="s">
        <v>809</v>
      </c>
      <c r="F155" t="s">
        <v>855</v>
      </c>
      <c r="G155">
        <v>1</v>
      </c>
      <c r="L155">
        <v>2500</v>
      </c>
      <c r="N155">
        <v>0</v>
      </c>
      <c r="P155">
        <v>100</v>
      </c>
      <c r="R155">
        <v>10</v>
      </c>
      <c r="Z155">
        <v>0.05</v>
      </c>
      <c r="AG155" s="1"/>
      <c r="AI155">
        <v>0</v>
      </c>
      <c r="AJ155" t="s">
        <v>855</v>
      </c>
      <c r="AL155" t="s">
        <v>856</v>
      </c>
      <c r="AM155" t="s">
        <v>855</v>
      </c>
      <c r="AN155" s="22" t="s">
        <v>9773</v>
      </c>
      <c r="AO155" s="22" t="s">
        <v>9769</v>
      </c>
      <c r="AP155" s="1"/>
      <c r="AR155">
        <v>3</v>
      </c>
      <c r="AZ155">
        <v>0.25</v>
      </c>
      <c r="BN155" t="s">
        <v>857</v>
      </c>
      <c r="BQ155" t="s">
        <v>207</v>
      </c>
      <c r="BR155" t="s">
        <v>208</v>
      </c>
      <c r="BU155" t="s">
        <v>806</v>
      </c>
      <c r="BX155">
        <v>1</v>
      </c>
    </row>
    <row r="156" spans="1:76" customFormat="1" x14ac:dyDescent="0.25">
      <c r="A156" t="s">
        <v>858</v>
      </c>
      <c r="B156" t="s">
        <v>809</v>
      </c>
      <c r="F156" t="s">
        <v>858</v>
      </c>
      <c r="G156">
        <v>1</v>
      </c>
      <c r="L156">
        <v>100</v>
      </c>
      <c r="N156">
        <v>0</v>
      </c>
      <c r="Z156">
        <v>0.05</v>
      </c>
      <c r="AG156" s="1"/>
      <c r="AI156">
        <v>2</v>
      </c>
      <c r="AJ156" t="s">
        <v>858</v>
      </c>
      <c r="AL156" t="s">
        <v>828</v>
      </c>
      <c r="AM156" t="s">
        <v>859</v>
      </c>
      <c r="AN156" s="23" t="s">
        <v>9768</v>
      </c>
      <c r="AO156" s="23" t="s">
        <v>9769</v>
      </c>
      <c r="AP156" s="1"/>
      <c r="AZ156">
        <v>0.25</v>
      </c>
      <c r="BN156" t="s">
        <v>860</v>
      </c>
      <c r="BQ156" t="s">
        <v>207</v>
      </c>
      <c r="BR156" t="s">
        <v>208</v>
      </c>
      <c r="BU156" t="s">
        <v>806</v>
      </c>
      <c r="BX156">
        <v>1</v>
      </c>
    </row>
    <row r="157" spans="1:76" customFormat="1" x14ac:dyDescent="0.25">
      <c r="A157" t="s">
        <v>861</v>
      </c>
      <c r="B157" t="s">
        <v>809</v>
      </c>
      <c r="F157" t="s">
        <v>861</v>
      </c>
      <c r="L157">
        <v>100</v>
      </c>
      <c r="N157">
        <v>100</v>
      </c>
      <c r="AG157" s="1"/>
      <c r="AI157">
        <v>2</v>
      </c>
      <c r="AJ157" t="s">
        <v>861</v>
      </c>
      <c r="AL157" t="s">
        <v>862</v>
      </c>
      <c r="AN157" s="23" t="s">
        <v>9768</v>
      </c>
      <c r="AO157" s="23" t="s">
        <v>9768</v>
      </c>
      <c r="AP157" s="1"/>
      <c r="AT157">
        <v>1</v>
      </c>
      <c r="AZ157">
        <v>0.25</v>
      </c>
      <c r="BN157" t="s">
        <v>863</v>
      </c>
      <c r="BQ157" t="s">
        <v>207</v>
      </c>
    </row>
    <row r="158" spans="1:76" customFormat="1" x14ac:dyDescent="0.25">
      <c r="A158" t="s">
        <v>864</v>
      </c>
      <c r="B158" t="s">
        <v>809</v>
      </c>
      <c r="F158" t="s">
        <v>864</v>
      </c>
      <c r="L158">
        <v>100</v>
      </c>
      <c r="N158">
        <v>100</v>
      </c>
      <c r="AG158" s="1"/>
      <c r="AI158">
        <v>2</v>
      </c>
      <c r="AJ158" t="s">
        <v>864</v>
      </c>
      <c r="AL158" t="s">
        <v>865</v>
      </c>
      <c r="AN158" s="23" t="s">
        <v>9768</v>
      </c>
      <c r="AO158" s="23" t="s">
        <v>9768</v>
      </c>
      <c r="AP158" s="1"/>
      <c r="AT158">
        <v>1</v>
      </c>
      <c r="AZ158">
        <v>0.25</v>
      </c>
      <c r="BN158" t="s">
        <v>866</v>
      </c>
      <c r="BQ158" t="s">
        <v>207</v>
      </c>
    </row>
    <row r="159" spans="1:76" customFormat="1" x14ac:dyDescent="0.25">
      <c r="A159" t="s">
        <v>867</v>
      </c>
      <c r="B159" t="s">
        <v>809</v>
      </c>
      <c r="F159" t="s">
        <v>868</v>
      </c>
      <c r="L159">
        <v>100</v>
      </c>
      <c r="N159">
        <v>100</v>
      </c>
      <c r="AG159" s="1"/>
      <c r="AI159">
        <v>2</v>
      </c>
      <c r="AJ159" t="s">
        <v>867</v>
      </c>
      <c r="AL159" t="s">
        <v>869</v>
      </c>
      <c r="AN159" s="23" t="s">
        <v>9768</v>
      </c>
      <c r="AO159" s="23" t="s">
        <v>9768</v>
      </c>
      <c r="AP159" s="1"/>
      <c r="AT159">
        <v>1</v>
      </c>
      <c r="AZ159">
        <v>0.25</v>
      </c>
      <c r="BN159" t="s">
        <v>870</v>
      </c>
      <c r="BQ159" t="s">
        <v>207</v>
      </c>
    </row>
    <row r="160" spans="1:76" customFormat="1" x14ac:dyDescent="0.25">
      <c r="A160" t="s">
        <v>871</v>
      </c>
      <c r="B160" t="s">
        <v>809</v>
      </c>
      <c r="F160" t="s">
        <v>872</v>
      </c>
      <c r="L160">
        <v>100</v>
      </c>
      <c r="N160">
        <v>100</v>
      </c>
      <c r="AG160" s="1"/>
      <c r="AI160">
        <v>2</v>
      </c>
      <c r="AJ160" t="s">
        <v>871</v>
      </c>
      <c r="AL160" t="s">
        <v>873</v>
      </c>
      <c r="AN160" s="23" t="s">
        <v>9768</v>
      </c>
      <c r="AO160" s="23" t="s">
        <v>9768</v>
      </c>
      <c r="AP160" s="1"/>
      <c r="AT160">
        <v>1</v>
      </c>
      <c r="AZ160">
        <v>0.25</v>
      </c>
      <c r="BN160" t="s">
        <v>874</v>
      </c>
      <c r="BQ160" t="s">
        <v>207</v>
      </c>
    </row>
    <row r="161" spans="1:76" customFormat="1" x14ac:dyDescent="0.25">
      <c r="A161" t="s">
        <v>875</v>
      </c>
      <c r="B161" t="s">
        <v>809</v>
      </c>
      <c r="F161" t="s">
        <v>875</v>
      </c>
      <c r="G161">
        <v>2</v>
      </c>
      <c r="L161">
        <v>100</v>
      </c>
      <c r="N161">
        <v>100</v>
      </c>
      <c r="AG161" s="1"/>
      <c r="AI161">
        <v>2</v>
      </c>
      <c r="AJ161" t="s">
        <v>875</v>
      </c>
      <c r="AL161" t="s">
        <v>876</v>
      </c>
      <c r="AN161" s="23" t="s">
        <v>9768</v>
      </c>
      <c r="AO161" s="23" t="s">
        <v>9768</v>
      </c>
      <c r="AP161" s="1"/>
      <c r="AT161">
        <v>1</v>
      </c>
      <c r="AZ161">
        <v>0.25</v>
      </c>
      <c r="BN161" t="s">
        <v>877</v>
      </c>
      <c r="BQ161" t="s">
        <v>207</v>
      </c>
    </row>
    <row r="162" spans="1:76" customFormat="1" x14ac:dyDescent="0.25">
      <c r="A162" t="s">
        <v>878</v>
      </c>
      <c r="B162" t="s">
        <v>809</v>
      </c>
      <c r="F162" t="s">
        <v>878</v>
      </c>
      <c r="L162">
        <v>100</v>
      </c>
      <c r="N162">
        <v>100</v>
      </c>
      <c r="AG162" s="1"/>
      <c r="AI162">
        <v>2</v>
      </c>
      <c r="AJ162" t="s">
        <v>878</v>
      </c>
      <c r="AL162" t="s">
        <v>879</v>
      </c>
      <c r="AN162" s="23" t="s">
        <v>9768</v>
      </c>
      <c r="AO162" s="23" t="s">
        <v>9768</v>
      </c>
      <c r="AP162" s="1"/>
      <c r="AT162">
        <v>1</v>
      </c>
      <c r="AZ162">
        <v>0.25</v>
      </c>
      <c r="BN162" t="s">
        <v>880</v>
      </c>
      <c r="BQ162" t="s">
        <v>207</v>
      </c>
    </row>
    <row r="163" spans="1:76" customFormat="1" x14ac:dyDescent="0.25">
      <c r="A163" t="s">
        <v>881</v>
      </c>
      <c r="B163" t="s">
        <v>809</v>
      </c>
      <c r="F163" t="s">
        <v>881</v>
      </c>
      <c r="G163">
        <v>1</v>
      </c>
      <c r="L163">
        <v>8000</v>
      </c>
      <c r="N163">
        <v>0</v>
      </c>
      <c r="P163">
        <v>0</v>
      </c>
      <c r="R163">
        <v>0</v>
      </c>
      <c r="Z163">
        <v>0.05</v>
      </c>
      <c r="AG163" s="1"/>
      <c r="AJ163" t="s">
        <v>881</v>
      </c>
      <c r="AL163" s="23" t="s">
        <v>9748</v>
      </c>
      <c r="AN163" s="22" t="s">
        <v>9773</v>
      </c>
      <c r="AO163" s="22" t="s">
        <v>9768</v>
      </c>
      <c r="AP163" s="1"/>
      <c r="AQ163" s="23" t="s">
        <v>9695</v>
      </c>
      <c r="AR163">
        <v>3</v>
      </c>
      <c r="AZ163">
        <v>0.25</v>
      </c>
      <c r="BC163">
        <v>1</v>
      </c>
      <c r="BN163" t="s">
        <v>882</v>
      </c>
      <c r="BQ163" t="s">
        <v>207</v>
      </c>
      <c r="BX163">
        <v>1</v>
      </c>
    </row>
    <row r="164" spans="1:76" customFormat="1" x14ac:dyDescent="0.25">
      <c r="A164" t="s">
        <v>883</v>
      </c>
      <c r="B164" t="s">
        <v>809</v>
      </c>
      <c r="F164" t="s">
        <v>881</v>
      </c>
      <c r="G164">
        <v>1</v>
      </c>
      <c r="L164">
        <v>5000</v>
      </c>
      <c r="N164">
        <v>500</v>
      </c>
      <c r="P164">
        <v>30</v>
      </c>
      <c r="R164">
        <v>0</v>
      </c>
      <c r="Z164">
        <v>0.05</v>
      </c>
      <c r="AG164" s="1"/>
      <c r="AH164">
        <v>0</v>
      </c>
      <c r="AI164">
        <v>1</v>
      </c>
      <c r="AJ164" t="s">
        <v>884</v>
      </c>
      <c r="AL164" t="s">
        <v>885</v>
      </c>
      <c r="AN164" s="22" t="s">
        <v>9767</v>
      </c>
      <c r="AP164" s="1"/>
      <c r="AZ164">
        <v>0.25</v>
      </c>
      <c r="BE164" t="s">
        <v>344</v>
      </c>
      <c r="BN164" t="s">
        <v>882</v>
      </c>
      <c r="BQ164" t="s">
        <v>207</v>
      </c>
      <c r="BX164">
        <v>1</v>
      </c>
    </row>
    <row r="166" spans="1:76" x14ac:dyDescent="0.25">
      <c r="A166" s="1" t="s">
        <v>886</v>
      </c>
      <c r="B166" s="1" t="s">
        <v>203</v>
      </c>
      <c r="D166" s="1" t="s">
        <v>887</v>
      </c>
      <c r="E166" s="1">
        <v>1007</v>
      </c>
      <c r="F166" s="1" t="str">
        <f t="shared" ref="F166:F169" si="200">"enemy_"&amp;E166&amp;"_"&amp;D166</f>
        <v>enemy_1007_slime</v>
      </c>
      <c r="G166" s="1">
        <v>1</v>
      </c>
      <c r="L166" s="1">
        <v>550</v>
      </c>
      <c r="N166" s="1">
        <v>130</v>
      </c>
      <c r="P166" s="1">
        <v>0</v>
      </c>
      <c r="R166" s="1">
        <v>0</v>
      </c>
      <c r="Z166" s="1">
        <v>0.05</v>
      </c>
      <c r="AA166" s="1">
        <v>1.7</v>
      </c>
      <c r="AB166" s="1">
        <v>0</v>
      </c>
      <c r="AC166" s="1">
        <v>1</v>
      </c>
      <c r="AH166" s="1">
        <v>0</v>
      </c>
      <c r="AI166" s="1">
        <v>1</v>
      </c>
      <c r="AJ166" s="1" t="s">
        <v>202</v>
      </c>
      <c r="AK166" s="1" t="s">
        <v>206</v>
      </c>
      <c r="AL166" s="1" t="s">
        <v>228</v>
      </c>
      <c r="AN166" s="22" t="s">
        <v>9767</v>
      </c>
      <c r="AX166" s="1">
        <v>1</v>
      </c>
      <c r="AZ166" s="1">
        <v>0.25</v>
      </c>
      <c r="BG166" s="1" t="str">
        <f t="shared" ref="BG166:BG169" si="201">"enemy_"&amp;E166&amp;"_"&amp;D166</f>
        <v>enemy_1007_slime</v>
      </c>
      <c r="BM166" s="1" t="s">
        <v>888</v>
      </c>
      <c r="BN166" s="1" t="s">
        <v>889</v>
      </c>
      <c r="BQ166" s="1" t="s">
        <v>207</v>
      </c>
      <c r="BR166" s="1" t="s">
        <v>208</v>
      </c>
      <c r="BS166" s="1" t="s">
        <v>209</v>
      </c>
      <c r="BT166" s="1" t="s">
        <v>210</v>
      </c>
      <c r="BX166" s="1">
        <v>1</v>
      </c>
    </row>
    <row r="167" spans="1:76" x14ac:dyDescent="0.25">
      <c r="A167" s="1" t="s">
        <v>890</v>
      </c>
      <c r="B167" s="1" t="s">
        <v>203</v>
      </c>
      <c r="D167" s="1" t="s">
        <v>204</v>
      </c>
      <c r="E167" s="1">
        <v>1007</v>
      </c>
      <c r="F167" s="1" t="str">
        <f t="shared" si="200"/>
        <v>enemy_1007_slime_2</v>
      </c>
      <c r="G167" s="1">
        <v>1</v>
      </c>
      <c r="L167" s="1">
        <v>1050</v>
      </c>
      <c r="N167" s="1">
        <v>185</v>
      </c>
      <c r="P167" s="1">
        <v>0</v>
      </c>
      <c r="R167" s="1">
        <v>0</v>
      </c>
      <c r="Z167" s="1">
        <v>0.05</v>
      </c>
      <c r="AA167" s="1">
        <v>1.7</v>
      </c>
      <c r="AB167" s="1">
        <v>0</v>
      </c>
      <c r="AC167" s="1">
        <v>1</v>
      </c>
      <c r="AH167" s="1">
        <v>0</v>
      </c>
      <c r="AI167" s="1">
        <v>1</v>
      </c>
      <c r="AJ167" s="1" t="s">
        <v>891</v>
      </c>
      <c r="AK167" s="1" t="s">
        <v>206</v>
      </c>
      <c r="AL167" s="1" t="s">
        <v>228</v>
      </c>
      <c r="AN167" s="22" t="s">
        <v>9767</v>
      </c>
      <c r="AX167" s="1">
        <v>1</v>
      </c>
      <c r="AZ167" s="1">
        <v>0.25</v>
      </c>
      <c r="BG167" s="1" t="str">
        <f t="shared" si="201"/>
        <v>enemy_1007_slime_2</v>
      </c>
      <c r="BM167" s="1" t="s">
        <v>888</v>
      </c>
      <c r="BN167" s="1" t="s">
        <v>892</v>
      </c>
      <c r="BQ167" s="1" t="s">
        <v>207</v>
      </c>
      <c r="BR167" s="1" t="s">
        <v>208</v>
      </c>
      <c r="BS167" s="1" t="s">
        <v>209</v>
      </c>
      <c r="BT167" s="1" t="s">
        <v>210</v>
      </c>
      <c r="BX167" s="1">
        <v>1</v>
      </c>
    </row>
    <row r="168" spans="1:76" x14ac:dyDescent="0.25">
      <c r="A168" s="1" t="s">
        <v>893</v>
      </c>
      <c r="B168" s="1" t="s">
        <v>203</v>
      </c>
      <c r="D168" s="1" t="s">
        <v>894</v>
      </c>
      <c r="E168" s="1">
        <v>1007</v>
      </c>
      <c r="F168" s="1" t="str">
        <f t="shared" si="200"/>
        <v>enemy_1007_slime_3</v>
      </c>
      <c r="G168" s="1">
        <v>1</v>
      </c>
      <c r="L168" s="1">
        <v>1550</v>
      </c>
      <c r="N168" s="1">
        <v>240</v>
      </c>
      <c r="P168" s="1">
        <v>0</v>
      </c>
      <c r="R168" s="1">
        <v>0</v>
      </c>
      <c r="Z168" s="1">
        <v>0.05</v>
      </c>
      <c r="AA168" s="1">
        <v>1.7</v>
      </c>
      <c r="AB168" s="1">
        <v>0</v>
      </c>
      <c r="AC168" s="1">
        <v>1</v>
      </c>
      <c r="AH168" s="1">
        <v>0</v>
      </c>
      <c r="AI168" s="1">
        <v>1</v>
      </c>
      <c r="AJ168" s="1" t="s">
        <v>895</v>
      </c>
      <c r="AK168" s="1" t="s">
        <v>206</v>
      </c>
      <c r="AL168" s="1" t="s">
        <v>228</v>
      </c>
      <c r="AN168" s="22" t="s">
        <v>9767</v>
      </c>
      <c r="AX168" s="1">
        <v>1</v>
      </c>
      <c r="AZ168" s="1">
        <v>0.25</v>
      </c>
      <c r="BG168" s="1" t="str">
        <f t="shared" si="201"/>
        <v>enemy_1007_slime_3</v>
      </c>
      <c r="BM168" s="1" t="s">
        <v>888</v>
      </c>
      <c r="BN168" s="1" t="s">
        <v>896</v>
      </c>
      <c r="BQ168" s="1" t="s">
        <v>207</v>
      </c>
      <c r="BR168" s="1" t="s">
        <v>208</v>
      </c>
      <c r="BS168" s="1" t="s">
        <v>209</v>
      </c>
      <c r="BT168" s="1" t="s">
        <v>210</v>
      </c>
      <c r="BX168" s="1">
        <v>1</v>
      </c>
    </row>
    <row r="169" spans="1:76" x14ac:dyDescent="0.25">
      <c r="A169" s="1" t="s">
        <v>897</v>
      </c>
      <c r="B169" s="1" t="s">
        <v>203</v>
      </c>
      <c r="D169" s="1" t="s">
        <v>898</v>
      </c>
      <c r="E169" s="1">
        <v>1004</v>
      </c>
      <c r="F169" s="1" t="str">
        <f t="shared" si="200"/>
        <v>enemy_1004_mslime</v>
      </c>
      <c r="G169" s="1">
        <v>1</v>
      </c>
      <c r="L169" s="1">
        <v>2080</v>
      </c>
      <c r="N169" s="1">
        <v>180</v>
      </c>
      <c r="P169" s="1">
        <v>80</v>
      </c>
      <c r="R169" s="1">
        <v>0</v>
      </c>
      <c r="Z169" s="1">
        <v>0.05</v>
      </c>
      <c r="AA169" s="1">
        <v>3</v>
      </c>
      <c r="AB169" s="1">
        <v>0</v>
      </c>
      <c r="AC169" s="1">
        <v>1</v>
      </c>
      <c r="AH169" s="1">
        <v>0</v>
      </c>
      <c r="AI169" s="1">
        <v>1</v>
      </c>
      <c r="AJ169" s="1" t="s">
        <v>899</v>
      </c>
      <c r="AK169" s="1" t="s">
        <v>206</v>
      </c>
      <c r="AL169" s="1" t="s">
        <v>900</v>
      </c>
      <c r="AN169" s="22" t="s">
        <v>9767</v>
      </c>
      <c r="AX169" s="1">
        <v>1</v>
      </c>
      <c r="AZ169" s="1">
        <v>0.25</v>
      </c>
      <c r="BG169" s="1" t="str">
        <f t="shared" si="201"/>
        <v>enemy_1004_mslime</v>
      </c>
      <c r="BM169" s="1" t="s">
        <v>901</v>
      </c>
      <c r="BN169" s="1" t="s">
        <v>902</v>
      </c>
      <c r="BQ169" s="1" t="s">
        <v>207</v>
      </c>
      <c r="BR169" s="1" t="s">
        <v>208</v>
      </c>
      <c r="BS169" s="1" t="s">
        <v>209</v>
      </c>
      <c r="BT169" s="1" t="s">
        <v>210</v>
      </c>
      <c r="BX169" s="1">
        <v>1</v>
      </c>
    </row>
    <row r="170" spans="1:76" x14ac:dyDescent="0.25">
      <c r="A170" s="1" t="s">
        <v>903</v>
      </c>
      <c r="B170" s="1" t="s">
        <v>203</v>
      </c>
      <c r="D170" s="1" t="s">
        <v>904</v>
      </c>
      <c r="E170" s="1">
        <v>1004</v>
      </c>
      <c r="F170" s="1" t="str">
        <f t="shared" ref="F170:F176" si="202">"enemy_"&amp;E170&amp;"_"&amp;D170</f>
        <v>enemy_1004_mslime_2</v>
      </c>
      <c r="G170" s="1">
        <v>1</v>
      </c>
      <c r="L170" s="1">
        <v>2780</v>
      </c>
      <c r="N170" s="1">
        <v>290</v>
      </c>
      <c r="P170" s="1">
        <v>0</v>
      </c>
      <c r="R170" s="1">
        <v>0</v>
      </c>
      <c r="Z170" s="1">
        <v>0.05</v>
      </c>
      <c r="AA170" s="1">
        <v>3.3</v>
      </c>
      <c r="AB170" s="1">
        <v>0</v>
      </c>
      <c r="AC170" s="1">
        <v>1</v>
      </c>
      <c r="AH170" s="1">
        <v>0</v>
      </c>
      <c r="AI170" s="1">
        <v>1</v>
      </c>
      <c r="AJ170" s="1" t="s">
        <v>905</v>
      </c>
      <c r="AK170" s="1" t="s">
        <v>206</v>
      </c>
      <c r="AL170" s="1" t="s">
        <v>906</v>
      </c>
      <c r="AN170" s="22" t="s">
        <v>9767</v>
      </c>
      <c r="AX170" s="1">
        <v>1</v>
      </c>
      <c r="AZ170" s="1">
        <v>0.25</v>
      </c>
      <c r="BG170" s="1" t="str">
        <f t="shared" ref="BG170:BG176" si="203">"enemy_"&amp;E170&amp;"_"&amp;D170</f>
        <v>enemy_1004_mslime_2</v>
      </c>
      <c r="BM170" s="1" t="s">
        <v>901</v>
      </c>
      <c r="BN170" s="1" t="s">
        <v>907</v>
      </c>
      <c r="BQ170" s="1" t="s">
        <v>207</v>
      </c>
      <c r="BR170" s="1" t="s">
        <v>208</v>
      </c>
      <c r="BS170" s="1" t="s">
        <v>209</v>
      </c>
      <c r="BT170" s="1" t="s">
        <v>210</v>
      </c>
      <c r="BX170" s="1">
        <v>1</v>
      </c>
    </row>
    <row r="171" spans="1:76" x14ac:dyDescent="0.25">
      <c r="A171" s="1" t="s">
        <v>908</v>
      </c>
      <c r="B171" s="1" t="s">
        <v>203</v>
      </c>
      <c r="D171" s="1" t="s">
        <v>909</v>
      </c>
      <c r="E171" s="1">
        <v>1021</v>
      </c>
      <c r="F171" s="1" t="str">
        <f t="shared" si="202"/>
        <v>enemy_1021_bslime</v>
      </c>
      <c r="G171" s="1">
        <v>1</v>
      </c>
      <c r="L171" s="1">
        <v>2460</v>
      </c>
      <c r="N171" s="1">
        <v>260</v>
      </c>
      <c r="P171" s="1">
        <v>0</v>
      </c>
      <c r="R171" s="1">
        <v>0</v>
      </c>
      <c r="Z171" s="1">
        <v>0.05</v>
      </c>
      <c r="AA171" s="1">
        <v>1.7</v>
      </c>
      <c r="AB171" s="1">
        <v>0</v>
      </c>
      <c r="AC171" s="1">
        <v>1</v>
      </c>
      <c r="AH171" s="1">
        <v>0</v>
      </c>
      <c r="AI171" s="1">
        <v>1</v>
      </c>
      <c r="AJ171" s="1" t="s">
        <v>910</v>
      </c>
      <c r="AK171" s="1" t="s">
        <v>206</v>
      </c>
      <c r="AL171" s="1" t="s">
        <v>911</v>
      </c>
      <c r="AN171" s="22" t="s">
        <v>9767</v>
      </c>
      <c r="AX171" s="1">
        <v>1</v>
      </c>
      <c r="AZ171" s="1">
        <v>0.25</v>
      </c>
      <c r="BG171" s="1" t="str">
        <f t="shared" si="203"/>
        <v>enemy_1021_bslime</v>
      </c>
      <c r="BM171" s="1" t="s">
        <v>888</v>
      </c>
      <c r="BN171" s="1" t="s">
        <v>912</v>
      </c>
      <c r="BQ171" s="1" t="s">
        <v>207</v>
      </c>
      <c r="BR171" s="1" t="s">
        <v>208</v>
      </c>
      <c r="BS171" s="1" t="s">
        <v>229</v>
      </c>
      <c r="BT171" s="1" t="s">
        <v>210</v>
      </c>
      <c r="BX171" s="1">
        <v>1</v>
      </c>
    </row>
    <row r="172" spans="1:76" x14ac:dyDescent="0.25">
      <c r="A172" s="1" t="s">
        <v>913</v>
      </c>
      <c r="B172" s="1" t="s">
        <v>203</v>
      </c>
      <c r="D172" s="1" t="s">
        <v>914</v>
      </c>
      <c r="E172" s="1">
        <v>1021</v>
      </c>
      <c r="F172" s="1" t="str">
        <f t="shared" si="202"/>
        <v>enemy_1021_bslime_2</v>
      </c>
      <c r="G172" s="1">
        <v>1</v>
      </c>
      <c r="L172" s="1">
        <v>3700</v>
      </c>
      <c r="N172" s="1">
        <v>350</v>
      </c>
      <c r="P172" s="1">
        <v>0</v>
      </c>
      <c r="R172" s="1">
        <v>0</v>
      </c>
      <c r="Z172" s="1">
        <v>0.05</v>
      </c>
      <c r="AA172" s="1">
        <v>1.7</v>
      </c>
      <c r="AB172" s="1">
        <v>0</v>
      </c>
      <c r="AC172" s="1">
        <v>1</v>
      </c>
      <c r="AH172" s="1">
        <v>0</v>
      </c>
      <c r="AI172" s="1">
        <v>1</v>
      </c>
      <c r="AJ172" s="1" t="s">
        <v>915</v>
      </c>
      <c r="AK172" s="1" t="s">
        <v>206</v>
      </c>
      <c r="AL172" s="1" t="s">
        <v>911</v>
      </c>
      <c r="AN172" s="22" t="s">
        <v>9767</v>
      </c>
      <c r="AX172" s="1">
        <v>1</v>
      </c>
      <c r="AZ172" s="1">
        <v>0.25</v>
      </c>
      <c r="BG172" s="1" t="str">
        <f t="shared" si="203"/>
        <v>enemy_1021_bslime_2</v>
      </c>
      <c r="BM172" s="1" t="s">
        <v>888</v>
      </c>
      <c r="BN172" s="1" t="s">
        <v>916</v>
      </c>
      <c r="BQ172" s="1" t="s">
        <v>207</v>
      </c>
      <c r="BR172" s="1" t="s">
        <v>208</v>
      </c>
      <c r="BS172" s="1" t="s">
        <v>229</v>
      </c>
      <c r="BT172" s="1" t="s">
        <v>210</v>
      </c>
      <c r="BX172" s="1">
        <v>1</v>
      </c>
    </row>
    <row r="173" spans="1:76" x14ac:dyDescent="0.25">
      <c r="A173" s="1" t="s">
        <v>917</v>
      </c>
      <c r="B173" s="1" t="s">
        <v>203</v>
      </c>
      <c r="D173" s="1" t="s">
        <v>212</v>
      </c>
      <c r="E173" s="1">
        <v>1000</v>
      </c>
      <c r="F173" s="1" t="str">
        <f t="shared" si="202"/>
        <v>enemy_1000_gopro</v>
      </c>
      <c r="G173" s="1">
        <v>1</v>
      </c>
      <c r="L173" s="1">
        <v>820</v>
      </c>
      <c r="N173" s="1">
        <v>190</v>
      </c>
      <c r="P173" s="1">
        <v>0</v>
      </c>
      <c r="R173" s="1">
        <v>20</v>
      </c>
      <c r="Z173" s="1">
        <v>0.05</v>
      </c>
      <c r="AA173" s="1">
        <v>1.4</v>
      </c>
      <c r="AB173" s="1">
        <v>0</v>
      </c>
      <c r="AC173" s="1">
        <v>1.9</v>
      </c>
      <c r="AH173" s="1">
        <v>0</v>
      </c>
      <c r="AI173" s="1">
        <v>1</v>
      </c>
      <c r="AJ173" s="1" t="s">
        <v>214</v>
      </c>
      <c r="AK173" s="1" t="s">
        <v>206</v>
      </c>
      <c r="AL173" s="1" t="s">
        <v>228</v>
      </c>
      <c r="AN173" s="22" t="s">
        <v>9767</v>
      </c>
      <c r="AX173" s="1">
        <v>1</v>
      </c>
      <c r="AZ173" s="1">
        <v>0.25</v>
      </c>
      <c r="BG173" s="1" t="str">
        <f t="shared" si="203"/>
        <v>enemy_1000_gopro</v>
      </c>
      <c r="BM173" s="1" t="s">
        <v>888</v>
      </c>
      <c r="BN173" s="1" t="s">
        <v>918</v>
      </c>
      <c r="BQ173" s="1" t="s">
        <v>207</v>
      </c>
      <c r="BR173" s="1" t="s">
        <v>208</v>
      </c>
      <c r="BS173" s="1" t="s">
        <v>217</v>
      </c>
      <c r="BT173" s="1" t="s">
        <v>210</v>
      </c>
      <c r="BX173" s="1">
        <v>1</v>
      </c>
    </row>
    <row r="174" spans="1:76" x14ac:dyDescent="0.25">
      <c r="A174" s="1" t="s">
        <v>919</v>
      </c>
      <c r="B174" s="1" t="s">
        <v>203</v>
      </c>
      <c r="D174" s="1" t="s">
        <v>920</v>
      </c>
      <c r="E174" s="1">
        <v>1000</v>
      </c>
      <c r="F174" s="1" t="str">
        <f t="shared" si="202"/>
        <v>enemy_1000_gopro_2</v>
      </c>
      <c r="G174" s="1">
        <v>1</v>
      </c>
      <c r="L174" s="1">
        <v>1700</v>
      </c>
      <c r="N174" s="1">
        <v>260</v>
      </c>
      <c r="P174" s="1">
        <v>0</v>
      </c>
      <c r="R174" s="1">
        <v>20</v>
      </c>
      <c r="Z174" s="1">
        <v>0.05</v>
      </c>
      <c r="AA174" s="1">
        <v>1.4</v>
      </c>
      <c r="AB174" s="1">
        <v>0</v>
      </c>
      <c r="AC174" s="1">
        <v>1.9</v>
      </c>
      <c r="AH174" s="1">
        <v>0</v>
      </c>
      <c r="AI174" s="1">
        <v>1</v>
      </c>
      <c r="AJ174" s="1" t="s">
        <v>921</v>
      </c>
      <c r="AK174" s="1" t="s">
        <v>206</v>
      </c>
      <c r="AL174" s="1" t="s">
        <v>228</v>
      </c>
      <c r="AN174" s="22" t="s">
        <v>9767</v>
      </c>
      <c r="AX174" s="1">
        <v>1</v>
      </c>
      <c r="AZ174" s="1">
        <v>0.25</v>
      </c>
      <c r="BG174" s="1" t="str">
        <f t="shared" si="203"/>
        <v>enemy_1000_gopro_2</v>
      </c>
      <c r="BM174" s="1" t="s">
        <v>888</v>
      </c>
      <c r="BN174" s="1" t="s">
        <v>922</v>
      </c>
      <c r="BQ174" s="1" t="s">
        <v>207</v>
      </c>
      <c r="BR174" s="1" t="s">
        <v>208</v>
      </c>
      <c r="BS174" s="1" t="s">
        <v>217</v>
      </c>
      <c r="BT174" s="1" t="s">
        <v>210</v>
      </c>
      <c r="BX174" s="1">
        <v>1</v>
      </c>
    </row>
    <row r="175" spans="1:76" x14ac:dyDescent="0.25">
      <c r="A175" s="1" t="s">
        <v>923</v>
      </c>
      <c r="B175" s="1" t="s">
        <v>203</v>
      </c>
      <c r="D175" s="1" t="s">
        <v>924</v>
      </c>
      <c r="E175" s="1">
        <v>1000</v>
      </c>
      <c r="F175" s="1" t="str">
        <f t="shared" si="202"/>
        <v>enemy_1000_gopro_3</v>
      </c>
      <c r="G175" s="1">
        <v>1</v>
      </c>
      <c r="L175" s="1">
        <v>3000</v>
      </c>
      <c r="N175" s="1">
        <v>370</v>
      </c>
      <c r="P175" s="1">
        <v>0</v>
      </c>
      <c r="R175" s="1">
        <v>20</v>
      </c>
      <c r="Z175" s="1">
        <v>0.05</v>
      </c>
      <c r="AA175" s="1">
        <v>1.4</v>
      </c>
      <c r="AB175" s="1">
        <v>0</v>
      </c>
      <c r="AC175" s="1">
        <v>1.9</v>
      </c>
      <c r="AH175" s="1">
        <v>0</v>
      </c>
      <c r="AI175" s="1">
        <v>1</v>
      </c>
      <c r="AJ175" s="1" t="s">
        <v>925</v>
      </c>
      <c r="AK175" s="1" t="s">
        <v>206</v>
      </c>
      <c r="AL175" s="1" t="s">
        <v>228</v>
      </c>
      <c r="AN175" s="22" t="s">
        <v>9767</v>
      </c>
      <c r="AX175" s="1">
        <v>1</v>
      </c>
      <c r="AZ175" s="1">
        <v>0.25</v>
      </c>
      <c r="BG175" s="1" t="str">
        <f t="shared" si="203"/>
        <v>enemy_1000_gopro_3</v>
      </c>
      <c r="BM175" s="1" t="s">
        <v>888</v>
      </c>
      <c r="BN175" s="1" t="s">
        <v>926</v>
      </c>
      <c r="BQ175" s="1" t="s">
        <v>207</v>
      </c>
      <c r="BR175" s="1" t="s">
        <v>208</v>
      </c>
      <c r="BS175" s="1" t="s">
        <v>217</v>
      </c>
      <c r="BT175" s="1" t="s">
        <v>210</v>
      </c>
      <c r="BX175" s="1">
        <v>1</v>
      </c>
    </row>
    <row r="176" spans="1:76" x14ac:dyDescent="0.25">
      <c r="A176" s="1" t="s">
        <v>927</v>
      </c>
      <c r="B176" s="1" t="s">
        <v>203</v>
      </c>
      <c r="D176" s="1" t="s">
        <v>928</v>
      </c>
      <c r="E176" s="1">
        <v>1002</v>
      </c>
      <c r="F176" s="1" t="str">
        <f t="shared" si="202"/>
        <v>enemy_1002_nsabr</v>
      </c>
      <c r="G176" s="1">
        <v>1</v>
      </c>
      <c r="L176" s="1">
        <v>1650</v>
      </c>
      <c r="N176" s="1">
        <v>200</v>
      </c>
      <c r="P176" s="1">
        <v>100</v>
      </c>
      <c r="R176" s="1">
        <v>0</v>
      </c>
      <c r="Z176" s="1">
        <v>0.05</v>
      </c>
      <c r="AA176" s="1">
        <v>2</v>
      </c>
      <c r="AB176" s="1">
        <v>1</v>
      </c>
      <c r="AC176" s="1">
        <v>1.1000000000000001</v>
      </c>
      <c r="AH176" s="1">
        <v>0</v>
      </c>
      <c r="AI176" s="1">
        <v>1</v>
      </c>
      <c r="AJ176" s="1" t="s">
        <v>929</v>
      </c>
      <c r="AK176" s="1" t="s">
        <v>206</v>
      </c>
      <c r="AL176" s="1" t="s">
        <v>228</v>
      </c>
      <c r="AN176" s="22" t="s">
        <v>9767</v>
      </c>
      <c r="AX176" s="1">
        <v>1</v>
      </c>
      <c r="AZ176" s="1">
        <v>0.25</v>
      </c>
      <c r="BG176" s="1" t="str">
        <f t="shared" si="203"/>
        <v>enemy_1002_nsabr</v>
      </c>
      <c r="BM176" s="1" t="s">
        <v>930</v>
      </c>
      <c r="BN176" s="1" t="s">
        <v>931</v>
      </c>
      <c r="BQ176" s="1" t="s">
        <v>207</v>
      </c>
      <c r="BR176" s="1" t="s">
        <v>208</v>
      </c>
      <c r="BS176" s="1" t="s">
        <v>239</v>
      </c>
      <c r="BT176" s="1" t="s">
        <v>210</v>
      </c>
      <c r="BX176" s="1">
        <v>1</v>
      </c>
    </row>
    <row r="177" spans="1:76" x14ac:dyDescent="0.25">
      <c r="A177" s="1" t="s">
        <v>932</v>
      </c>
      <c r="B177" s="1" t="s">
        <v>203</v>
      </c>
      <c r="D177" s="1" t="s">
        <v>933</v>
      </c>
      <c r="E177" s="1">
        <v>1003</v>
      </c>
      <c r="F177" s="1" t="str">
        <f t="shared" ref="F177:F240" si="204">"enemy_"&amp;E177&amp;"_"&amp;D177</f>
        <v>enemy_1003_ncbow</v>
      </c>
      <c r="G177" s="1">
        <v>1</v>
      </c>
      <c r="L177" s="1">
        <v>1400</v>
      </c>
      <c r="N177" s="1">
        <v>240</v>
      </c>
      <c r="P177" s="1">
        <v>100</v>
      </c>
      <c r="R177" s="1">
        <v>0</v>
      </c>
      <c r="Z177" s="1">
        <v>0.05</v>
      </c>
      <c r="AA177" s="1">
        <v>2.4</v>
      </c>
      <c r="AB177" s="1">
        <v>1</v>
      </c>
      <c r="AC177" s="1">
        <v>0.9</v>
      </c>
      <c r="AH177" s="1">
        <v>0</v>
      </c>
      <c r="AI177" s="1">
        <v>1</v>
      </c>
      <c r="AJ177" s="1" t="s">
        <v>934</v>
      </c>
      <c r="AK177" s="1" t="s">
        <v>206</v>
      </c>
      <c r="AL177" s="1" t="s">
        <v>935</v>
      </c>
      <c r="AN177" s="22" t="s">
        <v>9767</v>
      </c>
      <c r="AX177" s="1">
        <v>1</v>
      </c>
      <c r="AZ177" s="1">
        <v>0.25</v>
      </c>
      <c r="BG177" s="1" t="str">
        <f t="shared" ref="BG177:BG240" si="205">"enemy_"&amp;E177&amp;"_"&amp;D177</f>
        <v>enemy_1003_ncbow</v>
      </c>
      <c r="BM177" s="1" t="s">
        <v>936</v>
      </c>
      <c r="BN177" s="1" t="s">
        <v>937</v>
      </c>
      <c r="BQ177" s="1" t="s">
        <v>207</v>
      </c>
      <c r="BR177" s="1" t="s">
        <v>208</v>
      </c>
      <c r="BS177" s="1" t="s">
        <v>938</v>
      </c>
      <c r="BT177" s="1" t="s">
        <v>210</v>
      </c>
      <c r="BX177" s="1">
        <v>1</v>
      </c>
    </row>
    <row r="178" spans="1:76" x14ac:dyDescent="0.25">
      <c r="A178" s="1" t="s">
        <v>939</v>
      </c>
      <c r="B178" s="1" t="s">
        <v>203</v>
      </c>
      <c r="D178" s="1" t="s">
        <v>940</v>
      </c>
      <c r="E178" s="1">
        <v>1003</v>
      </c>
      <c r="F178" s="1" t="str">
        <f t="shared" si="204"/>
        <v>enemy_1003_ncbow_2</v>
      </c>
      <c r="G178" s="1">
        <v>1</v>
      </c>
      <c r="L178" s="1">
        <v>1900</v>
      </c>
      <c r="N178" s="1">
        <v>310</v>
      </c>
      <c r="P178" s="1">
        <v>150</v>
      </c>
      <c r="R178" s="1">
        <v>0</v>
      </c>
      <c r="Z178" s="1">
        <v>0.05</v>
      </c>
      <c r="AA178" s="1">
        <v>2.4</v>
      </c>
      <c r="AB178" s="1">
        <v>1</v>
      </c>
      <c r="AC178" s="1">
        <v>0.9</v>
      </c>
      <c r="AH178" s="1">
        <v>0</v>
      </c>
      <c r="AI178" s="1">
        <v>1</v>
      </c>
      <c r="AJ178" s="1" t="s">
        <v>941</v>
      </c>
      <c r="AK178" s="1" t="s">
        <v>206</v>
      </c>
      <c r="AL178" s="1" t="s">
        <v>935</v>
      </c>
      <c r="AN178" s="22" t="s">
        <v>9767</v>
      </c>
      <c r="AX178" s="1">
        <v>1</v>
      </c>
      <c r="AZ178" s="1">
        <v>0.25</v>
      </c>
      <c r="BG178" s="1" t="str">
        <f t="shared" si="205"/>
        <v>enemy_1003_ncbow_2</v>
      </c>
      <c r="BM178" s="1" t="s">
        <v>936</v>
      </c>
      <c r="BN178" s="1" t="s">
        <v>942</v>
      </c>
      <c r="BQ178" s="1" t="s">
        <v>207</v>
      </c>
      <c r="BR178" s="1" t="s">
        <v>208</v>
      </c>
      <c r="BS178" s="1" t="s">
        <v>938</v>
      </c>
      <c r="BT178" s="1" t="s">
        <v>210</v>
      </c>
      <c r="BX178" s="1">
        <v>1</v>
      </c>
    </row>
    <row r="179" spans="1:76" x14ac:dyDescent="0.25">
      <c r="A179" s="1" t="s">
        <v>943</v>
      </c>
      <c r="B179" s="1" t="s">
        <v>203</v>
      </c>
      <c r="D179" s="1" t="s">
        <v>944</v>
      </c>
      <c r="E179" s="1">
        <v>1011</v>
      </c>
      <c r="F179" s="1" t="str">
        <f t="shared" si="204"/>
        <v>enemy_1011_wizard</v>
      </c>
      <c r="G179" s="1">
        <v>1</v>
      </c>
      <c r="L179" s="1">
        <v>1600</v>
      </c>
      <c r="N179" s="1">
        <v>200</v>
      </c>
      <c r="P179" s="1">
        <v>50</v>
      </c>
      <c r="R179" s="1">
        <v>50</v>
      </c>
      <c r="Z179" s="1">
        <v>0.05</v>
      </c>
      <c r="AA179" s="1">
        <v>4</v>
      </c>
      <c r="AB179" s="1">
        <v>1</v>
      </c>
      <c r="AC179" s="1">
        <v>0.8</v>
      </c>
      <c r="AH179" s="1">
        <v>0</v>
      </c>
      <c r="AI179" s="1">
        <v>1</v>
      </c>
      <c r="AJ179" s="1" t="s">
        <v>945</v>
      </c>
      <c r="AK179" s="1" t="s">
        <v>206</v>
      </c>
      <c r="AL179" s="1" t="s">
        <v>946</v>
      </c>
      <c r="AN179" s="22" t="s">
        <v>9767</v>
      </c>
      <c r="AX179" s="1">
        <v>1</v>
      </c>
      <c r="AZ179" s="1">
        <v>0.25</v>
      </c>
      <c r="BG179" s="1" t="str">
        <f t="shared" si="205"/>
        <v>enemy_1011_wizard</v>
      </c>
      <c r="BM179" s="1" t="s">
        <v>936</v>
      </c>
      <c r="BN179" s="1" t="s">
        <v>947</v>
      </c>
      <c r="BQ179" s="1" t="s">
        <v>207</v>
      </c>
      <c r="BR179" s="1" t="s">
        <v>208</v>
      </c>
      <c r="BS179" s="1" t="s">
        <v>209</v>
      </c>
      <c r="BT179" s="1" t="s">
        <v>210</v>
      </c>
      <c r="BX179" s="1">
        <v>1</v>
      </c>
    </row>
    <row r="180" spans="1:76" x14ac:dyDescent="0.25">
      <c r="A180" s="1" t="s">
        <v>948</v>
      </c>
      <c r="B180" s="1" t="s">
        <v>203</v>
      </c>
      <c r="D180" s="1" t="s">
        <v>949</v>
      </c>
      <c r="E180" s="1">
        <v>1011</v>
      </c>
      <c r="F180" s="1" t="str">
        <f t="shared" si="204"/>
        <v>enemy_1011_wizard_2</v>
      </c>
      <c r="G180" s="1">
        <v>1</v>
      </c>
      <c r="L180" s="1">
        <v>2400</v>
      </c>
      <c r="N180" s="1">
        <v>300</v>
      </c>
      <c r="P180" s="1">
        <v>80</v>
      </c>
      <c r="R180" s="1">
        <v>50</v>
      </c>
      <c r="Z180" s="1">
        <v>0.05</v>
      </c>
      <c r="AA180" s="1">
        <v>4</v>
      </c>
      <c r="AB180" s="1">
        <v>1</v>
      </c>
      <c r="AC180" s="1">
        <v>0.8</v>
      </c>
      <c r="AH180" s="1">
        <v>0</v>
      </c>
      <c r="AI180" s="1">
        <v>1</v>
      </c>
      <c r="AJ180" s="1" t="s">
        <v>950</v>
      </c>
      <c r="AK180" s="1" t="s">
        <v>206</v>
      </c>
      <c r="AL180" s="1" t="s">
        <v>951</v>
      </c>
      <c r="AN180" s="22" t="s">
        <v>9767</v>
      </c>
      <c r="AX180" s="1">
        <v>1</v>
      </c>
      <c r="AZ180" s="1">
        <v>0.25</v>
      </c>
      <c r="BG180" s="1" t="str">
        <f t="shared" si="205"/>
        <v>enemy_1011_wizard_2</v>
      </c>
      <c r="BM180" s="1" t="s">
        <v>936</v>
      </c>
      <c r="BN180" s="1" t="s">
        <v>952</v>
      </c>
      <c r="BQ180" s="1" t="s">
        <v>207</v>
      </c>
      <c r="BR180" s="1" t="s">
        <v>208</v>
      </c>
      <c r="BS180" s="1" t="s">
        <v>209</v>
      </c>
      <c r="BT180" s="1" t="s">
        <v>210</v>
      </c>
      <c r="BX180" s="1">
        <v>1</v>
      </c>
    </row>
    <row r="181" spans="1:76" x14ac:dyDescent="0.25">
      <c r="A181" s="1" t="s">
        <v>953</v>
      </c>
      <c r="B181" s="1" t="s">
        <v>203</v>
      </c>
      <c r="D181" s="1" t="s">
        <v>954</v>
      </c>
      <c r="E181" s="1">
        <v>1018</v>
      </c>
      <c r="F181" s="1" t="str">
        <f t="shared" si="204"/>
        <v>enemy_1018_aoemag</v>
      </c>
      <c r="G181" s="1">
        <v>1</v>
      </c>
      <c r="L181" s="1">
        <v>7000</v>
      </c>
      <c r="N181" s="1">
        <v>240</v>
      </c>
      <c r="P181" s="1">
        <v>120</v>
      </c>
      <c r="R181" s="1">
        <v>50</v>
      </c>
      <c r="Z181" s="1">
        <v>0.05</v>
      </c>
      <c r="AA181" s="1">
        <v>3.8</v>
      </c>
      <c r="AB181" s="1">
        <v>1</v>
      </c>
      <c r="AC181" s="1">
        <v>0.7</v>
      </c>
      <c r="AH181" s="1">
        <v>0</v>
      </c>
      <c r="AI181" s="1">
        <v>1</v>
      </c>
      <c r="AJ181" s="1" t="s">
        <v>955</v>
      </c>
      <c r="AK181" s="1" t="s">
        <v>206</v>
      </c>
      <c r="AL181" s="1" t="s">
        <v>956</v>
      </c>
      <c r="AN181" s="22" t="s">
        <v>9767</v>
      </c>
      <c r="AX181" s="1">
        <v>1</v>
      </c>
      <c r="AZ181" s="1">
        <v>0.25</v>
      </c>
      <c r="BG181" s="1" t="str">
        <f t="shared" si="205"/>
        <v>enemy_1018_aoemag</v>
      </c>
      <c r="BM181" s="1" t="s">
        <v>957</v>
      </c>
      <c r="BN181" s="1" t="s">
        <v>958</v>
      </c>
      <c r="BQ181" s="1" t="s">
        <v>207</v>
      </c>
      <c r="BR181" s="1" t="s">
        <v>208</v>
      </c>
      <c r="BS181" s="1" t="s">
        <v>229</v>
      </c>
      <c r="BT181" s="1" t="s">
        <v>210</v>
      </c>
      <c r="BX181" s="1">
        <v>1</v>
      </c>
    </row>
    <row r="182" spans="1:76" x14ac:dyDescent="0.25">
      <c r="A182" s="1" t="s">
        <v>959</v>
      </c>
      <c r="B182" s="1" t="s">
        <v>203</v>
      </c>
      <c r="D182" s="1" t="s">
        <v>960</v>
      </c>
      <c r="E182" s="1">
        <v>1018</v>
      </c>
      <c r="F182" s="1" t="str">
        <f t="shared" si="204"/>
        <v>enemy_1018_aoemag_2</v>
      </c>
      <c r="G182" s="1">
        <v>1</v>
      </c>
      <c r="L182" s="1">
        <v>13500</v>
      </c>
      <c r="N182" s="1">
        <v>380</v>
      </c>
      <c r="P182" s="1">
        <v>160</v>
      </c>
      <c r="R182" s="1">
        <v>50</v>
      </c>
      <c r="Z182" s="1">
        <v>0.05</v>
      </c>
      <c r="AA182" s="1">
        <v>3.8</v>
      </c>
      <c r="AB182" s="1">
        <v>1</v>
      </c>
      <c r="AC182" s="1">
        <v>0.7</v>
      </c>
      <c r="AH182" s="1">
        <v>0</v>
      </c>
      <c r="AI182" s="1">
        <v>1</v>
      </c>
      <c r="AJ182" s="1" t="s">
        <v>961</v>
      </c>
      <c r="AK182" s="1" t="s">
        <v>206</v>
      </c>
      <c r="AL182" s="1" t="s">
        <v>956</v>
      </c>
      <c r="AN182" s="22" t="s">
        <v>9767</v>
      </c>
      <c r="AX182" s="1">
        <v>1</v>
      </c>
      <c r="AZ182" s="1">
        <v>0.25</v>
      </c>
      <c r="BG182" s="1" t="str">
        <f t="shared" si="205"/>
        <v>enemy_1018_aoemag_2</v>
      </c>
      <c r="BM182" s="1" t="s">
        <v>957</v>
      </c>
      <c r="BN182" s="1" t="s">
        <v>962</v>
      </c>
      <c r="BQ182" s="1" t="s">
        <v>207</v>
      </c>
      <c r="BR182" s="1" t="s">
        <v>208</v>
      </c>
      <c r="BS182" s="1" t="s">
        <v>229</v>
      </c>
      <c r="BT182" s="1" t="s">
        <v>210</v>
      </c>
      <c r="BX182" s="1">
        <v>1</v>
      </c>
    </row>
    <row r="183" spans="1:76" x14ac:dyDescent="0.25">
      <c r="A183" s="1" t="s">
        <v>963</v>
      </c>
      <c r="B183" s="1" t="s">
        <v>203</v>
      </c>
      <c r="D183" s="1" t="s">
        <v>964</v>
      </c>
      <c r="E183" s="1">
        <v>1013</v>
      </c>
      <c r="F183" s="1" t="str">
        <f t="shared" si="204"/>
        <v>enemy_1013_airdrp</v>
      </c>
      <c r="G183" s="1">
        <v>1</v>
      </c>
      <c r="L183" s="1">
        <v>1450</v>
      </c>
      <c r="N183" s="1">
        <v>220</v>
      </c>
      <c r="P183" s="1">
        <v>100</v>
      </c>
      <c r="R183" s="1">
        <v>0</v>
      </c>
      <c r="Z183" s="1">
        <v>0.05</v>
      </c>
      <c r="AA183" s="1">
        <v>1.9</v>
      </c>
      <c r="AB183" s="1">
        <v>0</v>
      </c>
      <c r="AC183" s="1">
        <v>1</v>
      </c>
      <c r="AH183" s="1">
        <v>0</v>
      </c>
      <c r="AI183" s="1">
        <v>1</v>
      </c>
      <c r="AJ183" s="1" t="s">
        <v>965</v>
      </c>
      <c r="AK183" s="1" t="s">
        <v>206</v>
      </c>
      <c r="AL183" s="1" t="s">
        <v>228</v>
      </c>
      <c r="AN183" s="22" t="s">
        <v>9767</v>
      </c>
      <c r="AX183" s="1">
        <v>1</v>
      </c>
      <c r="AZ183" s="1">
        <v>0.25</v>
      </c>
      <c r="BG183" s="1" t="str">
        <f t="shared" si="205"/>
        <v>enemy_1013_airdrp</v>
      </c>
      <c r="BM183" s="1" t="s">
        <v>930</v>
      </c>
      <c r="BN183" s="1" t="s">
        <v>966</v>
      </c>
      <c r="BQ183" s="1" t="s">
        <v>207</v>
      </c>
      <c r="BR183" s="1" t="s">
        <v>208</v>
      </c>
      <c r="BS183" s="1" t="s">
        <v>229</v>
      </c>
      <c r="BT183" s="1" t="s">
        <v>210</v>
      </c>
      <c r="BX183" s="1">
        <v>1</v>
      </c>
    </row>
    <row r="184" spans="1:76" x14ac:dyDescent="0.25">
      <c r="A184" s="1" t="s">
        <v>967</v>
      </c>
      <c r="B184" s="1" t="s">
        <v>203</v>
      </c>
      <c r="D184" s="1" t="s">
        <v>968</v>
      </c>
      <c r="E184" s="1">
        <v>1013</v>
      </c>
      <c r="F184" s="1" t="str">
        <f t="shared" si="204"/>
        <v>enemy_1013_airdrp_2</v>
      </c>
      <c r="G184" s="1">
        <v>1</v>
      </c>
      <c r="L184" s="1">
        <v>2300</v>
      </c>
      <c r="N184" s="1">
        <v>300</v>
      </c>
      <c r="P184" s="1">
        <v>150</v>
      </c>
      <c r="R184" s="1">
        <v>0</v>
      </c>
      <c r="Z184" s="1">
        <v>0.05</v>
      </c>
      <c r="AA184" s="1">
        <v>1.9</v>
      </c>
      <c r="AB184" s="1">
        <v>0</v>
      </c>
      <c r="AC184" s="1">
        <v>1</v>
      </c>
      <c r="AH184" s="1">
        <v>0</v>
      </c>
      <c r="AI184" s="1">
        <v>1</v>
      </c>
      <c r="AJ184" s="1" t="s">
        <v>969</v>
      </c>
      <c r="AK184" s="1" t="s">
        <v>206</v>
      </c>
      <c r="AL184" s="1" t="s">
        <v>228</v>
      </c>
      <c r="AN184" s="22" t="s">
        <v>9767</v>
      </c>
      <c r="AX184" s="1">
        <v>1</v>
      </c>
      <c r="AZ184" s="1">
        <v>0.25</v>
      </c>
      <c r="BG184" s="1" t="str">
        <f t="shared" si="205"/>
        <v>enemy_1013_airdrp_2</v>
      </c>
      <c r="BM184" s="1" t="s">
        <v>930</v>
      </c>
      <c r="BN184" s="1" t="s">
        <v>970</v>
      </c>
      <c r="BQ184" s="1" t="s">
        <v>207</v>
      </c>
      <c r="BR184" s="1" t="s">
        <v>208</v>
      </c>
      <c r="BS184" s="1" t="s">
        <v>229</v>
      </c>
      <c r="BT184" s="1" t="s">
        <v>210</v>
      </c>
      <c r="BX184" s="1">
        <v>1</v>
      </c>
    </row>
    <row r="185" spans="1:76" x14ac:dyDescent="0.25">
      <c r="A185" s="1" t="s">
        <v>971</v>
      </c>
      <c r="B185" s="1" t="s">
        <v>203</v>
      </c>
      <c r="D185" s="1" t="s">
        <v>972</v>
      </c>
      <c r="E185" s="1">
        <v>1024</v>
      </c>
      <c r="F185" s="1" t="str">
        <f t="shared" si="204"/>
        <v>enemy_1024_mortar</v>
      </c>
      <c r="G185" s="1">
        <v>1</v>
      </c>
      <c r="L185" s="1">
        <v>3300</v>
      </c>
      <c r="N185" s="1">
        <v>400</v>
      </c>
      <c r="P185" s="1">
        <v>150</v>
      </c>
      <c r="R185" s="1">
        <v>0</v>
      </c>
      <c r="Z185" s="1">
        <v>0.05</v>
      </c>
      <c r="AA185" s="1">
        <v>4.5</v>
      </c>
      <c r="AB185" s="1">
        <v>2</v>
      </c>
      <c r="AC185" s="1">
        <v>0.8</v>
      </c>
      <c r="AH185" s="1">
        <v>0</v>
      </c>
      <c r="AI185" s="1">
        <v>1</v>
      </c>
      <c r="AJ185" s="1" t="s">
        <v>386</v>
      </c>
      <c r="AK185" s="1" t="s">
        <v>206</v>
      </c>
      <c r="AL185" s="1" t="s">
        <v>270</v>
      </c>
      <c r="AN185" s="22" t="s">
        <v>9767</v>
      </c>
      <c r="AX185" s="1">
        <v>1</v>
      </c>
      <c r="AZ185" s="1">
        <v>0.25</v>
      </c>
      <c r="BG185" s="1" t="str">
        <f t="shared" si="205"/>
        <v>enemy_1024_mortar</v>
      </c>
      <c r="BM185" s="1" t="s">
        <v>936</v>
      </c>
      <c r="BN185" s="1" t="s">
        <v>973</v>
      </c>
      <c r="BQ185" s="1" t="s">
        <v>207</v>
      </c>
      <c r="BR185" s="1" t="s">
        <v>271</v>
      </c>
      <c r="BS185" s="1" t="s">
        <v>229</v>
      </c>
      <c r="BT185" s="1" t="s">
        <v>210</v>
      </c>
      <c r="BX185" s="1">
        <v>1</v>
      </c>
    </row>
    <row r="186" spans="1:76" x14ac:dyDescent="0.25">
      <c r="A186" s="1" t="s">
        <v>974</v>
      </c>
      <c r="B186" s="1" t="s">
        <v>203</v>
      </c>
      <c r="D186" s="1" t="s">
        <v>268</v>
      </c>
      <c r="E186" s="1">
        <v>1024</v>
      </c>
      <c r="F186" s="1" t="str">
        <f t="shared" si="204"/>
        <v>enemy_1024_mortar_2</v>
      </c>
      <c r="G186" s="1">
        <v>1</v>
      </c>
      <c r="L186" s="1">
        <v>5000</v>
      </c>
      <c r="N186" s="1">
        <v>550</v>
      </c>
      <c r="P186" s="1">
        <v>150</v>
      </c>
      <c r="R186" s="1">
        <v>0</v>
      </c>
      <c r="Z186" s="1">
        <v>0.05</v>
      </c>
      <c r="AA186" s="1">
        <v>4.5</v>
      </c>
      <c r="AB186" s="1">
        <v>2</v>
      </c>
      <c r="AC186" s="1">
        <v>0.8</v>
      </c>
      <c r="AH186" s="1">
        <v>0</v>
      </c>
      <c r="AI186" s="1">
        <v>1</v>
      </c>
      <c r="AJ186" s="1" t="s">
        <v>267</v>
      </c>
      <c r="AK186" s="1" t="s">
        <v>206</v>
      </c>
      <c r="AL186" s="1" t="s">
        <v>270</v>
      </c>
      <c r="AN186" s="22" t="s">
        <v>9767</v>
      </c>
      <c r="AX186" s="1">
        <v>1</v>
      </c>
      <c r="AZ186" s="1">
        <v>0.25</v>
      </c>
      <c r="BG186" s="1" t="str">
        <f t="shared" si="205"/>
        <v>enemy_1024_mortar_2</v>
      </c>
      <c r="BM186" s="1" t="s">
        <v>936</v>
      </c>
      <c r="BN186" s="1" t="s">
        <v>975</v>
      </c>
      <c r="BQ186" s="1" t="s">
        <v>207</v>
      </c>
      <c r="BR186" s="1" t="s">
        <v>271</v>
      </c>
      <c r="BS186" s="1" t="s">
        <v>229</v>
      </c>
      <c r="BT186" s="1" t="s">
        <v>210</v>
      </c>
      <c r="BX186" s="1">
        <v>1</v>
      </c>
    </row>
    <row r="187" spans="1:76" x14ac:dyDescent="0.25">
      <c r="A187" s="1" t="s">
        <v>976</v>
      </c>
      <c r="B187" s="1" t="s">
        <v>203</v>
      </c>
      <c r="D187" s="1" t="s">
        <v>977</v>
      </c>
      <c r="E187" s="1">
        <v>1014</v>
      </c>
      <c r="F187" s="1" t="str">
        <f t="shared" si="204"/>
        <v>enemy_1014_rogue</v>
      </c>
      <c r="G187" s="1">
        <v>1</v>
      </c>
      <c r="L187" s="1">
        <v>2000</v>
      </c>
      <c r="N187" s="1">
        <v>350</v>
      </c>
      <c r="P187" s="1">
        <v>100</v>
      </c>
      <c r="R187" s="1">
        <v>0</v>
      </c>
      <c r="Z187" s="1">
        <v>0.05</v>
      </c>
      <c r="AA187" s="1">
        <v>1.2</v>
      </c>
      <c r="AB187" s="1">
        <v>1</v>
      </c>
      <c r="AC187" s="1">
        <v>1.1000000000000001</v>
      </c>
      <c r="AH187" s="1">
        <v>0</v>
      </c>
      <c r="AI187" s="1">
        <v>1</v>
      </c>
      <c r="AJ187" s="1" t="s">
        <v>978</v>
      </c>
      <c r="AK187" s="1" t="s">
        <v>206</v>
      </c>
      <c r="AL187" s="1" t="s">
        <v>228</v>
      </c>
      <c r="AN187" s="22" t="s">
        <v>9767</v>
      </c>
      <c r="AX187" s="1">
        <v>1</v>
      </c>
      <c r="AZ187" s="1">
        <v>0.25</v>
      </c>
      <c r="BG187" s="1" t="str">
        <f t="shared" si="205"/>
        <v>enemy_1014_rogue</v>
      </c>
      <c r="BM187" s="1" t="s">
        <v>930</v>
      </c>
      <c r="BN187" s="1" t="s">
        <v>979</v>
      </c>
      <c r="BQ187" s="1" t="s">
        <v>207</v>
      </c>
      <c r="BR187" s="1" t="s">
        <v>208</v>
      </c>
      <c r="BS187" s="1" t="s">
        <v>229</v>
      </c>
      <c r="BT187" s="1" t="s">
        <v>210</v>
      </c>
      <c r="BX187" s="1">
        <v>1</v>
      </c>
    </row>
    <row r="188" spans="1:76" x14ac:dyDescent="0.25">
      <c r="A188" s="1" t="s">
        <v>980</v>
      </c>
      <c r="B188" s="1" t="s">
        <v>203</v>
      </c>
      <c r="D188" s="1" t="s">
        <v>981</v>
      </c>
      <c r="E188" s="1">
        <v>1014</v>
      </c>
      <c r="F188" s="1" t="str">
        <f t="shared" si="204"/>
        <v>enemy_1014_rogue_2</v>
      </c>
      <c r="G188" s="1">
        <v>1</v>
      </c>
      <c r="L188" s="1">
        <v>3000</v>
      </c>
      <c r="N188" s="1">
        <v>450</v>
      </c>
      <c r="P188" s="1">
        <v>120</v>
      </c>
      <c r="R188" s="1">
        <v>0</v>
      </c>
      <c r="Z188" s="1">
        <v>0.05</v>
      </c>
      <c r="AA188" s="1">
        <v>1.2</v>
      </c>
      <c r="AB188" s="1">
        <v>1</v>
      </c>
      <c r="AC188" s="1">
        <v>1.1000000000000001</v>
      </c>
      <c r="AH188" s="1">
        <v>0</v>
      </c>
      <c r="AI188" s="1">
        <v>1</v>
      </c>
      <c r="AJ188" s="1" t="s">
        <v>982</v>
      </c>
      <c r="AK188" s="1" t="s">
        <v>206</v>
      </c>
      <c r="AL188" s="1" t="s">
        <v>228</v>
      </c>
      <c r="AN188" s="22" t="s">
        <v>9767</v>
      </c>
      <c r="AX188" s="1">
        <v>1</v>
      </c>
      <c r="AZ188" s="1">
        <v>0.25</v>
      </c>
      <c r="BG188" s="1" t="str">
        <f t="shared" si="205"/>
        <v>enemy_1014_rogue_2</v>
      </c>
      <c r="BM188" s="1" t="s">
        <v>930</v>
      </c>
      <c r="BN188" s="1" t="s">
        <v>983</v>
      </c>
      <c r="BQ188" s="1" t="s">
        <v>207</v>
      </c>
      <c r="BR188" s="1" t="s">
        <v>208</v>
      </c>
      <c r="BS188" s="1" t="s">
        <v>229</v>
      </c>
      <c r="BT188" s="1" t="s">
        <v>210</v>
      </c>
      <c r="BX188" s="1">
        <v>1</v>
      </c>
    </row>
    <row r="189" spans="1:76" x14ac:dyDescent="0.25">
      <c r="A189" s="1" t="s">
        <v>984</v>
      </c>
      <c r="B189" s="1" t="s">
        <v>203</v>
      </c>
      <c r="D189" s="1" t="s">
        <v>284</v>
      </c>
      <c r="E189" s="1">
        <v>1015</v>
      </c>
      <c r="F189" s="1" t="str">
        <f t="shared" si="204"/>
        <v>enemy_1015_litamr</v>
      </c>
      <c r="G189" s="1">
        <v>1</v>
      </c>
      <c r="L189" s="1">
        <v>2500</v>
      </c>
      <c r="N189" s="1">
        <v>250</v>
      </c>
      <c r="P189" s="1">
        <v>400</v>
      </c>
      <c r="R189" s="1">
        <v>0</v>
      </c>
      <c r="Z189" s="1">
        <v>0.05</v>
      </c>
      <c r="AA189" s="1">
        <v>2</v>
      </c>
      <c r="AB189" s="1">
        <v>1</v>
      </c>
      <c r="AC189" s="1">
        <v>1</v>
      </c>
      <c r="AH189" s="1">
        <v>0</v>
      </c>
      <c r="AI189" s="1">
        <v>1</v>
      </c>
      <c r="AJ189" s="1" t="s">
        <v>283</v>
      </c>
      <c r="AK189" s="1" t="s">
        <v>206</v>
      </c>
      <c r="AL189" s="1" t="s">
        <v>228</v>
      </c>
      <c r="AN189" s="22" t="s">
        <v>9767</v>
      </c>
      <c r="AX189" s="1">
        <v>1</v>
      </c>
      <c r="AZ189" s="1">
        <v>0.25</v>
      </c>
      <c r="BG189" s="1" t="str">
        <f t="shared" si="205"/>
        <v>enemy_1015_litamr</v>
      </c>
      <c r="BM189" s="1" t="s">
        <v>930</v>
      </c>
      <c r="BN189" s="1" t="s">
        <v>985</v>
      </c>
      <c r="BQ189" s="1" t="s">
        <v>207</v>
      </c>
      <c r="BR189" s="1" t="s">
        <v>208</v>
      </c>
      <c r="BS189" s="1" t="s">
        <v>229</v>
      </c>
      <c r="BT189" s="1" t="s">
        <v>210</v>
      </c>
      <c r="BX189" s="1">
        <v>1</v>
      </c>
    </row>
    <row r="190" spans="1:76" x14ac:dyDescent="0.25">
      <c r="A190" s="1" t="s">
        <v>986</v>
      </c>
      <c r="B190" s="1" t="s">
        <v>203</v>
      </c>
      <c r="D190" s="1" t="s">
        <v>226</v>
      </c>
      <c r="E190" s="1">
        <v>1015</v>
      </c>
      <c r="F190" s="1" t="str">
        <f t="shared" si="204"/>
        <v>enemy_1015_litamr_2</v>
      </c>
      <c r="G190" s="1">
        <v>1</v>
      </c>
      <c r="L190" s="1">
        <v>3700</v>
      </c>
      <c r="N190" s="1">
        <v>300</v>
      </c>
      <c r="P190" s="1">
        <v>500</v>
      </c>
      <c r="R190" s="1">
        <v>0</v>
      </c>
      <c r="Z190" s="1">
        <v>0.05</v>
      </c>
      <c r="AA190" s="1">
        <v>2</v>
      </c>
      <c r="AB190" s="1">
        <v>1</v>
      </c>
      <c r="AC190" s="1">
        <v>1</v>
      </c>
      <c r="AH190" s="1">
        <v>0</v>
      </c>
      <c r="AI190" s="1">
        <v>1</v>
      </c>
      <c r="AJ190" s="1" t="s">
        <v>225</v>
      </c>
      <c r="AK190" s="1" t="s">
        <v>206</v>
      </c>
      <c r="AL190" s="1" t="s">
        <v>228</v>
      </c>
      <c r="AN190" s="22" t="s">
        <v>9767</v>
      </c>
      <c r="AX190" s="1">
        <v>1</v>
      </c>
      <c r="AZ190" s="1">
        <v>0.25</v>
      </c>
      <c r="BG190" s="1" t="str">
        <f t="shared" si="205"/>
        <v>enemy_1015_litamr_2</v>
      </c>
      <c r="BM190" s="1" t="s">
        <v>930</v>
      </c>
      <c r="BN190" s="1" t="s">
        <v>987</v>
      </c>
      <c r="BQ190" s="1" t="s">
        <v>207</v>
      </c>
      <c r="BR190" s="1" t="s">
        <v>208</v>
      </c>
      <c r="BS190" s="1" t="s">
        <v>229</v>
      </c>
      <c r="BT190" s="1" t="s">
        <v>210</v>
      </c>
      <c r="BX190" s="1">
        <v>1</v>
      </c>
    </row>
    <row r="191" spans="1:76" x14ac:dyDescent="0.25">
      <c r="A191" s="1" t="s">
        <v>988</v>
      </c>
      <c r="B191" s="1" t="s">
        <v>203</v>
      </c>
      <c r="D191" s="1" t="s">
        <v>296</v>
      </c>
      <c r="E191" s="1">
        <v>1006</v>
      </c>
      <c r="F191" s="1" t="str">
        <f t="shared" si="204"/>
        <v>enemy_1006_shield</v>
      </c>
      <c r="G191" s="1">
        <v>1</v>
      </c>
      <c r="L191" s="1">
        <v>6000</v>
      </c>
      <c r="N191" s="1">
        <v>600</v>
      </c>
      <c r="P191" s="1">
        <v>800</v>
      </c>
      <c r="R191" s="1">
        <v>0</v>
      </c>
      <c r="Z191" s="1">
        <v>0.05</v>
      </c>
      <c r="AA191" s="1">
        <v>2.6</v>
      </c>
      <c r="AB191" s="1">
        <v>3</v>
      </c>
      <c r="AC191" s="1">
        <v>0.75</v>
      </c>
      <c r="AH191" s="1">
        <v>0</v>
      </c>
      <c r="AI191" s="1">
        <v>1</v>
      </c>
      <c r="AJ191" s="1" t="s">
        <v>295</v>
      </c>
      <c r="AK191" s="1" t="s">
        <v>206</v>
      </c>
      <c r="AL191" s="1" t="s">
        <v>228</v>
      </c>
      <c r="AN191" s="22" t="s">
        <v>9767</v>
      </c>
      <c r="AX191" s="1">
        <v>1</v>
      </c>
      <c r="AZ191" s="1">
        <v>0.25</v>
      </c>
      <c r="BG191" s="1" t="str">
        <f t="shared" si="205"/>
        <v>enemy_1006_shield</v>
      </c>
      <c r="BM191" s="1" t="s">
        <v>989</v>
      </c>
      <c r="BN191" s="1" t="s">
        <v>990</v>
      </c>
      <c r="BQ191" s="1" t="s">
        <v>207</v>
      </c>
      <c r="BR191" s="1" t="s">
        <v>208</v>
      </c>
      <c r="BS191" s="1" t="s">
        <v>209</v>
      </c>
      <c r="BT191" s="1" t="s">
        <v>210</v>
      </c>
      <c r="BX191" s="1">
        <v>1</v>
      </c>
    </row>
    <row r="192" spans="1:76" x14ac:dyDescent="0.25">
      <c r="A192" s="1" t="s">
        <v>991</v>
      </c>
      <c r="B192" s="1" t="s">
        <v>203</v>
      </c>
      <c r="D192" s="1" t="s">
        <v>221</v>
      </c>
      <c r="E192" s="1">
        <v>1006</v>
      </c>
      <c r="F192" s="1" t="str">
        <f t="shared" si="204"/>
        <v>enemy_1006_shield_2</v>
      </c>
      <c r="G192" s="1">
        <v>1</v>
      </c>
      <c r="L192" s="1">
        <v>10000</v>
      </c>
      <c r="N192" s="1">
        <v>600</v>
      </c>
      <c r="P192" s="1">
        <v>1000</v>
      </c>
      <c r="R192" s="1">
        <v>0</v>
      </c>
      <c r="Z192" s="1">
        <v>0.05</v>
      </c>
      <c r="AA192" s="1">
        <v>2.6</v>
      </c>
      <c r="AB192" s="1">
        <v>3</v>
      </c>
      <c r="AC192" s="1">
        <v>0.75</v>
      </c>
      <c r="AH192" s="1">
        <v>0</v>
      </c>
      <c r="AI192" s="1">
        <v>1</v>
      </c>
      <c r="AJ192" s="1" t="s">
        <v>223</v>
      </c>
      <c r="AK192" s="1" t="s">
        <v>206</v>
      </c>
      <c r="AL192" s="1" t="s">
        <v>228</v>
      </c>
      <c r="AN192" s="22" t="s">
        <v>9767</v>
      </c>
      <c r="AX192" s="1">
        <v>1</v>
      </c>
      <c r="AZ192" s="1">
        <v>0.25</v>
      </c>
      <c r="BG192" s="1" t="str">
        <f t="shared" si="205"/>
        <v>enemy_1006_shield_2</v>
      </c>
      <c r="BM192" s="1" t="s">
        <v>989</v>
      </c>
      <c r="BN192" s="1" t="s">
        <v>992</v>
      </c>
      <c r="BQ192" s="1" t="s">
        <v>207</v>
      </c>
      <c r="BR192" s="1" t="s">
        <v>208</v>
      </c>
      <c r="BS192" s="1" t="s">
        <v>209</v>
      </c>
      <c r="BT192" s="1" t="s">
        <v>210</v>
      </c>
      <c r="BX192" s="1">
        <v>1</v>
      </c>
    </row>
    <row r="193" spans="1:76" x14ac:dyDescent="0.25">
      <c r="A193" s="1" t="s">
        <v>993</v>
      </c>
      <c r="B193" s="1" t="s">
        <v>203</v>
      </c>
      <c r="D193" s="1" t="s">
        <v>994</v>
      </c>
      <c r="E193" s="1">
        <v>1006</v>
      </c>
      <c r="F193" s="1" t="str">
        <f t="shared" si="204"/>
        <v>enemy_1006_shield_3</v>
      </c>
      <c r="G193" s="1">
        <v>1</v>
      </c>
      <c r="L193" s="1">
        <v>40000</v>
      </c>
      <c r="N193" s="1">
        <v>1000</v>
      </c>
      <c r="P193" s="1">
        <v>1200</v>
      </c>
      <c r="R193" s="1">
        <v>0</v>
      </c>
      <c r="Z193" s="1">
        <v>0.05</v>
      </c>
      <c r="AA193" s="1">
        <v>2.6</v>
      </c>
      <c r="AB193" s="1">
        <v>4</v>
      </c>
      <c r="AC193" s="1">
        <v>0.75</v>
      </c>
      <c r="AH193" s="1">
        <v>0</v>
      </c>
      <c r="AI193" s="1">
        <v>1</v>
      </c>
      <c r="AJ193" s="1" t="s">
        <v>995</v>
      </c>
      <c r="AK193" s="1" t="s">
        <v>206</v>
      </c>
      <c r="AL193" s="1" t="s">
        <v>228</v>
      </c>
      <c r="AN193" s="22" t="s">
        <v>9767</v>
      </c>
      <c r="AX193" s="1">
        <v>1</v>
      </c>
      <c r="AZ193" s="1">
        <v>0.25</v>
      </c>
      <c r="BG193" s="1" t="str">
        <f t="shared" si="205"/>
        <v>enemy_1006_shield_3</v>
      </c>
      <c r="BM193" s="1" t="s">
        <v>996</v>
      </c>
      <c r="BN193" s="1" t="s">
        <v>997</v>
      </c>
      <c r="BQ193" s="1" t="s">
        <v>207</v>
      </c>
      <c r="BR193" s="1" t="s">
        <v>208</v>
      </c>
      <c r="BS193" s="1" t="s">
        <v>209</v>
      </c>
      <c r="BT193" s="1" t="s">
        <v>210</v>
      </c>
      <c r="BX193" s="1">
        <v>1</v>
      </c>
    </row>
    <row r="194" spans="1:76" x14ac:dyDescent="0.25">
      <c r="A194" s="1" t="s">
        <v>998</v>
      </c>
      <c r="B194" s="1" t="s">
        <v>203</v>
      </c>
      <c r="D194" s="1" t="s">
        <v>999</v>
      </c>
      <c r="E194" s="1">
        <v>1001</v>
      </c>
      <c r="F194" s="1" t="str">
        <f t="shared" si="204"/>
        <v>enemy_1001_bigbo</v>
      </c>
      <c r="G194" s="1">
        <v>1</v>
      </c>
      <c r="L194" s="1">
        <v>22000</v>
      </c>
      <c r="N194" s="1">
        <v>1900</v>
      </c>
      <c r="P194" s="1">
        <v>800</v>
      </c>
      <c r="R194" s="1">
        <v>30</v>
      </c>
      <c r="Z194" s="1">
        <v>0.05</v>
      </c>
      <c r="AA194" s="1">
        <v>6</v>
      </c>
      <c r="AB194" s="1">
        <v>4</v>
      </c>
      <c r="AC194" s="1">
        <v>0.5</v>
      </c>
      <c r="AH194" s="1">
        <v>0</v>
      </c>
      <c r="AI194" s="1">
        <v>1</v>
      </c>
      <c r="AJ194" s="1" t="s">
        <v>1000</v>
      </c>
      <c r="AK194" s="1" t="s">
        <v>206</v>
      </c>
      <c r="AL194" s="1" t="s">
        <v>228</v>
      </c>
      <c r="AN194" s="22" t="s">
        <v>9767</v>
      </c>
      <c r="AX194" s="1">
        <v>1</v>
      </c>
      <c r="AZ194" s="1">
        <v>0.25</v>
      </c>
      <c r="BG194" s="1" t="str">
        <f t="shared" si="205"/>
        <v>enemy_1001_bigbo</v>
      </c>
      <c r="BM194" s="1" t="s">
        <v>996</v>
      </c>
      <c r="BN194" s="1" t="s">
        <v>1001</v>
      </c>
      <c r="BQ194" s="1" t="s">
        <v>207</v>
      </c>
      <c r="BR194" s="1" t="s">
        <v>208</v>
      </c>
      <c r="BS194" s="1" t="s">
        <v>209</v>
      </c>
      <c r="BT194" s="1" t="s">
        <v>210</v>
      </c>
      <c r="BX194" s="1">
        <v>1</v>
      </c>
    </row>
    <row r="195" spans="1:76" x14ac:dyDescent="0.25">
      <c r="A195" s="1" t="s">
        <v>1002</v>
      </c>
      <c r="B195" s="1" t="s">
        <v>203</v>
      </c>
      <c r="D195" s="1" t="s">
        <v>1003</v>
      </c>
      <c r="E195" s="1">
        <v>1001</v>
      </c>
      <c r="F195" s="1" t="str">
        <f t="shared" si="204"/>
        <v>enemy_1001_bigbo_2</v>
      </c>
      <c r="G195" s="1">
        <v>1</v>
      </c>
      <c r="L195" s="1">
        <v>30000</v>
      </c>
      <c r="N195" s="1">
        <v>2700</v>
      </c>
      <c r="P195" s="1">
        <v>1000</v>
      </c>
      <c r="R195" s="1">
        <v>30</v>
      </c>
      <c r="Z195" s="1">
        <v>0.05</v>
      </c>
      <c r="AA195" s="1">
        <v>6</v>
      </c>
      <c r="AB195" s="1">
        <v>4</v>
      </c>
      <c r="AC195" s="1">
        <v>0.5</v>
      </c>
      <c r="AH195" s="1">
        <v>0</v>
      </c>
      <c r="AI195" s="1">
        <v>1</v>
      </c>
      <c r="AJ195" s="1" t="s">
        <v>1004</v>
      </c>
      <c r="AK195" s="1" t="s">
        <v>206</v>
      </c>
      <c r="AL195" s="1" t="s">
        <v>228</v>
      </c>
      <c r="AN195" s="22" t="s">
        <v>9767</v>
      </c>
      <c r="AX195" s="1">
        <v>1</v>
      </c>
      <c r="AZ195" s="1">
        <v>0.25</v>
      </c>
      <c r="BG195" s="1" t="str">
        <f t="shared" si="205"/>
        <v>enemy_1001_bigbo_2</v>
      </c>
      <c r="BM195" s="1" t="s">
        <v>996</v>
      </c>
      <c r="BN195" s="1" t="s">
        <v>1005</v>
      </c>
      <c r="BQ195" s="1" t="s">
        <v>207</v>
      </c>
      <c r="BR195" s="1" t="s">
        <v>208</v>
      </c>
      <c r="BS195" s="1" t="s">
        <v>209</v>
      </c>
      <c r="BT195" s="1" t="s">
        <v>210</v>
      </c>
      <c r="BX195" s="1">
        <v>1</v>
      </c>
    </row>
    <row r="196" spans="1:76" x14ac:dyDescent="0.25">
      <c r="A196" s="1" t="s">
        <v>1006</v>
      </c>
      <c r="B196" s="1" t="s">
        <v>203</v>
      </c>
      <c r="D196" s="1" t="s">
        <v>1007</v>
      </c>
      <c r="E196" s="1">
        <v>1016</v>
      </c>
      <c r="F196" s="1" t="str">
        <f t="shared" si="204"/>
        <v>enemy_1016_diaman</v>
      </c>
      <c r="G196" s="1">
        <v>1</v>
      </c>
      <c r="L196" s="1">
        <v>3000</v>
      </c>
      <c r="N196" s="1">
        <v>300</v>
      </c>
      <c r="P196" s="1">
        <v>500</v>
      </c>
      <c r="R196" s="1">
        <v>85</v>
      </c>
      <c r="Z196" s="1">
        <v>0.05</v>
      </c>
      <c r="AA196" s="1">
        <v>2.2999999999999998</v>
      </c>
      <c r="AB196" s="1">
        <v>1</v>
      </c>
      <c r="AC196" s="1">
        <v>0.75</v>
      </c>
      <c r="AH196" s="1">
        <v>0</v>
      </c>
      <c r="AI196" s="1">
        <v>1</v>
      </c>
      <c r="AJ196" s="1" t="s">
        <v>1008</v>
      </c>
      <c r="AK196" s="1" t="s">
        <v>206</v>
      </c>
      <c r="AL196" s="1" t="s">
        <v>228</v>
      </c>
      <c r="AN196" s="22" t="s">
        <v>9767</v>
      </c>
      <c r="AX196" s="1">
        <v>1</v>
      </c>
      <c r="AZ196" s="1">
        <v>0.25</v>
      </c>
      <c r="BG196" s="1" t="str">
        <f t="shared" si="205"/>
        <v>enemy_1016_diaman</v>
      </c>
      <c r="BM196" s="1" t="s">
        <v>888</v>
      </c>
      <c r="BN196" s="1" t="s">
        <v>1009</v>
      </c>
      <c r="BQ196" s="1" t="s">
        <v>207</v>
      </c>
      <c r="BR196" s="1" t="s">
        <v>208</v>
      </c>
      <c r="BS196" s="1" t="s">
        <v>229</v>
      </c>
      <c r="BT196" s="1" t="s">
        <v>210</v>
      </c>
      <c r="BX196" s="1">
        <v>1</v>
      </c>
    </row>
    <row r="197" spans="1:76" x14ac:dyDescent="0.25">
      <c r="A197" s="1" t="s">
        <v>1010</v>
      </c>
      <c r="B197" s="1" t="s">
        <v>203</v>
      </c>
      <c r="D197" s="1" t="s">
        <v>1011</v>
      </c>
      <c r="E197" s="1">
        <v>1009</v>
      </c>
      <c r="F197" s="1" t="str">
        <f t="shared" si="204"/>
        <v>enemy_1009_lurker</v>
      </c>
      <c r="G197" s="1">
        <v>1</v>
      </c>
      <c r="L197" s="1">
        <v>2200</v>
      </c>
      <c r="N197" s="1">
        <v>300</v>
      </c>
      <c r="P197" s="1">
        <v>90</v>
      </c>
      <c r="R197" s="1">
        <v>20</v>
      </c>
      <c r="Z197" s="1">
        <v>0.05</v>
      </c>
      <c r="AA197" s="1">
        <v>2</v>
      </c>
      <c r="AB197" s="1">
        <v>1</v>
      </c>
      <c r="AC197" s="1">
        <v>1</v>
      </c>
      <c r="AH197" s="1">
        <v>0</v>
      </c>
      <c r="AI197" s="1">
        <v>1</v>
      </c>
      <c r="AJ197" s="1" t="s">
        <v>1012</v>
      </c>
      <c r="AK197" s="1" t="s">
        <v>206</v>
      </c>
      <c r="AL197" s="1" t="s">
        <v>1013</v>
      </c>
      <c r="AN197" s="22" t="s">
        <v>9767</v>
      </c>
      <c r="AX197" s="1">
        <v>1</v>
      </c>
      <c r="AZ197" s="1">
        <v>0.25</v>
      </c>
      <c r="BG197" s="1" t="str">
        <f t="shared" si="205"/>
        <v>enemy_1009_lurker</v>
      </c>
      <c r="BM197" s="1" t="s">
        <v>930</v>
      </c>
      <c r="BN197" s="1" t="s">
        <v>1014</v>
      </c>
      <c r="BQ197" s="1" t="s">
        <v>207</v>
      </c>
      <c r="BR197" s="1" t="s">
        <v>208</v>
      </c>
      <c r="BS197" s="1" t="s">
        <v>209</v>
      </c>
      <c r="BT197" s="1" t="s">
        <v>210</v>
      </c>
      <c r="BX197" s="1">
        <v>1</v>
      </c>
    </row>
    <row r="198" spans="1:76" x14ac:dyDescent="0.25">
      <c r="A198" s="1" t="s">
        <v>1015</v>
      </c>
      <c r="B198" s="1" t="s">
        <v>203</v>
      </c>
      <c r="D198" s="1" t="s">
        <v>307</v>
      </c>
      <c r="E198" s="1">
        <v>1008</v>
      </c>
      <c r="F198" s="1" t="str">
        <f t="shared" si="204"/>
        <v>enemy_1008_ghost</v>
      </c>
      <c r="G198" s="1">
        <v>1</v>
      </c>
      <c r="L198" s="1">
        <v>2300</v>
      </c>
      <c r="N198" s="1">
        <v>100</v>
      </c>
      <c r="P198" s="1">
        <v>120</v>
      </c>
      <c r="R198" s="1">
        <v>35</v>
      </c>
      <c r="Z198" s="1">
        <v>0.05</v>
      </c>
      <c r="AA198" s="1">
        <v>1</v>
      </c>
      <c r="AB198" s="1">
        <v>1</v>
      </c>
      <c r="AC198" s="1">
        <v>1.2</v>
      </c>
      <c r="AH198" s="1">
        <v>0</v>
      </c>
      <c r="AI198" s="1">
        <v>1</v>
      </c>
      <c r="AJ198" s="1" t="s">
        <v>306</v>
      </c>
      <c r="AK198" s="1" t="s">
        <v>206</v>
      </c>
      <c r="AL198" s="1" t="s">
        <v>1016</v>
      </c>
      <c r="AN198" s="22" t="s">
        <v>9767</v>
      </c>
      <c r="AX198" s="1">
        <v>1</v>
      </c>
      <c r="AZ198" s="1">
        <v>0.25</v>
      </c>
      <c r="BG198" s="1" t="str">
        <f t="shared" si="205"/>
        <v>enemy_1008_ghost</v>
      </c>
      <c r="BM198" s="1" t="s">
        <v>1017</v>
      </c>
      <c r="BN198" s="1" t="s">
        <v>1018</v>
      </c>
      <c r="BQ198" s="1" t="s">
        <v>207</v>
      </c>
      <c r="BR198" s="1" t="s">
        <v>208</v>
      </c>
      <c r="BS198" s="1" t="s">
        <v>209</v>
      </c>
      <c r="BT198" s="1" t="s">
        <v>210</v>
      </c>
      <c r="BX198" s="1">
        <v>1</v>
      </c>
    </row>
    <row r="199" spans="1:76" x14ac:dyDescent="0.25">
      <c r="A199" s="1" t="s">
        <v>311</v>
      </c>
      <c r="B199" s="1" t="s">
        <v>203</v>
      </c>
      <c r="D199" s="1" t="s">
        <v>1019</v>
      </c>
      <c r="E199" s="1">
        <v>1026</v>
      </c>
      <c r="F199" s="1" t="str">
        <f t="shared" si="204"/>
        <v>enemy_1026_aghost</v>
      </c>
      <c r="G199" s="1">
        <v>1</v>
      </c>
      <c r="L199" s="1">
        <v>3800</v>
      </c>
      <c r="N199" s="1">
        <v>100</v>
      </c>
      <c r="P199" s="1">
        <v>350</v>
      </c>
      <c r="R199" s="1">
        <v>35</v>
      </c>
      <c r="Z199" s="1">
        <v>0.05</v>
      </c>
      <c r="AA199" s="1">
        <v>1</v>
      </c>
      <c r="AB199" s="1">
        <v>1</v>
      </c>
      <c r="AC199" s="1">
        <v>1.2</v>
      </c>
      <c r="AH199" s="1">
        <v>0</v>
      </c>
      <c r="AI199" s="1">
        <v>1</v>
      </c>
      <c r="AJ199" s="1" t="s">
        <v>310</v>
      </c>
      <c r="AK199" s="1" t="s">
        <v>206</v>
      </c>
      <c r="AL199" s="1" t="s">
        <v>1016</v>
      </c>
      <c r="AN199" s="22" t="s">
        <v>9767</v>
      </c>
      <c r="AX199" s="1">
        <v>1</v>
      </c>
      <c r="AZ199" s="1">
        <v>0.25</v>
      </c>
      <c r="BG199" s="1" t="str">
        <f t="shared" si="205"/>
        <v>enemy_1026_aghost</v>
      </c>
      <c r="BM199" s="1" t="s">
        <v>1017</v>
      </c>
      <c r="BN199" s="1" t="s">
        <v>1020</v>
      </c>
      <c r="BQ199" s="1" t="s">
        <v>207</v>
      </c>
      <c r="BR199" s="1" t="s">
        <v>208</v>
      </c>
      <c r="BS199" s="1" t="s">
        <v>229</v>
      </c>
      <c r="BT199" s="1" t="s">
        <v>210</v>
      </c>
      <c r="BX199" s="1">
        <v>1</v>
      </c>
    </row>
    <row r="200" spans="1:76" x14ac:dyDescent="0.25">
      <c r="A200" s="1" t="s">
        <v>1021</v>
      </c>
      <c r="B200" s="1" t="s">
        <v>203</v>
      </c>
      <c r="D200" s="1" t="s">
        <v>273</v>
      </c>
      <c r="E200" s="1">
        <v>1005</v>
      </c>
      <c r="F200" s="1" t="str">
        <f t="shared" si="204"/>
        <v>enemy_1005_yokai</v>
      </c>
      <c r="G200" s="1">
        <v>0.7</v>
      </c>
      <c r="L200" s="1">
        <v>800</v>
      </c>
      <c r="N200" s="1">
        <v>0</v>
      </c>
      <c r="P200" s="1">
        <v>50</v>
      </c>
      <c r="R200" s="1">
        <v>0</v>
      </c>
      <c r="Z200" s="1">
        <v>0.05</v>
      </c>
      <c r="AA200" s="1">
        <v>2.2999999999999998</v>
      </c>
      <c r="AB200" s="1">
        <v>0</v>
      </c>
      <c r="AC200" s="1">
        <v>0.9</v>
      </c>
      <c r="AH200" s="1">
        <v>0</v>
      </c>
      <c r="AI200" s="1">
        <v>1</v>
      </c>
      <c r="AJ200" s="1" t="s">
        <v>275</v>
      </c>
      <c r="AK200" s="1" t="s">
        <v>206</v>
      </c>
      <c r="AN200" s="22" t="s">
        <v>9767</v>
      </c>
      <c r="AP200" s="1">
        <v>1</v>
      </c>
      <c r="AX200" s="1">
        <v>1</v>
      </c>
      <c r="AZ200" s="1">
        <v>0.25</v>
      </c>
      <c r="BG200" s="1" t="str">
        <f t="shared" si="205"/>
        <v>enemy_1005_yokai</v>
      </c>
      <c r="BM200" s="1" t="s">
        <v>1022</v>
      </c>
      <c r="BN200" s="1" t="s">
        <v>1023</v>
      </c>
      <c r="BQ200" s="1" t="s">
        <v>207</v>
      </c>
      <c r="BR200" s="1" t="s">
        <v>208</v>
      </c>
      <c r="BS200" s="1" t="s">
        <v>209</v>
      </c>
      <c r="BT200" s="1" t="s">
        <v>210</v>
      </c>
      <c r="BX200" s="1">
        <v>1</v>
      </c>
    </row>
    <row r="201" spans="1:76" x14ac:dyDescent="0.25">
      <c r="A201" s="1" t="s">
        <v>1024</v>
      </c>
      <c r="B201" s="1" t="s">
        <v>203</v>
      </c>
      <c r="D201" s="1" t="s">
        <v>1025</v>
      </c>
      <c r="E201" s="1">
        <v>1005</v>
      </c>
      <c r="F201" s="1" t="str">
        <f t="shared" si="204"/>
        <v>enemy_1005_yokai_2</v>
      </c>
      <c r="G201" s="1">
        <v>0.7</v>
      </c>
      <c r="L201" s="1">
        <v>1550</v>
      </c>
      <c r="N201" s="1">
        <v>220</v>
      </c>
      <c r="P201" s="1">
        <v>50</v>
      </c>
      <c r="R201" s="1">
        <v>0</v>
      </c>
      <c r="Z201" s="1">
        <v>0.05</v>
      </c>
      <c r="AA201" s="1">
        <v>3</v>
      </c>
      <c r="AB201" s="1">
        <v>0</v>
      </c>
      <c r="AC201" s="1">
        <v>0.9</v>
      </c>
      <c r="AH201" s="1">
        <v>0</v>
      </c>
      <c r="AI201" s="1">
        <v>1</v>
      </c>
      <c r="AJ201" s="1" t="s">
        <v>277</v>
      </c>
      <c r="AK201" s="1" t="s">
        <v>206</v>
      </c>
      <c r="AL201" s="1" t="s">
        <v>1026</v>
      </c>
      <c r="AN201" s="22" t="s">
        <v>9767</v>
      </c>
      <c r="AP201" s="1">
        <v>1</v>
      </c>
      <c r="AX201" s="1">
        <v>1</v>
      </c>
      <c r="AZ201" s="1">
        <v>0.25</v>
      </c>
      <c r="BG201" s="1" t="str">
        <f t="shared" si="205"/>
        <v>enemy_1005_yokai_2</v>
      </c>
      <c r="BM201" s="1" t="s">
        <v>1027</v>
      </c>
      <c r="BN201" s="1" t="s">
        <v>1028</v>
      </c>
      <c r="BQ201" s="1" t="s">
        <v>207</v>
      </c>
      <c r="BR201" s="1" t="s">
        <v>208</v>
      </c>
      <c r="BS201" s="1" t="s">
        <v>209</v>
      </c>
      <c r="BT201" s="1" t="s">
        <v>210</v>
      </c>
      <c r="BX201" s="1">
        <v>1</v>
      </c>
    </row>
    <row r="202" spans="1:76" x14ac:dyDescent="0.25">
      <c r="A202" s="1" t="s">
        <v>1029</v>
      </c>
      <c r="B202" s="1" t="s">
        <v>203</v>
      </c>
      <c r="D202" s="1" t="s">
        <v>1030</v>
      </c>
      <c r="E202" s="1">
        <v>1005</v>
      </c>
      <c r="F202" s="1" t="str">
        <f t="shared" si="204"/>
        <v>enemy_1005_yokai_3</v>
      </c>
      <c r="G202" s="1">
        <v>0.7</v>
      </c>
      <c r="L202" s="1">
        <v>30000</v>
      </c>
      <c r="N202" s="1">
        <v>660</v>
      </c>
      <c r="P202" s="1">
        <v>170</v>
      </c>
      <c r="R202" s="1">
        <v>0</v>
      </c>
      <c r="Z202" s="1">
        <v>0.05</v>
      </c>
      <c r="AA202" s="1">
        <v>3.8</v>
      </c>
      <c r="AB202" s="1">
        <v>0</v>
      </c>
      <c r="AC202" s="1">
        <v>0.5</v>
      </c>
      <c r="AH202" s="1">
        <v>0</v>
      </c>
      <c r="AI202" s="1">
        <v>1</v>
      </c>
      <c r="AJ202" s="1" t="s">
        <v>1031</v>
      </c>
      <c r="AK202" s="1" t="s">
        <v>206</v>
      </c>
      <c r="AL202" s="1" t="s">
        <v>1026</v>
      </c>
      <c r="AN202" s="22" t="s">
        <v>9767</v>
      </c>
      <c r="AP202" s="1">
        <v>1</v>
      </c>
      <c r="AX202" s="1">
        <v>1</v>
      </c>
      <c r="AZ202" s="1">
        <v>0.25</v>
      </c>
      <c r="BG202" s="1" t="str">
        <f t="shared" si="205"/>
        <v>enemy_1005_yokai_3</v>
      </c>
      <c r="BM202" s="1" t="s">
        <v>1032</v>
      </c>
      <c r="BN202" s="1" t="s">
        <v>1033</v>
      </c>
      <c r="BQ202" s="1" t="s">
        <v>207</v>
      </c>
      <c r="BR202" s="1" t="s">
        <v>208</v>
      </c>
      <c r="BS202" s="1" t="s">
        <v>938</v>
      </c>
      <c r="BT202" s="1" t="s">
        <v>210</v>
      </c>
      <c r="BX202" s="1">
        <v>1</v>
      </c>
    </row>
    <row r="203" spans="1:76" x14ac:dyDescent="0.25">
      <c r="A203" s="1" t="s">
        <v>1034</v>
      </c>
      <c r="B203" s="1" t="s">
        <v>203</v>
      </c>
      <c r="D203" s="1" t="s">
        <v>1035</v>
      </c>
      <c r="E203" s="1">
        <v>1017</v>
      </c>
      <c r="F203" s="1" t="str">
        <f t="shared" si="204"/>
        <v>enemy_1017_defdrn</v>
      </c>
      <c r="G203" s="1">
        <v>0.7</v>
      </c>
      <c r="L203" s="1">
        <v>4000</v>
      </c>
      <c r="N203" s="1">
        <v>0</v>
      </c>
      <c r="P203" s="1">
        <v>150</v>
      </c>
      <c r="R203" s="1">
        <v>20</v>
      </c>
      <c r="Z203" s="1">
        <v>0.05</v>
      </c>
      <c r="AA203" s="1">
        <v>2</v>
      </c>
      <c r="AB203" s="1">
        <v>0</v>
      </c>
      <c r="AC203" s="1">
        <v>0.8</v>
      </c>
      <c r="AH203" s="1">
        <v>0</v>
      </c>
      <c r="AI203" s="1">
        <v>1</v>
      </c>
      <c r="AJ203" s="1" t="s">
        <v>1036</v>
      </c>
      <c r="AK203" s="1" t="s">
        <v>206</v>
      </c>
      <c r="AL203" s="1" t="s">
        <v>1037</v>
      </c>
      <c r="AN203" s="22" t="s">
        <v>9767</v>
      </c>
      <c r="AP203" s="1">
        <v>1</v>
      </c>
      <c r="AX203" s="1">
        <v>1</v>
      </c>
      <c r="AZ203" s="1">
        <v>0.25</v>
      </c>
      <c r="BG203" s="1" t="str">
        <f t="shared" si="205"/>
        <v>enemy_1017_defdrn</v>
      </c>
      <c r="BM203" s="1" t="s">
        <v>1022</v>
      </c>
      <c r="BN203" s="1" t="s">
        <v>1038</v>
      </c>
      <c r="BQ203" s="1" t="s">
        <v>207</v>
      </c>
      <c r="BR203" s="1" t="s">
        <v>208</v>
      </c>
      <c r="BS203" s="1" t="s">
        <v>229</v>
      </c>
      <c r="BT203" s="1" t="s">
        <v>210</v>
      </c>
      <c r="BX203" s="1">
        <v>1</v>
      </c>
    </row>
    <row r="204" spans="1:76" x14ac:dyDescent="0.25">
      <c r="A204" s="1" t="s">
        <v>1039</v>
      </c>
      <c r="B204" s="1" t="s">
        <v>203</v>
      </c>
      <c r="D204" s="1" t="s">
        <v>1040</v>
      </c>
      <c r="E204" s="1">
        <v>1019</v>
      </c>
      <c r="F204" s="1" t="str">
        <f t="shared" si="204"/>
        <v>enemy_1019_jshoot</v>
      </c>
      <c r="G204" s="1">
        <v>1</v>
      </c>
      <c r="L204" s="1">
        <v>1800</v>
      </c>
      <c r="N204" s="1">
        <v>260</v>
      </c>
      <c r="P204" s="1">
        <v>100</v>
      </c>
      <c r="R204" s="1">
        <v>20</v>
      </c>
      <c r="Z204" s="1">
        <v>0.05</v>
      </c>
      <c r="AA204" s="1">
        <v>2.7</v>
      </c>
      <c r="AB204" s="1">
        <v>1</v>
      </c>
      <c r="AC204" s="1">
        <v>0.9</v>
      </c>
      <c r="AH204" s="1">
        <v>0</v>
      </c>
      <c r="AI204" s="1">
        <v>1</v>
      </c>
      <c r="AJ204" s="1" t="s">
        <v>1041</v>
      </c>
      <c r="AK204" s="1" t="s">
        <v>206</v>
      </c>
      <c r="AL204" s="1" t="s">
        <v>1042</v>
      </c>
      <c r="AN204" s="22" t="s">
        <v>9767</v>
      </c>
      <c r="AX204" s="1">
        <v>1</v>
      </c>
      <c r="AZ204" s="1">
        <v>0.25</v>
      </c>
      <c r="BG204" s="1" t="str">
        <f t="shared" si="205"/>
        <v>enemy_1019_jshoot</v>
      </c>
      <c r="BM204" s="1" t="s">
        <v>936</v>
      </c>
      <c r="BN204" s="1" t="s">
        <v>1043</v>
      </c>
      <c r="BQ204" s="1" t="s">
        <v>207</v>
      </c>
      <c r="BR204" s="1" t="s">
        <v>208</v>
      </c>
      <c r="BS204" s="1" t="s">
        <v>229</v>
      </c>
      <c r="BT204" s="1" t="s">
        <v>210</v>
      </c>
      <c r="BX204" s="1">
        <v>1</v>
      </c>
    </row>
    <row r="205" spans="1:76" x14ac:dyDescent="0.25">
      <c r="A205" s="1" t="s">
        <v>1044</v>
      </c>
      <c r="B205" s="1" t="s">
        <v>203</v>
      </c>
      <c r="D205" s="1" t="s">
        <v>1045</v>
      </c>
      <c r="E205" s="1">
        <v>1019</v>
      </c>
      <c r="F205" s="1" t="str">
        <f t="shared" si="204"/>
        <v>enemy_1019_jshoot_2</v>
      </c>
      <c r="G205" s="1">
        <v>1</v>
      </c>
      <c r="L205" s="1">
        <v>2700</v>
      </c>
      <c r="N205" s="1">
        <v>310</v>
      </c>
      <c r="P205" s="1">
        <v>130</v>
      </c>
      <c r="R205" s="1">
        <v>20</v>
      </c>
      <c r="Z205" s="1">
        <v>0.05</v>
      </c>
      <c r="AA205" s="1">
        <v>2.7</v>
      </c>
      <c r="AB205" s="1">
        <v>1</v>
      </c>
      <c r="AC205" s="1">
        <v>0.9</v>
      </c>
      <c r="AH205" s="1">
        <v>0</v>
      </c>
      <c r="AI205" s="1">
        <v>1</v>
      </c>
      <c r="AJ205" s="1" t="s">
        <v>1046</v>
      </c>
      <c r="AK205" s="1" t="s">
        <v>206</v>
      </c>
      <c r="AL205" s="1" t="s">
        <v>1042</v>
      </c>
      <c r="AN205" s="22" t="s">
        <v>9767</v>
      </c>
      <c r="AX205" s="1">
        <v>1</v>
      </c>
      <c r="AZ205" s="1">
        <v>0.25</v>
      </c>
      <c r="BG205" s="1" t="str">
        <f t="shared" si="205"/>
        <v>enemy_1019_jshoot_2</v>
      </c>
      <c r="BM205" s="1" t="s">
        <v>936</v>
      </c>
      <c r="BN205" s="1" t="s">
        <v>1047</v>
      </c>
      <c r="BQ205" s="1" t="s">
        <v>207</v>
      </c>
      <c r="BR205" s="1" t="s">
        <v>208</v>
      </c>
      <c r="BS205" s="1" t="s">
        <v>229</v>
      </c>
      <c r="BT205" s="1" t="s">
        <v>210</v>
      </c>
      <c r="BX205" s="1">
        <v>1</v>
      </c>
    </row>
    <row r="206" spans="1:76" x14ac:dyDescent="0.25">
      <c r="A206" s="1" t="s">
        <v>1048</v>
      </c>
      <c r="B206" s="1" t="s">
        <v>203</v>
      </c>
      <c r="D206" s="1" t="s">
        <v>1049</v>
      </c>
      <c r="E206" s="1">
        <v>1023</v>
      </c>
      <c r="F206" s="1" t="str">
        <f t="shared" si="204"/>
        <v>enemy_1023_jmage</v>
      </c>
      <c r="G206" s="1">
        <v>1</v>
      </c>
      <c r="L206" s="1">
        <v>2200</v>
      </c>
      <c r="N206" s="1">
        <v>350</v>
      </c>
      <c r="P206" s="1">
        <v>80</v>
      </c>
      <c r="R206" s="1">
        <v>50</v>
      </c>
      <c r="Z206" s="1">
        <v>0.05</v>
      </c>
      <c r="AA206" s="1">
        <v>4</v>
      </c>
      <c r="AB206" s="1">
        <v>1</v>
      </c>
      <c r="AC206" s="1">
        <v>0.8</v>
      </c>
      <c r="AH206" s="1">
        <v>0</v>
      </c>
      <c r="AI206" s="1">
        <v>1</v>
      </c>
      <c r="AJ206" s="1" t="s">
        <v>1050</v>
      </c>
      <c r="AK206" s="1" t="s">
        <v>206</v>
      </c>
      <c r="AL206" s="1" t="s">
        <v>1051</v>
      </c>
      <c r="AN206" s="22" t="s">
        <v>9767</v>
      </c>
      <c r="AX206" s="1">
        <v>1</v>
      </c>
      <c r="AZ206" s="1">
        <v>0.25</v>
      </c>
      <c r="BG206" s="1" t="str">
        <f t="shared" si="205"/>
        <v>enemy_1023_jmage</v>
      </c>
      <c r="BM206" s="1" t="s">
        <v>936</v>
      </c>
      <c r="BN206" s="1" t="s">
        <v>1052</v>
      </c>
      <c r="BQ206" s="1" t="s">
        <v>207</v>
      </c>
      <c r="BR206" s="1" t="s">
        <v>208</v>
      </c>
      <c r="BS206" s="1" t="s">
        <v>229</v>
      </c>
      <c r="BT206" s="1" t="s">
        <v>210</v>
      </c>
      <c r="BX206" s="1">
        <v>1</v>
      </c>
    </row>
    <row r="207" spans="1:76" x14ac:dyDescent="0.25">
      <c r="A207" s="1" t="s">
        <v>1053</v>
      </c>
      <c r="B207" s="1" t="s">
        <v>203</v>
      </c>
      <c r="D207" s="1" t="s">
        <v>298</v>
      </c>
      <c r="E207" s="1">
        <v>1023</v>
      </c>
      <c r="F207" s="1" t="str">
        <f t="shared" si="204"/>
        <v>enemy_1023_jmage_2</v>
      </c>
      <c r="G207" s="1">
        <v>1</v>
      </c>
      <c r="L207" s="1">
        <v>4200</v>
      </c>
      <c r="N207" s="1">
        <v>400</v>
      </c>
      <c r="P207" s="1">
        <v>130</v>
      </c>
      <c r="R207" s="1">
        <v>50</v>
      </c>
      <c r="Z207" s="1">
        <v>0.05</v>
      </c>
      <c r="AA207" s="1">
        <v>4</v>
      </c>
      <c r="AB207" s="1">
        <v>1</v>
      </c>
      <c r="AC207" s="1">
        <v>0.8</v>
      </c>
      <c r="AH207" s="1">
        <v>0</v>
      </c>
      <c r="AI207" s="1">
        <v>1</v>
      </c>
      <c r="AJ207" s="1" t="s">
        <v>297</v>
      </c>
      <c r="AK207" s="1" t="s">
        <v>206</v>
      </c>
      <c r="AL207" s="1" t="s">
        <v>300</v>
      </c>
      <c r="AN207" s="22" t="s">
        <v>9767</v>
      </c>
      <c r="AX207" s="1">
        <v>1</v>
      </c>
      <c r="AZ207" s="1">
        <v>0.25</v>
      </c>
      <c r="BG207" s="1" t="str">
        <f t="shared" si="205"/>
        <v>enemy_1023_jmage_2</v>
      </c>
      <c r="BM207" s="1" t="s">
        <v>936</v>
      </c>
      <c r="BN207" s="1" t="s">
        <v>1054</v>
      </c>
      <c r="BQ207" s="1" t="s">
        <v>207</v>
      </c>
      <c r="BR207" s="1" t="s">
        <v>208</v>
      </c>
      <c r="BS207" s="1" t="s">
        <v>229</v>
      </c>
      <c r="BT207" s="1" t="s">
        <v>210</v>
      </c>
      <c r="BX207" s="1">
        <v>1</v>
      </c>
    </row>
    <row r="208" spans="1:76" x14ac:dyDescent="0.25">
      <c r="A208" s="1" t="s">
        <v>1055</v>
      </c>
      <c r="B208" s="1" t="s">
        <v>203</v>
      </c>
      <c r="D208" s="1" t="s">
        <v>1056</v>
      </c>
      <c r="E208" s="1">
        <v>1020</v>
      </c>
      <c r="F208" s="1" t="str">
        <f t="shared" si="204"/>
        <v>enemy_1020_obsv</v>
      </c>
      <c r="G208" s="1">
        <v>1</v>
      </c>
      <c r="L208" s="1">
        <v>7000</v>
      </c>
      <c r="N208" s="1">
        <v>270</v>
      </c>
      <c r="P208" s="1">
        <v>100</v>
      </c>
      <c r="R208" s="1">
        <v>20</v>
      </c>
      <c r="Z208" s="1">
        <v>0.05</v>
      </c>
      <c r="AA208" s="1">
        <v>2.5</v>
      </c>
      <c r="AB208" s="1">
        <v>1</v>
      </c>
      <c r="AC208" s="1">
        <v>1</v>
      </c>
      <c r="AH208" s="1">
        <v>0</v>
      </c>
      <c r="AI208" s="1">
        <v>1</v>
      </c>
      <c r="AJ208" s="1" t="s">
        <v>1057</v>
      </c>
      <c r="AK208" s="1" t="s">
        <v>206</v>
      </c>
      <c r="AL208" s="1" t="s">
        <v>1058</v>
      </c>
      <c r="AN208" s="22" t="s">
        <v>9767</v>
      </c>
      <c r="AX208" s="1">
        <v>1</v>
      </c>
      <c r="AZ208" s="1">
        <v>0.25</v>
      </c>
      <c r="BG208" s="1" t="str">
        <f t="shared" si="205"/>
        <v>enemy_1020_obsv</v>
      </c>
      <c r="BM208" s="1" t="s">
        <v>930</v>
      </c>
      <c r="BN208" s="1" t="s">
        <v>1059</v>
      </c>
      <c r="BQ208" s="1" t="s">
        <v>207</v>
      </c>
      <c r="BR208" s="1" t="s">
        <v>208</v>
      </c>
      <c r="BS208" s="1" t="s">
        <v>229</v>
      </c>
      <c r="BT208" s="1" t="s">
        <v>210</v>
      </c>
      <c r="BX208" s="1">
        <v>1</v>
      </c>
    </row>
    <row r="209" spans="1:76" x14ac:dyDescent="0.25">
      <c r="A209" s="1" t="s">
        <v>1060</v>
      </c>
      <c r="B209" s="1" t="s">
        <v>203</v>
      </c>
      <c r="D209" s="1" t="s">
        <v>1061</v>
      </c>
      <c r="E209" s="1">
        <v>1010</v>
      </c>
      <c r="F209" s="1" t="str">
        <f t="shared" si="204"/>
        <v>enemy_1010_demon</v>
      </c>
      <c r="G209" s="1">
        <v>1</v>
      </c>
      <c r="L209" s="1">
        <v>7500</v>
      </c>
      <c r="N209" s="1">
        <v>600</v>
      </c>
      <c r="P209" s="1">
        <v>230</v>
      </c>
      <c r="R209" s="1">
        <v>50</v>
      </c>
      <c r="Z209" s="1">
        <v>0.05</v>
      </c>
      <c r="AA209" s="1">
        <v>2</v>
      </c>
      <c r="AB209" s="1">
        <v>2</v>
      </c>
      <c r="AC209" s="1">
        <v>0.85</v>
      </c>
      <c r="AH209" s="1">
        <v>0</v>
      </c>
      <c r="AI209" s="1">
        <v>1</v>
      </c>
      <c r="AJ209" s="1" t="s">
        <v>1062</v>
      </c>
      <c r="AK209" s="1" t="s">
        <v>206</v>
      </c>
      <c r="AL209" s="1" t="s">
        <v>228</v>
      </c>
      <c r="AN209" s="22" t="s">
        <v>9767</v>
      </c>
      <c r="AX209" s="1">
        <v>1</v>
      </c>
      <c r="AZ209" s="1">
        <v>0.25</v>
      </c>
      <c r="BG209" s="1" t="str">
        <f t="shared" si="205"/>
        <v>enemy_1010_demon</v>
      </c>
      <c r="BM209" s="1" t="s">
        <v>1063</v>
      </c>
      <c r="BN209" s="1" t="s">
        <v>1064</v>
      </c>
      <c r="BQ209" s="1" t="s">
        <v>207</v>
      </c>
      <c r="BR209" s="1" t="s">
        <v>208</v>
      </c>
      <c r="BS209" s="1" t="s">
        <v>938</v>
      </c>
      <c r="BT209" s="1" t="s">
        <v>210</v>
      </c>
      <c r="BX209" s="1">
        <v>1</v>
      </c>
    </row>
    <row r="210" spans="1:76" x14ac:dyDescent="0.25">
      <c r="A210" s="1" t="s">
        <v>1065</v>
      </c>
      <c r="B210" s="1" t="s">
        <v>203</v>
      </c>
      <c r="D210" s="1" t="s">
        <v>1066</v>
      </c>
      <c r="E210" s="1">
        <v>1010</v>
      </c>
      <c r="F210" s="1" t="str">
        <f t="shared" si="204"/>
        <v>enemy_1010_demon_2</v>
      </c>
      <c r="G210" s="1">
        <v>1</v>
      </c>
      <c r="L210" s="1">
        <v>15000</v>
      </c>
      <c r="N210" s="1">
        <v>750</v>
      </c>
      <c r="P210" s="1">
        <v>250</v>
      </c>
      <c r="R210" s="1">
        <v>50</v>
      </c>
      <c r="Z210" s="1">
        <v>0.05</v>
      </c>
      <c r="AA210" s="1">
        <v>2</v>
      </c>
      <c r="AB210" s="1">
        <v>2</v>
      </c>
      <c r="AC210" s="1">
        <v>0.85</v>
      </c>
      <c r="AH210" s="1">
        <v>0</v>
      </c>
      <c r="AI210" s="1">
        <v>1</v>
      </c>
      <c r="AJ210" s="1" t="s">
        <v>1067</v>
      </c>
      <c r="AK210" s="1" t="s">
        <v>206</v>
      </c>
      <c r="AL210" s="1" t="s">
        <v>228</v>
      </c>
      <c r="AN210" s="22" t="s">
        <v>9767</v>
      </c>
      <c r="AX210" s="1">
        <v>1</v>
      </c>
      <c r="AZ210" s="1">
        <v>0.25</v>
      </c>
      <c r="BG210" s="1" t="str">
        <f t="shared" si="205"/>
        <v>enemy_1010_demon_2</v>
      </c>
      <c r="BM210" s="1" t="s">
        <v>1063</v>
      </c>
      <c r="BN210" s="1" t="s">
        <v>1068</v>
      </c>
      <c r="BQ210" s="1" t="s">
        <v>207</v>
      </c>
      <c r="BR210" s="1" t="s">
        <v>208</v>
      </c>
      <c r="BS210" s="1" t="s">
        <v>938</v>
      </c>
      <c r="BT210" s="1" t="s">
        <v>210</v>
      </c>
      <c r="BX210" s="1">
        <v>1</v>
      </c>
    </row>
    <row r="211" spans="1:76" x14ac:dyDescent="0.25">
      <c r="A211" s="1" t="s">
        <v>1069</v>
      </c>
      <c r="B211" s="1" t="s">
        <v>203</v>
      </c>
      <c r="D211" s="1" t="s">
        <v>1070</v>
      </c>
      <c r="E211" s="1">
        <v>1012</v>
      </c>
      <c r="F211" s="1" t="str">
        <f t="shared" si="204"/>
        <v>enemy_1012_dcross</v>
      </c>
      <c r="G211" s="1">
        <v>1</v>
      </c>
      <c r="L211" s="1">
        <v>6000</v>
      </c>
      <c r="N211" s="1">
        <v>450</v>
      </c>
      <c r="P211" s="1">
        <v>200</v>
      </c>
      <c r="R211" s="1">
        <v>50</v>
      </c>
      <c r="Z211" s="1">
        <v>0.05</v>
      </c>
      <c r="AA211" s="1">
        <v>3</v>
      </c>
      <c r="AB211" s="1">
        <v>2</v>
      </c>
      <c r="AC211" s="1">
        <v>0.8</v>
      </c>
      <c r="AH211" s="1">
        <v>0</v>
      </c>
      <c r="AI211" s="1">
        <v>1</v>
      </c>
      <c r="AJ211" s="1" t="s">
        <v>1071</v>
      </c>
      <c r="AK211" s="1" t="s">
        <v>206</v>
      </c>
      <c r="AL211" s="1" t="s">
        <v>1072</v>
      </c>
      <c r="AN211" s="22" t="s">
        <v>9767</v>
      </c>
      <c r="AX211" s="1">
        <v>1</v>
      </c>
      <c r="AZ211" s="1">
        <v>0.25</v>
      </c>
      <c r="BG211" s="1" t="str">
        <f t="shared" si="205"/>
        <v>enemy_1012_dcross</v>
      </c>
      <c r="BM211" s="1" t="s">
        <v>1073</v>
      </c>
      <c r="BN211" s="1" t="s">
        <v>1074</v>
      </c>
      <c r="BQ211" s="1" t="s">
        <v>207</v>
      </c>
      <c r="BR211" s="1" t="s">
        <v>208</v>
      </c>
      <c r="BS211" s="1" t="s">
        <v>938</v>
      </c>
      <c r="BT211" s="1" t="s">
        <v>210</v>
      </c>
      <c r="BX211" s="1">
        <v>1</v>
      </c>
    </row>
    <row r="212" spans="1:76" x14ac:dyDescent="0.25">
      <c r="A212" s="1" t="s">
        <v>1075</v>
      </c>
      <c r="B212" s="1" t="s">
        <v>203</v>
      </c>
      <c r="D212" s="1" t="s">
        <v>1076</v>
      </c>
      <c r="E212" s="1">
        <v>1012</v>
      </c>
      <c r="F212" s="1" t="str">
        <f t="shared" si="204"/>
        <v>enemy_1012_dcross_2</v>
      </c>
      <c r="G212" s="1">
        <v>1</v>
      </c>
      <c r="L212" s="1">
        <v>12000</v>
      </c>
      <c r="N212" s="1">
        <v>570</v>
      </c>
      <c r="P212" s="1">
        <v>200</v>
      </c>
      <c r="R212" s="1">
        <v>50</v>
      </c>
      <c r="Z212" s="1">
        <v>0.05</v>
      </c>
      <c r="AA212" s="1">
        <v>3</v>
      </c>
      <c r="AB212" s="1">
        <v>2</v>
      </c>
      <c r="AC212" s="1">
        <v>0.8</v>
      </c>
      <c r="AH212" s="1">
        <v>0</v>
      </c>
      <c r="AI212" s="1">
        <v>1</v>
      </c>
      <c r="AJ212" s="1" t="s">
        <v>1077</v>
      </c>
      <c r="AK212" s="1" t="s">
        <v>206</v>
      </c>
      <c r="AL212" s="1" t="s">
        <v>1072</v>
      </c>
      <c r="AN212" s="22" t="s">
        <v>9767</v>
      </c>
      <c r="AX212" s="1">
        <v>1</v>
      </c>
      <c r="AZ212" s="1">
        <v>0.25</v>
      </c>
      <c r="BG212" s="1" t="str">
        <f t="shared" si="205"/>
        <v>enemy_1012_dcross_2</v>
      </c>
      <c r="BM212" s="1" t="s">
        <v>1073</v>
      </c>
      <c r="BN212" s="1" t="s">
        <v>1078</v>
      </c>
      <c r="BQ212" s="1" t="s">
        <v>207</v>
      </c>
      <c r="BR212" s="1" t="s">
        <v>208</v>
      </c>
      <c r="BS212" s="1" t="s">
        <v>938</v>
      </c>
      <c r="BT212" s="1" t="s">
        <v>210</v>
      </c>
      <c r="BX212" s="1">
        <v>1</v>
      </c>
    </row>
    <row r="213" spans="1:76" x14ac:dyDescent="0.25">
      <c r="A213" s="1" t="s">
        <v>1079</v>
      </c>
      <c r="B213" s="1" t="s">
        <v>203</v>
      </c>
      <c r="D213" s="1" t="s">
        <v>1080</v>
      </c>
      <c r="E213" s="1">
        <v>1022</v>
      </c>
      <c r="F213" s="1" t="str">
        <f t="shared" si="204"/>
        <v>enemy_1022_dmage</v>
      </c>
      <c r="G213" s="1">
        <v>1</v>
      </c>
      <c r="L213" s="1">
        <v>12000</v>
      </c>
      <c r="N213" s="1">
        <v>500</v>
      </c>
      <c r="P213" s="1">
        <v>200</v>
      </c>
      <c r="R213" s="1">
        <v>50</v>
      </c>
      <c r="Z213" s="1">
        <v>0.05</v>
      </c>
      <c r="AA213" s="1">
        <v>4</v>
      </c>
      <c r="AB213" s="1">
        <v>2</v>
      </c>
      <c r="AC213" s="1">
        <v>0.8</v>
      </c>
      <c r="AH213" s="1">
        <v>0</v>
      </c>
      <c r="AI213" s="1">
        <v>1</v>
      </c>
      <c r="AJ213" s="1" t="s">
        <v>1081</v>
      </c>
      <c r="AK213" s="1" t="s">
        <v>206</v>
      </c>
      <c r="AL213" s="1" t="s">
        <v>1082</v>
      </c>
      <c r="AN213" s="22" t="s">
        <v>9767</v>
      </c>
      <c r="AX213" s="1">
        <v>1</v>
      </c>
      <c r="AZ213" s="1">
        <v>0.25</v>
      </c>
      <c r="BG213" s="1" t="str">
        <f t="shared" si="205"/>
        <v>enemy_1022_dmage</v>
      </c>
      <c r="BM213" s="1" t="s">
        <v>1073</v>
      </c>
      <c r="BN213" s="1" t="s">
        <v>1083</v>
      </c>
      <c r="BQ213" s="1" t="s">
        <v>207</v>
      </c>
      <c r="BR213" s="1" t="s">
        <v>208</v>
      </c>
      <c r="BS213" s="1" t="s">
        <v>229</v>
      </c>
      <c r="BT213" s="1" t="s">
        <v>210</v>
      </c>
      <c r="BX213" s="1">
        <v>1</v>
      </c>
    </row>
    <row r="214" spans="1:76" x14ac:dyDescent="0.25">
      <c r="A214" s="1" t="s">
        <v>1084</v>
      </c>
      <c r="B214" s="1" t="s">
        <v>203</v>
      </c>
      <c r="D214" s="1" t="s">
        <v>1085</v>
      </c>
      <c r="E214" s="1">
        <v>1022</v>
      </c>
      <c r="F214" s="1" t="str">
        <f t="shared" si="204"/>
        <v>enemy_1022_dmage_2</v>
      </c>
      <c r="G214" s="1">
        <v>1</v>
      </c>
      <c r="L214" s="1">
        <v>18000</v>
      </c>
      <c r="N214" s="1">
        <v>700</v>
      </c>
      <c r="P214" s="1">
        <v>200</v>
      </c>
      <c r="R214" s="1">
        <v>50</v>
      </c>
      <c r="Z214" s="1">
        <v>0.05</v>
      </c>
      <c r="AA214" s="1">
        <v>4</v>
      </c>
      <c r="AB214" s="1">
        <v>2</v>
      </c>
      <c r="AC214" s="1">
        <v>0.8</v>
      </c>
      <c r="AH214" s="1">
        <v>0</v>
      </c>
      <c r="AI214" s="1">
        <v>1</v>
      </c>
      <c r="AJ214" s="1" t="s">
        <v>1086</v>
      </c>
      <c r="AK214" s="1" t="s">
        <v>206</v>
      </c>
      <c r="AL214" s="1" t="s">
        <v>1082</v>
      </c>
      <c r="AN214" s="22" t="s">
        <v>9767</v>
      </c>
      <c r="AX214" s="1">
        <v>1</v>
      </c>
      <c r="AZ214" s="1">
        <v>0.25</v>
      </c>
      <c r="BG214" s="1" t="str">
        <f t="shared" si="205"/>
        <v>enemy_1022_dmage_2</v>
      </c>
      <c r="BM214" s="1" t="s">
        <v>1073</v>
      </c>
      <c r="BN214" s="1" t="s">
        <v>1083</v>
      </c>
      <c r="BQ214" s="1" t="s">
        <v>207</v>
      </c>
      <c r="BR214" s="1" t="s">
        <v>208</v>
      </c>
      <c r="BS214" s="1" t="s">
        <v>229</v>
      </c>
      <c r="BT214" s="1" t="s">
        <v>210</v>
      </c>
      <c r="BX214" s="1">
        <v>1</v>
      </c>
    </row>
    <row r="215" spans="1:76" x14ac:dyDescent="0.25">
      <c r="A215" s="1" t="s">
        <v>1087</v>
      </c>
      <c r="B215" s="1" t="s">
        <v>203</v>
      </c>
      <c r="D215" s="1" t="s">
        <v>1088</v>
      </c>
      <c r="E215" s="1">
        <v>1501</v>
      </c>
      <c r="F215" s="1" t="str">
        <f t="shared" si="204"/>
        <v>enemy_1501_demonk</v>
      </c>
      <c r="G215" s="1">
        <v>1</v>
      </c>
      <c r="L215" s="1">
        <v>15000</v>
      </c>
      <c r="N215" s="1">
        <v>700</v>
      </c>
      <c r="P215" s="1">
        <v>250</v>
      </c>
      <c r="R215" s="1">
        <v>35</v>
      </c>
      <c r="Z215" s="1">
        <v>0.05</v>
      </c>
      <c r="AA215" s="1">
        <v>5</v>
      </c>
      <c r="AB215" s="1">
        <v>5</v>
      </c>
      <c r="AC215" s="1">
        <v>0.78</v>
      </c>
      <c r="AH215" s="1">
        <v>0</v>
      </c>
      <c r="AI215" s="1">
        <v>1</v>
      </c>
      <c r="AJ215" s="1" t="s">
        <v>1089</v>
      </c>
      <c r="AK215" s="1" t="s">
        <v>206</v>
      </c>
      <c r="AL215" s="1" t="s">
        <v>1090</v>
      </c>
      <c r="AN215" s="22" t="s">
        <v>9767</v>
      </c>
      <c r="AX215" s="1">
        <v>1</v>
      </c>
      <c r="AZ215" s="1">
        <v>0.25</v>
      </c>
      <c r="BG215" s="1" t="str">
        <f t="shared" si="205"/>
        <v>enemy_1501_demonk</v>
      </c>
      <c r="BM215" s="1" t="s">
        <v>1091</v>
      </c>
      <c r="BN215" s="1" t="s">
        <v>1092</v>
      </c>
      <c r="BQ215" s="1" t="s">
        <v>207</v>
      </c>
      <c r="BR215" s="1" t="s">
        <v>208</v>
      </c>
      <c r="BS215" s="1" t="s">
        <v>938</v>
      </c>
      <c r="BT215" s="1" t="s">
        <v>210</v>
      </c>
      <c r="BX215" s="1">
        <v>1</v>
      </c>
    </row>
    <row r="216" spans="1:76" x14ac:dyDescent="0.25">
      <c r="A216" s="1" t="s">
        <v>1093</v>
      </c>
      <c r="B216" s="1" t="s">
        <v>203</v>
      </c>
      <c r="D216" s="1" t="s">
        <v>289</v>
      </c>
      <c r="E216" s="1">
        <v>1025</v>
      </c>
      <c r="F216" s="1" t="str">
        <f t="shared" si="204"/>
        <v>enemy_1025_reveng</v>
      </c>
      <c r="G216" s="1">
        <v>1</v>
      </c>
      <c r="L216" s="1">
        <v>5000</v>
      </c>
      <c r="N216" s="1">
        <v>300</v>
      </c>
      <c r="P216" s="1">
        <v>200</v>
      </c>
      <c r="R216" s="1">
        <v>50</v>
      </c>
      <c r="Z216" s="1">
        <v>0.05</v>
      </c>
      <c r="AA216" s="1">
        <v>2.2999999999999998</v>
      </c>
      <c r="AB216" s="1">
        <v>2</v>
      </c>
      <c r="AC216" s="1">
        <v>0.65</v>
      </c>
      <c r="AH216" s="1">
        <v>0</v>
      </c>
      <c r="AI216" s="1">
        <v>1</v>
      </c>
      <c r="AJ216" s="1" t="s">
        <v>288</v>
      </c>
      <c r="AK216" s="1" t="s">
        <v>265</v>
      </c>
      <c r="AL216" s="1" t="s">
        <v>291</v>
      </c>
      <c r="AN216" s="22" t="s">
        <v>9767</v>
      </c>
      <c r="AX216" s="1">
        <v>1</v>
      </c>
      <c r="AZ216" s="1">
        <v>0.25</v>
      </c>
      <c r="BG216" s="1" t="str">
        <f t="shared" si="205"/>
        <v>enemy_1025_reveng</v>
      </c>
      <c r="BM216" s="1" t="s">
        <v>989</v>
      </c>
      <c r="BN216" s="1" t="s">
        <v>1094</v>
      </c>
      <c r="BQ216" s="1" t="s">
        <v>207</v>
      </c>
      <c r="BR216" s="1" t="s">
        <v>208</v>
      </c>
      <c r="BS216" s="1" t="s">
        <v>229</v>
      </c>
      <c r="BT216" s="1" t="s">
        <v>210</v>
      </c>
      <c r="BX216" s="1">
        <v>1</v>
      </c>
    </row>
    <row r="217" spans="1:76" x14ac:dyDescent="0.25">
      <c r="A217" s="1" t="s">
        <v>1095</v>
      </c>
      <c r="B217" s="1" t="s">
        <v>203</v>
      </c>
      <c r="D217" s="1" t="s">
        <v>293</v>
      </c>
      <c r="E217" s="1">
        <v>1025</v>
      </c>
      <c r="F217" s="1" t="str">
        <f t="shared" si="204"/>
        <v>enemy_1025_reveng_2</v>
      </c>
      <c r="G217" s="1">
        <v>1</v>
      </c>
      <c r="L217" s="1">
        <v>18000</v>
      </c>
      <c r="N217" s="1">
        <v>480</v>
      </c>
      <c r="P217" s="1">
        <v>230</v>
      </c>
      <c r="R217" s="1">
        <v>50</v>
      </c>
      <c r="Z217" s="1">
        <v>0.05</v>
      </c>
      <c r="AA217" s="1">
        <v>2.2999999999999998</v>
      </c>
      <c r="AB217" s="1">
        <v>2</v>
      </c>
      <c r="AC217" s="1">
        <v>0.65</v>
      </c>
      <c r="AH217" s="1">
        <v>0</v>
      </c>
      <c r="AI217" s="1">
        <v>1</v>
      </c>
      <c r="AJ217" s="1" t="s">
        <v>292</v>
      </c>
      <c r="AK217" s="1" t="s">
        <v>265</v>
      </c>
      <c r="AL217" s="1" t="s">
        <v>294</v>
      </c>
      <c r="AN217" s="22" t="s">
        <v>9767</v>
      </c>
      <c r="AX217" s="1">
        <v>1</v>
      </c>
      <c r="AZ217" s="1">
        <v>0.25</v>
      </c>
      <c r="BG217" s="1" t="str">
        <f t="shared" si="205"/>
        <v>enemy_1025_reveng_2</v>
      </c>
      <c r="BM217" s="1" t="s">
        <v>989</v>
      </c>
      <c r="BN217" s="1" t="s">
        <v>1094</v>
      </c>
      <c r="BQ217" s="1" t="s">
        <v>207</v>
      </c>
      <c r="BR217" s="1" t="s">
        <v>208</v>
      </c>
      <c r="BS217" s="1" t="s">
        <v>229</v>
      </c>
      <c r="BT217" s="1" t="s">
        <v>210</v>
      </c>
      <c r="BX217" s="1">
        <v>1</v>
      </c>
    </row>
    <row r="218" spans="1:76" x14ac:dyDescent="0.25">
      <c r="A218" s="1" t="s">
        <v>1096</v>
      </c>
      <c r="B218" s="1" t="s">
        <v>203</v>
      </c>
      <c r="D218" s="1" t="s">
        <v>1097</v>
      </c>
      <c r="E218" s="1">
        <v>1027</v>
      </c>
      <c r="F218" s="1" t="str">
        <f t="shared" si="204"/>
        <v>enemy_1027_mob</v>
      </c>
      <c r="G218" s="1">
        <v>1</v>
      </c>
      <c r="L218" s="1">
        <v>1700</v>
      </c>
      <c r="N218" s="1">
        <v>250</v>
      </c>
      <c r="P218" s="1">
        <v>50</v>
      </c>
      <c r="R218" s="1">
        <v>0</v>
      </c>
      <c r="Z218" s="1">
        <v>0.05</v>
      </c>
      <c r="AA218" s="1">
        <v>2</v>
      </c>
      <c r="AB218" s="1">
        <v>0</v>
      </c>
      <c r="AC218" s="1">
        <v>1.1000000000000001</v>
      </c>
      <c r="AH218" s="1">
        <v>0</v>
      </c>
      <c r="AI218" s="1">
        <v>1</v>
      </c>
      <c r="AJ218" s="1" t="s">
        <v>1098</v>
      </c>
      <c r="AK218" s="1" t="s">
        <v>206</v>
      </c>
      <c r="AL218" s="1" t="s">
        <v>228</v>
      </c>
      <c r="AN218" s="22" t="s">
        <v>9767</v>
      </c>
      <c r="AX218" s="1">
        <v>1</v>
      </c>
      <c r="AZ218" s="1">
        <v>0.25</v>
      </c>
      <c r="BG218" s="1" t="str">
        <f t="shared" si="205"/>
        <v>enemy_1027_mob</v>
      </c>
      <c r="BM218" s="1" t="s">
        <v>930</v>
      </c>
      <c r="BN218" s="1" t="s">
        <v>1099</v>
      </c>
      <c r="BQ218" s="1" t="s">
        <v>207</v>
      </c>
      <c r="BR218" s="1" t="s">
        <v>208</v>
      </c>
      <c r="BS218" s="1" t="s">
        <v>229</v>
      </c>
      <c r="BT218" s="1" t="s">
        <v>210</v>
      </c>
      <c r="BX218" s="1">
        <v>1</v>
      </c>
    </row>
    <row r="219" spans="1:76" x14ac:dyDescent="0.25">
      <c r="A219" s="1" t="s">
        <v>1100</v>
      </c>
      <c r="B219" s="1" t="s">
        <v>203</v>
      </c>
      <c r="D219" s="1" t="s">
        <v>1101</v>
      </c>
      <c r="E219" s="1">
        <v>1027</v>
      </c>
      <c r="F219" s="1" t="str">
        <f t="shared" si="204"/>
        <v>enemy_1027_mob_2</v>
      </c>
      <c r="G219" s="1">
        <v>1</v>
      </c>
      <c r="L219" s="1">
        <v>2650</v>
      </c>
      <c r="N219" s="1">
        <v>350</v>
      </c>
      <c r="P219" s="1">
        <v>85</v>
      </c>
      <c r="R219" s="1">
        <v>0</v>
      </c>
      <c r="Z219" s="1">
        <v>0.05</v>
      </c>
      <c r="AA219" s="1">
        <v>2</v>
      </c>
      <c r="AB219" s="1">
        <v>0</v>
      </c>
      <c r="AC219" s="1">
        <v>1.1000000000000001</v>
      </c>
      <c r="AH219" s="1">
        <v>0</v>
      </c>
      <c r="AI219" s="1">
        <v>1</v>
      </c>
      <c r="AJ219" s="1" t="s">
        <v>1102</v>
      </c>
      <c r="AK219" s="1" t="s">
        <v>206</v>
      </c>
      <c r="AL219" s="1" t="s">
        <v>228</v>
      </c>
      <c r="AN219" s="22" t="s">
        <v>9767</v>
      </c>
      <c r="AX219" s="1">
        <v>1</v>
      </c>
      <c r="AZ219" s="1">
        <v>0.25</v>
      </c>
      <c r="BG219" s="1" t="str">
        <f t="shared" si="205"/>
        <v>enemy_1027_mob_2</v>
      </c>
      <c r="BM219" s="1" t="s">
        <v>930</v>
      </c>
      <c r="BN219" s="1" t="s">
        <v>1103</v>
      </c>
      <c r="BQ219" s="1" t="s">
        <v>207</v>
      </c>
      <c r="BR219" s="1" t="s">
        <v>208</v>
      </c>
      <c r="BS219" s="1" t="s">
        <v>229</v>
      </c>
      <c r="BT219" s="1" t="s">
        <v>210</v>
      </c>
      <c r="BX219" s="1">
        <v>1</v>
      </c>
    </row>
    <row r="220" spans="1:76" x14ac:dyDescent="0.25">
      <c r="A220" s="1" t="s">
        <v>1104</v>
      </c>
      <c r="B220" s="1" t="s">
        <v>203</v>
      </c>
      <c r="D220" s="1" t="s">
        <v>1105</v>
      </c>
      <c r="E220" s="1">
        <v>1028</v>
      </c>
      <c r="F220" s="1" t="str">
        <f t="shared" si="204"/>
        <v>enemy_1028_mocock</v>
      </c>
      <c r="G220" s="1">
        <v>1</v>
      </c>
      <c r="L220" s="1">
        <v>1550</v>
      </c>
      <c r="N220" s="1">
        <v>180</v>
      </c>
      <c r="P220" s="1">
        <v>50</v>
      </c>
      <c r="R220" s="1">
        <v>0</v>
      </c>
      <c r="Z220" s="1">
        <v>0.05</v>
      </c>
      <c r="AA220" s="1">
        <v>2.7</v>
      </c>
      <c r="AB220" s="1">
        <v>0</v>
      </c>
      <c r="AC220" s="1">
        <v>1</v>
      </c>
      <c r="AH220" s="1">
        <v>0</v>
      </c>
      <c r="AI220" s="1">
        <v>1</v>
      </c>
      <c r="AJ220" s="1" t="s">
        <v>1106</v>
      </c>
      <c r="AK220" s="1" t="s">
        <v>206</v>
      </c>
      <c r="AL220" s="1" t="s">
        <v>1107</v>
      </c>
      <c r="AN220" s="22" t="s">
        <v>9767</v>
      </c>
      <c r="AX220" s="1">
        <v>1</v>
      </c>
      <c r="AZ220" s="1">
        <v>0.25</v>
      </c>
      <c r="BG220" s="1" t="str">
        <f t="shared" si="205"/>
        <v>enemy_1028_mocock</v>
      </c>
      <c r="BM220" s="1" t="s">
        <v>936</v>
      </c>
      <c r="BN220" s="1" t="s">
        <v>1108</v>
      </c>
      <c r="BQ220" s="1" t="s">
        <v>207</v>
      </c>
      <c r="BR220" s="1" t="s">
        <v>208</v>
      </c>
      <c r="BS220" s="1" t="s">
        <v>229</v>
      </c>
      <c r="BT220" s="1" t="s">
        <v>210</v>
      </c>
      <c r="BX220" s="1">
        <v>1</v>
      </c>
    </row>
    <row r="221" spans="1:76" x14ac:dyDescent="0.25">
      <c r="A221" s="1" t="s">
        <v>1109</v>
      </c>
      <c r="B221" s="1" t="s">
        <v>203</v>
      </c>
      <c r="D221" s="1" t="s">
        <v>1110</v>
      </c>
      <c r="E221" s="1">
        <v>1028</v>
      </c>
      <c r="F221" s="1" t="str">
        <f t="shared" si="204"/>
        <v>enemy_1028_mocock_2</v>
      </c>
      <c r="G221" s="1">
        <v>1</v>
      </c>
      <c r="L221" s="1">
        <v>2000</v>
      </c>
      <c r="N221" s="1">
        <v>250</v>
      </c>
      <c r="P221" s="1">
        <v>85</v>
      </c>
      <c r="R221" s="1">
        <v>0</v>
      </c>
      <c r="Z221" s="1">
        <v>0.05</v>
      </c>
      <c r="AA221" s="1">
        <v>2.2000000000000002</v>
      </c>
      <c r="AB221" s="1">
        <v>0</v>
      </c>
      <c r="AC221" s="1">
        <v>1</v>
      </c>
      <c r="AH221" s="1">
        <v>0</v>
      </c>
      <c r="AI221" s="1">
        <v>1</v>
      </c>
      <c r="AJ221" s="1" t="s">
        <v>1111</v>
      </c>
      <c r="AK221" s="1" t="s">
        <v>206</v>
      </c>
      <c r="AL221" s="1" t="s">
        <v>1107</v>
      </c>
      <c r="AN221" s="22" t="s">
        <v>9767</v>
      </c>
      <c r="AX221" s="1">
        <v>1</v>
      </c>
      <c r="AZ221" s="1">
        <v>0.25</v>
      </c>
      <c r="BG221" s="1" t="str">
        <f t="shared" si="205"/>
        <v>enemy_1028_mocock_2</v>
      </c>
      <c r="BM221" s="1" t="s">
        <v>936</v>
      </c>
      <c r="BN221" s="1" t="s">
        <v>1112</v>
      </c>
      <c r="BQ221" s="1" t="s">
        <v>207</v>
      </c>
      <c r="BR221" s="1" t="s">
        <v>208</v>
      </c>
      <c r="BS221" s="1" t="s">
        <v>229</v>
      </c>
      <c r="BT221" s="1" t="s">
        <v>210</v>
      </c>
      <c r="BX221" s="1">
        <v>1</v>
      </c>
    </row>
    <row r="222" spans="1:76" x14ac:dyDescent="0.25">
      <c r="A222" s="1" t="s">
        <v>1113</v>
      </c>
      <c r="B222" s="1" t="s">
        <v>203</v>
      </c>
      <c r="D222" s="1" t="s">
        <v>1114</v>
      </c>
      <c r="E222" s="1">
        <v>1029</v>
      </c>
      <c r="F222" s="1" t="str">
        <f t="shared" si="204"/>
        <v>enemy_1029_shdsbr</v>
      </c>
      <c r="G222" s="1">
        <v>1</v>
      </c>
      <c r="L222" s="1">
        <v>2050</v>
      </c>
      <c r="N222" s="1">
        <v>240</v>
      </c>
      <c r="P222" s="1">
        <v>250</v>
      </c>
      <c r="R222" s="1">
        <v>0</v>
      </c>
      <c r="Z222" s="1">
        <v>0.05</v>
      </c>
      <c r="AA222" s="1">
        <v>2</v>
      </c>
      <c r="AB222" s="1">
        <v>1</v>
      </c>
      <c r="AC222" s="1">
        <v>1</v>
      </c>
      <c r="AH222" s="1">
        <v>0</v>
      </c>
      <c r="AI222" s="1">
        <v>1</v>
      </c>
      <c r="AJ222" s="1" t="s">
        <v>1115</v>
      </c>
      <c r="AK222" s="1" t="s">
        <v>206</v>
      </c>
      <c r="AL222" s="1" t="s">
        <v>228</v>
      </c>
      <c r="AN222" s="22" t="s">
        <v>9767</v>
      </c>
      <c r="AX222" s="1">
        <v>1</v>
      </c>
      <c r="AZ222" s="1">
        <v>0.25</v>
      </c>
      <c r="BG222" s="1" t="str">
        <f t="shared" si="205"/>
        <v>enemy_1029_shdsbr</v>
      </c>
      <c r="BM222" s="1" t="s">
        <v>930</v>
      </c>
      <c r="BN222" s="1" t="s">
        <v>1116</v>
      </c>
      <c r="BQ222" s="1" t="s">
        <v>207</v>
      </c>
      <c r="BR222" s="1" t="s">
        <v>208</v>
      </c>
      <c r="BS222" s="1" t="s">
        <v>239</v>
      </c>
      <c r="BT222" s="1" t="s">
        <v>210</v>
      </c>
      <c r="BX222" s="1">
        <v>1</v>
      </c>
    </row>
    <row r="223" spans="1:76" x14ac:dyDescent="0.25">
      <c r="A223" s="1" t="s">
        <v>1117</v>
      </c>
      <c r="B223" s="1" t="s">
        <v>203</v>
      </c>
      <c r="D223" s="1" t="s">
        <v>1118</v>
      </c>
      <c r="E223" s="1">
        <v>1029</v>
      </c>
      <c r="F223" s="1" t="str">
        <f t="shared" si="204"/>
        <v>enemy_1029_shdsbr_2</v>
      </c>
      <c r="G223" s="1">
        <v>1</v>
      </c>
      <c r="L223" s="1">
        <v>3000</v>
      </c>
      <c r="N223" s="1">
        <v>280</v>
      </c>
      <c r="P223" s="1">
        <v>300</v>
      </c>
      <c r="R223" s="1">
        <v>0</v>
      </c>
      <c r="Z223" s="1">
        <v>0.05</v>
      </c>
      <c r="AA223" s="1">
        <v>2</v>
      </c>
      <c r="AB223" s="1">
        <v>1</v>
      </c>
      <c r="AC223" s="1">
        <v>1</v>
      </c>
      <c r="AH223" s="1">
        <v>0</v>
      </c>
      <c r="AI223" s="1">
        <v>1</v>
      </c>
      <c r="AJ223" s="1" t="s">
        <v>1119</v>
      </c>
      <c r="AK223" s="1" t="s">
        <v>206</v>
      </c>
      <c r="AL223" s="1" t="s">
        <v>228</v>
      </c>
      <c r="AN223" s="22" t="s">
        <v>9767</v>
      </c>
      <c r="AX223" s="1">
        <v>1</v>
      </c>
      <c r="AZ223" s="1">
        <v>0.25</v>
      </c>
      <c r="BG223" s="1" t="str">
        <f t="shared" si="205"/>
        <v>enemy_1029_shdsbr_2</v>
      </c>
      <c r="BM223" s="1" t="s">
        <v>930</v>
      </c>
      <c r="BN223" s="1" t="s">
        <v>1120</v>
      </c>
      <c r="BQ223" s="1" t="s">
        <v>207</v>
      </c>
      <c r="BR223" s="1" t="s">
        <v>208</v>
      </c>
      <c r="BS223" s="1" t="s">
        <v>239</v>
      </c>
      <c r="BT223" s="1" t="s">
        <v>210</v>
      </c>
      <c r="BX223" s="1">
        <v>1</v>
      </c>
    </row>
    <row r="224" spans="1:76" x14ac:dyDescent="0.25">
      <c r="A224" s="1" t="s">
        <v>1121</v>
      </c>
      <c r="B224" s="1" t="s">
        <v>203</v>
      </c>
      <c r="D224" s="1" t="s">
        <v>1122</v>
      </c>
      <c r="E224" s="1">
        <v>1030</v>
      </c>
      <c r="F224" s="1" t="str">
        <f t="shared" si="204"/>
        <v>enemy_1030_wteeth</v>
      </c>
      <c r="G224" s="1">
        <v>1</v>
      </c>
      <c r="L224" s="1">
        <v>5000</v>
      </c>
      <c r="N224" s="1">
        <v>500</v>
      </c>
      <c r="P224" s="1">
        <v>50</v>
      </c>
      <c r="R224" s="1">
        <v>20</v>
      </c>
      <c r="Z224" s="1">
        <v>0.05</v>
      </c>
      <c r="AA224" s="1">
        <v>3</v>
      </c>
      <c r="AB224" s="1">
        <v>2</v>
      </c>
      <c r="AC224" s="1">
        <v>0.8</v>
      </c>
      <c r="AH224" s="1">
        <v>0</v>
      </c>
      <c r="AI224" s="1">
        <v>1</v>
      </c>
      <c r="AJ224" s="1" t="s">
        <v>1123</v>
      </c>
      <c r="AK224" s="1" t="s">
        <v>206</v>
      </c>
      <c r="AL224" s="1" t="s">
        <v>228</v>
      </c>
      <c r="AN224" s="22" t="s">
        <v>9767</v>
      </c>
      <c r="AX224" s="1">
        <v>1</v>
      </c>
      <c r="AZ224" s="1">
        <v>0.25</v>
      </c>
      <c r="BG224" s="1" t="str">
        <f t="shared" si="205"/>
        <v>enemy_1030_wteeth</v>
      </c>
      <c r="BM224" s="1" t="s">
        <v>930</v>
      </c>
      <c r="BN224" s="1" t="s">
        <v>1124</v>
      </c>
      <c r="BQ224" s="1" t="s">
        <v>207</v>
      </c>
      <c r="BR224" s="1" t="s">
        <v>208</v>
      </c>
      <c r="BS224" s="1" t="s">
        <v>229</v>
      </c>
      <c r="BT224" s="1" t="s">
        <v>210</v>
      </c>
      <c r="BX224" s="1">
        <v>1</v>
      </c>
    </row>
    <row r="225" spans="1:76" x14ac:dyDescent="0.25">
      <c r="A225" s="1" t="s">
        <v>1125</v>
      </c>
      <c r="B225" s="1" t="s">
        <v>203</v>
      </c>
      <c r="D225" s="1" t="s">
        <v>1126</v>
      </c>
      <c r="E225" s="1">
        <v>1030</v>
      </c>
      <c r="F225" s="1" t="str">
        <f t="shared" si="204"/>
        <v>enemy_1030_wteeth_2</v>
      </c>
      <c r="G225" s="1">
        <v>1</v>
      </c>
      <c r="L225" s="1">
        <v>7500</v>
      </c>
      <c r="N225" s="1">
        <v>600</v>
      </c>
      <c r="P225" s="1">
        <v>70</v>
      </c>
      <c r="R225" s="1">
        <v>20</v>
      </c>
      <c r="Z225" s="1">
        <v>0.05</v>
      </c>
      <c r="AA225" s="1">
        <v>3</v>
      </c>
      <c r="AB225" s="1">
        <v>2</v>
      </c>
      <c r="AC225" s="1">
        <v>0.8</v>
      </c>
      <c r="AH225" s="1">
        <v>0</v>
      </c>
      <c r="AI225" s="1">
        <v>1</v>
      </c>
      <c r="AJ225" s="1" t="s">
        <v>1127</v>
      </c>
      <c r="AK225" s="1" t="s">
        <v>206</v>
      </c>
      <c r="AL225" s="1" t="s">
        <v>228</v>
      </c>
      <c r="AN225" s="22" t="s">
        <v>9767</v>
      </c>
      <c r="AX225" s="1">
        <v>1</v>
      </c>
      <c r="AZ225" s="1">
        <v>0.25</v>
      </c>
      <c r="BG225" s="1" t="str">
        <f t="shared" si="205"/>
        <v>enemy_1030_wteeth_2</v>
      </c>
      <c r="BM225" s="1" t="s">
        <v>930</v>
      </c>
      <c r="BN225" s="1" t="s">
        <v>1128</v>
      </c>
      <c r="BQ225" s="1" t="s">
        <v>207</v>
      </c>
      <c r="BR225" s="1" t="s">
        <v>208</v>
      </c>
      <c r="BS225" s="1" t="s">
        <v>229</v>
      </c>
      <c r="BT225" s="1" t="s">
        <v>210</v>
      </c>
      <c r="BX225" s="1">
        <v>1</v>
      </c>
    </row>
    <row r="226" spans="1:76" x14ac:dyDescent="0.25">
      <c r="A226" s="1" t="s">
        <v>1129</v>
      </c>
      <c r="B226" s="1" t="s">
        <v>203</v>
      </c>
      <c r="D226" s="1" t="s">
        <v>1130</v>
      </c>
      <c r="E226" s="1">
        <v>1031</v>
      </c>
      <c r="F226" s="1" t="str">
        <f t="shared" si="204"/>
        <v>enemy_1031_mrogue</v>
      </c>
      <c r="G226" s="1">
        <v>1</v>
      </c>
      <c r="L226" s="1">
        <v>4000</v>
      </c>
      <c r="N226" s="1">
        <v>350</v>
      </c>
      <c r="P226" s="1">
        <v>200</v>
      </c>
      <c r="R226" s="1">
        <v>50</v>
      </c>
      <c r="Z226" s="1">
        <v>0.05</v>
      </c>
      <c r="AA226" s="1">
        <v>2.5</v>
      </c>
      <c r="AB226" s="1">
        <v>1</v>
      </c>
      <c r="AC226" s="1">
        <v>0.75</v>
      </c>
      <c r="AH226" s="1">
        <v>0</v>
      </c>
      <c r="AI226" s="1">
        <v>1</v>
      </c>
      <c r="AJ226" s="1" t="s">
        <v>1131</v>
      </c>
      <c r="AK226" s="1" t="s">
        <v>206</v>
      </c>
      <c r="AL226" s="1" t="s">
        <v>1132</v>
      </c>
      <c r="AN226" s="22" t="s">
        <v>9767</v>
      </c>
      <c r="AX226" s="1">
        <v>1</v>
      </c>
      <c r="AZ226" s="1">
        <v>0.25</v>
      </c>
      <c r="BG226" s="1" t="str">
        <f t="shared" si="205"/>
        <v>enemy_1031_mrogue</v>
      </c>
      <c r="BM226" s="1" t="s">
        <v>930</v>
      </c>
      <c r="BN226" s="1" t="s">
        <v>1133</v>
      </c>
      <c r="BQ226" s="1" t="s">
        <v>207</v>
      </c>
      <c r="BR226" s="1" t="s">
        <v>208</v>
      </c>
      <c r="BS226" s="1" t="s">
        <v>229</v>
      </c>
      <c r="BT226" s="1" t="s">
        <v>210</v>
      </c>
      <c r="BX226" s="1">
        <v>1</v>
      </c>
    </row>
    <row r="227" spans="1:76" x14ac:dyDescent="0.25">
      <c r="A227" s="1" t="s">
        <v>1134</v>
      </c>
      <c r="B227" s="1" t="s">
        <v>203</v>
      </c>
      <c r="D227" s="1" t="s">
        <v>1135</v>
      </c>
      <c r="E227" s="1">
        <v>1031</v>
      </c>
      <c r="F227" s="1" t="str">
        <f t="shared" si="204"/>
        <v>enemy_1031_mrogue_2</v>
      </c>
      <c r="G227" s="1">
        <v>1</v>
      </c>
      <c r="L227" s="1">
        <v>6500</v>
      </c>
      <c r="N227" s="1">
        <v>500</v>
      </c>
      <c r="P227" s="1">
        <v>250</v>
      </c>
      <c r="R227" s="1">
        <v>50</v>
      </c>
      <c r="Z227" s="1">
        <v>0.05</v>
      </c>
      <c r="AA227" s="1">
        <v>2.5</v>
      </c>
      <c r="AB227" s="1">
        <v>1</v>
      </c>
      <c r="AC227" s="1">
        <v>0.75</v>
      </c>
      <c r="AH227" s="1">
        <v>0</v>
      </c>
      <c r="AI227" s="1">
        <v>1</v>
      </c>
      <c r="AJ227" s="1" t="s">
        <v>1136</v>
      </c>
      <c r="AK227" s="1" t="s">
        <v>206</v>
      </c>
      <c r="AL227" s="1" t="s">
        <v>1132</v>
      </c>
      <c r="AN227" s="22" t="s">
        <v>9767</v>
      </c>
      <c r="AX227" s="1">
        <v>1</v>
      </c>
      <c r="AZ227" s="1">
        <v>0.25</v>
      </c>
      <c r="BG227" s="1" t="str">
        <f t="shared" si="205"/>
        <v>enemy_1031_mrogue_2</v>
      </c>
      <c r="BM227" s="1" t="s">
        <v>930</v>
      </c>
      <c r="BN227" s="1" t="s">
        <v>1137</v>
      </c>
      <c r="BQ227" s="1" t="s">
        <v>207</v>
      </c>
      <c r="BR227" s="1" t="s">
        <v>208</v>
      </c>
      <c r="BS227" s="1" t="s">
        <v>229</v>
      </c>
      <c r="BT227" s="1" t="s">
        <v>210</v>
      </c>
      <c r="BX227" s="1">
        <v>1</v>
      </c>
    </row>
    <row r="228" spans="1:76" x14ac:dyDescent="0.25">
      <c r="A228" s="1" t="s">
        <v>1138</v>
      </c>
      <c r="B228" s="1" t="s">
        <v>203</v>
      </c>
      <c r="D228" s="1" t="s">
        <v>1139</v>
      </c>
      <c r="E228" s="1">
        <v>1032</v>
      </c>
      <c r="F228" s="1" t="str">
        <f t="shared" si="204"/>
        <v>enemy_1032_katar</v>
      </c>
      <c r="G228" s="1">
        <v>1</v>
      </c>
      <c r="L228" s="1">
        <v>4000</v>
      </c>
      <c r="N228" s="1">
        <v>450</v>
      </c>
      <c r="P228" s="1">
        <v>300</v>
      </c>
      <c r="R228" s="1">
        <v>0</v>
      </c>
      <c r="Z228" s="1">
        <v>0.05</v>
      </c>
      <c r="AA228" s="1">
        <v>1.5</v>
      </c>
      <c r="AB228" s="1">
        <v>1</v>
      </c>
      <c r="AC228" s="1">
        <v>1</v>
      </c>
      <c r="AH228" s="1">
        <v>0</v>
      </c>
      <c r="AI228" s="1">
        <v>1</v>
      </c>
      <c r="AJ228" s="1" t="s">
        <v>1140</v>
      </c>
      <c r="AK228" s="1" t="s">
        <v>206</v>
      </c>
      <c r="AL228" s="1" t="s">
        <v>228</v>
      </c>
      <c r="AN228" s="22" t="s">
        <v>9767</v>
      </c>
      <c r="AX228" s="1">
        <v>1</v>
      </c>
      <c r="AZ228" s="1">
        <v>0.25</v>
      </c>
      <c r="BG228" s="1" t="str">
        <f t="shared" si="205"/>
        <v>enemy_1032_katar</v>
      </c>
      <c r="BM228" s="1" t="s">
        <v>930</v>
      </c>
      <c r="BN228" s="1" t="s">
        <v>1141</v>
      </c>
      <c r="BQ228" s="1" t="s">
        <v>207</v>
      </c>
      <c r="BR228" s="1" t="s">
        <v>208</v>
      </c>
      <c r="BS228" s="1" t="s">
        <v>229</v>
      </c>
      <c r="BT228" s="1" t="s">
        <v>210</v>
      </c>
      <c r="BX228" s="1">
        <v>1</v>
      </c>
    </row>
    <row r="229" spans="1:76" x14ac:dyDescent="0.25">
      <c r="A229" s="1" t="s">
        <v>1142</v>
      </c>
      <c r="B229" s="1" t="s">
        <v>203</v>
      </c>
      <c r="D229" s="1" t="s">
        <v>1143</v>
      </c>
      <c r="E229" s="1">
        <v>1032</v>
      </c>
      <c r="F229" s="1" t="str">
        <f t="shared" si="204"/>
        <v>enemy_1032_katar_2</v>
      </c>
      <c r="G229" s="1">
        <v>1</v>
      </c>
      <c r="L229" s="1">
        <v>6500</v>
      </c>
      <c r="N229" s="1">
        <v>550</v>
      </c>
      <c r="P229" s="1">
        <v>350</v>
      </c>
      <c r="R229" s="1">
        <v>0</v>
      </c>
      <c r="Z229" s="1">
        <v>0.05</v>
      </c>
      <c r="AA229" s="1">
        <v>1.5</v>
      </c>
      <c r="AB229" s="1">
        <v>1</v>
      </c>
      <c r="AC229" s="1">
        <v>1</v>
      </c>
      <c r="AH229" s="1">
        <v>0</v>
      </c>
      <c r="AI229" s="1">
        <v>1</v>
      </c>
      <c r="AJ229" s="1" t="s">
        <v>1144</v>
      </c>
      <c r="AK229" s="1" t="s">
        <v>206</v>
      </c>
      <c r="AL229" s="1" t="s">
        <v>228</v>
      </c>
      <c r="AN229" s="22" t="s">
        <v>9767</v>
      </c>
      <c r="AX229" s="1">
        <v>1</v>
      </c>
      <c r="AZ229" s="1">
        <v>0.25</v>
      </c>
      <c r="BG229" s="1" t="str">
        <f t="shared" si="205"/>
        <v>enemy_1032_katar_2</v>
      </c>
      <c r="BM229" s="1" t="s">
        <v>930</v>
      </c>
      <c r="BN229" s="1" t="s">
        <v>1145</v>
      </c>
      <c r="BQ229" s="1" t="s">
        <v>207</v>
      </c>
      <c r="BR229" s="1" t="s">
        <v>208</v>
      </c>
      <c r="BS229" s="1" t="s">
        <v>229</v>
      </c>
      <c r="BT229" s="1" t="s">
        <v>210</v>
      </c>
      <c r="BX229" s="1">
        <v>1</v>
      </c>
    </row>
    <row r="230" spans="1:76" x14ac:dyDescent="0.25">
      <c r="A230" s="1" t="s">
        <v>1146</v>
      </c>
      <c r="B230" s="1" t="s">
        <v>203</v>
      </c>
      <c r="D230" s="1" t="s">
        <v>1147</v>
      </c>
      <c r="E230" s="1">
        <v>1033</v>
      </c>
      <c r="F230" s="1" t="str">
        <f t="shared" si="204"/>
        <v>enemy_1033_handax</v>
      </c>
      <c r="G230" s="1">
        <v>1</v>
      </c>
      <c r="L230" s="1">
        <v>8000</v>
      </c>
      <c r="N230" s="1">
        <v>750</v>
      </c>
      <c r="P230" s="1">
        <v>80</v>
      </c>
      <c r="R230" s="1">
        <v>30</v>
      </c>
      <c r="Z230" s="1">
        <v>0.05</v>
      </c>
      <c r="AA230" s="1">
        <v>3.3</v>
      </c>
      <c r="AB230" s="1">
        <v>3</v>
      </c>
      <c r="AC230" s="1">
        <v>0.75</v>
      </c>
      <c r="AH230" s="1">
        <v>0</v>
      </c>
      <c r="AI230" s="1">
        <v>1</v>
      </c>
      <c r="AJ230" s="1" t="s">
        <v>1148</v>
      </c>
      <c r="AK230" s="1" t="s">
        <v>206</v>
      </c>
      <c r="AL230" s="1" t="s">
        <v>228</v>
      </c>
      <c r="AN230" s="22" t="s">
        <v>9767</v>
      </c>
      <c r="AX230" s="1">
        <v>1</v>
      </c>
      <c r="AZ230" s="1">
        <v>0.25</v>
      </c>
      <c r="BG230" s="1" t="str">
        <f t="shared" si="205"/>
        <v>enemy_1033_handax</v>
      </c>
      <c r="BM230" s="1" t="s">
        <v>989</v>
      </c>
      <c r="BN230" s="1" t="s">
        <v>1149</v>
      </c>
      <c r="BQ230" s="1" t="s">
        <v>207</v>
      </c>
      <c r="BR230" s="1" t="s">
        <v>208</v>
      </c>
      <c r="BS230" s="1" t="s">
        <v>229</v>
      </c>
      <c r="BT230" s="1" t="s">
        <v>210</v>
      </c>
      <c r="BX230" s="1">
        <v>1</v>
      </c>
    </row>
    <row r="231" spans="1:76" x14ac:dyDescent="0.25">
      <c r="A231" s="1" t="s">
        <v>1150</v>
      </c>
      <c r="B231" s="1" t="s">
        <v>203</v>
      </c>
      <c r="D231" s="1" t="s">
        <v>1151</v>
      </c>
      <c r="E231" s="1">
        <v>1033</v>
      </c>
      <c r="F231" s="1" t="str">
        <f t="shared" si="204"/>
        <v>enemy_1033_handax_2</v>
      </c>
      <c r="G231" s="1">
        <v>1</v>
      </c>
      <c r="L231" s="1">
        <v>12000</v>
      </c>
      <c r="N231" s="1">
        <v>850</v>
      </c>
      <c r="P231" s="1">
        <v>100</v>
      </c>
      <c r="R231" s="1">
        <v>30</v>
      </c>
      <c r="Z231" s="1">
        <v>0.05</v>
      </c>
      <c r="AA231" s="1">
        <v>3.3</v>
      </c>
      <c r="AB231" s="1">
        <v>3</v>
      </c>
      <c r="AC231" s="1">
        <v>0.75</v>
      </c>
      <c r="AH231" s="1">
        <v>0</v>
      </c>
      <c r="AI231" s="1">
        <v>1</v>
      </c>
      <c r="AJ231" s="1" t="s">
        <v>1152</v>
      </c>
      <c r="AK231" s="1" t="s">
        <v>206</v>
      </c>
      <c r="AL231" s="1" t="s">
        <v>228</v>
      </c>
      <c r="AN231" s="22" t="s">
        <v>9767</v>
      </c>
      <c r="AX231" s="1">
        <v>1</v>
      </c>
      <c r="AZ231" s="1">
        <v>0.25</v>
      </c>
      <c r="BG231" s="1" t="str">
        <f t="shared" si="205"/>
        <v>enemy_1033_handax_2</v>
      </c>
      <c r="BM231" s="1" t="s">
        <v>989</v>
      </c>
      <c r="BN231" s="1" t="s">
        <v>1153</v>
      </c>
      <c r="BQ231" s="1" t="s">
        <v>207</v>
      </c>
      <c r="BR231" s="1" t="s">
        <v>208</v>
      </c>
      <c r="BS231" s="1" t="s">
        <v>229</v>
      </c>
      <c r="BT231" s="1" t="s">
        <v>210</v>
      </c>
      <c r="BX231" s="1">
        <v>1</v>
      </c>
    </row>
    <row r="232" spans="1:76" x14ac:dyDescent="0.25">
      <c r="A232" s="1" t="s">
        <v>1154</v>
      </c>
      <c r="B232" s="1" t="s">
        <v>203</v>
      </c>
      <c r="D232" s="1" t="s">
        <v>1155</v>
      </c>
      <c r="E232" s="1">
        <v>1034</v>
      </c>
      <c r="F232" s="1" t="str">
        <f t="shared" si="204"/>
        <v>enemy_1034_laxe</v>
      </c>
      <c r="G232" s="1">
        <v>1</v>
      </c>
      <c r="L232" s="1">
        <v>9000</v>
      </c>
      <c r="N232" s="1">
        <v>850</v>
      </c>
      <c r="P232" s="1">
        <v>230</v>
      </c>
      <c r="R232" s="1">
        <v>30</v>
      </c>
      <c r="Z232" s="1">
        <v>0.05</v>
      </c>
      <c r="AA232" s="1">
        <v>3.5</v>
      </c>
      <c r="AB232" s="1">
        <v>3</v>
      </c>
      <c r="AC232" s="1">
        <v>0.7</v>
      </c>
      <c r="AH232" s="1">
        <v>0</v>
      </c>
      <c r="AI232" s="1">
        <v>1</v>
      </c>
      <c r="AJ232" s="1" t="s">
        <v>1156</v>
      </c>
      <c r="AK232" s="1" t="s">
        <v>206</v>
      </c>
      <c r="AL232" s="1" t="s">
        <v>228</v>
      </c>
      <c r="AN232" s="22" t="s">
        <v>9767</v>
      </c>
      <c r="AX232" s="1">
        <v>1</v>
      </c>
      <c r="AZ232" s="1">
        <v>0.25</v>
      </c>
      <c r="BG232" s="1" t="str">
        <f t="shared" si="205"/>
        <v>enemy_1034_laxe</v>
      </c>
      <c r="BM232" s="1" t="s">
        <v>989</v>
      </c>
      <c r="BN232" s="1" t="s">
        <v>1157</v>
      </c>
      <c r="BQ232" s="1" t="s">
        <v>207</v>
      </c>
      <c r="BR232" s="1" t="s">
        <v>208</v>
      </c>
      <c r="BS232" s="1" t="s">
        <v>229</v>
      </c>
      <c r="BT232" s="1" t="s">
        <v>210</v>
      </c>
      <c r="BX232" s="1">
        <v>1</v>
      </c>
    </row>
    <row r="233" spans="1:76" x14ac:dyDescent="0.25">
      <c r="A233" s="1" t="s">
        <v>1158</v>
      </c>
      <c r="B233" s="1" t="s">
        <v>203</v>
      </c>
      <c r="D233" s="1" t="s">
        <v>1159</v>
      </c>
      <c r="E233" s="1">
        <v>1034</v>
      </c>
      <c r="F233" s="1" t="str">
        <f t="shared" si="204"/>
        <v>enemy_1034_laxe_2</v>
      </c>
      <c r="G233" s="1">
        <v>1</v>
      </c>
      <c r="L233" s="1">
        <v>14000</v>
      </c>
      <c r="N233" s="1">
        <v>950</v>
      </c>
      <c r="P233" s="1">
        <v>270</v>
      </c>
      <c r="R233" s="1">
        <v>30</v>
      </c>
      <c r="Z233" s="1">
        <v>0.05</v>
      </c>
      <c r="AA233" s="1">
        <v>3.5</v>
      </c>
      <c r="AB233" s="1">
        <v>3</v>
      </c>
      <c r="AC233" s="1">
        <v>0.7</v>
      </c>
      <c r="AH233" s="1">
        <v>0</v>
      </c>
      <c r="AI233" s="1">
        <v>1</v>
      </c>
      <c r="AJ233" s="1" t="s">
        <v>1160</v>
      </c>
      <c r="AK233" s="1" t="s">
        <v>206</v>
      </c>
      <c r="AL233" s="1" t="s">
        <v>228</v>
      </c>
      <c r="AN233" s="22" t="s">
        <v>9767</v>
      </c>
      <c r="AX233" s="1">
        <v>1</v>
      </c>
      <c r="AZ233" s="1">
        <v>0.25</v>
      </c>
      <c r="BG233" s="1" t="str">
        <f t="shared" si="205"/>
        <v>enemy_1034_laxe_2</v>
      </c>
      <c r="BM233" s="1" t="s">
        <v>989</v>
      </c>
      <c r="BN233" s="1" t="s">
        <v>1161</v>
      </c>
      <c r="BQ233" s="1" t="s">
        <v>207</v>
      </c>
      <c r="BR233" s="1" t="s">
        <v>208</v>
      </c>
      <c r="BS233" s="1" t="s">
        <v>229</v>
      </c>
      <c r="BT233" s="1" t="s">
        <v>210</v>
      </c>
      <c r="BX233" s="1">
        <v>1</v>
      </c>
    </row>
    <row r="234" spans="1:76" x14ac:dyDescent="0.25">
      <c r="A234" s="1" t="s">
        <v>1162</v>
      </c>
      <c r="B234" s="1" t="s">
        <v>203</v>
      </c>
      <c r="D234" s="1" t="s">
        <v>286</v>
      </c>
      <c r="E234" s="1">
        <v>1035</v>
      </c>
      <c r="F234" s="1" t="str">
        <f t="shared" si="204"/>
        <v>enemy_1035_haxe</v>
      </c>
      <c r="G234" s="1">
        <v>1</v>
      </c>
      <c r="L234" s="1">
        <v>12000</v>
      </c>
      <c r="N234" s="1">
        <v>1050</v>
      </c>
      <c r="P234" s="1">
        <v>700</v>
      </c>
      <c r="R234" s="1">
        <v>30</v>
      </c>
      <c r="Z234" s="1">
        <v>0.05</v>
      </c>
      <c r="AA234" s="1">
        <v>3.5</v>
      </c>
      <c r="AB234" s="1">
        <v>3</v>
      </c>
      <c r="AC234" s="1">
        <v>0.65</v>
      </c>
      <c r="AH234" s="1">
        <v>0</v>
      </c>
      <c r="AI234" s="1">
        <v>1</v>
      </c>
      <c r="AJ234" s="1" t="s">
        <v>285</v>
      </c>
      <c r="AK234" s="1" t="s">
        <v>206</v>
      </c>
      <c r="AL234" s="1" t="s">
        <v>228</v>
      </c>
      <c r="AN234" s="22" t="s">
        <v>9767</v>
      </c>
      <c r="AX234" s="1">
        <v>1</v>
      </c>
      <c r="AZ234" s="1">
        <v>0.25</v>
      </c>
      <c r="BG234" s="1" t="str">
        <f t="shared" si="205"/>
        <v>enemy_1035_haxe</v>
      </c>
      <c r="BM234" s="1" t="s">
        <v>989</v>
      </c>
      <c r="BN234" s="1" t="s">
        <v>1163</v>
      </c>
      <c r="BQ234" s="1" t="s">
        <v>207</v>
      </c>
      <c r="BR234" s="1" t="s">
        <v>208</v>
      </c>
      <c r="BS234" s="1" t="s">
        <v>229</v>
      </c>
      <c r="BT234" s="1" t="s">
        <v>210</v>
      </c>
      <c r="BX234" s="1">
        <v>1</v>
      </c>
    </row>
    <row r="235" spans="1:76" x14ac:dyDescent="0.25">
      <c r="A235" s="1" t="s">
        <v>1164</v>
      </c>
      <c r="B235" s="1" t="s">
        <v>203</v>
      </c>
      <c r="D235" s="1" t="s">
        <v>1165</v>
      </c>
      <c r="E235" s="1">
        <v>1035</v>
      </c>
      <c r="F235" s="1" t="str">
        <f t="shared" si="204"/>
        <v>enemy_1035_haxe_2</v>
      </c>
      <c r="G235" s="1">
        <v>1</v>
      </c>
      <c r="L235" s="1">
        <v>18000</v>
      </c>
      <c r="N235" s="1">
        <v>1500</v>
      </c>
      <c r="P235" s="1">
        <v>800</v>
      </c>
      <c r="R235" s="1">
        <v>30</v>
      </c>
      <c r="Z235" s="1">
        <v>0.05</v>
      </c>
      <c r="AA235" s="1">
        <v>3.5</v>
      </c>
      <c r="AB235" s="1">
        <v>3</v>
      </c>
      <c r="AC235" s="1">
        <v>0.65</v>
      </c>
      <c r="AH235" s="1">
        <v>0</v>
      </c>
      <c r="AI235" s="1">
        <v>1</v>
      </c>
      <c r="AJ235" s="1" t="s">
        <v>1166</v>
      </c>
      <c r="AK235" s="1" t="s">
        <v>206</v>
      </c>
      <c r="AL235" s="1" t="s">
        <v>228</v>
      </c>
      <c r="AN235" s="22" t="s">
        <v>9767</v>
      </c>
      <c r="AX235" s="1">
        <v>1</v>
      </c>
      <c r="AZ235" s="1">
        <v>0.25</v>
      </c>
      <c r="BG235" s="1" t="str">
        <f t="shared" si="205"/>
        <v>enemy_1035_haxe_2</v>
      </c>
      <c r="BM235" s="1" t="s">
        <v>989</v>
      </c>
      <c r="BN235" s="1" t="s">
        <v>1167</v>
      </c>
      <c r="BQ235" s="1" t="s">
        <v>207</v>
      </c>
      <c r="BR235" s="1" t="s">
        <v>208</v>
      </c>
      <c r="BS235" s="1" t="s">
        <v>229</v>
      </c>
      <c r="BT235" s="1" t="s">
        <v>210</v>
      </c>
      <c r="BX235" s="1">
        <v>1</v>
      </c>
    </row>
    <row r="236" spans="1:76" x14ac:dyDescent="0.25">
      <c r="A236" s="1" t="s">
        <v>1168</v>
      </c>
      <c r="B236" s="1" t="s">
        <v>203</v>
      </c>
      <c r="D236" s="1" t="s">
        <v>1169</v>
      </c>
      <c r="E236" s="1">
        <v>1036</v>
      </c>
      <c r="F236" s="1" t="str">
        <f t="shared" si="204"/>
        <v>enemy_1036_amraoe</v>
      </c>
      <c r="G236" s="1">
        <v>1</v>
      </c>
      <c r="L236" s="1">
        <v>8500</v>
      </c>
      <c r="N236" s="1">
        <v>380</v>
      </c>
      <c r="P236" s="1">
        <v>400</v>
      </c>
      <c r="R236" s="1">
        <v>20</v>
      </c>
      <c r="Z236" s="1">
        <v>0.05</v>
      </c>
      <c r="AA236" s="1">
        <v>3.8</v>
      </c>
      <c r="AB236" s="1">
        <v>1</v>
      </c>
      <c r="AC236" s="1">
        <v>0.7</v>
      </c>
      <c r="AH236" s="1">
        <v>0</v>
      </c>
      <c r="AI236" s="1">
        <v>1</v>
      </c>
      <c r="AJ236" s="1" t="s">
        <v>1170</v>
      </c>
      <c r="AK236" s="1" t="s">
        <v>206</v>
      </c>
      <c r="AL236" s="1" t="s">
        <v>956</v>
      </c>
      <c r="AN236" s="22" t="s">
        <v>9767</v>
      </c>
      <c r="AX236" s="1">
        <v>1</v>
      </c>
      <c r="AZ236" s="1">
        <v>0.25</v>
      </c>
      <c r="BG236" s="1" t="str">
        <f t="shared" si="205"/>
        <v>enemy_1036_amraoe</v>
      </c>
      <c r="BM236" s="1" t="s">
        <v>957</v>
      </c>
      <c r="BN236" s="1" t="s">
        <v>1171</v>
      </c>
      <c r="BQ236" s="1" t="s">
        <v>207</v>
      </c>
      <c r="BR236" s="1" t="s">
        <v>208</v>
      </c>
      <c r="BS236" s="1" t="s">
        <v>229</v>
      </c>
      <c r="BT236" s="1" t="s">
        <v>210</v>
      </c>
      <c r="BX236" s="1">
        <v>1</v>
      </c>
    </row>
    <row r="237" spans="1:76" x14ac:dyDescent="0.25">
      <c r="A237" s="1" t="s">
        <v>1172</v>
      </c>
      <c r="B237" s="1" t="s">
        <v>203</v>
      </c>
      <c r="D237" s="1" t="s">
        <v>1173</v>
      </c>
      <c r="E237" s="1">
        <v>1037</v>
      </c>
      <c r="F237" s="1" t="s">
        <v>1174</v>
      </c>
      <c r="G237" s="1">
        <v>1</v>
      </c>
      <c r="L237" s="1">
        <v>3200</v>
      </c>
      <c r="N237" s="1">
        <v>350</v>
      </c>
      <c r="P237" s="1">
        <v>50</v>
      </c>
      <c r="R237" s="1">
        <v>0</v>
      </c>
      <c r="Z237" s="1">
        <v>0.05</v>
      </c>
      <c r="AA237" s="1">
        <v>2</v>
      </c>
      <c r="AB237" s="1">
        <v>1</v>
      </c>
      <c r="AC237" s="1">
        <v>1.1000000000000001</v>
      </c>
      <c r="AH237" s="1">
        <v>0</v>
      </c>
      <c r="AI237" s="1">
        <v>1</v>
      </c>
      <c r="AJ237" s="1" t="s">
        <v>1175</v>
      </c>
      <c r="AK237" s="1" t="s">
        <v>206</v>
      </c>
      <c r="AL237" s="1" t="s">
        <v>228</v>
      </c>
      <c r="AN237" s="22" t="s">
        <v>9767</v>
      </c>
      <c r="AX237" s="1">
        <v>1</v>
      </c>
      <c r="AZ237" s="1">
        <v>0.25</v>
      </c>
      <c r="BG237" s="1" t="str">
        <f t="shared" si="205"/>
        <v>enemy_1037_lunsbr</v>
      </c>
      <c r="BM237" s="1" t="s">
        <v>930</v>
      </c>
      <c r="BN237" s="1" t="s">
        <v>1176</v>
      </c>
      <c r="BQ237" s="1" t="s">
        <v>207</v>
      </c>
      <c r="BR237" s="1" t="s">
        <v>208</v>
      </c>
      <c r="BS237" s="1" t="s">
        <v>239</v>
      </c>
      <c r="BT237" s="1" t="s">
        <v>210</v>
      </c>
      <c r="BX237" s="1">
        <v>1</v>
      </c>
    </row>
    <row r="238" spans="1:76" x14ac:dyDescent="0.25">
      <c r="A238" s="1" t="s">
        <v>1177</v>
      </c>
      <c r="B238" s="1" t="s">
        <v>203</v>
      </c>
      <c r="D238" s="1" t="s">
        <v>1178</v>
      </c>
      <c r="E238" s="1">
        <v>1038</v>
      </c>
      <c r="F238" s="1" t="str">
        <f t="shared" si="204"/>
        <v>enemy_1038_lunmag</v>
      </c>
      <c r="G238" s="1">
        <v>1</v>
      </c>
      <c r="L238" s="1">
        <v>4000</v>
      </c>
      <c r="N238" s="1">
        <v>400</v>
      </c>
      <c r="P238" s="1">
        <v>250</v>
      </c>
      <c r="R238" s="1">
        <v>50</v>
      </c>
      <c r="Z238" s="1">
        <v>0.05</v>
      </c>
      <c r="AA238" s="1">
        <v>4</v>
      </c>
      <c r="AB238" s="1">
        <v>2</v>
      </c>
      <c r="AC238" s="1">
        <v>0.8</v>
      </c>
      <c r="AH238" s="1">
        <v>0</v>
      </c>
      <c r="AI238" s="1">
        <v>1</v>
      </c>
      <c r="AJ238" s="1" t="s">
        <v>1179</v>
      </c>
      <c r="AK238" s="1" t="s">
        <v>206</v>
      </c>
      <c r="AL238" s="1" t="s">
        <v>951</v>
      </c>
      <c r="AN238" s="22" t="s">
        <v>9767</v>
      </c>
      <c r="AX238" s="1">
        <v>1</v>
      </c>
      <c r="AZ238" s="1">
        <v>0.25</v>
      </c>
      <c r="BG238" s="1" t="str">
        <f t="shared" si="205"/>
        <v>enemy_1038_lunmag</v>
      </c>
      <c r="BM238" s="1" t="s">
        <v>936</v>
      </c>
      <c r="BN238" s="1" t="s">
        <v>1180</v>
      </c>
      <c r="BQ238" s="1" t="s">
        <v>207</v>
      </c>
      <c r="BR238" s="1" t="s">
        <v>208</v>
      </c>
      <c r="BS238" s="1" t="s">
        <v>229</v>
      </c>
      <c r="BT238" s="1" t="s">
        <v>210</v>
      </c>
      <c r="BX238" s="1">
        <v>1</v>
      </c>
    </row>
    <row r="239" spans="1:76" x14ac:dyDescent="0.25">
      <c r="A239" s="1" t="s">
        <v>1181</v>
      </c>
      <c r="B239" s="1" t="s">
        <v>203</v>
      </c>
      <c r="D239" s="1" t="s">
        <v>1182</v>
      </c>
      <c r="E239" s="1">
        <v>1038</v>
      </c>
      <c r="F239" s="1" t="str">
        <f t="shared" si="204"/>
        <v>enemy_1038_lunmag_2</v>
      </c>
      <c r="G239" s="1">
        <v>1</v>
      </c>
      <c r="L239" s="1">
        <v>6000</v>
      </c>
      <c r="N239" s="1">
        <v>450</v>
      </c>
      <c r="P239" s="1">
        <v>300</v>
      </c>
      <c r="R239" s="1">
        <v>50</v>
      </c>
      <c r="Z239" s="1">
        <v>0.05</v>
      </c>
      <c r="AA239" s="1">
        <v>4</v>
      </c>
      <c r="AB239" s="1">
        <v>2</v>
      </c>
      <c r="AC239" s="1">
        <v>0.8</v>
      </c>
      <c r="AH239" s="1">
        <v>0</v>
      </c>
      <c r="AI239" s="1">
        <v>1</v>
      </c>
      <c r="AJ239" s="1" t="s">
        <v>1183</v>
      </c>
      <c r="AK239" s="1" t="s">
        <v>206</v>
      </c>
      <c r="AL239" s="1" t="s">
        <v>1184</v>
      </c>
      <c r="AN239" s="22" t="s">
        <v>9767</v>
      </c>
      <c r="AX239" s="1">
        <v>1</v>
      </c>
      <c r="AZ239" s="1">
        <v>0.25</v>
      </c>
      <c r="BG239" s="1" t="str">
        <f t="shared" si="205"/>
        <v>enemy_1038_lunmag_2</v>
      </c>
      <c r="BM239" s="1" t="s">
        <v>936</v>
      </c>
      <c r="BN239" s="1" t="s">
        <v>1185</v>
      </c>
      <c r="BQ239" s="1" t="s">
        <v>207</v>
      </c>
      <c r="BR239" s="1" t="s">
        <v>208</v>
      </c>
      <c r="BS239" s="1" t="s">
        <v>229</v>
      </c>
      <c r="BT239" s="1" t="s">
        <v>210</v>
      </c>
      <c r="BX239" s="1">
        <v>1</v>
      </c>
    </row>
    <row r="240" spans="1:76" x14ac:dyDescent="0.25">
      <c r="A240" s="1" t="s">
        <v>1186</v>
      </c>
      <c r="B240" s="1" t="s">
        <v>203</v>
      </c>
      <c r="D240" s="1" t="s">
        <v>1187</v>
      </c>
      <c r="E240" s="1">
        <v>1039</v>
      </c>
      <c r="F240" s="1" t="str">
        <f t="shared" si="204"/>
        <v>enemy_1039_breakr</v>
      </c>
      <c r="G240" s="1">
        <v>1</v>
      </c>
      <c r="L240" s="1">
        <v>3500</v>
      </c>
      <c r="N240" s="1">
        <v>410</v>
      </c>
      <c r="P240" s="1">
        <v>50</v>
      </c>
      <c r="R240" s="1">
        <v>25</v>
      </c>
      <c r="Z240" s="1">
        <v>0.05</v>
      </c>
      <c r="AA240" s="1">
        <v>1.4</v>
      </c>
      <c r="AB240" s="1">
        <v>1</v>
      </c>
      <c r="AC240" s="1">
        <v>1.9</v>
      </c>
      <c r="AH240" s="1">
        <v>0</v>
      </c>
      <c r="AI240" s="1">
        <v>1</v>
      </c>
      <c r="AJ240" s="1" t="s">
        <v>313</v>
      </c>
      <c r="AK240" s="1" t="s">
        <v>206</v>
      </c>
      <c r="AL240" s="1" t="s">
        <v>228</v>
      </c>
      <c r="AN240" s="22" t="s">
        <v>9767</v>
      </c>
      <c r="AX240" s="1">
        <v>1</v>
      </c>
      <c r="AZ240" s="1">
        <v>0.25</v>
      </c>
      <c r="BG240" s="1" t="str">
        <f t="shared" si="205"/>
        <v>enemy_1039_breakr</v>
      </c>
      <c r="BM240" s="1" t="s">
        <v>930</v>
      </c>
      <c r="BN240" s="1" t="s">
        <v>1188</v>
      </c>
      <c r="BQ240" s="1" t="s">
        <v>207</v>
      </c>
      <c r="BR240" s="1" t="s">
        <v>208</v>
      </c>
      <c r="BS240" s="1" t="s">
        <v>229</v>
      </c>
      <c r="BT240" s="1" t="s">
        <v>210</v>
      </c>
      <c r="BX240" s="1">
        <v>1</v>
      </c>
    </row>
    <row r="241" spans="1:76" x14ac:dyDescent="0.25">
      <c r="A241" s="1" t="s">
        <v>1189</v>
      </c>
      <c r="B241" s="1" t="s">
        <v>203</v>
      </c>
      <c r="D241" s="1" t="s">
        <v>1190</v>
      </c>
      <c r="E241" s="1">
        <v>1039</v>
      </c>
      <c r="F241" s="1" t="str">
        <f t="shared" ref="F241:F304" si="206">"enemy_"&amp;E241&amp;"_"&amp;D241</f>
        <v>enemy_1039_breakr_2</v>
      </c>
      <c r="G241" s="1">
        <v>1</v>
      </c>
      <c r="L241" s="1">
        <v>5000</v>
      </c>
      <c r="N241" s="1">
        <v>500</v>
      </c>
      <c r="P241" s="1">
        <v>80</v>
      </c>
      <c r="R241" s="1">
        <v>25</v>
      </c>
      <c r="Z241" s="1">
        <v>0.05</v>
      </c>
      <c r="AA241" s="1">
        <v>1.4</v>
      </c>
      <c r="AB241" s="1">
        <v>1</v>
      </c>
      <c r="AC241" s="1">
        <v>1.9</v>
      </c>
      <c r="AH241" s="1">
        <v>0</v>
      </c>
      <c r="AI241" s="1">
        <v>1</v>
      </c>
      <c r="AJ241" s="1" t="s">
        <v>1191</v>
      </c>
      <c r="AK241" s="1" t="s">
        <v>206</v>
      </c>
      <c r="AL241" s="1" t="s">
        <v>228</v>
      </c>
      <c r="AN241" s="22" t="s">
        <v>9767</v>
      </c>
      <c r="AX241" s="1">
        <v>1</v>
      </c>
      <c r="AZ241" s="1">
        <v>0.25</v>
      </c>
      <c r="BG241" s="1" t="str">
        <f t="shared" ref="BG241:BG304" si="207">"enemy_"&amp;E241&amp;"_"&amp;D241</f>
        <v>enemy_1039_breakr_2</v>
      </c>
      <c r="BM241" s="1" t="s">
        <v>930</v>
      </c>
      <c r="BN241" s="1" t="s">
        <v>1192</v>
      </c>
      <c r="BQ241" s="1" t="s">
        <v>207</v>
      </c>
      <c r="BR241" s="1" t="s">
        <v>208</v>
      </c>
      <c r="BS241" s="1" t="s">
        <v>229</v>
      </c>
      <c r="BT241" s="1" t="s">
        <v>210</v>
      </c>
      <c r="BX241" s="1">
        <v>1</v>
      </c>
    </row>
    <row r="242" spans="1:76" x14ac:dyDescent="0.25">
      <c r="A242" s="1" t="s">
        <v>1193</v>
      </c>
      <c r="B242" s="1" t="s">
        <v>203</v>
      </c>
      <c r="D242" s="1" t="s">
        <v>1194</v>
      </c>
      <c r="E242" s="1">
        <v>1040</v>
      </c>
      <c r="F242" s="1" t="str">
        <f t="shared" si="206"/>
        <v>enemy_1040_bombd</v>
      </c>
      <c r="G242" s="1">
        <v>0.7</v>
      </c>
      <c r="L242" s="1">
        <v>4000</v>
      </c>
      <c r="N242" s="1">
        <v>800</v>
      </c>
      <c r="P242" s="1">
        <v>150</v>
      </c>
      <c r="R242" s="1">
        <v>30</v>
      </c>
      <c r="Z242" s="1">
        <v>0.05</v>
      </c>
      <c r="AA242" s="1">
        <v>5</v>
      </c>
      <c r="AB242" s="1">
        <v>1</v>
      </c>
      <c r="AC242" s="1">
        <v>0.6</v>
      </c>
      <c r="AH242" s="1">
        <v>0</v>
      </c>
      <c r="AI242" s="1">
        <v>1</v>
      </c>
      <c r="AJ242" s="1" t="s">
        <v>1195</v>
      </c>
      <c r="AK242" s="1" t="s">
        <v>206</v>
      </c>
      <c r="AL242" s="1" t="s">
        <v>1196</v>
      </c>
      <c r="AN242" s="22" t="s">
        <v>9767</v>
      </c>
      <c r="AP242" s="1">
        <v>1</v>
      </c>
      <c r="AX242" s="1">
        <v>1</v>
      </c>
      <c r="AZ242" s="1">
        <v>0.25</v>
      </c>
      <c r="BG242" s="1" t="str">
        <f t="shared" si="207"/>
        <v>enemy_1040_bombd</v>
      </c>
      <c r="BM242" s="1" t="s">
        <v>1027</v>
      </c>
      <c r="BN242" s="1" t="s">
        <v>1197</v>
      </c>
      <c r="BQ242" s="1" t="s">
        <v>207</v>
      </c>
      <c r="BR242" s="1" t="s">
        <v>208</v>
      </c>
      <c r="BS242" s="1" t="s">
        <v>209</v>
      </c>
      <c r="BT242" s="1" t="s">
        <v>210</v>
      </c>
      <c r="BX242" s="1">
        <v>1</v>
      </c>
    </row>
    <row r="243" spans="1:76" x14ac:dyDescent="0.25">
      <c r="A243" s="1" t="s">
        <v>1198</v>
      </c>
      <c r="B243" s="1" t="s">
        <v>203</v>
      </c>
      <c r="D243" s="1" t="s">
        <v>1199</v>
      </c>
      <c r="E243" s="1">
        <v>1040</v>
      </c>
      <c r="F243" s="1" t="str">
        <f t="shared" si="206"/>
        <v>enemy_1040_bombd_2</v>
      </c>
      <c r="G243" s="1">
        <v>0.7</v>
      </c>
      <c r="L243" s="1">
        <v>6000</v>
      </c>
      <c r="N243" s="1">
        <v>1500</v>
      </c>
      <c r="P243" s="1">
        <v>220</v>
      </c>
      <c r="R243" s="1">
        <v>30</v>
      </c>
      <c r="Z243" s="1">
        <v>0.05</v>
      </c>
      <c r="AA243" s="1">
        <v>5</v>
      </c>
      <c r="AB243" s="1">
        <v>1</v>
      </c>
      <c r="AC243" s="1">
        <v>0.6</v>
      </c>
      <c r="AH243" s="1">
        <v>0</v>
      </c>
      <c r="AI243" s="1">
        <v>1</v>
      </c>
      <c r="AJ243" s="1" t="s">
        <v>1200</v>
      </c>
      <c r="AK243" s="1" t="s">
        <v>206</v>
      </c>
      <c r="AL243" s="1" t="s">
        <v>1196</v>
      </c>
      <c r="AN243" s="22" t="s">
        <v>9767</v>
      </c>
      <c r="AP243" s="1">
        <v>1</v>
      </c>
      <c r="AX243" s="1">
        <v>1</v>
      </c>
      <c r="AZ243" s="1">
        <v>0.25</v>
      </c>
      <c r="BG243" s="1" t="str">
        <f t="shared" si="207"/>
        <v>enemy_1040_bombd_2</v>
      </c>
      <c r="BM243" s="1" t="s">
        <v>1027</v>
      </c>
      <c r="BN243" s="1" t="s">
        <v>1201</v>
      </c>
      <c r="BQ243" s="1" t="s">
        <v>207</v>
      </c>
      <c r="BR243" s="1" t="s">
        <v>208</v>
      </c>
      <c r="BS243" s="1" t="s">
        <v>209</v>
      </c>
      <c r="BT243" s="1" t="s">
        <v>210</v>
      </c>
      <c r="BX243" s="1">
        <v>1</v>
      </c>
    </row>
    <row r="244" spans="1:76" x14ac:dyDescent="0.25">
      <c r="A244" s="1" t="s">
        <v>1202</v>
      </c>
      <c r="B244" s="1" t="s">
        <v>203</v>
      </c>
      <c r="D244" s="1" t="s">
        <v>1203</v>
      </c>
      <c r="E244" s="1">
        <v>1041</v>
      </c>
      <c r="F244" s="1" t="str">
        <f t="shared" si="206"/>
        <v>enemy_1041_lazerd</v>
      </c>
      <c r="G244" s="1">
        <v>0.7</v>
      </c>
      <c r="L244" s="1">
        <v>2700</v>
      </c>
      <c r="N244" s="1">
        <v>220</v>
      </c>
      <c r="P244" s="1">
        <v>100</v>
      </c>
      <c r="R244" s="1">
        <v>65</v>
      </c>
      <c r="Z244" s="1">
        <v>0.05</v>
      </c>
      <c r="AA244" s="1">
        <v>2.15</v>
      </c>
      <c r="AB244" s="1">
        <v>1</v>
      </c>
      <c r="AC244" s="1">
        <v>1.5</v>
      </c>
      <c r="AH244" s="1">
        <v>0</v>
      </c>
      <c r="AI244" s="1">
        <v>1</v>
      </c>
      <c r="AJ244" s="1" t="s">
        <v>1204</v>
      </c>
      <c r="AK244" s="1" t="s">
        <v>206</v>
      </c>
      <c r="AL244" s="1" t="s">
        <v>1205</v>
      </c>
      <c r="AN244" s="22" t="s">
        <v>9767</v>
      </c>
      <c r="AP244" s="1">
        <v>1</v>
      </c>
      <c r="AX244" s="1">
        <v>1</v>
      </c>
      <c r="AZ244" s="1">
        <v>0.25</v>
      </c>
      <c r="BG244" s="1" t="str">
        <f t="shared" si="207"/>
        <v>enemy_1041_lazerd</v>
      </c>
      <c r="BM244" s="1" t="s">
        <v>1027</v>
      </c>
      <c r="BN244" s="1" t="s">
        <v>1206</v>
      </c>
      <c r="BQ244" s="1" t="s">
        <v>207</v>
      </c>
      <c r="BR244" s="1" t="s">
        <v>208</v>
      </c>
      <c r="BS244" s="1" t="s">
        <v>209</v>
      </c>
      <c r="BT244" s="1" t="s">
        <v>210</v>
      </c>
      <c r="BX244" s="1">
        <v>1</v>
      </c>
    </row>
    <row r="245" spans="1:76" x14ac:dyDescent="0.25">
      <c r="A245" s="1" t="s">
        <v>1207</v>
      </c>
      <c r="B245" s="1" t="s">
        <v>203</v>
      </c>
      <c r="D245" s="1" t="s">
        <v>1208</v>
      </c>
      <c r="E245" s="1">
        <v>1041</v>
      </c>
      <c r="F245" s="1" t="str">
        <f t="shared" si="206"/>
        <v>enemy_1041_lazerd_2</v>
      </c>
      <c r="G245" s="1">
        <v>0.7</v>
      </c>
      <c r="L245" s="1">
        <v>6000</v>
      </c>
      <c r="N245" s="1">
        <v>600</v>
      </c>
      <c r="P245" s="1">
        <v>140</v>
      </c>
      <c r="R245" s="1">
        <v>65</v>
      </c>
      <c r="Z245" s="1">
        <v>0.05</v>
      </c>
      <c r="AA245" s="1">
        <v>3.5</v>
      </c>
      <c r="AB245" s="1">
        <v>1</v>
      </c>
      <c r="AC245" s="1">
        <v>0.8</v>
      </c>
      <c r="AH245" s="1">
        <v>0</v>
      </c>
      <c r="AI245" s="1">
        <v>1</v>
      </c>
      <c r="AJ245" s="1" t="s">
        <v>1209</v>
      </c>
      <c r="AK245" s="1" t="s">
        <v>206</v>
      </c>
      <c r="AL245" s="1" t="s">
        <v>1210</v>
      </c>
      <c r="AN245" s="22" t="s">
        <v>9767</v>
      </c>
      <c r="AP245" s="1">
        <v>1</v>
      </c>
      <c r="AX245" s="1">
        <v>1</v>
      </c>
      <c r="AZ245" s="1">
        <v>0.25</v>
      </c>
      <c r="BG245" s="1" t="str">
        <f t="shared" si="207"/>
        <v>enemy_1041_lazerd_2</v>
      </c>
      <c r="BM245" s="1" t="s">
        <v>1032</v>
      </c>
      <c r="BN245" s="1" t="s">
        <v>1211</v>
      </c>
      <c r="BQ245" s="1" t="s">
        <v>207</v>
      </c>
      <c r="BR245" s="1" t="s">
        <v>208</v>
      </c>
      <c r="BS245" s="1" t="s">
        <v>209</v>
      </c>
      <c r="BT245" s="1" t="s">
        <v>210</v>
      </c>
      <c r="BX245" s="1">
        <v>1</v>
      </c>
    </row>
    <row r="246" spans="1:76" x14ac:dyDescent="0.25">
      <c r="A246" s="1" t="s">
        <v>1212</v>
      </c>
      <c r="B246" s="1" t="s">
        <v>203</v>
      </c>
      <c r="D246" s="1" t="s">
        <v>1213</v>
      </c>
      <c r="E246" s="1">
        <v>1042</v>
      </c>
      <c r="F246" s="1" t="str">
        <f t="shared" si="206"/>
        <v>enemy_1042_frostd</v>
      </c>
      <c r="G246" s="1">
        <v>0.7</v>
      </c>
      <c r="L246" s="1">
        <v>6500</v>
      </c>
      <c r="N246" s="1">
        <v>100</v>
      </c>
      <c r="P246" s="1">
        <v>600</v>
      </c>
      <c r="R246" s="1">
        <v>30</v>
      </c>
      <c r="Z246" s="1">
        <v>0.05</v>
      </c>
      <c r="AA246" s="1">
        <v>1</v>
      </c>
      <c r="AB246" s="1">
        <v>1</v>
      </c>
      <c r="AC246" s="1">
        <v>0.9</v>
      </c>
      <c r="AH246" s="1">
        <v>0</v>
      </c>
      <c r="AI246" s="1">
        <v>1</v>
      </c>
      <c r="AJ246" s="1" t="s">
        <v>1214</v>
      </c>
      <c r="AK246" s="1" t="s">
        <v>206</v>
      </c>
      <c r="AL246" s="1" t="s">
        <v>1215</v>
      </c>
      <c r="AN246" s="22" t="s">
        <v>9767</v>
      </c>
      <c r="AP246" s="1">
        <v>1</v>
      </c>
      <c r="AX246" s="1">
        <v>1</v>
      </c>
      <c r="AZ246" s="1">
        <v>0.25</v>
      </c>
      <c r="BG246" s="1" t="str">
        <f t="shared" si="207"/>
        <v>enemy_1042_frostd</v>
      </c>
      <c r="BM246" s="1" t="s">
        <v>1216</v>
      </c>
      <c r="BN246" s="1" t="s">
        <v>1217</v>
      </c>
      <c r="BQ246" s="1" t="s">
        <v>207</v>
      </c>
      <c r="BR246" s="1" t="s">
        <v>208</v>
      </c>
      <c r="BS246" s="1" t="s">
        <v>209</v>
      </c>
      <c r="BT246" s="1" t="s">
        <v>210</v>
      </c>
      <c r="BX246" s="1">
        <v>1</v>
      </c>
    </row>
    <row r="247" spans="1:76" x14ac:dyDescent="0.25">
      <c r="A247" s="1" t="s">
        <v>1218</v>
      </c>
      <c r="B247" s="1" t="s">
        <v>203</v>
      </c>
      <c r="D247" s="1" t="s">
        <v>1219</v>
      </c>
      <c r="E247" s="1">
        <v>1043</v>
      </c>
      <c r="F247" s="1" t="s">
        <v>1220</v>
      </c>
      <c r="G247" s="1">
        <v>1</v>
      </c>
      <c r="L247" s="1">
        <v>2500</v>
      </c>
      <c r="N247" s="1">
        <v>250</v>
      </c>
      <c r="P247" s="1">
        <v>100</v>
      </c>
      <c r="R247" s="1">
        <v>30</v>
      </c>
      <c r="Z247" s="1">
        <v>0.05</v>
      </c>
      <c r="AA247" s="1">
        <v>1.8</v>
      </c>
      <c r="AB247" s="1">
        <v>1</v>
      </c>
      <c r="AC247" s="1">
        <v>0.9</v>
      </c>
      <c r="AH247" s="1">
        <v>0</v>
      </c>
      <c r="AI247" s="1">
        <v>1</v>
      </c>
      <c r="AJ247" s="1" t="s">
        <v>1221</v>
      </c>
      <c r="AK247" s="1" t="s">
        <v>206</v>
      </c>
      <c r="AL247" s="1" t="s">
        <v>228</v>
      </c>
      <c r="AN247" s="22" t="s">
        <v>9767</v>
      </c>
      <c r="AV247" s="1">
        <v>80</v>
      </c>
      <c r="AX247" s="1">
        <v>1</v>
      </c>
      <c r="AZ247" s="1">
        <v>0.25</v>
      </c>
      <c r="BG247" s="1" t="str">
        <f t="shared" si="207"/>
        <v>enemy_1043_zomsbr</v>
      </c>
      <c r="BM247" s="1" t="s">
        <v>1222</v>
      </c>
      <c r="BN247" s="1" t="s">
        <v>1223</v>
      </c>
      <c r="BQ247" s="1" t="s">
        <v>207</v>
      </c>
      <c r="BR247" s="1" t="s">
        <v>208</v>
      </c>
      <c r="BS247" s="1" t="s">
        <v>239</v>
      </c>
      <c r="BT247" s="1" t="s">
        <v>210</v>
      </c>
      <c r="BX247" s="1">
        <v>1</v>
      </c>
    </row>
    <row r="248" spans="1:76" x14ac:dyDescent="0.25">
      <c r="A248" s="1" t="s">
        <v>1224</v>
      </c>
      <c r="B248" s="1" t="s">
        <v>203</v>
      </c>
      <c r="D248" s="1" t="s">
        <v>1225</v>
      </c>
      <c r="E248" s="1">
        <v>1043</v>
      </c>
      <c r="F248" s="1" t="s">
        <v>1226</v>
      </c>
      <c r="G248" s="1">
        <v>1</v>
      </c>
      <c r="L248" s="1">
        <v>4000</v>
      </c>
      <c r="N248" s="1">
        <v>300</v>
      </c>
      <c r="P248" s="1">
        <v>150</v>
      </c>
      <c r="R248" s="1">
        <v>30</v>
      </c>
      <c r="Z248" s="1">
        <v>0.05</v>
      </c>
      <c r="AA248" s="1">
        <v>1.8</v>
      </c>
      <c r="AB248" s="1">
        <v>1</v>
      </c>
      <c r="AC248" s="1">
        <v>0.9</v>
      </c>
      <c r="AH248" s="1">
        <v>0</v>
      </c>
      <c r="AI248" s="1">
        <v>1</v>
      </c>
      <c r="AJ248" s="1" t="s">
        <v>1227</v>
      </c>
      <c r="AK248" s="1" t="s">
        <v>206</v>
      </c>
      <c r="AL248" s="1" t="s">
        <v>228</v>
      </c>
      <c r="AN248" s="22" t="s">
        <v>9767</v>
      </c>
      <c r="AV248" s="1">
        <v>150</v>
      </c>
      <c r="AX248" s="1">
        <v>1</v>
      </c>
      <c r="AZ248" s="1">
        <v>0.25</v>
      </c>
      <c r="BG248" s="1" t="str">
        <f t="shared" si="207"/>
        <v>enemy_1043_zomsbr_2</v>
      </c>
      <c r="BM248" s="1" t="s">
        <v>1222</v>
      </c>
      <c r="BN248" s="1" t="s">
        <v>1228</v>
      </c>
      <c r="BQ248" s="1" t="s">
        <v>207</v>
      </c>
      <c r="BR248" s="1" t="s">
        <v>208</v>
      </c>
      <c r="BS248" s="1" t="s">
        <v>239</v>
      </c>
      <c r="BT248" s="1" t="s">
        <v>210</v>
      </c>
      <c r="BX248" s="1">
        <v>1</v>
      </c>
    </row>
    <row r="249" spans="1:76" x14ac:dyDescent="0.25">
      <c r="A249" s="1" t="s">
        <v>1229</v>
      </c>
      <c r="B249" s="1" t="s">
        <v>203</v>
      </c>
      <c r="D249" s="1" t="s">
        <v>1230</v>
      </c>
      <c r="E249" s="1">
        <v>1044</v>
      </c>
      <c r="F249" s="1" t="str">
        <f t="shared" si="206"/>
        <v>enemy_1044_zomstr</v>
      </c>
      <c r="G249" s="1">
        <v>1</v>
      </c>
      <c r="L249" s="1">
        <v>6000</v>
      </c>
      <c r="N249" s="1">
        <v>500</v>
      </c>
      <c r="P249" s="1">
        <v>130</v>
      </c>
      <c r="R249" s="1">
        <v>30</v>
      </c>
      <c r="Z249" s="1">
        <v>0.05</v>
      </c>
      <c r="AA249" s="1">
        <v>3</v>
      </c>
      <c r="AB249" s="1">
        <v>2</v>
      </c>
      <c r="AC249" s="1">
        <v>0.65</v>
      </c>
      <c r="AH249" s="1">
        <v>0</v>
      </c>
      <c r="AI249" s="1">
        <v>1</v>
      </c>
      <c r="AJ249" s="1" t="s">
        <v>1231</v>
      </c>
      <c r="AK249" s="1" t="s">
        <v>206</v>
      </c>
      <c r="AL249" s="1" t="s">
        <v>228</v>
      </c>
      <c r="AN249" s="22" t="s">
        <v>9767</v>
      </c>
      <c r="AV249" s="1">
        <v>200</v>
      </c>
      <c r="AX249" s="1">
        <v>1</v>
      </c>
      <c r="AZ249" s="1">
        <v>0.25</v>
      </c>
      <c r="BG249" s="1" t="str">
        <f t="shared" si="207"/>
        <v>enemy_1044_zomstr</v>
      </c>
      <c r="BM249" s="1" t="s">
        <v>1222</v>
      </c>
      <c r="BN249" s="1" t="s">
        <v>1232</v>
      </c>
      <c r="BQ249" s="1" t="s">
        <v>207</v>
      </c>
      <c r="BR249" s="1" t="s">
        <v>208</v>
      </c>
      <c r="BS249" s="1" t="s">
        <v>229</v>
      </c>
      <c r="BT249" s="1" t="s">
        <v>210</v>
      </c>
      <c r="BX249" s="1">
        <v>1</v>
      </c>
    </row>
    <row r="250" spans="1:76" x14ac:dyDescent="0.25">
      <c r="A250" s="1" t="s">
        <v>1233</v>
      </c>
      <c r="B250" s="1" t="s">
        <v>203</v>
      </c>
      <c r="D250" s="1" t="s">
        <v>1234</v>
      </c>
      <c r="E250" s="1">
        <v>1044</v>
      </c>
      <c r="F250" s="1" t="str">
        <f t="shared" si="206"/>
        <v>enemy_1044_zomstr_2</v>
      </c>
      <c r="G250" s="1">
        <v>1</v>
      </c>
      <c r="L250" s="1">
        <v>11000</v>
      </c>
      <c r="N250" s="1">
        <v>650</v>
      </c>
      <c r="P250" s="1">
        <v>200</v>
      </c>
      <c r="R250" s="1">
        <v>30</v>
      </c>
      <c r="Z250" s="1">
        <v>0.05</v>
      </c>
      <c r="AA250" s="1">
        <v>3</v>
      </c>
      <c r="AB250" s="1">
        <v>2</v>
      </c>
      <c r="AC250" s="1">
        <v>0.65</v>
      </c>
      <c r="AH250" s="1">
        <v>0</v>
      </c>
      <c r="AI250" s="1">
        <v>1</v>
      </c>
      <c r="AJ250" s="1" t="s">
        <v>1235</v>
      </c>
      <c r="AK250" s="1" t="s">
        <v>206</v>
      </c>
      <c r="AL250" s="1" t="s">
        <v>228</v>
      </c>
      <c r="AN250" s="22" t="s">
        <v>9767</v>
      </c>
      <c r="AV250" s="1">
        <v>250</v>
      </c>
      <c r="AX250" s="1">
        <v>1</v>
      </c>
      <c r="AZ250" s="1">
        <v>0.25</v>
      </c>
      <c r="BG250" s="1" t="str">
        <f t="shared" si="207"/>
        <v>enemy_1044_zomstr_2</v>
      </c>
      <c r="BM250" s="1" t="s">
        <v>1222</v>
      </c>
      <c r="BN250" s="1" t="s">
        <v>1236</v>
      </c>
      <c r="BQ250" s="1" t="s">
        <v>207</v>
      </c>
      <c r="BR250" s="1" t="s">
        <v>208</v>
      </c>
      <c r="BS250" s="1" t="s">
        <v>229</v>
      </c>
      <c r="BT250" s="1" t="s">
        <v>210</v>
      </c>
      <c r="BX250" s="1">
        <v>1</v>
      </c>
    </row>
    <row r="251" spans="1:76" x14ac:dyDescent="0.25">
      <c r="A251" s="1" t="s">
        <v>304</v>
      </c>
      <c r="B251" s="1" t="s">
        <v>203</v>
      </c>
      <c r="D251" s="1" t="s">
        <v>1237</v>
      </c>
      <c r="E251" s="1">
        <v>1045</v>
      </c>
      <c r="F251" s="1" t="str">
        <f t="shared" si="206"/>
        <v>enemy_1045_hammer</v>
      </c>
      <c r="G251" s="1">
        <v>1</v>
      </c>
      <c r="L251" s="1">
        <v>10000</v>
      </c>
      <c r="N251" s="1">
        <v>1000</v>
      </c>
      <c r="P251" s="1">
        <v>1000</v>
      </c>
      <c r="R251" s="1">
        <v>0</v>
      </c>
      <c r="Z251" s="1">
        <v>0.05</v>
      </c>
      <c r="AA251" s="1">
        <v>3.5</v>
      </c>
      <c r="AB251" s="1">
        <v>4</v>
      </c>
      <c r="AC251" s="1">
        <v>0.5</v>
      </c>
      <c r="AH251" s="1">
        <v>0</v>
      </c>
      <c r="AI251" s="1">
        <v>1</v>
      </c>
      <c r="AJ251" s="1" t="s">
        <v>303</v>
      </c>
      <c r="AK251" s="1" t="s">
        <v>206</v>
      </c>
      <c r="AL251" s="1" t="s">
        <v>305</v>
      </c>
      <c r="AN251" s="22" t="s">
        <v>9767</v>
      </c>
      <c r="AX251" s="1">
        <v>1</v>
      </c>
      <c r="AZ251" s="1">
        <v>0.25</v>
      </c>
      <c r="BG251" s="1" t="str">
        <f t="shared" si="207"/>
        <v>enemy_1045_hammer</v>
      </c>
      <c r="BM251" s="1" t="s">
        <v>989</v>
      </c>
      <c r="BN251" s="1" t="s">
        <v>1238</v>
      </c>
      <c r="BQ251" s="1" t="s">
        <v>207</v>
      </c>
      <c r="BR251" s="1" t="s">
        <v>208</v>
      </c>
      <c r="BS251" s="1" t="s">
        <v>229</v>
      </c>
      <c r="BT251" s="1" t="s">
        <v>210</v>
      </c>
      <c r="BX251" s="1">
        <v>1</v>
      </c>
    </row>
    <row r="252" spans="1:76" x14ac:dyDescent="0.25">
      <c r="A252" s="1" t="s">
        <v>1239</v>
      </c>
      <c r="B252" s="1" t="s">
        <v>203</v>
      </c>
      <c r="D252" s="1" t="s">
        <v>1240</v>
      </c>
      <c r="E252" s="1">
        <v>1045</v>
      </c>
      <c r="F252" s="1" t="str">
        <f t="shared" si="206"/>
        <v>enemy_1045_hammer_2</v>
      </c>
      <c r="G252" s="1">
        <v>1</v>
      </c>
      <c r="L252" s="1">
        <v>20000</v>
      </c>
      <c r="N252" s="1">
        <v>1500</v>
      </c>
      <c r="P252" s="1">
        <v>2000</v>
      </c>
      <c r="R252" s="1">
        <v>0</v>
      </c>
      <c r="Z252" s="1">
        <v>0.05</v>
      </c>
      <c r="AA252" s="1">
        <v>3.5</v>
      </c>
      <c r="AB252" s="1">
        <v>4</v>
      </c>
      <c r="AC252" s="1">
        <v>0.5</v>
      </c>
      <c r="AH252" s="1">
        <v>0</v>
      </c>
      <c r="AI252" s="1">
        <v>1</v>
      </c>
      <c r="AJ252" s="1" t="s">
        <v>1241</v>
      </c>
      <c r="AK252" s="1" t="s">
        <v>206</v>
      </c>
      <c r="AL252" s="1" t="s">
        <v>305</v>
      </c>
      <c r="AN252" s="22" t="s">
        <v>9767</v>
      </c>
      <c r="AX252" s="1">
        <v>1</v>
      </c>
      <c r="AZ252" s="1">
        <v>0.25</v>
      </c>
      <c r="BG252" s="1" t="str">
        <f t="shared" si="207"/>
        <v>enemy_1045_hammer_2</v>
      </c>
      <c r="BM252" s="1" t="s">
        <v>989</v>
      </c>
      <c r="BN252" s="1" t="s">
        <v>1242</v>
      </c>
      <c r="BQ252" s="1" t="s">
        <v>207</v>
      </c>
      <c r="BR252" s="1" t="s">
        <v>208</v>
      </c>
      <c r="BS252" s="1" t="s">
        <v>209</v>
      </c>
      <c r="BT252" s="1" t="s">
        <v>210</v>
      </c>
      <c r="BX252" s="1">
        <v>1</v>
      </c>
    </row>
    <row r="253" spans="1:76" x14ac:dyDescent="0.25">
      <c r="A253" s="1" t="s">
        <v>1243</v>
      </c>
      <c r="B253" s="1" t="s">
        <v>203</v>
      </c>
      <c r="D253" s="1" t="s">
        <v>1244</v>
      </c>
      <c r="E253" s="1">
        <v>1046</v>
      </c>
      <c r="F253" s="1" t="str">
        <f t="shared" si="206"/>
        <v>enemy_1046_agent</v>
      </c>
      <c r="G253" s="1">
        <v>1</v>
      </c>
      <c r="L253" s="1">
        <v>2500</v>
      </c>
      <c r="N253" s="1">
        <v>280</v>
      </c>
      <c r="P253" s="1">
        <v>85</v>
      </c>
      <c r="R253" s="1">
        <v>40</v>
      </c>
      <c r="Z253" s="1">
        <v>0.05</v>
      </c>
      <c r="AA253" s="1">
        <v>2</v>
      </c>
      <c r="AB253" s="1">
        <v>1</v>
      </c>
      <c r="AC253" s="1">
        <v>1.1000000000000001</v>
      </c>
      <c r="AH253" s="1">
        <v>0</v>
      </c>
      <c r="AI253" s="1">
        <v>1</v>
      </c>
      <c r="AJ253" s="1" t="s">
        <v>1245</v>
      </c>
      <c r="AK253" s="1" t="s">
        <v>206</v>
      </c>
      <c r="AL253" s="1" t="s">
        <v>228</v>
      </c>
      <c r="AN253" s="22" t="s">
        <v>9767</v>
      </c>
      <c r="AX253" s="1">
        <v>1</v>
      </c>
      <c r="AZ253" s="1">
        <v>0.25</v>
      </c>
      <c r="BG253" s="1" t="str">
        <f t="shared" si="207"/>
        <v>enemy_1046_agent</v>
      </c>
      <c r="BM253" s="1" t="s">
        <v>930</v>
      </c>
      <c r="BN253" s="1" t="s">
        <v>1246</v>
      </c>
      <c r="BQ253" s="1" t="s">
        <v>207</v>
      </c>
      <c r="BR253" s="1" t="s">
        <v>208</v>
      </c>
      <c r="BS253" s="1" t="s">
        <v>229</v>
      </c>
      <c r="BT253" s="1" t="s">
        <v>210</v>
      </c>
      <c r="BX253" s="1">
        <v>1</v>
      </c>
    </row>
    <row r="254" spans="1:76" x14ac:dyDescent="0.25">
      <c r="A254" s="1" t="s">
        <v>1247</v>
      </c>
      <c r="B254" s="1" t="s">
        <v>203</v>
      </c>
      <c r="D254" s="1" t="s">
        <v>1248</v>
      </c>
      <c r="E254" s="1">
        <v>1046</v>
      </c>
      <c r="F254" s="1" t="str">
        <f t="shared" si="206"/>
        <v>enemy_1046_agent_2</v>
      </c>
      <c r="G254" s="1">
        <v>1</v>
      </c>
      <c r="L254" s="1">
        <v>3700</v>
      </c>
      <c r="N254" s="1">
        <v>330</v>
      </c>
      <c r="P254" s="1">
        <v>100</v>
      </c>
      <c r="R254" s="1">
        <v>40</v>
      </c>
      <c r="Z254" s="1">
        <v>0.05</v>
      </c>
      <c r="AA254" s="1">
        <v>2</v>
      </c>
      <c r="AB254" s="1">
        <v>1</v>
      </c>
      <c r="AC254" s="1">
        <v>1.1000000000000001</v>
      </c>
      <c r="AH254" s="1">
        <v>0</v>
      </c>
      <c r="AI254" s="1">
        <v>1</v>
      </c>
      <c r="AJ254" s="1" t="s">
        <v>1249</v>
      </c>
      <c r="AK254" s="1" t="s">
        <v>206</v>
      </c>
      <c r="AL254" s="1" t="s">
        <v>228</v>
      </c>
      <c r="AN254" s="22" t="s">
        <v>9767</v>
      </c>
      <c r="AX254" s="1">
        <v>1</v>
      </c>
      <c r="AZ254" s="1">
        <v>0.25</v>
      </c>
      <c r="BG254" s="1" t="str">
        <f t="shared" si="207"/>
        <v>enemy_1046_agent_2</v>
      </c>
      <c r="BM254" s="1" t="s">
        <v>930</v>
      </c>
      <c r="BN254" s="1" t="s">
        <v>1250</v>
      </c>
      <c r="BQ254" s="1" t="s">
        <v>207</v>
      </c>
      <c r="BR254" s="1" t="s">
        <v>208</v>
      </c>
      <c r="BS254" s="1" t="s">
        <v>229</v>
      </c>
      <c r="BT254" s="1" t="s">
        <v>210</v>
      </c>
      <c r="BX254" s="1">
        <v>1</v>
      </c>
    </row>
    <row r="255" spans="1:76" x14ac:dyDescent="0.25">
      <c r="A255" s="1" t="s">
        <v>1251</v>
      </c>
      <c r="B255" s="1" t="s">
        <v>203</v>
      </c>
      <c r="D255" s="1" t="s">
        <v>315</v>
      </c>
      <c r="E255" s="1">
        <v>1047</v>
      </c>
      <c r="F255" s="1" t="str">
        <f t="shared" si="206"/>
        <v>enemy_1047_sagent</v>
      </c>
      <c r="G255" s="1">
        <v>1</v>
      </c>
      <c r="L255" s="1">
        <v>3000</v>
      </c>
      <c r="N255" s="1">
        <v>150</v>
      </c>
      <c r="P255" s="1">
        <v>100</v>
      </c>
      <c r="R255" s="1">
        <v>10</v>
      </c>
      <c r="Z255" s="1">
        <v>0.05</v>
      </c>
      <c r="AA255" s="1">
        <v>4</v>
      </c>
      <c r="AB255" s="1">
        <v>1</v>
      </c>
      <c r="AC255" s="1">
        <v>0.8</v>
      </c>
      <c r="AH255" s="1">
        <v>0</v>
      </c>
      <c r="AI255" s="1">
        <v>1</v>
      </c>
      <c r="AJ255" s="1" t="s">
        <v>314</v>
      </c>
      <c r="AK255" s="1" t="s">
        <v>206</v>
      </c>
      <c r="AL255" s="1" t="s">
        <v>1252</v>
      </c>
      <c r="AN255" s="22" t="s">
        <v>9767</v>
      </c>
      <c r="AX255" s="1">
        <v>1</v>
      </c>
      <c r="AZ255" s="1">
        <v>0.25</v>
      </c>
      <c r="BG255" s="1" t="str">
        <f t="shared" si="207"/>
        <v>enemy_1047_sagent</v>
      </c>
      <c r="BM255" s="1" t="s">
        <v>936</v>
      </c>
      <c r="BN255" s="1" t="s">
        <v>1253</v>
      </c>
      <c r="BQ255" s="1" t="s">
        <v>207</v>
      </c>
      <c r="BR255" s="1" t="s">
        <v>208</v>
      </c>
      <c r="BS255" s="1" t="s">
        <v>229</v>
      </c>
      <c r="BT255" s="1" t="s">
        <v>210</v>
      </c>
      <c r="BX255" s="1">
        <v>1</v>
      </c>
    </row>
    <row r="256" spans="1:76" x14ac:dyDescent="0.25">
      <c r="A256" s="1" t="s">
        <v>1254</v>
      </c>
      <c r="B256" s="1" t="s">
        <v>203</v>
      </c>
      <c r="D256" s="1" t="s">
        <v>1255</v>
      </c>
      <c r="E256" s="1">
        <v>1047</v>
      </c>
      <c r="F256" s="1" t="str">
        <f t="shared" si="206"/>
        <v>enemy_1047_sagent_2</v>
      </c>
      <c r="G256" s="1">
        <v>1</v>
      </c>
      <c r="L256" s="1">
        <v>4000</v>
      </c>
      <c r="N256" s="1">
        <v>200</v>
      </c>
      <c r="P256" s="1">
        <v>150</v>
      </c>
      <c r="R256" s="1">
        <v>10</v>
      </c>
      <c r="Z256" s="1">
        <v>0.05</v>
      </c>
      <c r="AA256" s="1">
        <v>4</v>
      </c>
      <c r="AB256" s="1">
        <v>1</v>
      </c>
      <c r="AC256" s="1">
        <v>0.8</v>
      </c>
      <c r="AH256" s="1">
        <v>0</v>
      </c>
      <c r="AI256" s="1">
        <v>1</v>
      </c>
      <c r="AJ256" s="1" t="s">
        <v>1256</v>
      </c>
      <c r="AK256" s="1" t="s">
        <v>206</v>
      </c>
      <c r="AL256" s="1" t="s">
        <v>1252</v>
      </c>
      <c r="AN256" s="22" t="s">
        <v>9767</v>
      </c>
      <c r="AX256" s="1">
        <v>1</v>
      </c>
      <c r="AZ256" s="1">
        <v>0.25</v>
      </c>
      <c r="BG256" s="1" t="str">
        <f t="shared" si="207"/>
        <v>enemy_1047_sagent_2</v>
      </c>
      <c r="BM256" s="1" t="s">
        <v>936</v>
      </c>
      <c r="BN256" s="1" t="s">
        <v>1257</v>
      </c>
      <c r="BQ256" s="1" t="s">
        <v>207</v>
      </c>
      <c r="BR256" s="1" t="s">
        <v>208</v>
      </c>
      <c r="BS256" s="1" t="s">
        <v>229</v>
      </c>
      <c r="BT256" s="1" t="s">
        <v>210</v>
      </c>
      <c r="BX256" s="1">
        <v>1</v>
      </c>
    </row>
    <row r="257" spans="1:76" x14ac:dyDescent="0.25">
      <c r="A257" s="1" t="s">
        <v>1258</v>
      </c>
      <c r="B257" s="1" t="s">
        <v>203</v>
      </c>
      <c r="D257" s="1" t="s">
        <v>1259</v>
      </c>
      <c r="E257" s="1">
        <v>1048</v>
      </c>
      <c r="F257" s="1" t="str">
        <f t="shared" si="206"/>
        <v>enemy_1048_hirman</v>
      </c>
      <c r="G257" s="1">
        <v>1</v>
      </c>
      <c r="L257" s="1">
        <v>10000</v>
      </c>
      <c r="N257" s="1">
        <v>750</v>
      </c>
      <c r="P257" s="1">
        <v>100</v>
      </c>
      <c r="R257" s="1">
        <v>40</v>
      </c>
      <c r="Z257" s="1">
        <v>0.05</v>
      </c>
      <c r="AA257" s="1">
        <v>3.3</v>
      </c>
      <c r="AB257" s="1">
        <v>3</v>
      </c>
      <c r="AC257" s="1">
        <v>0.75</v>
      </c>
      <c r="AH257" s="1">
        <v>0</v>
      </c>
      <c r="AI257" s="1">
        <v>1</v>
      </c>
      <c r="AJ257" s="1" t="s">
        <v>1260</v>
      </c>
      <c r="AK257" s="1" t="s">
        <v>206</v>
      </c>
      <c r="AL257" s="1" t="s">
        <v>1261</v>
      </c>
      <c r="AN257" s="22" t="s">
        <v>9767</v>
      </c>
      <c r="AX257" s="1">
        <v>1</v>
      </c>
      <c r="AZ257" s="1">
        <v>0.25</v>
      </c>
      <c r="BG257" s="1" t="str">
        <f t="shared" si="207"/>
        <v>enemy_1048_hirman</v>
      </c>
      <c r="BM257" s="1" t="s">
        <v>989</v>
      </c>
      <c r="BN257" s="1" t="s">
        <v>1262</v>
      </c>
      <c r="BQ257" s="1" t="s">
        <v>207</v>
      </c>
      <c r="BR257" s="1" t="s">
        <v>208</v>
      </c>
      <c r="BS257" s="1" t="s">
        <v>229</v>
      </c>
      <c r="BT257" s="1" t="s">
        <v>210</v>
      </c>
      <c r="BX257" s="1">
        <v>1</v>
      </c>
    </row>
    <row r="258" spans="1:76" x14ac:dyDescent="0.25">
      <c r="A258" s="1" t="s">
        <v>1263</v>
      </c>
      <c r="B258" s="1" t="s">
        <v>203</v>
      </c>
      <c r="D258" s="1" t="s">
        <v>1264</v>
      </c>
      <c r="E258" s="1">
        <v>1048</v>
      </c>
      <c r="F258" s="1" t="str">
        <f t="shared" si="206"/>
        <v>enemy_1048_hirman_2</v>
      </c>
      <c r="G258" s="1">
        <v>1</v>
      </c>
      <c r="L258" s="1">
        <v>13000</v>
      </c>
      <c r="N258" s="1">
        <v>900</v>
      </c>
      <c r="P258" s="1">
        <v>100</v>
      </c>
      <c r="R258" s="1">
        <v>40</v>
      </c>
      <c r="Z258" s="1">
        <v>0.05</v>
      </c>
      <c r="AA258" s="1">
        <v>3.3</v>
      </c>
      <c r="AB258" s="1">
        <v>3</v>
      </c>
      <c r="AC258" s="1">
        <v>0.75</v>
      </c>
      <c r="AH258" s="1">
        <v>0</v>
      </c>
      <c r="AI258" s="1">
        <v>1</v>
      </c>
      <c r="AJ258" s="1" t="s">
        <v>1265</v>
      </c>
      <c r="AK258" s="1" t="s">
        <v>206</v>
      </c>
      <c r="AL258" s="1" t="s">
        <v>1266</v>
      </c>
      <c r="AN258" s="22" t="s">
        <v>9767</v>
      </c>
      <c r="AX258" s="1">
        <v>1</v>
      </c>
      <c r="AZ258" s="1">
        <v>0.25</v>
      </c>
      <c r="BG258" s="1" t="str">
        <f t="shared" si="207"/>
        <v>enemy_1048_hirman_2</v>
      </c>
      <c r="BM258" s="1" t="s">
        <v>989</v>
      </c>
      <c r="BN258" s="1" t="s">
        <v>1267</v>
      </c>
      <c r="BQ258" s="1" t="s">
        <v>207</v>
      </c>
      <c r="BR258" s="1" t="s">
        <v>208</v>
      </c>
      <c r="BS258" s="1" t="s">
        <v>229</v>
      </c>
      <c r="BT258" s="1" t="s">
        <v>210</v>
      </c>
      <c r="BX258" s="1">
        <v>1</v>
      </c>
    </row>
    <row r="259" spans="1:76" x14ac:dyDescent="0.25">
      <c r="A259" s="1" t="s">
        <v>1268</v>
      </c>
      <c r="B259" s="1" t="s">
        <v>203</v>
      </c>
      <c r="D259" s="1" t="s">
        <v>1269</v>
      </c>
      <c r="E259" s="1">
        <v>1049</v>
      </c>
      <c r="F259" s="1" t="str">
        <f t="shared" si="206"/>
        <v>enemy_1049_eagent</v>
      </c>
      <c r="G259" s="1">
        <v>1</v>
      </c>
      <c r="L259" s="1">
        <v>6000</v>
      </c>
      <c r="N259" s="1">
        <v>300</v>
      </c>
      <c r="P259" s="1">
        <v>150</v>
      </c>
      <c r="R259" s="1">
        <v>50</v>
      </c>
      <c r="Z259" s="1">
        <v>0.05</v>
      </c>
      <c r="AA259" s="1">
        <v>2</v>
      </c>
      <c r="AB259" s="1">
        <v>2</v>
      </c>
      <c r="AC259" s="1">
        <v>0.9</v>
      </c>
      <c r="AH259" s="1">
        <v>0</v>
      </c>
      <c r="AI259" s="1">
        <v>1</v>
      </c>
      <c r="AJ259" s="1" t="s">
        <v>1270</v>
      </c>
      <c r="AK259" s="1" t="s">
        <v>206</v>
      </c>
      <c r="AL259" s="1" t="s">
        <v>1271</v>
      </c>
      <c r="AN259" s="22" t="s">
        <v>9767</v>
      </c>
      <c r="AX259" s="1">
        <v>1</v>
      </c>
      <c r="AZ259" s="1">
        <v>0.25</v>
      </c>
      <c r="BG259" s="1" t="str">
        <f t="shared" si="207"/>
        <v>enemy_1049_eagent</v>
      </c>
      <c r="BM259" s="1" t="s">
        <v>989</v>
      </c>
      <c r="BN259" s="1" t="s">
        <v>1272</v>
      </c>
      <c r="BQ259" s="1" t="s">
        <v>207</v>
      </c>
      <c r="BR259" s="1" t="s">
        <v>208</v>
      </c>
      <c r="BS259" s="1" t="s">
        <v>229</v>
      </c>
      <c r="BT259" s="1" t="s">
        <v>210</v>
      </c>
      <c r="BX259" s="1">
        <v>1</v>
      </c>
    </row>
    <row r="260" spans="1:76" x14ac:dyDescent="0.25">
      <c r="A260" s="1" t="s">
        <v>1273</v>
      </c>
      <c r="B260" s="1" t="s">
        <v>203</v>
      </c>
      <c r="D260" s="1" t="s">
        <v>1274</v>
      </c>
      <c r="E260" s="1">
        <v>1049</v>
      </c>
      <c r="F260" s="1" t="str">
        <f t="shared" si="206"/>
        <v>enemy_1049_eagent_2</v>
      </c>
      <c r="G260" s="1">
        <v>1</v>
      </c>
      <c r="L260" s="1">
        <v>9000</v>
      </c>
      <c r="N260" s="1">
        <v>350</v>
      </c>
      <c r="P260" s="1">
        <v>230</v>
      </c>
      <c r="R260" s="1">
        <v>50</v>
      </c>
      <c r="Z260" s="1">
        <v>0.05</v>
      </c>
      <c r="AA260" s="1">
        <v>2</v>
      </c>
      <c r="AB260" s="1">
        <v>2</v>
      </c>
      <c r="AC260" s="1">
        <v>0.9</v>
      </c>
      <c r="AH260" s="1">
        <v>0</v>
      </c>
      <c r="AI260" s="1">
        <v>1</v>
      </c>
      <c r="AJ260" s="1" t="s">
        <v>1275</v>
      </c>
      <c r="AK260" s="1" t="s">
        <v>206</v>
      </c>
      <c r="AL260" s="1" t="s">
        <v>1276</v>
      </c>
      <c r="AN260" s="22" t="s">
        <v>9767</v>
      </c>
      <c r="AX260" s="1">
        <v>1</v>
      </c>
      <c r="AZ260" s="1">
        <v>0.25</v>
      </c>
      <c r="BG260" s="1" t="str">
        <f t="shared" si="207"/>
        <v>enemy_1049_eagent_2</v>
      </c>
      <c r="BM260" s="1" t="s">
        <v>989</v>
      </c>
      <c r="BN260" s="1" t="s">
        <v>1277</v>
      </c>
      <c r="BQ260" s="1" t="s">
        <v>207</v>
      </c>
      <c r="BR260" s="1" t="s">
        <v>208</v>
      </c>
      <c r="BS260" s="1" t="s">
        <v>229</v>
      </c>
      <c r="BT260" s="1" t="s">
        <v>210</v>
      </c>
      <c r="BX260" s="1">
        <v>1</v>
      </c>
    </row>
    <row r="261" spans="1:76" x14ac:dyDescent="0.25">
      <c r="A261" s="1" t="s">
        <v>1278</v>
      </c>
      <c r="B261" s="1" t="s">
        <v>203</v>
      </c>
      <c r="D261" s="1" t="s">
        <v>1279</v>
      </c>
      <c r="E261" s="1">
        <v>1050</v>
      </c>
      <c r="F261" s="1" t="str">
        <f t="shared" si="206"/>
        <v>enemy_1050_lslime</v>
      </c>
      <c r="G261" s="1">
        <v>1</v>
      </c>
      <c r="L261" s="1">
        <v>40000</v>
      </c>
      <c r="N261" s="1">
        <v>230</v>
      </c>
      <c r="P261" s="1">
        <v>220</v>
      </c>
      <c r="R261" s="1">
        <v>70</v>
      </c>
      <c r="Z261" s="1">
        <v>0.05</v>
      </c>
      <c r="AA261" s="1">
        <v>3.5</v>
      </c>
      <c r="AB261" s="1">
        <v>4</v>
      </c>
      <c r="AC261" s="1">
        <v>0.65</v>
      </c>
      <c r="AH261" s="1">
        <v>0</v>
      </c>
      <c r="AI261" s="1">
        <v>1</v>
      </c>
      <c r="AJ261" s="1" t="s">
        <v>1280</v>
      </c>
      <c r="AK261" s="1" t="s">
        <v>206</v>
      </c>
      <c r="AL261" s="1" t="s">
        <v>1281</v>
      </c>
      <c r="AN261" s="22" t="s">
        <v>9767</v>
      </c>
      <c r="AX261" s="1">
        <v>1</v>
      </c>
      <c r="AZ261" s="1">
        <v>0.25</v>
      </c>
      <c r="BG261" s="1" t="str">
        <f t="shared" si="207"/>
        <v>enemy_1050_lslime</v>
      </c>
      <c r="BM261" s="1" t="s">
        <v>1282</v>
      </c>
      <c r="BN261" s="1" t="s">
        <v>1283</v>
      </c>
      <c r="BQ261" s="1" t="s">
        <v>207</v>
      </c>
      <c r="BR261" s="1" t="s">
        <v>208</v>
      </c>
      <c r="BS261" s="1" t="s">
        <v>229</v>
      </c>
      <c r="BT261" s="1" t="s">
        <v>210</v>
      </c>
      <c r="BX261" s="1">
        <v>1</v>
      </c>
    </row>
    <row r="262" spans="1:76" x14ac:dyDescent="0.25">
      <c r="A262" s="1" t="s">
        <v>1284</v>
      </c>
      <c r="B262" s="1" t="s">
        <v>203</v>
      </c>
      <c r="D262" s="1" t="s">
        <v>1285</v>
      </c>
      <c r="E262" s="1">
        <v>1051</v>
      </c>
      <c r="F262" s="1" t="str">
        <f t="shared" si="206"/>
        <v>enemy_1051_norwiz</v>
      </c>
      <c r="G262" s="1">
        <v>1</v>
      </c>
      <c r="L262" s="1">
        <v>3000</v>
      </c>
      <c r="N262" s="1">
        <v>320</v>
      </c>
      <c r="P262" s="1">
        <v>100</v>
      </c>
      <c r="R262" s="1">
        <v>50</v>
      </c>
      <c r="Z262" s="1">
        <v>0.05</v>
      </c>
      <c r="AA262" s="1">
        <v>4</v>
      </c>
      <c r="AB262" s="1">
        <v>1</v>
      </c>
      <c r="AC262" s="1">
        <v>0.8</v>
      </c>
      <c r="AH262" s="1">
        <v>0</v>
      </c>
      <c r="AI262" s="1">
        <v>1</v>
      </c>
      <c r="AJ262" s="1" t="s">
        <v>1286</v>
      </c>
      <c r="AK262" s="1" t="s">
        <v>206</v>
      </c>
      <c r="AL262" s="1" t="s">
        <v>1287</v>
      </c>
      <c r="AN262" s="22" t="s">
        <v>9767</v>
      </c>
      <c r="AX262" s="1">
        <v>1</v>
      </c>
      <c r="AZ262" s="1">
        <v>0.25</v>
      </c>
      <c r="BG262" s="1" t="str">
        <f t="shared" si="207"/>
        <v>enemy_1051_norwiz</v>
      </c>
      <c r="BM262" s="1" t="s">
        <v>936</v>
      </c>
      <c r="BN262" s="1" t="s">
        <v>1288</v>
      </c>
      <c r="BQ262" s="1" t="s">
        <v>207</v>
      </c>
      <c r="BR262" s="1" t="s">
        <v>208</v>
      </c>
      <c r="BS262" s="1" t="s">
        <v>229</v>
      </c>
      <c r="BT262" s="1" t="s">
        <v>210</v>
      </c>
      <c r="BX262" s="1">
        <v>1</v>
      </c>
    </row>
    <row r="263" spans="1:76" x14ac:dyDescent="0.25">
      <c r="A263" s="1" t="s">
        <v>1289</v>
      </c>
      <c r="B263" s="1" t="s">
        <v>203</v>
      </c>
      <c r="D263" s="1" t="s">
        <v>1290</v>
      </c>
      <c r="E263" s="1">
        <v>1051</v>
      </c>
      <c r="F263" s="1" t="str">
        <f t="shared" si="206"/>
        <v>enemy_1051_norwiz_2</v>
      </c>
      <c r="G263" s="1">
        <v>1</v>
      </c>
      <c r="L263" s="1">
        <v>4000</v>
      </c>
      <c r="N263" s="1">
        <v>350</v>
      </c>
      <c r="P263" s="1">
        <v>200</v>
      </c>
      <c r="R263" s="1">
        <v>50</v>
      </c>
      <c r="Z263" s="1">
        <v>0.05</v>
      </c>
      <c r="AA263" s="1">
        <v>4</v>
      </c>
      <c r="AB263" s="1">
        <v>1</v>
      </c>
      <c r="AC263" s="1">
        <v>0.8</v>
      </c>
      <c r="AH263" s="1">
        <v>0</v>
      </c>
      <c r="AI263" s="1">
        <v>1</v>
      </c>
      <c r="AJ263" s="1" t="s">
        <v>1291</v>
      </c>
      <c r="AK263" s="1" t="s">
        <v>206</v>
      </c>
      <c r="AL263" s="1" t="s">
        <v>1287</v>
      </c>
      <c r="AN263" s="22" t="s">
        <v>9767</v>
      </c>
      <c r="AX263" s="1">
        <v>1</v>
      </c>
      <c r="AZ263" s="1">
        <v>0.25</v>
      </c>
      <c r="BG263" s="1" t="str">
        <f t="shared" si="207"/>
        <v>enemy_1051_norwiz_2</v>
      </c>
      <c r="BM263" s="1" t="s">
        <v>936</v>
      </c>
      <c r="BN263" s="1" t="s">
        <v>1292</v>
      </c>
      <c r="BQ263" s="1" t="s">
        <v>207</v>
      </c>
      <c r="BR263" s="1" t="s">
        <v>208</v>
      </c>
      <c r="BS263" s="1" t="s">
        <v>229</v>
      </c>
      <c r="BT263" s="1" t="s">
        <v>210</v>
      </c>
      <c r="BX263" s="1">
        <v>1</v>
      </c>
    </row>
    <row r="264" spans="1:76" x14ac:dyDescent="0.25">
      <c r="A264" s="1" t="s">
        <v>302</v>
      </c>
      <c r="B264" s="1" t="s">
        <v>203</v>
      </c>
      <c r="D264" s="1" t="s">
        <v>1293</v>
      </c>
      <c r="E264" s="1">
        <v>1052</v>
      </c>
      <c r="F264" s="1" t="str">
        <f t="shared" si="206"/>
        <v>enemy_1052_noramr</v>
      </c>
      <c r="G264" s="1">
        <v>1</v>
      </c>
      <c r="L264" s="1">
        <v>2500</v>
      </c>
      <c r="N264" s="1">
        <v>200</v>
      </c>
      <c r="P264" s="1">
        <v>400</v>
      </c>
      <c r="R264" s="1">
        <v>0</v>
      </c>
      <c r="Z264" s="1">
        <v>0.05</v>
      </c>
      <c r="AA264" s="1">
        <v>2</v>
      </c>
      <c r="AB264" s="1">
        <v>1</v>
      </c>
      <c r="AC264" s="1">
        <v>1</v>
      </c>
      <c r="AH264" s="1">
        <v>0</v>
      </c>
      <c r="AI264" s="1">
        <v>1</v>
      </c>
      <c r="AJ264" s="1" t="s">
        <v>301</v>
      </c>
      <c r="AK264" s="1" t="s">
        <v>206</v>
      </c>
      <c r="AL264" s="1" t="s">
        <v>228</v>
      </c>
      <c r="AN264" s="22" t="s">
        <v>9767</v>
      </c>
      <c r="AX264" s="1">
        <v>1</v>
      </c>
      <c r="AZ264" s="1">
        <v>0.25</v>
      </c>
      <c r="BG264" s="1" t="str">
        <f t="shared" si="207"/>
        <v>enemy_1052_noramr</v>
      </c>
      <c r="BM264" s="1" t="s">
        <v>930</v>
      </c>
      <c r="BN264" s="1" t="s">
        <v>1294</v>
      </c>
      <c r="BQ264" s="1" t="s">
        <v>207</v>
      </c>
      <c r="BR264" s="1" t="s">
        <v>208</v>
      </c>
      <c r="BS264" s="1" t="s">
        <v>229</v>
      </c>
      <c r="BT264" s="1" t="s">
        <v>210</v>
      </c>
      <c r="BX264" s="1">
        <v>1</v>
      </c>
    </row>
    <row r="265" spans="1:76" x14ac:dyDescent="0.25">
      <c r="A265" s="1" t="s">
        <v>1295</v>
      </c>
      <c r="B265" s="1" t="s">
        <v>203</v>
      </c>
      <c r="D265" s="1" t="s">
        <v>1296</v>
      </c>
      <c r="E265" s="1">
        <v>1052</v>
      </c>
      <c r="F265" s="1" t="str">
        <f t="shared" si="206"/>
        <v>enemy_1052_noramr_2</v>
      </c>
      <c r="G265" s="1">
        <v>1</v>
      </c>
      <c r="L265" s="1">
        <v>3700</v>
      </c>
      <c r="N265" s="1">
        <v>300</v>
      </c>
      <c r="P265" s="1">
        <v>500</v>
      </c>
      <c r="R265" s="1">
        <v>0</v>
      </c>
      <c r="Z265" s="1">
        <v>0.05</v>
      </c>
      <c r="AA265" s="1">
        <v>2</v>
      </c>
      <c r="AB265" s="1">
        <v>1</v>
      </c>
      <c r="AC265" s="1">
        <v>1</v>
      </c>
      <c r="AH265" s="1">
        <v>0</v>
      </c>
      <c r="AI265" s="1">
        <v>1</v>
      </c>
      <c r="AJ265" s="1" t="s">
        <v>1297</v>
      </c>
      <c r="AK265" s="1" t="s">
        <v>206</v>
      </c>
      <c r="AL265" s="1" t="s">
        <v>228</v>
      </c>
      <c r="AN265" s="22" t="s">
        <v>9767</v>
      </c>
      <c r="AX265" s="1">
        <v>1</v>
      </c>
      <c r="AZ265" s="1">
        <v>0.25</v>
      </c>
      <c r="BG265" s="1" t="str">
        <f t="shared" si="207"/>
        <v>enemy_1052_noramr_2</v>
      </c>
      <c r="BM265" s="1" t="s">
        <v>930</v>
      </c>
      <c r="BN265" s="1" t="s">
        <v>1298</v>
      </c>
      <c r="BQ265" s="1" t="s">
        <v>207</v>
      </c>
      <c r="BR265" s="1" t="s">
        <v>208</v>
      </c>
      <c r="BS265" s="1" t="s">
        <v>229</v>
      </c>
      <c r="BT265" s="1" t="s">
        <v>210</v>
      </c>
      <c r="BX265" s="1">
        <v>1</v>
      </c>
    </row>
    <row r="266" spans="1:76" x14ac:dyDescent="0.25">
      <c r="A266" s="1" t="s">
        <v>1299</v>
      </c>
      <c r="B266" s="1" t="s">
        <v>203</v>
      </c>
      <c r="D266" s="1" t="s">
        <v>1300</v>
      </c>
      <c r="E266" s="1">
        <v>1053</v>
      </c>
      <c r="F266" s="1" t="str">
        <f t="shared" si="206"/>
        <v>enemy_1053_norgst</v>
      </c>
      <c r="G266" s="1">
        <v>1</v>
      </c>
      <c r="L266" s="1">
        <v>2300</v>
      </c>
      <c r="N266" s="1">
        <v>100</v>
      </c>
      <c r="P266" s="1">
        <v>120</v>
      </c>
      <c r="R266" s="1">
        <v>40</v>
      </c>
      <c r="Z266" s="1">
        <v>0.05</v>
      </c>
      <c r="AA266" s="1">
        <v>1</v>
      </c>
      <c r="AB266" s="1">
        <v>1</v>
      </c>
      <c r="AC266" s="1">
        <v>1.2</v>
      </c>
      <c r="AH266" s="1">
        <v>0</v>
      </c>
      <c r="AI266" s="1">
        <v>1</v>
      </c>
      <c r="AJ266" s="1" t="s">
        <v>1301</v>
      </c>
      <c r="AK266" s="1" t="s">
        <v>206</v>
      </c>
      <c r="AL266" s="1" t="s">
        <v>1016</v>
      </c>
      <c r="AN266" s="22" t="s">
        <v>9767</v>
      </c>
      <c r="AX266" s="1">
        <v>1</v>
      </c>
      <c r="AZ266" s="1">
        <v>0.25</v>
      </c>
      <c r="BG266" s="1" t="str">
        <f t="shared" si="207"/>
        <v>enemy_1053_norgst</v>
      </c>
      <c r="BM266" s="1" t="s">
        <v>1017</v>
      </c>
      <c r="BN266" s="1" t="s">
        <v>1302</v>
      </c>
      <c r="BQ266" s="1" t="s">
        <v>207</v>
      </c>
      <c r="BR266" s="1" t="s">
        <v>208</v>
      </c>
      <c r="BS266" s="1" t="s">
        <v>229</v>
      </c>
      <c r="BT266" s="1" t="s">
        <v>210</v>
      </c>
      <c r="BX266" s="1">
        <v>1</v>
      </c>
    </row>
    <row r="267" spans="1:76" x14ac:dyDescent="0.25">
      <c r="A267" s="1" t="s">
        <v>1303</v>
      </c>
      <c r="B267" s="1" t="s">
        <v>203</v>
      </c>
      <c r="D267" s="1" t="s">
        <v>1304</v>
      </c>
      <c r="E267" s="1">
        <v>1053</v>
      </c>
      <c r="F267" s="1" t="str">
        <f t="shared" si="206"/>
        <v>enemy_1053_norgst_2</v>
      </c>
      <c r="G267" s="1">
        <v>1</v>
      </c>
      <c r="L267" s="1">
        <v>3800</v>
      </c>
      <c r="N267" s="1">
        <v>100</v>
      </c>
      <c r="P267" s="1">
        <v>260</v>
      </c>
      <c r="R267" s="1">
        <v>45</v>
      </c>
      <c r="Z267" s="1">
        <v>0.05</v>
      </c>
      <c r="AA267" s="1">
        <v>1</v>
      </c>
      <c r="AB267" s="1">
        <v>1</v>
      </c>
      <c r="AC267" s="1">
        <v>1.2</v>
      </c>
      <c r="AH267" s="1">
        <v>0</v>
      </c>
      <c r="AI267" s="1">
        <v>1</v>
      </c>
      <c r="AJ267" s="1" t="s">
        <v>1305</v>
      </c>
      <c r="AK267" s="1" t="s">
        <v>206</v>
      </c>
      <c r="AL267" s="1" t="s">
        <v>1016</v>
      </c>
      <c r="AN267" s="22" t="s">
        <v>9767</v>
      </c>
      <c r="AX267" s="1">
        <v>1</v>
      </c>
      <c r="AZ267" s="1">
        <v>0.25</v>
      </c>
      <c r="BG267" s="1" t="str">
        <f t="shared" si="207"/>
        <v>enemy_1053_norgst_2</v>
      </c>
      <c r="BM267" s="1" t="s">
        <v>1017</v>
      </c>
      <c r="BN267" s="1" t="s">
        <v>1306</v>
      </c>
      <c r="BQ267" s="1" t="s">
        <v>207</v>
      </c>
      <c r="BR267" s="1" t="s">
        <v>208</v>
      </c>
      <c r="BS267" s="1" t="s">
        <v>229</v>
      </c>
      <c r="BT267" s="1" t="s">
        <v>210</v>
      </c>
      <c r="BX267" s="1">
        <v>1</v>
      </c>
    </row>
    <row r="268" spans="1:76" x14ac:dyDescent="0.25">
      <c r="A268" s="1" t="s">
        <v>1307</v>
      </c>
      <c r="B268" s="1" t="s">
        <v>203</v>
      </c>
      <c r="D268" s="1" t="s">
        <v>1308</v>
      </c>
      <c r="E268" s="1">
        <v>1054</v>
      </c>
      <c r="F268" s="1" t="str">
        <f t="shared" si="206"/>
        <v>enemy_1054_norshd</v>
      </c>
      <c r="G268" s="1">
        <v>1</v>
      </c>
      <c r="L268" s="1">
        <v>10000</v>
      </c>
      <c r="N268" s="1">
        <v>700</v>
      </c>
      <c r="P268" s="1">
        <v>800</v>
      </c>
      <c r="R268" s="1">
        <v>0</v>
      </c>
      <c r="Z268" s="1">
        <v>0.05</v>
      </c>
      <c r="AA268" s="1">
        <v>2.6</v>
      </c>
      <c r="AB268" s="1">
        <v>3</v>
      </c>
      <c r="AC268" s="1">
        <v>0.75</v>
      </c>
      <c r="AH268" s="1">
        <v>0</v>
      </c>
      <c r="AI268" s="1">
        <v>1</v>
      </c>
      <c r="AJ268" s="1" t="s">
        <v>1309</v>
      </c>
      <c r="AK268" s="1" t="s">
        <v>206</v>
      </c>
      <c r="AL268" s="1" t="s">
        <v>228</v>
      </c>
      <c r="AN268" s="22" t="s">
        <v>9767</v>
      </c>
      <c r="AX268" s="1">
        <v>1</v>
      </c>
      <c r="AZ268" s="1">
        <v>0.25</v>
      </c>
      <c r="BG268" s="1" t="str">
        <f t="shared" si="207"/>
        <v>enemy_1054_norshd</v>
      </c>
      <c r="BM268" s="1" t="s">
        <v>989</v>
      </c>
      <c r="BN268" s="1" t="s">
        <v>1310</v>
      </c>
      <c r="BQ268" s="1" t="s">
        <v>207</v>
      </c>
      <c r="BR268" s="1" t="s">
        <v>208</v>
      </c>
      <c r="BS268" s="1" t="s">
        <v>209</v>
      </c>
      <c r="BT268" s="1" t="s">
        <v>210</v>
      </c>
      <c r="BX268" s="1">
        <v>1</v>
      </c>
    </row>
    <row r="269" spans="1:76" x14ac:dyDescent="0.25">
      <c r="A269" s="1" t="s">
        <v>1311</v>
      </c>
      <c r="B269" s="1" t="s">
        <v>203</v>
      </c>
      <c r="D269" s="1" t="s">
        <v>1312</v>
      </c>
      <c r="E269" s="1">
        <v>1054</v>
      </c>
      <c r="F269" s="1" t="str">
        <f t="shared" si="206"/>
        <v>enemy_1054_norshd_2</v>
      </c>
      <c r="G269" s="1">
        <v>1</v>
      </c>
      <c r="L269" s="1">
        <v>14000</v>
      </c>
      <c r="N269" s="1">
        <v>700</v>
      </c>
      <c r="P269" s="1">
        <v>1000</v>
      </c>
      <c r="R269" s="1">
        <v>0</v>
      </c>
      <c r="Z269" s="1">
        <v>0.05</v>
      </c>
      <c r="AA269" s="1">
        <v>2.6</v>
      </c>
      <c r="AB269" s="1">
        <v>3</v>
      </c>
      <c r="AC269" s="1">
        <v>0.75</v>
      </c>
      <c r="AH269" s="1">
        <v>0</v>
      </c>
      <c r="AI269" s="1">
        <v>1</v>
      </c>
      <c r="AJ269" s="1" t="s">
        <v>1313</v>
      </c>
      <c r="AK269" s="1" t="s">
        <v>206</v>
      </c>
      <c r="AL269" s="1" t="s">
        <v>228</v>
      </c>
      <c r="AN269" s="22" t="s">
        <v>9767</v>
      </c>
      <c r="AX269" s="1">
        <v>1</v>
      </c>
      <c r="AZ269" s="1">
        <v>0.25</v>
      </c>
      <c r="BG269" s="1" t="str">
        <f t="shared" si="207"/>
        <v>enemy_1054_norshd_2</v>
      </c>
      <c r="BM269" s="1" t="s">
        <v>989</v>
      </c>
      <c r="BN269" s="1" t="s">
        <v>1314</v>
      </c>
      <c r="BQ269" s="1" t="s">
        <v>207</v>
      </c>
      <c r="BR269" s="1" t="s">
        <v>208</v>
      </c>
      <c r="BS269" s="1" t="s">
        <v>209</v>
      </c>
      <c r="BT269" s="1" t="s">
        <v>210</v>
      </c>
      <c r="BX269" s="1">
        <v>1</v>
      </c>
    </row>
    <row r="270" spans="1:76" x14ac:dyDescent="0.25">
      <c r="A270" s="1" t="s">
        <v>1315</v>
      </c>
      <c r="B270" s="1" t="s">
        <v>203</v>
      </c>
      <c r="D270" s="1" t="s">
        <v>1316</v>
      </c>
      <c r="E270" s="1">
        <v>1500</v>
      </c>
      <c r="F270" s="1" t="str">
        <f t="shared" si="206"/>
        <v>enemy_1500_skulsr</v>
      </c>
      <c r="G270" s="1">
        <v>1</v>
      </c>
      <c r="L270" s="1">
        <v>10500</v>
      </c>
      <c r="N270" s="1">
        <v>1000</v>
      </c>
      <c r="P270" s="1">
        <v>150</v>
      </c>
      <c r="R270" s="1">
        <v>30</v>
      </c>
      <c r="Z270" s="1">
        <v>0.05</v>
      </c>
      <c r="AA270" s="1">
        <v>3</v>
      </c>
      <c r="AB270" s="1">
        <v>5</v>
      </c>
      <c r="AC270" s="1">
        <v>0.6</v>
      </c>
      <c r="AH270" s="1">
        <v>0</v>
      </c>
      <c r="AI270" s="1">
        <v>1</v>
      </c>
      <c r="AJ270" s="1" t="s">
        <v>1317</v>
      </c>
      <c r="AK270" s="1" t="s">
        <v>206</v>
      </c>
      <c r="AL270" s="1" t="s">
        <v>1318</v>
      </c>
      <c r="AN270" s="22" t="s">
        <v>9767</v>
      </c>
      <c r="AX270" s="1">
        <v>1</v>
      </c>
      <c r="AZ270" s="1">
        <v>0.25</v>
      </c>
      <c r="BG270" s="1" t="str">
        <f t="shared" si="207"/>
        <v>enemy_1500_skulsr</v>
      </c>
      <c r="BM270" s="1" t="s">
        <v>1319</v>
      </c>
      <c r="BN270" s="1" t="s">
        <v>1320</v>
      </c>
      <c r="BQ270" s="1" t="s">
        <v>207</v>
      </c>
      <c r="BR270" s="1" t="s">
        <v>208</v>
      </c>
      <c r="BS270" s="1" t="s">
        <v>1321</v>
      </c>
      <c r="BT270" s="1" t="s">
        <v>210</v>
      </c>
      <c r="BX270" s="1">
        <v>1</v>
      </c>
    </row>
    <row r="271" spans="1:76" x14ac:dyDescent="0.25">
      <c r="A271" s="1" t="s">
        <v>1322</v>
      </c>
      <c r="B271" s="1" t="s">
        <v>203</v>
      </c>
      <c r="D271" s="1" t="s">
        <v>280</v>
      </c>
      <c r="E271" s="1">
        <v>1502</v>
      </c>
      <c r="F271" s="1" t="str">
        <f t="shared" si="206"/>
        <v>enemy_1502_crowns</v>
      </c>
      <c r="G271" s="1">
        <v>1</v>
      </c>
      <c r="L271" s="1">
        <v>6000</v>
      </c>
      <c r="N271" s="1">
        <v>400</v>
      </c>
      <c r="P271" s="1">
        <v>120</v>
      </c>
      <c r="R271" s="1">
        <v>50</v>
      </c>
      <c r="Z271" s="1">
        <v>0.05</v>
      </c>
      <c r="AA271" s="1">
        <v>2.8</v>
      </c>
      <c r="AB271" s="1">
        <v>1</v>
      </c>
      <c r="AC271" s="1">
        <v>1.4</v>
      </c>
      <c r="AH271" s="1">
        <v>0</v>
      </c>
      <c r="AI271" s="1">
        <v>1</v>
      </c>
      <c r="AJ271" s="1" t="s">
        <v>279</v>
      </c>
      <c r="AK271" s="1" t="s">
        <v>206</v>
      </c>
      <c r="AL271" s="1" t="s">
        <v>282</v>
      </c>
      <c r="AN271" s="22" t="s">
        <v>9767</v>
      </c>
      <c r="AX271" s="1">
        <v>1</v>
      </c>
      <c r="AZ271" s="1">
        <v>0.25</v>
      </c>
      <c r="BG271" s="1" t="str">
        <f t="shared" si="207"/>
        <v>enemy_1502_crowns</v>
      </c>
      <c r="BM271" s="1" t="s">
        <v>996</v>
      </c>
      <c r="BN271" s="1" t="s">
        <v>1323</v>
      </c>
      <c r="BQ271" s="1" t="s">
        <v>207</v>
      </c>
      <c r="BR271" s="1" t="s">
        <v>208</v>
      </c>
      <c r="BS271" s="1" t="s">
        <v>229</v>
      </c>
      <c r="BT271" s="1" t="s">
        <v>210</v>
      </c>
      <c r="BX271" s="1">
        <v>1</v>
      </c>
    </row>
    <row r="272" spans="1:76" x14ac:dyDescent="0.25">
      <c r="A272" s="1" t="s">
        <v>1324</v>
      </c>
      <c r="B272" s="1" t="s">
        <v>203</v>
      </c>
      <c r="D272" s="1" t="s">
        <v>1325</v>
      </c>
      <c r="E272" s="1">
        <v>1504</v>
      </c>
      <c r="F272" s="1" t="str">
        <f t="shared" si="206"/>
        <v>enemy_1504_cqbw</v>
      </c>
      <c r="G272" s="1">
        <v>1</v>
      </c>
      <c r="L272" s="1">
        <v>10000</v>
      </c>
      <c r="N272" s="1">
        <v>470</v>
      </c>
      <c r="P272" s="1">
        <v>100</v>
      </c>
      <c r="R272" s="1">
        <v>50</v>
      </c>
      <c r="Z272" s="1">
        <v>0.05</v>
      </c>
      <c r="AA272" s="1">
        <v>4</v>
      </c>
      <c r="AB272" s="1">
        <v>5</v>
      </c>
      <c r="AC272" s="1">
        <v>1.2</v>
      </c>
      <c r="AH272" s="1">
        <v>0</v>
      </c>
      <c r="AI272" s="1">
        <v>1</v>
      </c>
      <c r="AJ272" s="1" t="s">
        <v>1326</v>
      </c>
      <c r="AK272" s="1" t="s">
        <v>206</v>
      </c>
      <c r="AL272" s="1" t="s">
        <v>1327</v>
      </c>
      <c r="AN272" s="22" t="s">
        <v>9767</v>
      </c>
      <c r="AX272" s="1">
        <v>1</v>
      </c>
      <c r="AZ272" s="1">
        <v>0.25</v>
      </c>
      <c r="BG272" s="1" t="str">
        <f t="shared" si="207"/>
        <v>enemy_1504_cqbw</v>
      </c>
      <c r="BM272" s="1" t="s">
        <v>1328</v>
      </c>
      <c r="BN272" s="1" t="s">
        <v>1329</v>
      </c>
      <c r="BQ272" s="1" t="s">
        <v>207</v>
      </c>
      <c r="BR272" s="1" t="s">
        <v>208</v>
      </c>
      <c r="BS272" s="1" t="s">
        <v>229</v>
      </c>
      <c r="BT272" s="1" t="s">
        <v>210</v>
      </c>
      <c r="BX272" s="1">
        <v>1</v>
      </c>
    </row>
    <row r="273" spans="1:76" x14ac:dyDescent="0.25">
      <c r="A273" s="1" t="s">
        <v>1330</v>
      </c>
      <c r="B273" s="1" t="s">
        <v>203</v>
      </c>
      <c r="D273" s="1" t="s">
        <v>1331</v>
      </c>
      <c r="E273" s="1">
        <v>1505</v>
      </c>
      <c r="F273" s="1" t="str">
        <f t="shared" si="206"/>
        <v>enemy_1505_frstar</v>
      </c>
      <c r="G273" s="1">
        <v>1</v>
      </c>
      <c r="L273" s="1">
        <v>25000</v>
      </c>
      <c r="N273" s="1">
        <v>420</v>
      </c>
      <c r="P273" s="1">
        <v>250</v>
      </c>
      <c r="R273" s="1">
        <v>50</v>
      </c>
      <c r="Z273" s="1">
        <v>0.05</v>
      </c>
      <c r="AA273" s="1">
        <v>3.7</v>
      </c>
      <c r="AB273" s="1">
        <v>5</v>
      </c>
      <c r="AC273" s="1">
        <v>0.5</v>
      </c>
      <c r="AH273" s="1">
        <v>0</v>
      </c>
      <c r="AI273" s="1">
        <v>1</v>
      </c>
      <c r="AJ273" s="1" t="s">
        <v>230</v>
      </c>
      <c r="AK273" s="1" t="s">
        <v>233</v>
      </c>
      <c r="AL273" s="1" t="s">
        <v>1332</v>
      </c>
      <c r="AN273" s="22" t="s">
        <v>9767</v>
      </c>
      <c r="AX273" s="1">
        <v>1</v>
      </c>
      <c r="AZ273" s="1">
        <v>0.25</v>
      </c>
      <c r="BG273" s="1" t="str">
        <f t="shared" si="207"/>
        <v>enemy_1505_frstar</v>
      </c>
      <c r="BM273" s="1" t="s">
        <v>1091</v>
      </c>
      <c r="BN273" s="1" t="s">
        <v>1333</v>
      </c>
      <c r="BQ273" s="1" t="s">
        <v>207</v>
      </c>
      <c r="BR273" s="1" t="s">
        <v>208</v>
      </c>
      <c r="BS273" s="1" t="s">
        <v>229</v>
      </c>
      <c r="BT273" s="1" t="s">
        <v>210</v>
      </c>
      <c r="BX273" s="1">
        <v>1</v>
      </c>
    </row>
    <row r="274" spans="1:76" x14ac:dyDescent="0.25">
      <c r="A274" s="1" t="s">
        <v>1334</v>
      </c>
      <c r="B274" s="1" t="s">
        <v>203</v>
      </c>
      <c r="D274" s="1" t="s">
        <v>1335</v>
      </c>
      <c r="E274" s="1">
        <v>1507</v>
      </c>
      <c r="F274" s="1" t="str">
        <f t="shared" si="206"/>
        <v>enemy_1507_mephi</v>
      </c>
      <c r="G274" s="1">
        <v>1</v>
      </c>
      <c r="L274" s="1">
        <v>28000</v>
      </c>
      <c r="N274" s="1">
        <v>500</v>
      </c>
      <c r="P274" s="1">
        <v>200</v>
      </c>
      <c r="R274" s="1">
        <v>60</v>
      </c>
      <c r="Z274" s="1">
        <v>0.05</v>
      </c>
      <c r="AA274" s="1">
        <v>6</v>
      </c>
      <c r="AB274" s="1">
        <v>3</v>
      </c>
      <c r="AC274" s="1">
        <v>0.5</v>
      </c>
      <c r="AH274" s="1">
        <v>0</v>
      </c>
      <c r="AI274" s="1">
        <v>1</v>
      </c>
      <c r="AJ274" s="1" t="s">
        <v>1336</v>
      </c>
      <c r="AK274" s="1" t="s">
        <v>206</v>
      </c>
      <c r="AL274" s="1" t="s">
        <v>1337</v>
      </c>
      <c r="AN274" s="22" t="s">
        <v>9767</v>
      </c>
      <c r="AX274" s="1">
        <v>1</v>
      </c>
      <c r="AZ274" s="1">
        <v>0.25</v>
      </c>
      <c r="BG274" s="1" t="str">
        <f t="shared" si="207"/>
        <v>enemy_1507_mephi</v>
      </c>
      <c r="BM274" s="1" t="s">
        <v>1338</v>
      </c>
      <c r="BN274" s="1" t="s">
        <v>1339</v>
      </c>
      <c r="BQ274" s="1" t="s">
        <v>207</v>
      </c>
      <c r="BR274" s="1" t="s">
        <v>208</v>
      </c>
      <c r="BS274" s="1" t="s">
        <v>229</v>
      </c>
      <c r="BT274" s="1" t="s">
        <v>210</v>
      </c>
      <c r="BX274" s="1">
        <v>1</v>
      </c>
    </row>
    <row r="275" spans="1:76" x14ac:dyDescent="0.25">
      <c r="A275" s="1" t="s">
        <v>1340</v>
      </c>
      <c r="B275" s="1" t="s">
        <v>203</v>
      </c>
      <c r="D275" s="1" t="s">
        <v>1341</v>
      </c>
      <c r="E275" s="1">
        <v>1508</v>
      </c>
      <c r="F275" s="1" t="str">
        <f t="shared" si="206"/>
        <v>enemy_1508_faust</v>
      </c>
      <c r="G275" s="1">
        <v>1</v>
      </c>
      <c r="L275" s="1">
        <v>37000</v>
      </c>
      <c r="N275" s="1">
        <v>1000</v>
      </c>
      <c r="P275" s="1">
        <v>350</v>
      </c>
      <c r="R275" s="1">
        <v>35</v>
      </c>
      <c r="Z275" s="1">
        <v>0.05</v>
      </c>
      <c r="AA275" s="1">
        <v>5</v>
      </c>
      <c r="AB275" s="1">
        <v>5</v>
      </c>
      <c r="AC275" s="1">
        <v>0.5</v>
      </c>
      <c r="AH275" s="1">
        <v>0</v>
      </c>
      <c r="AI275" s="1">
        <v>1</v>
      </c>
      <c r="AJ275" s="1" t="s">
        <v>1342</v>
      </c>
      <c r="AK275" s="1" t="s">
        <v>206</v>
      </c>
      <c r="AL275" s="1" t="s">
        <v>1343</v>
      </c>
      <c r="AN275" s="22" t="s">
        <v>9767</v>
      </c>
      <c r="AX275" s="1">
        <v>1</v>
      </c>
      <c r="AY275" s="1" t="s">
        <v>1344</v>
      </c>
      <c r="AZ275" s="1">
        <v>0.25</v>
      </c>
      <c r="BG275" s="1" t="str">
        <f t="shared" si="207"/>
        <v>enemy_1508_faust</v>
      </c>
      <c r="BM275" s="1" t="s">
        <v>1328</v>
      </c>
      <c r="BN275" s="1" t="s">
        <v>1345</v>
      </c>
      <c r="BQ275" s="1" t="s">
        <v>207</v>
      </c>
      <c r="BR275" s="1" t="s">
        <v>208</v>
      </c>
      <c r="BS275" s="1" t="s">
        <v>229</v>
      </c>
      <c r="BT275" s="1" t="s">
        <v>210</v>
      </c>
      <c r="BX275" s="1">
        <v>1</v>
      </c>
    </row>
    <row r="276" spans="1:76" x14ac:dyDescent="0.25">
      <c r="A276" s="1" t="s">
        <v>1346</v>
      </c>
      <c r="B276" s="1" t="s">
        <v>203</v>
      </c>
      <c r="D276" s="1" t="s">
        <v>1347</v>
      </c>
      <c r="E276" s="1">
        <v>1055</v>
      </c>
      <c r="F276" s="1" t="str">
        <f t="shared" si="206"/>
        <v>enemy_1055_ganman</v>
      </c>
      <c r="G276" s="1">
        <v>1</v>
      </c>
      <c r="L276" s="1">
        <v>2700</v>
      </c>
      <c r="N276" s="1">
        <v>250</v>
      </c>
      <c r="P276" s="1">
        <v>100</v>
      </c>
      <c r="R276" s="1">
        <v>10</v>
      </c>
      <c r="Z276" s="1">
        <v>0.05</v>
      </c>
      <c r="AA276" s="1">
        <v>2</v>
      </c>
      <c r="AB276" s="1">
        <v>1</v>
      </c>
      <c r="AC276" s="1">
        <v>1</v>
      </c>
      <c r="AH276" s="1">
        <v>0</v>
      </c>
      <c r="AI276" s="1">
        <v>1</v>
      </c>
      <c r="AJ276" s="1" t="s">
        <v>1348</v>
      </c>
      <c r="AK276" s="1" t="s">
        <v>206</v>
      </c>
      <c r="AL276" s="1" t="s">
        <v>228</v>
      </c>
      <c r="AN276" s="22" t="s">
        <v>9767</v>
      </c>
      <c r="AX276" s="1">
        <v>1</v>
      </c>
      <c r="AZ276" s="1">
        <v>0.25</v>
      </c>
      <c r="BG276" s="1" t="str">
        <f t="shared" si="207"/>
        <v>enemy_1055_ganman</v>
      </c>
      <c r="BM276" s="1" t="s">
        <v>930</v>
      </c>
      <c r="BN276" s="1" t="s">
        <v>1349</v>
      </c>
      <c r="BQ276" s="1" t="s">
        <v>207</v>
      </c>
      <c r="BR276" s="1" t="s">
        <v>208</v>
      </c>
      <c r="BS276" s="1" t="s">
        <v>229</v>
      </c>
      <c r="BT276" s="1" t="s">
        <v>210</v>
      </c>
      <c r="BX276" s="1">
        <v>1</v>
      </c>
    </row>
    <row r="277" spans="1:76" x14ac:dyDescent="0.25">
      <c r="A277" s="1" t="s">
        <v>1350</v>
      </c>
      <c r="B277" s="1" t="s">
        <v>203</v>
      </c>
      <c r="D277" s="1" t="s">
        <v>1351</v>
      </c>
      <c r="E277" s="1">
        <v>1055</v>
      </c>
      <c r="F277" s="1" t="str">
        <f t="shared" si="206"/>
        <v>enemy_1055_ganman_2</v>
      </c>
      <c r="G277" s="1">
        <v>1</v>
      </c>
      <c r="L277" s="1">
        <v>3800</v>
      </c>
      <c r="N277" s="1">
        <v>350</v>
      </c>
      <c r="P277" s="1">
        <v>160</v>
      </c>
      <c r="R277" s="1">
        <v>10</v>
      </c>
      <c r="Z277" s="1">
        <v>0.05</v>
      </c>
      <c r="AA277" s="1">
        <v>2</v>
      </c>
      <c r="AB277" s="1">
        <v>1</v>
      </c>
      <c r="AC277" s="1">
        <v>1</v>
      </c>
      <c r="AH277" s="1">
        <v>0</v>
      </c>
      <c r="AI277" s="1">
        <v>1</v>
      </c>
      <c r="AJ277" s="1" t="s">
        <v>1352</v>
      </c>
      <c r="AK277" s="1" t="s">
        <v>206</v>
      </c>
      <c r="AL277" s="1" t="s">
        <v>228</v>
      </c>
      <c r="AN277" s="22" t="s">
        <v>9767</v>
      </c>
      <c r="AX277" s="1">
        <v>1</v>
      </c>
      <c r="AZ277" s="1">
        <v>0.25</v>
      </c>
      <c r="BG277" s="1" t="str">
        <f t="shared" si="207"/>
        <v>enemy_1055_ganman_2</v>
      </c>
      <c r="BM277" s="1" t="s">
        <v>930</v>
      </c>
      <c r="BN277" s="1" t="s">
        <v>1353</v>
      </c>
      <c r="BQ277" s="1" t="s">
        <v>207</v>
      </c>
      <c r="BR277" s="1" t="s">
        <v>208</v>
      </c>
      <c r="BS277" s="1" t="s">
        <v>229</v>
      </c>
      <c r="BT277" s="1" t="s">
        <v>210</v>
      </c>
      <c r="BX277" s="1">
        <v>1</v>
      </c>
    </row>
    <row r="278" spans="1:76" x14ac:dyDescent="0.25">
      <c r="A278" s="1" t="s">
        <v>1354</v>
      </c>
      <c r="B278" s="1" t="s">
        <v>203</v>
      </c>
      <c r="D278" s="1" t="s">
        <v>1355</v>
      </c>
      <c r="E278" s="1">
        <v>1056</v>
      </c>
      <c r="F278" s="1" t="str">
        <f t="shared" si="206"/>
        <v>enemy_1056_ganwar</v>
      </c>
      <c r="G278" s="1">
        <v>1</v>
      </c>
      <c r="L278" s="1">
        <v>3200</v>
      </c>
      <c r="N278" s="1">
        <v>290</v>
      </c>
      <c r="P278" s="1">
        <v>250</v>
      </c>
      <c r="R278" s="1">
        <v>0</v>
      </c>
      <c r="Z278" s="1">
        <v>0.05</v>
      </c>
      <c r="AA278" s="1">
        <v>0.4</v>
      </c>
      <c r="AB278" s="1">
        <v>1</v>
      </c>
      <c r="AC278" s="1">
        <v>0.95</v>
      </c>
      <c r="AH278" s="1">
        <v>0</v>
      </c>
      <c r="AI278" s="1">
        <v>1</v>
      </c>
      <c r="AJ278" s="1" t="s">
        <v>1356</v>
      </c>
      <c r="AK278" s="1" t="s">
        <v>206</v>
      </c>
      <c r="AL278" s="1" t="s">
        <v>228</v>
      </c>
      <c r="AN278" s="22" t="s">
        <v>9767</v>
      </c>
      <c r="AX278" s="1">
        <v>1</v>
      </c>
      <c r="AZ278" s="1">
        <v>0.25</v>
      </c>
      <c r="BG278" s="1" t="str">
        <f t="shared" si="207"/>
        <v>enemy_1056_ganwar</v>
      </c>
      <c r="BM278" s="1" t="s">
        <v>930</v>
      </c>
      <c r="BN278" s="1" t="s">
        <v>1357</v>
      </c>
      <c r="BQ278" s="1" t="s">
        <v>207</v>
      </c>
      <c r="BR278" s="1" t="s">
        <v>208</v>
      </c>
      <c r="BS278" s="1" t="s">
        <v>229</v>
      </c>
      <c r="BT278" s="1" t="s">
        <v>210</v>
      </c>
      <c r="BX278" s="1">
        <v>1</v>
      </c>
    </row>
    <row r="279" spans="1:76" x14ac:dyDescent="0.25">
      <c r="A279" s="1" t="s">
        <v>1358</v>
      </c>
      <c r="B279" s="1" t="s">
        <v>203</v>
      </c>
      <c r="D279" s="1" t="s">
        <v>1359</v>
      </c>
      <c r="E279" s="1">
        <v>1056</v>
      </c>
      <c r="F279" s="1" t="str">
        <f t="shared" si="206"/>
        <v>enemy_1056_ganwar_2</v>
      </c>
      <c r="G279" s="1">
        <v>1</v>
      </c>
      <c r="L279" s="1">
        <v>4200</v>
      </c>
      <c r="N279" s="1">
        <v>380</v>
      </c>
      <c r="P279" s="1">
        <v>300</v>
      </c>
      <c r="R279" s="1">
        <v>0</v>
      </c>
      <c r="Z279" s="1">
        <v>0.05</v>
      </c>
      <c r="AA279" s="1">
        <v>0.4</v>
      </c>
      <c r="AB279" s="1">
        <v>1</v>
      </c>
      <c r="AC279" s="1">
        <v>0.95</v>
      </c>
      <c r="AH279" s="1">
        <v>0</v>
      </c>
      <c r="AI279" s="1">
        <v>1</v>
      </c>
      <c r="AJ279" s="1" t="s">
        <v>1360</v>
      </c>
      <c r="AK279" s="1" t="s">
        <v>206</v>
      </c>
      <c r="AL279" s="1" t="s">
        <v>228</v>
      </c>
      <c r="AN279" s="22" t="s">
        <v>9767</v>
      </c>
      <c r="AX279" s="1">
        <v>1</v>
      </c>
      <c r="AZ279" s="1">
        <v>0.25</v>
      </c>
      <c r="BG279" s="1" t="str">
        <f t="shared" si="207"/>
        <v>enemy_1056_ganwar_2</v>
      </c>
      <c r="BM279" s="1" t="s">
        <v>930</v>
      </c>
      <c r="BN279" s="1" t="s">
        <v>1361</v>
      </c>
      <c r="BQ279" s="1" t="s">
        <v>207</v>
      </c>
      <c r="BR279" s="1" t="s">
        <v>208</v>
      </c>
      <c r="BS279" s="1" t="s">
        <v>229</v>
      </c>
      <c r="BT279" s="1" t="s">
        <v>210</v>
      </c>
      <c r="BX279" s="1">
        <v>1</v>
      </c>
    </row>
    <row r="280" spans="1:76" x14ac:dyDescent="0.25">
      <c r="A280" s="1" t="s">
        <v>1362</v>
      </c>
      <c r="B280" s="1" t="s">
        <v>203</v>
      </c>
      <c r="D280" s="1" t="s">
        <v>1363</v>
      </c>
      <c r="E280" s="1">
        <v>1057</v>
      </c>
      <c r="F280" s="1" t="str">
        <f t="shared" si="206"/>
        <v>enemy_1057_gansho</v>
      </c>
      <c r="G280" s="1">
        <v>1</v>
      </c>
      <c r="L280" s="1">
        <v>3000</v>
      </c>
      <c r="N280" s="1">
        <v>180</v>
      </c>
      <c r="P280" s="1">
        <v>150</v>
      </c>
      <c r="R280" s="1">
        <v>0</v>
      </c>
      <c r="Z280" s="1">
        <v>0.05</v>
      </c>
      <c r="AA280" s="1">
        <v>3</v>
      </c>
      <c r="AB280" s="1">
        <v>1</v>
      </c>
      <c r="AC280" s="1">
        <v>1</v>
      </c>
      <c r="AH280" s="1">
        <v>0</v>
      </c>
      <c r="AI280" s="1">
        <v>1</v>
      </c>
      <c r="AJ280" s="1" t="s">
        <v>1364</v>
      </c>
      <c r="AK280" s="1" t="s">
        <v>206</v>
      </c>
      <c r="AL280" s="1" t="s">
        <v>1365</v>
      </c>
      <c r="AN280" s="22" t="s">
        <v>9767</v>
      </c>
      <c r="AX280" s="1">
        <v>1</v>
      </c>
      <c r="AZ280" s="1">
        <v>0.25</v>
      </c>
      <c r="BG280" s="1" t="str">
        <f t="shared" si="207"/>
        <v>enemy_1057_gansho</v>
      </c>
      <c r="BM280" s="1" t="s">
        <v>936</v>
      </c>
      <c r="BN280" s="1" t="s">
        <v>1366</v>
      </c>
      <c r="BQ280" s="1" t="s">
        <v>207</v>
      </c>
      <c r="BR280" s="1" t="s">
        <v>208</v>
      </c>
      <c r="BS280" s="1" t="s">
        <v>229</v>
      </c>
      <c r="BT280" s="1" t="s">
        <v>210</v>
      </c>
      <c r="BX280" s="1">
        <v>1</v>
      </c>
    </row>
    <row r="281" spans="1:76" x14ac:dyDescent="0.25">
      <c r="A281" s="1" t="s">
        <v>1367</v>
      </c>
      <c r="B281" s="1" t="s">
        <v>203</v>
      </c>
      <c r="D281" s="1" t="s">
        <v>319</v>
      </c>
      <c r="E281" s="1">
        <v>1057</v>
      </c>
      <c r="F281" s="1" t="str">
        <f t="shared" si="206"/>
        <v>enemy_1057_gansho_2</v>
      </c>
      <c r="G281" s="1">
        <v>1</v>
      </c>
      <c r="L281" s="1">
        <v>4000</v>
      </c>
      <c r="N281" s="1">
        <v>230</v>
      </c>
      <c r="P281" s="1">
        <v>200</v>
      </c>
      <c r="R281" s="1">
        <v>0</v>
      </c>
      <c r="Z281" s="1">
        <v>0.05</v>
      </c>
      <c r="AA281" s="1">
        <v>3</v>
      </c>
      <c r="AB281" s="1">
        <v>1</v>
      </c>
      <c r="AC281" s="1">
        <v>1</v>
      </c>
      <c r="AH281" s="1">
        <v>0</v>
      </c>
      <c r="AI281" s="1">
        <v>1</v>
      </c>
      <c r="AJ281" s="1" t="s">
        <v>318</v>
      </c>
      <c r="AK281" s="1" t="s">
        <v>206</v>
      </c>
      <c r="AL281" s="1" t="s">
        <v>1365</v>
      </c>
      <c r="AN281" s="22" t="s">
        <v>9767</v>
      </c>
      <c r="AX281" s="1">
        <v>1</v>
      </c>
      <c r="AZ281" s="1">
        <v>0.25</v>
      </c>
      <c r="BG281" s="1" t="str">
        <f t="shared" si="207"/>
        <v>enemy_1057_gansho_2</v>
      </c>
      <c r="BM281" s="1" t="s">
        <v>936</v>
      </c>
      <c r="BN281" s="1" t="s">
        <v>1368</v>
      </c>
      <c r="BQ281" s="1" t="s">
        <v>207</v>
      </c>
      <c r="BR281" s="1" t="s">
        <v>208</v>
      </c>
      <c r="BS281" s="1" t="s">
        <v>229</v>
      </c>
      <c r="BT281" s="1" t="s">
        <v>210</v>
      </c>
      <c r="BX281" s="1">
        <v>1</v>
      </c>
    </row>
    <row r="282" spans="1:76" x14ac:dyDescent="0.25">
      <c r="A282" s="1" t="s">
        <v>1369</v>
      </c>
      <c r="B282" s="1" t="s">
        <v>203</v>
      </c>
      <c r="D282" s="1" t="s">
        <v>1370</v>
      </c>
      <c r="E282" s="1">
        <v>1058</v>
      </c>
      <c r="F282" s="1" t="str">
        <f t="shared" si="206"/>
        <v>enemy_1058_traink</v>
      </c>
      <c r="G282" s="1">
        <v>1</v>
      </c>
      <c r="L282" s="1">
        <v>16000</v>
      </c>
      <c r="N282" s="1">
        <v>800</v>
      </c>
      <c r="P282" s="1">
        <v>800</v>
      </c>
      <c r="R282" s="1">
        <v>20</v>
      </c>
      <c r="Z282" s="1">
        <v>0.05</v>
      </c>
      <c r="AA282" s="1">
        <v>3.5</v>
      </c>
      <c r="AB282" s="1">
        <v>4</v>
      </c>
      <c r="AC282" s="1">
        <v>1.2</v>
      </c>
      <c r="AH282" s="1">
        <v>0</v>
      </c>
      <c r="AI282" s="1">
        <v>1</v>
      </c>
      <c r="AJ282" s="1" t="s">
        <v>1371</v>
      </c>
      <c r="AK282" s="1" t="s">
        <v>206</v>
      </c>
      <c r="AL282" s="1" t="s">
        <v>228</v>
      </c>
      <c r="AN282" s="22" t="s">
        <v>9767</v>
      </c>
      <c r="AR282" s="1">
        <v>3</v>
      </c>
      <c r="AX282" s="1">
        <v>1</v>
      </c>
      <c r="AZ282" s="1">
        <v>0.25</v>
      </c>
      <c r="BG282" s="1" t="str">
        <f t="shared" si="207"/>
        <v>enemy_1058_traink</v>
      </c>
      <c r="BM282" s="1" t="s">
        <v>989</v>
      </c>
      <c r="BN282" s="1" t="s">
        <v>1372</v>
      </c>
      <c r="BQ282" s="1" t="s">
        <v>207</v>
      </c>
      <c r="BR282" s="1" t="s">
        <v>208</v>
      </c>
      <c r="BS282" s="1" t="s">
        <v>229</v>
      </c>
      <c r="BT282" s="1" t="s">
        <v>210</v>
      </c>
      <c r="BX282" s="1">
        <v>1</v>
      </c>
    </row>
    <row r="283" spans="1:76" x14ac:dyDescent="0.25">
      <c r="A283" s="1" t="s">
        <v>1373</v>
      </c>
      <c r="B283" s="1" t="s">
        <v>203</v>
      </c>
      <c r="D283" s="1" t="s">
        <v>1374</v>
      </c>
      <c r="E283" s="1">
        <v>1058</v>
      </c>
      <c r="F283" s="1" t="str">
        <f t="shared" si="206"/>
        <v>enemy_1058_traink_2</v>
      </c>
      <c r="G283" s="1">
        <v>1</v>
      </c>
      <c r="L283" s="1">
        <v>25000</v>
      </c>
      <c r="N283" s="1">
        <v>1000</v>
      </c>
      <c r="P283" s="1">
        <v>1000</v>
      </c>
      <c r="R283" s="1">
        <v>30</v>
      </c>
      <c r="Z283" s="1">
        <v>0.05</v>
      </c>
      <c r="AA283" s="1">
        <v>3.5</v>
      </c>
      <c r="AB283" s="1">
        <v>4</v>
      </c>
      <c r="AC283" s="1">
        <v>1.2</v>
      </c>
      <c r="AH283" s="1">
        <v>0</v>
      </c>
      <c r="AI283" s="1">
        <v>1</v>
      </c>
      <c r="AJ283" s="1" t="s">
        <v>1375</v>
      </c>
      <c r="AK283" s="1" t="s">
        <v>206</v>
      </c>
      <c r="AL283" s="1" t="s">
        <v>228</v>
      </c>
      <c r="AN283" s="22" t="s">
        <v>9767</v>
      </c>
      <c r="AR283" s="1">
        <v>3</v>
      </c>
      <c r="AX283" s="1">
        <v>1</v>
      </c>
      <c r="AZ283" s="1">
        <v>0.25</v>
      </c>
      <c r="BG283" s="1" t="str">
        <f t="shared" si="207"/>
        <v>enemy_1058_traink_2</v>
      </c>
      <c r="BM283" s="1" t="s">
        <v>989</v>
      </c>
      <c r="BN283" s="1" t="s">
        <v>1372</v>
      </c>
      <c r="BQ283" s="1" t="s">
        <v>207</v>
      </c>
      <c r="BR283" s="1" t="s">
        <v>208</v>
      </c>
      <c r="BS283" s="1" t="s">
        <v>229</v>
      </c>
      <c r="BT283" s="1" t="s">
        <v>210</v>
      </c>
      <c r="BX283" s="1">
        <v>1</v>
      </c>
    </row>
    <row r="284" spans="1:76" x14ac:dyDescent="0.25">
      <c r="A284" s="1" t="s">
        <v>1376</v>
      </c>
      <c r="B284" s="1" t="s">
        <v>203</v>
      </c>
      <c r="D284" s="1" t="s">
        <v>1377</v>
      </c>
      <c r="E284" s="1">
        <v>1059</v>
      </c>
      <c r="F284" s="1" t="str">
        <f t="shared" si="206"/>
        <v>enemy_1059_buster</v>
      </c>
      <c r="G284" s="1">
        <v>1</v>
      </c>
      <c r="L284" s="1">
        <v>9000</v>
      </c>
      <c r="N284" s="1">
        <v>700</v>
      </c>
      <c r="P284" s="1">
        <v>500</v>
      </c>
      <c r="R284" s="1">
        <v>0</v>
      </c>
      <c r="Z284" s="1">
        <v>0.05</v>
      </c>
      <c r="AA284" s="1">
        <v>5</v>
      </c>
      <c r="AB284" s="1">
        <v>2</v>
      </c>
      <c r="AC284" s="1">
        <v>0.8</v>
      </c>
      <c r="AH284" s="1">
        <v>0</v>
      </c>
      <c r="AI284" s="1">
        <v>1</v>
      </c>
      <c r="AJ284" s="1" t="s">
        <v>1378</v>
      </c>
      <c r="AK284" s="1" t="s">
        <v>206</v>
      </c>
      <c r="AL284" s="1" t="s">
        <v>1379</v>
      </c>
      <c r="AN284" s="22" t="s">
        <v>9767</v>
      </c>
      <c r="AX284" s="1">
        <v>1</v>
      </c>
      <c r="AZ284" s="1">
        <v>0.25</v>
      </c>
      <c r="BG284" s="1" t="str">
        <f t="shared" si="207"/>
        <v>enemy_1059_buster</v>
      </c>
      <c r="BM284" s="1" t="s">
        <v>957</v>
      </c>
      <c r="BN284" s="1" t="s">
        <v>1380</v>
      </c>
      <c r="BQ284" s="1" t="s">
        <v>207</v>
      </c>
      <c r="BR284" s="1" t="s">
        <v>208</v>
      </c>
      <c r="BS284" s="1" t="s">
        <v>229</v>
      </c>
      <c r="BT284" s="1" t="s">
        <v>210</v>
      </c>
      <c r="BX284" s="1">
        <v>1</v>
      </c>
    </row>
    <row r="285" spans="1:76" x14ac:dyDescent="0.25">
      <c r="A285" s="1" t="s">
        <v>1381</v>
      </c>
      <c r="B285" s="1" t="s">
        <v>203</v>
      </c>
      <c r="D285" s="1" t="s">
        <v>1382</v>
      </c>
      <c r="E285" s="1">
        <v>1059</v>
      </c>
      <c r="F285" s="1" t="str">
        <f t="shared" si="206"/>
        <v>enemy_1059_buster_2</v>
      </c>
      <c r="G285" s="1">
        <v>1</v>
      </c>
      <c r="L285" s="1">
        <v>13000</v>
      </c>
      <c r="N285" s="1">
        <v>800</v>
      </c>
      <c r="P285" s="1">
        <v>600</v>
      </c>
      <c r="R285" s="1">
        <v>0</v>
      </c>
      <c r="Z285" s="1">
        <v>0.05</v>
      </c>
      <c r="AA285" s="1">
        <v>5</v>
      </c>
      <c r="AB285" s="1">
        <v>2</v>
      </c>
      <c r="AC285" s="1">
        <v>0.8</v>
      </c>
      <c r="AH285" s="1">
        <v>0</v>
      </c>
      <c r="AI285" s="1">
        <v>1</v>
      </c>
      <c r="AJ285" s="1" t="s">
        <v>1383</v>
      </c>
      <c r="AK285" s="1" t="s">
        <v>206</v>
      </c>
      <c r="AL285" s="1" t="s">
        <v>1379</v>
      </c>
      <c r="AN285" s="22" t="s">
        <v>9767</v>
      </c>
      <c r="AX285" s="1">
        <v>1</v>
      </c>
      <c r="AZ285" s="1">
        <v>0.25</v>
      </c>
      <c r="BG285" s="1" t="str">
        <f t="shared" si="207"/>
        <v>enemy_1059_buster_2</v>
      </c>
      <c r="BM285" s="1" t="s">
        <v>957</v>
      </c>
      <c r="BN285" s="1" t="s">
        <v>1380</v>
      </c>
      <c r="BQ285" s="1" t="s">
        <v>207</v>
      </c>
      <c r="BR285" s="1" t="s">
        <v>208</v>
      </c>
      <c r="BS285" s="1" t="s">
        <v>229</v>
      </c>
      <c r="BT285" s="1" t="s">
        <v>210</v>
      </c>
      <c r="BX285" s="1">
        <v>1</v>
      </c>
    </row>
    <row r="286" spans="1:76" x14ac:dyDescent="0.25">
      <c r="A286" s="1" t="s">
        <v>1384</v>
      </c>
      <c r="B286" s="1" t="s">
        <v>203</v>
      </c>
      <c r="D286" s="1" t="s">
        <v>1385</v>
      </c>
      <c r="E286" s="1">
        <v>1060</v>
      </c>
      <c r="F286" s="1" t="str">
        <f t="shared" si="206"/>
        <v>enemy_1060_emouse</v>
      </c>
      <c r="G286" s="1">
        <v>1</v>
      </c>
      <c r="L286" s="1">
        <v>3000</v>
      </c>
      <c r="N286" s="1">
        <v>700</v>
      </c>
      <c r="P286" s="1">
        <v>250</v>
      </c>
      <c r="R286" s="1">
        <v>20</v>
      </c>
      <c r="Z286" s="1">
        <v>0.05</v>
      </c>
      <c r="AA286" s="1">
        <v>3.2</v>
      </c>
      <c r="AB286" s="1">
        <v>2</v>
      </c>
      <c r="AC286" s="1">
        <v>0.9</v>
      </c>
      <c r="AH286" s="1">
        <v>0</v>
      </c>
      <c r="AI286" s="1">
        <v>1</v>
      </c>
      <c r="AJ286" s="1" t="s">
        <v>1386</v>
      </c>
      <c r="AK286" s="1" t="s">
        <v>206</v>
      </c>
      <c r="AL286" s="1" t="s">
        <v>1387</v>
      </c>
      <c r="AN286" s="22" t="s">
        <v>9767</v>
      </c>
      <c r="AX286" s="1">
        <v>1</v>
      </c>
      <c r="AZ286" s="1">
        <v>0.25</v>
      </c>
      <c r="BG286" s="1" t="str">
        <f t="shared" si="207"/>
        <v>enemy_1060_emouse</v>
      </c>
      <c r="BM286" s="1" t="s">
        <v>989</v>
      </c>
      <c r="BN286" s="1" t="s">
        <v>1388</v>
      </c>
      <c r="BQ286" s="1" t="s">
        <v>207</v>
      </c>
      <c r="BR286" s="1" t="s">
        <v>208</v>
      </c>
      <c r="BS286" s="1" t="s">
        <v>229</v>
      </c>
      <c r="BT286" s="1" t="s">
        <v>210</v>
      </c>
      <c r="BX286" s="1">
        <v>1</v>
      </c>
    </row>
    <row r="287" spans="1:76" x14ac:dyDescent="0.25">
      <c r="A287" s="1" t="s">
        <v>1389</v>
      </c>
      <c r="B287" s="1" t="s">
        <v>203</v>
      </c>
      <c r="D287" s="1" t="s">
        <v>1390</v>
      </c>
      <c r="E287" s="1">
        <v>1060</v>
      </c>
      <c r="F287" s="1" t="str">
        <f t="shared" si="206"/>
        <v>enemy_1060_emouse_2</v>
      </c>
      <c r="G287" s="1">
        <v>1</v>
      </c>
      <c r="L287" s="1">
        <v>4000</v>
      </c>
      <c r="N287" s="1">
        <v>800</v>
      </c>
      <c r="P287" s="1">
        <v>250</v>
      </c>
      <c r="R287" s="1">
        <v>20</v>
      </c>
      <c r="Z287" s="1">
        <v>0.05</v>
      </c>
      <c r="AA287" s="1">
        <v>3.2</v>
      </c>
      <c r="AB287" s="1">
        <v>2</v>
      </c>
      <c r="AC287" s="1">
        <v>0.9</v>
      </c>
      <c r="AH287" s="1">
        <v>0</v>
      </c>
      <c r="AI287" s="1">
        <v>1</v>
      </c>
      <c r="AJ287" s="1" t="s">
        <v>1391</v>
      </c>
      <c r="AK287" s="1" t="s">
        <v>206</v>
      </c>
      <c r="AL287" s="1" t="s">
        <v>1392</v>
      </c>
      <c r="AN287" s="22" t="s">
        <v>9767</v>
      </c>
      <c r="AX287" s="1">
        <v>1</v>
      </c>
      <c r="AZ287" s="1">
        <v>0.25</v>
      </c>
      <c r="BG287" s="1" t="str">
        <f t="shared" si="207"/>
        <v>enemy_1060_emouse_2</v>
      </c>
      <c r="BM287" s="1" t="s">
        <v>989</v>
      </c>
      <c r="BN287" s="1" t="s">
        <v>1388</v>
      </c>
      <c r="BQ287" s="1" t="s">
        <v>207</v>
      </c>
      <c r="BR287" s="1" t="s">
        <v>208</v>
      </c>
      <c r="BS287" s="1" t="s">
        <v>229</v>
      </c>
      <c r="BT287" s="1" t="s">
        <v>210</v>
      </c>
      <c r="BX287" s="1">
        <v>1</v>
      </c>
    </row>
    <row r="288" spans="1:76" x14ac:dyDescent="0.25">
      <c r="A288" s="1" t="s">
        <v>1393</v>
      </c>
      <c r="B288" s="1" t="s">
        <v>203</v>
      </c>
      <c r="D288" s="1" t="s">
        <v>1394</v>
      </c>
      <c r="E288" s="1">
        <v>1509</v>
      </c>
      <c r="F288" s="1" t="str">
        <f t="shared" si="206"/>
        <v>enemy_1509_mousek</v>
      </c>
      <c r="G288" s="1">
        <v>1</v>
      </c>
      <c r="L288" s="1">
        <v>22000</v>
      </c>
      <c r="N288" s="1">
        <v>470</v>
      </c>
      <c r="P288" s="1">
        <v>350</v>
      </c>
      <c r="R288" s="1">
        <v>30</v>
      </c>
      <c r="Z288" s="1">
        <v>0.05</v>
      </c>
      <c r="AA288" s="1">
        <v>3.4</v>
      </c>
      <c r="AB288" s="1">
        <v>5</v>
      </c>
      <c r="AC288" s="1">
        <v>0.6</v>
      </c>
      <c r="AH288" s="1">
        <v>0</v>
      </c>
      <c r="AI288" s="1">
        <v>1</v>
      </c>
      <c r="AJ288" s="1" t="s">
        <v>1395</v>
      </c>
      <c r="AK288" s="1" t="s">
        <v>206</v>
      </c>
      <c r="AL288" s="1" t="s">
        <v>1396</v>
      </c>
      <c r="AN288" s="22" t="s">
        <v>9767</v>
      </c>
      <c r="AX288" s="1">
        <v>1</v>
      </c>
      <c r="AZ288" s="1">
        <v>0.25</v>
      </c>
      <c r="BG288" s="1" t="str">
        <f t="shared" si="207"/>
        <v>enemy_1509_mousek</v>
      </c>
      <c r="BM288" s="1" t="s">
        <v>1328</v>
      </c>
      <c r="BN288" s="1" t="s">
        <v>1397</v>
      </c>
      <c r="BQ288" s="1" t="s">
        <v>207</v>
      </c>
      <c r="BR288" s="1" t="s">
        <v>208</v>
      </c>
      <c r="BS288" s="1" t="s">
        <v>229</v>
      </c>
      <c r="BT288" s="1" t="s">
        <v>210</v>
      </c>
      <c r="BX288" s="1">
        <v>1</v>
      </c>
    </row>
    <row r="289" spans="1:76" x14ac:dyDescent="0.25">
      <c r="A289" s="1" t="s">
        <v>1398</v>
      </c>
      <c r="B289" s="1" t="s">
        <v>203</v>
      </c>
      <c r="D289" s="1" t="s">
        <v>1399</v>
      </c>
      <c r="E289" s="1">
        <v>1061</v>
      </c>
      <c r="F289" s="1" t="str">
        <f t="shared" si="206"/>
        <v>enemy_1061_zomshd</v>
      </c>
      <c r="G289" s="1">
        <v>1</v>
      </c>
      <c r="L289" s="1">
        <v>10000</v>
      </c>
      <c r="N289" s="1">
        <v>600</v>
      </c>
      <c r="P289" s="1">
        <v>800</v>
      </c>
      <c r="R289" s="1">
        <v>0</v>
      </c>
      <c r="Z289" s="1">
        <v>0.05</v>
      </c>
      <c r="AA289" s="1">
        <v>2.6</v>
      </c>
      <c r="AB289" s="1">
        <v>3</v>
      </c>
      <c r="AC289" s="1">
        <v>0.75</v>
      </c>
      <c r="AH289" s="1">
        <v>0</v>
      </c>
      <c r="AI289" s="1">
        <v>1</v>
      </c>
      <c r="AJ289" s="1" t="s">
        <v>1400</v>
      </c>
      <c r="AK289" s="1" t="s">
        <v>206</v>
      </c>
      <c r="AL289" s="1" t="s">
        <v>228</v>
      </c>
      <c r="AN289" s="22" t="s">
        <v>9767</v>
      </c>
      <c r="AV289" s="1">
        <v>200</v>
      </c>
      <c r="AX289" s="1">
        <v>1</v>
      </c>
      <c r="AZ289" s="1">
        <v>0.25</v>
      </c>
      <c r="BG289" s="1" t="str">
        <f t="shared" si="207"/>
        <v>enemy_1061_zomshd</v>
      </c>
      <c r="BM289" s="1" t="s">
        <v>1401</v>
      </c>
      <c r="BN289" s="1" t="s">
        <v>1402</v>
      </c>
      <c r="BQ289" s="1" t="s">
        <v>207</v>
      </c>
      <c r="BR289" s="1" t="s">
        <v>208</v>
      </c>
      <c r="BS289" s="1" t="s">
        <v>209</v>
      </c>
      <c r="BT289" s="1" t="s">
        <v>210</v>
      </c>
      <c r="BX289" s="1">
        <v>1</v>
      </c>
    </row>
    <row r="290" spans="1:76" x14ac:dyDescent="0.25">
      <c r="A290" s="1" t="s">
        <v>1403</v>
      </c>
      <c r="B290" s="1" t="s">
        <v>203</v>
      </c>
      <c r="D290" s="1" t="s">
        <v>1404</v>
      </c>
      <c r="E290" s="1">
        <v>1061</v>
      </c>
      <c r="F290" s="1" t="str">
        <f t="shared" si="206"/>
        <v>enemy_1061_zomshd_2</v>
      </c>
      <c r="G290" s="1">
        <v>1</v>
      </c>
      <c r="L290" s="1">
        <v>16000</v>
      </c>
      <c r="N290" s="1">
        <v>800</v>
      </c>
      <c r="P290" s="1">
        <v>1000</v>
      </c>
      <c r="R290" s="1">
        <v>0</v>
      </c>
      <c r="Z290" s="1">
        <v>0.05</v>
      </c>
      <c r="AA290" s="1">
        <v>2.6</v>
      </c>
      <c r="AB290" s="1">
        <v>3</v>
      </c>
      <c r="AC290" s="1">
        <v>0.75</v>
      </c>
      <c r="AH290" s="1">
        <v>0</v>
      </c>
      <c r="AI290" s="1">
        <v>1</v>
      </c>
      <c r="AJ290" s="1" t="s">
        <v>1405</v>
      </c>
      <c r="AK290" s="1" t="s">
        <v>206</v>
      </c>
      <c r="AL290" s="1" t="s">
        <v>228</v>
      </c>
      <c r="AN290" s="22" t="s">
        <v>9767</v>
      </c>
      <c r="AV290" s="1">
        <v>250</v>
      </c>
      <c r="AX290" s="1">
        <v>1</v>
      </c>
      <c r="AZ290" s="1">
        <v>0.25</v>
      </c>
      <c r="BG290" s="1" t="str">
        <f t="shared" si="207"/>
        <v>enemy_1061_zomshd_2</v>
      </c>
      <c r="BM290" s="1" t="s">
        <v>1401</v>
      </c>
      <c r="BN290" s="1" t="s">
        <v>1406</v>
      </c>
      <c r="BQ290" s="1" t="s">
        <v>207</v>
      </c>
      <c r="BR290" s="1" t="s">
        <v>208</v>
      </c>
      <c r="BS290" s="1" t="s">
        <v>209</v>
      </c>
      <c r="BT290" s="1" t="s">
        <v>210</v>
      </c>
      <c r="BX290" s="1">
        <v>1</v>
      </c>
    </row>
    <row r="291" spans="1:76" x14ac:dyDescent="0.25">
      <c r="A291" s="1" t="s">
        <v>1407</v>
      </c>
      <c r="B291" s="1" t="s">
        <v>203</v>
      </c>
      <c r="D291" s="1" t="s">
        <v>1408</v>
      </c>
      <c r="E291" s="1">
        <v>1062</v>
      </c>
      <c r="F291" s="1" t="str">
        <f t="shared" si="206"/>
        <v>enemy_1062_rager</v>
      </c>
      <c r="G291" s="1">
        <v>1</v>
      </c>
      <c r="L291" s="1">
        <v>20000</v>
      </c>
      <c r="N291" s="1">
        <v>1000</v>
      </c>
      <c r="P291" s="1">
        <v>200</v>
      </c>
      <c r="R291" s="1">
        <v>30</v>
      </c>
      <c r="Z291" s="1">
        <v>0.05</v>
      </c>
      <c r="AA291" s="1">
        <v>1.3</v>
      </c>
      <c r="AB291" s="1">
        <v>2</v>
      </c>
      <c r="AC291" s="1">
        <v>1.2</v>
      </c>
      <c r="AH291" s="1">
        <v>0</v>
      </c>
      <c r="AI291" s="1">
        <v>1</v>
      </c>
      <c r="AJ291" s="1" t="s">
        <v>1409</v>
      </c>
      <c r="AK291" s="1" t="s">
        <v>206</v>
      </c>
      <c r="AL291" s="1" t="s">
        <v>228</v>
      </c>
      <c r="AN291" s="22" t="s">
        <v>9767</v>
      </c>
      <c r="AV291" s="1">
        <v>-330</v>
      </c>
      <c r="AX291" s="1">
        <v>1</v>
      </c>
      <c r="AZ291" s="1">
        <v>0.25</v>
      </c>
      <c r="BG291" s="1" t="str">
        <f t="shared" si="207"/>
        <v>enemy_1062_rager</v>
      </c>
      <c r="BM291" s="1" t="s">
        <v>1401</v>
      </c>
      <c r="BN291" s="1" t="s">
        <v>1410</v>
      </c>
      <c r="BQ291" s="1" t="s">
        <v>207</v>
      </c>
      <c r="BR291" s="1" t="s">
        <v>208</v>
      </c>
      <c r="BS291" s="1" t="s">
        <v>229</v>
      </c>
      <c r="BT291" s="1" t="s">
        <v>210</v>
      </c>
      <c r="BX291" s="1">
        <v>1</v>
      </c>
    </row>
    <row r="292" spans="1:76" x14ac:dyDescent="0.25">
      <c r="A292" s="1" t="s">
        <v>1411</v>
      </c>
      <c r="B292" s="1" t="s">
        <v>203</v>
      </c>
      <c r="D292" s="1" t="s">
        <v>1412</v>
      </c>
      <c r="E292" s="1">
        <v>1062</v>
      </c>
      <c r="F292" s="1" t="str">
        <f t="shared" si="206"/>
        <v>enemy_1062_rager_2</v>
      </c>
      <c r="G292" s="1">
        <v>1</v>
      </c>
      <c r="L292" s="1">
        <v>30000</v>
      </c>
      <c r="N292" s="1">
        <v>1750</v>
      </c>
      <c r="P292" s="1">
        <v>230</v>
      </c>
      <c r="R292" s="1">
        <v>30</v>
      </c>
      <c r="Z292" s="1">
        <v>0.05</v>
      </c>
      <c r="AA292" s="1">
        <v>1.3</v>
      </c>
      <c r="AB292" s="1">
        <v>2</v>
      </c>
      <c r="AC292" s="1">
        <v>1.2</v>
      </c>
      <c r="AH292" s="1">
        <v>0</v>
      </c>
      <c r="AI292" s="1">
        <v>1</v>
      </c>
      <c r="AJ292" s="1" t="s">
        <v>1413</v>
      </c>
      <c r="AK292" s="1" t="s">
        <v>206</v>
      </c>
      <c r="AL292" s="1" t="s">
        <v>228</v>
      </c>
      <c r="AN292" s="22" t="s">
        <v>9767</v>
      </c>
      <c r="AV292" s="1">
        <v>-500</v>
      </c>
      <c r="AX292" s="1">
        <v>1</v>
      </c>
      <c r="AZ292" s="1">
        <v>0.25</v>
      </c>
      <c r="BG292" s="1" t="str">
        <f t="shared" si="207"/>
        <v>enemy_1062_rager_2</v>
      </c>
      <c r="BM292" s="1" t="s">
        <v>1401</v>
      </c>
      <c r="BN292" s="1" t="s">
        <v>1414</v>
      </c>
      <c r="BQ292" s="1" t="s">
        <v>207</v>
      </c>
      <c r="BR292" s="1" t="s">
        <v>208</v>
      </c>
      <c r="BS292" s="1" t="s">
        <v>229</v>
      </c>
      <c r="BT292" s="1" t="s">
        <v>210</v>
      </c>
      <c r="BX292" s="1">
        <v>1</v>
      </c>
    </row>
    <row r="293" spans="1:76" x14ac:dyDescent="0.25">
      <c r="A293" s="1" t="s">
        <v>1415</v>
      </c>
      <c r="B293" s="1" t="s">
        <v>203</v>
      </c>
      <c r="D293" s="1" t="s">
        <v>1416</v>
      </c>
      <c r="E293" s="1">
        <v>1063</v>
      </c>
      <c r="F293" s="1" t="str">
        <f t="shared" si="206"/>
        <v>enemy_1063_rageth</v>
      </c>
      <c r="G293" s="1">
        <v>1</v>
      </c>
      <c r="L293" s="1">
        <v>15000</v>
      </c>
      <c r="N293" s="1">
        <v>750</v>
      </c>
      <c r="P293" s="1">
        <v>200</v>
      </c>
      <c r="R293" s="1">
        <v>30</v>
      </c>
      <c r="Z293" s="1">
        <v>0.05</v>
      </c>
      <c r="AA293" s="1">
        <v>2</v>
      </c>
      <c r="AB293" s="1">
        <v>2</v>
      </c>
      <c r="AC293" s="1">
        <v>0.7</v>
      </c>
      <c r="AH293" s="1">
        <v>0</v>
      </c>
      <c r="AI293" s="1">
        <v>1</v>
      </c>
      <c r="AJ293" s="1" t="s">
        <v>1417</v>
      </c>
      <c r="AK293" s="1" t="s">
        <v>206</v>
      </c>
      <c r="AL293" s="1" t="s">
        <v>1418</v>
      </c>
      <c r="AN293" s="22" t="s">
        <v>9767</v>
      </c>
      <c r="AV293" s="1">
        <v>-250</v>
      </c>
      <c r="AX293" s="1">
        <v>1</v>
      </c>
      <c r="AZ293" s="1">
        <v>0.25</v>
      </c>
      <c r="BG293" s="1" t="str">
        <f t="shared" si="207"/>
        <v>enemy_1063_rageth</v>
      </c>
      <c r="BM293" s="1" t="s">
        <v>1419</v>
      </c>
      <c r="BN293" s="1" t="s">
        <v>1420</v>
      </c>
      <c r="BQ293" s="1" t="s">
        <v>207</v>
      </c>
      <c r="BR293" s="1" t="s">
        <v>208</v>
      </c>
      <c r="BS293" s="1" t="s">
        <v>229</v>
      </c>
      <c r="BT293" s="1" t="s">
        <v>210</v>
      </c>
      <c r="BX293" s="1">
        <v>1</v>
      </c>
    </row>
    <row r="294" spans="1:76" x14ac:dyDescent="0.25">
      <c r="A294" s="1" t="s">
        <v>1421</v>
      </c>
      <c r="B294" s="1" t="s">
        <v>203</v>
      </c>
      <c r="D294" s="1" t="s">
        <v>1422</v>
      </c>
      <c r="E294" s="1">
        <v>1063</v>
      </c>
      <c r="F294" s="1" t="str">
        <f t="shared" si="206"/>
        <v>enemy_1063_rageth_2</v>
      </c>
      <c r="G294" s="1">
        <v>1</v>
      </c>
      <c r="L294" s="1">
        <v>22000</v>
      </c>
      <c r="N294" s="1">
        <v>1050</v>
      </c>
      <c r="P294" s="1">
        <v>220</v>
      </c>
      <c r="R294" s="1">
        <v>30</v>
      </c>
      <c r="Z294" s="1">
        <v>0.05</v>
      </c>
      <c r="AA294" s="1">
        <v>2</v>
      </c>
      <c r="AB294" s="1">
        <v>2</v>
      </c>
      <c r="AC294" s="1">
        <v>0.7</v>
      </c>
      <c r="AH294" s="1">
        <v>0</v>
      </c>
      <c r="AI294" s="1">
        <v>1</v>
      </c>
      <c r="AJ294" s="1" t="s">
        <v>1423</v>
      </c>
      <c r="AK294" s="1" t="s">
        <v>206</v>
      </c>
      <c r="AL294" s="1" t="s">
        <v>1418</v>
      </c>
      <c r="AN294" s="22" t="s">
        <v>9767</v>
      </c>
      <c r="AV294" s="1">
        <v>-350</v>
      </c>
      <c r="AX294" s="1">
        <v>1</v>
      </c>
      <c r="AZ294" s="1">
        <v>0.25</v>
      </c>
      <c r="BG294" s="1" t="str">
        <f t="shared" si="207"/>
        <v>enemy_1063_rageth_2</v>
      </c>
      <c r="BM294" s="1" t="s">
        <v>1419</v>
      </c>
      <c r="BN294" s="1" t="s">
        <v>1424</v>
      </c>
      <c r="BQ294" s="1" t="s">
        <v>207</v>
      </c>
      <c r="BR294" s="1" t="s">
        <v>208</v>
      </c>
      <c r="BS294" s="1" t="s">
        <v>229</v>
      </c>
      <c r="BT294" s="1" t="s">
        <v>210</v>
      </c>
      <c r="BX294" s="1">
        <v>1</v>
      </c>
    </row>
    <row r="295" spans="1:76" x14ac:dyDescent="0.25">
      <c r="A295" s="1" t="s">
        <v>1425</v>
      </c>
      <c r="B295" s="1" t="s">
        <v>203</v>
      </c>
      <c r="D295" s="1" t="s">
        <v>236</v>
      </c>
      <c r="E295" s="1">
        <v>1064</v>
      </c>
      <c r="F295" s="1" t="str">
        <f t="shared" si="206"/>
        <v>enemy_1064_snsbr</v>
      </c>
      <c r="G295" s="1">
        <v>1</v>
      </c>
      <c r="L295" s="1">
        <v>3400</v>
      </c>
      <c r="N295" s="1">
        <v>360</v>
      </c>
      <c r="P295" s="1">
        <v>100</v>
      </c>
      <c r="R295" s="1">
        <v>0</v>
      </c>
      <c r="Z295" s="1">
        <v>0.05</v>
      </c>
      <c r="AA295" s="1">
        <v>2</v>
      </c>
      <c r="AB295" s="1">
        <v>1</v>
      </c>
      <c r="AC295" s="1">
        <v>1.1000000000000001</v>
      </c>
      <c r="AH295" s="1">
        <v>0</v>
      </c>
      <c r="AI295" s="1">
        <v>1</v>
      </c>
      <c r="AJ295" s="1" t="s">
        <v>235</v>
      </c>
      <c r="AK295" s="1" t="s">
        <v>206</v>
      </c>
      <c r="AL295" s="1" t="s">
        <v>238</v>
      </c>
      <c r="AN295" s="22" t="s">
        <v>9767</v>
      </c>
      <c r="AX295" s="1">
        <v>1</v>
      </c>
      <c r="AZ295" s="1">
        <v>0.25</v>
      </c>
      <c r="BG295" s="1" t="str">
        <f t="shared" si="207"/>
        <v>enemy_1064_snsbr</v>
      </c>
      <c r="BM295" s="1" t="s">
        <v>930</v>
      </c>
      <c r="BN295" s="1" t="s">
        <v>1426</v>
      </c>
      <c r="BQ295" s="1" t="s">
        <v>207</v>
      </c>
      <c r="BR295" s="1" t="s">
        <v>208</v>
      </c>
      <c r="BS295" s="1" t="s">
        <v>239</v>
      </c>
      <c r="BT295" s="1" t="s">
        <v>210</v>
      </c>
      <c r="BX295" s="1">
        <v>1</v>
      </c>
    </row>
    <row r="296" spans="1:76" x14ac:dyDescent="0.25">
      <c r="A296" s="1" t="s">
        <v>1427</v>
      </c>
      <c r="B296" s="1" t="s">
        <v>203</v>
      </c>
      <c r="D296" s="1" t="s">
        <v>1428</v>
      </c>
      <c r="E296" s="1">
        <v>1065</v>
      </c>
      <c r="F296" s="1" t="str">
        <f t="shared" si="206"/>
        <v>enemy_1065_snwolf</v>
      </c>
      <c r="G296" s="1">
        <v>1</v>
      </c>
      <c r="L296" s="1">
        <v>3150</v>
      </c>
      <c r="N296" s="1">
        <v>350</v>
      </c>
      <c r="P296" s="1">
        <v>0</v>
      </c>
      <c r="R296" s="1">
        <v>30</v>
      </c>
      <c r="Z296" s="1">
        <v>0.05</v>
      </c>
      <c r="AA296" s="1">
        <v>1.4</v>
      </c>
      <c r="AB296" s="1">
        <v>0</v>
      </c>
      <c r="AC296" s="1">
        <v>1.9</v>
      </c>
      <c r="AH296" s="1">
        <v>0</v>
      </c>
      <c r="AI296" s="1">
        <v>1</v>
      </c>
      <c r="AJ296" s="1" t="s">
        <v>1429</v>
      </c>
      <c r="AK296" s="1" t="s">
        <v>206</v>
      </c>
      <c r="AL296" s="1" t="s">
        <v>238</v>
      </c>
      <c r="AN296" s="22" t="s">
        <v>9767</v>
      </c>
      <c r="AX296" s="1">
        <v>1</v>
      </c>
      <c r="AZ296" s="1">
        <v>0.25</v>
      </c>
      <c r="BG296" s="1" t="str">
        <f t="shared" si="207"/>
        <v>enemy_1065_snwolf</v>
      </c>
      <c r="BM296" s="1" t="s">
        <v>888</v>
      </c>
      <c r="BN296" s="1" t="s">
        <v>1430</v>
      </c>
      <c r="BQ296" s="1" t="s">
        <v>207</v>
      </c>
      <c r="BR296" s="1" t="s">
        <v>208</v>
      </c>
      <c r="BS296" s="1" t="s">
        <v>239</v>
      </c>
      <c r="BT296" s="1" t="s">
        <v>210</v>
      </c>
      <c r="BX296" s="1">
        <v>1</v>
      </c>
    </row>
    <row r="297" spans="1:76" x14ac:dyDescent="0.25">
      <c r="A297" s="1" t="s">
        <v>1431</v>
      </c>
      <c r="B297" s="1" t="s">
        <v>203</v>
      </c>
      <c r="D297" s="1" t="s">
        <v>241</v>
      </c>
      <c r="E297" s="1">
        <v>1065</v>
      </c>
      <c r="F297" s="1" t="str">
        <f t="shared" si="206"/>
        <v>enemy_1065_snwolf_2</v>
      </c>
      <c r="G297" s="1">
        <v>1</v>
      </c>
      <c r="L297" s="1">
        <v>4650</v>
      </c>
      <c r="N297" s="1">
        <v>430</v>
      </c>
      <c r="P297" s="1">
        <v>0</v>
      </c>
      <c r="R297" s="1">
        <v>30</v>
      </c>
      <c r="Z297" s="1">
        <v>0.05</v>
      </c>
      <c r="AA297" s="1">
        <v>1.4</v>
      </c>
      <c r="AB297" s="1">
        <v>0</v>
      </c>
      <c r="AC297" s="1">
        <v>1.9</v>
      </c>
      <c r="AH297" s="1">
        <v>0</v>
      </c>
      <c r="AI297" s="1">
        <v>1</v>
      </c>
      <c r="AJ297" s="1" t="s">
        <v>243</v>
      </c>
      <c r="AK297" s="1" t="s">
        <v>206</v>
      </c>
      <c r="AL297" s="1" t="s">
        <v>238</v>
      </c>
      <c r="AN297" s="22" t="s">
        <v>9767</v>
      </c>
      <c r="AX297" s="1">
        <v>1</v>
      </c>
      <c r="AZ297" s="1">
        <v>0.25</v>
      </c>
      <c r="BG297" s="1" t="str">
        <f t="shared" si="207"/>
        <v>enemy_1065_snwolf_2</v>
      </c>
      <c r="BM297" s="1" t="s">
        <v>888</v>
      </c>
      <c r="BN297" s="1" t="s">
        <v>1432</v>
      </c>
      <c r="BQ297" s="1" t="s">
        <v>207</v>
      </c>
      <c r="BR297" s="1" t="s">
        <v>208</v>
      </c>
      <c r="BS297" s="1" t="s">
        <v>239</v>
      </c>
      <c r="BT297" s="1" t="s">
        <v>210</v>
      </c>
      <c r="BX297" s="1">
        <v>1</v>
      </c>
    </row>
    <row r="298" spans="1:76" x14ac:dyDescent="0.25">
      <c r="A298" s="1" t="s">
        <v>1433</v>
      </c>
      <c r="B298" s="1" t="s">
        <v>203</v>
      </c>
      <c r="D298" s="1" t="s">
        <v>1434</v>
      </c>
      <c r="E298" s="1">
        <v>1066</v>
      </c>
      <c r="F298" s="1" t="str">
        <f t="shared" si="206"/>
        <v>enemy_1066_snbow</v>
      </c>
      <c r="G298" s="1">
        <v>1</v>
      </c>
      <c r="L298" s="1">
        <v>2500</v>
      </c>
      <c r="N298" s="1">
        <v>290</v>
      </c>
      <c r="P298" s="1">
        <v>80</v>
      </c>
      <c r="R298" s="1">
        <v>0</v>
      </c>
      <c r="Z298" s="1">
        <v>0.05</v>
      </c>
      <c r="AA298" s="1">
        <v>2.4</v>
      </c>
      <c r="AB298" s="1">
        <v>1</v>
      </c>
      <c r="AC298" s="1">
        <v>0.9</v>
      </c>
      <c r="AH298" s="1">
        <v>0</v>
      </c>
      <c r="AI298" s="1">
        <v>1</v>
      </c>
      <c r="AJ298" s="1" t="s">
        <v>1435</v>
      </c>
      <c r="AK298" s="1" t="s">
        <v>206</v>
      </c>
      <c r="AL298" s="1" t="s">
        <v>260</v>
      </c>
      <c r="AN298" s="22" t="s">
        <v>9767</v>
      </c>
      <c r="AX298" s="1">
        <v>1</v>
      </c>
      <c r="AZ298" s="1">
        <v>0.25</v>
      </c>
      <c r="BG298" s="1" t="str">
        <f t="shared" si="207"/>
        <v>enemy_1066_snbow</v>
      </c>
      <c r="BM298" s="1" t="s">
        <v>936</v>
      </c>
      <c r="BN298" s="1" t="s">
        <v>1436</v>
      </c>
      <c r="BQ298" s="1" t="s">
        <v>207</v>
      </c>
      <c r="BR298" s="1" t="s">
        <v>208</v>
      </c>
      <c r="BS298" s="1" t="s">
        <v>229</v>
      </c>
      <c r="BT298" s="1" t="s">
        <v>210</v>
      </c>
      <c r="BX298" s="1">
        <v>1</v>
      </c>
    </row>
    <row r="299" spans="1:76" x14ac:dyDescent="0.25">
      <c r="A299" s="1" t="s">
        <v>1437</v>
      </c>
      <c r="B299" s="1" t="s">
        <v>203</v>
      </c>
      <c r="D299" s="1" t="s">
        <v>257</v>
      </c>
      <c r="E299" s="1">
        <v>1066</v>
      </c>
      <c r="F299" s="1" t="str">
        <f t="shared" si="206"/>
        <v>enemy_1066_snbow_2</v>
      </c>
      <c r="G299" s="1">
        <v>1</v>
      </c>
      <c r="L299" s="1">
        <v>3500</v>
      </c>
      <c r="N299" s="1">
        <v>360</v>
      </c>
      <c r="P299" s="1">
        <v>100</v>
      </c>
      <c r="R299" s="1">
        <v>0</v>
      </c>
      <c r="Z299" s="1">
        <v>0.05</v>
      </c>
      <c r="AA299" s="1">
        <v>2.4</v>
      </c>
      <c r="AB299" s="1">
        <v>1</v>
      </c>
      <c r="AC299" s="1">
        <v>0.9</v>
      </c>
      <c r="AH299" s="1">
        <v>0</v>
      </c>
      <c r="AI299" s="1">
        <v>1</v>
      </c>
      <c r="AJ299" s="1" t="s">
        <v>259</v>
      </c>
      <c r="AK299" s="1" t="s">
        <v>206</v>
      </c>
      <c r="AL299" s="1" t="s">
        <v>260</v>
      </c>
      <c r="AN299" s="22" t="s">
        <v>9767</v>
      </c>
      <c r="AX299" s="1">
        <v>1</v>
      </c>
      <c r="AZ299" s="1">
        <v>0.25</v>
      </c>
      <c r="BG299" s="1" t="str">
        <f t="shared" si="207"/>
        <v>enemy_1066_snbow_2</v>
      </c>
      <c r="BM299" s="1" t="s">
        <v>936</v>
      </c>
      <c r="BN299" s="1" t="s">
        <v>1438</v>
      </c>
      <c r="BQ299" s="1" t="s">
        <v>207</v>
      </c>
      <c r="BR299" s="1" t="s">
        <v>208</v>
      </c>
      <c r="BS299" s="1" t="s">
        <v>229</v>
      </c>
      <c r="BT299" s="1" t="s">
        <v>210</v>
      </c>
      <c r="BX299" s="1">
        <v>1</v>
      </c>
    </row>
    <row r="300" spans="1:76" x14ac:dyDescent="0.25">
      <c r="A300" s="1" t="s">
        <v>1439</v>
      </c>
      <c r="B300" s="1" t="s">
        <v>203</v>
      </c>
      <c r="D300" s="1" t="s">
        <v>1440</v>
      </c>
      <c r="E300" s="1">
        <v>1067</v>
      </c>
      <c r="F300" s="1" t="str">
        <f t="shared" si="206"/>
        <v>enemy_1067_snslime</v>
      </c>
      <c r="G300" s="1">
        <v>1</v>
      </c>
      <c r="L300" s="1">
        <v>3250</v>
      </c>
      <c r="N300" s="1">
        <v>300</v>
      </c>
      <c r="P300" s="1">
        <v>0</v>
      </c>
      <c r="R300" s="1">
        <v>0</v>
      </c>
      <c r="Z300" s="1">
        <v>0.05</v>
      </c>
      <c r="AA300" s="1">
        <v>1.7</v>
      </c>
      <c r="AB300" s="1">
        <v>0</v>
      </c>
      <c r="AC300" s="1">
        <v>1</v>
      </c>
      <c r="AH300" s="1">
        <v>0</v>
      </c>
      <c r="AI300" s="1">
        <v>1</v>
      </c>
      <c r="AJ300" s="1" t="s">
        <v>1441</v>
      </c>
      <c r="AK300" s="1" t="s">
        <v>206</v>
      </c>
      <c r="AL300" s="1" t="s">
        <v>250</v>
      </c>
      <c r="AN300" s="22" t="s">
        <v>9767</v>
      </c>
      <c r="AX300" s="1">
        <v>1</v>
      </c>
      <c r="AZ300" s="1">
        <v>0.25</v>
      </c>
      <c r="BG300" s="1" t="str">
        <f t="shared" si="207"/>
        <v>enemy_1067_snslime</v>
      </c>
      <c r="BM300" s="1" t="s">
        <v>888</v>
      </c>
      <c r="BN300" s="1" t="s">
        <v>1442</v>
      </c>
      <c r="BQ300" s="1" t="s">
        <v>207</v>
      </c>
      <c r="BR300" s="1" t="s">
        <v>208</v>
      </c>
      <c r="BS300" s="1" t="s">
        <v>229</v>
      </c>
      <c r="BT300" s="1" t="s">
        <v>210</v>
      </c>
      <c r="BX300" s="1">
        <v>1</v>
      </c>
    </row>
    <row r="301" spans="1:76" x14ac:dyDescent="0.25">
      <c r="A301" s="1" t="s">
        <v>1443</v>
      </c>
      <c r="B301" s="1" t="s">
        <v>203</v>
      </c>
      <c r="D301" s="1" t="s">
        <v>246</v>
      </c>
      <c r="E301" s="1">
        <v>1067</v>
      </c>
      <c r="F301" s="1" t="str">
        <f t="shared" si="206"/>
        <v>enemy_1067_snslime_2</v>
      </c>
      <c r="G301" s="1">
        <v>1</v>
      </c>
      <c r="L301" s="1">
        <v>4850</v>
      </c>
      <c r="N301" s="1">
        <v>370</v>
      </c>
      <c r="P301" s="1">
        <v>0</v>
      </c>
      <c r="R301" s="1">
        <v>0</v>
      </c>
      <c r="Z301" s="1">
        <v>0.05</v>
      </c>
      <c r="AA301" s="1">
        <v>1.7</v>
      </c>
      <c r="AB301" s="1">
        <v>0</v>
      </c>
      <c r="AC301" s="1">
        <v>1</v>
      </c>
      <c r="AH301" s="1">
        <v>0</v>
      </c>
      <c r="AI301" s="1">
        <v>1</v>
      </c>
      <c r="AJ301" s="1" t="s">
        <v>248</v>
      </c>
      <c r="AK301" s="1" t="s">
        <v>206</v>
      </c>
      <c r="AL301" s="1" t="s">
        <v>250</v>
      </c>
      <c r="AN301" s="22" t="s">
        <v>9767</v>
      </c>
      <c r="AX301" s="1">
        <v>1</v>
      </c>
      <c r="AZ301" s="1">
        <v>0.25</v>
      </c>
      <c r="BG301" s="1" t="str">
        <f t="shared" si="207"/>
        <v>enemy_1067_snslime_2</v>
      </c>
      <c r="BM301" s="1" t="s">
        <v>888</v>
      </c>
      <c r="BN301" s="1" t="s">
        <v>1444</v>
      </c>
      <c r="BQ301" s="1" t="s">
        <v>207</v>
      </c>
      <c r="BR301" s="1" t="s">
        <v>208</v>
      </c>
      <c r="BS301" s="1" t="s">
        <v>229</v>
      </c>
      <c r="BT301" s="1" t="s">
        <v>210</v>
      </c>
      <c r="BX301" s="1">
        <v>1</v>
      </c>
    </row>
    <row r="302" spans="1:76" x14ac:dyDescent="0.25">
      <c r="A302" s="1" t="s">
        <v>1445</v>
      </c>
      <c r="B302" s="1" t="s">
        <v>203</v>
      </c>
      <c r="D302" s="1" t="s">
        <v>1446</v>
      </c>
      <c r="E302" s="1">
        <v>1068</v>
      </c>
      <c r="F302" s="1" t="str">
        <f t="shared" si="206"/>
        <v>enemy_1068_snmage</v>
      </c>
      <c r="G302" s="1">
        <v>1</v>
      </c>
      <c r="L302" s="1">
        <v>5000</v>
      </c>
      <c r="N302" s="1">
        <v>320</v>
      </c>
      <c r="P302" s="1">
        <v>200</v>
      </c>
      <c r="R302" s="1">
        <v>50</v>
      </c>
      <c r="Z302" s="1">
        <v>0.05</v>
      </c>
      <c r="AA302" s="1">
        <v>4.5</v>
      </c>
      <c r="AB302" s="1">
        <v>2</v>
      </c>
      <c r="AC302" s="1">
        <v>0.8</v>
      </c>
      <c r="AH302" s="1">
        <v>0</v>
      </c>
      <c r="AI302" s="1">
        <v>1</v>
      </c>
      <c r="AJ302" s="1" t="s">
        <v>1447</v>
      </c>
      <c r="AK302" s="1" t="s">
        <v>206</v>
      </c>
      <c r="AL302" s="1" t="s">
        <v>255</v>
      </c>
      <c r="AN302" s="22" t="s">
        <v>9767</v>
      </c>
      <c r="AX302" s="1">
        <v>1</v>
      </c>
      <c r="AZ302" s="1">
        <v>0.25</v>
      </c>
      <c r="BG302" s="1" t="str">
        <f t="shared" si="207"/>
        <v>enemy_1068_snmage</v>
      </c>
      <c r="BM302" s="1" t="s">
        <v>936</v>
      </c>
      <c r="BN302" s="1" t="s">
        <v>1448</v>
      </c>
      <c r="BQ302" s="1" t="s">
        <v>207</v>
      </c>
      <c r="BR302" s="1" t="s">
        <v>208</v>
      </c>
      <c r="BS302" s="1" t="s">
        <v>229</v>
      </c>
      <c r="BT302" s="1" t="s">
        <v>210</v>
      </c>
      <c r="BX302" s="1">
        <v>1</v>
      </c>
    </row>
    <row r="303" spans="1:76" x14ac:dyDescent="0.25">
      <c r="A303" s="1" t="s">
        <v>1449</v>
      </c>
      <c r="B303" s="1" t="s">
        <v>203</v>
      </c>
      <c r="D303" s="1" t="s">
        <v>252</v>
      </c>
      <c r="E303" s="1">
        <v>1068</v>
      </c>
      <c r="F303" s="1" t="str">
        <f t="shared" si="206"/>
        <v>enemy_1068_snmage_2</v>
      </c>
      <c r="G303" s="1">
        <v>1</v>
      </c>
      <c r="L303" s="1">
        <v>8000</v>
      </c>
      <c r="N303" s="1">
        <v>400</v>
      </c>
      <c r="P303" s="1">
        <v>250</v>
      </c>
      <c r="R303" s="1">
        <v>50</v>
      </c>
      <c r="Z303" s="1">
        <v>0.05</v>
      </c>
      <c r="AA303" s="1">
        <v>4</v>
      </c>
      <c r="AB303" s="1">
        <v>2</v>
      </c>
      <c r="AC303" s="1">
        <v>0.8</v>
      </c>
      <c r="AH303" s="1">
        <v>0</v>
      </c>
      <c r="AI303" s="1">
        <v>1</v>
      </c>
      <c r="AJ303" s="1" t="s">
        <v>254</v>
      </c>
      <c r="AK303" s="1" t="s">
        <v>206</v>
      </c>
      <c r="AL303" s="1" t="s">
        <v>255</v>
      </c>
      <c r="AN303" s="22" t="s">
        <v>9767</v>
      </c>
      <c r="AX303" s="1">
        <v>1</v>
      </c>
      <c r="AZ303" s="1">
        <v>0.25</v>
      </c>
      <c r="BG303" s="1" t="str">
        <f t="shared" si="207"/>
        <v>enemy_1068_snmage_2</v>
      </c>
      <c r="BM303" s="1" t="s">
        <v>936</v>
      </c>
      <c r="BN303" s="1" t="s">
        <v>1450</v>
      </c>
      <c r="BQ303" s="1" t="s">
        <v>207</v>
      </c>
      <c r="BR303" s="1" t="s">
        <v>208</v>
      </c>
      <c r="BS303" s="1" t="s">
        <v>229</v>
      </c>
      <c r="BT303" s="1" t="s">
        <v>210</v>
      </c>
      <c r="BX303" s="1">
        <v>1</v>
      </c>
    </row>
    <row r="304" spans="1:76" x14ac:dyDescent="0.25">
      <c r="A304" s="1" t="s">
        <v>1451</v>
      </c>
      <c r="B304" s="1" t="s">
        <v>203</v>
      </c>
      <c r="D304" s="1" t="s">
        <v>1452</v>
      </c>
      <c r="E304" s="1">
        <v>1069</v>
      </c>
      <c r="F304" s="1" t="str">
        <f t="shared" si="206"/>
        <v>enemy_1069_icebrk</v>
      </c>
      <c r="G304" s="1">
        <v>1</v>
      </c>
      <c r="L304" s="1">
        <v>16000</v>
      </c>
      <c r="N304" s="1">
        <v>830</v>
      </c>
      <c r="P304" s="1">
        <v>500</v>
      </c>
      <c r="R304" s="1">
        <v>20</v>
      </c>
      <c r="Z304" s="1">
        <v>0.05</v>
      </c>
      <c r="AA304" s="1">
        <v>3</v>
      </c>
      <c r="AB304" s="1">
        <v>3</v>
      </c>
      <c r="AC304" s="1">
        <v>0.7</v>
      </c>
      <c r="AH304" s="1">
        <v>0</v>
      </c>
      <c r="AI304" s="1">
        <v>1</v>
      </c>
      <c r="AJ304" s="1" t="s">
        <v>1453</v>
      </c>
      <c r="AK304" s="1" t="s">
        <v>206</v>
      </c>
      <c r="AL304" s="1" t="s">
        <v>266</v>
      </c>
      <c r="AN304" s="22" t="s">
        <v>9767</v>
      </c>
      <c r="AX304" s="1">
        <v>1</v>
      </c>
      <c r="AZ304" s="1">
        <v>0.25</v>
      </c>
      <c r="BG304" s="1" t="str">
        <f t="shared" si="207"/>
        <v>enemy_1069_icebrk</v>
      </c>
      <c r="BM304" s="1" t="s">
        <v>989</v>
      </c>
      <c r="BN304" s="1" t="s">
        <v>1454</v>
      </c>
      <c r="BQ304" s="1" t="s">
        <v>207</v>
      </c>
      <c r="BR304" s="1" t="s">
        <v>208</v>
      </c>
      <c r="BS304" s="1" t="s">
        <v>229</v>
      </c>
      <c r="BT304" s="1" t="s">
        <v>210</v>
      </c>
      <c r="BX304" s="1">
        <v>1</v>
      </c>
    </row>
    <row r="305" spans="1:76" x14ac:dyDescent="0.25">
      <c r="A305" s="1" t="s">
        <v>1455</v>
      </c>
      <c r="B305" s="1" t="s">
        <v>203</v>
      </c>
      <c r="D305" s="1" t="s">
        <v>262</v>
      </c>
      <c r="E305" s="1">
        <v>1069</v>
      </c>
      <c r="F305" s="1" t="str">
        <f t="shared" ref="F305:F368" si="208">"enemy_"&amp;E305&amp;"_"&amp;D305</f>
        <v>enemy_1069_icebrk_2</v>
      </c>
      <c r="G305" s="1">
        <v>1</v>
      </c>
      <c r="L305" s="1">
        <v>25000</v>
      </c>
      <c r="N305" s="1">
        <v>1100</v>
      </c>
      <c r="P305" s="1">
        <v>600</v>
      </c>
      <c r="R305" s="1">
        <v>20</v>
      </c>
      <c r="Z305" s="1">
        <v>0.05</v>
      </c>
      <c r="AA305" s="1">
        <v>3</v>
      </c>
      <c r="AB305" s="1">
        <v>3</v>
      </c>
      <c r="AC305" s="1">
        <v>0.7</v>
      </c>
      <c r="AH305" s="1">
        <v>0</v>
      </c>
      <c r="AI305" s="1">
        <v>1</v>
      </c>
      <c r="AJ305" s="1" t="s">
        <v>264</v>
      </c>
      <c r="AK305" s="1" t="s">
        <v>206</v>
      </c>
      <c r="AL305" s="1" t="s">
        <v>1456</v>
      </c>
      <c r="AN305" s="22" t="s">
        <v>9767</v>
      </c>
      <c r="AX305" s="1">
        <v>1</v>
      </c>
      <c r="AZ305" s="1">
        <v>0.25</v>
      </c>
      <c r="BG305" s="1" t="str">
        <f t="shared" ref="BG305:BG368" si="209">"enemy_"&amp;E305&amp;"_"&amp;D305</f>
        <v>enemy_1069_icebrk_2</v>
      </c>
      <c r="BM305" s="1" t="s">
        <v>989</v>
      </c>
      <c r="BN305" s="1" t="s">
        <v>1457</v>
      </c>
      <c r="BQ305" s="1" t="s">
        <v>207</v>
      </c>
      <c r="BR305" s="1" t="s">
        <v>208</v>
      </c>
      <c r="BS305" s="1" t="s">
        <v>229</v>
      </c>
      <c r="BT305" s="1" t="s">
        <v>210</v>
      </c>
      <c r="BX305" s="1">
        <v>1</v>
      </c>
    </row>
    <row r="306" spans="1:76" x14ac:dyDescent="0.25">
      <c r="A306" s="1" t="s">
        <v>1458</v>
      </c>
      <c r="B306" s="1" t="s">
        <v>203</v>
      </c>
      <c r="D306" s="1" t="s">
        <v>1459</v>
      </c>
      <c r="E306" s="1">
        <v>1070</v>
      </c>
      <c r="F306" s="1" t="str">
        <f t="shared" si="208"/>
        <v>enemy_1070_iced</v>
      </c>
      <c r="G306" s="1">
        <v>0.7</v>
      </c>
      <c r="L306" s="1">
        <v>4000</v>
      </c>
      <c r="N306" s="1">
        <v>500</v>
      </c>
      <c r="P306" s="1">
        <v>180</v>
      </c>
      <c r="R306" s="1">
        <v>30</v>
      </c>
      <c r="Z306" s="1">
        <v>0.05</v>
      </c>
      <c r="AA306" s="1">
        <v>1</v>
      </c>
      <c r="AB306" s="1">
        <v>0</v>
      </c>
      <c r="AC306" s="1">
        <v>0.6</v>
      </c>
      <c r="AH306" s="1">
        <v>0</v>
      </c>
      <c r="AI306" s="1">
        <v>1</v>
      </c>
      <c r="AJ306" s="1" t="s">
        <v>1460</v>
      </c>
      <c r="AK306" s="1" t="s">
        <v>206</v>
      </c>
      <c r="AL306" s="1" t="s">
        <v>1461</v>
      </c>
      <c r="AN306" s="22" t="s">
        <v>9767</v>
      </c>
      <c r="AP306" s="1">
        <v>1</v>
      </c>
      <c r="AX306" s="1">
        <v>1</v>
      </c>
      <c r="AZ306" s="1">
        <v>0.25</v>
      </c>
      <c r="BG306" s="1" t="str">
        <f t="shared" si="209"/>
        <v>enemy_1070_iced</v>
      </c>
      <c r="BM306" s="1" t="s">
        <v>1032</v>
      </c>
      <c r="BN306" s="1" t="s">
        <v>1462</v>
      </c>
      <c r="BQ306" s="1" t="s">
        <v>207</v>
      </c>
      <c r="BR306" s="1" t="s">
        <v>208</v>
      </c>
      <c r="BS306" s="1" t="s">
        <v>209</v>
      </c>
      <c r="BT306" s="1" t="s">
        <v>210</v>
      </c>
      <c r="BX306" s="1">
        <v>1</v>
      </c>
    </row>
    <row r="307" spans="1:76" x14ac:dyDescent="0.25">
      <c r="A307" s="1" t="s">
        <v>1463</v>
      </c>
      <c r="B307" s="1" t="s">
        <v>203</v>
      </c>
      <c r="D307" s="1" t="s">
        <v>231</v>
      </c>
      <c r="E307" s="1">
        <v>1510</v>
      </c>
      <c r="F307" s="1" t="str">
        <f t="shared" si="208"/>
        <v>enemy_1510_frstar2</v>
      </c>
      <c r="G307" s="1">
        <v>1</v>
      </c>
      <c r="L307" s="1">
        <v>30000</v>
      </c>
      <c r="N307" s="1">
        <v>440</v>
      </c>
      <c r="P307" s="1">
        <v>380</v>
      </c>
      <c r="R307" s="1">
        <v>50</v>
      </c>
      <c r="Z307" s="1">
        <v>0.05</v>
      </c>
      <c r="AA307" s="1">
        <v>3.7</v>
      </c>
      <c r="AB307" s="1">
        <v>6</v>
      </c>
      <c r="AC307" s="1">
        <v>0.5</v>
      </c>
      <c r="AH307" s="1">
        <v>0</v>
      </c>
      <c r="AI307" s="1">
        <v>1</v>
      </c>
      <c r="AJ307" s="1" t="s">
        <v>1464</v>
      </c>
      <c r="AK307" s="1" t="s">
        <v>206</v>
      </c>
      <c r="AL307" s="1" t="s">
        <v>1465</v>
      </c>
      <c r="AN307" s="22" t="s">
        <v>9767</v>
      </c>
      <c r="AX307" s="1">
        <v>1</v>
      </c>
      <c r="AZ307" s="1">
        <v>0.25</v>
      </c>
      <c r="BG307" s="1" t="str">
        <f t="shared" si="209"/>
        <v>enemy_1510_frstar2</v>
      </c>
      <c r="BM307" s="1" t="s">
        <v>1328</v>
      </c>
      <c r="BN307" s="1" t="s">
        <v>1466</v>
      </c>
      <c r="BQ307" s="1" t="s">
        <v>207</v>
      </c>
      <c r="BR307" s="1" t="s">
        <v>208</v>
      </c>
      <c r="BS307" s="1" t="s">
        <v>229</v>
      </c>
      <c r="BT307" s="1" t="s">
        <v>210</v>
      </c>
      <c r="BX307" s="1">
        <v>1</v>
      </c>
    </row>
    <row r="308" spans="1:76" x14ac:dyDescent="0.25">
      <c r="A308" s="1" t="s">
        <v>1467</v>
      </c>
      <c r="B308" s="1" t="s">
        <v>203</v>
      </c>
      <c r="D308" s="1" t="s">
        <v>1468</v>
      </c>
      <c r="E308" s="1">
        <v>1510</v>
      </c>
      <c r="F308" s="1" t="str">
        <f t="shared" si="208"/>
        <v>enemy_1510_frstar2_s</v>
      </c>
      <c r="G308" s="1">
        <v>1</v>
      </c>
      <c r="L308" s="1">
        <v>95000</v>
      </c>
      <c r="N308" s="1">
        <v>1200</v>
      </c>
      <c r="P308" s="1">
        <v>300</v>
      </c>
      <c r="R308" s="1">
        <v>50</v>
      </c>
      <c r="Z308" s="1">
        <v>0.05</v>
      </c>
      <c r="AA308" s="1">
        <v>3.7</v>
      </c>
      <c r="AB308" s="1">
        <v>6</v>
      </c>
      <c r="AC308" s="1">
        <v>0.25</v>
      </c>
      <c r="AH308" s="1">
        <v>0</v>
      </c>
      <c r="AI308" s="1">
        <v>1</v>
      </c>
      <c r="AJ308" s="1" t="s">
        <v>1469</v>
      </c>
      <c r="AK308" s="1" t="s">
        <v>206</v>
      </c>
      <c r="AL308" s="1" t="s">
        <v>228</v>
      </c>
      <c r="AN308" s="22" t="s">
        <v>9767</v>
      </c>
      <c r="AX308" s="1">
        <v>1</v>
      </c>
      <c r="AZ308" s="1">
        <v>0.25</v>
      </c>
      <c r="BG308" s="1" t="str">
        <f t="shared" si="209"/>
        <v>enemy_1510_frstar2_s</v>
      </c>
      <c r="BQ308" s="1" t="s">
        <v>207</v>
      </c>
      <c r="BR308" s="1" t="s">
        <v>208</v>
      </c>
      <c r="BT308" s="1" t="s">
        <v>210</v>
      </c>
      <c r="BX308" s="1">
        <v>1</v>
      </c>
    </row>
    <row r="309" spans="1:76" x14ac:dyDescent="0.25">
      <c r="A309" s="1" t="s">
        <v>1470</v>
      </c>
      <c r="B309" s="1" t="s">
        <v>203</v>
      </c>
      <c r="D309" s="1" t="s">
        <v>1471</v>
      </c>
      <c r="E309" s="1">
        <v>1071</v>
      </c>
      <c r="F309" s="1" t="str">
        <f t="shared" si="208"/>
        <v>enemy_1071_dftman</v>
      </c>
      <c r="G309" s="1">
        <v>1</v>
      </c>
      <c r="L309" s="1">
        <v>2800</v>
      </c>
      <c r="N309" s="1">
        <v>300</v>
      </c>
      <c r="P309" s="1">
        <v>70</v>
      </c>
      <c r="R309" s="1">
        <v>50</v>
      </c>
      <c r="Z309" s="1">
        <v>0.05</v>
      </c>
      <c r="AA309" s="1">
        <v>2.5</v>
      </c>
      <c r="AB309" s="1">
        <v>1</v>
      </c>
      <c r="AC309" s="1">
        <v>1</v>
      </c>
      <c r="AH309" s="1">
        <v>0</v>
      </c>
      <c r="AI309" s="1">
        <v>1</v>
      </c>
      <c r="AJ309" s="1" t="s">
        <v>1472</v>
      </c>
      <c r="AK309" s="1" t="s">
        <v>206</v>
      </c>
      <c r="AL309" s="1" t="s">
        <v>228</v>
      </c>
      <c r="AN309" s="22" t="s">
        <v>9767</v>
      </c>
      <c r="AX309" s="1">
        <v>1</v>
      </c>
      <c r="AZ309" s="1">
        <v>0.25</v>
      </c>
      <c r="BG309" s="1" t="str">
        <f t="shared" si="209"/>
        <v>enemy_1071_dftman</v>
      </c>
      <c r="BM309" s="1" t="s">
        <v>1473</v>
      </c>
      <c r="BN309" s="1" t="s">
        <v>1474</v>
      </c>
      <c r="BQ309" s="1" t="s">
        <v>207</v>
      </c>
      <c r="BR309" s="1" t="s">
        <v>208</v>
      </c>
      <c r="BS309" s="1" t="s">
        <v>229</v>
      </c>
      <c r="BT309" s="1" t="s">
        <v>210</v>
      </c>
      <c r="BX309" s="1">
        <v>1</v>
      </c>
    </row>
    <row r="310" spans="1:76" x14ac:dyDescent="0.25">
      <c r="A310" s="1" t="s">
        <v>1475</v>
      </c>
      <c r="B310" s="1" t="s">
        <v>203</v>
      </c>
      <c r="D310" s="1" t="s">
        <v>1476</v>
      </c>
      <c r="E310" s="1">
        <v>1071</v>
      </c>
      <c r="F310" s="1" t="str">
        <f t="shared" si="208"/>
        <v>enemy_1071_dftman_2</v>
      </c>
      <c r="G310" s="1">
        <v>1</v>
      </c>
      <c r="L310" s="1">
        <v>4000</v>
      </c>
      <c r="N310" s="1">
        <v>370</v>
      </c>
      <c r="P310" s="1">
        <v>100</v>
      </c>
      <c r="R310" s="1">
        <v>50</v>
      </c>
      <c r="Z310" s="1">
        <v>0.05</v>
      </c>
      <c r="AA310" s="1">
        <v>2.5</v>
      </c>
      <c r="AB310" s="1">
        <v>1</v>
      </c>
      <c r="AC310" s="1">
        <v>1</v>
      </c>
      <c r="AH310" s="1">
        <v>0</v>
      </c>
      <c r="AI310" s="1">
        <v>1</v>
      </c>
      <c r="AJ310" s="1" t="s">
        <v>1477</v>
      </c>
      <c r="AK310" s="1" t="s">
        <v>206</v>
      </c>
      <c r="AL310" s="1" t="s">
        <v>228</v>
      </c>
      <c r="AN310" s="22" t="s">
        <v>9767</v>
      </c>
      <c r="AX310" s="1">
        <v>1</v>
      </c>
      <c r="AZ310" s="1">
        <v>0.25</v>
      </c>
      <c r="BG310" s="1" t="str">
        <f t="shared" si="209"/>
        <v>enemy_1071_dftman_2</v>
      </c>
      <c r="BM310" s="1" t="s">
        <v>1473</v>
      </c>
      <c r="BN310" s="1" t="s">
        <v>1478</v>
      </c>
      <c r="BQ310" s="1" t="s">
        <v>207</v>
      </c>
      <c r="BR310" s="1" t="s">
        <v>208</v>
      </c>
      <c r="BS310" s="1" t="s">
        <v>229</v>
      </c>
      <c r="BT310" s="1" t="s">
        <v>210</v>
      </c>
      <c r="BX310" s="1">
        <v>1</v>
      </c>
    </row>
    <row r="311" spans="1:76" x14ac:dyDescent="0.25">
      <c r="A311" s="1" t="s">
        <v>1479</v>
      </c>
      <c r="B311" s="1" t="s">
        <v>203</v>
      </c>
      <c r="D311" s="1" t="s">
        <v>1480</v>
      </c>
      <c r="E311" s="1">
        <v>1072</v>
      </c>
      <c r="F311" s="1" t="str">
        <f t="shared" si="208"/>
        <v>enemy_1072_dlancer</v>
      </c>
      <c r="G311" s="1">
        <v>1</v>
      </c>
      <c r="L311" s="1">
        <v>6000</v>
      </c>
      <c r="N311" s="1">
        <v>450</v>
      </c>
      <c r="P311" s="1">
        <v>150</v>
      </c>
      <c r="R311" s="1">
        <v>40</v>
      </c>
      <c r="Z311" s="1">
        <v>0.05</v>
      </c>
      <c r="AA311" s="1">
        <v>4</v>
      </c>
      <c r="AB311" s="1">
        <v>3</v>
      </c>
      <c r="AC311" s="1">
        <v>0.25</v>
      </c>
      <c r="AH311" s="1">
        <v>0</v>
      </c>
      <c r="AI311" s="1">
        <v>1</v>
      </c>
      <c r="AJ311" s="1" t="s">
        <v>1481</v>
      </c>
      <c r="AK311" s="1" t="s">
        <v>206</v>
      </c>
      <c r="AL311" s="1" t="s">
        <v>1482</v>
      </c>
      <c r="AN311" s="22" t="s">
        <v>9767</v>
      </c>
      <c r="AX311" s="1">
        <v>1</v>
      </c>
      <c r="AZ311" s="1">
        <v>0.25</v>
      </c>
      <c r="BG311" s="1" t="str">
        <f t="shared" si="209"/>
        <v>enemy_1072_dlancer</v>
      </c>
      <c r="BM311" s="1" t="s">
        <v>1063</v>
      </c>
      <c r="BN311" s="1" t="s">
        <v>1483</v>
      </c>
      <c r="BQ311" s="1" t="s">
        <v>207</v>
      </c>
      <c r="BR311" s="1" t="s">
        <v>208</v>
      </c>
      <c r="BS311" s="1" t="s">
        <v>229</v>
      </c>
      <c r="BT311" s="1" t="s">
        <v>210</v>
      </c>
      <c r="BX311" s="1">
        <v>1</v>
      </c>
    </row>
    <row r="312" spans="1:76" x14ac:dyDescent="0.25">
      <c r="A312" s="1" t="s">
        <v>1484</v>
      </c>
      <c r="B312" s="1" t="s">
        <v>203</v>
      </c>
      <c r="D312" s="1" t="s">
        <v>1485</v>
      </c>
      <c r="E312" s="1">
        <v>1072</v>
      </c>
      <c r="F312" s="1" t="str">
        <f t="shared" si="208"/>
        <v>enemy_1072_dlancer_2</v>
      </c>
      <c r="G312" s="1">
        <v>1</v>
      </c>
      <c r="L312" s="1">
        <v>8000</v>
      </c>
      <c r="N312" s="1">
        <v>500</v>
      </c>
      <c r="P312" s="1">
        <v>230</v>
      </c>
      <c r="R312" s="1">
        <v>40</v>
      </c>
      <c r="Z312" s="1">
        <v>0.05</v>
      </c>
      <c r="AA312" s="1">
        <v>4</v>
      </c>
      <c r="AB312" s="1">
        <v>3</v>
      </c>
      <c r="AC312" s="1">
        <v>0.3</v>
      </c>
      <c r="AH312" s="1">
        <v>0</v>
      </c>
      <c r="AI312" s="1">
        <v>1</v>
      </c>
      <c r="AJ312" s="1" t="s">
        <v>1486</v>
      </c>
      <c r="AK312" s="1" t="s">
        <v>206</v>
      </c>
      <c r="AL312" s="1" t="s">
        <v>1487</v>
      </c>
      <c r="AN312" s="22" t="s">
        <v>9767</v>
      </c>
      <c r="AX312" s="1">
        <v>1</v>
      </c>
      <c r="AZ312" s="1">
        <v>0.25</v>
      </c>
      <c r="BG312" s="1" t="str">
        <f t="shared" si="209"/>
        <v>enemy_1072_dlancer_2</v>
      </c>
      <c r="BM312" s="1" t="s">
        <v>1063</v>
      </c>
      <c r="BN312" s="1" t="s">
        <v>1488</v>
      </c>
      <c r="BQ312" s="1" t="s">
        <v>207</v>
      </c>
      <c r="BR312" s="1" t="s">
        <v>208</v>
      </c>
      <c r="BS312" s="1" t="s">
        <v>229</v>
      </c>
      <c r="BT312" s="1" t="s">
        <v>210</v>
      </c>
      <c r="BX312" s="1">
        <v>1</v>
      </c>
    </row>
    <row r="313" spans="1:76" x14ac:dyDescent="0.25">
      <c r="A313" s="1" t="s">
        <v>1489</v>
      </c>
      <c r="B313" s="1" t="s">
        <v>203</v>
      </c>
      <c r="D313" s="1" t="s">
        <v>1490</v>
      </c>
      <c r="E313" s="1">
        <v>1073</v>
      </c>
      <c r="F313" s="1" t="str">
        <f t="shared" si="208"/>
        <v>enemy_1073_dscout</v>
      </c>
      <c r="G313" s="1">
        <v>1</v>
      </c>
      <c r="L313" s="1">
        <v>4000</v>
      </c>
      <c r="N313" s="1">
        <v>0</v>
      </c>
      <c r="P313" s="1">
        <v>100</v>
      </c>
      <c r="R313" s="1">
        <v>30</v>
      </c>
      <c r="Z313" s="1">
        <v>0.05</v>
      </c>
      <c r="AA313" s="1">
        <v>1</v>
      </c>
      <c r="AB313" s="1">
        <v>1</v>
      </c>
      <c r="AC313" s="1">
        <v>0.5</v>
      </c>
      <c r="AH313" s="1">
        <v>0</v>
      </c>
      <c r="AI313" s="1">
        <v>1</v>
      </c>
      <c r="AJ313" s="1" t="s">
        <v>1491</v>
      </c>
      <c r="AK313" s="1" t="s">
        <v>206</v>
      </c>
      <c r="AL313" s="1" t="s">
        <v>1492</v>
      </c>
      <c r="AN313" s="22" t="s">
        <v>9767</v>
      </c>
      <c r="AX313" s="1">
        <v>1</v>
      </c>
      <c r="AY313" s="1" t="s">
        <v>1493</v>
      </c>
      <c r="AZ313" s="1">
        <v>0.25</v>
      </c>
      <c r="BG313" s="1" t="str">
        <f t="shared" si="209"/>
        <v>enemy_1073_dscout</v>
      </c>
      <c r="BM313" s="1" t="s">
        <v>1494</v>
      </c>
      <c r="BN313" s="1" t="s">
        <v>1495</v>
      </c>
      <c r="BQ313" s="1" t="s">
        <v>207</v>
      </c>
      <c r="BR313" s="1" t="s">
        <v>208</v>
      </c>
      <c r="BS313" s="1" t="s">
        <v>229</v>
      </c>
      <c r="BT313" s="1" t="s">
        <v>210</v>
      </c>
      <c r="BX313" s="1">
        <v>1</v>
      </c>
    </row>
    <row r="314" spans="1:76" x14ac:dyDescent="0.25">
      <c r="A314" s="1" t="s">
        <v>1496</v>
      </c>
      <c r="B314" s="1" t="s">
        <v>203</v>
      </c>
      <c r="D314" s="1" t="s">
        <v>1497</v>
      </c>
      <c r="E314" s="1">
        <v>1073</v>
      </c>
      <c r="F314" s="1" t="str">
        <f t="shared" si="208"/>
        <v>enemy_1073_dscout_2</v>
      </c>
      <c r="G314" s="1">
        <v>1</v>
      </c>
      <c r="L314" s="1">
        <v>5000</v>
      </c>
      <c r="N314" s="1">
        <v>0</v>
      </c>
      <c r="P314" s="1">
        <v>160</v>
      </c>
      <c r="R314" s="1">
        <v>30</v>
      </c>
      <c r="Z314" s="1">
        <v>0.05</v>
      </c>
      <c r="AA314" s="1">
        <v>1</v>
      </c>
      <c r="AB314" s="1">
        <v>1</v>
      </c>
      <c r="AC314" s="1">
        <v>0.5</v>
      </c>
      <c r="AH314" s="1">
        <v>0</v>
      </c>
      <c r="AI314" s="1">
        <v>1</v>
      </c>
      <c r="AJ314" s="1" t="s">
        <v>1498</v>
      </c>
      <c r="AK314" s="1" t="s">
        <v>206</v>
      </c>
      <c r="AL314" s="1" t="s">
        <v>1492</v>
      </c>
      <c r="AN314" s="22" t="s">
        <v>9767</v>
      </c>
      <c r="AX314" s="1">
        <v>1</v>
      </c>
      <c r="AY314" s="1" t="s">
        <v>1493</v>
      </c>
      <c r="AZ314" s="1">
        <v>0.25</v>
      </c>
      <c r="BG314" s="1" t="str">
        <f t="shared" si="209"/>
        <v>enemy_1073_dscout_2</v>
      </c>
      <c r="BM314" s="1" t="s">
        <v>1494</v>
      </c>
      <c r="BN314" s="1" t="s">
        <v>1495</v>
      </c>
      <c r="BQ314" s="1" t="s">
        <v>207</v>
      </c>
      <c r="BR314" s="1" t="s">
        <v>208</v>
      </c>
      <c r="BS314" s="1" t="s">
        <v>229</v>
      </c>
      <c r="BT314" s="1" t="s">
        <v>210</v>
      </c>
      <c r="BX314" s="1">
        <v>1</v>
      </c>
    </row>
    <row r="315" spans="1:76" x14ac:dyDescent="0.25">
      <c r="A315" s="1" t="s">
        <v>1499</v>
      </c>
      <c r="B315" s="1" t="s">
        <v>203</v>
      </c>
      <c r="D315" s="1" t="s">
        <v>1500</v>
      </c>
      <c r="E315" s="1">
        <v>1074</v>
      </c>
      <c r="F315" s="1" t="str">
        <f t="shared" si="208"/>
        <v>enemy_1074_dbskar</v>
      </c>
      <c r="G315" s="1">
        <v>1</v>
      </c>
      <c r="L315" s="1">
        <v>15000</v>
      </c>
      <c r="N315" s="1">
        <v>700</v>
      </c>
      <c r="P315" s="1">
        <v>250</v>
      </c>
      <c r="R315" s="1">
        <v>50</v>
      </c>
      <c r="Z315" s="1">
        <v>0.05</v>
      </c>
      <c r="AA315" s="1">
        <v>5</v>
      </c>
      <c r="AB315" s="1">
        <v>3</v>
      </c>
      <c r="AC315" s="1">
        <v>0.4</v>
      </c>
      <c r="AH315" s="1">
        <v>0</v>
      </c>
      <c r="AI315" s="1">
        <v>1</v>
      </c>
      <c r="AJ315" s="1" t="s">
        <v>1501</v>
      </c>
      <c r="AK315" s="1" t="s">
        <v>206</v>
      </c>
      <c r="AL315" s="1" t="s">
        <v>1502</v>
      </c>
      <c r="AN315" s="22" t="s">
        <v>9767</v>
      </c>
      <c r="AX315" s="1">
        <v>1</v>
      </c>
      <c r="AZ315" s="1">
        <v>0.25</v>
      </c>
      <c r="BG315" s="1" t="str">
        <f t="shared" si="209"/>
        <v>enemy_1074_dbskar</v>
      </c>
      <c r="BM315" s="1" t="s">
        <v>1073</v>
      </c>
      <c r="BN315" s="1" t="s">
        <v>1503</v>
      </c>
      <c r="BQ315" s="1" t="s">
        <v>207</v>
      </c>
      <c r="BR315" s="1" t="s">
        <v>208</v>
      </c>
      <c r="BS315" s="1" t="s">
        <v>229</v>
      </c>
      <c r="BT315" s="1" t="s">
        <v>210</v>
      </c>
      <c r="BX315" s="1">
        <v>1</v>
      </c>
    </row>
    <row r="316" spans="1:76" x14ac:dyDescent="0.25">
      <c r="A316" s="1" t="s">
        <v>1504</v>
      </c>
      <c r="B316" s="1" t="s">
        <v>203</v>
      </c>
      <c r="D316" s="1" t="s">
        <v>1505</v>
      </c>
      <c r="E316" s="1">
        <v>1074</v>
      </c>
      <c r="F316" s="1" t="str">
        <f t="shared" si="208"/>
        <v>enemy_1074_dbskar_2</v>
      </c>
      <c r="G316" s="1">
        <v>1</v>
      </c>
      <c r="L316" s="1">
        <v>22000</v>
      </c>
      <c r="N316" s="1">
        <v>850</v>
      </c>
      <c r="P316" s="1">
        <v>300</v>
      </c>
      <c r="R316" s="1">
        <v>50</v>
      </c>
      <c r="Z316" s="1">
        <v>0.05</v>
      </c>
      <c r="AA316" s="1">
        <v>5</v>
      </c>
      <c r="AB316" s="1">
        <v>3</v>
      </c>
      <c r="AC316" s="1">
        <v>0.4</v>
      </c>
      <c r="AH316" s="1">
        <v>0</v>
      </c>
      <c r="AI316" s="1">
        <v>1</v>
      </c>
      <c r="AJ316" s="1" t="s">
        <v>1506</v>
      </c>
      <c r="AK316" s="1" t="s">
        <v>206</v>
      </c>
      <c r="AL316" s="1" t="s">
        <v>1502</v>
      </c>
      <c r="AN316" s="22" t="s">
        <v>9767</v>
      </c>
      <c r="AX316" s="1">
        <v>1</v>
      </c>
      <c r="AZ316" s="1">
        <v>0.25</v>
      </c>
      <c r="BG316" s="1" t="str">
        <f t="shared" si="209"/>
        <v>enemy_1074_dbskar_2</v>
      </c>
      <c r="BM316" s="1" t="s">
        <v>1073</v>
      </c>
      <c r="BN316" s="1" t="s">
        <v>1503</v>
      </c>
      <c r="BQ316" s="1" t="s">
        <v>207</v>
      </c>
      <c r="BR316" s="1" t="s">
        <v>208</v>
      </c>
      <c r="BS316" s="1" t="s">
        <v>229</v>
      </c>
      <c r="BT316" s="1" t="s">
        <v>210</v>
      </c>
      <c r="BX316" s="1">
        <v>1</v>
      </c>
    </row>
    <row r="317" spans="1:76" x14ac:dyDescent="0.25">
      <c r="A317" s="1" t="s">
        <v>1507</v>
      </c>
      <c r="B317" s="1" t="s">
        <v>203</v>
      </c>
      <c r="D317" s="1" t="s">
        <v>1508</v>
      </c>
      <c r="E317" s="1">
        <v>1075</v>
      </c>
      <c r="F317" s="1" t="str">
        <f t="shared" si="208"/>
        <v>enemy_1075_dmgswd</v>
      </c>
      <c r="G317" s="1">
        <v>1</v>
      </c>
      <c r="L317" s="1">
        <v>6500</v>
      </c>
      <c r="N317" s="1">
        <v>400</v>
      </c>
      <c r="P317" s="1">
        <v>200</v>
      </c>
      <c r="R317" s="1">
        <v>50</v>
      </c>
      <c r="Z317" s="1">
        <v>0.05</v>
      </c>
      <c r="AA317" s="1">
        <v>2.5</v>
      </c>
      <c r="AB317" s="1">
        <v>2</v>
      </c>
      <c r="AC317" s="1">
        <v>0.4</v>
      </c>
      <c r="AH317" s="1">
        <v>0</v>
      </c>
      <c r="AI317" s="1">
        <v>1</v>
      </c>
      <c r="AJ317" s="1" t="s">
        <v>1509</v>
      </c>
      <c r="AK317" s="1" t="s">
        <v>206</v>
      </c>
      <c r="AL317" s="1" t="s">
        <v>1510</v>
      </c>
      <c r="AN317" s="22" t="s">
        <v>9767</v>
      </c>
      <c r="AX317" s="1">
        <v>1</v>
      </c>
      <c r="AZ317" s="1">
        <v>0.25</v>
      </c>
      <c r="BG317" s="1" t="str">
        <f t="shared" si="209"/>
        <v>enemy_1075_dmgswd</v>
      </c>
      <c r="BM317" s="1" t="s">
        <v>1063</v>
      </c>
      <c r="BN317" s="1" t="s">
        <v>1511</v>
      </c>
      <c r="BQ317" s="1" t="s">
        <v>207</v>
      </c>
      <c r="BR317" s="1" t="s">
        <v>208</v>
      </c>
      <c r="BS317" s="1" t="s">
        <v>229</v>
      </c>
      <c r="BT317" s="1" t="s">
        <v>210</v>
      </c>
      <c r="BX317" s="1">
        <v>1</v>
      </c>
    </row>
    <row r="318" spans="1:76" x14ac:dyDescent="0.25">
      <c r="A318" s="1" t="s">
        <v>1512</v>
      </c>
      <c r="B318" s="1" t="s">
        <v>203</v>
      </c>
      <c r="D318" s="1" t="s">
        <v>1513</v>
      </c>
      <c r="E318" s="1">
        <v>1075</v>
      </c>
      <c r="F318" s="1" t="str">
        <f t="shared" si="208"/>
        <v>enemy_1075_dmgswd_2</v>
      </c>
      <c r="G318" s="1">
        <v>1</v>
      </c>
      <c r="L318" s="1">
        <v>9500</v>
      </c>
      <c r="N318" s="1">
        <v>500</v>
      </c>
      <c r="P318" s="1">
        <v>250</v>
      </c>
      <c r="R318" s="1">
        <v>50</v>
      </c>
      <c r="Z318" s="1">
        <v>0.05</v>
      </c>
      <c r="AA318" s="1">
        <v>2.5</v>
      </c>
      <c r="AB318" s="1">
        <v>2</v>
      </c>
      <c r="AC318" s="1">
        <v>0.4</v>
      </c>
      <c r="AH318" s="1">
        <v>0</v>
      </c>
      <c r="AI318" s="1">
        <v>1</v>
      </c>
      <c r="AJ318" s="1" t="s">
        <v>1514</v>
      </c>
      <c r="AK318" s="1" t="s">
        <v>206</v>
      </c>
      <c r="AL318" s="1" t="s">
        <v>1510</v>
      </c>
      <c r="AN318" s="22" t="s">
        <v>9767</v>
      </c>
      <c r="AX318" s="1">
        <v>1</v>
      </c>
      <c r="AZ318" s="1">
        <v>0.25</v>
      </c>
      <c r="BG318" s="1" t="str">
        <f t="shared" si="209"/>
        <v>enemy_1075_dmgswd_2</v>
      </c>
      <c r="BM318" s="1" t="s">
        <v>1063</v>
      </c>
      <c r="BN318" s="1" t="s">
        <v>1511</v>
      </c>
      <c r="BQ318" s="1" t="s">
        <v>207</v>
      </c>
      <c r="BR318" s="1" t="s">
        <v>208</v>
      </c>
      <c r="BS318" s="1" t="s">
        <v>229</v>
      </c>
      <c r="BT318" s="1" t="s">
        <v>210</v>
      </c>
      <c r="BX318" s="1">
        <v>1</v>
      </c>
    </row>
    <row r="319" spans="1:76" x14ac:dyDescent="0.25">
      <c r="A319" s="1" t="s">
        <v>1515</v>
      </c>
      <c r="B319" s="1" t="s">
        <v>203</v>
      </c>
      <c r="D319" s="1" t="s">
        <v>1516</v>
      </c>
      <c r="E319" s="1">
        <v>1076</v>
      </c>
      <c r="F319" s="1" t="str">
        <f t="shared" si="208"/>
        <v>enemy_1076_bsthmr</v>
      </c>
      <c r="G319" s="1">
        <v>1</v>
      </c>
      <c r="L319" s="1">
        <v>15000</v>
      </c>
      <c r="N319" s="1">
        <v>1700</v>
      </c>
      <c r="P319" s="1">
        <v>800</v>
      </c>
      <c r="R319" s="1">
        <v>0</v>
      </c>
      <c r="Z319" s="1">
        <v>0.05</v>
      </c>
      <c r="AA319" s="1">
        <v>5</v>
      </c>
      <c r="AB319" s="1">
        <v>4</v>
      </c>
      <c r="AC319" s="1">
        <v>0.6</v>
      </c>
      <c r="AH319" s="1">
        <v>0</v>
      </c>
      <c r="AI319" s="1">
        <v>1</v>
      </c>
      <c r="AJ319" s="1" t="s">
        <v>1517</v>
      </c>
      <c r="AK319" s="1" t="s">
        <v>206</v>
      </c>
      <c r="AL319" s="1" t="s">
        <v>1518</v>
      </c>
      <c r="AN319" s="22" t="s">
        <v>9767</v>
      </c>
      <c r="AX319" s="1">
        <v>1</v>
      </c>
      <c r="AY319" s="1" t="s">
        <v>1519</v>
      </c>
      <c r="AZ319" s="1">
        <v>0.25</v>
      </c>
      <c r="BG319" s="1" t="str">
        <f t="shared" si="209"/>
        <v>enemy_1076_bsthmr</v>
      </c>
      <c r="BM319" s="1" t="s">
        <v>989</v>
      </c>
      <c r="BN319" s="1" t="s">
        <v>1520</v>
      </c>
      <c r="BQ319" s="1" t="s">
        <v>207</v>
      </c>
      <c r="BR319" s="1" t="s">
        <v>208</v>
      </c>
      <c r="BS319" s="1" t="s">
        <v>209</v>
      </c>
      <c r="BT319" s="1" t="s">
        <v>210</v>
      </c>
      <c r="BX319" s="1">
        <v>1</v>
      </c>
    </row>
    <row r="320" spans="1:76" x14ac:dyDescent="0.25">
      <c r="A320" s="1" t="s">
        <v>1521</v>
      </c>
      <c r="B320" s="1" t="s">
        <v>203</v>
      </c>
      <c r="D320" s="1" t="s">
        <v>1522</v>
      </c>
      <c r="E320" s="1">
        <v>1076</v>
      </c>
      <c r="F320" s="1" t="str">
        <f t="shared" si="208"/>
        <v>enemy_1076_bsthmr_2</v>
      </c>
      <c r="G320" s="1">
        <v>1</v>
      </c>
      <c r="L320" s="1">
        <v>25000</v>
      </c>
      <c r="N320" s="1">
        <v>2200</v>
      </c>
      <c r="P320" s="1">
        <v>1000</v>
      </c>
      <c r="R320" s="1">
        <v>0</v>
      </c>
      <c r="Z320" s="1">
        <v>0.05</v>
      </c>
      <c r="AA320" s="1">
        <v>5</v>
      </c>
      <c r="AB320" s="1">
        <v>4</v>
      </c>
      <c r="AC320" s="1">
        <v>0.6</v>
      </c>
      <c r="AH320" s="1">
        <v>0</v>
      </c>
      <c r="AI320" s="1">
        <v>1</v>
      </c>
      <c r="AJ320" s="1" t="s">
        <v>1523</v>
      </c>
      <c r="AK320" s="1" t="s">
        <v>206</v>
      </c>
      <c r="AL320" s="1" t="s">
        <v>1518</v>
      </c>
      <c r="AN320" s="22" t="s">
        <v>9767</v>
      </c>
      <c r="AX320" s="1">
        <v>1</v>
      </c>
      <c r="AZ320" s="1">
        <v>0.25</v>
      </c>
      <c r="BG320" s="1" t="str">
        <f t="shared" si="209"/>
        <v>enemy_1076_bsthmr_2</v>
      </c>
      <c r="BM320" s="1" t="s">
        <v>989</v>
      </c>
      <c r="BN320" s="1" t="s">
        <v>1520</v>
      </c>
      <c r="BQ320" s="1" t="s">
        <v>207</v>
      </c>
      <c r="BR320" s="1" t="s">
        <v>208</v>
      </c>
      <c r="BS320" s="1" t="s">
        <v>209</v>
      </c>
      <c r="BT320" s="1" t="s">
        <v>210</v>
      </c>
      <c r="BX320" s="1">
        <v>1</v>
      </c>
    </row>
    <row r="321" spans="1:76" x14ac:dyDescent="0.25">
      <c r="A321" s="1" t="s">
        <v>1524</v>
      </c>
      <c r="B321" s="1" t="s">
        <v>203</v>
      </c>
      <c r="D321" s="1" t="s">
        <v>1525</v>
      </c>
      <c r="E321" s="1">
        <v>1077</v>
      </c>
      <c r="F321" s="1" t="str">
        <f t="shared" si="208"/>
        <v>enemy_1077_sotihd</v>
      </c>
      <c r="G321" s="1">
        <v>1</v>
      </c>
      <c r="L321" s="1">
        <v>2900</v>
      </c>
      <c r="N321" s="1">
        <v>350</v>
      </c>
      <c r="P321" s="1">
        <v>150</v>
      </c>
      <c r="R321" s="1">
        <v>20</v>
      </c>
      <c r="Z321" s="1">
        <v>0.05</v>
      </c>
      <c r="AA321" s="1">
        <v>1.4</v>
      </c>
      <c r="AB321" s="1">
        <v>0</v>
      </c>
      <c r="AC321" s="1">
        <v>1.9</v>
      </c>
      <c r="AH321" s="1">
        <v>0</v>
      </c>
      <c r="AI321" s="1">
        <v>1</v>
      </c>
      <c r="AJ321" s="1" t="s">
        <v>1526</v>
      </c>
      <c r="AK321" s="1" t="s">
        <v>206</v>
      </c>
      <c r="AL321" s="1" t="s">
        <v>228</v>
      </c>
      <c r="AN321" s="22" t="s">
        <v>9767</v>
      </c>
      <c r="AX321" s="1">
        <v>1</v>
      </c>
      <c r="AZ321" s="1">
        <v>0.25</v>
      </c>
      <c r="BG321" s="1" t="str">
        <f t="shared" si="209"/>
        <v>enemy_1077_sotihd</v>
      </c>
      <c r="BM321" s="1" t="s">
        <v>888</v>
      </c>
      <c r="BN321" s="1" t="s">
        <v>1527</v>
      </c>
      <c r="BQ321" s="1" t="s">
        <v>207</v>
      </c>
      <c r="BR321" s="1" t="s">
        <v>208</v>
      </c>
      <c r="BS321" s="1" t="s">
        <v>239</v>
      </c>
      <c r="BT321" s="1" t="s">
        <v>210</v>
      </c>
      <c r="BX321" s="1">
        <v>1</v>
      </c>
    </row>
    <row r="322" spans="1:76" x14ac:dyDescent="0.25">
      <c r="A322" s="1" t="s">
        <v>1528</v>
      </c>
      <c r="B322" s="1" t="s">
        <v>203</v>
      </c>
      <c r="D322" s="1" t="s">
        <v>1529</v>
      </c>
      <c r="E322" s="1">
        <v>1077</v>
      </c>
      <c r="F322" s="1" t="str">
        <f t="shared" si="208"/>
        <v>enemy_1077_sotihd_2</v>
      </c>
      <c r="G322" s="1">
        <v>1</v>
      </c>
      <c r="L322" s="1">
        <v>3800</v>
      </c>
      <c r="N322" s="1">
        <v>420</v>
      </c>
      <c r="P322" s="1">
        <v>150</v>
      </c>
      <c r="R322" s="1">
        <v>20</v>
      </c>
      <c r="Z322" s="1">
        <v>0.05</v>
      </c>
      <c r="AA322" s="1">
        <v>1.4</v>
      </c>
      <c r="AB322" s="1">
        <v>0</v>
      </c>
      <c r="AC322" s="1">
        <v>1.9</v>
      </c>
      <c r="AH322" s="1">
        <v>0</v>
      </c>
      <c r="AI322" s="1">
        <v>1</v>
      </c>
      <c r="AJ322" s="1" t="s">
        <v>1530</v>
      </c>
      <c r="AK322" s="1" t="s">
        <v>206</v>
      </c>
      <c r="AL322" s="1" t="s">
        <v>228</v>
      </c>
      <c r="AN322" s="22" t="s">
        <v>9767</v>
      </c>
      <c r="AX322" s="1">
        <v>1</v>
      </c>
      <c r="AZ322" s="1">
        <v>0.25</v>
      </c>
      <c r="BG322" s="1" t="str">
        <f t="shared" si="209"/>
        <v>enemy_1077_sotihd_2</v>
      </c>
      <c r="BM322" s="1" t="s">
        <v>888</v>
      </c>
      <c r="BN322" s="1" t="s">
        <v>1531</v>
      </c>
      <c r="BQ322" s="1" t="s">
        <v>207</v>
      </c>
      <c r="BR322" s="1" t="s">
        <v>208</v>
      </c>
      <c r="BS322" s="1" t="s">
        <v>239</v>
      </c>
      <c r="BT322" s="1" t="s">
        <v>210</v>
      </c>
      <c r="BX322" s="1">
        <v>1</v>
      </c>
    </row>
    <row r="323" spans="1:76" x14ac:dyDescent="0.25">
      <c r="A323" s="1" t="s">
        <v>1532</v>
      </c>
      <c r="B323" s="1" t="s">
        <v>203</v>
      </c>
      <c r="D323" s="1" t="s">
        <v>1533</v>
      </c>
      <c r="E323" s="1">
        <v>1078</v>
      </c>
      <c r="F323" s="1" t="str">
        <f t="shared" si="208"/>
        <v>enemy_1078_sotisc</v>
      </c>
      <c r="G323" s="1">
        <v>1</v>
      </c>
      <c r="L323" s="1">
        <v>3300</v>
      </c>
      <c r="N323" s="1">
        <v>300</v>
      </c>
      <c r="P323" s="1">
        <v>300</v>
      </c>
      <c r="R323" s="1">
        <v>20</v>
      </c>
      <c r="Z323" s="1">
        <v>0.05</v>
      </c>
      <c r="AA323" s="1">
        <v>2</v>
      </c>
      <c r="AB323" s="1">
        <v>1</v>
      </c>
      <c r="AC323" s="1">
        <v>1.1000000000000001</v>
      </c>
      <c r="AH323" s="1">
        <v>0</v>
      </c>
      <c r="AI323" s="1">
        <v>1</v>
      </c>
      <c r="AJ323" s="1" t="s">
        <v>1534</v>
      </c>
      <c r="AK323" s="1" t="s">
        <v>206</v>
      </c>
      <c r="AL323" s="1" t="s">
        <v>1535</v>
      </c>
      <c r="AN323" s="22" t="s">
        <v>9767</v>
      </c>
      <c r="AX323" s="1">
        <v>1</v>
      </c>
      <c r="AZ323" s="1">
        <v>0.25</v>
      </c>
      <c r="BG323" s="1" t="str">
        <f t="shared" si="209"/>
        <v>enemy_1078_sotisc</v>
      </c>
      <c r="BM323" s="1" t="s">
        <v>930</v>
      </c>
      <c r="BN323" s="1" t="s">
        <v>1536</v>
      </c>
      <c r="BQ323" s="1" t="s">
        <v>207</v>
      </c>
      <c r="BR323" s="1" t="s">
        <v>208</v>
      </c>
      <c r="BS323" s="1" t="s">
        <v>229</v>
      </c>
      <c r="BT323" s="1" t="s">
        <v>210</v>
      </c>
      <c r="BX323" s="1">
        <v>1</v>
      </c>
    </row>
    <row r="324" spans="1:76" x14ac:dyDescent="0.25">
      <c r="A324" s="1" t="s">
        <v>1537</v>
      </c>
      <c r="B324" s="1" t="s">
        <v>203</v>
      </c>
      <c r="D324" s="1" t="s">
        <v>1538</v>
      </c>
      <c r="E324" s="1">
        <v>1078</v>
      </c>
      <c r="F324" s="1" t="str">
        <f t="shared" si="208"/>
        <v>enemy_1078_sotisc_2</v>
      </c>
      <c r="G324" s="1">
        <v>1</v>
      </c>
      <c r="L324" s="1">
        <v>4500</v>
      </c>
      <c r="N324" s="1">
        <v>330</v>
      </c>
      <c r="P324" s="1">
        <v>350</v>
      </c>
      <c r="R324" s="1">
        <v>20</v>
      </c>
      <c r="Z324" s="1">
        <v>0.05</v>
      </c>
      <c r="AA324" s="1">
        <v>2</v>
      </c>
      <c r="AB324" s="1">
        <v>1</v>
      </c>
      <c r="AC324" s="1">
        <v>1.1000000000000001</v>
      </c>
      <c r="AH324" s="1">
        <v>0</v>
      </c>
      <c r="AI324" s="1">
        <v>1</v>
      </c>
      <c r="AJ324" s="1" t="s">
        <v>1539</v>
      </c>
      <c r="AK324" s="1" t="s">
        <v>206</v>
      </c>
      <c r="AL324" s="22" t="s">
        <v>9718</v>
      </c>
      <c r="AN324" s="22" t="s">
        <v>9767</v>
      </c>
      <c r="AX324" s="1">
        <v>1</v>
      </c>
      <c r="AZ324" s="1">
        <v>0.25</v>
      </c>
      <c r="BG324" s="1" t="str">
        <f t="shared" si="209"/>
        <v>enemy_1078_sotisc_2</v>
      </c>
      <c r="BM324" s="1" t="s">
        <v>930</v>
      </c>
      <c r="BN324" s="1" t="s">
        <v>1536</v>
      </c>
      <c r="BQ324" s="1" t="s">
        <v>207</v>
      </c>
      <c r="BR324" s="1" t="s">
        <v>208</v>
      </c>
      <c r="BS324" s="1" t="s">
        <v>229</v>
      </c>
      <c r="BT324" s="1" t="s">
        <v>210</v>
      </c>
      <c r="BX324" s="1">
        <v>1</v>
      </c>
    </row>
    <row r="325" spans="1:76" x14ac:dyDescent="0.25">
      <c r="A325" s="1" t="s">
        <v>1540</v>
      </c>
      <c r="B325" s="1" t="s">
        <v>203</v>
      </c>
      <c r="D325" s="1" t="s">
        <v>1541</v>
      </c>
      <c r="E325" s="1">
        <v>1079</v>
      </c>
      <c r="F325" s="1" t="str">
        <f t="shared" si="208"/>
        <v>enemy_1079_sotisp</v>
      </c>
      <c r="G325" s="1">
        <v>1</v>
      </c>
      <c r="L325" s="1">
        <v>3000</v>
      </c>
      <c r="N325" s="1">
        <v>340</v>
      </c>
      <c r="P325" s="1">
        <v>300</v>
      </c>
      <c r="R325" s="1">
        <v>20</v>
      </c>
      <c r="Z325" s="1">
        <v>0.05</v>
      </c>
      <c r="AA325" s="1">
        <v>2.5</v>
      </c>
      <c r="AB325" s="1">
        <v>1</v>
      </c>
      <c r="AC325" s="1">
        <v>0.9</v>
      </c>
      <c r="AH325" s="1">
        <v>0</v>
      </c>
      <c r="AI325" s="1">
        <v>1</v>
      </c>
      <c r="AJ325" s="1" t="s">
        <v>1542</v>
      </c>
      <c r="AK325" s="1" t="s">
        <v>206</v>
      </c>
      <c r="AL325" s="1" t="s">
        <v>1543</v>
      </c>
      <c r="AN325" s="22" t="s">
        <v>9767</v>
      </c>
      <c r="AX325" s="1">
        <v>1</v>
      </c>
      <c r="AZ325" s="1">
        <v>0.25</v>
      </c>
      <c r="BG325" s="1" t="str">
        <f t="shared" si="209"/>
        <v>enemy_1079_sotisp</v>
      </c>
      <c r="BM325" s="1" t="s">
        <v>936</v>
      </c>
      <c r="BN325" s="1" t="s">
        <v>1544</v>
      </c>
      <c r="BQ325" s="1" t="s">
        <v>207</v>
      </c>
      <c r="BR325" s="1" t="s">
        <v>208</v>
      </c>
      <c r="BS325" s="1" t="s">
        <v>229</v>
      </c>
      <c r="BT325" s="1" t="s">
        <v>210</v>
      </c>
      <c r="BX325" s="1">
        <v>1</v>
      </c>
    </row>
    <row r="326" spans="1:76" x14ac:dyDescent="0.25">
      <c r="A326" s="1" t="s">
        <v>1545</v>
      </c>
      <c r="B326" s="1" t="s">
        <v>203</v>
      </c>
      <c r="D326" s="1" t="s">
        <v>1546</v>
      </c>
      <c r="E326" s="1">
        <v>1079</v>
      </c>
      <c r="F326" s="1" t="str">
        <f t="shared" si="208"/>
        <v>enemy_1079_sotisp_2</v>
      </c>
      <c r="G326" s="1">
        <v>1</v>
      </c>
      <c r="L326" s="1">
        <v>4000</v>
      </c>
      <c r="N326" s="1">
        <v>390</v>
      </c>
      <c r="P326" s="1">
        <v>300</v>
      </c>
      <c r="R326" s="1">
        <v>20</v>
      </c>
      <c r="Z326" s="1">
        <v>0.05</v>
      </c>
      <c r="AA326" s="1">
        <v>2.7</v>
      </c>
      <c r="AB326" s="1">
        <v>1</v>
      </c>
      <c r="AC326" s="1">
        <v>0.9</v>
      </c>
      <c r="AH326" s="1">
        <v>0</v>
      </c>
      <c r="AI326" s="1">
        <v>1</v>
      </c>
      <c r="AJ326" s="1" t="s">
        <v>1547</v>
      </c>
      <c r="AK326" s="1" t="s">
        <v>206</v>
      </c>
      <c r="AL326" s="1" t="s">
        <v>1543</v>
      </c>
      <c r="AN326" s="22" t="s">
        <v>9767</v>
      </c>
      <c r="AX326" s="1">
        <v>1</v>
      </c>
      <c r="AZ326" s="1">
        <v>0.25</v>
      </c>
      <c r="BG326" s="1" t="str">
        <f t="shared" si="209"/>
        <v>enemy_1079_sotisp_2</v>
      </c>
      <c r="BM326" s="1" t="s">
        <v>936</v>
      </c>
      <c r="BN326" s="1" t="s">
        <v>1544</v>
      </c>
      <c r="BQ326" s="1" t="s">
        <v>207</v>
      </c>
      <c r="BR326" s="1" t="s">
        <v>208</v>
      </c>
      <c r="BS326" s="1" t="s">
        <v>229</v>
      </c>
      <c r="BT326" s="1" t="s">
        <v>210</v>
      </c>
      <c r="BX326" s="1">
        <v>1</v>
      </c>
    </row>
    <row r="327" spans="1:76" x14ac:dyDescent="0.25">
      <c r="A327" s="1" t="s">
        <v>1548</v>
      </c>
      <c r="B327" s="1" t="s">
        <v>203</v>
      </c>
      <c r="D327" s="1" t="s">
        <v>1549</v>
      </c>
      <c r="E327" s="1">
        <v>1080</v>
      </c>
      <c r="F327" s="1" t="str">
        <f t="shared" si="208"/>
        <v>enemy_1080_sotidp</v>
      </c>
      <c r="G327" s="1">
        <v>1</v>
      </c>
      <c r="L327" s="1">
        <v>7000</v>
      </c>
      <c r="N327" s="1">
        <v>300</v>
      </c>
      <c r="P327" s="1">
        <v>120</v>
      </c>
      <c r="R327" s="1">
        <v>50</v>
      </c>
      <c r="Z327" s="1">
        <v>0.05</v>
      </c>
      <c r="AA327" s="1">
        <v>2.7</v>
      </c>
      <c r="AB327" s="1">
        <v>1</v>
      </c>
      <c r="AC327" s="1">
        <v>1</v>
      </c>
      <c r="AH327" s="1">
        <v>0</v>
      </c>
      <c r="AI327" s="1">
        <v>1</v>
      </c>
      <c r="AJ327" s="1" t="s">
        <v>1550</v>
      </c>
      <c r="AK327" s="1" t="s">
        <v>206</v>
      </c>
      <c r="AL327" s="1" t="s">
        <v>1551</v>
      </c>
      <c r="AN327" s="22" t="s">
        <v>9767</v>
      </c>
      <c r="AX327" s="1">
        <v>1</v>
      </c>
      <c r="AZ327" s="1">
        <v>0.25</v>
      </c>
      <c r="BG327" s="1" t="str">
        <f t="shared" si="209"/>
        <v>enemy_1080_sotidp</v>
      </c>
      <c r="BM327" s="1" t="s">
        <v>930</v>
      </c>
      <c r="BN327" s="1" t="s">
        <v>1552</v>
      </c>
      <c r="BQ327" s="1" t="s">
        <v>207</v>
      </c>
      <c r="BR327" s="1" t="s">
        <v>208</v>
      </c>
      <c r="BS327" s="1" t="s">
        <v>229</v>
      </c>
      <c r="BT327" s="1" t="s">
        <v>210</v>
      </c>
      <c r="BX327" s="1">
        <v>1</v>
      </c>
    </row>
    <row r="328" spans="1:76" x14ac:dyDescent="0.25">
      <c r="A328" s="1" t="s">
        <v>1553</v>
      </c>
      <c r="B328" s="1" t="s">
        <v>203</v>
      </c>
      <c r="D328" s="1" t="s">
        <v>1554</v>
      </c>
      <c r="E328" s="1">
        <v>1080</v>
      </c>
      <c r="F328" s="1" t="str">
        <f t="shared" si="208"/>
        <v>enemy_1080_sotidp_2</v>
      </c>
      <c r="G328" s="1">
        <v>1</v>
      </c>
      <c r="L328" s="1">
        <v>10000</v>
      </c>
      <c r="N328" s="1">
        <v>360</v>
      </c>
      <c r="P328" s="1">
        <v>120</v>
      </c>
      <c r="R328" s="1">
        <v>50</v>
      </c>
      <c r="Z328" s="1">
        <v>0.05</v>
      </c>
      <c r="AA328" s="1">
        <v>2.5</v>
      </c>
      <c r="AB328" s="1">
        <v>1</v>
      </c>
      <c r="AC328" s="1">
        <v>1</v>
      </c>
      <c r="AH328" s="1">
        <v>0</v>
      </c>
      <c r="AI328" s="1">
        <v>1</v>
      </c>
      <c r="AJ328" s="1" t="s">
        <v>1555</v>
      </c>
      <c r="AK328" s="1" t="s">
        <v>206</v>
      </c>
      <c r="AL328" s="1" t="s">
        <v>1551</v>
      </c>
      <c r="AN328" s="22" t="s">
        <v>9767</v>
      </c>
      <c r="AX328" s="1">
        <v>1</v>
      </c>
      <c r="AZ328" s="1">
        <v>0.25</v>
      </c>
      <c r="BG328" s="1" t="str">
        <f t="shared" si="209"/>
        <v>enemy_1080_sotidp_2</v>
      </c>
      <c r="BM328" s="1" t="s">
        <v>930</v>
      </c>
      <c r="BN328" s="1" t="s">
        <v>1552</v>
      </c>
      <c r="BQ328" s="1" t="s">
        <v>207</v>
      </c>
      <c r="BR328" s="1" t="s">
        <v>208</v>
      </c>
      <c r="BS328" s="1" t="s">
        <v>229</v>
      </c>
      <c r="BT328" s="1" t="s">
        <v>210</v>
      </c>
      <c r="BX328" s="1">
        <v>1</v>
      </c>
    </row>
    <row r="329" spans="1:76" x14ac:dyDescent="0.25">
      <c r="A329" s="1" t="s">
        <v>1556</v>
      </c>
      <c r="B329" s="1" t="s">
        <v>203</v>
      </c>
      <c r="D329" s="1" t="s">
        <v>1557</v>
      </c>
      <c r="E329" s="1">
        <v>1081</v>
      </c>
      <c r="F329" s="1" t="str">
        <f t="shared" si="208"/>
        <v>enemy_1081_sotisd</v>
      </c>
      <c r="G329" s="1">
        <v>1</v>
      </c>
      <c r="L329" s="1">
        <v>15000</v>
      </c>
      <c r="N329" s="1">
        <v>700</v>
      </c>
      <c r="P329" s="1">
        <v>1300</v>
      </c>
      <c r="R329" s="1">
        <v>60</v>
      </c>
      <c r="Z329" s="1">
        <v>0.05</v>
      </c>
      <c r="AA329" s="1">
        <v>3.8</v>
      </c>
      <c r="AB329" s="1">
        <v>4</v>
      </c>
      <c r="AC329" s="1">
        <v>0.7</v>
      </c>
      <c r="AH329" s="1">
        <v>1</v>
      </c>
      <c r="AI329" s="1">
        <v>1</v>
      </c>
      <c r="AJ329" s="1" t="s">
        <v>1558</v>
      </c>
      <c r="AK329" s="1" t="s">
        <v>206</v>
      </c>
      <c r="AL329" s="1" t="s">
        <v>228</v>
      </c>
      <c r="AN329" s="22" t="s">
        <v>9767</v>
      </c>
      <c r="AX329" s="1">
        <v>1</v>
      </c>
      <c r="AZ329" s="1">
        <v>0.25</v>
      </c>
      <c r="BG329" s="1" t="str">
        <f t="shared" si="209"/>
        <v>enemy_1081_sotisd</v>
      </c>
      <c r="BM329" s="1" t="s">
        <v>989</v>
      </c>
      <c r="BN329" s="1" t="s">
        <v>1559</v>
      </c>
      <c r="BQ329" s="1" t="s">
        <v>207</v>
      </c>
      <c r="BR329" s="1" t="s">
        <v>208</v>
      </c>
      <c r="BS329" s="1" t="s">
        <v>209</v>
      </c>
      <c r="BT329" s="1" t="s">
        <v>210</v>
      </c>
      <c r="BX329" s="1">
        <v>1</v>
      </c>
    </row>
    <row r="330" spans="1:76" x14ac:dyDescent="0.25">
      <c r="A330" s="1" t="s">
        <v>1560</v>
      </c>
      <c r="B330" s="1" t="s">
        <v>203</v>
      </c>
      <c r="D330" s="1" t="s">
        <v>1561</v>
      </c>
      <c r="E330" s="1">
        <v>1081</v>
      </c>
      <c r="F330" s="1" t="str">
        <f t="shared" si="208"/>
        <v>enemy_1081_sotisd_2</v>
      </c>
      <c r="G330" s="1">
        <v>1</v>
      </c>
      <c r="L330" s="1">
        <v>25000</v>
      </c>
      <c r="N330" s="1">
        <v>800</v>
      </c>
      <c r="P330" s="1">
        <v>1500</v>
      </c>
      <c r="R330" s="1">
        <v>60</v>
      </c>
      <c r="Z330" s="1">
        <v>0.05</v>
      </c>
      <c r="AA330" s="1">
        <v>3.8</v>
      </c>
      <c r="AB330" s="1">
        <v>4</v>
      </c>
      <c r="AC330" s="1">
        <v>0.7</v>
      </c>
      <c r="AH330" s="1">
        <v>1</v>
      </c>
      <c r="AI330" s="1">
        <v>1</v>
      </c>
      <c r="AJ330" s="1" t="s">
        <v>1562</v>
      </c>
      <c r="AK330" s="1" t="s">
        <v>206</v>
      </c>
      <c r="AL330" s="1" t="s">
        <v>228</v>
      </c>
      <c r="AN330" s="22" t="s">
        <v>9767</v>
      </c>
      <c r="AX330" s="1">
        <v>1</v>
      </c>
      <c r="AZ330" s="1">
        <v>0.25</v>
      </c>
      <c r="BG330" s="1" t="str">
        <f t="shared" si="209"/>
        <v>enemy_1081_sotisd_2</v>
      </c>
      <c r="BM330" s="1" t="s">
        <v>989</v>
      </c>
      <c r="BN330" s="1" t="s">
        <v>1559</v>
      </c>
      <c r="BQ330" s="1" t="s">
        <v>207</v>
      </c>
      <c r="BR330" s="1" t="s">
        <v>208</v>
      </c>
      <c r="BS330" s="1" t="s">
        <v>209</v>
      </c>
      <c r="BT330" s="1" t="s">
        <v>210</v>
      </c>
      <c r="BX330" s="1">
        <v>1</v>
      </c>
    </row>
    <row r="331" spans="1:76" x14ac:dyDescent="0.25">
      <c r="A331" s="1" t="s">
        <v>1563</v>
      </c>
      <c r="B331" s="1" t="s">
        <v>203</v>
      </c>
      <c r="D331" s="1" t="s">
        <v>1564</v>
      </c>
      <c r="E331" s="1">
        <v>1082</v>
      </c>
      <c r="F331" s="1" t="str">
        <f t="shared" si="208"/>
        <v>enemy_1082_soticn</v>
      </c>
      <c r="G331" s="1">
        <v>1</v>
      </c>
      <c r="L331" s="1">
        <v>5500</v>
      </c>
      <c r="N331" s="1">
        <v>450</v>
      </c>
      <c r="P331" s="1">
        <v>550</v>
      </c>
      <c r="R331" s="1">
        <v>20</v>
      </c>
      <c r="Z331" s="1">
        <v>0.05</v>
      </c>
      <c r="AA331" s="1">
        <v>4.8</v>
      </c>
      <c r="AB331" s="1">
        <v>2</v>
      </c>
      <c r="AC331" s="1">
        <v>0.6</v>
      </c>
      <c r="AH331" s="1">
        <v>0</v>
      </c>
      <c r="AI331" s="1">
        <v>1</v>
      </c>
      <c r="AJ331" s="1" t="s">
        <v>1565</v>
      </c>
      <c r="AK331" s="1" t="s">
        <v>206</v>
      </c>
      <c r="AL331" s="1" t="s">
        <v>1566</v>
      </c>
      <c r="AN331" s="22" t="s">
        <v>9767</v>
      </c>
      <c r="AX331" s="1">
        <v>1</v>
      </c>
      <c r="AZ331" s="1">
        <v>0.25</v>
      </c>
      <c r="BG331" s="1" t="str">
        <f t="shared" si="209"/>
        <v>enemy_1082_soticn</v>
      </c>
      <c r="BM331" s="1" t="s">
        <v>957</v>
      </c>
      <c r="BN331" s="1" t="s">
        <v>1567</v>
      </c>
      <c r="BQ331" s="1" t="s">
        <v>207</v>
      </c>
      <c r="BR331" s="1" t="s">
        <v>271</v>
      </c>
      <c r="BS331" s="1" t="s">
        <v>229</v>
      </c>
      <c r="BT331" s="1" t="s">
        <v>210</v>
      </c>
      <c r="BX331" s="1">
        <v>1</v>
      </c>
    </row>
    <row r="332" spans="1:76" x14ac:dyDescent="0.25">
      <c r="A332" s="1" t="s">
        <v>1568</v>
      </c>
      <c r="B332" s="1" t="s">
        <v>203</v>
      </c>
      <c r="D332" s="1" t="s">
        <v>1569</v>
      </c>
      <c r="E332" s="1">
        <v>1082</v>
      </c>
      <c r="F332" s="1" t="str">
        <f t="shared" si="208"/>
        <v>enemy_1082_soticn_2</v>
      </c>
      <c r="G332" s="1">
        <v>1</v>
      </c>
      <c r="L332" s="1">
        <v>6500</v>
      </c>
      <c r="N332" s="1">
        <v>590</v>
      </c>
      <c r="P332" s="1">
        <v>550</v>
      </c>
      <c r="R332" s="1">
        <v>20</v>
      </c>
      <c r="Z332" s="1">
        <v>0.05</v>
      </c>
      <c r="AA332" s="1">
        <v>4.8</v>
      </c>
      <c r="AB332" s="1">
        <v>2</v>
      </c>
      <c r="AC332" s="1">
        <v>0.6</v>
      </c>
      <c r="AH332" s="1">
        <v>0</v>
      </c>
      <c r="AI332" s="1">
        <v>1</v>
      </c>
      <c r="AJ332" s="1" t="s">
        <v>1570</v>
      </c>
      <c r="AK332" s="1" t="s">
        <v>206</v>
      </c>
      <c r="AL332" s="1" t="s">
        <v>1566</v>
      </c>
      <c r="AN332" s="22" t="s">
        <v>9767</v>
      </c>
      <c r="AX332" s="1">
        <v>1</v>
      </c>
      <c r="AZ332" s="1">
        <v>0.25</v>
      </c>
      <c r="BG332" s="1" t="str">
        <f t="shared" si="209"/>
        <v>enemy_1082_soticn_2</v>
      </c>
      <c r="BM332" s="1" t="s">
        <v>957</v>
      </c>
      <c r="BN332" s="1" t="s">
        <v>1567</v>
      </c>
      <c r="BQ332" s="1" t="s">
        <v>207</v>
      </c>
      <c r="BR332" s="1" t="s">
        <v>271</v>
      </c>
      <c r="BS332" s="1" t="s">
        <v>229</v>
      </c>
      <c r="BT332" s="1" t="s">
        <v>210</v>
      </c>
      <c r="BX332" s="1">
        <v>1</v>
      </c>
    </row>
    <row r="333" spans="1:76" x14ac:dyDescent="0.25">
      <c r="A333" s="1" t="s">
        <v>1571</v>
      </c>
      <c r="B333" s="1" t="s">
        <v>203</v>
      </c>
      <c r="D333" s="1" t="s">
        <v>1572</v>
      </c>
      <c r="E333" s="1">
        <v>1083</v>
      </c>
      <c r="F333" s="1" t="str">
        <f t="shared" si="208"/>
        <v>enemy_1083_sotiab</v>
      </c>
      <c r="G333" s="1">
        <v>1</v>
      </c>
      <c r="L333" s="1">
        <v>3800</v>
      </c>
      <c r="N333" s="1">
        <v>360</v>
      </c>
      <c r="P333" s="1">
        <v>550</v>
      </c>
      <c r="R333" s="1">
        <v>20</v>
      </c>
      <c r="Z333" s="1">
        <v>0.05</v>
      </c>
      <c r="AA333" s="1">
        <v>1.9</v>
      </c>
      <c r="AB333" s="1">
        <v>2</v>
      </c>
      <c r="AC333" s="1">
        <v>1</v>
      </c>
      <c r="AH333" s="1">
        <v>0</v>
      </c>
      <c r="AI333" s="1">
        <v>1</v>
      </c>
      <c r="AJ333" s="1" t="s">
        <v>1573</v>
      </c>
      <c r="AK333" s="1" t="s">
        <v>206</v>
      </c>
      <c r="AL333" s="1" t="s">
        <v>1574</v>
      </c>
      <c r="AN333" s="22" t="s">
        <v>9767</v>
      </c>
      <c r="AX333" s="1">
        <v>1</v>
      </c>
      <c r="AZ333" s="1">
        <v>0.25</v>
      </c>
      <c r="BG333" s="1" t="str">
        <f t="shared" si="209"/>
        <v>enemy_1083_sotiab</v>
      </c>
      <c r="BM333" s="1" t="s">
        <v>989</v>
      </c>
      <c r="BN333" s="1" t="s">
        <v>1575</v>
      </c>
      <c r="BQ333" s="1" t="s">
        <v>207</v>
      </c>
      <c r="BR333" s="1" t="s">
        <v>208</v>
      </c>
      <c r="BS333" s="1" t="s">
        <v>229</v>
      </c>
      <c r="BT333" s="1" t="s">
        <v>210</v>
      </c>
      <c r="BX333" s="1">
        <v>1</v>
      </c>
    </row>
    <row r="334" spans="1:76" x14ac:dyDescent="0.25">
      <c r="A334" s="1" t="s">
        <v>1576</v>
      </c>
      <c r="B334" s="1" t="s">
        <v>203</v>
      </c>
      <c r="D334" s="1" t="s">
        <v>1577</v>
      </c>
      <c r="E334" s="1">
        <v>1083</v>
      </c>
      <c r="F334" s="1" t="str">
        <f t="shared" si="208"/>
        <v>enemy_1083_sotiab_2</v>
      </c>
      <c r="G334" s="1">
        <v>1</v>
      </c>
      <c r="L334" s="1">
        <v>5000</v>
      </c>
      <c r="N334" s="1">
        <v>430</v>
      </c>
      <c r="P334" s="1">
        <v>550</v>
      </c>
      <c r="R334" s="1">
        <v>20</v>
      </c>
      <c r="Z334" s="1">
        <v>0.05</v>
      </c>
      <c r="AA334" s="1">
        <v>1.9</v>
      </c>
      <c r="AB334" s="1">
        <v>2</v>
      </c>
      <c r="AC334" s="1">
        <v>1</v>
      </c>
      <c r="AH334" s="1">
        <v>0</v>
      </c>
      <c r="AI334" s="1">
        <v>1</v>
      </c>
      <c r="AJ334" s="1" t="s">
        <v>1578</v>
      </c>
      <c r="AK334" s="1" t="s">
        <v>206</v>
      </c>
      <c r="AL334" s="1" t="s">
        <v>1579</v>
      </c>
      <c r="AN334" s="22" t="s">
        <v>9767</v>
      </c>
      <c r="AX334" s="1">
        <v>1</v>
      </c>
      <c r="AZ334" s="1">
        <v>0.25</v>
      </c>
      <c r="BG334" s="1" t="str">
        <f t="shared" si="209"/>
        <v>enemy_1083_sotiab_2</v>
      </c>
      <c r="BM334" s="1" t="s">
        <v>989</v>
      </c>
      <c r="BN334" s="1" t="s">
        <v>1580</v>
      </c>
      <c r="BQ334" s="1" t="s">
        <v>207</v>
      </c>
      <c r="BR334" s="1" t="s">
        <v>208</v>
      </c>
      <c r="BS334" s="1" t="s">
        <v>229</v>
      </c>
      <c r="BT334" s="1" t="s">
        <v>210</v>
      </c>
      <c r="BX334" s="1">
        <v>1</v>
      </c>
    </row>
    <row r="335" spans="1:76" x14ac:dyDescent="0.25">
      <c r="A335" s="1" t="s">
        <v>1581</v>
      </c>
      <c r="B335" s="1" t="s">
        <v>203</v>
      </c>
      <c r="D335" s="1" t="s">
        <v>1582</v>
      </c>
      <c r="E335" s="1">
        <v>1084</v>
      </c>
      <c r="F335" s="1" t="str">
        <f t="shared" si="208"/>
        <v>enemy_1084_sotidm</v>
      </c>
      <c r="G335" s="1">
        <v>1</v>
      </c>
      <c r="L335" s="1">
        <v>8000</v>
      </c>
      <c r="N335" s="1">
        <v>480</v>
      </c>
      <c r="P335" s="1">
        <v>400</v>
      </c>
      <c r="R335" s="1">
        <v>50</v>
      </c>
      <c r="Z335" s="1">
        <v>0.05</v>
      </c>
      <c r="AA335" s="1">
        <v>2.5</v>
      </c>
      <c r="AB335" s="1">
        <v>2</v>
      </c>
      <c r="AC335" s="1">
        <v>0.85</v>
      </c>
      <c r="AH335" s="1">
        <v>0</v>
      </c>
      <c r="AI335" s="1">
        <v>1</v>
      </c>
      <c r="AJ335" s="1" t="s">
        <v>1583</v>
      </c>
      <c r="AK335" s="1" t="s">
        <v>206</v>
      </c>
      <c r="AL335" s="1" t="s">
        <v>1584</v>
      </c>
      <c r="AN335" s="22" t="s">
        <v>9767</v>
      </c>
      <c r="AX335" s="1">
        <v>1</v>
      </c>
      <c r="AZ335" s="1">
        <v>0.25</v>
      </c>
      <c r="BG335" s="1" t="str">
        <f t="shared" si="209"/>
        <v>enemy_1084_sotidm</v>
      </c>
      <c r="BM335" s="1" t="s">
        <v>1585</v>
      </c>
      <c r="BN335" s="1" t="s">
        <v>1586</v>
      </c>
      <c r="BQ335" s="1" t="s">
        <v>207</v>
      </c>
      <c r="BR335" s="1" t="s">
        <v>208</v>
      </c>
      <c r="BS335" s="1" t="s">
        <v>229</v>
      </c>
      <c r="BT335" s="1" t="s">
        <v>210</v>
      </c>
      <c r="BX335" s="1">
        <v>1</v>
      </c>
    </row>
    <row r="336" spans="1:76" x14ac:dyDescent="0.25">
      <c r="A336" s="1" t="s">
        <v>1587</v>
      </c>
      <c r="B336" s="1" t="s">
        <v>203</v>
      </c>
      <c r="D336" s="1" t="s">
        <v>1588</v>
      </c>
      <c r="E336" s="1">
        <v>1084</v>
      </c>
      <c r="F336" s="1" t="str">
        <f t="shared" si="208"/>
        <v>enemy_1084_sotidm_2</v>
      </c>
      <c r="G336" s="1">
        <v>1</v>
      </c>
      <c r="L336" s="1">
        <v>12000</v>
      </c>
      <c r="N336" s="1">
        <v>580</v>
      </c>
      <c r="P336" s="1">
        <v>400</v>
      </c>
      <c r="R336" s="1">
        <v>50</v>
      </c>
      <c r="Z336" s="1">
        <v>0.05</v>
      </c>
      <c r="AA336" s="1">
        <v>2.5</v>
      </c>
      <c r="AB336" s="1">
        <v>2</v>
      </c>
      <c r="AC336" s="1">
        <v>0.85</v>
      </c>
      <c r="AH336" s="1">
        <v>0</v>
      </c>
      <c r="AI336" s="1">
        <v>1</v>
      </c>
      <c r="AJ336" s="1" t="s">
        <v>1589</v>
      </c>
      <c r="AK336" s="1" t="s">
        <v>206</v>
      </c>
      <c r="AL336" s="1" t="s">
        <v>1584</v>
      </c>
      <c r="AN336" s="22" t="s">
        <v>9767</v>
      </c>
      <c r="AX336" s="1">
        <v>1</v>
      </c>
      <c r="AZ336" s="1">
        <v>0.25</v>
      </c>
      <c r="BG336" s="1" t="str">
        <f t="shared" si="209"/>
        <v>enemy_1084_sotidm_2</v>
      </c>
      <c r="BM336" s="1" t="s">
        <v>1585</v>
      </c>
      <c r="BN336" s="1" t="s">
        <v>1586</v>
      </c>
      <c r="BQ336" s="1" t="s">
        <v>207</v>
      </c>
      <c r="BR336" s="1" t="s">
        <v>208</v>
      </c>
      <c r="BS336" s="1" t="s">
        <v>229</v>
      </c>
      <c r="BT336" s="1" t="s">
        <v>210</v>
      </c>
      <c r="BX336" s="1">
        <v>1</v>
      </c>
    </row>
    <row r="337" spans="1:76" x14ac:dyDescent="0.25">
      <c r="A337" s="1" t="s">
        <v>1590</v>
      </c>
      <c r="B337" s="1" t="s">
        <v>203</v>
      </c>
      <c r="D337" s="1" t="s">
        <v>1591</v>
      </c>
      <c r="E337" s="1">
        <v>1084</v>
      </c>
      <c r="F337" s="1" t="str">
        <f t="shared" si="208"/>
        <v>enemy_1084_sotidm_3</v>
      </c>
      <c r="G337" s="1">
        <v>1</v>
      </c>
      <c r="L337" s="1">
        <v>8000</v>
      </c>
      <c r="N337" s="1">
        <v>480</v>
      </c>
      <c r="P337" s="1">
        <v>400</v>
      </c>
      <c r="R337" s="1">
        <v>50</v>
      </c>
      <c r="Z337" s="1">
        <v>0.05</v>
      </c>
      <c r="AA337" s="1">
        <v>2.5</v>
      </c>
      <c r="AB337" s="1">
        <v>2</v>
      </c>
      <c r="AC337" s="1">
        <v>0.85</v>
      </c>
      <c r="AH337" s="1">
        <v>0</v>
      </c>
      <c r="AI337" s="1">
        <v>1</v>
      </c>
      <c r="AJ337" s="1" t="s">
        <v>1592</v>
      </c>
      <c r="AK337" s="1" t="s">
        <v>206</v>
      </c>
      <c r="AL337" s="1" t="s">
        <v>1584</v>
      </c>
      <c r="AN337" s="22" t="s">
        <v>9767</v>
      </c>
      <c r="AX337" s="1">
        <v>1</v>
      </c>
      <c r="AZ337" s="1">
        <v>0.25</v>
      </c>
      <c r="BG337" s="1" t="str">
        <f t="shared" si="209"/>
        <v>enemy_1084_sotidm_3</v>
      </c>
      <c r="BM337" s="1" t="s">
        <v>1585</v>
      </c>
      <c r="BN337" s="1" t="s">
        <v>1586</v>
      </c>
      <c r="BQ337" s="1" t="s">
        <v>207</v>
      </c>
      <c r="BR337" s="1" t="s">
        <v>208</v>
      </c>
      <c r="BS337" s="1" t="s">
        <v>229</v>
      </c>
      <c r="BT337" s="1" t="s">
        <v>210</v>
      </c>
      <c r="BX337" s="1">
        <v>1</v>
      </c>
    </row>
    <row r="338" spans="1:76" x14ac:dyDescent="0.25">
      <c r="A338" s="1" t="s">
        <v>1593</v>
      </c>
      <c r="B338" s="1" t="s">
        <v>203</v>
      </c>
      <c r="D338" s="1" t="s">
        <v>1594</v>
      </c>
      <c r="E338" s="1">
        <v>1085</v>
      </c>
      <c r="F338" s="1" t="str">
        <f t="shared" si="208"/>
        <v>enemy_1085_sotiwz</v>
      </c>
      <c r="G338" s="1">
        <v>1</v>
      </c>
      <c r="L338" s="1">
        <v>7000</v>
      </c>
      <c r="N338" s="1">
        <v>350</v>
      </c>
      <c r="P338" s="1">
        <v>400</v>
      </c>
      <c r="R338" s="1">
        <v>50</v>
      </c>
      <c r="Z338" s="1">
        <v>0.05</v>
      </c>
      <c r="AA338" s="1">
        <v>0.1</v>
      </c>
      <c r="AB338" s="1">
        <v>2</v>
      </c>
      <c r="AC338" s="1">
        <v>0.75</v>
      </c>
      <c r="AH338" s="1">
        <v>0</v>
      </c>
      <c r="AI338" s="1">
        <v>1</v>
      </c>
      <c r="AJ338" s="1" t="s">
        <v>1595</v>
      </c>
      <c r="AK338" s="1" t="s">
        <v>206</v>
      </c>
      <c r="AL338" s="1" t="s">
        <v>1596</v>
      </c>
      <c r="AN338" s="22" t="s">
        <v>9767</v>
      </c>
      <c r="AX338" s="1">
        <v>1</v>
      </c>
      <c r="AZ338" s="1">
        <v>0.25</v>
      </c>
      <c r="BG338" s="1" t="str">
        <f t="shared" si="209"/>
        <v>enemy_1085_sotiwz</v>
      </c>
      <c r="BM338" s="1" t="s">
        <v>1597</v>
      </c>
      <c r="BN338" s="1" t="s">
        <v>1598</v>
      </c>
      <c r="BQ338" s="1" t="s">
        <v>207</v>
      </c>
      <c r="BR338" s="1" t="s">
        <v>208</v>
      </c>
      <c r="BS338" s="1" t="s">
        <v>229</v>
      </c>
      <c r="BT338" s="1" t="s">
        <v>210</v>
      </c>
      <c r="BX338" s="1">
        <v>1</v>
      </c>
    </row>
    <row r="339" spans="1:76" x14ac:dyDescent="0.25">
      <c r="A339" s="1" t="s">
        <v>1599</v>
      </c>
      <c r="B339" s="1" t="s">
        <v>203</v>
      </c>
      <c r="D339" s="1" t="s">
        <v>1600</v>
      </c>
      <c r="E339" s="1">
        <v>1085</v>
      </c>
      <c r="F339" s="1" t="str">
        <f t="shared" si="208"/>
        <v>enemy_1085_sotiwz_2</v>
      </c>
      <c r="G339" s="1">
        <v>1</v>
      </c>
      <c r="L339" s="1">
        <v>10000</v>
      </c>
      <c r="N339" s="1">
        <v>450</v>
      </c>
      <c r="P339" s="1">
        <v>400</v>
      </c>
      <c r="R339" s="1">
        <v>50</v>
      </c>
      <c r="Z339" s="1">
        <v>0.05</v>
      </c>
      <c r="AA339" s="1">
        <v>0.1</v>
      </c>
      <c r="AB339" s="1">
        <v>2</v>
      </c>
      <c r="AC339" s="1">
        <v>0.75</v>
      </c>
      <c r="AH339" s="1">
        <v>0</v>
      </c>
      <c r="AI339" s="1">
        <v>1</v>
      </c>
      <c r="AJ339" s="1" t="s">
        <v>1601</v>
      </c>
      <c r="AK339" s="1" t="s">
        <v>206</v>
      </c>
      <c r="AL339" s="1" t="s">
        <v>1596</v>
      </c>
      <c r="AN339" s="22" t="s">
        <v>9767</v>
      </c>
      <c r="AX339" s="1">
        <v>1</v>
      </c>
      <c r="AZ339" s="1">
        <v>0.25</v>
      </c>
      <c r="BG339" s="1" t="str">
        <f t="shared" si="209"/>
        <v>enemy_1085_sotiwz_2</v>
      </c>
      <c r="BM339" s="1" t="s">
        <v>1597</v>
      </c>
      <c r="BN339" s="1" t="s">
        <v>1598</v>
      </c>
      <c r="BQ339" s="1" t="s">
        <v>207</v>
      </c>
      <c r="BR339" s="1" t="s">
        <v>208</v>
      </c>
      <c r="BS339" s="1" t="s">
        <v>229</v>
      </c>
      <c r="BT339" s="1" t="s">
        <v>210</v>
      </c>
      <c r="BX339" s="1">
        <v>1</v>
      </c>
    </row>
    <row r="340" spans="1:76" x14ac:dyDescent="0.25">
      <c r="A340" s="1" t="s">
        <v>1602</v>
      </c>
      <c r="B340" s="1" t="s">
        <v>203</v>
      </c>
      <c r="D340" s="1" t="s">
        <v>1603</v>
      </c>
      <c r="E340" s="1">
        <v>1085</v>
      </c>
      <c r="F340" s="1" t="str">
        <f t="shared" si="208"/>
        <v>enemy_1085_sotiwz_3</v>
      </c>
      <c r="G340" s="1">
        <v>1</v>
      </c>
      <c r="L340" s="1">
        <v>7000</v>
      </c>
      <c r="N340" s="1">
        <v>350</v>
      </c>
      <c r="P340" s="1">
        <v>400</v>
      </c>
      <c r="R340" s="1">
        <v>50</v>
      </c>
      <c r="Z340" s="1">
        <v>0.05</v>
      </c>
      <c r="AA340" s="1">
        <v>0.1</v>
      </c>
      <c r="AB340" s="1">
        <v>2</v>
      </c>
      <c r="AC340" s="1">
        <v>0.75</v>
      </c>
      <c r="AH340" s="1">
        <v>0</v>
      </c>
      <c r="AI340" s="1">
        <v>1</v>
      </c>
      <c r="AJ340" s="1" t="s">
        <v>1604</v>
      </c>
      <c r="AK340" s="1" t="s">
        <v>206</v>
      </c>
      <c r="AL340" s="1" t="s">
        <v>1596</v>
      </c>
      <c r="AN340" s="22" t="s">
        <v>9767</v>
      </c>
      <c r="AX340" s="1">
        <v>1</v>
      </c>
      <c r="AZ340" s="1">
        <v>0.25</v>
      </c>
      <c r="BG340" s="1" t="str">
        <f t="shared" si="209"/>
        <v>enemy_1085_sotiwz_3</v>
      </c>
      <c r="BM340" s="1" t="s">
        <v>1597</v>
      </c>
      <c r="BN340" s="1" t="s">
        <v>1598</v>
      </c>
      <c r="BQ340" s="1" t="s">
        <v>207</v>
      </c>
      <c r="BR340" s="1" t="s">
        <v>208</v>
      </c>
      <c r="BS340" s="1" t="s">
        <v>229</v>
      </c>
      <c r="BT340" s="1" t="s">
        <v>210</v>
      </c>
      <c r="BX340" s="1">
        <v>1</v>
      </c>
    </row>
    <row r="341" spans="1:76" x14ac:dyDescent="0.25">
      <c r="A341" s="1" t="s">
        <v>1605</v>
      </c>
      <c r="B341" s="1" t="s">
        <v>203</v>
      </c>
      <c r="D341" s="1" t="s">
        <v>1606</v>
      </c>
      <c r="E341" s="1">
        <v>1506</v>
      </c>
      <c r="F341" s="1" t="str">
        <f t="shared" si="208"/>
        <v>enemy_1506_patrt</v>
      </c>
      <c r="G341" s="1">
        <v>1</v>
      </c>
      <c r="L341" s="1">
        <v>45000</v>
      </c>
      <c r="N341" s="1">
        <v>1600</v>
      </c>
      <c r="P341" s="1">
        <v>500</v>
      </c>
      <c r="R341" s="1">
        <v>45</v>
      </c>
      <c r="Z341" s="1">
        <v>0.05</v>
      </c>
      <c r="AA341" s="1">
        <v>4</v>
      </c>
      <c r="AB341" s="1">
        <v>7</v>
      </c>
      <c r="AC341" s="1">
        <v>0.4</v>
      </c>
      <c r="AH341" s="1">
        <v>0</v>
      </c>
      <c r="AI341" s="1">
        <v>1</v>
      </c>
      <c r="AJ341" s="1" t="s">
        <v>1607</v>
      </c>
      <c r="AK341" s="1" t="s">
        <v>206</v>
      </c>
      <c r="AL341" s="1" t="s">
        <v>1608</v>
      </c>
      <c r="AN341" s="22" t="s">
        <v>9767</v>
      </c>
      <c r="AX341" s="1">
        <v>2</v>
      </c>
      <c r="AY341" s="1" t="s">
        <v>1609</v>
      </c>
      <c r="AZ341" s="1">
        <v>0.25</v>
      </c>
      <c r="BG341" s="1" t="str">
        <f t="shared" si="209"/>
        <v>enemy_1506_patrt</v>
      </c>
      <c r="BM341" s="1" t="s">
        <v>1610</v>
      </c>
      <c r="BN341" s="1" t="s">
        <v>1611</v>
      </c>
      <c r="BQ341" s="1" t="s">
        <v>207</v>
      </c>
      <c r="BR341" s="1" t="s">
        <v>271</v>
      </c>
      <c r="BS341" s="1" t="s">
        <v>1612</v>
      </c>
      <c r="BT341" s="1" t="s">
        <v>210</v>
      </c>
      <c r="BX341" s="1">
        <v>1</v>
      </c>
    </row>
    <row r="342" spans="1:76" x14ac:dyDescent="0.25">
      <c r="A342" s="1" t="s">
        <v>1613</v>
      </c>
      <c r="B342" s="1" t="s">
        <v>203</v>
      </c>
      <c r="D342" s="1" t="s">
        <v>1614</v>
      </c>
      <c r="E342" s="1">
        <v>1086</v>
      </c>
      <c r="F342" s="1" t="str">
        <f t="shared" si="208"/>
        <v>enemy_1086_ltsodr</v>
      </c>
      <c r="G342" s="1">
        <v>1</v>
      </c>
      <c r="L342" s="1">
        <v>3000</v>
      </c>
      <c r="N342" s="1">
        <v>130</v>
      </c>
      <c r="P342" s="1">
        <v>130</v>
      </c>
      <c r="R342" s="1">
        <v>20</v>
      </c>
      <c r="Z342" s="1">
        <v>0.05</v>
      </c>
      <c r="AA342" s="1">
        <v>2</v>
      </c>
      <c r="AB342" s="1">
        <v>1</v>
      </c>
      <c r="AC342" s="1">
        <v>1.1000000000000001</v>
      </c>
      <c r="AH342" s="1">
        <v>0</v>
      </c>
      <c r="AI342" s="1">
        <v>1</v>
      </c>
      <c r="AJ342" s="1" t="s">
        <v>1615</v>
      </c>
      <c r="AK342" s="1" t="s">
        <v>206</v>
      </c>
      <c r="AL342" s="1" t="s">
        <v>1132</v>
      </c>
      <c r="AN342" s="22" t="s">
        <v>9767</v>
      </c>
      <c r="AX342" s="1">
        <v>1</v>
      </c>
      <c r="AZ342" s="1">
        <v>0.25</v>
      </c>
      <c r="BG342" s="1" t="str">
        <f t="shared" si="209"/>
        <v>enemy_1086_ltsodr</v>
      </c>
      <c r="BM342" s="1" t="s">
        <v>930</v>
      </c>
      <c r="BN342" s="1" t="s">
        <v>1616</v>
      </c>
      <c r="BQ342" s="1" t="s">
        <v>207</v>
      </c>
      <c r="BR342" s="1" t="s">
        <v>208</v>
      </c>
      <c r="BS342" s="1" t="s">
        <v>229</v>
      </c>
      <c r="BT342" s="1" t="s">
        <v>210</v>
      </c>
      <c r="BX342" s="1">
        <v>1</v>
      </c>
    </row>
    <row r="343" spans="1:76" x14ac:dyDescent="0.25">
      <c r="A343" s="1" t="s">
        <v>1617</v>
      </c>
      <c r="B343" s="1" t="s">
        <v>203</v>
      </c>
      <c r="D343" s="1" t="s">
        <v>1618</v>
      </c>
      <c r="E343" s="1">
        <v>1086</v>
      </c>
      <c r="F343" s="1" t="str">
        <f t="shared" si="208"/>
        <v>enemy_1086_ltsodr_2</v>
      </c>
      <c r="G343" s="1">
        <v>1</v>
      </c>
      <c r="L343" s="1">
        <v>4000</v>
      </c>
      <c r="N343" s="1">
        <v>180</v>
      </c>
      <c r="P343" s="1">
        <v>150</v>
      </c>
      <c r="R343" s="1">
        <v>20</v>
      </c>
      <c r="Z343" s="1">
        <v>0.05</v>
      </c>
      <c r="AA343" s="1">
        <v>2</v>
      </c>
      <c r="AB343" s="1">
        <v>1</v>
      </c>
      <c r="AC343" s="1">
        <v>1.1000000000000001</v>
      </c>
      <c r="AH343" s="1">
        <v>0</v>
      </c>
      <c r="AI343" s="1">
        <v>1</v>
      </c>
      <c r="AJ343" s="1" t="s">
        <v>1619</v>
      </c>
      <c r="AK343" s="1" t="s">
        <v>206</v>
      </c>
      <c r="AL343" s="1" t="s">
        <v>1132</v>
      </c>
      <c r="AN343" s="22" t="s">
        <v>9767</v>
      </c>
      <c r="AX343" s="1">
        <v>1</v>
      </c>
      <c r="AZ343" s="1">
        <v>0.25</v>
      </c>
      <c r="BG343" s="1" t="str">
        <f t="shared" si="209"/>
        <v>enemy_1086_ltsodr_2</v>
      </c>
      <c r="BM343" s="1" t="s">
        <v>930</v>
      </c>
      <c r="BN343" s="1" t="s">
        <v>1620</v>
      </c>
      <c r="BQ343" s="1" t="s">
        <v>207</v>
      </c>
      <c r="BR343" s="1" t="s">
        <v>208</v>
      </c>
      <c r="BS343" s="1" t="s">
        <v>229</v>
      </c>
      <c r="BT343" s="1" t="s">
        <v>210</v>
      </c>
      <c r="BX343" s="1">
        <v>1</v>
      </c>
    </row>
    <row r="344" spans="1:76" x14ac:dyDescent="0.25">
      <c r="A344" s="1" t="s">
        <v>1621</v>
      </c>
      <c r="B344" s="1" t="s">
        <v>203</v>
      </c>
      <c r="D344" s="1" t="s">
        <v>1622</v>
      </c>
      <c r="E344" s="1">
        <v>1087</v>
      </c>
      <c r="F344" s="1" t="str">
        <f t="shared" si="208"/>
        <v>enemy_1087_ltwolf</v>
      </c>
      <c r="G344" s="1">
        <v>1</v>
      </c>
      <c r="L344" s="1">
        <v>2800</v>
      </c>
      <c r="N344" s="1">
        <v>300</v>
      </c>
      <c r="P344" s="1">
        <v>0</v>
      </c>
      <c r="R344" s="1">
        <v>20</v>
      </c>
      <c r="Z344" s="1">
        <v>0.05</v>
      </c>
      <c r="AA344" s="1">
        <v>1.4</v>
      </c>
      <c r="AB344" s="1">
        <v>0</v>
      </c>
      <c r="AC344" s="1">
        <v>1.9</v>
      </c>
      <c r="AH344" s="1">
        <v>0</v>
      </c>
      <c r="AI344" s="1">
        <v>1</v>
      </c>
      <c r="AJ344" s="1" t="s">
        <v>1623</v>
      </c>
      <c r="AK344" s="1" t="s">
        <v>206</v>
      </c>
      <c r="AL344" s="1" t="s">
        <v>228</v>
      </c>
      <c r="AN344" s="22" t="s">
        <v>9767</v>
      </c>
      <c r="AX344" s="1">
        <v>1</v>
      </c>
      <c r="AZ344" s="1">
        <v>0.25</v>
      </c>
      <c r="BG344" s="1" t="str">
        <f t="shared" si="209"/>
        <v>enemy_1087_ltwolf</v>
      </c>
      <c r="BM344" s="1" t="s">
        <v>930</v>
      </c>
      <c r="BN344" s="1" t="s">
        <v>1624</v>
      </c>
      <c r="BQ344" s="1" t="s">
        <v>207</v>
      </c>
      <c r="BR344" s="1" t="s">
        <v>208</v>
      </c>
      <c r="BS344" s="1" t="s">
        <v>239</v>
      </c>
      <c r="BT344" s="1" t="s">
        <v>210</v>
      </c>
      <c r="BX344" s="1">
        <v>1</v>
      </c>
    </row>
    <row r="345" spans="1:76" x14ac:dyDescent="0.25">
      <c r="A345" s="1" t="s">
        <v>1625</v>
      </c>
      <c r="B345" s="1" t="s">
        <v>203</v>
      </c>
      <c r="D345" s="1" t="s">
        <v>1626</v>
      </c>
      <c r="E345" s="1">
        <v>1087</v>
      </c>
      <c r="F345" s="1" t="str">
        <f t="shared" si="208"/>
        <v>enemy_1087_ltwolf_2</v>
      </c>
      <c r="G345" s="1">
        <v>1</v>
      </c>
      <c r="L345" s="1">
        <v>3500</v>
      </c>
      <c r="N345" s="1">
        <v>360</v>
      </c>
      <c r="P345" s="1">
        <v>0</v>
      </c>
      <c r="R345" s="1">
        <v>20</v>
      </c>
      <c r="Z345" s="1">
        <v>0.05</v>
      </c>
      <c r="AA345" s="1">
        <v>1.4</v>
      </c>
      <c r="AB345" s="1">
        <v>0</v>
      </c>
      <c r="AC345" s="1">
        <v>1.9</v>
      </c>
      <c r="AH345" s="1">
        <v>0</v>
      </c>
      <c r="AI345" s="1">
        <v>1</v>
      </c>
      <c r="AJ345" s="1" t="s">
        <v>1627</v>
      </c>
      <c r="AK345" s="1" t="s">
        <v>206</v>
      </c>
      <c r="AL345" s="1" t="s">
        <v>228</v>
      </c>
      <c r="AN345" s="22" t="s">
        <v>9767</v>
      </c>
      <c r="AX345" s="1">
        <v>1</v>
      </c>
      <c r="AZ345" s="1">
        <v>0.25</v>
      </c>
      <c r="BG345" s="1" t="str">
        <f t="shared" si="209"/>
        <v>enemy_1087_ltwolf_2</v>
      </c>
      <c r="BM345" s="1" t="s">
        <v>930</v>
      </c>
      <c r="BN345" s="1" t="s">
        <v>1628</v>
      </c>
      <c r="BQ345" s="1" t="s">
        <v>207</v>
      </c>
      <c r="BR345" s="1" t="s">
        <v>208</v>
      </c>
      <c r="BS345" s="1" t="s">
        <v>239</v>
      </c>
      <c r="BT345" s="1" t="s">
        <v>210</v>
      </c>
      <c r="BX345" s="1">
        <v>1</v>
      </c>
    </row>
    <row r="346" spans="1:76" x14ac:dyDescent="0.25">
      <c r="A346" s="1" t="s">
        <v>1629</v>
      </c>
      <c r="B346" s="1" t="s">
        <v>203</v>
      </c>
      <c r="C346" s="1">
        <v>1</v>
      </c>
      <c r="D346" s="1" t="s">
        <v>1630</v>
      </c>
      <c r="E346" s="1">
        <v>1088</v>
      </c>
      <c r="F346" s="1" t="str">
        <f t="shared" si="208"/>
        <v>enemy_1088_ltsmer</v>
      </c>
      <c r="G346" s="1">
        <v>1</v>
      </c>
      <c r="L346" s="1">
        <v>6000</v>
      </c>
      <c r="N346" s="1">
        <v>300</v>
      </c>
      <c r="P346" s="1">
        <v>200</v>
      </c>
      <c r="R346" s="1">
        <v>50</v>
      </c>
      <c r="Z346" s="1">
        <v>0.05</v>
      </c>
      <c r="AA346" s="1">
        <v>3</v>
      </c>
      <c r="AB346" s="1">
        <v>3</v>
      </c>
      <c r="AC346" s="1">
        <v>0.85</v>
      </c>
      <c r="AH346" s="1">
        <v>0</v>
      </c>
      <c r="AI346" s="1">
        <v>1</v>
      </c>
      <c r="AJ346" s="1" t="s">
        <v>1631</v>
      </c>
      <c r="AK346" s="1" t="s">
        <v>206</v>
      </c>
      <c r="AL346" s="1" t="s">
        <v>228</v>
      </c>
      <c r="AN346" s="22" t="s">
        <v>9767</v>
      </c>
      <c r="AX346" s="1">
        <v>1</v>
      </c>
      <c r="AZ346" s="1">
        <v>0.25</v>
      </c>
      <c r="BG346" s="1" t="str">
        <f t="shared" si="209"/>
        <v>enemy_1088_ltsmer</v>
      </c>
      <c r="BM346" s="1" t="s">
        <v>936</v>
      </c>
      <c r="BN346" s="1" t="s">
        <v>1632</v>
      </c>
      <c r="BQ346" s="1" t="s">
        <v>207</v>
      </c>
      <c r="BR346" s="1" t="s">
        <v>208</v>
      </c>
      <c r="BS346" s="1" t="s">
        <v>229</v>
      </c>
      <c r="BT346" s="1" t="s">
        <v>210</v>
      </c>
      <c r="BX346" s="1">
        <v>1</v>
      </c>
    </row>
    <row r="347" spans="1:76" x14ac:dyDescent="0.25">
      <c r="A347" s="1" t="s">
        <v>1633</v>
      </c>
      <c r="B347" s="1" t="s">
        <v>203</v>
      </c>
      <c r="C347" s="1">
        <v>1</v>
      </c>
      <c r="D347" s="1" t="s">
        <v>1634</v>
      </c>
      <c r="E347" s="1">
        <v>1088</v>
      </c>
      <c r="F347" s="1" t="str">
        <f t="shared" si="208"/>
        <v>enemy_1088_ltsmer_2</v>
      </c>
      <c r="G347" s="1">
        <v>1</v>
      </c>
      <c r="L347" s="1">
        <v>8000</v>
      </c>
      <c r="N347" s="1">
        <v>360</v>
      </c>
      <c r="P347" s="1">
        <v>200</v>
      </c>
      <c r="R347" s="1">
        <v>50</v>
      </c>
      <c r="Z347" s="1">
        <v>0.05</v>
      </c>
      <c r="AA347" s="1">
        <v>3</v>
      </c>
      <c r="AB347" s="1">
        <v>3</v>
      </c>
      <c r="AC347" s="1">
        <v>0.85</v>
      </c>
      <c r="AH347" s="1">
        <v>0</v>
      </c>
      <c r="AI347" s="1">
        <v>1</v>
      </c>
      <c r="AJ347" s="1" t="s">
        <v>1635</v>
      </c>
      <c r="AK347" s="1" t="s">
        <v>206</v>
      </c>
      <c r="AL347" s="1" t="s">
        <v>228</v>
      </c>
      <c r="AN347" s="22" t="s">
        <v>9767</v>
      </c>
      <c r="AX347" s="1">
        <v>1</v>
      </c>
      <c r="AZ347" s="1">
        <v>0.25</v>
      </c>
      <c r="BG347" s="1" t="str">
        <f t="shared" si="209"/>
        <v>enemy_1088_ltsmer_2</v>
      </c>
      <c r="BM347" s="1" t="s">
        <v>936</v>
      </c>
      <c r="BN347" s="1" t="s">
        <v>1636</v>
      </c>
      <c r="BQ347" s="1" t="s">
        <v>207</v>
      </c>
      <c r="BR347" s="1" t="s">
        <v>208</v>
      </c>
      <c r="BS347" s="1" t="s">
        <v>229</v>
      </c>
      <c r="BT347" s="1" t="s">
        <v>210</v>
      </c>
      <c r="BX347" s="1">
        <v>1</v>
      </c>
    </row>
    <row r="348" spans="1:76" x14ac:dyDescent="0.25">
      <c r="A348" s="1" t="s">
        <v>1637</v>
      </c>
      <c r="B348" s="1" t="s">
        <v>203</v>
      </c>
      <c r="C348" s="1">
        <v>1</v>
      </c>
      <c r="D348" s="1" t="s">
        <v>1638</v>
      </c>
      <c r="E348" s="1">
        <v>1089</v>
      </c>
      <c r="F348" s="1" t="str">
        <f t="shared" si="208"/>
        <v>enemy_1089_ltlntc</v>
      </c>
      <c r="G348" s="1">
        <v>1</v>
      </c>
      <c r="L348" s="1">
        <v>20000</v>
      </c>
      <c r="N348" s="1">
        <v>500</v>
      </c>
      <c r="P348" s="1">
        <v>300</v>
      </c>
      <c r="R348" s="1">
        <v>50</v>
      </c>
      <c r="Z348" s="1">
        <v>0.05</v>
      </c>
      <c r="AA348" s="1">
        <v>1.3</v>
      </c>
      <c r="AB348" s="1">
        <v>3</v>
      </c>
      <c r="AC348" s="1">
        <v>1.5</v>
      </c>
      <c r="AH348" s="1">
        <v>0</v>
      </c>
      <c r="AI348" s="1">
        <v>1</v>
      </c>
      <c r="AJ348" s="1" t="s">
        <v>1639</v>
      </c>
      <c r="AK348" s="1" t="s">
        <v>206</v>
      </c>
      <c r="AL348" s="1" t="s">
        <v>228</v>
      </c>
      <c r="AN348" s="22" t="s">
        <v>9767</v>
      </c>
      <c r="AX348" s="1">
        <v>1</v>
      </c>
      <c r="AZ348" s="1">
        <v>0.25</v>
      </c>
      <c r="BG348" s="1" t="str">
        <f t="shared" si="209"/>
        <v>enemy_1089_ltlntc</v>
      </c>
      <c r="BM348" s="1" t="s">
        <v>989</v>
      </c>
      <c r="BN348" s="1" t="s">
        <v>1640</v>
      </c>
      <c r="BQ348" s="1" t="s">
        <v>207</v>
      </c>
      <c r="BR348" s="1" t="s">
        <v>208</v>
      </c>
      <c r="BS348" s="1" t="s">
        <v>229</v>
      </c>
      <c r="BT348" s="1" t="s">
        <v>210</v>
      </c>
      <c r="BX348" s="1">
        <v>1</v>
      </c>
    </row>
    <row r="349" spans="1:76" x14ac:dyDescent="0.25">
      <c r="A349" s="1" t="s">
        <v>1641</v>
      </c>
      <c r="B349" s="1" t="s">
        <v>203</v>
      </c>
      <c r="C349" s="1">
        <v>1</v>
      </c>
      <c r="D349" s="1" t="s">
        <v>1642</v>
      </c>
      <c r="E349" s="1">
        <v>1089</v>
      </c>
      <c r="F349" s="1" t="str">
        <f t="shared" si="208"/>
        <v>enemy_1089_ltlntc_2</v>
      </c>
      <c r="G349" s="1">
        <v>1</v>
      </c>
      <c r="L349" s="1">
        <v>30000</v>
      </c>
      <c r="N349" s="1">
        <v>650</v>
      </c>
      <c r="P349" s="1">
        <v>300</v>
      </c>
      <c r="R349" s="1">
        <v>50</v>
      </c>
      <c r="Z349" s="1">
        <v>0.05</v>
      </c>
      <c r="AA349" s="1">
        <v>1.3</v>
      </c>
      <c r="AB349" s="1">
        <v>3</v>
      </c>
      <c r="AC349" s="1">
        <v>1.5</v>
      </c>
      <c r="AH349" s="1">
        <v>0</v>
      </c>
      <c r="AI349" s="1">
        <v>1</v>
      </c>
      <c r="AJ349" s="1" t="s">
        <v>1643</v>
      </c>
      <c r="AK349" s="1" t="s">
        <v>206</v>
      </c>
      <c r="AL349" s="1" t="s">
        <v>228</v>
      </c>
      <c r="AN349" s="22" t="s">
        <v>9767</v>
      </c>
      <c r="AX349" s="1">
        <v>1</v>
      </c>
      <c r="AZ349" s="1">
        <v>0.25</v>
      </c>
      <c r="BG349" s="1" t="str">
        <f t="shared" si="209"/>
        <v>enemy_1089_ltlntc_2</v>
      </c>
      <c r="BM349" s="1" t="s">
        <v>989</v>
      </c>
      <c r="BN349" s="1" t="s">
        <v>1644</v>
      </c>
      <c r="BQ349" s="1" t="s">
        <v>207</v>
      </c>
      <c r="BR349" s="1" t="s">
        <v>208</v>
      </c>
      <c r="BS349" s="1" t="s">
        <v>229</v>
      </c>
      <c r="BT349" s="1" t="s">
        <v>210</v>
      </c>
      <c r="BX349" s="1">
        <v>1</v>
      </c>
    </row>
    <row r="350" spans="1:76" x14ac:dyDescent="0.25">
      <c r="A350" s="1" t="s">
        <v>1645</v>
      </c>
      <c r="B350" s="1" t="s">
        <v>203</v>
      </c>
      <c r="C350" s="1">
        <v>1</v>
      </c>
      <c r="D350" s="1" t="s">
        <v>1646</v>
      </c>
      <c r="E350" s="1">
        <v>1090</v>
      </c>
      <c r="F350" s="1" t="str">
        <f t="shared" si="208"/>
        <v>enemy_1090_mdsnpr</v>
      </c>
      <c r="G350" s="1">
        <v>1</v>
      </c>
      <c r="L350" s="1">
        <v>7000</v>
      </c>
      <c r="N350" s="1">
        <v>400</v>
      </c>
      <c r="P350" s="1">
        <v>400</v>
      </c>
      <c r="R350" s="1">
        <v>30</v>
      </c>
      <c r="Z350" s="1">
        <v>0.05</v>
      </c>
      <c r="AA350" s="1">
        <v>2.6</v>
      </c>
      <c r="AB350" s="1">
        <v>3</v>
      </c>
      <c r="AC350" s="1">
        <v>0.8</v>
      </c>
      <c r="AH350" s="1">
        <v>0</v>
      </c>
      <c r="AI350" s="1">
        <v>1</v>
      </c>
      <c r="AJ350" s="1" t="s">
        <v>1647</v>
      </c>
      <c r="AK350" s="1" t="s">
        <v>206</v>
      </c>
      <c r="AL350" s="1" t="s">
        <v>228</v>
      </c>
      <c r="AN350" s="22" t="s">
        <v>9767</v>
      </c>
      <c r="AX350" s="1">
        <v>1</v>
      </c>
      <c r="AZ350" s="1">
        <v>0.25</v>
      </c>
      <c r="BG350" s="1" t="str">
        <f t="shared" si="209"/>
        <v>enemy_1090_mdsnpr</v>
      </c>
      <c r="BM350" s="1" t="s">
        <v>1073</v>
      </c>
      <c r="BN350" s="1" t="s">
        <v>1648</v>
      </c>
      <c r="BQ350" s="1" t="s">
        <v>207</v>
      </c>
      <c r="BR350" s="1" t="s">
        <v>208</v>
      </c>
      <c r="BS350" s="1" t="s">
        <v>229</v>
      </c>
      <c r="BT350" s="1" t="s">
        <v>210</v>
      </c>
      <c r="BX350" s="1">
        <v>1</v>
      </c>
    </row>
    <row r="351" spans="1:76" x14ac:dyDescent="0.25">
      <c r="A351" s="1" t="s">
        <v>1649</v>
      </c>
      <c r="B351" s="1" t="s">
        <v>203</v>
      </c>
      <c r="C351" s="1">
        <v>1</v>
      </c>
      <c r="D351" s="1" t="s">
        <v>1650</v>
      </c>
      <c r="E351" s="1">
        <v>1090</v>
      </c>
      <c r="F351" s="1" t="str">
        <f t="shared" si="208"/>
        <v>enemy_1090_mdsnpr_2</v>
      </c>
      <c r="G351" s="1">
        <v>1</v>
      </c>
      <c r="L351" s="1">
        <v>10000</v>
      </c>
      <c r="N351" s="1">
        <v>500</v>
      </c>
      <c r="P351" s="1">
        <v>500</v>
      </c>
      <c r="R351" s="1">
        <v>30</v>
      </c>
      <c r="Z351" s="1">
        <v>0.05</v>
      </c>
      <c r="AA351" s="1">
        <v>2.6</v>
      </c>
      <c r="AB351" s="1">
        <v>3</v>
      </c>
      <c r="AC351" s="1">
        <v>0.8</v>
      </c>
      <c r="AH351" s="1">
        <v>0</v>
      </c>
      <c r="AI351" s="1">
        <v>1</v>
      </c>
      <c r="AJ351" s="1" t="s">
        <v>1651</v>
      </c>
      <c r="AK351" s="1" t="s">
        <v>206</v>
      </c>
      <c r="AL351" s="1" t="s">
        <v>228</v>
      </c>
      <c r="AN351" s="22" t="s">
        <v>9767</v>
      </c>
      <c r="AX351" s="1">
        <v>1</v>
      </c>
      <c r="AZ351" s="1">
        <v>0.25</v>
      </c>
      <c r="BG351" s="1" t="str">
        <f t="shared" si="209"/>
        <v>enemy_1090_mdsnpr_2</v>
      </c>
      <c r="BM351" s="1" t="s">
        <v>1073</v>
      </c>
      <c r="BN351" s="1" t="s">
        <v>1652</v>
      </c>
      <c r="BQ351" s="1" t="s">
        <v>207</v>
      </c>
      <c r="BR351" s="1" t="s">
        <v>208</v>
      </c>
      <c r="BS351" s="1" t="s">
        <v>229</v>
      </c>
      <c r="BT351" s="1" t="s">
        <v>210</v>
      </c>
      <c r="BX351" s="1">
        <v>1</v>
      </c>
    </row>
    <row r="352" spans="1:76" x14ac:dyDescent="0.25">
      <c r="A352" s="1" t="s">
        <v>1653</v>
      </c>
      <c r="B352" s="1" t="s">
        <v>203</v>
      </c>
      <c r="D352" s="1" t="s">
        <v>1654</v>
      </c>
      <c r="E352" s="1">
        <v>1091</v>
      </c>
      <c r="F352" s="1" t="str">
        <f t="shared" si="208"/>
        <v>enemy_1091_mdhmmr</v>
      </c>
      <c r="G352" s="1">
        <v>1</v>
      </c>
      <c r="L352" s="1">
        <v>10000</v>
      </c>
      <c r="N352" s="1">
        <v>900</v>
      </c>
      <c r="P352" s="1">
        <v>800</v>
      </c>
      <c r="R352" s="1">
        <v>30</v>
      </c>
      <c r="Z352" s="1">
        <v>0.05</v>
      </c>
      <c r="AA352" s="1">
        <v>3.5</v>
      </c>
      <c r="AB352" s="1">
        <v>3</v>
      </c>
      <c r="AC352" s="1">
        <v>0.8</v>
      </c>
      <c r="AH352" s="1">
        <v>0</v>
      </c>
      <c r="AI352" s="1">
        <v>1</v>
      </c>
      <c r="AJ352" s="1" t="s">
        <v>1655</v>
      </c>
      <c r="AK352" s="1" t="s">
        <v>206</v>
      </c>
      <c r="AL352" s="1" t="s">
        <v>1656</v>
      </c>
      <c r="AN352" s="22" t="s">
        <v>9767</v>
      </c>
      <c r="AX352" s="1">
        <v>1</v>
      </c>
      <c r="AZ352" s="1">
        <v>0.25</v>
      </c>
      <c r="BG352" s="1" t="str">
        <f t="shared" si="209"/>
        <v>enemy_1091_mdhmmr</v>
      </c>
      <c r="BM352" s="1" t="s">
        <v>1063</v>
      </c>
      <c r="BN352" s="1" t="s">
        <v>1657</v>
      </c>
      <c r="BQ352" s="1" t="s">
        <v>207</v>
      </c>
      <c r="BR352" s="1" t="s">
        <v>208</v>
      </c>
      <c r="BS352" s="1" t="s">
        <v>229</v>
      </c>
      <c r="BT352" s="1" t="s">
        <v>210</v>
      </c>
      <c r="BX352" s="1">
        <v>1</v>
      </c>
    </row>
    <row r="353" spans="1:76" x14ac:dyDescent="0.25">
      <c r="A353" s="1" t="s">
        <v>1658</v>
      </c>
      <c r="B353" s="1" t="s">
        <v>203</v>
      </c>
      <c r="D353" s="1" t="s">
        <v>1659</v>
      </c>
      <c r="E353" s="1">
        <v>1091</v>
      </c>
      <c r="F353" s="1" t="str">
        <f t="shared" si="208"/>
        <v>enemy_1091_mdhmmr_2</v>
      </c>
      <c r="G353" s="1">
        <v>1</v>
      </c>
      <c r="L353" s="1">
        <v>13000</v>
      </c>
      <c r="N353" s="1">
        <v>1000</v>
      </c>
      <c r="P353" s="1">
        <v>800</v>
      </c>
      <c r="R353" s="1">
        <v>30</v>
      </c>
      <c r="Z353" s="1">
        <v>0.05</v>
      </c>
      <c r="AA353" s="1">
        <v>3.5</v>
      </c>
      <c r="AB353" s="1">
        <v>3</v>
      </c>
      <c r="AC353" s="1">
        <v>0.8</v>
      </c>
      <c r="AH353" s="1">
        <v>0</v>
      </c>
      <c r="AI353" s="1">
        <v>1</v>
      </c>
      <c r="AJ353" s="1" t="s">
        <v>1660</v>
      </c>
      <c r="AK353" s="1" t="s">
        <v>206</v>
      </c>
      <c r="AL353" s="1" t="s">
        <v>1661</v>
      </c>
      <c r="AN353" s="22" t="s">
        <v>9767</v>
      </c>
      <c r="AX353" s="1">
        <v>1</v>
      </c>
      <c r="AZ353" s="1">
        <v>0.25</v>
      </c>
      <c r="BG353" s="1" t="str">
        <f t="shared" si="209"/>
        <v>enemy_1091_mdhmmr_2</v>
      </c>
      <c r="BM353" s="1" t="s">
        <v>1063</v>
      </c>
      <c r="BN353" s="1" t="s">
        <v>1657</v>
      </c>
      <c r="BQ353" s="1" t="s">
        <v>207</v>
      </c>
      <c r="BR353" s="1" t="s">
        <v>208</v>
      </c>
      <c r="BS353" s="1" t="s">
        <v>229</v>
      </c>
      <c r="BT353" s="1" t="s">
        <v>210</v>
      </c>
      <c r="BX353" s="1">
        <v>1</v>
      </c>
    </row>
    <row r="354" spans="1:76" x14ac:dyDescent="0.25">
      <c r="A354" s="1" t="s">
        <v>1662</v>
      </c>
      <c r="B354" s="1" t="s">
        <v>203</v>
      </c>
      <c r="D354" s="1" t="s">
        <v>1663</v>
      </c>
      <c r="E354" s="1">
        <v>1092</v>
      </c>
      <c r="F354" s="1" t="str">
        <f t="shared" si="208"/>
        <v>enemy_1092_mdgint</v>
      </c>
      <c r="G354" s="1">
        <v>1</v>
      </c>
      <c r="L354" s="1">
        <v>100000</v>
      </c>
      <c r="N354" s="1">
        <v>3000</v>
      </c>
      <c r="P354" s="1">
        <v>700</v>
      </c>
      <c r="R354" s="1">
        <v>30</v>
      </c>
      <c r="Z354" s="1">
        <v>0.05</v>
      </c>
      <c r="AA354" s="1">
        <v>7</v>
      </c>
      <c r="AB354" s="1">
        <v>5</v>
      </c>
      <c r="AC354" s="1">
        <v>0.4</v>
      </c>
      <c r="AH354" s="1">
        <v>0</v>
      </c>
      <c r="AI354" s="1">
        <v>1</v>
      </c>
      <c r="AJ354" s="1" t="s">
        <v>1664</v>
      </c>
      <c r="AK354" s="1" t="s">
        <v>206</v>
      </c>
      <c r="AL354" s="1" t="s">
        <v>228</v>
      </c>
      <c r="AN354" s="22" t="s">
        <v>9767</v>
      </c>
      <c r="AX354" s="1">
        <v>1</v>
      </c>
      <c r="AZ354" s="1">
        <v>0.25</v>
      </c>
      <c r="BG354" s="1" t="str">
        <f t="shared" si="209"/>
        <v>enemy_1092_mdgint</v>
      </c>
      <c r="BM354" s="1" t="s">
        <v>1665</v>
      </c>
      <c r="BN354" s="1" t="s">
        <v>1666</v>
      </c>
      <c r="BQ354" s="1" t="s">
        <v>207</v>
      </c>
      <c r="BR354" s="1" t="s">
        <v>208</v>
      </c>
      <c r="BS354" s="1" t="s">
        <v>229</v>
      </c>
      <c r="BT354" s="1" t="s">
        <v>210</v>
      </c>
      <c r="BX354" s="1">
        <v>1</v>
      </c>
    </row>
    <row r="355" spans="1:76" x14ac:dyDescent="0.25">
      <c r="A355" s="1" t="s">
        <v>1667</v>
      </c>
      <c r="B355" s="1" t="s">
        <v>203</v>
      </c>
      <c r="D355" s="1" t="s">
        <v>1668</v>
      </c>
      <c r="E355" s="1">
        <v>1092</v>
      </c>
      <c r="F355" s="1" t="str">
        <f t="shared" si="208"/>
        <v>enemy_1092_mdgint_2</v>
      </c>
      <c r="G355" s="1">
        <v>1</v>
      </c>
      <c r="L355" s="1">
        <v>150000</v>
      </c>
      <c r="N355" s="1">
        <v>3600</v>
      </c>
      <c r="P355" s="1">
        <v>800</v>
      </c>
      <c r="R355" s="1">
        <v>40</v>
      </c>
      <c r="Z355" s="1">
        <v>0.05</v>
      </c>
      <c r="AA355" s="1">
        <v>7</v>
      </c>
      <c r="AB355" s="1">
        <v>5</v>
      </c>
      <c r="AC355" s="1">
        <v>0.4</v>
      </c>
      <c r="AH355" s="1">
        <v>0</v>
      </c>
      <c r="AI355" s="1">
        <v>1</v>
      </c>
      <c r="AJ355" s="1" t="s">
        <v>1669</v>
      </c>
      <c r="AK355" s="1" t="s">
        <v>206</v>
      </c>
      <c r="AL355" s="1" t="s">
        <v>228</v>
      </c>
      <c r="AN355" s="22" t="s">
        <v>9767</v>
      </c>
      <c r="AX355" s="1">
        <v>1</v>
      </c>
      <c r="AZ355" s="1">
        <v>0.25</v>
      </c>
      <c r="BG355" s="1" t="str">
        <f t="shared" si="209"/>
        <v>enemy_1092_mdgint_2</v>
      </c>
      <c r="BM355" s="1" t="s">
        <v>1665</v>
      </c>
      <c r="BN355" s="1" t="s">
        <v>1670</v>
      </c>
      <c r="BQ355" s="1" t="s">
        <v>207</v>
      </c>
      <c r="BR355" s="1" t="s">
        <v>208</v>
      </c>
      <c r="BS355" s="1" t="s">
        <v>229</v>
      </c>
      <c r="BT355" s="1" t="s">
        <v>210</v>
      </c>
      <c r="BX355" s="1">
        <v>1</v>
      </c>
    </row>
    <row r="356" spans="1:76" x14ac:dyDescent="0.25">
      <c r="A356" s="1" t="s">
        <v>1671</v>
      </c>
      <c r="B356" s="1" t="s">
        <v>203</v>
      </c>
      <c r="C356" s="1">
        <v>1</v>
      </c>
      <c r="D356" s="1" t="s">
        <v>1672</v>
      </c>
      <c r="E356" s="1">
        <v>1511</v>
      </c>
      <c r="F356" s="1" t="str">
        <f t="shared" si="208"/>
        <v>enemy_1511_mdrock</v>
      </c>
      <c r="G356" s="1">
        <v>1</v>
      </c>
      <c r="L356" s="1">
        <v>45000</v>
      </c>
      <c r="N356" s="1">
        <v>800</v>
      </c>
      <c r="P356" s="1">
        <v>1000</v>
      </c>
      <c r="R356" s="1">
        <v>30</v>
      </c>
      <c r="Z356" s="1">
        <v>0.05</v>
      </c>
      <c r="AA356" s="1">
        <v>4.5</v>
      </c>
      <c r="AB356" s="1">
        <v>6</v>
      </c>
      <c r="AC356" s="1">
        <v>0.6</v>
      </c>
      <c r="AH356" s="1">
        <v>0</v>
      </c>
      <c r="AI356" s="1">
        <v>1</v>
      </c>
      <c r="AJ356" s="1" t="s">
        <v>1673</v>
      </c>
      <c r="AK356" s="1" t="s">
        <v>206</v>
      </c>
      <c r="AL356" s="1" t="s">
        <v>228</v>
      </c>
      <c r="AN356" s="22" t="s">
        <v>9767</v>
      </c>
      <c r="AX356" s="1">
        <v>1</v>
      </c>
      <c r="AZ356" s="1">
        <v>0.25</v>
      </c>
      <c r="BG356" s="1" t="str">
        <f t="shared" si="209"/>
        <v>enemy_1511_mdrock</v>
      </c>
      <c r="BM356" s="1" t="s">
        <v>1674</v>
      </c>
      <c r="BN356" s="1" t="s">
        <v>1675</v>
      </c>
      <c r="BQ356" s="1" t="s">
        <v>207</v>
      </c>
      <c r="BR356" s="1" t="s">
        <v>208</v>
      </c>
      <c r="BS356" s="1" t="s">
        <v>229</v>
      </c>
      <c r="BT356" s="1" t="s">
        <v>210</v>
      </c>
      <c r="BX356" s="1">
        <v>1</v>
      </c>
    </row>
    <row r="357" spans="1:76" x14ac:dyDescent="0.25">
      <c r="A357" s="1" t="s">
        <v>1676</v>
      </c>
      <c r="B357" s="1" t="s">
        <v>203</v>
      </c>
      <c r="D357" s="1" t="s">
        <v>1677</v>
      </c>
      <c r="E357" s="1">
        <v>1093</v>
      </c>
      <c r="F357" s="1" t="str">
        <f t="shared" si="208"/>
        <v>enemy_1093_ccsbr</v>
      </c>
      <c r="G357" s="1">
        <v>1</v>
      </c>
      <c r="L357" s="1">
        <v>2600</v>
      </c>
      <c r="N357" s="1">
        <v>290</v>
      </c>
      <c r="P357" s="1">
        <v>60</v>
      </c>
      <c r="R357" s="1">
        <v>10</v>
      </c>
      <c r="Z357" s="1">
        <v>0.05</v>
      </c>
      <c r="AA357" s="1">
        <v>1.8</v>
      </c>
      <c r="AB357" s="1">
        <v>1</v>
      </c>
      <c r="AC357" s="1">
        <v>0.8</v>
      </c>
      <c r="AH357" s="1">
        <v>0</v>
      </c>
      <c r="AI357" s="1">
        <v>1</v>
      </c>
      <c r="AJ357" s="1" t="s">
        <v>1678</v>
      </c>
      <c r="AK357" s="1" t="s">
        <v>206</v>
      </c>
      <c r="AL357" s="1" t="s">
        <v>1679</v>
      </c>
      <c r="AN357" s="22" t="s">
        <v>9767</v>
      </c>
      <c r="AX357" s="1">
        <v>1</v>
      </c>
      <c r="AZ357" s="1">
        <v>0.25</v>
      </c>
      <c r="BG357" s="1" t="str">
        <f t="shared" si="209"/>
        <v>enemy_1093_ccsbr</v>
      </c>
      <c r="BM357" s="1" t="s">
        <v>930</v>
      </c>
      <c r="BN357" s="1" t="s">
        <v>1680</v>
      </c>
      <c r="BQ357" s="1" t="s">
        <v>207</v>
      </c>
      <c r="BR357" s="1" t="s">
        <v>208</v>
      </c>
      <c r="BS357" s="1" t="s">
        <v>229</v>
      </c>
      <c r="BT357" s="1" t="s">
        <v>210</v>
      </c>
      <c r="BX357" s="1">
        <v>1</v>
      </c>
    </row>
    <row r="358" spans="1:76" x14ac:dyDescent="0.25">
      <c r="A358" s="1" t="s">
        <v>1681</v>
      </c>
      <c r="B358" s="1" t="s">
        <v>203</v>
      </c>
      <c r="D358" s="1" t="s">
        <v>1682</v>
      </c>
      <c r="E358" s="1">
        <v>1093</v>
      </c>
      <c r="F358" s="1" t="str">
        <f t="shared" si="208"/>
        <v>enemy_1093_ccsbr_2</v>
      </c>
      <c r="G358" s="1">
        <v>1</v>
      </c>
      <c r="L358" s="1">
        <v>3600</v>
      </c>
      <c r="N358" s="1">
        <v>380</v>
      </c>
      <c r="P358" s="1">
        <v>110</v>
      </c>
      <c r="R358" s="1">
        <v>10</v>
      </c>
      <c r="Z358" s="1">
        <v>0.05</v>
      </c>
      <c r="AA358" s="1">
        <v>1.8</v>
      </c>
      <c r="AB358" s="1">
        <v>1</v>
      </c>
      <c r="AC358" s="1">
        <v>0.9</v>
      </c>
      <c r="AH358" s="1">
        <v>0</v>
      </c>
      <c r="AI358" s="1">
        <v>1</v>
      </c>
      <c r="AJ358" s="1" t="s">
        <v>1683</v>
      </c>
      <c r="AK358" s="1" t="s">
        <v>206</v>
      </c>
      <c r="AL358" s="1" t="s">
        <v>1684</v>
      </c>
      <c r="AN358" s="22" t="s">
        <v>9767</v>
      </c>
      <c r="AX358" s="1">
        <v>1</v>
      </c>
      <c r="AZ358" s="1">
        <v>0.25</v>
      </c>
      <c r="BG358" s="1" t="str">
        <f t="shared" si="209"/>
        <v>enemy_1093_ccsbr_2</v>
      </c>
      <c r="BM358" s="1" t="s">
        <v>930</v>
      </c>
      <c r="BN358" s="1" t="s">
        <v>1685</v>
      </c>
      <c r="BQ358" s="1" t="s">
        <v>207</v>
      </c>
      <c r="BR358" s="1" t="s">
        <v>208</v>
      </c>
      <c r="BS358" s="1" t="s">
        <v>229</v>
      </c>
      <c r="BT358" s="1" t="s">
        <v>210</v>
      </c>
      <c r="BX358" s="1">
        <v>1</v>
      </c>
    </row>
    <row r="359" spans="1:76" x14ac:dyDescent="0.25">
      <c r="A359" s="1" t="s">
        <v>1686</v>
      </c>
      <c r="B359" s="1" t="s">
        <v>203</v>
      </c>
      <c r="D359" s="1" t="s">
        <v>1687</v>
      </c>
      <c r="E359" s="1">
        <v>1094</v>
      </c>
      <c r="F359" s="1" t="str">
        <f t="shared" si="208"/>
        <v>enemy_1094_ccspm</v>
      </c>
      <c r="G359" s="1">
        <v>1</v>
      </c>
      <c r="L359" s="1">
        <v>2800</v>
      </c>
      <c r="N359" s="1">
        <v>240</v>
      </c>
      <c r="P359" s="1">
        <v>100</v>
      </c>
      <c r="R359" s="1">
        <v>10</v>
      </c>
      <c r="Z359" s="1">
        <v>0.05</v>
      </c>
      <c r="AA359" s="1">
        <v>1.3</v>
      </c>
      <c r="AB359" s="1">
        <v>1</v>
      </c>
      <c r="AC359" s="1">
        <v>0.8</v>
      </c>
      <c r="AH359" s="1">
        <v>0</v>
      </c>
      <c r="AI359" s="1">
        <v>1</v>
      </c>
      <c r="AJ359" s="1" t="s">
        <v>1688</v>
      </c>
      <c r="AK359" s="1" t="s">
        <v>206</v>
      </c>
      <c r="AL359" s="1" t="s">
        <v>1689</v>
      </c>
      <c r="AN359" s="22" t="s">
        <v>9767</v>
      </c>
      <c r="AX359" s="1">
        <v>1</v>
      </c>
      <c r="AZ359" s="1">
        <v>0.25</v>
      </c>
      <c r="BG359" s="1" t="str">
        <f t="shared" si="209"/>
        <v>enemy_1094_ccspm</v>
      </c>
      <c r="BM359" s="1" t="s">
        <v>936</v>
      </c>
      <c r="BN359" s="1" t="s">
        <v>1690</v>
      </c>
      <c r="BQ359" s="1" t="s">
        <v>207</v>
      </c>
      <c r="BR359" s="1" t="s">
        <v>208</v>
      </c>
      <c r="BS359" s="1" t="s">
        <v>229</v>
      </c>
      <c r="BT359" s="1" t="s">
        <v>210</v>
      </c>
      <c r="BX359" s="1">
        <v>1</v>
      </c>
    </row>
    <row r="360" spans="1:76" x14ac:dyDescent="0.25">
      <c r="A360" s="1" t="s">
        <v>1691</v>
      </c>
      <c r="B360" s="1" t="s">
        <v>203</v>
      </c>
      <c r="D360" s="1" t="s">
        <v>1692</v>
      </c>
      <c r="E360" s="1">
        <v>1094</v>
      </c>
      <c r="F360" s="1" t="str">
        <f t="shared" si="208"/>
        <v>enemy_1094_ccspm_2</v>
      </c>
      <c r="G360" s="1">
        <v>1</v>
      </c>
      <c r="L360" s="1">
        <v>3800</v>
      </c>
      <c r="N360" s="1">
        <v>340</v>
      </c>
      <c r="P360" s="1">
        <v>150</v>
      </c>
      <c r="R360" s="1">
        <v>10</v>
      </c>
      <c r="Z360" s="1">
        <v>0.05</v>
      </c>
      <c r="AA360" s="1">
        <v>1.3</v>
      </c>
      <c r="AB360" s="1">
        <v>1</v>
      </c>
      <c r="AC360" s="1">
        <v>0.8</v>
      </c>
      <c r="AH360" s="1">
        <v>0</v>
      </c>
      <c r="AI360" s="1">
        <v>1</v>
      </c>
      <c r="AJ360" s="1" t="s">
        <v>1693</v>
      </c>
      <c r="AK360" s="1" t="s">
        <v>206</v>
      </c>
      <c r="AL360" s="1" t="s">
        <v>1689</v>
      </c>
      <c r="AN360" s="22" t="s">
        <v>9767</v>
      </c>
      <c r="AX360" s="1">
        <v>1</v>
      </c>
      <c r="AZ360" s="1">
        <v>0.25</v>
      </c>
      <c r="BG360" s="1" t="str">
        <f t="shared" si="209"/>
        <v>enemy_1094_ccspm_2</v>
      </c>
      <c r="BM360" s="1" t="s">
        <v>936</v>
      </c>
      <c r="BN360" s="1" t="s">
        <v>1694</v>
      </c>
      <c r="BQ360" s="1" t="s">
        <v>207</v>
      </c>
      <c r="BR360" s="1" t="s">
        <v>208</v>
      </c>
      <c r="BS360" s="1" t="s">
        <v>229</v>
      </c>
      <c r="BT360" s="1" t="s">
        <v>210</v>
      </c>
      <c r="BX360" s="1">
        <v>1</v>
      </c>
    </row>
    <row r="361" spans="1:76" x14ac:dyDescent="0.25">
      <c r="A361" s="1" t="s">
        <v>1695</v>
      </c>
      <c r="B361" s="1" t="s">
        <v>203</v>
      </c>
      <c r="D361" s="1" t="s">
        <v>1696</v>
      </c>
      <c r="E361" s="1">
        <v>1095</v>
      </c>
      <c r="F361" s="1" t="str">
        <f t="shared" si="208"/>
        <v>enemy_1095_ccripr</v>
      </c>
      <c r="G361" s="1">
        <v>1</v>
      </c>
      <c r="L361" s="1">
        <v>5500</v>
      </c>
      <c r="N361" s="1">
        <v>320</v>
      </c>
      <c r="P361" s="1">
        <v>380</v>
      </c>
      <c r="R361" s="1">
        <v>10</v>
      </c>
      <c r="Z361" s="1">
        <v>0.05</v>
      </c>
      <c r="AA361" s="1">
        <v>1</v>
      </c>
      <c r="AB361" s="1">
        <v>2</v>
      </c>
      <c r="AC361" s="1">
        <v>0.8</v>
      </c>
      <c r="AH361" s="1">
        <v>0</v>
      </c>
      <c r="AI361" s="1">
        <v>1</v>
      </c>
      <c r="AJ361" s="1" t="s">
        <v>1697</v>
      </c>
      <c r="AK361" s="1" t="s">
        <v>206</v>
      </c>
      <c r="AL361" s="1" t="s">
        <v>1698</v>
      </c>
      <c r="AN361" s="22" t="s">
        <v>9767</v>
      </c>
      <c r="AX361" s="1">
        <v>1</v>
      </c>
      <c r="AZ361" s="1">
        <v>0.25</v>
      </c>
      <c r="BG361" s="1" t="str">
        <f t="shared" si="209"/>
        <v>enemy_1095_ccripr</v>
      </c>
      <c r="BM361" s="1" t="s">
        <v>930</v>
      </c>
      <c r="BN361" s="1" t="s">
        <v>1699</v>
      </c>
      <c r="BQ361" s="1" t="s">
        <v>207</v>
      </c>
      <c r="BR361" s="1" t="s">
        <v>208</v>
      </c>
      <c r="BS361" s="1" t="s">
        <v>229</v>
      </c>
      <c r="BT361" s="1" t="s">
        <v>210</v>
      </c>
      <c r="BX361" s="1">
        <v>1</v>
      </c>
    </row>
    <row r="362" spans="1:76" x14ac:dyDescent="0.25">
      <c r="A362" s="1" t="s">
        <v>1700</v>
      </c>
      <c r="B362" s="1" t="s">
        <v>203</v>
      </c>
      <c r="D362" s="1" t="s">
        <v>1701</v>
      </c>
      <c r="E362" s="1">
        <v>1095</v>
      </c>
      <c r="F362" s="1" t="str">
        <f t="shared" si="208"/>
        <v>enemy_1095_ccripr_2</v>
      </c>
      <c r="G362" s="1">
        <v>1</v>
      </c>
      <c r="L362" s="1">
        <v>7500</v>
      </c>
      <c r="N362" s="1">
        <v>350</v>
      </c>
      <c r="P362" s="1">
        <v>460</v>
      </c>
      <c r="R362" s="1">
        <v>10</v>
      </c>
      <c r="Z362" s="1">
        <v>0.05</v>
      </c>
      <c r="AA362" s="1">
        <v>0.9</v>
      </c>
      <c r="AB362" s="1">
        <v>2</v>
      </c>
      <c r="AC362" s="1">
        <v>0.8</v>
      </c>
      <c r="AH362" s="1">
        <v>0</v>
      </c>
      <c r="AI362" s="1">
        <v>1</v>
      </c>
      <c r="AJ362" s="1" t="s">
        <v>1702</v>
      </c>
      <c r="AK362" s="1" t="s">
        <v>206</v>
      </c>
      <c r="AL362" s="1" t="s">
        <v>1703</v>
      </c>
      <c r="AN362" s="22" t="s">
        <v>9767</v>
      </c>
      <c r="AX362" s="1">
        <v>1</v>
      </c>
      <c r="AZ362" s="1">
        <v>0.25</v>
      </c>
      <c r="BG362" s="1" t="str">
        <f t="shared" si="209"/>
        <v>enemy_1095_ccripr_2</v>
      </c>
      <c r="BM362" s="1" t="s">
        <v>930</v>
      </c>
      <c r="BN362" s="1" t="s">
        <v>1704</v>
      </c>
      <c r="BQ362" s="1" t="s">
        <v>207</v>
      </c>
      <c r="BR362" s="1" t="s">
        <v>208</v>
      </c>
      <c r="BS362" s="1" t="s">
        <v>229</v>
      </c>
      <c r="BT362" s="1" t="s">
        <v>210</v>
      </c>
      <c r="BX362" s="1">
        <v>1</v>
      </c>
    </row>
    <row r="363" spans="1:76" x14ac:dyDescent="0.25">
      <c r="A363" s="1" t="s">
        <v>1705</v>
      </c>
      <c r="B363" s="1" t="s">
        <v>203</v>
      </c>
      <c r="D363" s="1" t="s">
        <v>1706</v>
      </c>
      <c r="E363" s="1">
        <v>1096</v>
      </c>
      <c r="F363" s="1" t="str">
        <f t="shared" si="208"/>
        <v>enemy_1096_ccwitch</v>
      </c>
      <c r="G363" s="1">
        <v>1</v>
      </c>
      <c r="L363" s="1">
        <v>6000</v>
      </c>
      <c r="N363" s="1">
        <v>250</v>
      </c>
      <c r="P363" s="1">
        <v>200</v>
      </c>
      <c r="R363" s="1">
        <v>70</v>
      </c>
      <c r="Z363" s="1">
        <v>0.05</v>
      </c>
      <c r="AA363" s="1">
        <v>4</v>
      </c>
      <c r="AB363" s="1">
        <v>3</v>
      </c>
      <c r="AC363" s="1">
        <v>0.8</v>
      </c>
      <c r="AH363" s="1">
        <v>0</v>
      </c>
      <c r="AI363" s="1">
        <v>1</v>
      </c>
      <c r="AJ363" s="1" t="s">
        <v>1707</v>
      </c>
      <c r="AK363" s="1" t="s">
        <v>206</v>
      </c>
      <c r="AL363" s="1" t="s">
        <v>1708</v>
      </c>
      <c r="AN363" s="22" t="s">
        <v>9767</v>
      </c>
      <c r="AX363" s="1">
        <v>1</v>
      </c>
      <c r="AZ363" s="1">
        <v>0.25</v>
      </c>
      <c r="BG363" s="1" t="str">
        <f t="shared" si="209"/>
        <v>enemy_1096_ccwitch</v>
      </c>
      <c r="BM363" s="1" t="s">
        <v>957</v>
      </c>
      <c r="BN363" s="1" t="s">
        <v>1709</v>
      </c>
      <c r="BQ363" s="1" t="s">
        <v>207</v>
      </c>
      <c r="BR363" s="1" t="s">
        <v>208</v>
      </c>
      <c r="BS363" s="1" t="s">
        <v>229</v>
      </c>
      <c r="BT363" s="1" t="s">
        <v>210</v>
      </c>
      <c r="BX363" s="1">
        <v>1</v>
      </c>
    </row>
    <row r="364" spans="1:76" x14ac:dyDescent="0.25">
      <c r="A364" s="1" t="s">
        <v>1710</v>
      </c>
      <c r="B364" s="1" t="s">
        <v>203</v>
      </c>
      <c r="D364" s="1" t="s">
        <v>1711</v>
      </c>
      <c r="E364" s="1">
        <v>1096</v>
      </c>
      <c r="F364" s="1" t="str">
        <f t="shared" si="208"/>
        <v>enemy_1096_ccwitch_2</v>
      </c>
      <c r="G364" s="1">
        <v>1</v>
      </c>
      <c r="L364" s="1">
        <v>8000</v>
      </c>
      <c r="N364" s="1">
        <v>350</v>
      </c>
      <c r="P364" s="1">
        <v>250</v>
      </c>
      <c r="R364" s="1">
        <v>80</v>
      </c>
      <c r="Z364" s="1">
        <v>0.05</v>
      </c>
      <c r="AA364" s="1">
        <v>4</v>
      </c>
      <c r="AB364" s="1">
        <v>3</v>
      </c>
      <c r="AC364" s="1">
        <v>0.8</v>
      </c>
      <c r="AH364" s="1">
        <v>0</v>
      </c>
      <c r="AI364" s="1">
        <v>1</v>
      </c>
      <c r="AJ364" s="1" t="s">
        <v>1712</v>
      </c>
      <c r="AK364" s="1" t="s">
        <v>206</v>
      </c>
      <c r="AL364" s="1" t="s">
        <v>1713</v>
      </c>
      <c r="AN364" s="22" t="s">
        <v>9767</v>
      </c>
      <c r="AX364" s="1">
        <v>1</v>
      </c>
      <c r="AZ364" s="1">
        <v>0.25</v>
      </c>
      <c r="BG364" s="1" t="str">
        <f t="shared" si="209"/>
        <v>enemy_1096_ccwitch_2</v>
      </c>
      <c r="BM364" s="1" t="s">
        <v>957</v>
      </c>
      <c r="BN364" s="1" t="s">
        <v>1714</v>
      </c>
      <c r="BQ364" s="1" t="s">
        <v>207</v>
      </c>
      <c r="BR364" s="1" t="s">
        <v>208</v>
      </c>
      <c r="BS364" s="1" t="s">
        <v>229</v>
      </c>
      <c r="BT364" s="1" t="s">
        <v>210</v>
      </c>
      <c r="BX364" s="1">
        <v>1</v>
      </c>
    </row>
    <row r="365" spans="1:76" x14ac:dyDescent="0.25">
      <c r="A365" s="1" t="s">
        <v>1715</v>
      </c>
      <c r="B365" s="1" t="s">
        <v>203</v>
      </c>
      <c r="C365" s="1">
        <v>1</v>
      </c>
      <c r="D365" s="1" t="s">
        <v>1716</v>
      </c>
      <c r="E365" s="1">
        <v>1097</v>
      </c>
      <c r="F365" s="1" t="str">
        <f t="shared" si="208"/>
        <v>enemy_1097_cclmbjk</v>
      </c>
      <c r="G365" s="1">
        <v>1</v>
      </c>
      <c r="L365" s="1">
        <v>7500</v>
      </c>
      <c r="N365" s="1">
        <v>650</v>
      </c>
      <c r="P365" s="1">
        <v>550</v>
      </c>
      <c r="R365" s="1">
        <v>10</v>
      </c>
      <c r="Z365" s="1">
        <v>0.05</v>
      </c>
      <c r="AA365" s="1">
        <v>5</v>
      </c>
      <c r="AB365" s="1">
        <v>4</v>
      </c>
      <c r="AC365" s="1">
        <v>0.7</v>
      </c>
      <c r="AH365" s="1">
        <v>0</v>
      </c>
      <c r="AI365" s="1">
        <v>1</v>
      </c>
      <c r="AJ365" s="1" t="s">
        <v>1717</v>
      </c>
      <c r="AK365" s="1" t="s">
        <v>206</v>
      </c>
      <c r="AL365" s="1" t="s">
        <v>228</v>
      </c>
      <c r="AN365" s="22" t="s">
        <v>9767</v>
      </c>
      <c r="AX365" s="1">
        <v>1</v>
      </c>
      <c r="AZ365" s="1">
        <v>0.25</v>
      </c>
      <c r="BG365" s="1" t="str">
        <f t="shared" si="209"/>
        <v>enemy_1097_cclmbjk</v>
      </c>
      <c r="BM365" s="1" t="s">
        <v>957</v>
      </c>
      <c r="BN365" s="1" t="s">
        <v>1718</v>
      </c>
      <c r="BQ365" s="1" t="s">
        <v>207</v>
      </c>
      <c r="BR365" s="1" t="s">
        <v>208</v>
      </c>
      <c r="BS365" s="1" t="s">
        <v>229</v>
      </c>
      <c r="BT365" s="1" t="s">
        <v>210</v>
      </c>
      <c r="BX365" s="1">
        <v>1</v>
      </c>
    </row>
    <row r="366" spans="1:76" x14ac:dyDescent="0.25">
      <c r="A366" s="1" t="s">
        <v>1719</v>
      </c>
      <c r="B366" s="1" t="s">
        <v>203</v>
      </c>
      <c r="C366" s="1">
        <v>1</v>
      </c>
      <c r="D366" s="1" t="s">
        <v>1720</v>
      </c>
      <c r="E366" s="1">
        <v>1097</v>
      </c>
      <c r="F366" s="1" t="str">
        <f t="shared" si="208"/>
        <v>enemy_1097_cclmbjk_2</v>
      </c>
      <c r="G366" s="1">
        <v>1</v>
      </c>
      <c r="L366" s="1">
        <v>9500</v>
      </c>
      <c r="N366" s="1">
        <v>750</v>
      </c>
      <c r="P366" s="1">
        <v>700</v>
      </c>
      <c r="R366" s="1">
        <v>10</v>
      </c>
      <c r="Z366" s="1">
        <v>0.05</v>
      </c>
      <c r="AA366" s="1">
        <v>5</v>
      </c>
      <c r="AB366" s="1">
        <v>4</v>
      </c>
      <c r="AC366" s="1">
        <v>0.7</v>
      </c>
      <c r="AH366" s="1">
        <v>0</v>
      </c>
      <c r="AI366" s="1">
        <v>1</v>
      </c>
      <c r="AJ366" s="1" t="s">
        <v>1721</v>
      </c>
      <c r="AK366" s="1" t="s">
        <v>206</v>
      </c>
      <c r="AL366" s="1" t="s">
        <v>228</v>
      </c>
      <c r="AN366" s="22" t="s">
        <v>9767</v>
      </c>
      <c r="AX366" s="1">
        <v>1</v>
      </c>
      <c r="AZ366" s="1">
        <v>0.25</v>
      </c>
      <c r="BG366" s="1" t="str">
        <f t="shared" si="209"/>
        <v>enemy_1097_cclmbjk_2</v>
      </c>
      <c r="BM366" s="1" t="s">
        <v>957</v>
      </c>
      <c r="BN366" s="1" t="s">
        <v>1718</v>
      </c>
      <c r="BQ366" s="1" t="s">
        <v>207</v>
      </c>
      <c r="BR366" s="1" t="s">
        <v>208</v>
      </c>
      <c r="BS366" s="1" t="s">
        <v>229</v>
      </c>
      <c r="BT366" s="1" t="s">
        <v>210</v>
      </c>
      <c r="BX366" s="1">
        <v>1</v>
      </c>
    </row>
    <row r="367" spans="1:76" x14ac:dyDescent="0.25">
      <c r="A367" s="1" t="s">
        <v>1722</v>
      </c>
      <c r="B367" s="1" t="s">
        <v>203</v>
      </c>
      <c r="D367" s="1" t="s">
        <v>1723</v>
      </c>
      <c r="E367" s="1">
        <v>1098</v>
      </c>
      <c r="F367" s="1" t="str">
        <f t="shared" si="208"/>
        <v>enemy_1098_cchmpn</v>
      </c>
      <c r="G367" s="1">
        <v>1</v>
      </c>
      <c r="L367" s="1">
        <v>12000</v>
      </c>
      <c r="N367" s="1">
        <v>700</v>
      </c>
      <c r="P367" s="1">
        <v>950</v>
      </c>
      <c r="R367" s="1">
        <v>10</v>
      </c>
      <c r="Z367" s="1">
        <v>0.05</v>
      </c>
      <c r="AA367" s="1">
        <v>4</v>
      </c>
      <c r="AB367" s="1">
        <v>5</v>
      </c>
      <c r="AC367" s="1">
        <v>0.7</v>
      </c>
      <c r="AH367" s="1">
        <v>0</v>
      </c>
      <c r="AI367" s="1">
        <v>1</v>
      </c>
      <c r="AJ367" s="1" t="s">
        <v>1724</v>
      </c>
      <c r="AK367" s="1" t="s">
        <v>206</v>
      </c>
      <c r="AL367" s="1" t="s">
        <v>1725</v>
      </c>
      <c r="AN367" s="22" t="s">
        <v>9767</v>
      </c>
      <c r="AX367" s="1">
        <v>1</v>
      </c>
      <c r="AZ367" s="1">
        <v>0.25</v>
      </c>
      <c r="BG367" s="1" t="str">
        <f t="shared" si="209"/>
        <v>enemy_1098_cchmpn</v>
      </c>
      <c r="BM367" s="1" t="s">
        <v>989</v>
      </c>
      <c r="BN367" s="1" t="s">
        <v>1726</v>
      </c>
      <c r="BQ367" s="1" t="s">
        <v>207</v>
      </c>
      <c r="BR367" s="1" t="s">
        <v>208</v>
      </c>
      <c r="BS367" s="1" t="s">
        <v>229</v>
      </c>
      <c r="BT367" s="1" t="s">
        <v>210</v>
      </c>
      <c r="BX367" s="1">
        <v>1</v>
      </c>
    </row>
    <row r="368" spans="1:76" x14ac:dyDescent="0.25">
      <c r="A368" s="1" t="s">
        <v>1727</v>
      </c>
      <c r="B368" s="1" t="s">
        <v>203</v>
      </c>
      <c r="D368" s="1" t="s">
        <v>1728</v>
      </c>
      <c r="E368" s="1">
        <v>1098</v>
      </c>
      <c r="F368" s="1" t="str">
        <f t="shared" si="208"/>
        <v>enemy_1098_cchmpn_2</v>
      </c>
      <c r="G368" s="1">
        <v>1</v>
      </c>
      <c r="L368" s="1">
        <v>16000</v>
      </c>
      <c r="N368" s="1">
        <v>1000</v>
      </c>
      <c r="P368" s="1">
        <v>1100</v>
      </c>
      <c r="R368" s="1">
        <v>10</v>
      </c>
      <c r="Z368" s="1">
        <v>0.05</v>
      </c>
      <c r="AA368" s="1">
        <v>4</v>
      </c>
      <c r="AB368" s="1">
        <v>5</v>
      </c>
      <c r="AC368" s="1">
        <v>0.8</v>
      </c>
      <c r="AH368" s="1">
        <v>0</v>
      </c>
      <c r="AI368" s="1">
        <v>1</v>
      </c>
      <c r="AJ368" s="1" t="s">
        <v>1729</v>
      </c>
      <c r="AK368" s="1" t="s">
        <v>206</v>
      </c>
      <c r="AL368" s="1" t="s">
        <v>1725</v>
      </c>
      <c r="AN368" s="22" t="s">
        <v>9767</v>
      </c>
      <c r="AX368" s="1">
        <v>1</v>
      </c>
      <c r="AZ368" s="1">
        <v>0.25</v>
      </c>
      <c r="BG368" s="1" t="str">
        <f t="shared" si="209"/>
        <v>enemy_1098_cchmpn_2</v>
      </c>
      <c r="BM368" s="1" t="s">
        <v>989</v>
      </c>
      <c r="BN368" s="1" t="s">
        <v>1730</v>
      </c>
      <c r="BQ368" s="1" t="s">
        <v>207</v>
      </c>
      <c r="BR368" s="1" t="s">
        <v>208</v>
      </c>
      <c r="BS368" s="1" t="s">
        <v>229</v>
      </c>
      <c r="BT368" s="1" t="s">
        <v>210</v>
      </c>
      <c r="BX368" s="1">
        <v>1</v>
      </c>
    </row>
    <row r="369" spans="1:76" x14ac:dyDescent="0.25">
      <c r="A369" s="1" t="s">
        <v>1731</v>
      </c>
      <c r="B369" s="1" t="s">
        <v>203</v>
      </c>
      <c r="C369" s="1">
        <v>1</v>
      </c>
      <c r="D369" s="1" t="s">
        <v>1732</v>
      </c>
      <c r="E369" s="1">
        <v>1512</v>
      </c>
      <c r="F369" s="1" t="str">
        <f t="shared" ref="F369:F432" si="210">"enemy_"&amp;E369&amp;"_"&amp;D369</f>
        <v>enemy_1512_mcmstr</v>
      </c>
      <c r="G369" s="1">
        <v>1</v>
      </c>
      <c r="L369" s="1">
        <v>40000</v>
      </c>
      <c r="N369" s="1">
        <v>500</v>
      </c>
      <c r="P369" s="1">
        <v>1000</v>
      </c>
      <c r="R369" s="1">
        <v>20</v>
      </c>
      <c r="Z369" s="1">
        <v>0.05</v>
      </c>
      <c r="AA369" s="1">
        <v>4</v>
      </c>
      <c r="AB369" s="1">
        <v>6</v>
      </c>
      <c r="AC369" s="1">
        <v>0.6</v>
      </c>
      <c r="AH369" s="1">
        <v>0</v>
      </c>
      <c r="AI369" s="1">
        <v>1</v>
      </c>
      <c r="AJ369" s="1" t="s">
        <v>1733</v>
      </c>
      <c r="AK369" s="1" t="s">
        <v>206</v>
      </c>
      <c r="AL369" s="1" t="s">
        <v>228</v>
      </c>
      <c r="AN369" s="22" t="s">
        <v>9767</v>
      </c>
      <c r="AX369" s="1">
        <v>1</v>
      </c>
      <c r="AZ369" s="1">
        <v>0.25</v>
      </c>
      <c r="BG369" s="1" t="str">
        <f t="shared" ref="BG369:BG432" si="211">"enemy_"&amp;E369&amp;"_"&amp;D369</f>
        <v>enemy_1512_mcmstr</v>
      </c>
      <c r="BM369" s="1" t="s">
        <v>1734</v>
      </c>
      <c r="BN369" s="1" t="s">
        <v>1735</v>
      </c>
      <c r="BQ369" s="1" t="s">
        <v>207</v>
      </c>
      <c r="BR369" s="1" t="s">
        <v>208</v>
      </c>
      <c r="BS369" s="1" t="s">
        <v>1612</v>
      </c>
      <c r="BT369" s="1" t="s">
        <v>210</v>
      </c>
      <c r="BX369" s="1">
        <v>1</v>
      </c>
    </row>
    <row r="370" spans="1:76" x14ac:dyDescent="0.25">
      <c r="A370" s="1" t="s">
        <v>1736</v>
      </c>
      <c r="B370" s="1" t="s">
        <v>203</v>
      </c>
      <c r="C370" s="1">
        <v>1</v>
      </c>
      <c r="D370" s="1" t="s">
        <v>1737</v>
      </c>
      <c r="E370" s="1">
        <v>2001</v>
      </c>
      <c r="F370" s="1" t="str">
        <f t="shared" si="210"/>
        <v>enemy_2001_duckmi</v>
      </c>
      <c r="G370" s="1">
        <v>1</v>
      </c>
      <c r="L370" s="1">
        <v>18000</v>
      </c>
      <c r="N370" s="1">
        <v>100</v>
      </c>
      <c r="P370" s="1">
        <v>200</v>
      </c>
      <c r="R370" s="1">
        <v>30</v>
      </c>
      <c r="Z370" s="1">
        <v>0.05</v>
      </c>
      <c r="AA370" s="1">
        <v>1</v>
      </c>
      <c r="AB370" s="1">
        <v>3</v>
      </c>
      <c r="AC370" s="1">
        <v>0.4</v>
      </c>
      <c r="AH370" s="1">
        <v>0</v>
      </c>
      <c r="AI370" s="1">
        <v>1</v>
      </c>
      <c r="AJ370" s="1" t="s">
        <v>1738</v>
      </c>
      <c r="AK370" s="1" t="s">
        <v>206</v>
      </c>
      <c r="AL370" s="1" t="s">
        <v>228</v>
      </c>
      <c r="AN370" s="22" t="s">
        <v>9767</v>
      </c>
      <c r="AX370" s="1">
        <v>1</v>
      </c>
      <c r="AZ370" s="1">
        <v>0.25</v>
      </c>
      <c r="BG370" s="1" t="str">
        <f t="shared" si="211"/>
        <v>enemy_2001_duckmi</v>
      </c>
      <c r="BM370" s="1" t="s">
        <v>1739</v>
      </c>
      <c r="BN370" s="1" t="s">
        <v>1740</v>
      </c>
      <c r="BQ370" s="1" t="s">
        <v>207</v>
      </c>
      <c r="BR370" s="1" t="s">
        <v>208</v>
      </c>
      <c r="BS370" s="1" t="s">
        <v>229</v>
      </c>
      <c r="BT370" s="1" t="s">
        <v>210</v>
      </c>
      <c r="BX370" s="1">
        <v>1</v>
      </c>
    </row>
    <row r="371" spans="1:76" x14ac:dyDescent="0.25">
      <c r="A371" s="1" t="s">
        <v>1741</v>
      </c>
      <c r="B371" s="1" t="s">
        <v>203</v>
      </c>
      <c r="C371" s="1">
        <v>1</v>
      </c>
      <c r="D371" s="1" t="s">
        <v>1742</v>
      </c>
      <c r="E371" s="1">
        <v>2002</v>
      </c>
      <c r="F371" s="1" t="str">
        <f t="shared" si="210"/>
        <v>enemy_2002_bearmi</v>
      </c>
      <c r="G371" s="1">
        <v>1</v>
      </c>
      <c r="L371" s="1">
        <v>30000</v>
      </c>
      <c r="N371" s="1">
        <v>2000</v>
      </c>
      <c r="P371" s="1">
        <v>200</v>
      </c>
      <c r="R371" s="1">
        <v>50</v>
      </c>
      <c r="Z371" s="1">
        <v>0.05</v>
      </c>
      <c r="AA371" s="1">
        <v>3.5</v>
      </c>
      <c r="AB371" s="1">
        <v>4</v>
      </c>
      <c r="AC371" s="1">
        <v>0.5</v>
      </c>
      <c r="AH371" s="1">
        <v>0</v>
      </c>
      <c r="AI371" s="1">
        <v>1</v>
      </c>
      <c r="AJ371" s="1" t="s">
        <v>1743</v>
      </c>
      <c r="AK371" s="1" t="s">
        <v>206</v>
      </c>
      <c r="AL371" s="1" t="s">
        <v>228</v>
      </c>
      <c r="AN371" s="22" t="s">
        <v>9767</v>
      </c>
      <c r="AX371" s="1">
        <v>1</v>
      </c>
      <c r="AZ371" s="1">
        <v>0.25</v>
      </c>
      <c r="BG371" s="1" t="str">
        <f t="shared" si="211"/>
        <v>enemy_2002_bearmi</v>
      </c>
      <c r="BM371" s="1" t="s">
        <v>989</v>
      </c>
      <c r="BN371" s="1" t="s">
        <v>1744</v>
      </c>
      <c r="BQ371" s="1" t="s">
        <v>207</v>
      </c>
      <c r="BR371" s="1" t="s">
        <v>208</v>
      </c>
      <c r="BS371" s="1" t="s">
        <v>229</v>
      </c>
      <c r="BT371" s="1" t="s">
        <v>210</v>
      </c>
      <c r="BX371" s="1">
        <v>1</v>
      </c>
    </row>
    <row r="372" spans="1:76" x14ac:dyDescent="0.25">
      <c r="AN372" s="22"/>
    </row>
    <row r="373" spans="1:76" x14ac:dyDescent="0.25">
      <c r="AN373" s="22"/>
    </row>
    <row r="374" spans="1:76" x14ac:dyDescent="0.25">
      <c r="AN374" s="22"/>
    </row>
    <row r="375" spans="1:76" x14ac:dyDescent="0.25">
      <c r="AN375" s="22"/>
    </row>
    <row r="376" spans="1:76" x14ac:dyDescent="0.25">
      <c r="AN376" s="22"/>
    </row>
    <row r="377" spans="1:76" x14ac:dyDescent="0.25">
      <c r="AN377" s="22"/>
    </row>
    <row r="378" spans="1:76" x14ac:dyDescent="0.25">
      <c r="A378" s="1" t="s">
        <v>1770</v>
      </c>
      <c r="B378" s="1" t="s">
        <v>203</v>
      </c>
      <c r="D378" s="1" t="s">
        <v>1771</v>
      </c>
      <c r="E378" s="1">
        <v>1099</v>
      </c>
      <c r="F378" s="1" t="str">
        <f t="shared" si="210"/>
        <v>enemy_1099_nbkght</v>
      </c>
      <c r="G378" s="1">
        <v>1</v>
      </c>
      <c r="L378" s="1">
        <v>2800</v>
      </c>
      <c r="N378" s="1">
        <v>280</v>
      </c>
      <c r="P378" s="1">
        <v>150</v>
      </c>
      <c r="R378" s="1">
        <v>0</v>
      </c>
      <c r="Z378" s="1">
        <v>0.05</v>
      </c>
      <c r="AA378" s="1">
        <v>2</v>
      </c>
      <c r="AB378" s="1">
        <v>1</v>
      </c>
      <c r="AC378" s="1">
        <v>1.1000000000000001</v>
      </c>
      <c r="AH378" s="1">
        <v>0</v>
      </c>
      <c r="AI378" s="1">
        <v>1</v>
      </c>
      <c r="AJ378" s="1" t="s">
        <v>1772</v>
      </c>
      <c r="AK378" s="1" t="s">
        <v>206</v>
      </c>
      <c r="AL378" s="1" t="s">
        <v>228</v>
      </c>
      <c r="AN378" s="22" t="s">
        <v>9767</v>
      </c>
      <c r="AX378" s="1">
        <v>1</v>
      </c>
      <c r="AZ378" s="1">
        <v>0.25</v>
      </c>
      <c r="BG378" s="1" t="str">
        <f t="shared" si="211"/>
        <v>enemy_1099_nbkght</v>
      </c>
      <c r="BM378" s="1" t="s">
        <v>930</v>
      </c>
      <c r="BN378" s="1" t="s">
        <v>1773</v>
      </c>
      <c r="BQ378" s="1" t="s">
        <v>207</v>
      </c>
      <c r="BR378" s="1" t="s">
        <v>208</v>
      </c>
      <c r="BS378" s="1" t="s">
        <v>229</v>
      </c>
      <c r="BT378" s="1" t="s">
        <v>210</v>
      </c>
      <c r="BX378" s="1">
        <v>1</v>
      </c>
    </row>
    <row r="379" spans="1:76" x14ac:dyDescent="0.25">
      <c r="A379" s="1" t="s">
        <v>1774</v>
      </c>
      <c r="B379" s="1" t="s">
        <v>203</v>
      </c>
      <c r="D379" s="1" t="s">
        <v>1775</v>
      </c>
      <c r="E379" s="1">
        <v>1099</v>
      </c>
      <c r="F379" s="1" t="str">
        <f t="shared" si="210"/>
        <v>enemy_1099_nbkght_2</v>
      </c>
      <c r="G379" s="1">
        <v>1</v>
      </c>
      <c r="L379" s="1">
        <v>3800</v>
      </c>
      <c r="N379" s="1">
        <v>360</v>
      </c>
      <c r="P379" s="1">
        <v>150</v>
      </c>
      <c r="R379" s="1">
        <v>0</v>
      </c>
      <c r="Z379" s="1">
        <v>0.05</v>
      </c>
      <c r="AA379" s="1">
        <v>2</v>
      </c>
      <c r="AB379" s="1">
        <v>1</v>
      </c>
      <c r="AC379" s="1">
        <v>1.1000000000000001</v>
      </c>
      <c r="AH379" s="1">
        <v>0</v>
      </c>
      <c r="AI379" s="1">
        <v>1</v>
      </c>
      <c r="AJ379" s="1" t="s">
        <v>1776</v>
      </c>
      <c r="AK379" s="1" t="s">
        <v>206</v>
      </c>
      <c r="AL379" s="1" t="s">
        <v>228</v>
      </c>
      <c r="AN379" s="22" t="s">
        <v>9767</v>
      </c>
      <c r="AX379" s="1">
        <v>1</v>
      </c>
      <c r="AZ379" s="1">
        <v>0.25</v>
      </c>
      <c r="BG379" s="1" t="str">
        <f t="shared" si="211"/>
        <v>enemy_1099_nbkght_2</v>
      </c>
      <c r="BM379" s="1" t="s">
        <v>930</v>
      </c>
      <c r="BN379" s="1" t="s">
        <v>1777</v>
      </c>
      <c r="BQ379" s="1" t="s">
        <v>207</v>
      </c>
      <c r="BR379" s="1" t="s">
        <v>208</v>
      </c>
      <c r="BS379" s="1" t="s">
        <v>229</v>
      </c>
      <c r="BT379" s="1" t="s">
        <v>210</v>
      </c>
      <c r="BX379" s="1">
        <v>1</v>
      </c>
    </row>
    <row r="380" spans="1:76" x14ac:dyDescent="0.25">
      <c r="A380" s="1" t="s">
        <v>1778</v>
      </c>
      <c r="B380" s="1" t="s">
        <v>203</v>
      </c>
      <c r="D380" s="1" t="s">
        <v>1779</v>
      </c>
      <c r="E380" s="1">
        <v>1100</v>
      </c>
      <c r="F380" s="1" t="str">
        <f t="shared" si="210"/>
        <v>enemy_1100_scorpn</v>
      </c>
      <c r="G380" s="1">
        <v>1</v>
      </c>
      <c r="L380" s="1">
        <v>2000</v>
      </c>
      <c r="N380" s="1">
        <v>380</v>
      </c>
      <c r="P380" s="1">
        <v>450</v>
      </c>
      <c r="R380" s="1">
        <v>30</v>
      </c>
      <c r="Z380" s="1">
        <v>0.05</v>
      </c>
      <c r="AA380" s="1">
        <v>2.5</v>
      </c>
      <c r="AB380" s="1">
        <v>0</v>
      </c>
      <c r="AC380" s="1">
        <v>1</v>
      </c>
      <c r="AH380" s="1">
        <v>0</v>
      </c>
      <c r="AI380" s="1">
        <v>1</v>
      </c>
      <c r="AJ380" s="1" t="s">
        <v>1780</v>
      </c>
      <c r="AK380" s="1" t="s">
        <v>206</v>
      </c>
      <c r="AL380" s="1" t="s">
        <v>228</v>
      </c>
      <c r="AN380" s="22" t="s">
        <v>9767</v>
      </c>
      <c r="AX380" s="1">
        <v>1</v>
      </c>
      <c r="AZ380" s="1">
        <v>0.25</v>
      </c>
      <c r="BG380" s="1" t="str">
        <f t="shared" si="211"/>
        <v>enemy_1100_scorpn</v>
      </c>
      <c r="BM380" s="1" t="s">
        <v>888</v>
      </c>
      <c r="BN380" s="1" t="s">
        <v>1781</v>
      </c>
      <c r="BQ380" s="1" t="s">
        <v>207</v>
      </c>
      <c r="BR380" s="1" t="s">
        <v>208</v>
      </c>
      <c r="BS380" s="1" t="s">
        <v>229</v>
      </c>
      <c r="BT380" s="1" t="s">
        <v>210</v>
      </c>
      <c r="BX380" s="1">
        <v>1</v>
      </c>
    </row>
    <row r="381" spans="1:76" x14ac:dyDescent="0.25">
      <c r="A381" s="1" t="s">
        <v>1782</v>
      </c>
      <c r="B381" s="1" t="s">
        <v>203</v>
      </c>
      <c r="D381" s="1" t="s">
        <v>1783</v>
      </c>
      <c r="E381" s="1">
        <v>1100</v>
      </c>
      <c r="F381" s="1" t="str">
        <f t="shared" si="210"/>
        <v>enemy_1100_scorpn_2</v>
      </c>
      <c r="G381" s="1">
        <v>1</v>
      </c>
      <c r="L381" s="1">
        <v>3000</v>
      </c>
      <c r="N381" s="1">
        <v>450</v>
      </c>
      <c r="P381" s="1">
        <v>700</v>
      </c>
      <c r="R381" s="1">
        <v>50</v>
      </c>
      <c r="Z381" s="1">
        <v>0.05</v>
      </c>
      <c r="AA381" s="1">
        <v>2.5</v>
      </c>
      <c r="AB381" s="1">
        <v>0</v>
      </c>
      <c r="AC381" s="1">
        <v>1</v>
      </c>
      <c r="AH381" s="1">
        <v>0</v>
      </c>
      <c r="AI381" s="1">
        <v>1</v>
      </c>
      <c r="AJ381" s="1" t="s">
        <v>1784</v>
      </c>
      <c r="AK381" s="1" t="s">
        <v>206</v>
      </c>
      <c r="AL381" s="1" t="s">
        <v>228</v>
      </c>
      <c r="AN381" s="22" t="s">
        <v>9767</v>
      </c>
      <c r="AX381" s="1">
        <v>1</v>
      </c>
      <c r="AZ381" s="1">
        <v>0.25</v>
      </c>
      <c r="BG381" s="1" t="str">
        <f t="shared" si="211"/>
        <v>enemy_1100_scorpn_2</v>
      </c>
      <c r="BM381" s="1" t="s">
        <v>888</v>
      </c>
      <c r="BN381" s="1" t="s">
        <v>1781</v>
      </c>
      <c r="BQ381" s="1" t="s">
        <v>207</v>
      </c>
      <c r="BR381" s="1" t="s">
        <v>208</v>
      </c>
      <c r="BS381" s="1" t="s">
        <v>229</v>
      </c>
      <c r="BT381" s="1" t="s">
        <v>210</v>
      </c>
      <c r="BX381" s="1">
        <v>1</v>
      </c>
    </row>
    <row r="382" spans="1:76" x14ac:dyDescent="0.25">
      <c r="A382" s="1" t="s">
        <v>1785</v>
      </c>
      <c r="B382" s="1" t="s">
        <v>203</v>
      </c>
      <c r="D382" s="1" t="s">
        <v>1786</v>
      </c>
      <c r="E382" s="1">
        <v>1101</v>
      </c>
      <c r="F382" s="1" t="str">
        <f t="shared" si="210"/>
        <v>enemy_1101_plkght</v>
      </c>
      <c r="G382" s="1">
        <v>1</v>
      </c>
      <c r="L382" s="1">
        <v>2800</v>
      </c>
      <c r="N382" s="1">
        <v>300</v>
      </c>
      <c r="P382" s="1">
        <v>100</v>
      </c>
      <c r="R382" s="1">
        <v>0</v>
      </c>
      <c r="Z382" s="1">
        <v>0.05</v>
      </c>
      <c r="AA382" s="1">
        <v>2.4</v>
      </c>
      <c r="AB382" s="1">
        <v>1</v>
      </c>
      <c r="AC382" s="1">
        <v>0.9</v>
      </c>
      <c r="AH382" s="1">
        <v>0</v>
      </c>
      <c r="AI382" s="1">
        <v>1</v>
      </c>
      <c r="AJ382" s="1" t="s">
        <v>1787</v>
      </c>
      <c r="AK382" s="1" t="s">
        <v>206</v>
      </c>
      <c r="AL382" s="1" t="s">
        <v>1788</v>
      </c>
      <c r="AN382" s="22" t="s">
        <v>9767</v>
      </c>
      <c r="AX382" s="1">
        <v>1</v>
      </c>
      <c r="AZ382" s="1">
        <v>0.25</v>
      </c>
      <c r="BG382" s="1" t="str">
        <f t="shared" si="211"/>
        <v>enemy_1101_plkght</v>
      </c>
      <c r="BM382" s="1" t="s">
        <v>936</v>
      </c>
      <c r="BN382" s="1" t="s">
        <v>1789</v>
      </c>
      <c r="BQ382" s="1" t="s">
        <v>207</v>
      </c>
      <c r="BR382" s="1" t="s">
        <v>208</v>
      </c>
      <c r="BS382" s="1" t="s">
        <v>229</v>
      </c>
      <c r="BT382" s="1" t="s">
        <v>210</v>
      </c>
      <c r="BX382" s="1">
        <v>1</v>
      </c>
    </row>
    <row r="383" spans="1:76" x14ac:dyDescent="0.25">
      <c r="A383" s="1" t="s">
        <v>1790</v>
      </c>
      <c r="B383" s="1" t="s">
        <v>203</v>
      </c>
      <c r="D383" s="1" t="s">
        <v>1791</v>
      </c>
      <c r="E383" s="1">
        <v>1101</v>
      </c>
      <c r="F383" s="1" t="str">
        <f t="shared" si="210"/>
        <v>enemy_1101_plkght_2</v>
      </c>
      <c r="G383" s="1">
        <v>1</v>
      </c>
      <c r="L383" s="1">
        <v>3800</v>
      </c>
      <c r="N383" s="1">
        <v>420</v>
      </c>
      <c r="P383" s="1">
        <v>100</v>
      </c>
      <c r="R383" s="1">
        <v>0</v>
      </c>
      <c r="Z383" s="1">
        <v>0.05</v>
      </c>
      <c r="AA383" s="1">
        <v>2.4</v>
      </c>
      <c r="AB383" s="1">
        <v>1</v>
      </c>
      <c r="AC383" s="1">
        <v>0.9</v>
      </c>
      <c r="AH383" s="1">
        <v>0</v>
      </c>
      <c r="AI383" s="1">
        <v>1</v>
      </c>
      <c r="AJ383" s="1" t="s">
        <v>1792</v>
      </c>
      <c r="AK383" s="1" t="s">
        <v>206</v>
      </c>
      <c r="AL383" s="1" t="s">
        <v>1788</v>
      </c>
      <c r="AN383" s="22" t="s">
        <v>9767</v>
      </c>
      <c r="AX383" s="1">
        <v>1</v>
      </c>
      <c r="AZ383" s="1">
        <v>0.25</v>
      </c>
      <c r="BG383" s="1" t="str">
        <f t="shared" si="211"/>
        <v>enemy_1101_plkght_2</v>
      </c>
      <c r="BM383" s="1" t="s">
        <v>936</v>
      </c>
      <c r="BN383" s="1" t="s">
        <v>1789</v>
      </c>
      <c r="BQ383" s="1" t="s">
        <v>207</v>
      </c>
      <c r="BR383" s="1" t="s">
        <v>208</v>
      </c>
      <c r="BS383" s="1" t="s">
        <v>229</v>
      </c>
      <c r="BT383" s="1" t="s">
        <v>210</v>
      </c>
      <c r="BX383" s="1">
        <v>1</v>
      </c>
    </row>
    <row r="384" spans="1:76" x14ac:dyDescent="0.25">
      <c r="A384" s="1" t="s">
        <v>1793</v>
      </c>
      <c r="B384" s="1" t="s">
        <v>203</v>
      </c>
      <c r="D384" s="1" t="s">
        <v>1794</v>
      </c>
      <c r="E384" s="1">
        <v>1101</v>
      </c>
      <c r="F384" s="1" t="str">
        <f t="shared" si="210"/>
        <v>enemy_1101_plkght_3</v>
      </c>
      <c r="G384" s="1">
        <v>1</v>
      </c>
      <c r="L384" s="1">
        <v>3800</v>
      </c>
      <c r="N384" s="1">
        <v>600</v>
      </c>
      <c r="P384" s="1">
        <v>100</v>
      </c>
      <c r="R384" s="1">
        <v>0</v>
      </c>
      <c r="Z384" s="1">
        <v>0.05</v>
      </c>
      <c r="AA384" s="1">
        <v>2.4</v>
      </c>
      <c r="AB384" s="1">
        <v>1</v>
      </c>
      <c r="AC384" s="1">
        <v>0.9</v>
      </c>
      <c r="AH384" s="1">
        <v>0</v>
      </c>
      <c r="AI384" s="1">
        <v>1</v>
      </c>
      <c r="AJ384" s="1" t="s">
        <v>1795</v>
      </c>
      <c r="AK384" s="1" t="s">
        <v>206</v>
      </c>
      <c r="AL384" s="1" t="s">
        <v>1796</v>
      </c>
      <c r="AN384" s="22" t="s">
        <v>9767</v>
      </c>
      <c r="AX384" s="1">
        <v>1</v>
      </c>
      <c r="AZ384" s="1">
        <v>0.25</v>
      </c>
      <c r="BG384" s="1" t="str">
        <f t="shared" si="211"/>
        <v>enemy_1101_plkght_3</v>
      </c>
      <c r="BM384" s="1" t="s">
        <v>957</v>
      </c>
      <c r="BN384" s="1" t="s">
        <v>1789</v>
      </c>
      <c r="BQ384" s="1" t="s">
        <v>207</v>
      </c>
      <c r="BR384" s="1" t="s">
        <v>208</v>
      </c>
      <c r="BS384" s="1" t="s">
        <v>229</v>
      </c>
      <c r="BT384" s="1" t="s">
        <v>210</v>
      </c>
      <c r="BX384" s="1">
        <v>1</v>
      </c>
    </row>
    <row r="385" spans="1:76" x14ac:dyDescent="0.25">
      <c r="A385" s="1" t="s">
        <v>1797</v>
      </c>
      <c r="B385" s="1" t="s">
        <v>203</v>
      </c>
      <c r="D385" s="1" t="s">
        <v>1798</v>
      </c>
      <c r="E385" s="1">
        <v>1102</v>
      </c>
      <c r="F385" s="1" t="str">
        <f t="shared" si="210"/>
        <v>enemy_1102_sdkght</v>
      </c>
      <c r="G385" s="1">
        <v>1</v>
      </c>
      <c r="L385" s="1">
        <v>8000</v>
      </c>
      <c r="N385" s="1">
        <v>700</v>
      </c>
      <c r="P385" s="1">
        <v>1000</v>
      </c>
      <c r="R385" s="1">
        <v>0</v>
      </c>
      <c r="Z385" s="1">
        <v>0.05</v>
      </c>
      <c r="AA385" s="1">
        <v>3</v>
      </c>
      <c r="AB385" s="1">
        <v>4</v>
      </c>
      <c r="AC385" s="1">
        <v>0.7</v>
      </c>
      <c r="AH385" s="1">
        <v>0</v>
      </c>
      <c r="AI385" s="1">
        <v>1</v>
      </c>
      <c r="AJ385" s="1" t="s">
        <v>1799</v>
      </c>
      <c r="AK385" s="1" t="s">
        <v>206</v>
      </c>
      <c r="AL385" s="1" t="s">
        <v>228</v>
      </c>
      <c r="AN385" s="22" t="s">
        <v>9767</v>
      </c>
      <c r="AX385" s="1">
        <v>1</v>
      </c>
      <c r="AZ385" s="1">
        <v>0.25</v>
      </c>
      <c r="BG385" s="1" t="str">
        <f t="shared" si="211"/>
        <v>enemy_1102_sdkght</v>
      </c>
      <c r="BM385" s="1" t="s">
        <v>989</v>
      </c>
      <c r="BN385" s="1" t="s">
        <v>1800</v>
      </c>
      <c r="BQ385" s="1" t="s">
        <v>207</v>
      </c>
      <c r="BR385" s="1" t="s">
        <v>208</v>
      </c>
      <c r="BS385" s="1" t="s">
        <v>229</v>
      </c>
      <c r="BT385" s="1" t="s">
        <v>210</v>
      </c>
      <c r="BX385" s="1">
        <v>1</v>
      </c>
    </row>
    <row r="386" spans="1:76" x14ac:dyDescent="0.25">
      <c r="A386" s="1" t="s">
        <v>1801</v>
      </c>
      <c r="B386" s="1" t="s">
        <v>203</v>
      </c>
      <c r="D386" s="1" t="s">
        <v>1802</v>
      </c>
      <c r="E386" s="1">
        <v>1102</v>
      </c>
      <c r="F386" s="1" t="str">
        <f t="shared" si="210"/>
        <v>enemy_1102_sdkght_2</v>
      </c>
      <c r="G386" s="1">
        <v>1</v>
      </c>
      <c r="L386" s="1">
        <v>12000</v>
      </c>
      <c r="N386" s="1">
        <v>700</v>
      </c>
      <c r="P386" s="1">
        <v>1300</v>
      </c>
      <c r="R386" s="1">
        <v>0</v>
      </c>
      <c r="Z386" s="1">
        <v>0.05</v>
      </c>
      <c r="AA386" s="1">
        <v>3</v>
      </c>
      <c r="AB386" s="1">
        <v>4</v>
      </c>
      <c r="AC386" s="1">
        <v>0.7</v>
      </c>
      <c r="AH386" s="1">
        <v>0</v>
      </c>
      <c r="AI386" s="1">
        <v>1</v>
      </c>
      <c r="AJ386" s="1" t="s">
        <v>1803</v>
      </c>
      <c r="AK386" s="1" t="s">
        <v>206</v>
      </c>
      <c r="AL386" s="1" t="s">
        <v>228</v>
      </c>
      <c r="AN386" s="22" t="s">
        <v>9767</v>
      </c>
      <c r="AX386" s="1">
        <v>1</v>
      </c>
      <c r="AZ386" s="1">
        <v>0.25</v>
      </c>
      <c r="BG386" s="1" t="str">
        <f t="shared" si="211"/>
        <v>enemy_1102_sdkght_2</v>
      </c>
      <c r="BM386" s="1" t="s">
        <v>989</v>
      </c>
      <c r="BN386" s="1" t="s">
        <v>1804</v>
      </c>
      <c r="BQ386" s="1" t="s">
        <v>207</v>
      </c>
      <c r="BR386" s="1" t="s">
        <v>208</v>
      </c>
      <c r="BS386" s="1" t="s">
        <v>229</v>
      </c>
      <c r="BT386" s="1" t="s">
        <v>210</v>
      </c>
      <c r="BX386" s="1">
        <v>1</v>
      </c>
    </row>
    <row r="387" spans="1:76" x14ac:dyDescent="0.25">
      <c r="A387" s="1" t="s">
        <v>1805</v>
      </c>
      <c r="B387" s="1" t="s">
        <v>203</v>
      </c>
      <c r="D387" s="1" t="s">
        <v>1806</v>
      </c>
      <c r="E387" s="1">
        <v>1103</v>
      </c>
      <c r="F387" s="1" t="str">
        <f t="shared" si="210"/>
        <v>enemy_1103_wdkght</v>
      </c>
      <c r="G387" s="1">
        <v>1</v>
      </c>
      <c r="L387" s="1">
        <v>9000</v>
      </c>
      <c r="N387" s="1">
        <v>500</v>
      </c>
      <c r="P387" s="1">
        <v>800</v>
      </c>
      <c r="R387" s="1">
        <v>0</v>
      </c>
      <c r="Z387" s="1">
        <v>0.05</v>
      </c>
      <c r="AA387" s="1">
        <v>2.2999999999999998</v>
      </c>
      <c r="AB387" s="1">
        <v>3</v>
      </c>
      <c r="AC387" s="1">
        <v>0.7</v>
      </c>
      <c r="AH387" s="1">
        <v>0</v>
      </c>
      <c r="AI387" s="1">
        <v>1</v>
      </c>
      <c r="AJ387" s="1" t="s">
        <v>1807</v>
      </c>
      <c r="AK387" s="1" t="s">
        <v>206</v>
      </c>
      <c r="AL387" s="1" t="s">
        <v>1808</v>
      </c>
      <c r="AN387" s="22" t="s">
        <v>9767</v>
      </c>
      <c r="AX387" s="1">
        <v>1</v>
      </c>
      <c r="AZ387" s="1">
        <v>0.25</v>
      </c>
      <c r="BG387" s="1" t="str">
        <f t="shared" si="211"/>
        <v>enemy_1103_wdkght</v>
      </c>
      <c r="BM387" s="1" t="s">
        <v>989</v>
      </c>
      <c r="BN387" s="1" t="s">
        <v>1809</v>
      </c>
      <c r="BQ387" s="1" t="s">
        <v>207</v>
      </c>
      <c r="BR387" s="1" t="s">
        <v>208</v>
      </c>
      <c r="BS387" s="1" t="s">
        <v>229</v>
      </c>
      <c r="BT387" s="1" t="s">
        <v>210</v>
      </c>
      <c r="BX387" s="1">
        <v>1</v>
      </c>
    </row>
    <row r="388" spans="1:76" x14ac:dyDescent="0.25">
      <c r="A388" s="1" t="s">
        <v>1810</v>
      </c>
      <c r="B388" s="1" t="s">
        <v>203</v>
      </c>
      <c r="D388" s="1" t="s">
        <v>1811</v>
      </c>
      <c r="E388" s="1">
        <v>1103</v>
      </c>
      <c r="F388" s="1" t="str">
        <f t="shared" si="210"/>
        <v>enemy_1103_wdkght_2</v>
      </c>
      <c r="G388" s="1">
        <v>1</v>
      </c>
      <c r="L388" s="1">
        <v>13000</v>
      </c>
      <c r="N388" s="1">
        <v>650</v>
      </c>
      <c r="P388" s="1">
        <v>800</v>
      </c>
      <c r="R388" s="1">
        <v>0</v>
      </c>
      <c r="Z388" s="1">
        <v>0.05</v>
      </c>
      <c r="AA388" s="1">
        <v>2.2999999999999998</v>
      </c>
      <c r="AB388" s="1">
        <v>3</v>
      </c>
      <c r="AC388" s="1">
        <v>0.7</v>
      </c>
      <c r="AH388" s="1">
        <v>0</v>
      </c>
      <c r="AI388" s="1">
        <v>1</v>
      </c>
      <c r="AJ388" s="1" t="s">
        <v>1812</v>
      </c>
      <c r="AK388" s="1" t="s">
        <v>206</v>
      </c>
      <c r="AL388" s="1" t="s">
        <v>1808</v>
      </c>
      <c r="AN388" s="22" t="s">
        <v>9767</v>
      </c>
      <c r="AX388" s="1">
        <v>1</v>
      </c>
      <c r="AZ388" s="1">
        <v>0.25</v>
      </c>
      <c r="BG388" s="1" t="str">
        <f t="shared" si="211"/>
        <v>enemy_1103_wdkght_2</v>
      </c>
      <c r="BM388" s="1" t="s">
        <v>989</v>
      </c>
      <c r="BN388" s="1" t="s">
        <v>1809</v>
      </c>
      <c r="BQ388" s="1" t="s">
        <v>207</v>
      </c>
      <c r="BR388" s="1" t="s">
        <v>208</v>
      </c>
      <c r="BS388" s="1" t="s">
        <v>229</v>
      </c>
      <c r="BT388" s="1" t="s">
        <v>210</v>
      </c>
      <c r="BX388" s="1">
        <v>1</v>
      </c>
    </row>
    <row r="389" spans="1:76" x14ac:dyDescent="0.25">
      <c r="A389" s="1" t="s">
        <v>1813</v>
      </c>
      <c r="B389" s="1" t="s">
        <v>203</v>
      </c>
      <c r="D389" s="1" t="s">
        <v>1814</v>
      </c>
      <c r="E389" s="1">
        <v>1103</v>
      </c>
      <c r="F389" s="1" t="str">
        <f t="shared" si="210"/>
        <v>enemy_1103_wdkght_3</v>
      </c>
      <c r="G389" s="1">
        <v>1</v>
      </c>
      <c r="L389" s="1">
        <v>15000</v>
      </c>
      <c r="N389" s="1">
        <v>700</v>
      </c>
      <c r="P389" s="1">
        <v>800</v>
      </c>
      <c r="R389" s="1">
        <v>0</v>
      </c>
      <c r="Z389" s="1">
        <v>0.05</v>
      </c>
      <c r="AA389" s="1">
        <v>2.2999999999999998</v>
      </c>
      <c r="AB389" s="1">
        <v>3</v>
      </c>
      <c r="AC389" s="1">
        <v>0.7</v>
      </c>
      <c r="AH389" s="1">
        <v>0</v>
      </c>
      <c r="AI389" s="1">
        <v>1</v>
      </c>
      <c r="AJ389" s="1" t="s">
        <v>1815</v>
      </c>
      <c r="AK389" s="1" t="s">
        <v>206</v>
      </c>
      <c r="AL389" s="1" t="s">
        <v>1808</v>
      </c>
      <c r="AN389" s="22" t="s">
        <v>9767</v>
      </c>
      <c r="AX389" s="1">
        <v>1</v>
      </c>
      <c r="AZ389" s="1">
        <v>0.25</v>
      </c>
      <c r="BG389" s="1" t="str">
        <f t="shared" si="211"/>
        <v>enemy_1103_wdkght_3</v>
      </c>
      <c r="BM389" s="1" t="s">
        <v>989</v>
      </c>
      <c r="BN389" s="1" t="s">
        <v>1809</v>
      </c>
      <c r="BQ389" s="1" t="s">
        <v>207</v>
      </c>
      <c r="BR389" s="1" t="s">
        <v>208</v>
      </c>
      <c r="BS389" s="1" t="s">
        <v>229</v>
      </c>
      <c r="BT389" s="1" t="s">
        <v>210</v>
      </c>
      <c r="BX389" s="1">
        <v>1</v>
      </c>
    </row>
    <row r="390" spans="1:76" x14ac:dyDescent="0.25">
      <c r="A390" s="1" t="s">
        <v>1816</v>
      </c>
      <c r="B390" s="1" t="s">
        <v>203</v>
      </c>
      <c r="D390" s="1" t="s">
        <v>1817</v>
      </c>
      <c r="E390" s="1">
        <v>1104</v>
      </c>
      <c r="F390" s="1" t="str">
        <f t="shared" si="210"/>
        <v>enemy_1104_lfkght</v>
      </c>
      <c r="G390" s="1">
        <v>1</v>
      </c>
      <c r="L390" s="1">
        <v>10000</v>
      </c>
      <c r="N390" s="1">
        <v>550</v>
      </c>
      <c r="P390" s="1">
        <v>700</v>
      </c>
      <c r="R390" s="1">
        <v>50</v>
      </c>
      <c r="Z390" s="1">
        <v>0.05</v>
      </c>
      <c r="AA390" s="1">
        <v>2.5</v>
      </c>
      <c r="AB390" s="1">
        <v>3</v>
      </c>
      <c r="AC390" s="1">
        <v>0.75</v>
      </c>
      <c r="AH390" s="1">
        <v>0</v>
      </c>
      <c r="AI390" s="1">
        <v>1</v>
      </c>
      <c r="AJ390" s="1" t="s">
        <v>1818</v>
      </c>
      <c r="AK390" s="1" t="s">
        <v>206</v>
      </c>
      <c r="AL390" s="1" t="s">
        <v>1819</v>
      </c>
      <c r="AN390" s="22" t="s">
        <v>9767</v>
      </c>
      <c r="AX390" s="1">
        <v>1</v>
      </c>
      <c r="AZ390" s="1">
        <v>0.25</v>
      </c>
      <c r="BG390" s="1" t="str">
        <f t="shared" si="211"/>
        <v>enemy_1104_lfkght</v>
      </c>
      <c r="BM390" s="1" t="s">
        <v>957</v>
      </c>
      <c r="BN390" s="1" t="s">
        <v>1820</v>
      </c>
      <c r="BQ390" s="1" t="s">
        <v>207</v>
      </c>
      <c r="BR390" s="1" t="s">
        <v>208</v>
      </c>
      <c r="BS390" s="1" t="s">
        <v>229</v>
      </c>
      <c r="BT390" s="1" t="s">
        <v>210</v>
      </c>
      <c r="BX390" s="1">
        <v>1</v>
      </c>
    </row>
    <row r="391" spans="1:76" x14ac:dyDescent="0.25">
      <c r="A391" s="1" t="s">
        <v>1821</v>
      </c>
      <c r="B391" s="1" t="s">
        <v>203</v>
      </c>
      <c r="D391" s="1" t="s">
        <v>1822</v>
      </c>
      <c r="E391" s="1">
        <v>1104</v>
      </c>
      <c r="F391" s="1" t="str">
        <f t="shared" si="210"/>
        <v>enemy_1104_lfkght_2</v>
      </c>
      <c r="G391" s="1">
        <v>1</v>
      </c>
      <c r="L391" s="1">
        <v>13000</v>
      </c>
      <c r="N391" s="1">
        <v>650</v>
      </c>
      <c r="P391" s="1">
        <v>700</v>
      </c>
      <c r="R391" s="1">
        <v>50</v>
      </c>
      <c r="Z391" s="1">
        <v>0.05</v>
      </c>
      <c r="AA391" s="1">
        <v>2.5</v>
      </c>
      <c r="AB391" s="1">
        <v>3</v>
      </c>
      <c r="AC391" s="1">
        <v>0.75</v>
      </c>
      <c r="AH391" s="1">
        <v>0</v>
      </c>
      <c r="AI391" s="1">
        <v>1</v>
      </c>
      <c r="AJ391" s="1" t="s">
        <v>1823</v>
      </c>
      <c r="AK391" s="1" t="s">
        <v>206</v>
      </c>
      <c r="AL391" s="1" t="s">
        <v>1824</v>
      </c>
      <c r="AN391" s="22" t="s">
        <v>9767</v>
      </c>
      <c r="AX391" s="1">
        <v>1</v>
      </c>
      <c r="AZ391" s="1">
        <v>0.25</v>
      </c>
      <c r="BG391" s="1" t="str">
        <f t="shared" si="211"/>
        <v>enemy_1104_lfkght_2</v>
      </c>
      <c r="BM391" s="1" t="s">
        <v>957</v>
      </c>
      <c r="BN391" s="1" t="s">
        <v>1820</v>
      </c>
      <c r="BQ391" s="1" t="s">
        <v>207</v>
      </c>
      <c r="BR391" s="1" t="s">
        <v>208</v>
      </c>
      <c r="BS391" s="1" t="s">
        <v>229</v>
      </c>
      <c r="BT391" s="1" t="s">
        <v>210</v>
      </c>
      <c r="BX391" s="1">
        <v>1</v>
      </c>
    </row>
    <row r="392" spans="1:76" x14ac:dyDescent="0.25">
      <c r="A392" s="1" t="s">
        <v>1825</v>
      </c>
      <c r="B392" s="1" t="s">
        <v>203</v>
      </c>
      <c r="D392" s="1" t="s">
        <v>1826</v>
      </c>
      <c r="E392" s="1">
        <v>1104</v>
      </c>
      <c r="F392" s="1" t="str">
        <f t="shared" si="210"/>
        <v>enemy_1104_lfkght_3</v>
      </c>
      <c r="G392" s="1">
        <v>1</v>
      </c>
      <c r="L392" s="1">
        <v>20000</v>
      </c>
      <c r="N392" s="1">
        <v>750</v>
      </c>
      <c r="P392" s="1">
        <v>700</v>
      </c>
      <c r="R392" s="1">
        <v>50</v>
      </c>
      <c r="Z392" s="1">
        <v>0.05</v>
      </c>
      <c r="AA392" s="1">
        <v>2.5</v>
      </c>
      <c r="AB392" s="1">
        <v>3</v>
      </c>
      <c r="AC392" s="1">
        <v>0.75</v>
      </c>
      <c r="AH392" s="1">
        <v>0</v>
      </c>
      <c r="AI392" s="1">
        <v>1</v>
      </c>
      <c r="AJ392" s="1" t="s">
        <v>1827</v>
      </c>
      <c r="AK392" s="1" t="s">
        <v>206</v>
      </c>
      <c r="AL392" s="1" t="s">
        <v>1828</v>
      </c>
      <c r="AN392" s="22" t="s">
        <v>9767</v>
      </c>
      <c r="AX392" s="1">
        <v>1</v>
      </c>
      <c r="AZ392" s="1">
        <v>0.25</v>
      </c>
      <c r="BG392" s="1" t="str">
        <f t="shared" si="211"/>
        <v>enemy_1104_lfkght_3</v>
      </c>
      <c r="BM392" s="1" t="s">
        <v>957</v>
      </c>
      <c r="BN392" s="1" t="s">
        <v>1820</v>
      </c>
      <c r="BQ392" s="1" t="s">
        <v>207</v>
      </c>
      <c r="BR392" s="1" t="s">
        <v>208</v>
      </c>
      <c r="BS392" s="1" t="s">
        <v>229</v>
      </c>
      <c r="BT392" s="1" t="s">
        <v>210</v>
      </c>
      <c r="BX392" s="1">
        <v>1</v>
      </c>
    </row>
    <row r="393" spans="1:76" x14ac:dyDescent="0.25">
      <c r="A393" s="1" t="s">
        <v>1829</v>
      </c>
      <c r="B393" s="1" t="s">
        <v>203</v>
      </c>
      <c r="C393" s="1">
        <v>1</v>
      </c>
      <c r="D393" s="1" t="s">
        <v>1830</v>
      </c>
      <c r="E393" s="1">
        <v>1105</v>
      </c>
      <c r="F393" s="1" t="str">
        <f t="shared" si="210"/>
        <v>enemy_1105_tyokai</v>
      </c>
      <c r="G393" s="1">
        <v>1</v>
      </c>
      <c r="L393" s="1">
        <v>5000</v>
      </c>
      <c r="N393" s="1">
        <v>0</v>
      </c>
      <c r="P393" s="1">
        <v>150</v>
      </c>
      <c r="R393" s="1">
        <v>20</v>
      </c>
      <c r="Z393" s="1">
        <v>0.05</v>
      </c>
      <c r="AA393" s="1">
        <v>1</v>
      </c>
      <c r="AB393" s="1">
        <v>0</v>
      </c>
      <c r="AC393" s="1">
        <v>1</v>
      </c>
      <c r="AH393" s="1">
        <v>0</v>
      </c>
      <c r="AI393" s="1">
        <v>1</v>
      </c>
      <c r="AJ393" s="1" t="s">
        <v>1831</v>
      </c>
      <c r="AK393" s="1" t="s">
        <v>206</v>
      </c>
      <c r="AL393" s="1" t="s">
        <v>228</v>
      </c>
      <c r="AN393" s="22" t="s">
        <v>9767</v>
      </c>
      <c r="AX393" s="1">
        <v>1</v>
      </c>
      <c r="AZ393" s="1">
        <v>0.25</v>
      </c>
      <c r="BG393" s="1" t="str">
        <f t="shared" si="211"/>
        <v>enemy_1105_tyokai</v>
      </c>
      <c r="BM393" s="1" t="s">
        <v>1022</v>
      </c>
      <c r="BN393" s="1" t="s">
        <v>1832</v>
      </c>
      <c r="BQ393" s="1" t="s">
        <v>207</v>
      </c>
      <c r="BR393" s="1" t="s">
        <v>208</v>
      </c>
      <c r="BS393" s="1" t="s">
        <v>229</v>
      </c>
      <c r="BT393" s="1" t="s">
        <v>210</v>
      </c>
      <c r="BX393" s="1">
        <v>1</v>
      </c>
    </row>
    <row r="394" spans="1:76" x14ac:dyDescent="0.25">
      <c r="A394" s="1" t="s">
        <v>1833</v>
      </c>
      <c r="B394" s="1" t="s">
        <v>203</v>
      </c>
      <c r="C394" s="1">
        <v>1</v>
      </c>
      <c r="D394" s="1" t="s">
        <v>1834</v>
      </c>
      <c r="E394" s="1">
        <v>1105</v>
      </c>
      <c r="F394" s="1" t="str">
        <f t="shared" si="210"/>
        <v>enemy_1105_tyokai_2</v>
      </c>
      <c r="G394" s="1">
        <v>1</v>
      </c>
      <c r="L394" s="1">
        <v>10000</v>
      </c>
      <c r="N394" s="1">
        <v>0</v>
      </c>
      <c r="P394" s="1">
        <v>300</v>
      </c>
      <c r="R394" s="1">
        <v>40</v>
      </c>
      <c r="Z394" s="1">
        <v>0.05</v>
      </c>
      <c r="AA394" s="1">
        <v>1</v>
      </c>
      <c r="AB394" s="1">
        <v>1</v>
      </c>
      <c r="AC394" s="1">
        <v>0.5</v>
      </c>
      <c r="AH394" s="1">
        <v>0</v>
      </c>
      <c r="AI394" s="1">
        <v>1</v>
      </c>
      <c r="AJ394" s="1" t="s">
        <v>1835</v>
      </c>
      <c r="AK394" s="1" t="s">
        <v>206</v>
      </c>
      <c r="AL394" s="1" t="s">
        <v>228</v>
      </c>
      <c r="AN394" s="22" t="s">
        <v>9767</v>
      </c>
      <c r="AX394" s="1">
        <v>1</v>
      </c>
      <c r="AZ394" s="1">
        <v>0.25</v>
      </c>
      <c r="BG394" s="1" t="str">
        <f t="shared" si="211"/>
        <v>enemy_1105_tyokai_2</v>
      </c>
      <c r="BM394" s="1" t="s">
        <v>1022</v>
      </c>
      <c r="BN394" s="1" t="s">
        <v>1836</v>
      </c>
      <c r="BQ394" s="1" t="s">
        <v>207</v>
      </c>
      <c r="BR394" s="1" t="s">
        <v>208</v>
      </c>
      <c r="BS394" s="1" t="s">
        <v>229</v>
      </c>
      <c r="BT394" s="1" t="s">
        <v>210</v>
      </c>
      <c r="BX394" s="1">
        <v>1</v>
      </c>
    </row>
    <row r="395" spans="1:76" x14ac:dyDescent="0.25">
      <c r="A395" s="1" t="s">
        <v>1837</v>
      </c>
      <c r="B395" s="1" t="s">
        <v>203</v>
      </c>
      <c r="C395" s="1">
        <v>1</v>
      </c>
      <c r="D395" s="1" t="s">
        <v>1838</v>
      </c>
      <c r="E395" s="1">
        <v>1106</v>
      </c>
      <c r="F395" s="1" t="str">
        <f t="shared" si="210"/>
        <v>enemy_1106_byokai</v>
      </c>
      <c r="G395" s="1">
        <v>1</v>
      </c>
      <c r="L395" s="1">
        <v>5000</v>
      </c>
      <c r="N395" s="1">
        <v>0</v>
      </c>
      <c r="P395" s="1">
        <v>150</v>
      </c>
      <c r="R395" s="1">
        <v>20</v>
      </c>
      <c r="Z395" s="1">
        <v>0.05</v>
      </c>
      <c r="AA395" s="1">
        <v>1</v>
      </c>
      <c r="AB395" s="1">
        <v>0</v>
      </c>
      <c r="AC395" s="1">
        <v>1</v>
      </c>
      <c r="AH395" s="1">
        <v>0</v>
      </c>
      <c r="AI395" s="1">
        <v>1</v>
      </c>
      <c r="AJ395" s="1" t="s">
        <v>1839</v>
      </c>
      <c r="AK395" s="1" t="s">
        <v>206</v>
      </c>
      <c r="AL395" s="1" t="s">
        <v>228</v>
      </c>
      <c r="AN395" s="22" t="s">
        <v>9767</v>
      </c>
      <c r="AX395" s="1">
        <v>1</v>
      </c>
      <c r="AZ395" s="1">
        <v>0.25</v>
      </c>
      <c r="BG395" s="1" t="str">
        <f t="shared" si="211"/>
        <v>enemy_1106_byokai</v>
      </c>
      <c r="BM395" s="1" t="s">
        <v>1022</v>
      </c>
      <c r="BN395" s="1" t="s">
        <v>1840</v>
      </c>
      <c r="BQ395" s="1" t="s">
        <v>207</v>
      </c>
      <c r="BR395" s="1" t="s">
        <v>208</v>
      </c>
      <c r="BS395" s="1" t="s">
        <v>229</v>
      </c>
      <c r="BT395" s="1" t="s">
        <v>210</v>
      </c>
      <c r="BX395" s="1">
        <v>1</v>
      </c>
    </row>
    <row r="396" spans="1:76" x14ac:dyDescent="0.25">
      <c r="A396" s="1" t="s">
        <v>1841</v>
      </c>
      <c r="B396" s="1" t="s">
        <v>203</v>
      </c>
      <c r="C396" s="1">
        <v>1</v>
      </c>
      <c r="D396" s="1" t="s">
        <v>1842</v>
      </c>
      <c r="E396" s="1">
        <v>1513</v>
      </c>
      <c r="F396" s="1" t="str">
        <f t="shared" si="210"/>
        <v>enemy_1513_dekght</v>
      </c>
      <c r="G396" s="1">
        <v>1</v>
      </c>
      <c r="L396" s="1">
        <v>40000</v>
      </c>
      <c r="N396" s="1">
        <v>1200</v>
      </c>
      <c r="P396" s="1">
        <v>1200</v>
      </c>
      <c r="R396" s="1">
        <v>30</v>
      </c>
      <c r="Z396" s="1">
        <v>0.05</v>
      </c>
      <c r="AA396" s="1">
        <v>4</v>
      </c>
      <c r="AB396" s="1">
        <v>6</v>
      </c>
      <c r="AC396" s="1">
        <v>0.65</v>
      </c>
      <c r="AH396" s="1">
        <v>0</v>
      </c>
      <c r="AI396" s="1">
        <v>1</v>
      </c>
      <c r="AJ396" s="1" t="s">
        <v>1843</v>
      </c>
      <c r="AK396" s="1" t="s">
        <v>206</v>
      </c>
      <c r="AL396" s="1" t="s">
        <v>228</v>
      </c>
      <c r="AN396" s="22" t="s">
        <v>9767</v>
      </c>
      <c r="AX396" s="1">
        <v>1</v>
      </c>
      <c r="AZ396" s="1">
        <v>0.25</v>
      </c>
      <c r="BG396" s="1" t="str">
        <f t="shared" si="211"/>
        <v>enemy_1513_dekght</v>
      </c>
      <c r="BM396" s="1" t="s">
        <v>1674</v>
      </c>
      <c r="BN396" s="1" t="s">
        <v>1844</v>
      </c>
      <c r="BQ396" s="1" t="s">
        <v>207</v>
      </c>
      <c r="BR396" s="1" t="s">
        <v>208</v>
      </c>
      <c r="BS396" s="1" t="s">
        <v>229</v>
      </c>
      <c r="BT396" s="1" t="s">
        <v>210</v>
      </c>
      <c r="BX396" s="1">
        <v>1</v>
      </c>
    </row>
    <row r="397" spans="1:76" x14ac:dyDescent="0.25">
      <c r="A397" s="1" t="s">
        <v>1845</v>
      </c>
      <c r="B397" s="1" t="s">
        <v>203</v>
      </c>
      <c r="C397" s="1">
        <v>1</v>
      </c>
      <c r="D397" s="1" t="s">
        <v>1846</v>
      </c>
      <c r="E397" s="1">
        <v>1513</v>
      </c>
      <c r="F397" s="1" t="str">
        <f t="shared" si="210"/>
        <v>enemy_1513_dekght_2</v>
      </c>
      <c r="G397" s="1">
        <v>1</v>
      </c>
      <c r="L397" s="1">
        <v>40000</v>
      </c>
      <c r="N397" s="1">
        <v>500</v>
      </c>
      <c r="P397" s="1">
        <v>600</v>
      </c>
      <c r="R397" s="1">
        <v>70</v>
      </c>
      <c r="Z397" s="1">
        <v>0.05</v>
      </c>
      <c r="AA397" s="1">
        <v>4</v>
      </c>
      <c r="AB397" s="1">
        <v>6</v>
      </c>
      <c r="AC397" s="1">
        <v>0.65</v>
      </c>
      <c r="AH397" s="1">
        <v>0</v>
      </c>
      <c r="AI397" s="1">
        <v>1</v>
      </c>
      <c r="AJ397" s="1" t="s">
        <v>1847</v>
      </c>
      <c r="AK397" s="1" t="s">
        <v>206</v>
      </c>
      <c r="AL397" s="1" t="s">
        <v>228</v>
      </c>
      <c r="AN397" s="22" t="s">
        <v>9767</v>
      </c>
      <c r="AX397" s="1">
        <v>1</v>
      </c>
      <c r="AZ397" s="1">
        <v>0.25</v>
      </c>
      <c r="BG397" s="1" t="str">
        <f t="shared" si="211"/>
        <v>enemy_1513_dekght_2</v>
      </c>
      <c r="BM397" s="1" t="s">
        <v>1091</v>
      </c>
      <c r="BN397" s="1" t="s">
        <v>1848</v>
      </c>
      <c r="BQ397" s="1" t="s">
        <v>207</v>
      </c>
      <c r="BR397" s="1" t="s">
        <v>208</v>
      </c>
      <c r="BS397" s="1" t="s">
        <v>229</v>
      </c>
      <c r="BT397" s="1" t="s">
        <v>210</v>
      </c>
      <c r="BX397" s="1">
        <v>1</v>
      </c>
    </row>
    <row r="398" spans="1:76" x14ac:dyDescent="0.25">
      <c r="A398" s="1" t="s">
        <v>1849</v>
      </c>
      <c r="B398" s="1" t="s">
        <v>203</v>
      </c>
      <c r="D398" s="1" t="s">
        <v>1850</v>
      </c>
      <c r="E398" s="1">
        <v>1107</v>
      </c>
      <c r="F398" s="1" t="str">
        <f t="shared" si="210"/>
        <v>enemy_1107_uoffcr</v>
      </c>
      <c r="G398" s="1">
        <v>1</v>
      </c>
      <c r="L398" s="1">
        <v>3300</v>
      </c>
      <c r="N398" s="1">
        <v>330</v>
      </c>
      <c r="P398" s="1">
        <v>150</v>
      </c>
      <c r="R398" s="1">
        <v>20</v>
      </c>
      <c r="Z398" s="1">
        <v>0.05</v>
      </c>
      <c r="AA398" s="1">
        <v>2</v>
      </c>
      <c r="AB398" s="1">
        <v>1</v>
      </c>
      <c r="AC398" s="1">
        <v>1.1000000000000001</v>
      </c>
      <c r="AH398" s="1">
        <v>0</v>
      </c>
      <c r="AI398" s="1">
        <v>1</v>
      </c>
      <c r="AJ398" s="1" t="s">
        <v>1851</v>
      </c>
      <c r="AK398" s="1" t="s">
        <v>206</v>
      </c>
      <c r="AL398" s="1" t="s">
        <v>1852</v>
      </c>
      <c r="AN398" s="22" t="s">
        <v>9767</v>
      </c>
      <c r="AX398" s="1">
        <v>1</v>
      </c>
      <c r="AZ398" s="1">
        <v>0.25</v>
      </c>
      <c r="BG398" s="1" t="str">
        <f t="shared" si="211"/>
        <v>enemy_1107_uoffcr</v>
      </c>
      <c r="BM398" s="1" t="s">
        <v>930</v>
      </c>
      <c r="BN398" s="1" t="s">
        <v>1853</v>
      </c>
      <c r="BQ398" s="1" t="s">
        <v>207</v>
      </c>
      <c r="BR398" s="1" t="s">
        <v>208</v>
      </c>
      <c r="BS398" s="1" t="s">
        <v>229</v>
      </c>
      <c r="BT398" s="1" t="s">
        <v>210</v>
      </c>
      <c r="BX398" s="1">
        <v>1</v>
      </c>
    </row>
    <row r="399" spans="1:76" x14ac:dyDescent="0.25">
      <c r="A399" s="1" t="s">
        <v>1854</v>
      </c>
      <c r="B399" s="1" t="s">
        <v>203</v>
      </c>
      <c r="D399" s="1" t="s">
        <v>1855</v>
      </c>
      <c r="E399" s="1">
        <v>1107</v>
      </c>
      <c r="F399" s="1" t="str">
        <f t="shared" si="210"/>
        <v>enemy_1107_uoffcr_2</v>
      </c>
      <c r="G399" s="1">
        <v>1</v>
      </c>
      <c r="L399" s="1">
        <v>4300</v>
      </c>
      <c r="N399" s="1">
        <v>400</v>
      </c>
      <c r="P399" s="1">
        <v>150</v>
      </c>
      <c r="R399" s="1">
        <v>20</v>
      </c>
      <c r="Z399" s="1">
        <v>0.05</v>
      </c>
      <c r="AA399" s="1">
        <v>2</v>
      </c>
      <c r="AB399" s="1">
        <v>1</v>
      </c>
      <c r="AC399" s="1">
        <v>1.1000000000000001</v>
      </c>
      <c r="AH399" s="1">
        <v>0</v>
      </c>
      <c r="AI399" s="1">
        <v>1</v>
      </c>
      <c r="AJ399" s="1" t="s">
        <v>1856</v>
      </c>
      <c r="AK399" s="1" t="s">
        <v>206</v>
      </c>
      <c r="AL399" s="1" t="s">
        <v>1852</v>
      </c>
      <c r="AN399" s="22" t="s">
        <v>9767</v>
      </c>
      <c r="AX399" s="1">
        <v>1</v>
      </c>
      <c r="AZ399" s="1">
        <v>0.25</v>
      </c>
      <c r="BG399" s="1" t="str">
        <f t="shared" si="211"/>
        <v>enemy_1107_uoffcr_2</v>
      </c>
      <c r="BM399" s="1" t="s">
        <v>930</v>
      </c>
      <c r="BN399" s="1" t="s">
        <v>1853</v>
      </c>
      <c r="BQ399" s="1" t="s">
        <v>207</v>
      </c>
      <c r="BR399" s="1" t="s">
        <v>208</v>
      </c>
      <c r="BS399" s="1" t="s">
        <v>229</v>
      </c>
      <c r="BT399" s="1" t="s">
        <v>210</v>
      </c>
      <c r="BX399" s="1">
        <v>1</v>
      </c>
    </row>
    <row r="400" spans="1:76" x14ac:dyDescent="0.25">
      <c r="A400" s="1" t="s">
        <v>1857</v>
      </c>
      <c r="B400" s="1" t="s">
        <v>203</v>
      </c>
      <c r="D400" s="1" t="s">
        <v>1858</v>
      </c>
      <c r="E400" s="1">
        <v>1108</v>
      </c>
      <c r="F400" s="1" t="str">
        <f t="shared" si="210"/>
        <v>enemy_1108_uterer</v>
      </c>
      <c r="G400" s="1">
        <v>1</v>
      </c>
      <c r="L400" s="1">
        <v>3500</v>
      </c>
      <c r="N400" s="1">
        <v>380</v>
      </c>
      <c r="P400" s="1">
        <v>100</v>
      </c>
      <c r="R400" s="1">
        <v>20</v>
      </c>
      <c r="Z400" s="1">
        <v>0.05</v>
      </c>
      <c r="AA400" s="1">
        <v>1.5</v>
      </c>
      <c r="AB400" s="1">
        <v>0</v>
      </c>
      <c r="AC400" s="1">
        <v>1.7</v>
      </c>
      <c r="AH400" s="1">
        <v>0</v>
      </c>
      <c r="AI400" s="1">
        <v>1</v>
      </c>
      <c r="AJ400" s="1" t="s">
        <v>1859</v>
      </c>
      <c r="AK400" s="1" t="s">
        <v>206</v>
      </c>
      <c r="AL400" s="1" t="s">
        <v>228</v>
      </c>
      <c r="AN400" s="22" t="s">
        <v>9767</v>
      </c>
      <c r="AX400" s="1">
        <v>1</v>
      </c>
      <c r="AZ400" s="1">
        <v>0.25</v>
      </c>
      <c r="BG400" s="1" t="str">
        <f t="shared" si="211"/>
        <v>enemy_1108_uterer</v>
      </c>
      <c r="BM400" s="1" t="s">
        <v>930</v>
      </c>
      <c r="BN400" s="1" t="s">
        <v>1860</v>
      </c>
      <c r="BQ400" s="1" t="s">
        <v>207</v>
      </c>
      <c r="BR400" s="1" t="s">
        <v>208</v>
      </c>
      <c r="BS400" s="1" t="s">
        <v>209</v>
      </c>
      <c r="BT400" s="1" t="s">
        <v>210</v>
      </c>
      <c r="BX400" s="1">
        <v>1</v>
      </c>
    </row>
    <row r="401" spans="1:76" x14ac:dyDescent="0.25">
      <c r="A401" s="1" t="s">
        <v>1861</v>
      </c>
      <c r="B401" s="1" t="s">
        <v>203</v>
      </c>
      <c r="D401" s="1" t="s">
        <v>1862</v>
      </c>
      <c r="E401" s="1">
        <v>1108</v>
      </c>
      <c r="F401" s="1" t="str">
        <f t="shared" si="210"/>
        <v>enemy_1108_uterer_2</v>
      </c>
      <c r="G401" s="1">
        <v>1</v>
      </c>
      <c r="L401" s="1">
        <v>4600</v>
      </c>
      <c r="N401" s="1">
        <v>450</v>
      </c>
      <c r="P401" s="1">
        <v>100</v>
      </c>
      <c r="R401" s="1">
        <v>20</v>
      </c>
      <c r="Z401" s="1">
        <v>0.05</v>
      </c>
      <c r="AA401" s="1">
        <v>1.5</v>
      </c>
      <c r="AB401" s="1">
        <v>0</v>
      </c>
      <c r="AC401" s="1">
        <v>1.7</v>
      </c>
      <c r="AH401" s="1">
        <v>0</v>
      </c>
      <c r="AI401" s="1">
        <v>1</v>
      </c>
      <c r="AJ401" s="1" t="s">
        <v>1863</v>
      </c>
      <c r="AK401" s="1" t="s">
        <v>206</v>
      </c>
      <c r="AL401" s="1" t="s">
        <v>228</v>
      </c>
      <c r="AN401" s="22" t="s">
        <v>9767</v>
      </c>
      <c r="AX401" s="1">
        <v>1</v>
      </c>
      <c r="AZ401" s="1">
        <v>0.25</v>
      </c>
      <c r="BG401" s="1" t="str">
        <f t="shared" si="211"/>
        <v>enemy_1108_uterer_2</v>
      </c>
      <c r="BM401" s="1" t="s">
        <v>930</v>
      </c>
      <c r="BN401" s="1" t="s">
        <v>1864</v>
      </c>
      <c r="BQ401" s="1" t="s">
        <v>207</v>
      </c>
      <c r="BR401" s="1" t="s">
        <v>208</v>
      </c>
      <c r="BS401" s="1" t="s">
        <v>209</v>
      </c>
      <c r="BT401" s="1" t="s">
        <v>210</v>
      </c>
      <c r="BX401" s="1">
        <v>1</v>
      </c>
    </row>
    <row r="402" spans="1:76" x14ac:dyDescent="0.25">
      <c r="A402" s="1" t="s">
        <v>1865</v>
      </c>
      <c r="B402" s="1" t="s">
        <v>203</v>
      </c>
      <c r="D402" s="1" t="s">
        <v>1866</v>
      </c>
      <c r="E402" s="1">
        <v>1109</v>
      </c>
      <c r="F402" s="1" t="str">
        <f t="shared" si="210"/>
        <v>enemy_1109_uabone</v>
      </c>
      <c r="G402" s="1">
        <v>1</v>
      </c>
      <c r="L402" s="1">
        <v>4000</v>
      </c>
      <c r="N402" s="1">
        <v>350</v>
      </c>
      <c r="P402" s="1">
        <v>200</v>
      </c>
      <c r="R402" s="1">
        <v>20</v>
      </c>
      <c r="Z402" s="1">
        <v>0.05</v>
      </c>
      <c r="AA402" s="1">
        <v>2.2999999999999998</v>
      </c>
      <c r="AB402" s="1">
        <v>1</v>
      </c>
      <c r="AC402" s="1">
        <v>1</v>
      </c>
      <c r="AH402" s="1">
        <v>0</v>
      </c>
      <c r="AI402" s="1">
        <v>1</v>
      </c>
      <c r="AJ402" s="1" t="s">
        <v>1867</v>
      </c>
      <c r="AK402" s="1" t="s">
        <v>206</v>
      </c>
      <c r="AL402" s="1" t="s">
        <v>1868</v>
      </c>
      <c r="AN402" s="22" t="s">
        <v>9767</v>
      </c>
      <c r="AX402" s="1">
        <v>1</v>
      </c>
      <c r="AZ402" s="1">
        <v>0.25</v>
      </c>
      <c r="BG402" s="1" t="str">
        <f t="shared" si="211"/>
        <v>enemy_1109_uabone</v>
      </c>
      <c r="BM402" s="1" t="s">
        <v>936</v>
      </c>
      <c r="BN402" s="1" t="s">
        <v>1869</v>
      </c>
      <c r="BQ402" s="1" t="s">
        <v>207</v>
      </c>
      <c r="BR402" s="1" t="s">
        <v>208</v>
      </c>
      <c r="BS402" s="1" t="s">
        <v>938</v>
      </c>
      <c r="BT402" s="1" t="s">
        <v>210</v>
      </c>
      <c r="BX402" s="1">
        <v>1</v>
      </c>
    </row>
    <row r="403" spans="1:76" x14ac:dyDescent="0.25">
      <c r="A403" s="1" t="s">
        <v>1870</v>
      </c>
      <c r="B403" s="1" t="s">
        <v>203</v>
      </c>
      <c r="D403" s="1" t="s">
        <v>1871</v>
      </c>
      <c r="E403" s="1">
        <v>1109</v>
      </c>
      <c r="F403" s="1" t="str">
        <f t="shared" si="210"/>
        <v>enemy_1109_uabone_2</v>
      </c>
      <c r="G403" s="1">
        <v>1</v>
      </c>
      <c r="L403" s="1">
        <v>5500</v>
      </c>
      <c r="N403" s="1">
        <v>430</v>
      </c>
      <c r="P403" s="1">
        <v>200</v>
      </c>
      <c r="R403" s="1">
        <v>20</v>
      </c>
      <c r="Z403" s="1">
        <v>0.05</v>
      </c>
      <c r="AA403" s="1">
        <v>2.2999999999999998</v>
      </c>
      <c r="AB403" s="1">
        <v>1</v>
      </c>
      <c r="AC403" s="1">
        <v>1</v>
      </c>
      <c r="AH403" s="1">
        <v>0</v>
      </c>
      <c r="AI403" s="1">
        <v>1</v>
      </c>
      <c r="AJ403" s="1" t="s">
        <v>1872</v>
      </c>
      <c r="AK403" s="1" t="s">
        <v>206</v>
      </c>
      <c r="AL403" s="1" t="s">
        <v>1868</v>
      </c>
      <c r="AN403" s="22" t="s">
        <v>9767</v>
      </c>
      <c r="AX403" s="1">
        <v>1</v>
      </c>
      <c r="AZ403" s="1">
        <v>0.25</v>
      </c>
      <c r="BG403" s="1" t="str">
        <f t="shared" si="211"/>
        <v>enemy_1109_uabone_2</v>
      </c>
      <c r="BM403" s="1" t="s">
        <v>936</v>
      </c>
      <c r="BN403" s="1" t="s">
        <v>1873</v>
      </c>
      <c r="BQ403" s="1" t="s">
        <v>207</v>
      </c>
      <c r="BR403" s="1" t="s">
        <v>208</v>
      </c>
      <c r="BS403" s="1" t="s">
        <v>938</v>
      </c>
      <c r="BT403" s="1" t="s">
        <v>210</v>
      </c>
      <c r="BX403" s="1">
        <v>1</v>
      </c>
    </row>
    <row r="404" spans="1:76" x14ac:dyDescent="0.25">
      <c r="A404" s="1" t="s">
        <v>1874</v>
      </c>
      <c r="B404" s="1" t="s">
        <v>203</v>
      </c>
      <c r="D404" s="1" t="s">
        <v>1875</v>
      </c>
      <c r="E404" s="1">
        <v>1110</v>
      </c>
      <c r="F404" s="1" t="str">
        <f t="shared" si="210"/>
        <v>enemy_1110_uamord</v>
      </c>
      <c r="G404" s="1">
        <v>1</v>
      </c>
      <c r="L404" s="1">
        <v>5000</v>
      </c>
      <c r="N404" s="1">
        <v>340</v>
      </c>
      <c r="P404" s="1">
        <v>500</v>
      </c>
      <c r="R404" s="1">
        <v>50</v>
      </c>
      <c r="Z404" s="1">
        <v>0.05</v>
      </c>
      <c r="AA404" s="1">
        <v>2.8</v>
      </c>
      <c r="AB404" s="1">
        <v>2</v>
      </c>
      <c r="AC404" s="1">
        <v>0.9</v>
      </c>
      <c r="AH404" s="1">
        <v>0</v>
      </c>
      <c r="AI404" s="1">
        <v>1</v>
      </c>
      <c r="AJ404" s="1" t="s">
        <v>1876</v>
      </c>
      <c r="AK404" s="1" t="s">
        <v>206</v>
      </c>
      <c r="AL404" s="1" t="s">
        <v>1877</v>
      </c>
      <c r="AN404" s="22" t="s">
        <v>9767</v>
      </c>
      <c r="AX404" s="1">
        <v>1</v>
      </c>
      <c r="AZ404" s="1">
        <v>0.25</v>
      </c>
      <c r="BG404" s="1" t="str">
        <f t="shared" si="211"/>
        <v>enemy_1110_uamord</v>
      </c>
      <c r="BM404" s="1" t="s">
        <v>936</v>
      </c>
      <c r="BN404" s="1" t="s">
        <v>1878</v>
      </c>
      <c r="BQ404" s="1" t="s">
        <v>207</v>
      </c>
      <c r="BR404" s="1" t="s">
        <v>208</v>
      </c>
      <c r="BS404" s="1" t="s">
        <v>209</v>
      </c>
      <c r="BT404" s="1" t="s">
        <v>210</v>
      </c>
      <c r="BX404" s="1">
        <v>1</v>
      </c>
    </row>
    <row r="405" spans="1:76" x14ac:dyDescent="0.25">
      <c r="A405" s="1" t="s">
        <v>1879</v>
      </c>
      <c r="B405" s="1" t="s">
        <v>203</v>
      </c>
      <c r="D405" s="1" t="s">
        <v>1880</v>
      </c>
      <c r="E405" s="1">
        <v>1110</v>
      </c>
      <c r="F405" s="1" t="str">
        <f t="shared" si="210"/>
        <v>enemy_1110_uamord_2</v>
      </c>
      <c r="G405" s="1">
        <v>1</v>
      </c>
      <c r="L405" s="1">
        <v>6500</v>
      </c>
      <c r="N405" s="1">
        <v>420</v>
      </c>
      <c r="P405" s="1">
        <v>500</v>
      </c>
      <c r="R405" s="1">
        <v>50</v>
      </c>
      <c r="Z405" s="1">
        <v>0.05</v>
      </c>
      <c r="AA405" s="1">
        <v>2.8</v>
      </c>
      <c r="AB405" s="1">
        <v>2</v>
      </c>
      <c r="AC405" s="1">
        <v>0.9</v>
      </c>
      <c r="AH405" s="1">
        <v>0</v>
      </c>
      <c r="AI405" s="1">
        <v>1</v>
      </c>
      <c r="AJ405" s="1" t="s">
        <v>1881</v>
      </c>
      <c r="AK405" s="1" t="s">
        <v>206</v>
      </c>
      <c r="AL405" s="1" t="s">
        <v>1877</v>
      </c>
      <c r="AN405" s="22" t="s">
        <v>9767</v>
      </c>
      <c r="AX405" s="1">
        <v>1</v>
      </c>
      <c r="AZ405" s="1">
        <v>0.25</v>
      </c>
      <c r="BG405" s="1" t="str">
        <f t="shared" si="211"/>
        <v>enemy_1110_uamord_2</v>
      </c>
      <c r="BM405" s="1" t="s">
        <v>936</v>
      </c>
      <c r="BN405" s="1" t="s">
        <v>1882</v>
      </c>
      <c r="BQ405" s="1" t="s">
        <v>207</v>
      </c>
      <c r="BR405" s="1" t="s">
        <v>208</v>
      </c>
      <c r="BS405" s="1" t="s">
        <v>209</v>
      </c>
      <c r="BT405" s="1" t="s">
        <v>210</v>
      </c>
      <c r="BX405" s="1">
        <v>1</v>
      </c>
    </row>
    <row r="406" spans="1:76" x14ac:dyDescent="0.25">
      <c r="A406" s="1" t="s">
        <v>1883</v>
      </c>
      <c r="B406" s="1" t="s">
        <v>203</v>
      </c>
      <c r="D406" s="1" t="s">
        <v>1884</v>
      </c>
      <c r="E406" s="1">
        <v>1111</v>
      </c>
      <c r="F406" s="1" t="str">
        <f t="shared" si="210"/>
        <v>enemy_1111_ucommd</v>
      </c>
      <c r="G406" s="1">
        <v>1</v>
      </c>
      <c r="L406" s="1">
        <v>7500</v>
      </c>
      <c r="N406" s="1">
        <v>550</v>
      </c>
      <c r="P406" s="1">
        <v>500</v>
      </c>
      <c r="R406" s="1">
        <v>50</v>
      </c>
      <c r="Z406" s="1">
        <v>0.05</v>
      </c>
      <c r="AA406" s="1">
        <v>2.2000000000000002</v>
      </c>
      <c r="AB406" s="1">
        <v>2</v>
      </c>
      <c r="AC406" s="1">
        <v>1.5</v>
      </c>
      <c r="AH406" s="1">
        <v>0</v>
      </c>
      <c r="AI406" s="1">
        <v>1</v>
      </c>
      <c r="AJ406" s="1" t="s">
        <v>1885</v>
      </c>
      <c r="AK406" s="1" t="s">
        <v>206</v>
      </c>
      <c r="AL406" s="1" t="s">
        <v>1852</v>
      </c>
      <c r="AN406" s="22" t="s">
        <v>9767</v>
      </c>
      <c r="AR406" s="1">
        <v>2</v>
      </c>
      <c r="AX406" s="1">
        <v>1</v>
      </c>
      <c r="AZ406" s="1">
        <v>0.25</v>
      </c>
      <c r="BG406" s="1" t="str">
        <f t="shared" si="211"/>
        <v>enemy_1111_ucommd</v>
      </c>
      <c r="BM406" s="1" t="s">
        <v>989</v>
      </c>
      <c r="BN406" s="1" t="s">
        <v>1886</v>
      </c>
      <c r="BQ406" s="1" t="s">
        <v>207</v>
      </c>
      <c r="BR406" s="1" t="s">
        <v>1887</v>
      </c>
      <c r="BS406" s="1" t="s">
        <v>229</v>
      </c>
      <c r="BT406" s="1" t="s">
        <v>210</v>
      </c>
      <c r="BX406" s="1">
        <v>1</v>
      </c>
    </row>
    <row r="407" spans="1:76" x14ac:dyDescent="0.25">
      <c r="A407" s="1" t="s">
        <v>1888</v>
      </c>
      <c r="B407" s="1" t="s">
        <v>203</v>
      </c>
      <c r="D407" s="1" t="s">
        <v>1889</v>
      </c>
      <c r="E407" s="1">
        <v>1111</v>
      </c>
      <c r="F407" s="1" t="str">
        <f t="shared" si="210"/>
        <v>enemy_1111_ucommd_2</v>
      </c>
      <c r="G407" s="1">
        <v>1</v>
      </c>
      <c r="L407" s="1">
        <v>10000</v>
      </c>
      <c r="N407" s="1">
        <v>700</v>
      </c>
      <c r="P407" s="1">
        <v>500</v>
      </c>
      <c r="R407" s="1">
        <v>50</v>
      </c>
      <c r="Z407" s="1">
        <v>0.05</v>
      </c>
      <c r="AA407" s="1">
        <v>2.2000000000000002</v>
      </c>
      <c r="AB407" s="1">
        <v>2</v>
      </c>
      <c r="AC407" s="1">
        <v>1.5</v>
      </c>
      <c r="AH407" s="1">
        <v>0</v>
      </c>
      <c r="AI407" s="1">
        <v>1</v>
      </c>
      <c r="AJ407" s="1" t="s">
        <v>1890</v>
      </c>
      <c r="AK407" s="1" t="s">
        <v>206</v>
      </c>
      <c r="AL407" s="1" t="s">
        <v>1852</v>
      </c>
      <c r="AN407" s="22" t="s">
        <v>9767</v>
      </c>
      <c r="AR407" s="1">
        <v>2</v>
      </c>
      <c r="AX407" s="1">
        <v>1</v>
      </c>
      <c r="AZ407" s="1">
        <v>0.25</v>
      </c>
      <c r="BG407" s="1" t="str">
        <f t="shared" si="211"/>
        <v>enemy_1111_ucommd_2</v>
      </c>
      <c r="BM407" s="1" t="s">
        <v>989</v>
      </c>
      <c r="BN407" s="1" t="s">
        <v>1886</v>
      </c>
      <c r="BQ407" s="1" t="s">
        <v>207</v>
      </c>
      <c r="BR407" s="1" t="s">
        <v>1887</v>
      </c>
      <c r="BS407" s="1" t="s">
        <v>229</v>
      </c>
      <c r="BT407" s="1" t="s">
        <v>210</v>
      </c>
      <c r="BX407" s="1">
        <v>1</v>
      </c>
    </row>
    <row r="408" spans="1:76" x14ac:dyDescent="0.25">
      <c r="A408" s="1" t="s">
        <v>1891</v>
      </c>
      <c r="B408" s="1" t="s">
        <v>203</v>
      </c>
      <c r="D408" s="1" t="s">
        <v>1892</v>
      </c>
      <c r="E408" s="1">
        <v>1112</v>
      </c>
      <c r="F408" s="1" t="str">
        <f t="shared" si="210"/>
        <v>enemy_1112_emppnt</v>
      </c>
      <c r="G408" s="1">
        <v>0.7</v>
      </c>
      <c r="L408" s="1">
        <v>13000</v>
      </c>
      <c r="N408" s="1">
        <v>1000</v>
      </c>
      <c r="P408" s="1">
        <v>800</v>
      </c>
      <c r="R408" s="1">
        <v>50</v>
      </c>
      <c r="Z408" s="1">
        <v>0.05</v>
      </c>
      <c r="AA408" s="1">
        <v>5</v>
      </c>
      <c r="AB408" s="1">
        <v>4</v>
      </c>
      <c r="AC408" s="1">
        <v>0.5</v>
      </c>
      <c r="AH408" s="1">
        <v>0</v>
      </c>
      <c r="AI408" s="1">
        <v>1</v>
      </c>
      <c r="AJ408" s="1" t="s">
        <v>1893</v>
      </c>
      <c r="AK408" s="1" t="s">
        <v>206</v>
      </c>
      <c r="AL408" s="1" t="s">
        <v>1894</v>
      </c>
      <c r="AN408" s="22" t="s">
        <v>9767</v>
      </c>
      <c r="AP408" s="1">
        <v>1</v>
      </c>
      <c r="AX408" s="1">
        <v>1</v>
      </c>
      <c r="AZ408" s="1">
        <v>0.25</v>
      </c>
      <c r="BG408" s="1" t="str">
        <f t="shared" si="211"/>
        <v>enemy_1112_emppnt</v>
      </c>
      <c r="BM408" s="1" t="s">
        <v>1032</v>
      </c>
      <c r="BN408" s="1" t="s">
        <v>1895</v>
      </c>
      <c r="BQ408" s="1" t="s">
        <v>207</v>
      </c>
      <c r="BR408" s="1" t="s">
        <v>208</v>
      </c>
      <c r="BS408" s="1" t="s">
        <v>229</v>
      </c>
      <c r="BT408" s="1" t="s">
        <v>210</v>
      </c>
      <c r="BX408" s="1">
        <v>1</v>
      </c>
    </row>
    <row r="409" spans="1:76" x14ac:dyDescent="0.25">
      <c r="A409" s="1" t="s">
        <v>1896</v>
      </c>
      <c r="B409" s="1" t="s">
        <v>203</v>
      </c>
      <c r="D409" s="1" t="s">
        <v>1897</v>
      </c>
      <c r="E409" s="1">
        <v>1112</v>
      </c>
      <c r="F409" s="1" t="str">
        <f t="shared" si="210"/>
        <v>enemy_1112_emppnt_2</v>
      </c>
      <c r="G409" s="1">
        <v>0.7</v>
      </c>
      <c r="L409" s="1">
        <v>16000</v>
      </c>
      <c r="N409" s="1">
        <v>1200</v>
      </c>
      <c r="P409" s="1">
        <v>800</v>
      </c>
      <c r="R409" s="1">
        <v>50</v>
      </c>
      <c r="Z409" s="1">
        <v>0.05</v>
      </c>
      <c r="AA409" s="1">
        <v>5</v>
      </c>
      <c r="AB409" s="1">
        <v>4</v>
      </c>
      <c r="AC409" s="1">
        <v>0.5</v>
      </c>
      <c r="AH409" s="1">
        <v>0</v>
      </c>
      <c r="AI409" s="1">
        <v>1</v>
      </c>
      <c r="AJ409" s="1" t="s">
        <v>1898</v>
      </c>
      <c r="AK409" s="1" t="s">
        <v>206</v>
      </c>
      <c r="AL409" s="1" t="s">
        <v>1894</v>
      </c>
      <c r="AN409" s="22" t="s">
        <v>9767</v>
      </c>
      <c r="AP409" s="1">
        <v>1</v>
      </c>
      <c r="AX409" s="1">
        <v>1</v>
      </c>
      <c r="AZ409" s="1">
        <v>0.25</v>
      </c>
      <c r="BG409" s="1" t="str">
        <f t="shared" si="211"/>
        <v>enemy_1112_emppnt_2</v>
      </c>
      <c r="BM409" s="1" t="s">
        <v>1032</v>
      </c>
      <c r="BN409" s="1" t="s">
        <v>1899</v>
      </c>
      <c r="BQ409" s="1" t="s">
        <v>207</v>
      </c>
      <c r="BR409" s="1" t="s">
        <v>208</v>
      </c>
      <c r="BS409" s="1" t="s">
        <v>229</v>
      </c>
      <c r="BT409" s="1" t="s">
        <v>210</v>
      </c>
      <c r="BX409" s="1">
        <v>1</v>
      </c>
    </row>
    <row r="410" spans="1:76" x14ac:dyDescent="0.25">
      <c r="A410" s="1" t="s">
        <v>1900</v>
      </c>
      <c r="B410" s="1" t="s">
        <v>203</v>
      </c>
      <c r="D410" s="1" t="s">
        <v>1901</v>
      </c>
      <c r="E410" s="1">
        <v>1113</v>
      </c>
      <c r="F410" s="1" t="str">
        <f t="shared" si="210"/>
        <v>enemy_1113_empace</v>
      </c>
      <c r="G410" s="1">
        <v>1</v>
      </c>
      <c r="L410" s="1">
        <v>12000</v>
      </c>
      <c r="N410" s="1">
        <v>900</v>
      </c>
      <c r="P410" s="1">
        <v>800</v>
      </c>
      <c r="R410" s="1">
        <v>50</v>
      </c>
      <c r="Z410" s="1">
        <v>0.05</v>
      </c>
      <c r="AA410" s="1">
        <v>4.5</v>
      </c>
      <c r="AB410" s="1">
        <v>4</v>
      </c>
      <c r="AC410" s="1">
        <v>0.7</v>
      </c>
      <c r="AH410" s="1">
        <v>0</v>
      </c>
      <c r="AI410" s="1">
        <v>1</v>
      </c>
      <c r="AJ410" s="1" t="s">
        <v>1902</v>
      </c>
      <c r="AK410" s="1" t="s">
        <v>206</v>
      </c>
      <c r="AL410" s="1" t="s">
        <v>1903</v>
      </c>
      <c r="AN410" s="22" t="s">
        <v>9767</v>
      </c>
      <c r="AX410" s="1">
        <v>1</v>
      </c>
      <c r="AZ410" s="1">
        <v>0.25</v>
      </c>
      <c r="BG410" s="1" t="str">
        <f t="shared" si="211"/>
        <v>enemy_1113_empace</v>
      </c>
      <c r="BM410" s="1" t="s">
        <v>1904</v>
      </c>
      <c r="BN410" s="1" t="s">
        <v>1905</v>
      </c>
      <c r="BQ410" s="1" t="s">
        <v>207</v>
      </c>
      <c r="BR410" s="1" t="s">
        <v>208</v>
      </c>
      <c r="BS410" s="1" t="s">
        <v>229</v>
      </c>
      <c r="BT410" s="1" t="s">
        <v>210</v>
      </c>
      <c r="BX410" s="1">
        <v>1</v>
      </c>
    </row>
    <row r="411" spans="1:76" x14ac:dyDescent="0.25">
      <c r="A411" s="1" t="s">
        <v>1906</v>
      </c>
      <c r="B411" s="1" t="s">
        <v>203</v>
      </c>
      <c r="D411" s="1" t="s">
        <v>1907</v>
      </c>
      <c r="E411" s="1">
        <v>1113</v>
      </c>
      <c r="F411" s="1" t="str">
        <f t="shared" si="210"/>
        <v>enemy_1113_empace_2</v>
      </c>
      <c r="G411" s="1">
        <v>1</v>
      </c>
      <c r="L411" s="1">
        <v>15000</v>
      </c>
      <c r="N411" s="1">
        <v>1200</v>
      </c>
      <c r="P411" s="1">
        <v>800</v>
      </c>
      <c r="R411" s="1">
        <v>50</v>
      </c>
      <c r="Z411" s="1">
        <v>0.05</v>
      </c>
      <c r="AA411" s="1">
        <v>4.5</v>
      </c>
      <c r="AB411" s="1">
        <v>4</v>
      </c>
      <c r="AC411" s="1">
        <v>0.7</v>
      </c>
      <c r="AH411" s="1">
        <v>0</v>
      </c>
      <c r="AI411" s="1">
        <v>1</v>
      </c>
      <c r="AJ411" s="1" t="s">
        <v>1908</v>
      </c>
      <c r="AK411" s="1" t="s">
        <v>206</v>
      </c>
      <c r="AL411" s="1" t="s">
        <v>1903</v>
      </c>
      <c r="AN411" s="22" t="s">
        <v>9767</v>
      </c>
      <c r="AX411" s="1">
        <v>1</v>
      </c>
      <c r="AZ411" s="1">
        <v>0.25</v>
      </c>
      <c r="BG411" s="1" t="str">
        <f t="shared" si="211"/>
        <v>enemy_1113_empace_2</v>
      </c>
      <c r="BM411" s="1" t="s">
        <v>1904</v>
      </c>
      <c r="BN411" s="1" t="s">
        <v>1905</v>
      </c>
      <c r="BQ411" s="1" t="s">
        <v>207</v>
      </c>
      <c r="BR411" s="1" t="s">
        <v>208</v>
      </c>
      <c r="BS411" s="1" t="s">
        <v>229</v>
      </c>
      <c r="BT411" s="1" t="s">
        <v>210</v>
      </c>
      <c r="BX411" s="1">
        <v>1</v>
      </c>
    </row>
    <row r="412" spans="1:76" x14ac:dyDescent="0.25">
      <c r="A412" s="1" t="s">
        <v>1909</v>
      </c>
      <c r="B412" s="1" t="s">
        <v>203</v>
      </c>
      <c r="D412" s="1" t="s">
        <v>1910</v>
      </c>
      <c r="E412" s="1">
        <v>1114</v>
      </c>
      <c r="F412" s="1" t="str">
        <f t="shared" si="210"/>
        <v>enemy_1114_rgrdmn</v>
      </c>
      <c r="G412" s="1">
        <v>1</v>
      </c>
      <c r="L412" s="1">
        <v>10000</v>
      </c>
      <c r="N412" s="1">
        <v>600</v>
      </c>
      <c r="P412" s="1">
        <v>200</v>
      </c>
      <c r="R412" s="1">
        <v>50</v>
      </c>
      <c r="Z412" s="1">
        <v>0.05</v>
      </c>
      <c r="AA412" s="1">
        <v>5</v>
      </c>
      <c r="AB412" s="1">
        <v>3</v>
      </c>
      <c r="AC412" s="1">
        <v>0.8</v>
      </c>
      <c r="AH412" s="1">
        <v>0</v>
      </c>
      <c r="AI412" s="1">
        <v>1</v>
      </c>
      <c r="AJ412" s="1" t="s">
        <v>1911</v>
      </c>
      <c r="AK412" s="1" t="s">
        <v>206</v>
      </c>
      <c r="AL412" s="1" t="s">
        <v>1912</v>
      </c>
      <c r="AN412" s="22" t="s">
        <v>9767</v>
      </c>
      <c r="AX412" s="1">
        <v>1</v>
      </c>
      <c r="AZ412" s="1">
        <v>0.25</v>
      </c>
      <c r="BG412" s="1" t="str">
        <f t="shared" si="211"/>
        <v>enemy_1114_rgrdmn</v>
      </c>
      <c r="BM412" s="1" t="s">
        <v>1419</v>
      </c>
      <c r="BN412" s="1" t="s">
        <v>1913</v>
      </c>
      <c r="BQ412" s="1" t="s">
        <v>207</v>
      </c>
      <c r="BR412" s="1" t="s">
        <v>208</v>
      </c>
      <c r="BS412" s="1" t="s">
        <v>938</v>
      </c>
      <c r="BT412" s="1" t="s">
        <v>210</v>
      </c>
      <c r="BX412" s="1">
        <v>1</v>
      </c>
    </row>
    <row r="413" spans="1:76" x14ac:dyDescent="0.25">
      <c r="A413" s="1" t="s">
        <v>1914</v>
      </c>
      <c r="B413" s="1" t="s">
        <v>203</v>
      </c>
      <c r="D413" s="1" t="s">
        <v>1915</v>
      </c>
      <c r="E413" s="1">
        <v>1114</v>
      </c>
      <c r="F413" s="1" t="str">
        <f t="shared" si="210"/>
        <v>enemy_1114_rgrdmn_2</v>
      </c>
      <c r="G413" s="1">
        <v>1</v>
      </c>
      <c r="L413" s="1">
        <v>14000</v>
      </c>
      <c r="N413" s="1">
        <v>700</v>
      </c>
      <c r="P413" s="1">
        <v>220</v>
      </c>
      <c r="R413" s="1">
        <v>60</v>
      </c>
      <c r="Z413" s="1">
        <v>0.05</v>
      </c>
      <c r="AA413" s="1">
        <v>5</v>
      </c>
      <c r="AB413" s="1">
        <v>3</v>
      </c>
      <c r="AC413" s="1">
        <v>0.8</v>
      </c>
      <c r="AH413" s="1">
        <v>0</v>
      </c>
      <c r="AI413" s="1">
        <v>1</v>
      </c>
      <c r="AJ413" s="1" t="s">
        <v>1916</v>
      </c>
      <c r="AK413" s="1" t="s">
        <v>206</v>
      </c>
      <c r="AL413" s="1" t="s">
        <v>1912</v>
      </c>
      <c r="AN413" s="22" t="s">
        <v>9767</v>
      </c>
      <c r="AX413" s="1">
        <v>1</v>
      </c>
      <c r="AZ413" s="1">
        <v>0.25</v>
      </c>
      <c r="BG413" s="1" t="str">
        <f t="shared" si="211"/>
        <v>enemy_1114_rgrdmn_2</v>
      </c>
      <c r="BM413" s="1" t="s">
        <v>1419</v>
      </c>
      <c r="BN413" s="1" t="s">
        <v>1913</v>
      </c>
      <c r="BQ413" s="1" t="s">
        <v>207</v>
      </c>
      <c r="BR413" s="1" t="s">
        <v>208</v>
      </c>
      <c r="BS413" s="1" t="s">
        <v>938</v>
      </c>
      <c r="BT413" s="1" t="s">
        <v>210</v>
      </c>
      <c r="BX413" s="1">
        <v>1</v>
      </c>
    </row>
    <row r="414" spans="1:76" x14ac:dyDescent="0.25">
      <c r="A414" s="1" t="s">
        <v>1917</v>
      </c>
      <c r="B414" s="1" t="s">
        <v>203</v>
      </c>
      <c r="D414" s="1" t="s">
        <v>1918</v>
      </c>
      <c r="E414" s="1">
        <v>1115</v>
      </c>
      <c r="F414" s="1" t="str">
        <f t="shared" si="210"/>
        <v>enemy_1115_embald</v>
      </c>
      <c r="G414" s="1">
        <v>1</v>
      </c>
      <c r="L414" s="1">
        <v>50000</v>
      </c>
      <c r="N414" s="1">
        <v>0</v>
      </c>
      <c r="P414" s="1">
        <v>3000</v>
      </c>
      <c r="R414" s="1">
        <v>90</v>
      </c>
      <c r="Z414" s="1">
        <v>0.05</v>
      </c>
      <c r="AA414" s="1">
        <v>0</v>
      </c>
      <c r="AB414" s="1">
        <v>5</v>
      </c>
      <c r="AC414" s="1">
        <v>0.4</v>
      </c>
      <c r="AH414" s="1">
        <v>0</v>
      </c>
      <c r="AI414" s="1">
        <v>1</v>
      </c>
      <c r="AJ414" s="1" t="s">
        <v>1919</v>
      </c>
      <c r="AK414" s="1" t="s">
        <v>206</v>
      </c>
      <c r="AL414" s="1" t="s">
        <v>228</v>
      </c>
      <c r="AN414" s="22" t="s">
        <v>9767</v>
      </c>
      <c r="AX414" s="1">
        <v>1</v>
      </c>
      <c r="AZ414" s="1">
        <v>0.25</v>
      </c>
      <c r="BG414" s="1" t="str">
        <f t="shared" si="211"/>
        <v>enemy_1115_embald</v>
      </c>
      <c r="BM414" s="1" t="s">
        <v>996</v>
      </c>
      <c r="BN414" s="1" t="s">
        <v>1920</v>
      </c>
      <c r="BQ414" s="1" t="s">
        <v>207</v>
      </c>
      <c r="BR414" s="1" t="s">
        <v>208</v>
      </c>
      <c r="BS414" s="1" t="s">
        <v>229</v>
      </c>
      <c r="BT414" s="1" t="s">
        <v>210</v>
      </c>
      <c r="BX414" s="1">
        <v>1</v>
      </c>
    </row>
    <row r="415" spans="1:76" x14ac:dyDescent="0.25">
      <c r="A415" s="1" t="s">
        <v>1921</v>
      </c>
      <c r="B415" s="1" t="s">
        <v>203</v>
      </c>
      <c r="D415" s="1" t="s">
        <v>1922</v>
      </c>
      <c r="E415" s="1">
        <v>1503</v>
      </c>
      <c r="F415" s="1" t="str">
        <f t="shared" si="210"/>
        <v>enemy_1503_talula</v>
      </c>
      <c r="G415" s="1">
        <v>1</v>
      </c>
      <c r="L415" s="1">
        <v>50000</v>
      </c>
      <c r="N415" s="1">
        <v>1500</v>
      </c>
      <c r="P415" s="1">
        <v>700</v>
      </c>
      <c r="R415" s="1">
        <v>50</v>
      </c>
      <c r="Z415" s="1">
        <v>0.05</v>
      </c>
      <c r="AA415" s="1">
        <v>4.5</v>
      </c>
      <c r="AB415" s="1">
        <v>6</v>
      </c>
      <c r="AC415" s="1">
        <v>0.5</v>
      </c>
      <c r="AH415" s="1">
        <v>0</v>
      </c>
      <c r="AI415" s="1">
        <v>1</v>
      </c>
      <c r="AJ415" s="1" t="s">
        <v>1923</v>
      </c>
      <c r="AK415" s="1" t="s">
        <v>206</v>
      </c>
      <c r="AL415" s="1" t="s">
        <v>1924</v>
      </c>
      <c r="AN415" s="22" t="s">
        <v>9767</v>
      </c>
      <c r="AX415" s="1">
        <v>1</v>
      </c>
      <c r="AY415" s="1" t="s">
        <v>1493</v>
      </c>
      <c r="AZ415" s="1">
        <v>0.25</v>
      </c>
      <c r="BG415" s="1" t="str">
        <f t="shared" si="211"/>
        <v>enemy_1503_talula</v>
      </c>
      <c r="BM415" s="1" t="s">
        <v>1319</v>
      </c>
      <c r="BN415" s="1" t="s">
        <v>1925</v>
      </c>
      <c r="BQ415" s="1" t="s">
        <v>207</v>
      </c>
      <c r="BR415" s="1" t="s">
        <v>208</v>
      </c>
      <c r="BS415" s="1" t="s">
        <v>229</v>
      </c>
      <c r="BT415" s="1" t="s">
        <v>210</v>
      </c>
      <c r="BX415" s="1">
        <v>1</v>
      </c>
    </row>
    <row r="416" spans="1:76" x14ac:dyDescent="0.25">
      <c r="A416" s="1" t="s">
        <v>1926</v>
      </c>
      <c r="B416" s="1" t="s">
        <v>203</v>
      </c>
      <c r="C416" s="1">
        <v>1</v>
      </c>
      <c r="D416" s="1" t="s">
        <v>1927</v>
      </c>
      <c r="E416" s="1">
        <v>1514</v>
      </c>
      <c r="F416" s="1" t="str">
        <f t="shared" si="210"/>
        <v>enemy_1514_smephi</v>
      </c>
      <c r="G416" s="1">
        <v>1</v>
      </c>
      <c r="L416" s="1">
        <v>60000</v>
      </c>
      <c r="N416" s="1">
        <v>450</v>
      </c>
      <c r="P416" s="1">
        <v>450</v>
      </c>
      <c r="R416" s="1">
        <v>30</v>
      </c>
      <c r="Z416" s="1">
        <v>0.05</v>
      </c>
      <c r="AA416" s="1">
        <v>4</v>
      </c>
      <c r="AB416" s="1">
        <v>6</v>
      </c>
      <c r="AC416" s="1">
        <v>1</v>
      </c>
      <c r="AH416" s="1">
        <v>0</v>
      </c>
      <c r="AI416" s="1">
        <v>1</v>
      </c>
      <c r="AJ416" s="1" t="s">
        <v>1928</v>
      </c>
      <c r="AK416" s="1" t="s">
        <v>206</v>
      </c>
      <c r="AL416" s="1" t="s">
        <v>228</v>
      </c>
      <c r="AN416" s="22" t="s">
        <v>9767</v>
      </c>
      <c r="AX416" s="1">
        <v>1</v>
      </c>
      <c r="AZ416" s="1">
        <v>0.25</v>
      </c>
      <c r="BG416" s="1" t="str">
        <f t="shared" si="211"/>
        <v>enemy_1514_smephi</v>
      </c>
      <c r="BM416" s="1" t="s">
        <v>1328</v>
      </c>
      <c r="BN416" s="1" t="s">
        <v>1929</v>
      </c>
      <c r="BQ416" s="1" t="s">
        <v>207</v>
      </c>
      <c r="BR416" s="1" t="s">
        <v>208</v>
      </c>
      <c r="BS416" s="1" t="s">
        <v>1930</v>
      </c>
      <c r="BT416" s="1" t="s">
        <v>210</v>
      </c>
      <c r="BX416" s="1">
        <v>1</v>
      </c>
    </row>
    <row r="417" spans="1:76" x14ac:dyDescent="0.25">
      <c r="A417" s="1" t="s">
        <v>11246</v>
      </c>
      <c r="B417" s="1" t="s">
        <v>203</v>
      </c>
      <c r="D417" s="1" t="s">
        <v>1931</v>
      </c>
      <c r="E417" s="1">
        <v>1515</v>
      </c>
      <c r="F417" s="1" t="str">
        <f t="shared" si="210"/>
        <v>enemy_1515_bsnake</v>
      </c>
      <c r="G417" s="1">
        <v>1</v>
      </c>
      <c r="L417" s="1">
        <v>50000</v>
      </c>
      <c r="N417" s="1">
        <v>770</v>
      </c>
      <c r="P417" s="1">
        <v>800</v>
      </c>
      <c r="R417" s="1">
        <v>50</v>
      </c>
      <c r="Z417" s="1">
        <v>0.05</v>
      </c>
      <c r="AA417" s="1">
        <v>4.5</v>
      </c>
      <c r="AB417" s="1">
        <v>6</v>
      </c>
      <c r="AC417" s="1">
        <v>0.5</v>
      </c>
      <c r="AH417" s="1">
        <v>0</v>
      </c>
      <c r="AI417" s="1">
        <v>1</v>
      </c>
      <c r="AJ417" s="1" t="s">
        <v>1932</v>
      </c>
      <c r="AK417" s="1" t="s">
        <v>206</v>
      </c>
      <c r="AL417" s="1" t="s">
        <v>1933</v>
      </c>
      <c r="AN417" s="22" t="s">
        <v>9767</v>
      </c>
      <c r="AX417" s="1">
        <v>1</v>
      </c>
      <c r="AY417" s="1" t="s">
        <v>1493</v>
      </c>
      <c r="AZ417" s="1">
        <v>0.25</v>
      </c>
      <c r="BG417" s="1" t="str">
        <f t="shared" si="211"/>
        <v>enemy_1515_bsnake</v>
      </c>
      <c r="BM417" s="1" t="s">
        <v>1328</v>
      </c>
      <c r="BN417" s="1" t="s">
        <v>1934</v>
      </c>
      <c r="BQ417" s="1" t="s">
        <v>207</v>
      </c>
      <c r="BR417" s="1" t="s">
        <v>1935</v>
      </c>
      <c r="BS417" s="1" t="s">
        <v>1936</v>
      </c>
      <c r="BT417" s="1" t="s">
        <v>210</v>
      </c>
      <c r="BX417" s="1">
        <v>1</v>
      </c>
    </row>
    <row r="418" spans="1:76" x14ac:dyDescent="0.25">
      <c r="A418" s="1" t="s">
        <v>1937</v>
      </c>
      <c r="B418" s="1" t="s">
        <v>203</v>
      </c>
      <c r="D418" s="1" t="s">
        <v>1938</v>
      </c>
      <c r="E418" s="1">
        <v>3001</v>
      </c>
      <c r="F418" s="1" t="str">
        <f t="shared" si="210"/>
        <v>enemy_3001_upeopl</v>
      </c>
      <c r="G418" s="1">
        <v>1</v>
      </c>
      <c r="L418" s="1">
        <v>3500</v>
      </c>
      <c r="N418" s="1">
        <v>0</v>
      </c>
      <c r="P418" s="1">
        <v>50</v>
      </c>
      <c r="R418" s="1">
        <v>0</v>
      </c>
      <c r="Z418" s="1">
        <v>0.05</v>
      </c>
      <c r="AA418" s="1">
        <v>0</v>
      </c>
      <c r="AB418" s="1">
        <v>1</v>
      </c>
      <c r="AC418" s="1">
        <v>0.65</v>
      </c>
      <c r="AH418" s="1">
        <v>0</v>
      </c>
      <c r="AI418" s="1">
        <v>0</v>
      </c>
      <c r="AJ418" s="1" t="s">
        <v>1939</v>
      </c>
      <c r="AK418" s="1" t="s">
        <v>206</v>
      </c>
      <c r="AL418" s="1" t="s">
        <v>1940</v>
      </c>
      <c r="AN418" s="22" t="s">
        <v>9767</v>
      </c>
      <c r="AX418" s="1">
        <v>0</v>
      </c>
      <c r="AZ418" s="1">
        <v>0.25</v>
      </c>
      <c r="BG418" s="1" t="str">
        <f t="shared" si="211"/>
        <v>enemy_3001_upeopl</v>
      </c>
      <c r="BM418" s="1" t="s">
        <v>1941</v>
      </c>
      <c r="BN418" s="1" t="s">
        <v>1942</v>
      </c>
      <c r="BQ418" s="1" t="s">
        <v>207</v>
      </c>
      <c r="BR418" s="1" t="s">
        <v>208</v>
      </c>
      <c r="BS418" s="1" t="s">
        <v>229</v>
      </c>
      <c r="BT418" s="1" t="s">
        <v>210</v>
      </c>
      <c r="BX418" s="1">
        <v>1</v>
      </c>
    </row>
    <row r="419" spans="1:76" x14ac:dyDescent="0.25">
      <c r="A419" s="1" t="s">
        <v>1943</v>
      </c>
      <c r="B419" s="1" t="s">
        <v>203</v>
      </c>
      <c r="C419" s="1">
        <v>1</v>
      </c>
      <c r="D419" s="1" t="s">
        <v>1944</v>
      </c>
      <c r="E419" s="1">
        <v>3002</v>
      </c>
      <c r="F419" s="1" t="str">
        <f t="shared" si="210"/>
        <v>enemy_3002_ftrtal</v>
      </c>
      <c r="G419" s="1">
        <v>1</v>
      </c>
      <c r="L419" s="1">
        <v>15000</v>
      </c>
      <c r="N419" s="1">
        <v>600</v>
      </c>
      <c r="P419" s="1">
        <v>350</v>
      </c>
      <c r="R419" s="1">
        <v>50</v>
      </c>
      <c r="Z419" s="1">
        <v>0.05</v>
      </c>
      <c r="AA419" s="1">
        <v>5</v>
      </c>
      <c r="AB419" s="1">
        <v>6</v>
      </c>
      <c r="AC419" s="1">
        <v>0.45</v>
      </c>
      <c r="AH419" s="1">
        <v>0</v>
      </c>
      <c r="AI419" s="1">
        <v>1</v>
      </c>
      <c r="AJ419" s="1" t="s">
        <v>1945</v>
      </c>
      <c r="AK419" s="1" t="s">
        <v>206</v>
      </c>
      <c r="AL419" s="1" t="s">
        <v>228</v>
      </c>
      <c r="AN419" s="22" t="s">
        <v>9767</v>
      </c>
      <c r="AX419" s="1">
        <v>1</v>
      </c>
      <c r="AZ419" s="1">
        <v>0.25</v>
      </c>
      <c r="BG419" s="1" t="str">
        <f t="shared" si="211"/>
        <v>enemy_3002_ftrtal</v>
      </c>
      <c r="BM419" s="1" t="s">
        <v>1946</v>
      </c>
      <c r="BN419" s="1" t="s">
        <v>1947</v>
      </c>
      <c r="BQ419" s="1" t="s">
        <v>207</v>
      </c>
      <c r="BR419" s="1" t="s">
        <v>208</v>
      </c>
      <c r="BS419" s="1" t="s">
        <v>229</v>
      </c>
      <c r="BT419" s="1" t="s">
        <v>210</v>
      </c>
      <c r="BX419" s="1">
        <v>1</v>
      </c>
    </row>
    <row r="420" spans="1:76" x14ac:dyDescent="0.25">
      <c r="A420" s="1" t="s">
        <v>1948</v>
      </c>
      <c r="B420" s="1" t="s">
        <v>203</v>
      </c>
      <c r="C420" s="1">
        <v>1</v>
      </c>
      <c r="D420" s="1" t="s">
        <v>1949</v>
      </c>
      <c r="E420" s="1">
        <v>3002</v>
      </c>
      <c r="F420" s="1" t="str">
        <f t="shared" si="210"/>
        <v>enemy_3002_ftrtal_s</v>
      </c>
      <c r="G420" s="1">
        <v>1</v>
      </c>
      <c r="L420" s="1">
        <v>15000</v>
      </c>
      <c r="N420" s="1">
        <v>600</v>
      </c>
      <c r="P420" s="1">
        <v>350</v>
      </c>
      <c r="R420" s="1">
        <v>50</v>
      </c>
      <c r="Z420" s="1">
        <v>0.05</v>
      </c>
      <c r="AA420" s="1">
        <v>5</v>
      </c>
      <c r="AB420" s="1">
        <v>6</v>
      </c>
      <c r="AC420" s="1">
        <v>0.45</v>
      </c>
      <c r="AH420" s="1">
        <v>0</v>
      </c>
      <c r="AI420" s="1">
        <v>1</v>
      </c>
      <c r="AJ420" s="1" t="s">
        <v>1945</v>
      </c>
      <c r="AK420" s="1" t="s">
        <v>206</v>
      </c>
      <c r="AL420" s="1" t="s">
        <v>228</v>
      </c>
      <c r="AN420" s="22" t="s">
        <v>9767</v>
      </c>
      <c r="AX420" s="1">
        <v>1</v>
      </c>
      <c r="AZ420" s="1">
        <v>0.25</v>
      </c>
      <c r="BG420" s="1" t="str">
        <f t="shared" si="211"/>
        <v>enemy_3002_ftrtal_s</v>
      </c>
      <c r="BQ420" s="1" t="s">
        <v>207</v>
      </c>
      <c r="BR420" s="1" t="s">
        <v>208</v>
      </c>
      <c r="BT420" s="1" t="s">
        <v>210</v>
      </c>
      <c r="BX420" s="1">
        <v>1</v>
      </c>
    </row>
    <row r="421" spans="1:76" x14ac:dyDescent="0.25">
      <c r="A421" s="1" t="s">
        <v>1950</v>
      </c>
      <c r="B421" s="1" t="s">
        <v>203</v>
      </c>
      <c r="C421" s="1">
        <v>1</v>
      </c>
      <c r="D421" s="1" t="s">
        <v>1951</v>
      </c>
      <c r="E421" s="1">
        <v>1116</v>
      </c>
      <c r="F421" s="1" t="str">
        <f t="shared" si="210"/>
        <v>enemy_1116_liprr</v>
      </c>
      <c r="G421" s="1">
        <v>1</v>
      </c>
      <c r="L421" s="1">
        <v>5500</v>
      </c>
      <c r="N421" s="1">
        <v>280</v>
      </c>
      <c r="P421" s="1">
        <v>60</v>
      </c>
      <c r="R421" s="1">
        <v>0</v>
      </c>
      <c r="Z421" s="1">
        <v>0.05</v>
      </c>
      <c r="AA421" s="1">
        <v>2</v>
      </c>
      <c r="AB421" s="1">
        <v>1</v>
      </c>
      <c r="AC421" s="1">
        <v>1.1000000000000001</v>
      </c>
      <c r="AH421" s="1">
        <v>0</v>
      </c>
      <c r="AI421" s="1">
        <v>1</v>
      </c>
      <c r="AJ421" s="1" t="s">
        <v>1952</v>
      </c>
      <c r="AK421" s="1" t="s">
        <v>206</v>
      </c>
      <c r="AL421" s="1" t="s">
        <v>228</v>
      </c>
      <c r="AN421" s="22" t="s">
        <v>9767</v>
      </c>
      <c r="AX421" s="1">
        <v>1</v>
      </c>
      <c r="AZ421" s="1">
        <v>0.25</v>
      </c>
      <c r="BG421" s="1" t="str">
        <f t="shared" si="211"/>
        <v>enemy_1116_liprr</v>
      </c>
      <c r="BM421" s="1" t="s">
        <v>1953</v>
      </c>
      <c r="BN421" s="1" t="s">
        <v>1954</v>
      </c>
      <c r="BQ421" s="1" t="s">
        <v>207</v>
      </c>
      <c r="BR421" s="1" t="s">
        <v>208</v>
      </c>
      <c r="BS421" s="1" t="s">
        <v>229</v>
      </c>
      <c r="BT421" s="1" t="s">
        <v>210</v>
      </c>
      <c r="BX421" s="1">
        <v>1</v>
      </c>
    </row>
    <row r="422" spans="1:76" x14ac:dyDescent="0.25">
      <c r="A422" s="1" t="s">
        <v>1955</v>
      </c>
      <c r="B422" s="1" t="s">
        <v>203</v>
      </c>
      <c r="C422" s="1">
        <v>1</v>
      </c>
      <c r="D422" s="1" t="s">
        <v>1956</v>
      </c>
      <c r="E422" s="1">
        <v>1116</v>
      </c>
      <c r="F422" s="1" t="str">
        <f t="shared" si="210"/>
        <v>enemy_1116_liprr_2</v>
      </c>
      <c r="G422" s="1">
        <v>1</v>
      </c>
      <c r="L422" s="1">
        <v>7500</v>
      </c>
      <c r="N422" s="1">
        <v>380</v>
      </c>
      <c r="P422" s="1">
        <v>60</v>
      </c>
      <c r="R422" s="1">
        <v>0</v>
      </c>
      <c r="Z422" s="1">
        <v>0.05</v>
      </c>
      <c r="AA422" s="1">
        <v>2</v>
      </c>
      <c r="AB422" s="1">
        <v>1</v>
      </c>
      <c r="AC422" s="1">
        <v>1.1000000000000001</v>
      </c>
      <c r="AH422" s="1">
        <v>0</v>
      </c>
      <c r="AI422" s="1">
        <v>1</v>
      </c>
      <c r="AJ422" s="1" t="s">
        <v>1957</v>
      </c>
      <c r="AK422" s="1" t="s">
        <v>206</v>
      </c>
      <c r="AL422" s="1" t="s">
        <v>228</v>
      </c>
      <c r="AN422" s="22" t="s">
        <v>9767</v>
      </c>
      <c r="AX422" s="1">
        <v>1</v>
      </c>
      <c r="AZ422" s="1">
        <v>0.25</v>
      </c>
      <c r="BG422" s="1" t="str">
        <f t="shared" si="211"/>
        <v>enemy_1116_liprr_2</v>
      </c>
      <c r="BM422" s="1" t="s">
        <v>1953</v>
      </c>
      <c r="BN422" s="1" t="s">
        <v>1958</v>
      </c>
      <c r="BQ422" s="1" t="s">
        <v>207</v>
      </c>
      <c r="BR422" s="1" t="s">
        <v>208</v>
      </c>
      <c r="BS422" s="1" t="s">
        <v>229</v>
      </c>
      <c r="BT422" s="1" t="s">
        <v>210</v>
      </c>
      <c r="BX422" s="1">
        <v>1</v>
      </c>
    </row>
    <row r="423" spans="1:76" x14ac:dyDescent="0.25">
      <c r="A423" s="1" t="s">
        <v>1959</v>
      </c>
      <c r="B423" s="1" t="s">
        <v>203</v>
      </c>
      <c r="C423" s="1">
        <v>1</v>
      </c>
      <c r="D423" s="1" t="s">
        <v>1960</v>
      </c>
      <c r="E423" s="1">
        <v>1117</v>
      </c>
      <c r="F423" s="1" t="str">
        <f t="shared" si="210"/>
        <v>enemy_1117_liiprr</v>
      </c>
      <c r="G423" s="1">
        <v>1</v>
      </c>
      <c r="L423" s="1">
        <v>5500</v>
      </c>
      <c r="N423" s="1">
        <v>220</v>
      </c>
      <c r="P423" s="1">
        <v>80</v>
      </c>
      <c r="R423" s="1">
        <v>30</v>
      </c>
      <c r="Z423" s="1">
        <v>0.05</v>
      </c>
      <c r="AA423" s="1">
        <v>3</v>
      </c>
      <c r="AB423" s="1">
        <v>1</v>
      </c>
      <c r="AC423" s="1">
        <v>0.9</v>
      </c>
      <c r="AH423" s="1">
        <v>0</v>
      </c>
      <c r="AI423" s="1">
        <v>1</v>
      </c>
      <c r="AJ423" s="1" t="s">
        <v>1961</v>
      </c>
      <c r="AK423" s="1" t="s">
        <v>206</v>
      </c>
      <c r="AL423" s="1" t="s">
        <v>228</v>
      </c>
      <c r="AN423" s="22" t="s">
        <v>9767</v>
      </c>
      <c r="AX423" s="1">
        <v>1</v>
      </c>
      <c r="AZ423" s="1">
        <v>0.25</v>
      </c>
      <c r="BG423" s="1" t="str">
        <f t="shared" si="211"/>
        <v>enemy_1117_liiprr</v>
      </c>
      <c r="BM423" s="1" t="s">
        <v>1962</v>
      </c>
      <c r="BN423" s="1" t="s">
        <v>1963</v>
      </c>
      <c r="BQ423" s="1" t="s">
        <v>207</v>
      </c>
      <c r="BR423" s="1" t="s">
        <v>208</v>
      </c>
      <c r="BS423" s="1" t="s">
        <v>229</v>
      </c>
      <c r="BT423" s="1" t="s">
        <v>210</v>
      </c>
      <c r="BX423" s="1">
        <v>1</v>
      </c>
    </row>
    <row r="424" spans="1:76" x14ac:dyDescent="0.25">
      <c r="A424" s="1" t="s">
        <v>1964</v>
      </c>
      <c r="B424" s="1" t="s">
        <v>203</v>
      </c>
      <c r="C424" s="1">
        <v>1</v>
      </c>
      <c r="D424" s="1" t="s">
        <v>1965</v>
      </c>
      <c r="E424" s="1">
        <v>1117</v>
      </c>
      <c r="F424" s="1" t="str">
        <f t="shared" si="210"/>
        <v>enemy_1117_liiprr_2</v>
      </c>
      <c r="G424" s="1">
        <v>1</v>
      </c>
      <c r="L424" s="1">
        <v>7000</v>
      </c>
      <c r="N424" s="1">
        <v>320</v>
      </c>
      <c r="P424" s="1">
        <v>80</v>
      </c>
      <c r="R424" s="1">
        <v>30</v>
      </c>
      <c r="Z424" s="1">
        <v>0.05</v>
      </c>
      <c r="AA424" s="1">
        <v>3</v>
      </c>
      <c r="AB424" s="1">
        <v>1</v>
      </c>
      <c r="AC424" s="1">
        <v>0.9</v>
      </c>
      <c r="AH424" s="1">
        <v>0</v>
      </c>
      <c r="AI424" s="1">
        <v>1</v>
      </c>
      <c r="AJ424" s="1" t="s">
        <v>1966</v>
      </c>
      <c r="AK424" s="1" t="s">
        <v>206</v>
      </c>
      <c r="AL424" s="1" t="s">
        <v>228</v>
      </c>
      <c r="AN424" s="22" t="s">
        <v>9767</v>
      </c>
      <c r="AX424" s="1">
        <v>1</v>
      </c>
      <c r="AZ424" s="1">
        <v>0.25</v>
      </c>
      <c r="BG424" s="1" t="str">
        <f t="shared" si="211"/>
        <v>enemy_1117_liiprr_2</v>
      </c>
      <c r="BM424" s="1" t="s">
        <v>1962</v>
      </c>
      <c r="BN424" s="1" t="s">
        <v>1967</v>
      </c>
      <c r="BQ424" s="1" t="s">
        <v>207</v>
      </c>
      <c r="BR424" s="1" t="s">
        <v>208</v>
      </c>
      <c r="BS424" s="1" t="s">
        <v>229</v>
      </c>
      <c r="BT424" s="1" t="s">
        <v>210</v>
      </c>
      <c r="BX424" s="1">
        <v>1</v>
      </c>
    </row>
    <row r="425" spans="1:76" x14ac:dyDescent="0.25">
      <c r="A425" s="1" t="s">
        <v>1968</v>
      </c>
      <c r="B425" s="1" t="s">
        <v>203</v>
      </c>
      <c r="C425" s="1">
        <v>1</v>
      </c>
      <c r="D425" s="1" t="s">
        <v>1969</v>
      </c>
      <c r="E425" s="1">
        <v>1118</v>
      </c>
      <c r="F425" s="1" t="str">
        <f t="shared" si="210"/>
        <v>enemy_1118_lidbox</v>
      </c>
      <c r="G425" s="1">
        <v>1</v>
      </c>
      <c r="L425" s="1">
        <v>8000</v>
      </c>
      <c r="N425" s="1">
        <v>300</v>
      </c>
      <c r="P425" s="1">
        <v>300</v>
      </c>
      <c r="R425" s="1">
        <v>0</v>
      </c>
      <c r="Z425" s="1">
        <v>0.05</v>
      </c>
      <c r="AA425" s="1">
        <v>1.2</v>
      </c>
      <c r="AB425" s="1">
        <v>2</v>
      </c>
      <c r="AC425" s="1">
        <v>1.6</v>
      </c>
      <c r="AH425" s="1">
        <v>0</v>
      </c>
      <c r="AI425" s="1">
        <v>1</v>
      </c>
      <c r="AJ425" s="1" t="s">
        <v>1970</v>
      </c>
      <c r="AK425" s="1" t="s">
        <v>206</v>
      </c>
      <c r="AL425" s="1" t="s">
        <v>228</v>
      </c>
      <c r="AN425" s="22" t="s">
        <v>9767</v>
      </c>
      <c r="AX425" s="1">
        <v>1</v>
      </c>
      <c r="AZ425" s="1">
        <v>0.25</v>
      </c>
      <c r="BG425" s="1" t="str">
        <f t="shared" si="211"/>
        <v>enemy_1118_lidbox</v>
      </c>
      <c r="BM425" s="1" t="s">
        <v>1971</v>
      </c>
      <c r="BN425" s="1" t="s">
        <v>1972</v>
      </c>
      <c r="BQ425" s="1" t="s">
        <v>1973</v>
      </c>
      <c r="BR425" s="1" t="s">
        <v>1974</v>
      </c>
      <c r="BS425" s="1" t="s">
        <v>1975</v>
      </c>
      <c r="BT425" s="1" t="s">
        <v>1976</v>
      </c>
      <c r="BX425" s="1">
        <v>1</v>
      </c>
    </row>
    <row r="426" spans="1:76" x14ac:dyDescent="0.25">
      <c r="A426" s="1" t="s">
        <v>1977</v>
      </c>
      <c r="B426" s="1" t="s">
        <v>203</v>
      </c>
      <c r="C426" s="1">
        <v>1</v>
      </c>
      <c r="D426" s="1" t="s">
        <v>1978</v>
      </c>
      <c r="E426" s="1">
        <v>1118</v>
      </c>
      <c r="F426" s="1" t="str">
        <f t="shared" si="210"/>
        <v>enemy_1118_lidbox_2</v>
      </c>
      <c r="G426" s="1">
        <v>1</v>
      </c>
      <c r="L426" s="1">
        <v>9500</v>
      </c>
      <c r="N426" s="1">
        <v>400</v>
      </c>
      <c r="P426" s="1">
        <v>400</v>
      </c>
      <c r="R426" s="1">
        <v>0</v>
      </c>
      <c r="Z426" s="1">
        <v>0.05</v>
      </c>
      <c r="AA426" s="1">
        <v>1</v>
      </c>
      <c r="AB426" s="1">
        <v>2</v>
      </c>
      <c r="AC426" s="1">
        <v>1.6</v>
      </c>
      <c r="AH426" s="1">
        <v>0</v>
      </c>
      <c r="AI426" s="1">
        <v>1</v>
      </c>
      <c r="AJ426" s="1" t="s">
        <v>1979</v>
      </c>
      <c r="AK426" s="1" t="s">
        <v>206</v>
      </c>
      <c r="AL426" s="1" t="s">
        <v>228</v>
      </c>
      <c r="AN426" s="22" t="s">
        <v>9767</v>
      </c>
      <c r="AX426" s="1">
        <v>1</v>
      </c>
      <c r="AZ426" s="1">
        <v>0.25</v>
      </c>
      <c r="BG426" s="1" t="str">
        <f t="shared" si="211"/>
        <v>enemy_1118_lidbox_2</v>
      </c>
      <c r="BM426" s="1" t="s">
        <v>1971</v>
      </c>
      <c r="BN426" s="1" t="s">
        <v>1980</v>
      </c>
      <c r="BQ426" s="1" t="s">
        <v>1973</v>
      </c>
      <c r="BR426" s="1" t="s">
        <v>1974</v>
      </c>
      <c r="BS426" s="1" t="s">
        <v>1975</v>
      </c>
      <c r="BT426" s="1" t="s">
        <v>1976</v>
      </c>
      <c r="BX426" s="1">
        <v>1</v>
      </c>
    </row>
    <row r="427" spans="1:76" x14ac:dyDescent="0.25">
      <c r="A427" s="1" t="s">
        <v>1981</v>
      </c>
      <c r="B427" s="1" t="s">
        <v>203</v>
      </c>
      <c r="C427" s="1">
        <v>1</v>
      </c>
      <c r="D427" s="1" t="s">
        <v>1982</v>
      </c>
      <c r="E427" s="1">
        <v>1119</v>
      </c>
      <c r="F427" s="1" t="str">
        <f t="shared" si="210"/>
        <v>enemy_1119_vofsd</v>
      </c>
      <c r="G427" s="1">
        <v>1</v>
      </c>
      <c r="L427" s="1">
        <v>11000</v>
      </c>
      <c r="N427" s="1">
        <v>600</v>
      </c>
      <c r="P427" s="1">
        <v>700</v>
      </c>
      <c r="R427" s="1">
        <v>0</v>
      </c>
      <c r="Z427" s="1">
        <v>0.05</v>
      </c>
      <c r="AA427" s="1">
        <v>3.3</v>
      </c>
      <c r="AB427" s="1">
        <v>3</v>
      </c>
      <c r="AC427" s="1">
        <v>0.8</v>
      </c>
      <c r="AH427" s="1">
        <v>0</v>
      </c>
      <c r="AI427" s="1">
        <v>1</v>
      </c>
      <c r="AJ427" s="1" t="s">
        <v>1983</v>
      </c>
      <c r="AK427" s="1" t="s">
        <v>206</v>
      </c>
      <c r="AL427" s="1" t="s">
        <v>228</v>
      </c>
      <c r="AN427" s="22" t="s">
        <v>9767</v>
      </c>
      <c r="AX427" s="1">
        <v>1</v>
      </c>
      <c r="AZ427" s="1">
        <v>0.25</v>
      </c>
      <c r="BG427" s="1" t="str">
        <f t="shared" si="211"/>
        <v>enemy_1119_vofsd</v>
      </c>
      <c r="BM427" s="1" t="s">
        <v>1971</v>
      </c>
      <c r="BN427" s="1" t="s">
        <v>1984</v>
      </c>
      <c r="BQ427" s="1" t="s">
        <v>207</v>
      </c>
      <c r="BR427" s="1" t="s">
        <v>208</v>
      </c>
      <c r="BS427" s="1" t="s">
        <v>229</v>
      </c>
      <c r="BT427" s="1" t="s">
        <v>210</v>
      </c>
      <c r="BX427" s="1">
        <v>1</v>
      </c>
    </row>
    <row r="428" spans="1:76" x14ac:dyDescent="0.25">
      <c r="A428" s="1" t="s">
        <v>1985</v>
      </c>
      <c r="B428" s="1" t="s">
        <v>203</v>
      </c>
      <c r="C428" s="1">
        <v>1</v>
      </c>
      <c r="D428" s="1" t="s">
        <v>1986</v>
      </c>
      <c r="E428" s="1">
        <v>1119</v>
      </c>
      <c r="F428" s="1" t="str">
        <f t="shared" si="210"/>
        <v>enemy_1119_vofsd_2</v>
      </c>
      <c r="G428" s="1">
        <v>1</v>
      </c>
      <c r="L428" s="1">
        <v>14000</v>
      </c>
      <c r="N428" s="1">
        <v>700</v>
      </c>
      <c r="P428" s="1">
        <v>1000</v>
      </c>
      <c r="R428" s="1">
        <v>0</v>
      </c>
      <c r="Z428" s="1">
        <v>0.05</v>
      </c>
      <c r="AA428" s="1">
        <v>3.3</v>
      </c>
      <c r="AB428" s="1">
        <v>3</v>
      </c>
      <c r="AC428" s="1">
        <v>0.8</v>
      </c>
      <c r="AH428" s="1">
        <v>0</v>
      </c>
      <c r="AI428" s="1">
        <v>1</v>
      </c>
      <c r="AJ428" s="1" t="s">
        <v>1987</v>
      </c>
      <c r="AK428" s="1" t="s">
        <v>206</v>
      </c>
      <c r="AL428" s="1" t="s">
        <v>228</v>
      </c>
      <c r="AN428" s="22" t="s">
        <v>9767</v>
      </c>
      <c r="AX428" s="1">
        <v>1</v>
      </c>
      <c r="AZ428" s="1">
        <v>0.25</v>
      </c>
      <c r="BG428" s="1" t="str">
        <f t="shared" si="211"/>
        <v>enemy_1119_vofsd_2</v>
      </c>
      <c r="BM428" s="1" t="s">
        <v>1971</v>
      </c>
      <c r="BN428" s="1" t="s">
        <v>1988</v>
      </c>
      <c r="BQ428" s="1" t="s">
        <v>207</v>
      </c>
      <c r="BR428" s="1" t="s">
        <v>208</v>
      </c>
      <c r="BS428" s="1" t="s">
        <v>229</v>
      </c>
      <c r="BT428" s="1" t="s">
        <v>210</v>
      </c>
      <c r="BX428" s="1">
        <v>1</v>
      </c>
    </row>
    <row r="429" spans="1:76" x14ac:dyDescent="0.25">
      <c r="A429" s="1" t="s">
        <v>1989</v>
      </c>
      <c r="B429" s="1" t="s">
        <v>203</v>
      </c>
      <c r="C429" s="1">
        <v>1</v>
      </c>
      <c r="D429" s="1" t="s">
        <v>1990</v>
      </c>
      <c r="E429" s="1">
        <v>1120</v>
      </c>
      <c r="F429" s="1" t="str">
        <f t="shared" si="210"/>
        <v>enemy_1120_vofwiz</v>
      </c>
      <c r="G429" s="1">
        <v>1</v>
      </c>
      <c r="L429" s="1">
        <v>9000</v>
      </c>
      <c r="N429" s="1">
        <v>300</v>
      </c>
      <c r="P429" s="1">
        <v>100</v>
      </c>
      <c r="R429" s="1">
        <v>50</v>
      </c>
      <c r="Z429" s="1">
        <v>0.05</v>
      </c>
      <c r="AA429" s="1">
        <v>3.5</v>
      </c>
      <c r="AB429" s="1">
        <v>3</v>
      </c>
      <c r="AC429" s="1">
        <v>0.5</v>
      </c>
      <c r="AH429" s="1">
        <v>0</v>
      </c>
      <c r="AI429" s="1">
        <v>1</v>
      </c>
      <c r="AJ429" s="1" t="s">
        <v>1991</v>
      </c>
      <c r="AK429" s="1" t="s">
        <v>206</v>
      </c>
      <c r="AL429" s="1" t="s">
        <v>228</v>
      </c>
      <c r="AN429" s="22" t="s">
        <v>9767</v>
      </c>
      <c r="AX429" s="1">
        <v>1</v>
      </c>
      <c r="AZ429" s="1">
        <v>0.25</v>
      </c>
      <c r="BG429" s="1" t="str">
        <f t="shared" si="211"/>
        <v>enemy_1120_vofwiz</v>
      </c>
      <c r="BM429" s="1" t="s">
        <v>1992</v>
      </c>
      <c r="BN429" s="1" t="s">
        <v>1993</v>
      </c>
      <c r="BQ429" s="1" t="s">
        <v>207</v>
      </c>
      <c r="BR429" s="1" t="s">
        <v>208</v>
      </c>
      <c r="BS429" s="1" t="s">
        <v>229</v>
      </c>
      <c r="BT429" s="1" t="s">
        <v>210</v>
      </c>
      <c r="BX429" s="1">
        <v>1</v>
      </c>
    </row>
    <row r="430" spans="1:76" x14ac:dyDescent="0.25">
      <c r="A430" s="1" t="s">
        <v>1994</v>
      </c>
      <c r="B430" s="1" t="s">
        <v>203</v>
      </c>
      <c r="C430" s="1">
        <v>1</v>
      </c>
      <c r="D430" s="1" t="s">
        <v>1995</v>
      </c>
      <c r="E430" s="1">
        <v>1120</v>
      </c>
      <c r="F430" s="1" t="str">
        <f t="shared" si="210"/>
        <v>enemy_1120_vofwiz_2</v>
      </c>
      <c r="G430" s="1">
        <v>1</v>
      </c>
      <c r="L430" s="1">
        <v>11000</v>
      </c>
      <c r="N430" s="1">
        <v>340</v>
      </c>
      <c r="P430" s="1">
        <v>200</v>
      </c>
      <c r="R430" s="1">
        <v>50</v>
      </c>
      <c r="Z430" s="1">
        <v>0.05</v>
      </c>
      <c r="AA430" s="1">
        <v>3.5</v>
      </c>
      <c r="AB430" s="1">
        <v>3</v>
      </c>
      <c r="AC430" s="1">
        <v>0.5</v>
      </c>
      <c r="AH430" s="1">
        <v>0</v>
      </c>
      <c r="AI430" s="1">
        <v>1</v>
      </c>
      <c r="AJ430" s="1" t="s">
        <v>1996</v>
      </c>
      <c r="AK430" s="1" t="s">
        <v>206</v>
      </c>
      <c r="AL430" s="1" t="s">
        <v>228</v>
      </c>
      <c r="AN430" s="22" t="s">
        <v>9767</v>
      </c>
      <c r="AX430" s="1">
        <v>1</v>
      </c>
      <c r="AZ430" s="1">
        <v>0.25</v>
      </c>
      <c r="BG430" s="1" t="str">
        <f t="shared" si="211"/>
        <v>enemy_1120_vofwiz_2</v>
      </c>
      <c r="BM430" s="1" t="s">
        <v>1992</v>
      </c>
      <c r="BN430" s="1" t="s">
        <v>1997</v>
      </c>
      <c r="BQ430" s="1" t="s">
        <v>207</v>
      </c>
      <c r="BR430" s="1" t="s">
        <v>208</v>
      </c>
      <c r="BS430" s="1" t="s">
        <v>229</v>
      </c>
      <c r="BT430" s="1" t="s">
        <v>210</v>
      </c>
      <c r="BX430" s="1">
        <v>1</v>
      </c>
    </row>
    <row r="431" spans="1:76" x14ac:dyDescent="0.25">
      <c r="A431" s="1" t="s">
        <v>1998</v>
      </c>
      <c r="B431" s="1" t="s">
        <v>203</v>
      </c>
      <c r="C431" s="1">
        <v>1</v>
      </c>
      <c r="D431" s="1" t="s">
        <v>1999</v>
      </c>
      <c r="E431" s="1">
        <v>1121</v>
      </c>
      <c r="F431" s="1" t="str">
        <f t="shared" si="210"/>
        <v>enemy_1121_lifbos</v>
      </c>
      <c r="G431" s="1">
        <v>1</v>
      </c>
      <c r="L431" s="1">
        <v>20000</v>
      </c>
      <c r="N431" s="1">
        <v>800</v>
      </c>
      <c r="P431" s="1">
        <v>400</v>
      </c>
      <c r="R431" s="1">
        <v>0</v>
      </c>
      <c r="Z431" s="1">
        <v>0.05</v>
      </c>
      <c r="AA431" s="1">
        <v>3</v>
      </c>
      <c r="AB431" s="1">
        <v>5</v>
      </c>
      <c r="AC431" s="1">
        <v>0.8</v>
      </c>
      <c r="AH431" s="1">
        <v>0</v>
      </c>
      <c r="AI431" s="1">
        <v>1</v>
      </c>
      <c r="AJ431" s="1" t="s">
        <v>2000</v>
      </c>
      <c r="AK431" s="1" t="s">
        <v>206</v>
      </c>
      <c r="AL431" s="1" t="s">
        <v>228</v>
      </c>
      <c r="AN431" s="22" t="s">
        <v>9767</v>
      </c>
      <c r="AX431" s="1">
        <v>1</v>
      </c>
      <c r="AZ431" s="1">
        <v>0.25</v>
      </c>
      <c r="BG431" s="1" t="str">
        <f t="shared" si="211"/>
        <v>enemy_1121_lifbos</v>
      </c>
      <c r="BM431" s="1" t="s">
        <v>1971</v>
      </c>
      <c r="BN431" s="1" t="s">
        <v>2001</v>
      </c>
      <c r="BQ431" s="1" t="s">
        <v>1973</v>
      </c>
      <c r="BR431" s="1" t="s">
        <v>1974</v>
      </c>
      <c r="BS431" s="1" t="s">
        <v>1975</v>
      </c>
      <c r="BT431" s="1" t="s">
        <v>1976</v>
      </c>
      <c r="BX431" s="1">
        <v>1</v>
      </c>
    </row>
    <row r="432" spans="1:76" x14ac:dyDescent="0.25">
      <c r="A432" s="1" t="s">
        <v>2002</v>
      </c>
      <c r="B432" s="1" t="s">
        <v>203</v>
      </c>
      <c r="C432" s="1">
        <v>1</v>
      </c>
      <c r="D432" s="1" t="s">
        <v>2003</v>
      </c>
      <c r="E432" s="1">
        <v>1121</v>
      </c>
      <c r="F432" s="1" t="str">
        <f t="shared" si="210"/>
        <v>enemy_1121_lifbos_2</v>
      </c>
      <c r="G432" s="1">
        <v>1</v>
      </c>
      <c r="L432" s="1">
        <v>25000</v>
      </c>
      <c r="N432" s="1">
        <v>1000</v>
      </c>
      <c r="P432" s="1">
        <v>500</v>
      </c>
      <c r="R432" s="1">
        <v>0</v>
      </c>
      <c r="Z432" s="1">
        <v>0.05</v>
      </c>
      <c r="AA432" s="1">
        <v>3</v>
      </c>
      <c r="AB432" s="1">
        <v>5</v>
      </c>
      <c r="AC432" s="1">
        <v>0.8</v>
      </c>
      <c r="AH432" s="1">
        <v>0</v>
      </c>
      <c r="AI432" s="1">
        <v>1</v>
      </c>
      <c r="AJ432" s="1" t="s">
        <v>2004</v>
      </c>
      <c r="AK432" s="1" t="s">
        <v>206</v>
      </c>
      <c r="AL432" s="1" t="s">
        <v>228</v>
      </c>
      <c r="AN432" s="22" t="s">
        <v>9767</v>
      </c>
      <c r="AX432" s="1">
        <v>1</v>
      </c>
      <c r="AZ432" s="1">
        <v>0.25</v>
      </c>
      <c r="BG432" s="1" t="str">
        <f t="shared" si="211"/>
        <v>enemy_1121_lifbos_2</v>
      </c>
      <c r="BM432" s="1" t="s">
        <v>1971</v>
      </c>
      <c r="BN432" s="1" t="s">
        <v>2005</v>
      </c>
      <c r="BQ432" s="1" t="s">
        <v>1973</v>
      </c>
      <c r="BR432" s="1" t="s">
        <v>1974</v>
      </c>
      <c r="BS432" s="1" t="s">
        <v>1975</v>
      </c>
      <c r="BT432" s="1" t="s">
        <v>1976</v>
      </c>
      <c r="BX432" s="1">
        <v>1</v>
      </c>
    </row>
    <row r="433" spans="1:76" x14ac:dyDescent="0.25">
      <c r="A433" s="1" t="s">
        <v>2006</v>
      </c>
      <c r="B433" s="1" t="s">
        <v>203</v>
      </c>
      <c r="C433" s="1">
        <v>1</v>
      </c>
      <c r="D433" s="1" t="s">
        <v>2007</v>
      </c>
      <c r="E433" s="1">
        <v>1516</v>
      </c>
      <c r="F433" s="1" t="str">
        <f t="shared" ref="F433:F496" si="212">"enemy_"&amp;E433&amp;"_"&amp;D433</f>
        <v>enemy_1516_jakill</v>
      </c>
      <c r="G433" s="1">
        <v>1</v>
      </c>
      <c r="L433" s="1">
        <v>25000</v>
      </c>
      <c r="N433" s="1">
        <v>700</v>
      </c>
      <c r="P433" s="1">
        <v>400</v>
      </c>
      <c r="R433" s="1">
        <v>20</v>
      </c>
      <c r="Z433" s="1">
        <v>0.05</v>
      </c>
      <c r="AA433" s="1">
        <v>4</v>
      </c>
      <c r="AB433" s="1">
        <v>6</v>
      </c>
      <c r="AC433" s="1">
        <v>0.6</v>
      </c>
      <c r="AH433" s="1">
        <v>0</v>
      </c>
      <c r="AI433" s="1">
        <v>1</v>
      </c>
      <c r="AJ433" s="1" t="s">
        <v>2008</v>
      </c>
      <c r="AK433" s="1" t="s">
        <v>206</v>
      </c>
      <c r="AL433" s="1" t="s">
        <v>228</v>
      </c>
      <c r="AN433" s="22" t="s">
        <v>9767</v>
      </c>
      <c r="AX433" s="1">
        <v>1</v>
      </c>
      <c r="AZ433" s="1">
        <v>0.25</v>
      </c>
      <c r="BG433" s="1" t="str">
        <f t="shared" ref="BG433:BG496" si="213">"enemy_"&amp;E433&amp;"_"&amp;D433</f>
        <v>enemy_1516_jakill</v>
      </c>
      <c r="BM433" s="1" t="s">
        <v>1328</v>
      </c>
      <c r="BN433" s="1" t="s">
        <v>2009</v>
      </c>
      <c r="BQ433" s="1" t="s">
        <v>2010</v>
      </c>
      <c r="BR433" s="1" t="s">
        <v>2011</v>
      </c>
      <c r="BS433" s="1" t="s">
        <v>2012</v>
      </c>
      <c r="BT433" s="1" t="s">
        <v>2013</v>
      </c>
      <c r="BX433" s="1">
        <v>1</v>
      </c>
    </row>
    <row r="434" spans="1:76" x14ac:dyDescent="0.25">
      <c r="A434" s="1" t="s">
        <v>2014</v>
      </c>
      <c r="B434" s="1" t="s">
        <v>203</v>
      </c>
      <c r="C434" s="1">
        <v>1</v>
      </c>
      <c r="D434" s="1" t="s">
        <v>2015</v>
      </c>
      <c r="E434" s="1">
        <v>1122</v>
      </c>
      <c r="F434" s="1" t="str">
        <f t="shared" si="212"/>
        <v>enemy_1122_sphond</v>
      </c>
      <c r="G434" s="1">
        <v>1</v>
      </c>
      <c r="L434" s="1">
        <v>3200</v>
      </c>
      <c r="N434" s="1">
        <v>330</v>
      </c>
      <c r="P434" s="1">
        <v>0</v>
      </c>
      <c r="R434" s="1">
        <v>20</v>
      </c>
      <c r="Z434" s="1">
        <v>0.05</v>
      </c>
      <c r="AA434" s="1">
        <v>1.3</v>
      </c>
      <c r="AB434" s="1">
        <v>0</v>
      </c>
      <c r="AC434" s="1">
        <v>1.9</v>
      </c>
      <c r="AH434" s="1">
        <v>0</v>
      </c>
      <c r="AI434" s="1">
        <v>1</v>
      </c>
      <c r="AJ434" s="1" t="s">
        <v>2016</v>
      </c>
      <c r="AK434" s="1" t="s">
        <v>206</v>
      </c>
      <c r="AL434" s="1" t="s">
        <v>228</v>
      </c>
      <c r="AN434" s="22" t="s">
        <v>9767</v>
      </c>
      <c r="AX434" s="1">
        <v>1</v>
      </c>
      <c r="AZ434" s="1">
        <v>0.25</v>
      </c>
      <c r="BG434" s="1" t="str">
        <f t="shared" si="213"/>
        <v>enemy_1122_sphond</v>
      </c>
      <c r="BM434" s="1" t="s">
        <v>2017</v>
      </c>
      <c r="BN434" s="1" t="s">
        <v>2018</v>
      </c>
      <c r="BQ434" s="1" t="s">
        <v>207</v>
      </c>
      <c r="BR434" s="1" t="s">
        <v>208</v>
      </c>
      <c r="BS434" s="1" t="s">
        <v>229</v>
      </c>
      <c r="BT434" s="1" t="s">
        <v>210</v>
      </c>
      <c r="BX434" s="1">
        <v>1</v>
      </c>
    </row>
    <row r="435" spans="1:76" x14ac:dyDescent="0.25">
      <c r="A435" s="1" t="s">
        <v>2019</v>
      </c>
      <c r="B435" s="1" t="s">
        <v>203</v>
      </c>
      <c r="C435" s="1">
        <v>1</v>
      </c>
      <c r="D435" s="1" t="s">
        <v>2020</v>
      </c>
      <c r="E435" s="1">
        <v>1122</v>
      </c>
      <c r="F435" s="1" t="str">
        <f t="shared" si="212"/>
        <v>enemy_1122_sphond_2</v>
      </c>
      <c r="G435" s="1">
        <v>1</v>
      </c>
      <c r="L435" s="1">
        <v>4500</v>
      </c>
      <c r="N435" s="1">
        <v>380</v>
      </c>
      <c r="P435" s="1">
        <v>0</v>
      </c>
      <c r="R435" s="1">
        <v>30</v>
      </c>
      <c r="Z435" s="1">
        <v>0.05</v>
      </c>
      <c r="AA435" s="1">
        <v>1.3</v>
      </c>
      <c r="AB435" s="1">
        <v>0</v>
      </c>
      <c r="AC435" s="1">
        <v>1.9</v>
      </c>
      <c r="AH435" s="1">
        <v>0</v>
      </c>
      <c r="AI435" s="1">
        <v>1</v>
      </c>
      <c r="AJ435" s="1" t="s">
        <v>2021</v>
      </c>
      <c r="AK435" s="1" t="s">
        <v>206</v>
      </c>
      <c r="AL435" s="1" t="s">
        <v>228</v>
      </c>
      <c r="AN435" s="22" t="s">
        <v>9767</v>
      </c>
      <c r="AX435" s="1">
        <v>1</v>
      </c>
      <c r="AZ435" s="1">
        <v>0.25</v>
      </c>
      <c r="BG435" s="1" t="str">
        <f t="shared" si="213"/>
        <v>enemy_1122_sphond_2</v>
      </c>
      <c r="BM435" s="1" t="s">
        <v>2017</v>
      </c>
      <c r="BN435" s="1" t="s">
        <v>2018</v>
      </c>
      <c r="BQ435" s="1" t="s">
        <v>207</v>
      </c>
      <c r="BR435" s="1" t="s">
        <v>208</v>
      </c>
      <c r="BS435" s="1" t="s">
        <v>229</v>
      </c>
      <c r="BT435" s="1" t="s">
        <v>210</v>
      </c>
      <c r="BX435" s="1">
        <v>1</v>
      </c>
    </row>
    <row r="436" spans="1:76" x14ac:dyDescent="0.25">
      <c r="A436" s="1" t="s">
        <v>2022</v>
      </c>
      <c r="B436" s="1" t="s">
        <v>203</v>
      </c>
      <c r="C436" s="1">
        <v>1</v>
      </c>
      <c r="D436" s="1" t="s">
        <v>2023</v>
      </c>
      <c r="E436" s="1">
        <v>1123</v>
      </c>
      <c r="F436" s="1" t="str">
        <f t="shared" si="212"/>
        <v>enemy_1123_spsbr</v>
      </c>
      <c r="G436" s="1">
        <v>1</v>
      </c>
      <c r="L436" s="1">
        <v>3000</v>
      </c>
      <c r="N436" s="1">
        <v>290</v>
      </c>
      <c r="P436" s="1">
        <v>120</v>
      </c>
      <c r="R436" s="1">
        <v>10</v>
      </c>
      <c r="Z436" s="1">
        <v>0.05</v>
      </c>
      <c r="AA436" s="1">
        <v>2</v>
      </c>
      <c r="AB436" s="1">
        <v>1</v>
      </c>
      <c r="AC436" s="1">
        <v>1.1000000000000001</v>
      </c>
      <c r="AH436" s="1">
        <v>0</v>
      </c>
      <c r="AI436" s="1">
        <v>1</v>
      </c>
      <c r="AJ436" s="1" t="s">
        <v>2024</v>
      </c>
      <c r="AK436" s="1" t="s">
        <v>206</v>
      </c>
      <c r="AL436" s="1" t="s">
        <v>228</v>
      </c>
      <c r="AN436" s="22" t="s">
        <v>9767</v>
      </c>
      <c r="AX436" s="1">
        <v>1</v>
      </c>
      <c r="AZ436" s="1">
        <v>0.25</v>
      </c>
      <c r="BG436" s="1" t="str">
        <f t="shared" si="213"/>
        <v>enemy_1123_spsbr</v>
      </c>
      <c r="BM436" s="1" t="s">
        <v>2017</v>
      </c>
      <c r="BN436" s="1" t="s">
        <v>2025</v>
      </c>
      <c r="BQ436" s="1" t="s">
        <v>207</v>
      </c>
      <c r="BR436" s="1" t="s">
        <v>208</v>
      </c>
      <c r="BS436" s="1" t="s">
        <v>229</v>
      </c>
      <c r="BT436" s="1" t="s">
        <v>210</v>
      </c>
      <c r="BX436" s="1">
        <v>1</v>
      </c>
    </row>
    <row r="437" spans="1:76" x14ac:dyDescent="0.25">
      <c r="A437" s="1" t="s">
        <v>2026</v>
      </c>
      <c r="B437" s="1" t="s">
        <v>203</v>
      </c>
      <c r="C437" s="1">
        <v>1</v>
      </c>
      <c r="D437" s="1" t="s">
        <v>2027</v>
      </c>
      <c r="E437" s="1">
        <v>1123</v>
      </c>
      <c r="F437" s="1" t="str">
        <f t="shared" si="212"/>
        <v>enemy_1123_spsbr_2</v>
      </c>
      <c r="G437" s="1">
        <v>1</v>
      </c>
      <c r="L437" s="1">
        <v>4000</v>
      </c>
      <c r="N437" s="1">
        <v>370</v>
      </c>
      <c r="P437" s="1">
        <v>150</v>
      </c>
      <c r="R437" s="1">
        <v>10</v>
      </c>
      <c r="Z437" s="1">
        <v>0.05</v>
      </c>
      <c r="AA437" s="1">
        <v>2</v>
      </c>
      <c r="AB437" s="1">
        <v>1</v>
      </c>
      <c r="AC437" s="1">
        <v>1.1000000000000001</v>
      </c>
      <c r="AH437" s="1">
        <v>0</v>
      </c>
      <c r="AI437" s="1">
        <v>1</v>
      </c>
      <c r="AJ437" s="1" t="s">
        <v>2028</v>
      </c>
      <c r="AK437" s="1" t="s">
        <v>206</v>
      </c>
      <c r="AL437" s="1" t="s">
        <v>228</v>
      </c>
      <c r="AN437" s="22" t="s">
        <v>9767</v>
      </c>
      <c r="AX437" s="1">
        <v>1</v>
      </c>
      <c r="AZ437" s="1">
        <v>0.25</v>
      </c>
      <c r="BG437" s="1" t="str">
        <f t="shared" si="213"/>
        <v>enemy_1123_spsbr_2</v>
      </c>
      <c r="BM437" s="1" t="s">
        <v>2017</v>
      </c>
      <c r="BN437" s="1" t="s">
        <v>2025</v>
      </c>
      <c r="BQ437" s="1" t="s">
        <v>207</v>
      </c>
      <c r="BR437" s="1" t="s">
        <v>208</v>
      </c>
      <c r="BS437" s="1" t="s">
        <v>229</v>
      </c>
      <c r="BT437" s="1" t="s">
        <v>210</v>
      </c>
      <c r="BX437" s="1">
        <v>1</v>
      </c>
    </row>
    <row r="438" spans="1:76" x14ac:dyDescent="0.25">
      <c r="A438" s="1" t="s">
        <v>2029</v>
      </c>
      <c r="B438" s="1" t="s">
        <v>203</v>
      </c>
      <c r="C438" s="1">
        <v>1</v>
      </c>
      <c r="D438" s="1" t="s">
        <v>2030</v>
      </c>
      <c r="E438" s="1">
        <v>1124</v>
      </c>
      <c r="F438" s="1" t="str">
        <f t="shared" si="212"/>
        <v>enemy_1124_spbow</v>
      </c>
      <c r="G438" s="1">
        <v>1</v>
      </c>
      <c r="L438" s="1">
        <v>4800</v>
      </c>
      <c r="N438" s="1">
        <v>300</v>
      </c>
      <c r="P438" s="1">
        <v>240</v>
      </c>
      <c r="R438" s="1">
        <v>20</v>
      </c>
      <c r="Z438" s="1">
        <v>0.05</v>
      </c>
      <c r="AA438" s="1">
        <v>3</v>
      </c>
      <c r="AB438" s="1">
        <v>0</v>
      </c>
      <c r="AC438" s="1">
        <v>0.75</v>
      </c>
      <c r="AH438" s="1">
        <v>0</v>
      </c>
      <c r="AI438" s="1">
        <v>1</v>
      </c>
      <c r="AJ438" s="1" t="s">
        <v>2031</v>
      </c>
      <c r="AK438" s="1" t="s">
        <v>206</v>
      </c>
      <c r="AL438" s="1" t="s">
        <v>228</v>
      </c>
      <c r="AN438" s="22" t="s">
        <v>9767</v>
      </c>
      <c r="AX438" s="1">
        <v>1</v>
      </c>
      <c r="AZ438" s="1">
        <v>0.25</v>
      </c>
      <c r="BG438" s="1" t="str">
        <f t="shared" si="213"/>
        <v>enemy_1124_spbow</v>
      </c>
      <c r="BM438" s="1" t="s">
        <v>2032</v>
      </c>
      <c r="BN438" s="1" t="s">
        <v>2033</v>
      </c>
      <c r="BQ438" s="1" t="s">
        <v>207</v>
      </c>
      <c r="BR438" s="1" t="s">
        <v>208</v>
      </c>
      <c r="BS438" s="1" t="s">
        <v>229</v>
      </c>
      <c r="BT438" s="1" t="s">
        <v>210</v>
      </c>
      <c r="BX438" s="1">
        <v>1</v>
      </c>
    </row>
    <row r="439" spans="1:76" x14ac:dyDescent="0.25">
      <c r="A439" s="1" t="s">
        <v>2034</v>
      </c>
      <c r="B439" s="1" t="s">
        <v>203</v>
      </c>
      <c r="C439" s="1">
        <v>1</v>
      </c>
      <c r="D439" s="1" t="s">
        <v>2035</v>
      </c>
      <c r="E439" s="1">
        <v>1124</v>
      </c>
      <c r="F439" s="1" t="str">
        <f t="shared" si="212"/>
        <v>enemy_1124_spbow_2</v>
      </c>
      <c r="G439" s="1">
        <v>1</v>
      </c>
      <c r="L439" s="1">
        <v>6000</v>
      </c>
      <c r="N439" s="1">
        <v>400</v>
      </c>
      <c r="P439" s="1">
        <v>280</v>
      </c>
      <c r="R439" s="1">
        <v>20</v>
      </c>
      <c r="Z439" s="1">
        <v>0.05</v>
      </c>
      <c r="AA439" s="1">
        <v>3</v>
      </c>
      <c r="AB439" s="1">
        <v>0</v>
      </c>
      <c r="AC439" s="1">
        <v>0.75</v>
      </c>
      <c r="AH439" s="1">
        <v>0</v>
      </c>
      <c r="AI439" s="1">
        <v>1</v>
      </c>
      <c r="AJ439" s="1" t="s">
        <v>2036</v>
      </c>
      <c r="AK439" s="1" t="s">
        <v>206</v>
      </c>
      <c r="AL439" s="1" t="s">
        <v>228</v>
      </c>
      <c r="AN439" s="22" t="s">
        <v>9767</v>
      </c>
      <c r="AX439" s="1">
        <v>1</v>
      </c>
      <c r="AZ439" s="1">
        <v>0.25</v>
      </c>
      <c r="BG439" s="1" t="str">
        <f t="shared" si="213"/>
        <v>enemy_1124_spbow_2</v>
      </c>
      <c r="BM439" s="1" t="s">
        <v>2032</v>
      </c>
      <c r="BN439" s="1" t="s">
        <v>2033</v>
      </c>
      <c r="BQ439" s="1" t="s">
        <v>207</v>
      </c>
      <c r="BR439" s="1" t="s">
        <v>208</v>
      </c>
      <c r="BS439" s="1" t="s">
        <v>229</v>
      </c>
      <c r="BT439" s="1" t="s">
        <v>210</v>
      </c>
      <c r="BX439" s="1">
        <v>1</v>
      </c>
    </row>
    <row r="440" spans="1:76" x14ac:dyDescent="0.25">
      <c r="A440" s="1" t="s">
        <v>2037</v>
      </c>
      <c r="B440" s="1" t="s">
        <v>203</v>
      </c>
      <c r="C440" s="1">
        <v>1</v>
      </c>
      <c r="D440" s="1" t="s">
        <v>2038</v>
      </c>
      <c r="E440" s="1">
        <v>1125</v>
      </c>
      <c r="F440" s="1" t="str">
        <f t="shared" si="212"/>
        <v>enemy_1125_spshld</v>
      </c>
      <c r="G440" s="1">
        <v>1</v>
      </c>
      <c r="L440" s="1">
        <v>12000</v>
      </c>
      <c r="N440" s="1">
        <v>700</v>
      </c>
      <c r="P440" s="1">
        <v>1000</v>
      </c>
      <c r="R440" s="1">
        <v>50</v>
      </c>
      <c r="Z440" s="1">
        <v>0.05</v>
      </c>
      <c r="AA440" s="1">
        <v>3.8</v>
      </c>
      <c r="AB440" s="1">
        <v>4</v>
      </c>
      <c r="AC440" s="1">
        <v>0.7</v>
      </c>
      <c r="AH440" s="1">
        <v>0</v>
      </c>
      <c r="AI440" s="1">
        <v>1</v>
      </c>
      <c r="AJ440" s="1" t="s">
        <v>2039</v>
      </c>
      <c r="AK440" s="1" t="s">
        <v>206</v>
      </c>
      <c r="AL440" s="1" t="s">
        <v>228</v>
      </c>
      <c r="AN440" s="22" t="s">
        <v>9767</v>
      </c>
      <c r="AX440" s="1">
        <v>1</v>
      </c>
      <c r="AZ440" s="1">
        <v>0.25</v>
      </c>
      <c r="BG440" s="1" t="str">
        <f t="shared" si="213"/>
        <v>enemy_1125_spshld</v>
      </c>
      <c r="BM440" s="1" t="s">
        <v>2040</v>
      </c>
      <c r="BN440" s="1" t="s">
        <v>2041</v>
      </c>
      <c r="BQ440" s="1" t="s">
        <v>207</v>
      </c>
      <c r="BR440" s="1" t="s">
        <v>208</v>
      </c>
      <c r="BS440" s="1" t="s">
        <v>229</v>
      </c>
      <c r="BT440" s="1" t="s">
        <v>210</v>
      </c>
      <c r="BX440" s="1">
        <v>1</v>
      </c>
    </row>
    <row r="441" spans="1:76" x14ac:dyDescent="0.25">
      <c r="A441" s="1" t="s">
        <v>2042</v>
      </c>
      <c r="B441" s="1" t="s">
        <v>203</v>
      </c>
      <c r="C441" s="1">
        <v>1</v>
      </c>
      <c r="D441" s="1" t="s">
        <v>2043</v>
      </c>
      <c r="E441" s="1">
        <v>1125</v>
      </c>
      <c r="F441" s="1" t="str">
        <f t="shared" si="212"/>
        <v>enemy_1125_spshld_2</v>
      </c>
      <c r="G441" s="1">
        <v>1</v>
      </c>
      <c r="L441" s="1">
        <v>18000</v>
      </c>
      <c r="N441" s="1">
        <v>800</v>
      </c>
      <c r="P441" s="1">
        <v>1300</v>
      </c>
      <c r="R441" s="1">
        <v>60</v>
      </c>
      <c r="Z441" s="1">
        <v>0.05</v>
      </c>
      <c r="AA441" s="1">
        <v>3.8</v>
      </c>
      <c r="AB441" s="1">
        <v>4</v>
      </c>
      <c r="AC441" s="1">
        <v>0.7</v>
      </c>
      <c r="AH441" s="1">
        <v>0</v>
      </c>
      <c r="AI441" s="1">
        <v>1</v>
      </c>
      <c r="AJ441" s="1" t="s">
        <v>2044</v>
      </c>
      <c r="AK441" s="1" t="s">
        <v>206</v>
      </c>
      <c r="AL441" s="1" t="s">
        <v>228</v>
      </c>
      <c r="AN441" s="22" t="s">
        <v>9767</v>
      </c>
      <c r="AX441" s="1">
        <v>1</v>
      </c>
      <c r="AZ441" s="1">
        <v>0.25</v>
      </c>
      <c r="BG441" s="1" t="str">
        <f t="shared" si="213"/>
        <v>enemy_1125_spshld_2</v>
      </c>
      <c r="BM441" s="1" t="s">
        <v>2040</v>
      </c>
      <c r="BN441" s="1" t="s">
        <v>2041</v>
      </c>
      <c r="BQ441" s="1" t="s">
        <v>207</v>
      </c>
      <c r="BR441" s="1" t="s">
        <v>208</v>
      </c>
      <c r="BS441" s="1" t="s">
        <v>229</v>
      </c>
      <c r="BT441" s="1" t="s">
        <v>210</v>
      </c>
      <c r="BX441" s="1">
        <v>1</v>
      </c>
    </row>
    <row r="442" spans="1:76" x14ac:dyDescent="0.25">
      <c r="A442" s="1" t="s">
        <v>2045</v>
      </c>
      <c r="B442" s="1" t="s">
        <v>203</v>
      </c>
      <c r="C442" s="1">
        <v>1</v>
      </c>
      <c r="D442" s="1" t="s">
        <v>2046</v>
      </c>
      <c r="E442" s="1">
        <v>1126</v>
      </c>
      <c r="F442" s="1" t="str">
        <f t="shared" si="212"/>
        <v>enemy_1126_spslme</v>
      </c>
      <c r="G442" s="1">
        <v>1</v>
      </c>
      <c r="L442" s="1">
        <v>2460</v>
      </c>
      <c r="N442" s="1">
        <v>120</v>
      </c>
      <c r="P442" s="1">
        <v>0</v>
      </c>
      <c r="R442" s="1">
        <v>0</v>
      </c>
      <c r="Z442" s="1">
        <v>0.05</v>
      </c>
      <c r="AA442" s="1">
        <v>2</v>
      </c>
      <c r="AB442" s="1">
        <v>0</v>
      </c>
      <c r="AC442" s="1">
        <v>1.2</v>
      </c>
      <c r="AH442" s="1">
        <v>0</v>
      </c>
      <c r="AI442" s="1">
        <v>1</v>
      </c>
      <c r="AJ442" s="1" t="s">
        <v>2047</v>
      </c>
      <c r="AK442" s="1" t="s">
        <v>206</v>
      </c>
      <c r="AL442" s="1" t="s">
        <v>228</v>
      </c>
      <c r="AN442" s="22" t="s">
        <v>9767</v>
      </c>
      <c r="AX442" s="1">
        <v>1</v>
      </c>
      <c r="AZ442" s="1">
        <v>0.25</v>
      </c>
      <c r="BG442" s="1" t="str">
        <f t="shared" si="213"/>
        <v>enemy_1126_spslme</v>
      </c>
      <c r="BM442" s="1" t="s">
        <v>2048</v>
      </c>
      <c r="BN442" s="1" t="s">
        <v>2049</v>
      </c>
      <c r="BQ442" s="1" t="s">
        <v>207</v>
      </c>
      <c r="BR442" s="1" t="s">
        <v>208</v>
      </c>
      <c r="BS442" s="1" t="s">
        <v>229</v>
      </c>
      <c r="BT442" s="1" t="s">
        <v>210</v>
      </c>
      <c r="BX442" s="1">
        <v>1</v>
      </c>
    </row>
    <row r="443" spans="1:76" x14ac:dyDescent="0.25">
      <c r="A443" s="1" t="s">
        <v>2050</v>
      </c>
      <c r="B443" s="1" t="s">
        <v>203</v>
      </c>
      <c r="C443" s="1">
        <v>1</v>
      </c>
      <c r="D443" s="1" t="s">
        <v>2051</v>
      </c>
      <c r="E443" s="1">
        <v>1126</v>
      </c>
      <c r="F443" s="1" t="str">
        <f t="shared" si="212"/>
        <v>enemy_1126_spslme_2</v>
      </c>
      <c r="G443" s="1">
        <v>1</v>
      </c>
      <c r="L443" s="1">
        <v>3700</v>
      </c>
      <c r="N443" s="1">
        <v>150</v>
      </c>
      <c r="P443" s="1">
        <v>0</v>
      </c>
      <c r="R443" s="1">
        <v>0</v>
      </c>
      <c r="Z443" s="1">
        <v>0.05</v>
      </c>
      <c r="AA443" s="1">
        <v>2</v>
      </c>
      <c r="AB443" s="1">
        <v>0</v>
      </c>
      <c r="AC443" s="1">
        <v>1.2</v>
      </c>
      <c r="AH443" s="1">
        <v>0</v>
      </c>
      <c r="AI443" s="1">
        <v>1</v>
      </c>
      <c r="AJ443" s="1" t="s">
        <v>2052</v>
      </c>
      <c r="AK443" s="1" t="s">
        <v>206</v>
      </c>
      <c r="AL443" s="1" t="s">
        <v>228</v>
      </c>
      <c r="AN443" s="22" t="s">
        <v>9767</v>
      </c>
      <c r="AX443" s="1">
        <v>1</v>
      </c>
      <c r="AZ443" s="1">
        <v>0.25</v>
      </c>
      <c r="BG443" s="1" t="str">
        <f t="shared" si="213"/>
        <v>enemy_1126_spslme_2</v>
      </c>
      <c r="BM443" s="1" t="s">
        <v>2048</v>
      </c>
      <c r="BN443" s="1" t="s">
        <v>2049</v>
      </c>
      <c r="BQ443" s="1" t="s">
        <v>207</v>
      </c>
      <c r="BR443" s="1" t="s">
        <v>208</v>
      </c>
      <c r="BS443" s="1" t="s">
        <v>229</v>
      </c>
      <c r="BT443" s="1" t="s">
        <v>210</v>
      </c>
      <c r="BX443" s="1">
        <v>1</v>
      </c>
    </row>
    <row r="444" spans="1:76" x14ac:dyDescent="0.25">
      <c r="A444" s="1" t="s">
        <v>2053</v>
      </c>
      <c r="B444" s="1" t="s">
        <v>203</v>
      </c>
      <c r="C444" s="1">
        <v>1</v>
      </c>
      <c r="D444" s="1" t="s">
        <v>2054</v>
      </c>
      <c r="E444" s="1">
        <v>1127</v>
      </c>
      <c r="F444" s="1" t="str">
        <f t="shared" si="212"/>
        <v>enemy_1127_sptrkg</v>
      </c>
      <c r="G444" s="1">
        <v>1</v>
      </c>
      <c r="L444" s="1">
        <v>14000</v>
      </c>
      <c r="N444" s="1">
        <v>800</v>
      </c>
      <c r="P444" s="1">
        <v>600</v>
      </c>
      <c r="R444" s="1">
        <v>20</v>
      </c>
      <c r="Z444" s="1">
        <v>0.05</v>
      </c>
      <c r="AA444" s="1">
        <v>3.5</v>
      </c>
      <c r="AB444" s="1">
        <v>4</v>
      </c>
      <c r="AC444" s="1">
        <v>1.3</v>
      </c>
      <c r="AH444" s="1">
        <v>0</v>
      </c>
      <c r="AI444" s="1">
        <v>1</v>
      </c>
      <c r="AJ444" s="1" t="s">
        <v>2055</v>
      </c>
      <c r="AK444" s="1" t="s">
        <v>206</v>
      </c>
      <c r="AL444" s="1" t="s">
        <v>228</v>
      </c>
      <c r="AN444" s="22" t="s">
        <v>9767</v>
      </c>
      <c r="AX444" s="1">
        <v>1</v>
      </c>
      <c r="AZ444" s="1">
        <v>0.25</v>
      </c>
      <c r="BG444" s="1" t="str">
        <f t="shared" si="213"/>
        <v>enemy_1127_sptrkg</v>
      </c>
      <c r="BM444" s="1" t="s">
        <v>2040</v>
      </c>
      <c r="BN444" s="1" t="s">
        <v>2056</v>
      </c>
      <c r="BQ444" s="1" t="s">
        <v>207</v>
      </c>
      <c r="BR444" s="1" t="s">
        <v>208</v>
      </c>
      <c r="BS444" s="1" t="s">
        <v>229</v>
      </c>
      <c r="BT444" s="1" t="s">
        <v>210</v>
      </c>
      <c r="BX444" s="1">
        <v>1</v>
      </c>
    </row>
    <row r="445" spans="1:76" x14ac:dyDescent="0.25">
      <c r="A445" s="1" t="s">
        <v>2057</v>
      </c>
      <c r="B445" s="1" t="s">
        <v>203</v>
      </c>
      <c r="C445" s="1">
        <v>1</v>
      </c>
      <c r="D445" s="1" t="s">
        <v>2058</v>
      </c>
      <c r="E445" s="1">
        <v>1127</v>
      </c>
      <c r="F445" s="1" t="str">
        <f t="shared" si="212"/>
        <v>enemy_1127_sptrkg_2</v>
      </c>
      <c r="G445" s="1">
        <v>1</v>
      </c>
      <c r="L445" s="1">
        <v>18000</v>
      </c>
      <c r="N445" s="1">
        <v>1000</v>
      </c>
      <c r="P445" s="1">
        <v>750</v>
      </c>
      <c r="R445" s="1">
        <v>25</v>
      </c>
      <c r="Z445" s="1">
        <v>0.05</v>
      </c>
      <c r="AA445" s="1">
        <v>3.5</v>
      </c>
      <c r="AB445" s="1">
        <v>4</v>
      </c>
      <c r="AC445" s="1">
        <v>1.3</v>
      </c>
      <c r="AH445" s="1">
        <v>0</v>
      </c>
      <c r="AI445" s="1">
        <v>1</v>
      </c>
      <c r="AJ445" s="1" t="s">
        <v>2059</v>
      </c>
      <c r="AK445" s="1" t="s">
        <v>206</v>
      </c>
      <c r="AL445" s="1" t="s">
        <v>228</v>
      </c>
      <c r="AN445" s="22" t="s">
        <v>9767</v>
      </c>
      <c r="AX445" s="1">
        <v>1</v>
      </c>
      <c r="AZ445" s="1">
        <v>0.25</v>
      </c>
      <c r="BG445" s="1" t="str">
        <f t="shared" si="213"/>
        <v>enemy_1127_sptrkg_2</v>
      </c>
      <c r="BM445" s="1" t="s">
        <v>2040</v>
      </c>
      <c r="BN445" s="1" t="s">
        <v>2056</v>
      </c>
      <c r="BQ445" s="1" t="s">
        <v>207</v>
      </c>
      <c r="BR445" s="1" t="s">
        <v>208</v>
      </c>
      <c r="BS445" s="1" t="s">
        <v>229</v>
      </c>
      <c r="BT445" s="1" t="s">
        <v>210</v>
      </c>
      <c r="BX445" s="1">
        <v>1</v>
      </c>
    </row>
    <row r="446" spans="1:76" x14ac:dyDescent="0.25">
      <c r="A446" s="1" t="s">
        <v>2060</v>
      </c>
      <c r="B446" s="1" t="s">
        <v>203</v>
      </c>
      <c r="C446" s="1">
        <v>1</v>
      </c>
      <c r="D446" s="1" t="s">
        <v>2061</v>
      </c>
      <c r="E446" s="1">
        <v>1128</v>
      </c>
      <c r="F446" s="1" t="str">
        <f t="shared" si="212"/>
        <v>enemy_1128_spmage</v>
      </c>
      <c r="G446" s="1">
        <v>1</v>
      </c>
      <c r="L446" s="1">
        <v>10000</v>
      </c>
      <c r="N446" s="1">
        <v>500</v>
      </c>
      <c r="P446" s="1">
        <v>200</v>
      </c>
      <c r="R446" s="1">
        <v>60</v>
      </c>
      <c r="Z446" s="1">
        <v>0.05</v>
      </c>
      <c r="AA446" s="1">
        <v>4</v>
      </c>
      <c r="AB446" s="1">
        <v>3</v>
      </c>
      <c r="AC446" s="1">
        <v>0.8</v>
      </c>
      <c r="AH446" s="1">
        <v>0</v>
      </c>
      <c r="AI446" s="1">
        <v>1</v>
      </c>
      <c r="AJ446" s="1" t="s">
        <v>2062</v>
      </c>
      <c r="AK446" s="1" t="s">
        <v>206</v>
      </c>
      <c r="AL446" s="1" t="s">
        <v>228</v>
      </c>
      <c r="AN446" s="22" t="s">
        <v>9767</v>
      </c>
      <c r="AX446" s="1">
        <v>1</v>
      </c>
      <c r="AZ446" s="1">
        <v>0.25</v>
      </c>
      <c r="BG446" s="1" t="str">
        <f t="shared" si="213"/>
        <v>enemy_1128_spmage</v>
      </c>
      <c r="BM446" s="1" t="s">
        <v>2063</v>
      </c>
      <c r="BN446" s="1" t="s">
        <v>2064</v>
      </c>
      <c r="BQ446" s="1" t="s">
        <v>207</v>
      </c>
      <c r="BR446" s="1" t="s">
        <v>208</v>
      </c>
      <c r="BS446" s="1" t="s">
        <v>229</v>
      </c>
      <c r="BT446" s="1" t="s">
        <v>210</v>
      </c>
      <c r="BX446" s="1">
        <v>1</v>
      </c>
    </row>
    <row r="447" spans="1:76" x14ac:dyDescent="0.25">
      <c r="A447" s="1" t="s">
        <v>2065</v>
      </c>
      <c r="B447" s="1" t="s">
        <v>203</v>
      </c>
      <c r="C447" s="1">
        <v>1</v>
      </c>
      <c r="D447" s="1" t="s">
        <v>2066</v>
      </c>
      <c r="E447" s="1">
        <v>1128</v>
      </c>
      <c r="F447" s="1" t="str">
        <f t="shared" si="212"/>
        <v>enemy_1128_spmage_2</v>
      </c>
      <c r="G447" s="1">
        <v>1</v>
      </c>
      <c r="L447" s="1">
        <v>15000</v>
      </c>
      <c r="N447" s="1">
        <v>700</v>
      </c>
      <c r="P447" s="1">
        <v>220</v>
      </c>
      <c r="R447" s="1">
        <v>50</v>
      </c>
      <c r="Z447" s="1">
        <v>0.05</v>
      </c>
      <c r="AA447" s="1">
        <v>4</v>
      </c>
      <c r="AB447" s="1">
        <v>3</v>
      </c>
      <c r="AC447" s="1">
        <v>0.8</v>
      </c>
      <c r="AH447" s="1">
        <v>0</v>
      </c>
      <c r="AI447" s="1">
        <v>1</v>
      </c>
      <c r="AJ447" s="1" t="s">
        <v>2067</v>
      </c>
      <c r="AK447" s="1" t="s">
        <v>206</v>
      </c>
      <c r="AL447" s="1" t="s">
        <v>228</v>
      </c>
      <c r="AN447" s="22" t="s">
        <v>9767</v>
      </c>
      <c r="AX447" s="1">
        <v>1</v>
      </c>
      <c r="AZ447" s="1">
        <v>0.25</v>
      </c>
      <c r="BG447" s="1" t="str">
        <f t="shared" si="213"/>
        <v>enemy_1128_spmage_2</v>
      </c>
      <c r="BM447" s="1" t="s">
        <v>2063</v>
      </c>
      <c r="BN447" s="1" t="s">
        <v>2064</v>
      </c>
      <c r="BQ447" s="1" t="s">
        <v>207</v>
      </c>
      <c r="BR447" s="1" t="s">
        <v>208</v>
      </c>
      <c r="BS447" s="1" t="s">
        <v>229</v>
      </c>
      <c r="BT447" s="1" t="s">
        <v>210</v>
      </c>
      <c r="BX447" s="1">
        <v>1</v>
      </c>
    </row>
    <row r="448" spans="1:76" x14ac:dyDescent="0.25">
      <c r="A448" s="1" t="s">
        <v>2068</v>
      </c>
      <c r="B448" s="1" t="s">
        <v>203</v>
      </c>
      <c r="C448" s="1">
        <v>1</v>
      </c>
      <c r="D448" s="1" t="s">
        <v>2069</v>
      </c>
      <c r="E448" s="1">
        <v>1129</v>
      </c>
      <c r="F448" s="1" t="str">
        <f t="shared" si="212"/>
        <v>enemy_1129_spklr</v>
      </c>
      <c r="G448" s="1">
        <v>1</v>
      </c>
      <c r="L448" s="1">
        <v>16000</v>
      </c>
      <c r="N448" s="1">
        <v>1100</v>
      </c>
      <c r="P448" s="1">
        <v>750</v>
      </c>
      <c r="R448" s="1">
        <v>25</v>
      </c>
      <c r="Z448" s="1">
        <v>0.05</v>
      </c>
      <c r="AA448" s="1">
        <v>3</v>
      </c>
      <c r="AB448" s="1">
        <v>3</v>
      </c>
      <c r="AC448" s="1">
        <v>0.7</v>
      </c>
      <c r="AH448" s="1">
        <v>0</v>
      </c>
      <c r="AI448" s="1">
        <v>1</v>
      </c>
      <c r="AJ448" s="1" t="s">
        <v>2070</v>
      </c>
      <c r="AK448" s="1" t="s">
        <v>206</v>
      </c>
      <c r="AL448" s="1" t="s">
        <v>228</v>
      </c>
      <c r="AN448" s="22" t="s">
        <v>9767</v>
      </c>
      <c r="AX448" s="1">
        <v>1</v>
      </c>
      <c r="AZ448" s="1">
        <v>0.25</v>
      </c>
      <c r="BG448" s="1" t="str">
        <f t="shared" si="213"/>
        <v>enemy_1129_spklr</v>
      </c>
      <c r="BM448" s="1" t="s">
        <v>2040</v>
      </c>
      <c r="BN448" s="1" t="s">
        <v>2071</v>
      </c>
      <c r="BQ448" s="1" t="s">
        <v>207</v>
      </c>
      <c r="BR448" s="1" t="s">
        <v>208</v>
      </c>
      <c r="BS448" s="1" t="s">
        <v>229</v>
      </c>
      <c r="BT448" s="1" t="s">
        <v>210</v>
      </c>
      <c r="BX448" s="1">
        <v>1</v>
      </c>
    </row>
    <row r="449" spans="1:76" x14ac:dyDescent="0.25">
      <c r="A449" s="1" t="s">
        <v>2072</v>
      </c>
      <c r="B449" s="1" t="s">
        <v>203</v>
      </c>
      <c r="C449" s="1">
        <v>1</v>
      </c>
      <c r="D449" s="1" t="s">
        <v>2073</v>
      </c>
      <c r="E449" s="1">
        <v>1129</v>
      </c>
      <c r="F449" s="1" t="str">
        <f t="shared" si="212"/>
        <v>enemy_1129_spklr_2</v>
      </c>
      <c r="G449" s="1">
        <v>1</v>
      </c>
      <c r="L449" s="1">
        <v>16000</v>
      </c>
      <c r="N449" s="1">
        <v>1500</v>
      </c>
      <c r="P449" s="1">
        <v>900</v>
      </c>
      <c r="R449" s="1">
        <v>30</v>
      </c>
      <c r="Z449" s="1">
        <v>0.05</v>
      </c>
      <c r="AA449" s="1">
        <v>3</v>
      </c>
      <c r="AB449" s="1">
        <v>3</v>
      </c>
      <c r="AC449" s="1">
        <v>0.7</v>
      </c>
      <c r="AH449" s="1">
        <v>0</v>
      </c>
      <c r="AI449" s="1">
        <v>1</v>
      </c>
      <c r="AJ449" s="1" t="s">
        <v>2074</v>
      </c>
      <c r="AK449" s="1" t="s">
        <v>206</v>
      </c>
      <c r="AL449" s="1" t="s">
        <v>228</v>
      </c>
      <c r="AN449" s="22" t="s">
        <v>9767</v>
      </c>
      <c r="AX449" s="1">
        <v>1</v>
      </c>
      <c r="AZ449" s="1">
        <v>0.25</v>
      </c>
      <c r="BG449" s="1" t="str">
        <f t="shared" si="213"/>
        <v>enemy_1129_spklr_2</v>
      </c>
      <c r="BM449" s="1" t="s">
        <v>2040</v>
      </c>
      <c r="BN449" s="1" t="s">
        <v>2071</v>
      </c>
      <c r="BQ449" s="1" t="s">
        <v>207</v>
      </c>
      <c r="BR449" s="1" t="s">
        <v>208</v>
      </c>
      <c r="BS449" s="1" t="s">
        <v>229</v>
      </c>
      <c r="BT449" s="1" t="s">
        <v>210</v>
      </c>
      <c r="BX449" s="1">
        <v>1</v>
      </c>
    </row>
    <row r="450" spans="1:76" x14ac:dyDescent="0.25">
      <c r="A450" s="1" t="s">
        <v>2075</v>
      </c>
      <c r="B450" s="1" t="s">
        <v>203</v>
      </c>
      <c r="C450" s="1">
        <v>1</v>
      </c>
      <c r="D450" s="1" t="s">
        <v>2076</v>
      </c>
      <c r="E450" s="1">
        <v>1517</v>
      </c>
      <c r="F450" s="1" t="str">
        <f t="shared" si="212"/>
        <v>enemy_1517_xi</v>
      </c>
      <c r="G450" s="1">
        <v>1</v>
      </c>
      <c r="L450" s="1">
        <v>30000</v>
      </c>
      <c r="N450" s="1">
        <v>500</v>
      </c>
      <c r="P450" s="1">
        <v>750</v>
      </c>
      <c r="R450" s="1">
        <v>50</v>
      </c>
      <c r="Z450" s="1">
        <v>0.05</v>
      </c>
      <c r="AA450" s="1">
        <v>4</v>
      </c>
      <c r="AB450" s="1">
        <v>10</v>
      </c>
      <c r="AC450" s="1">
        <v>0.5</v>
      </c>
      <c r="AH450" s="1">
        <v>0</v>
      </c>
      <c r="AI450" s="1">
        <v>1</v>
      </c>
      <c r="AJ450" s="1" t="s">
        <v>2077</v>
      </c>
      <c r="AK450" s="1" t="s">
        <v>206</v>
      </c>
      <c r="AL450" s="1" t="s">
        <v>228</v>
      </c>
      <c r="AN450" s="22" t="s">
        <v>9767</v>
      </c>
      <c r="AX450" s="1">
        <v>1</v>
      </c>
      <c r="AZ450" s="1">
        <v>0.25</v>
      </c>
      <c r="BG450" s="1" t="str">
        <f t="shared" si="213"/>
        <v>enemy_1517_xi</v>
      </c>
      <c r="BM450" s="1" t="s">
        <v>2078</v>
      </c>
      <c r="BN450" s="1" t="s">
        <v>2079</v>
      </c>
      <c r="BQ450" s="1" t="s">
        <v>207</v>
      </c>
      <c r="BR450" s="1" t="s">
        <v>208</v>
      </c>
      <c r="BS450" s="1" t="s">
        <v>229</v>
      </c>
      <c r="BT450" s="1" t="s">
        <v>210</v>
      </c>
      <c r="BX450" s="1">
        <v>1</v>
      </c>
    </row>
    <row r="451" spans="1:76" x14ac:dyDescent="0.25">
      <c r="A451" s="1" t="s">
        <v>2080</v>
      </c>
      <c r="B451" s="1" t="s">
        <v>203</v>
      </c>
      <c r="C451" s="1">
        <v>1</v>
      </c>
      <c r="D451" s="1" t="s">
        <v>2081</v>
      </c>
      <c r="E451" s="1">
        <v>1518</v>
      </c>
      <c r="F451" s="1" t="str">
        <f t="shared" si="212"/>
        <v>enemy_1518_dusk</v>
      </c>
      <c r="G451" s="1">
        <v>1</v>
      </c>
      <c r="L451" s="1">
        <v>30000</v>
      </c>
      <c r="N451" s="1">
        <v>500</v>
      </c>
      <c r="P451" s="1">
        <v>750</v>
      </c>
      <c r="R451" s="1">
        <v>50</v>
      </c>
      <c r="Z451" s="1">
        <v>0.05</v>
      </c>
      <c r="AA451" s="1">
        <v>4</v>
      </c>
      <c r="AB451" s="1">
        <v>7</v>
      </c>
      <c r="AC451" s="1">
        <v>0.5</v>
      </c>
      <c r="AH451" s="1">
        <v>0</v>
      </c>
      <c r="AI451" s="1">
        <v>1</v>
      </c>
      <c r="AJ451" s="1" t="s">
        <v>2082</v>
      </c>
      <c r="AK451" s="1" t="s">
        <v>206</v>
      </c>
      <c r="AL451" s="1" t="s">
        <v>228</v>
      </c>
      <c r="AN451" s="22" t="s">
        <v>9767</v>
      </c>
      <c r="AX451" s="1">
        <v>1</v>
      </c>
      <c r="AZ451" s="1">
        <v>0.25</v>
      </c>
      <c r="BG451" s="1" t="str">
        <f t="shared" si="213"/>
        <v>enemy_1518_dusk</v>
      </c>
      <c r="BM451" s="1" t="s">
        <v>936</v>
      </c>
      <c r="BQ451" s="1" t="s">
        <v>207</v>
      </c>
      <c r="BR451" s="1" t="s">
        <v>208</v>
      </c>
      <c r="BT451" s="1" t="s">
        <v>210</v>
      </c>
      <c r="BX451" s="1">
        <v>1</v>
      </c>
    </row>
    <row r="452" spans="1:76" x14ac:dyDescent="0.25">
      <c r="AN452" s="22"/>
    </row>
    <row r="453" spans="1:76" x14ac:dyDescent="0.25">
      <c r="AN453" s="22"/>
    </row>
    <row r="454" spans="1:76" x14ac:dyDescent="0.25">
      <c r="AN454" s="22"/>
    </row>
    <row r="455" spans="1:76" x14ac:dyDescent="0.25">
      <c r="AN455" s="22"/>
    </row>
    <row r="456" spans="1:76" x14ac:dyDescent="0.25">
      <c r="AN456" s="22"/>
    </row>
    <row r="457" spans="1:76" x14ac:dyDescent="0.25">
      <c r="A457" s="1" t="s">
        <v>2102</v>
      </c>
      <c r="B457" s="1" t="s">
        <v>203</v>
      </c>
      <c r="D457" s="1" t="s">
        <v>2103</v>
      </c>
      <c r="E457" s="1">
        <v>1130</v>
      </c>
      <c r="F457" s="1" t="str">
        <f t="shared" si="212"/>
        <v>enemy_1130_infstr</v>
      </c>
      <c r="G457" s="1">
        <v>1</v>
      </c>
      <c r="L457" s="1">
        <v>1900</v>
      </c>
      <c r="N457" s="1">
        <v>210</v>
      </c>
      <c r="P457" s="1">
        <v>100</v>
      </c>
      <c r="R457" s="1">
        <v>0</v>
      </c>
      <c r="Z457" s="1">
        <v>0.05</v>
      </c>
      <c r="AA457" s="1">
        <v>2</v>
      </c>
      <c r="AB457" s="1">
        <v>1</v>
      </c>
      <c r="AC457" s="1">
        <v>0.9</v>
      </c>
      <c r="AH457" s="1">
        <v>0</v>
      </c>
      <c r="AI457" s="1">
        <v>1</v>
      </c>
      <c r="AJ457" s="1" t="s">
        <v>2104</v>
      </c>
      <c r="AK457" s="1" t="s">
        <v>206</v>
      </c>
      <c r="AL457" s="1" t="s">
        <v>2105</v>
      </c>
      <c r="AN457" s="22" t="s">
        <v>9767</v>
      </c>
      <c r="AX457" s="1">
        <v>1</v>
      </c>
      <c r="AZ457" s="1">
        <v>0.25</v>
      </c>
      <c r="BG457" s="1" t="str">
        <f t="shared" si="213"/>
        <v>enemy_1130_infstr</v>
      </c>
      <c r="BM457" s="1" t="s">
        <v>888</v>
      </c>
      <c r="BN457" s="1" t="s">
        <v>2106</v>
      </c>
      <c r="BQ457" s="1" t="s">
        <v>207</v>
      </c>
      <c r="BR457" s="1" t="s">
        <v>208</v>
      </c>
      <c r="BS457" s="1" t="s">
        <v>229</v>
      </c>
      <c r="BT457" s="1" t="s">
        <v>210</v>
      </c>
      <c r="BX457" s="1">
        <v>1</v>
      </c>
    </row>
    <row r="458" spans="1:76" x14ac:dyDescent="0.25">
      <c r="A458" s="1" t="s">
        <v>2107</v>
      </c>
      <c r="B458" s="1" t="s">
        <v>203</v>
      </c>
      <c r="D458" s="1" t="s">
        <v>2108</v>
      </c>
      <c r="E458" s="1">
        <v>1131</v>
      </c>
      <c r="F458" s="1" t="str">
        <f t="shared" si="212"/>
        <v>enemy_1131_sbeast</v>
      </c>
      <c r="G458" s="1">
        <v>1</v>
      </c>
      <c r="L458" s="1">
        <v>2700</v>
      </c>
      <c r="N458" s="1">
        <v>320</v>
      </c>
      <c r="P458" s="1">
        <v>100</v>
      </c>
      <c r="R458" s="1">
        <v>0</v>
      </c>
      <c r="Z458" s="1">
        <v>0.05</v>
      </c>
      <c r="AA458" s="1">
        <v>2.5</v>
      </c>
      <c r="AB458" s="1">
        <v>2</v>
      </c>
      <c r="AC458" s="1">
        <v>1.7</v>
      </c>
      <c r="AH458" s="1">
        <v>0</v>
      </c>
      <c r="AI458" s="1">
        <v>1</v>
      </c>
      <c r="AJ458" s="1" t="s">
        <v>2109</v>
      </c>
      <c r="AK458" s="1" t="s">
        <v>206</v>
      </c>
      <c r="AL458" s="1" t="s">
        <v>2105</v>
      </c>
      <c r="AN458" s="22" t="s">
        <v>9767</v>
      </c>
      <c r="AX458" s="1">
        <v>1</v>
      </c>
      <c r="AZ458" s="1">
        <v>0.25</v>
      </c>
      <c r="BG458" s="1" t="str">
        <f t="shared" si="213"/>
        <v>enemy_1131_sbeast</v>
      </c>
      <c r="BM458" s="1" t="s">
        <v>888</v>
      </c>
      <c r="BN458" s="1" t="s">
        <v>2106</v>
      </c>
      <c r="BQ458" s="1" t="s">
        <v>207</v>
      </c>
      <c r="BR458" s="1" t="s">
        <v>208</v>
      </c>
      <c r="BS458" s="1" t="s">
        <v>229</v>
      </c>
      <c r="BT458" s="1" t="s">
        <v>210</v>
      </c>
      <c r="BX458" s="1">
        <v>1</v>
      </c>
    </row>
    <row r="459" spans="1:76" x14ac:dyDescent="0.25">
      <c r="A459" s="1" t="s">
        <v>2110</v>
      </c>
      <c r="B459" s="1" t="s">
        <v>203</v>
      </c>
      <c r="D459" s="1" t="s">
        <v>2111</v>
      </c>
      <c r="E459" s="1">
        <v>1131</v>
      </c>
      <c r="F459" s="1" t="str">
        <f t="shared" si="212"/>
        <v>enemy_1131_sbeast_2</v>
      </c>
      <c r="G459" s="1">
        <v>1</v>
      </c>
      <c r="L459" s="1">
        <v>3300</v>
      </c>
      <c r="N459" s="1">
        <v>380</v>
      </c>
      <c r="P459" s="1">
        <v>100</v>
      </c>
      <c r="R459" s="1">
        <v>0</v>
      </c>
      <c r="Z459" s="1">
        <v>0.05</v>
      </c>
      <c r="AA459" s="1">
        <v>2.5</v>
      </c>
      <c r="AB459" s="1">
        <v>2</v>
      </c>
      <c r="AC459" s="1">
        <v>1.7</v>
      </c>
      <c r="AH459" s="1">
        <v>0</v>
      </c>
      <c r="AI459" s="1">
        <v>1</v>
      </c>
      <c r="AJ459" s="1" t="s">
        <v>2112</v>
      </c>
      <c r="AK459" s="1" t="s">
        <v>206</v>
      </c>
      <c r="AL459" s="1" t="s">
        <v>2113</v>
      </c>
      <c r="AN459" s="22" t="s">
        <v>9767</v>
      </c>
      <c r="AX459" s="1">
        <v>1</v>
      </c>
      <c r="AZ459" s="1">
        <v>0.25</v>
      </c>
      <c r="BG459" s="1" t="str">
        <f t="shared" si="213"/>
        <v>enemy_1131_sbeast_2</v>
      </c>
      <c r="BM459" s="1" t="s">
        <v>888</v>
      </c>
      <c r="BN459" s="1" t="s">
        <v>2114</v>
      </c>
      <c r="BQ459" s="1" t="s">
        <v>207</v>
      </c>
      <c r="BR459" s="1" t="s">
        <v>208</v>
      </c>
      <c r="BS459" s="1" t="s">
        <v>229</v>
      </c>
      <c r="BT459" s="1" t="s">
        <v>210</v>
      </c>
      <c r="BX459" s="1">
        <v>1</v>
      </c>
    </row>
    <row r="460" spans="1:76" x14ac:dyDescent="0.25">
      <c r="A460" s="1" t="s">
        <v>2115</v>
      </c>
      <c r="B460" s="1" t="s">
        <v>203</v>
      </c>
      <c r="D460" s="1" t="s">
        <v>2116</v>
      </c>
      <c r="E460" s="1">
        <v>1132</v>
      </c>
      <c r="F460" s="1" t="str">
        <f t="shared" si="212"/>
        <v>enemy_1132_sarchn</v>
      </c>
      <c r="G460" s="1">
        <v>1</v>
      </c>
      <c r="L460" s="1">
        <v>2500</v>
      </c>
      <c r="N460" s="1">
        <v>360</v>
      </c>
      <c r="P460" s="1">
        <v>200</v>
      </c>
      <c r="R460" s="1">
        <v>0</v>
      </c>
      <c r="Z460" s="1">
        <v>0.05</v>
      </c>
      <c r="AA460" s="1">
        <v>1.5</v>
      </c>
      <c r="AB460" s="1">
        <v>1</v>
      </c>
      <c r="AC460" s="1">
        <v>1.1000000000000001</v>
      </c>
      <c r="AH460" s="1">
        <v>0</v>
      </c>
      <c r="AI460" s="1">
        <v>1</v>
      </c>
      <c r="AJ460" s="1" t="s">
        <v>2117</v>
      </c>
      <c r="AK460" s="1" t="s">
        <v>206</v>
      </c>
      <c r="AL460" s="1" t="s">
        <v>2118</v>
      </c>
      <c r="AN460" s="22" t="s">
        <v>9767</v>
      </c>
      <c r="AX460" s="1">
        <v>1</v>
      </c>
      <c r="AZ460" s="1">
        <v>0.25</v>
      </c>
      <c r="BG460" s="1" t="str">
        <f t="shared" si="213"/>
        <v>enemy_1132_sarchn</v>
      </c>
      <c r="BM460" s="1" t="s">
        <v>888</v>
      </c>
      <c r="BN460" s="1" t="s">
        <v>2119</v>
      </c>
      <c r="BQ460" s="1" t="s">
        <v>207</v>
      </c>
      <c r="BR460" s="1" t="s">
        <v>208</v>
      </c>
      <c r="BS460" s="1" t="s">
        <v>229</v>
      </c>
      <c r="BT460" s="1" t="s">
        <v>210</v>
      </c>
      <c r="BX460" s="1">
        <v>1</v>
      </c>
    </row>
    <row r="461" spans="1:76" x14ac:dyDescent="0.25">
      <c r="A461" s="1" t="s">
        <v>2120</v>
      </c>
      <c r="B461" s="1" t="s">
        <v>203</v>
      </c>
      <c r="D461" s="1" t="s">
        <v>2121</v>
      </c>
      <c r="E461" s="1">
        <v>1132</v>
      </c>
      <c r="F461" s="1" t="str">
        <f t="shared" si="212"/>
        <v>enemy_1132_sarchn_2</v>
      </c>
      <c r="G461" s="1">
        <v>1</v>
      </c>
      <c r="L461" s="1">
        <v>3500</v>
      </c>
      <c r="N461" s="1">
        <v>410</v>
      </c>
      <c r="P461" s="1">
        <v>200</v>
      </c>
      <c r="R461" s="1">
        <v>0</v>
      </c>
      <c r="Z461" s="1">
        <v>0.05</v>
      </c>
      <c r="AA461" s="1">
        <v>1.5</v>
      </c>
      <c r="AB461" s="1">
        <v>1</v>
      </c>
      <c r="AC461" s="1">
        <v>1.1000000000000001</v>
      </c>
      <c r="AH461" s="1">
        <v>0</v>
      </c>
      <c r="AI461" s="1">
        <v>1</v>
      </c>
      <c r="AJ461" s="1" t="s">
        <v>2122</v>
      </c>
      <c r="AK461" s="1" t="s">
        <v>206</v>
      </c>
      <c r="AL461" s="1" t="s">
        <v>2123</v>
      </c>
      <c r="AN461" s="22" t="s">
        <v>9767</v>
      </c>
      <c r="AX461" s="1">
        <v>1</v>
      </c>
      <c r="AZ461" s="1">
        <v>0.25</v>
      </c>
      <c r="BG461" s="1" t="str">
        <f t="shared" si="213"/>
        <v>enemy_1132_sarchn_2</v>
      </c>
      <c r="BM461" s="1" t="s">
        <v>888</v>
      </c>
      <c r="BN461" s="1" t="s">
        <v>2124</v>
      </c>
      <c r="BQ461" s="1" t="s">
        <v>207</v>
      </c>
      <c r="BR461" s="1" t="s">
        <v>208</v>
      </c>
      <c r="BS461" s="1" t="s">
        <v>229</v>
      </c>
      <c r="BT461" s="1" t="s">
        <v>210</v>
      </c>
      <c r="BX461" s="1">
        <v>1</v>
      </c>
    </row>
    <row r="462" spans="1:76" x14ac:dyDescent="0.25">
      <c r="A462" s="1" t="s">
        <v>2125</v>
      </c>
      <c r="B462" s="1" t="s">
        <v>203</v>
      </c>
      <c r="D462" s="1" t="s">
        <v>2126</v>
      </c>
      <c r="E462" s="1">
        <v>1133</v>
      </c>
      <c r="F462" s="1" t="str">
        <f t="shared" si="212"/>
        <v>enemy_1133_harchn</v>
      </c>
      <c r="G462" s="1">
        <v>1</v>
      </c>
      <c r="L462" s="1">
        <v>15000</v>
      </c>
      <c r="N462" s="1">
        <v>600</v>
      </c>
      <c r="P462" s="1">
        <v>300</v>
      </c>
      <c r="R462" s="1">
        <v>0</v>
      </c>
      <c r="Z462" s="1">
        <v>0.05</v>
      </c>
      <c r="AA462" s="1">
        <v>3</v>
      </c>
      <c r="AB462" s="1">
        <v>4</v>
      </c>
      <c r="AC462" s="1">
        <v>0.8</v>
      </c>
      <c r="AH462" s="1">
        <v>0</v>
      </c>
      <c r="AI462" s="1">
        <v>1</v>
      </c>
      <c r="AJ462" s="1" t="s">
        <v>2127</v>
      </c>
      <c r="AK462" s="1" t="s">
        <v>206</v>
      </c>
      <c r="AL462" s="1" t="s">
        <v>2128</v>
      </c>
      <c r="AN462" s="22" t="s">
        <v>9767</v>
      </c>
      <c r="AX462" s="1">
        <v>1</v>
      </c>
      <c r="AZ462" s="1">
        <v>0.25</v>
      </c>
      <c r="BG462" s="1" t="str">
        <f t="shared" si="213"/>
        <v>enemy_1133_harchn</v>
      </c>
      <c r="BM462" s="1" t="s">
        <v>2129</v>
      </c>
      <c r="BN462" s="1" t="s">
        <v>2130</v>
      </c>
      <c r="BQ462" s="1" t="s">
        <v>207</v>
      </c>
      <c r="BR462" s="1" t="s">
        <v>208</v>
      </c>
      <c r="BS462" s="1" t="s">
        <v>229</v>
      </c>
      <c r="BT462" s="1" t="s">
        <v>210</v>
      </c>
      <c r="BX462" s="1">
        <v>1</v>
      </c>
    </row>
    <row r="463" spans="1:76" x14ac:dyDescent="0.25">
      <c r="A463" s="1" t="s">
        <v>2131</v>
      </c>
      <c r="B463" s="1" t="s">
        <v>203</v>
      </c>
      <c r="D463" s="1" t="s">
        <v>2132</v>
      </c>
      <c r="E463" s="1">
        <v>1133</v>
      </c>
      <c r="F463" s="1" t="str">
        <f t="shared" si="212"/>
        <v>enemy_1133_harchn_2</v>
      </c>
      <c r="G463" s="1">
        <v>1</v>
      </c>
      <c r="L463" s="1">
        <v>20000</v>
      </c>
      <c r="N463" s="1">
        <v>800</v>
      </c>
      <c r="P463" s="1">
        <v>300</v>
      </c>
      <c r="R463" s="1">
        <v>0</v>
      </c>
      <c r="Z463" s="1">
        <v>0.05</v>
      </c>
      <c r="AA463" s="1">
        <v>3</v>
      </c>
      <c r="AB463" s="1">
        <v>4</v>
      </c>
      <c r="AC463" s="1">
        <v>0.8</v>
      </c>
      <c r="AH463" s="1">
        <v>0</v>
      </c>
      <c r="AI463" s="1">
        <v>1</v>
      </c>
      <c r="AJ463" s="1" t="s">
        <v>2133</v>
      </c>
      <c r="AK463" s="1" t="s">
        <v>206</v>
      </c>
      <c r="AL463" s="1" t="s">
        <v>2134</v>
      </c>
      <c r="AN463" s="22" t="s">
        <v>9767</v>
      </c>
      <c r="AX463" s="1">
        <v>1</v>
      </c>
      <c r="AZ463" s="1">
        <v>0.25</v>
      </c>
      <c r="BG463" s="1" t="str">
        <f t="shared" si="213"/>
        <v>enemy_1133_harchn_2</v>
      </c>
      <c r="BM463" s="1" t="s">
        <v>2129</v>
      </c>
      <c r="BN463" s="1" t="s">
        <v>2135</v>
      </c>
      <c r="BQ463" s="1" t="s">
        <v>207</v>
      </c>
      <c r="BR463" s="1" t="s">
        <v>208</v>
      </c>
      <c r="BS463" s="1" t="s">
        <v>229</v>
      </c>
      <c r="BT463" s="1" t="s">
        <v>210</v>
      </c>
      <c r="BX463" s="1">
        <v>1</v>
      </c>
    </row>
    <row r="464" spans="1:76" x14ac:dyDescent="0.25">
      <c r="A464" s="1" t="s">
        <v>2136</v>
      </c>
      <c r="B464" s="1" t="s">
        <v>203</v>
      </c>
      <c r="D464" s="1" t="s">
        <v>2137</v>
      </c>
      <c r="E464" s="1">
        <v>1134</v>
      </c>
      <c r="F464" s="1" t="str">
        <f t="shared" si="212"/>
        <v>enemy_1134_diamd</v>
      </c>
      <c r="G464" s="1">
        <v>1</v>
      </c>
      <c r="L464" s="1">
        <v>4000</v>
      </c>
      <c r="N464" s="1">
        <v>1000</v>
      </c>
      <c r="P464" s="1">
        <v>2000</v>
      </c>
      <c r="R464" s="1">
        <v>80</v>
      </c>
      <c r="Z464" s="1">
        <v>0.05</v>
      </c>
      <c r="AA464" s="1">
        <v>4</v>
      </c>
      <c r="AB464" s="1">
        <v>4</v>
      </c>
      <c r="AC464" s="1">
        <v>0.7</v>
      </c>
      <c r="AH464" s="1">
        <v>0</v>
      </c>
      <c r="AI464" s="1">
        <v>1</v>
      </c>
      <c r="AJ464" s="1" t="s">
        <v>2138</v>
      </c>
      <c r="AK464" s="1" t="s">
        <v>206</v>
      </c>
      <c r="AL464" s="1" t="s">
        <v>1132</v>
      </c>
      <c r="AN464" s="22" t="s">
        <v>9767</v>
      </c>
      <c r="AX464" s="1">
        <v>1</v>
      </c>
      <c r="AZ464" s="1">
        <v>0.25</v>
      </c>
      <c r="BG464" s="1" t="str">
        <f t="shared" si="213"/>
        <v>enemy_1134_diamd</v>
      </c>
      <c r="BM464" s="1" t="s">
        <v>2139</v>
      </c>
      <c r="BN464" s="1" t="s">
        <v>2140</v>
      </c>
      <c r="BQ464" s="1" t="s">
        <v>207</v>
      </c>
      <c r="BR464" s="1" t="s">
        <v>208</v>
      </c>
      <c r="BS464" s="1" t="s">
        <v>229</v>
      </c>
      <c r="BT464" s="1" t="s">
        <v>210</v>
      </c>
      <c r="BX464" s="1">
        <v>1</v>
      </c>
    </row>
    <row r="465" spans="1:76" x14ac:dyDescent="0.25">
      <c r="A465" s="1" t="s">
        <v>2141</v>
      </c>
      <c r="B465" s="1" t="s">
        <v>203</v>
      </c>
      <c r="D465" s="1" t="s">
        <v>2142</v>
      </c>
      <c r="E465" s="1">
        <v>1134</v>
      </c>
      <c r="F465" s="1" t="str">
        <f t="shared" si="212"/>
        <v>enemy_1134_diamd_2</v>
      </c>
      <c r="G465" s="1">
        <v>1</v>
      </c>
      <c r="L465" s="1">
        <v>7000</v>
      </c>
      <c r="N465" s="1">
        <v>1500</v>
      </c>
      <c r="P465" s="1">
        <v>2000</v>
      </c>
      <c r="R465" s="1">
        <v>80</v>
      </c>
      <c r="Z465" s="1">
        <v>0.05</v>
      </c>
      <c r="AA465" s="1">
        <v>4</v>
      </c>
      <c r="AB465" s="1">
        <v>4</v>
      </c>
      <c r="AC465" s="1">
        <v>0.7</v>
      </c>
      <c r="AH465" s="1">
        <v>0</v>
      </c>
      <c r="AI465" s="1">
        <v>1</v>
      </c>
      <c r="AJ465" s="1" t="s">
        <v>2143</v>
      </c>
      <c r="AK465" s="1" t="s">
        <v>206</v>
      </c>
      <c r="AL465" s="1" t="s">
        <v>1132</v>
      </c>
      <c r="AN465" s="22" t="s">
        <v>9767</v>
      </c>
      <c r="AX465" s="1">
        <v>1</v>
      </c>
      <c r="AZ465" s="1">
        <v>0.25</v>
      </c>
      <c r="BG465" s="1" t="str">
        <f t="shared" si="213"/>
        <v>enemy_1134_diamd_2</v>
      </c>
      <c r="BM465" s="1" t="s">
        <v>2139</v>
      </c>
      <c r="BN465" s="1" t="s">
        <v>2144</v>
      </c>
      <c r="BQ465" s="1" t="s">
        <v>207</v>
      </c>
      <c r="BR465" s="1" t="s">
        <v>208</v>
      </c>
      <c r="BS465" s="1" t="s">
        <v>229</v>
      </c>
      <c r="BT465" s="1" t="s">
        <v>210</v>
      </c>
      <c r="BX465" s="1">
        <v>1</v>
      </c>
    </row>
    <row r="466" spans="1:76" x14ac:dyDescent="0.25">
      <c r="A466" s="1" t="s">
        <v>2145</v>
      </c>
      <c r="B466" s="1" t="s">
        <v>203</v>
      </c>
      <c r="C466" s="1">
        <v>1</v>
      </c>
      <c r="D466" s="1" t="s">
        <v>2146</v>
      </c>
      <c r="E466" s="1">
        <v>1135</v>
      </c>
      <c r="F466" s="1" t="str">
        <f t="shared" si="212"/>
        <v>enemy_1135_redman</v>
      </c>
      <c r="G466" s="1">
        <v>1</v>
      </c>
      <c r="L466" s="1">
        <v>5000</v>
      </c>
      <c r="N466" s="1">
        <v>1500</v>
      </c>
      <c r="P466" s="1">
        <v>300</v>
      </c>
      <c r="R466" s="1">
        <v>30</v>
      </c>
      <c r="Z466" s="1">
        <v>0.05</v>
      </c>
      <c r="AA466" s="1">
        <v>5</v>
      </c>
      <c r="AB466" s="1">
        <v>1</v>
      </c>
      <c r="AC466" s="1">
        <v>0.9</v>
      </c>
      <c r="AH466" s="1">
        <v>0</v>
      </c>
      <c r="AI466" s="1">
        <v>1</v>
      </c>
      <c r="AJ466" s="1" t="s">
        <v>2147</v>
      </c>
      <c r="AK466" s="1" t="s">
        <v>206</v>
      </c>
      <c r="AL466" s="1" t="s">
        <v>228</v>
      </c>
      <c r="AN466" s="22" t="s">
        <v>9767</v>
      </c>
      <c r="AX466" s="1">
        <v>1</v>
      </c>
      <c r="AZ466" s="1">
        <v>0.25</v>
      </c>
      <c r="BG466" s="1" t="str">
        <f t="shared" si="213"/>
        <v>enemy_1135_redman</v>
      </c>
      <c r="BM466" s="1" t="s">
        <v>957</v>
      </c>
      <c r="BN466" s="1" t="s">
        <v>2148</v>
      </c>
      <c r="BQ466" s="1" t="s">
        <v>207</v>
      </c>
      <c r="BR466" s="1" t="s">
        <v>2149</v>
      </c>
      <c r="BS466" s="1" t="s">
        <v>2150</v>
      </c>
      <c r="BT466" s="1" t="s">
        <v>2151</v>
      </c>
      <c r="BX466" s="1">
        <v>1</v>
      </c>
    </row>
    <row r="467" spans="1:76" x14ac:dyDescent="0.25">
      <c r="A467" s="1" t="s">
        <v>2152</v>
      </c>
      <c r="B467" s="1" t="s">
        <v>203</v>
      </c>
      <c r="C467" s="1">
        <v>1</v>
      </c>
      <c r="D467" s="1" t="s">
        <v>2153</v>
      </c>
      <c r="E467" s="1">
        <v>1135</v>
      </c>
      <c r="F467" s="1" t="str">
        <f t="shared" si="212"/>
        <v>enemy_1135_redman_2</v>
      </c>
      <c r="G467" s="1">
        <v>1</v>
      </c>
      <c r="L467" s="1">
        <v>7000</v>
      </c>
      <c r="N467" s="1">
        <v>2000</v>
      </c>
      <c r="P467" s="1">
        <v>300</v>
      </c>
      <c r="R467" s="1">
        <v>30</v>
      </c>
      <c r="Z467" s="1">
        <v>0.05</v>
      </c>
      <c r="AA467" s="1">
        <v>5</v>
      </c>
      <c r="AB467" s="1">
        <v>1</v>
      </c>
      <c r="AC467" s="1">
        <v>0.9</v>
      </c>
      <c r="AH467" s="1">
        <v>0</v>
      </c>
      <c r="AI467" s="1">
        <v>1</v>
      </c>
      <c r="AJ467" s="1" t="s">
        <v>2154</v>
      </c>
      <c r="AK467" s="1" t="s">
        <v>206</v>
      </c>
      <c r="AL467" s="1" t="s">
        <v>228</v>
      </c>
      <c r="AN467" s="22" t="s">
        <v>9767</v>
      </c>
      <c r="AX467" s="1">
        <v>1</v>
      </c>
      <c r="AZ467" s="1">
        <v>0.25</v>
      </c>
      <c r="BG467" s="1" t="str">
        <f t="shared" si="213"/>
        <v>enemy_1135_redman_2</v>
      </c>
      <c r="BM467" s="1" t="s">
        <v>957</v>
      </c>
      <c r="BN467" s="1" t="s">
        <v>2148</v>
      </c>
      <c r="BQ467" s="1" t="s">
        <v>207</v>
      </c>
      <c r="BR467" s="1" t="s">
        <v>2149</v>
      </c>
      <c r="BS467" s="1" t="s">
        <v>2150</v>
      </c>
      <c r="BT467" s="1" t="s">
        <v>2151</v>
      </c>
      <c r="BX467" s="1">
        <v>1</v>
      </c>
    </row>
    <row r="468" spans="1:76" x14ac:dyDescent="0.25">
      <c r="A468" s="1" t="s">
        <v>2155</v>
      </c>
      <c r="B468" s="1" t="s">
        <v>203</v>
      </c>
      <c r="C468" s="1">
        <v>1</v>
      </c>
      <c r="D468" s="1" t="s">
        <v>2156</v>
      </c>
      <c r="E468" s="1">
        <v>1136</v>
      </c>
      <c r="F468" s="1" t="str">
        <f t="shared" si="212"/>
        <v>enemy_1136_redace</v>
      </c>
      <c r="G468" s="1">
        <v>1</v>
      </c>
      <c r="L468" s="1">
        <v>6000</v>
      </c>
      <c r="N468" s="1">
        <v>400</v>
      </c>
      <c r="P468" s="1">
        <v>500</v>
      </c>
      <c r="R468" s="1">
        <v>30</v>
      </c>
      <c r="Z468" s="1">
        <v>0.05</v>
      </c>
      <c r="AA468" s="1">
        <v>2</v>
      </c>
      <c r="AB468" s="1">
        <v>1</v>
      </c>
      <c r="AC468" s="1">
        <v>1.3</v>
      </c>
      <c r="AH468" s="1">
        <v>0</v>
      </c>
      <c r="AI468" s="1">
        <v>1</v>
      </c>
      <c r="AJ468" s="1" t="s">
        <v>2157</v>
      </c>
      <c r="AK468" s="1" t="s">
        <v>206</v>
      </c>
      <c r="AL468" s="1" t="s">
        <v>228</v>
      </c>
      <c r="AN468" s="22" t="s">
        <v>9767</v>
      </c>
      <c r="AX468" s="1">
        <v>1</v>
      </c>
      <c r="AZ468" s="1">
        <v>0.25</v>
      </c>
      <c r="BG468" s="1" t="str">
        <f t="shared" si="213"/>
        <v>enemy_1136_redace</v>
      </c>
      <c r="BM468" s="1" t="s">
        <v>957</v>
      </c>
      <c r="BN468" s="1" t="s">
        <v>2158</v>
      </c>
      <c r="BQ468" s="1" t="s">
        <v>207</v>
      </c>
      <c r="BR468" s="1" t="s">
        <v>208</v>
      </c>
      <c r="BS468" s="1" t="s">
        <v>229</v>
      </c>
      <c r="BT468" s="1" t="s">
        <v>210</v>
      </c>
      <c r="BX468" s="1">
        <v>1</v>
      </c>
    </row>
    <row r="469" spans="1:76" x14ac:dyDescent="0.25">
      <c r="A469" s="1" t="s">
        <v>2159</v>
      </c>
      <c r="B469" s="1" t="s">
        <v>203</v>
      </c>
      <c r="C469" s="1">
        <v>1</v>
      </c>
      <c r="D469" s="1" t="s">
        <v>2160</v>
      </c>
      <c r="E469" s="1">
        <v>1136</v>
      </c>
      <c r="F469" s="1" t="str">
        <f t="shared" si="212"/>
        <v>enemy_1136_redace_2</v>
      </c>
      <c r="G469" s="1">
        <v>1</v>
      </c>
      <c r="L469" s="1">
        <v>8000</v>
      </c>
      <c r="N469" s="1">
        <v>500</v>
      </c>
      <c r="P469" s="1">
        <v>500</v>
      </c>
      <c r="R469" s="1">
        <v>30</v>
      </c>
      <c r="Z469" s="1">
        <v>0.05</v>
      </c>
      <c r="AA469" s="1">
        <v>2</v>
      </c>
      <c r="AB469" s="1">
        <v>1</v>
      </c>
      <c r="AC469" s="1">
        <v>1.3</v>
      </c>
      <c r="AH469" s="1">
        <v>0</v>
      </c>
      <c r="AI469" s="1">
        <v>1</v>
      </c>
      <c r="AJ469" s="1" t="s">
        <v>2161</v>
      </c>
      <c r="AK469" s="1" t="s">
        <v>206</v>
      </c>
      <c r="AL469" s="1" t="s">
        <v>228</v>
      </c>
      <c r="AN469" s="22" t="s">
        <v>9767</v>
      </c>
      <c r="AX469" s="1">
        <v>1</v>
      </c>
      <c r="AZ469" s="1">
        <v>0.25</v>
      </c>
      <c r="BG469" s="1" t="str">
        <f t="shared" si="213"/>
        <v>enemy_1136_redace_2</v>
      </c>
      <c r="BM469" s="1" t="s">
        <v>957</v>
      </c>
      <c r="BN469" s="1" t="s">
        <v>2158</v>
      </c>
      <c r="BQ469" s="1" t="s">
        <v>207</v>
      </c>
      <c r="BR469" s="1" t="s">
        <v>208</v>
      </c>
      <c r="BS469" s="1" t="s">
        <v>229</v>
      </c>
      <c r="BT469" s="1" t="s">
        <v>210</v>
      </c>
      <c r="BX469" s="1">
        <v>1</v>
      </c>
    </row>
    <row r="470" spans="1:76" x14ac:dyDescent="0.25">
      <c r="A470" s="1" t="s">
        <v>2162</v>
      </c>
      <c r="B470" s="1" t="s">
        <v>203</v>
      </c>
      <c r="C470" s="1">
        <v>1</v>
      </c>
      <c r="D470" s="1" t="s">
        <v>2163</v>
      </c>
      <c r="E470" s="1">
        <v>1137</v>
      </c>
      <c r="F470" s="1" t="str">
        <f t="shared" si="212"/>
        <v>enemy_1137_plasm</v>
      </c>
      <c r="G470" s="1">
        <v>1</v>
      </c>
      <c r="L470" s="1">
        <v>1000</v>
      </c>
      <c r="N470" s="1">
        <v>150</v>
      </c>
      <c r="P470" s="1">
        <v>0</v>
      </c>
      <c r="R470" s="1">
        <v>0</v>
      </c>
      <c r="Z470" s="1">
        <v>0.05</v>
      </c>
      <c r="AA470" s="1">
        <v>2</v>
      </c>
      <c r="AB470" s="1">
        <v>0</v>
      </c>
      <c r="AC470" s="1">
        <v>1.9</v>
      </c>
      <c r="AH470" s="1">
        <v>0</v>
      </c>
      <c r="AI470" s="1">
        <v>1</v>
      </c>
      <c r="AJ470" s="1" t="s">
        <v>2164</v>
      </c>
      <c r="AK470" s="1" t="s">
        <v>206</v>
      </c>
      <c r="AL470" s="1" t="s">
        <v>2165</v>
      </c>
      <c r="AN470" s="22" t="s">
        <v>9767</v>
      </c>
      <c r="AX470" s="1">
        <v>1</v>
      </c>
      <c r="AZ470" s="1">
        <v>0.25</v>
      </c>
      <c r="BG470" s="1" t="str">
        <f t="shared" si="213"/>
        <v>enemy_1137_plasm</v>
      </c>
      <c r="BM470" s="1" t="s">
        <v>888</v>
      </c>
      <c r="BN470" s="1" t="s">
        <v>2166</v>
      </c>
      <c r="BQ470" s="1" t="s">
        <v>207</v>
      </c>
      <c r="BR470" s="1" t="s">
        <v>208</v>
      </c>
      <c r="BS470" s="1" t="s">
        <v>229</v>
      </c>
      <c r="BT470" s="1" t="s">
        <v>210</v>
      </c>
      <c r="BX470" s="1">
        <v>1</v>
      </c>
    </row>
    <row r="471" spans="1:76" x14ac:dyDescent="0.25">
      <c r="A471" s="1" t="s">
        <v>2167</v>
      </c>
      <c r="B471" s="1" t="s">
        <v>203</v>
      </c>
      <c r="C471" s="1">
        <v>1</v>
      </c>
      <c r="D471" s="1" t="s">
        <v>2168</v>
      </c>
      <c r="E471" s="1">
        <v>1138</v>
      </c>
      <c r="F471" s="1" t="str">
        <f t="shared" si="212"/>
        <v>enemy_1138_tumor</v>
      </c>
      <c r="G471" s="1">
        <v>1</v>
      </c>
      <c r="L471" s="1">
        <v>1500</v>
      </c>
      <c r="N471" s="1">
        <v>200</v>
      </c>
      <c r="P471" s="1">
        <v>0</v>
      </c>
      <c r="R471" s="1">
        <v>0</v>
      </c>
      <c r="Z471" s="1">
        <v>0.05</v>
      </c>
      <c r="AA471" s="1">
        <v>2</v>
      </c>
      <c r="AB471" s="1">
        <v>0</v>
      </c>
      <c r="AC471" s="1">
        <v>1.9</v>
      </c>
      <c r="AH471" s="1">
        <v>0</v>
      </c>
      <c r="AI471" s="1">
        <v>1</v>
      </c>
      <c r="AJ471" s="1" t="s">
        <v>2169</v>
      </c>
      <c r="AK471" s="1" t="s">
        <v>206</v>
      </c>
      <c r="AL471" s="1" t="s">
        <v>2170</v>
      </c>
      <c r="AN471" s="22" t="s">
        <v>9767</v>
      </c>
      <c r="AX471" s="1">
        <v>1</v>
      </c>
      <c r="AZ471" s="1">
        <v>0.25</v>
      </c>
      <c r="BG471" s="1" t="str">
        <f t="shared" si="213"/>
        <v>enemy_1138_tumor</v>
      </c>
      <c r="BM471" s="1" t="s">
        <v>888</v>
      </c>
      <c r="BN471" s="1" t="s">
        <v>2171</v>
      </c>
      <c r="BQ471" s="1" t="s">
        <v>207</v>
      </c>
      <c r="BR471" s="1" t="s">
        <v>208</v>
      </c>
      <c r="BS471" s="1" t="s">
        <v>229</v>
      </c>
      <c r="BT471" s="1" t="s">
        <v>210</v>
      </c>
      <c r="BX471" s="1">
        <v>1</v>
      </c>
    </row>
    <row r="472" spans="1:76" x14ac:dyDescent="0.25">
      <c r="A472" s="1" t="s">
        <v>2172</v>
      </c>
      <c r="B472" s="1" t="s">
        <v>203</v>
      </c>
      <c r="C472" s="1">
        <v>1</v>
      </c>
      <c r="D472" s="1" t="s">
        <v>2173</v>
      </c>
      <c r="E472" s="1">
        <v>1139</v>
      </c>
      <c r="F472" s="1" t="str">
        <f t="shared" si="212"/>
        <v>enemy_1139_hologc</v>
      </c>
      <c r="G472" s="1">
        <v>1</v>
      </c>
      <c r="L472" s="1">
        <v>3000</v>
      </c>
      <c r="N472" s="1">
        <v>250</v>
      </c>
      <c r="P472" s="1">
        <v>0</v>
      </c>
      <c r="R472" s="1">
        <v>0</v>
      </c>
      <c r="Z472" s="1">
        <v>0.05</v>
      </c>
      <c r="AA472" s="1">
        <v>2</v>
      </c>
      <c r="AB472" s="1">
        <v>1</v>
      </c>
      <c r="AC472" s="1">
        <v>1.3</v>
      </c>
      <c r="AH472" s="1">
        <v>0</v>
      </c>
      <c r="AI472" s="1">
        <v>1</v>
      </c>
      <c r="AJ472" s="1" t="s">
        <v>2174</v>
      </c>
      <c r="AK472" s="1" t="s">
        <v>206</v>
      </c>
      <c r="AL472" s="1" t="s">
        <v>228</v>
      </c>
      <c r="AN472" s="22" t="s">
        <v>9767</v>
      </c>
      <c r="AX472" s="1">
        <v>1</v>
      </c>
      <c r="AZ472" s="1">
        <v>0.25</v>
      </c>
      <c r="BG472" s="1" t="str">
        <f t="shared" si="213"/>
        <v>enemy_1139_hologc</v>
      </c>
      <c r="BM472" s="1" t="s">
        <v>936</v>
      </c>
      <c r="BN472" s="1" t="s">
        <v>2175</v>
      </c>
      <c r="BQ472" s="1" t="s">
        <v>207</v>
      </c>
      <c r="BR472" s="1" t="s">
        <v>208</v>
      </c>
      <c r="BS472" s="1" t="s">
        <v>208</v>
      </c>
      <c r="BT472" s="1" t="s">
        <v>210</v>
      </c>
      <c r="BX472" s="1">
        <v>1</v>
      </c>
    </row>
    <row r="473" spans="1:76" x14ac:dyDescent="0.25">
      <c r="A473" s="1" t="s">
        <v>2176</v>
      </c>
      <c r="B473" s="1" t="s">
        <v>203</v>
      </c>
      <c r="C473" s="1">
        <v>1</v>
      </c>
      <c r="D473" s="1" t="s">
        <v>2177</v>
      </c>
      <c r="E473" s="1">
        <v>1139</v>
      </c>
      <c r="F473" s="1" t="str">
        <f t="shared" si="212"/>
        <v>enemy_1139_hologc_2</v>
      </c>
      <c r="G473" s="1">
        <v>1</v>
      </c>
      <c r="L473" s="1">
        <v>4000</v>
      </c>
      <c r="N473" s="1">
        <v>350</v>
      </c>
      <c r="P473" s="1">
        <v>0</v>
      </c>
      <c r="R473" s="1">
        <v>0</v>
      </c>
      <c r="Z473" s="1">
        <v>0.05</v>
      </c>
      <c r="AA473" s="1">
        <v>2</v>
      </c>
      <c r="AB473" s="1">
        <v>1</v>
      </c>
      <c r="AC473" s="1">
        <v>1.3</v>
      </c>
      <c r="AH473" s="1">
        <v>0</v>
      </c>
      <c r="AI473" s="1">
        <v>1</v>
      </c>
      <c r="AJ473" s="1" t="s">
        <v>2178</v>
      </c>
      <c r="AK473" s="1" t="s">
        <v>206</v>
      </c>
      <c r="AL473" s="1" t="s">
        <v>228</v>
      </c>
      <c r="AN473" s="22" t="s">
        <v>9767</v>
      </c>
      <c r="AX473" s="1">
        <v>1</v>
      </c>
      <c r="AZ473" s="1">
        <v>0.25</v>
      </c>
      <c r="BG473" s="1" t="str">
        <f t="shared" si="213"/>
        <v>enemy_1139_hologc_2</v>
      </c>
      <c r="BM473" s="1" t="s">
        <v>936</v>
      </c>
      <c r="BN473" s="1" t="s">
        <v>2179</v>
      </c>
      <c r="BQ473" s="1" t="s">
        <v>207</v>
      </c>
      <c r="BR473" s="1" t="s">
        <v>208</v>
      </c>
      <c r="BS473" s="1" t="s">
        <v>208</v>
      </c>
      <c r="BT473" s="1" t="s">
        <v>210</v>
      </c>
      <c r="BX473" s="1">
        <v>1</v>
      </c>
    </row>
    <row r="474" spans="1:76" x14ac:dyDescent="0.25">
      <c r="A474" s="1" t="s">
        <v>2180</v>
      </c>
      <c r="B474" s="1" t="s">
        <v>203</v>
      </c>
      <c r="C474" s="1">
        <v>1</v>
      </c>
      <c r="D474" s="1" t="s">
        <v>2181</v>
      </c>
      <c r="E474" s="1">
        <v>1519</v>
      </c>
      <c r="F474" s="1" t="str">
        <f t="shared" si="212"/>
        <v>enemy_1519_bgball</v>
      </c>
      <c r="G474" s="1">
        <v>1</v>
      </c>
      <c r="L474" s="1">
        <v>50000</v>
      </c>
      <c r="N474" s="1">
        <v>700</v>
      </c>
      <c r="P474" s="1">
        <v>500</v>
      </c>
      <c r="R474" s="1">
        <v>50</v>
      </c>
      <c r="Z474" s="1">
        <v>0.05</v>
      </c>
      <c r="AA474" s="1">
        <v>5</v>
      </c>
      <c r="AB474" s="1">
        <v>6</v>
      </c>
      <c r="AC474" s="1">
        <v>1</v>
      </c>
      <c r="AH474" s="1">
        <v>0</v>
      </c>
      <c r="AI474" s="1">
        <v>1</v>
      </c>
      <c r="AJ474" s="1" t="s">
        <v>2182</v>
      </c>
      <c r="AK474" s="1" t="s">
        <v>206</v>
      </c>
      <c r="AL474" s="1" t="s">
        <v>228</v>
      </c>
      <c r="AN474" s="22" t="s">
        <v>9767</v>
      </c>
      <c r="AX474" s="1">
        <v>1</v>
      </c>
      <c r="AZ474" s="1">
        <v>0.25</v>
      </c>
      <c r="BG474" s="1" t="str">
        <f t="shared" si="213"/>
        <v>enemy_1519_bgball</v>
      </c>
      <c r="BM474" s="1" t="s">
        <v>2183</v>
      </c>
      <c r="BN474" s="1" t="s">
        <v>2184</v>
      </c>
      <c r="BQ474" s="1" t="s">
        <v>207</v>
      </c>
      <c r="BR474" s="1" t="s">
        <v>2011</v>
      </c>
      <c r="BS474" s="1" t="s">
        <v>2011</v>
      </c>
      <c r="BT474" s="1" t="s">
        <v>2013</v>
      </c>
      <c r="BX474" s="1">
        <v>1</v>
      </c>
    </row>
    <row r="475" spans="1:76" x14ac:dyDescent="0.25">
      <c r="A475" s="1" t="s">
        <v>2185</v>
      </c>
      <c r="B475" s="1" t="s">
        <v>203</v>
      </c>
      <c r="C475" s="1">
        <v>1</v>
      </c>
      <c r="D475" s="1" t="s">
        <v>2186</v>
      </c>
      <c r="E475" s="1">
        <v>1140</v>
      </c>
      <c r="F475" s="1" t="str">
        <f t="shared" si="212"/>
        <v>enemy_1140_merhd</v>
      </c>
      <c r="G475" s="1">
        <v>1</v>
      </c>
      <c r="L475" s="1">
        <v>2200</v>
      </c>
      <c r="N475" s="1">
        <v>310</v>
      </c>
      <c r="P475" s="1">
        <v>0</v>
      </c>
      <c r="R475" s="1">
        <v>20</v>
      </c>
      <c r="Z475" s="1">
        <v>0.05</v>
      </c>
      <c r="AA475" s="1">
        <v>1.5</v>
      </c>
      <c r="AB475" s="1">
        <v>0</v>
      </c>
      <c r="AC475" s="1">
        <v>1.9</v>
      </c>
      <c r="AH475" s="1">
        <v>0</v>
      </c>
      <c r="AI475" s="1">
        <v>1</v>
      </c>
      <c r="AJ475" s="1" t="s">
        <v>2187</v>
      </c>
      <c r="AK475" s="1" t="s">
        <v>206</v>
      </c>
      <c r="AL475" s="1" t="s">
        <v>228</v>
      </c>
      <c r="AN475" s="22" t="s">
        <v>9767</v>
      </c>
      <c r="AX475" s="1">
        <v>1</v>
      </c>
      <c r="AZ475" s="1">
        <v>0.25</v>
      </c>
      <c r="BG475" s="1" t="str">
        <f t="shared" si="213"/>
        <v>enemy_1140_merhd</v>
      </c>
      <c r="BM475" s="1" t="s">
        <v>888</v>
      </c>
      <c r="BN475" s="1" t="s">
        <v>2188</v>
      </c>
      <c r="BQ475" s="1" t="s">
        <v>207</v>
      </c>
      <c r="BR475" s="1" t="s">
        <v>208</v>
      </c>
      <c r="BS475" s="1" t="s">
        <v>229</v>
      </c>
      <c r="BT475" s="1" t="s">
        <v>210</v>
      </c>
      <c r="BX475" s="1">
        <v>1</v>
      </c>
    </row>
    <row r="476" spans="1:76" x14ac:dyDescent="0.25">
      <c r="A476" s="1" t="s">
        <v>2189</v>
      </c>
      <c r="B476" s="1" t="s">
        <v>203</v>
      </c>
      <c r="C476" s="1">
        <v>1</v>
      </c>
      <c r="D476" s="1" t="s">
        <v>2190</v>
      </c>
      <c r="E476" s="1">
        <v>1140</v>
      </c>
      <c r="F476" s="1" t="str">
        <f t="shared" si="212"/>
        <v>enemy_1140_merhd_2</v>
      </c>
      <c r="G476" s="1">
        <v>1</v>
      </c>
      <c r="L476" s="1">
        <v>3500</v>
      </c>
      <c r="N476" s="1">
        <v>380</v>
      </c>
      <c r="P476" s="1">
        <v>0</v>
      </c>
      <c r="R476" s="1">
        <v>30</v>
      </c>
      <c r="Z476" s="1">
        <v>0.05</v>
      </c>
      <c r="AA476" s="1">
        <v>1.5</v>
      </c>
      <c r="AB476" s="1">
        <v>0</v>
      </c>
      <c r="AC476" s="1">
        <v>1.9</v>
      </c>
      <c r="AH476" s="1">
        <v>0</v>
      </c>
      <c r="AI476" s="1">
        <v>1</v>
      </c>
      <c r="AJ476" s="1" t="s">
        <v>2191</v>
      </c>
      <c r="AK476" s="1" t="s">
        <v>206</v>
      </c>
      <c r="AL476" s="1" t="s">
        <v>228</v>
      </c>
      <c r="AN476" s="22" t="s">
        <v>9767</v>
      </c>
      <c r="AX476" s="1">
        <v>1</v>
      </c>
      <c r="AZ476" s="1">
        <v>0.25</v>
      </c>
      <c r="BG476" s="1" t="str">
        <f t="shared" si="213"/>
        <v>enemy_1140_merhd_2</v>
      </c>
      <c r="BM476" s="1" t="s">
        <v>888</v>
      </c>
      <c r="BN476" s="1" t="s">
        <v>2192</v>
      </c>
      <c r="BQ476" s="1" t="s">
        <v>207</v>
      </c>
      <c r="BR476" s="1" t="s">
        <v>208</v>
      </c>
      <c r="BS476" s="1" t="s">
        <v>229</v>
      </c>
      <c r="BT476" s="1" t="s">
        <v>210</v>
      </c>
      <c r="BX476" s="1">
        <v>1</v>
      </c>
    </row>
    <row r="477" spans="1:76" x14ac:dyDescent="0.25">
      <c r="A477" s="1" t="s">
        <v>2193</v>
      </c>
      <c r="B477" s="1" t="s">
        <v>203</v>
      </c>
      <c r="C477" s="1">
        <v>1</v>
      </c>
      <c r="D477" s="1" t="s">
        <v>2194</v>
      </c>
      <c r="E477" s="1">
        <v>1141</v>
      </c>
      <c r="F477" s="1" t="str">
        <f t="shared" si="212"/>
        <v>enemy_1141_merbow</v>
      </c>
      <c r="G477" s="1">
        <v>1</v>
      </c>
      <c r="L477" s="1">
        <v>3100</v>
      </c>
      <c r="N477" s="1">
        <v>320</v>
      </c>
      <c r="P477" s="1">
        <v>260</v>
      </c>
      <c r="R477" s="1">
        <v>40</v>
      </c>
      <c r="Z477" s="1">
        <v>0.05</v>
      </c>
      <c r="AA477" s="1">
        <v>2.4</v>
      </c>
      <c r="AB477" s="1">
        <v>1</v>
      </c>
      <c r="AC477" s="1">
        <v>0.9</v>
      </c>
      <c r="AH477" s="1">
        <v>0</v>
      </c>
      <c r="AI477" s="1">
        <v>1</v>
      </c>
      <c r="AJ477" s="1" t="s">
        <v>2195</v>
      </c>
      <c r="AK477" s="1" t="s">
        <v>206</v>
      </c>
      <c r="AL477" s="1" t="s">
        <v>228</v>
      </c>
      <c r="AN477" s="22" t="s">
        <v>9767</v>
      </c>
      <c r="AX477" s="1">
        <v>1</v>
      </c>
      <c r="AZ477" s="1">
        <v>0.25</v>
      </c>
      <c r="BG477" s="1" t="str">
        <f t="shared" si="213"/>
        <v>enemy_1141_merbow</v>
      </c>
      <c r="BM477" s="1" t="s">
        <v>936</v>
      </c>
      <c r="BN477" s="1" t="s">
        <v>2196</v>
      </c>
      <c r="BQ477" s="1" t="s">
        <v>207</v>
      </c>
      <c r="BR477" s="1" t="s">
        <v>208</v>
      </c>
      <c r="BS477" s="1" t="s">
        <v>229</v>
      </c>
      <c r="BT477" s="1" t="s">
        <v>210</v>
      </c>
      <c r="BX477" s="1">
        <v>1</v>
      </c>
    </row>
    <row r="478" spans="1:76" x14ac:dyDescent="0.25">
      <c r="A478" s="1" t="s">
        <v>2197</v>
      </c>
      <c r="B478" s="1" t="s">
        <v>203</v>
      </c>
      <c r="C478" s="1">
        <v>1</v>
      </c>
      <c r="D478" s="1" t="s">
        <v>2198</v>
      </c>
      <c r="E478" s="1">
        <v>1141</v>
      </c>
      <c r="F478" s="1" t="str">
        <f t="shared" si="212"/>
        <v>enemy_1141_merbow_2</v>
      </c>
      <c r="G478" s="1">
        <v>1</v>
      </c>
      <c r="L478" s="1">
        <v>4200</v>
      </c>
      <c r="N478" s="1">
        <v>390</v>
      </c>
      <c r="P478" s="1">
        <v>260</v>
      </c>
      <c r="R478" s="1">
        <v>40</v>
      </c>
      <c r="Z478" s="1">
        <v>0.05</v>
      </c>
      <c r="AA478" s="1">
        <v>2.4</v>
      </c>
      <c r="AB478" s="1">
        <v>1</v>
      </c>
      <c r="AC478" s="1">
        <v>0.9</v>
      </c>
      <c r="AH478" s="1">
        <v>0</v>
      </c>
      <c r="AI478" s="1">
        <v>1</v>
      </c>
      <c r="AJ478" s="1" t="s">
        <v>2199</v>
      </c>
      <c r="AK478" s="1" t="s">
        <v>206</v>
      </c>
      <c r="AL478" s="1" t="s">
        <v>228</v>
      </c>
      <c r="AN478" s="22" t="s">
        <v>9767</v>
      </c>
      <c r="AX478" s="1">
        <v>1</v>
      </c>
      <c r="AZ478" s="1">
        <v>0.25</v>
      </c>
      <c r="BG478" s="1" t="str">
        <f t="shared" si="213"/>
        <v>enemy_1141_merbow_2</v>
      </c>
      <c r="BM478" s="1" t="s">
        <v>936</v>
      </c>
      <c r="BN478" s="1" t="s">
        <v>2200</v>
      </c>
      <c r="BQ478" s="1" t="s">
        <v>207</v>
      </c>
      <c r="BR478" s="1" t="s">
        <v>208</v>
      </c>
      <c r="BS478" s="1" t="s">
        <v>229</v>
      </c>
      <c r="BT478" s="1" t="s">
        <v>210</v>
      </c>
      <c r="BX478" s="1">
        <v>1</v>
      </c>
    </row>
    <row r="479" spans="1:76" x14ac:dyDescent="0.25">
      <c r="A479" s="1" t="s">
        <v>2201</v>
      </c>
      <c r="B479" s="1" t="s">
        <v>203</v>
      </c>
      <c r="C479" s="1">
        <v>1</v>
      </c>
      <c r="D479" s="1" t="s">
        <v>2202</v>
      </c>
      <c r="E479" s="1">
        <v>1142</v>
      </c>
      <c r="F479" s="1" t="str">
        <f t="shared" si="212"/>
        <v>enemy_1142_mershd</v>
      </c>
      <c r="G479" s="1">
        <v>1</v>
      </c>
      <c r="L479" s="1">
        <v>7000</v>
      </c>
      <c r="N479" s="1">
        <v>700</v>
      </c>
      <c r="P479" s="1">
        <v>800</v>
      </c>
      <c r="R479" s="1">
        <v>40</v>
      </c>
      <c r="Z479" s="1">
        <v>0.05</v>
      </c>
      <c r="AA479" s="1">
        <v>2.6</v>
      </c>
      <c r="AB479" s="1">
        <v>4</v>
      </c>
      <c r="AC479" s="1">
        <v>0.7</v>
      </c>
      <c r="AH479" s="1">
        <v>0</v>
      </c>
      <c r="AI479" s="1">
        <v>1</v>
      </c>
      <c r="AJ479" s="1" t="s">
        <v>2203</v>
      </c>
      <c r="AK479" s="1" t="s">
        <v>206</v>
      </c>
      <c r="AL479" s="1" t="s">
        <v>228</v>
      </c>
      <c r="AN479" s="22" t="s">
        <v>9767</v>
      </c>
      <c r="AX479" s="1">
        <v>1</v>
      </c>
      <c r="AZ479" s="1">
        <v>0.25</v>
      </c>
      <c r="BG479" s="1" t="str">
        <f t="shared" si="213"/>
        <v>enemy_1142_mershd</v>
      </c>
      <c r="BM479" s="1" t="s">
        <v>989</v>
      </c>
      <c r="BN479" s="1" t="s">
        <v>2204</v>
      </c>
      <c r="BQ479" s="1" t="s">
        <v>207</v>
      </c>
      <c r="BR479" s="1" t="s">
        <v>208</v>
      </c>
      <c r="BS479" s="1" t="s">
        <v>229</v>
      </c>
      <c r="BT479" s="1" t="s">
        <v>210</v>
      </c>
      <c r="BX479" s="1">
        <v>1</v>
      </c>
    </row>
    <row r="480" spans="1:76" x14ac:dyDescent="0.25">
      <c r="A480" s="1" t="s">
        <v>2205</v>
      </c>
      <c r="B480" s="1" t="s">
        <v>203</v>
      </c>
      <c r="C480" s="1">
        <v>1</v>
      </c>
      <c r="D480" s="1" t="s">
        <v>2206</v>
      </c>
      <c r="E480" s="1">
        <v>1142</v>
      </c>
      <c r="F480" s="1" t="str">
        <f t="shared" si="212"/>
        <v>enemy_1142_mershd_2</v>
      </c>
      <c r="G480" s="1">
        <v>1</v>
      </c>
      <c r="L480" s="1">
        <v>10000</v>
      </c>
      <c r="N480" s="1">
        <v>700</v>
      </c>
      <c r="P480" s="1">
        <v>1000</v>
      </c>
      <c r="R480" s="1">
        <v>60</v>
      </c>
      <c r="Z480" s="1">
        <v>0.05</v>
      </c>
      <c r="AA480" s="1">
        <v>2.6</v>
      </c>
      <c r="AB480" s="1">
        <v>4</v>
      </c>
      <c r="AC480" s="1">
        <v>0.7</v>
      </c>
      <c r="AH480" s="1">
        <v>0</v>
      </c>
      <c r="AI480" s="1">
        <v>1</v>
      </c>
      <c r="AJ480" s="1" t="s">
        <v>2207</v>
      </c>
      <c r="AK480" s="1" t="s">
        <v>206</v>
      </c>
      <c r="AL480" s="1" t="s">
        <v>228</v>
      </c>
      <c r="AN480" s="22" t="s">
        <v>9767</v>
      </c>
      <c r="AX480" s="1">
        <v>1</v>
      </c>
      <c r="AZ480" s="1">
        <v>0.25</v>
      </c>
      <c r="BG480" s="1" t="str">
        <f t="shared" si="213"/>
        <v>enemy_1142_mershd_2</v>
      </c>
      <c r="BM480" s="1" t="s">
        <v>989</v>
      </c>
      <c r="BN480" s="1" t="s">
        <v>2208</v>
      </c>
      <c r="BQ480" s="1" t="s">
        <v>207</v>
      </c>
      <c r="BR480" s="1" t="s">
        <v>208</v>
      </c>
      <c r="BS480" s="1" t="s">
        <v>229</v>
      </c>
      <c r="BT480" s="1" t="s">
        <v>210</v>
      </c>
      <c r="BX480" s="1">
        <v>1</v>
      </c>
    </row>
    <row r="481" spans="1:76" x14ac:dyDescent="0.25">
      <c r="A481" s="1" t="s">
        <v>2209</v>
      </c>
      <c r="B481" s="1" t="s">
        <v>203</v>
      </c>
      <c r="C481" s="1">
        <v>1</v>
      </c>
      <c r="D481" s="1" t="s">
        <v>2210</v>
      </c>
      <c r="E481" s="1">
        <v>1143</v>
      </c>
      <c r="F481" s="1" t="str">
        <f t="shared" si="212"/>
        <v>enemy_1143_merrpg</v>
      </c>
      <c r="G481" s="1">
        <v>1</v>
      </c>
      <c r="L481" s="1">
        <v>3200</v>
      </c>
      <c r="N481" s="1">
        <v>500</v>
      </c>
      <c r="P481" s="1">
        <v>50</v>
      </c>
      <c r="R481" s="1">
        <v>40</v>
      </c>
      <c r="Z481" s="1">
        <v>0.05</v>
      </c>
      <c r="AA481" s="1">
        <v>2.6</v>
      </c>
      <c r="AB481" s="1">
        <v>2</v>
      </c>
      <c r="AC481" s="1">
        <v>0.9</v>
      </c>
      <c r="AH481" s="1">
        <v>0</v>
      </c>
      <c r="AI481" s="1">
        <v>1</v>
      </c>
      <c r="AJ481" s="1" t="s">
        <v>2211</v>
      </c>
      <c r="AK481" s="1" t="s">
        <v>206</v>
      </c>
      <c r="AL481" s="1" t="s">
        <v>228</v>
      </c>
      <c r="AN481" s="22" t="s">
        <v>9767</v>
      </c>
      <c r="AX481" s="1">
        <v>1</v>
      </c>
      <c r="AZ481" s="1">
        <v>0.25</v>
      </c>
      <c r="BG481" s="1" t="str">
        <f t="shared" si="213"/>
        <v>enemy_1143_merrpg</v>
      </c>
      <c r="BM481" s="1" t="s">
        <v>936</v>
      </c>
      <c r="BN481" s="1" t="s">
        <v>2212</v>
      </c>
      <c r="BQ481" s="1" t="s">
        <v>207</v>
      </c>
      <c r="BR481" s="1" t="s">
        <v>208</v>
      </c>
      <c r="BS481" s="1" t="s">
        <v>1936</v>
      </c>
      <c r="BT481" s="1" t="s">
        <v>210</v>
      </c>
      <c r="BX481" s="1">
        <v>1</v>
      </c>
    </row>
    <row r="482" spans="1:76" x14ac:dyDescent="0.25">
      <c r="A482" s="1" t="s">
        <v>2213</v>
      </c>
      <c r="B482" s="1" t="s">
        <v>203</v>
      </c>
      <c r="C482" s="1">
        <v>1</v>
      </c>
      <c r="D482" s="1" t="s">
        <v>2214</v>
      </c>
      <c r="E482" s="1">
        <v>1143</v>
      </c>
      <c r="F482" s="1" t="str">
        <f t="shared" si="212"/>
        <v>enemy_1143_merrpg_2</v>
      </c>
      <c r="G482" s="1">
        <v>1</v>
      </c>
      <c r="L482" s="1">
        <v>4800</v>
      </c>
      <c r="N482" s="1">
        <v>750</v>
      </c>
      <c r="P482" s="1">
        <v>50</v>
      </c>
      <c r="R482" s="1">
        <v>40</v>
      </c>
      <c r="Z482" s="1">
        <v>0.05</v>
      </c>
      <c r="AA482" s="1">
        <v>2.6</v>
      </c>
      <c r="AB482" s="1">
        <v>2</v>
      </c>
      <c r="AC482" s="1">
        <v>0.9</v>
      </c>
      <c r="AH482" s="1">
        <v>0</v>
      </c>
      <c r="AI482" s="1">
        <v>1</v>
      </c>
      <c r="AJ482" s="1" t="s">
        <v>2215</v>
      </c>
      <c r="AK482" s="1" t="s">
        <v>206</v>
      </c>
      <c r="AL482" s="1" t="s">
        <v>228</v>
      </c>
      <c r="AN482" s="22" t="s">
        <v>9767</v>
      </c>
      <c r="AX482" s="1">
        <v>1</v>
      </c>
      <c r="AZ482" s="1">
        <v>0.25</v>
      </c>
      <c r="BG482" s="1" t="str">
        <f t="shared" si="213"/>
        <v>enemy_1143_merrpg_2</v>
      </c>
      <c r="BM482" s="1" t="s">
        <v>936</v>
      </c>
      <c r="BN482" s="1" t="s">
        <v>2216</v>
      </c>
      <c r="BQ482" s="1" t="s">
        <v>207</v>
      </c>
      <c r="BR482" s="1" t="s">
        <v>208</v>
      </c>
      <c r="BS482" s="1" t="s">
        <v>1936</v>
      </c>
      <c r="BT482" s="1" t="s">
        <v>210</v>
      </c>
      <c r="BX482" s="1">
        <v>1</v>
      </c>
    </row>
    <row r="483" spans="1:76" x14ac:dyDescent="0.25">
      <c r="A483" s="1" t="s">
        <v>2217</v>
      </c>
      <c r="B483" s="1" t="s">
        <v>203</v>
      </c>
      <c r="C483" s="1">
        <v>1</v>
      </c>
      <c r="D483" s="1" t="s">
        <v>2218</v>
      </c>
      <c r="E483" s="1">
        <v>1144</v>
      </c>
      <c r="F483" s="1" t="str">
        <f t="shared" si="212"/>
        <v>enemy_1144_merlgd</v>
      </c>
      <c r="G483" s="1">
        <v>1</v>
      </c>
      <c r="L483" s="1">
        <v>10000</v>
      </c>
      <c r="N483" s="1">
        <v>1100</v>
      </c>
      <c r="P483" s="1">
        <v>500</v>
      </c>
      <c r="R483" s="1">
        <v>60</v>
      </c>
      <c r="Z483" s="1">
        <v>0.05</v>
      </c>
      <c r="AA483" s="1">
        <v>3</v>
      </c>
      <c r="AB483" s="1">
        <v>3</v>
      </c>
      <c r="AC483" s="1">
        <v>1.2</v>
      </c>
      <c r="AH483" s="1">
        <v>0</v>
      </c>
      <c r="AI483" s="1">
        <v>1</v>
      </c>
      <c r="AJ483" s="1" t="s">
        <v>2219</v>
      </c>
      <c r="AK483" s="1" t="s">
        <v>206</v>
      </c>
      <c r="AL483" s="1" t="s">
        <v>228</v>
      </c>
      <c r="AN483" s="22" t="s">
        <v>9767</v>
      </c>
      <c r="AX483" s="1">
        <v>1</v>
      </c>
      <c r="AZ483" s="1">
        <v>0.25</v>
      </c>
      <c r="BG483" s="1" t="str">
        <f t="shared" si="213"/>
        <v>enemy_1144_merlgd</v>
      </c>
      <c r="BM483" s="1" t="s">
        <v>989</v>
      </c>
      <c r="BN483" s="1" t="s">
        <v>2220</v>
      </c>
      <c r="BQ483" s="1" t="s">
        <v>207</v>
      </c>
      <c r="BR483" s="1" t="s">
        <v>208</v>
      </c>
      <c r="BS483" s="1" t="s">
        <v>229</v>
      </c>
      <c r="BT483" s="1" t="s">
        <v>210</v>
      </c>
      <c r="BX483" s="1">
        <v>1</v>
      </c>
    </row>
    <row r="484" spans="1:76" x14ac:dyDescent="0.25">
      <c r="A484" s="1" t="s">
        <v>2221</v>
      </c>
      <c r="B484" s="1" t="s">
        <v>203</v>
      </c>
      <c r="C484" s="1">
        <v>1</v>
      </c>
      <c r="D484" s="1" t="s">
        <v>2222</v>
      </c>
      <c r="E484" s="1">
        <v>1144</v>
      </c>
      <c r="F484" s="1" t="str">
        <f t="shared" si="212"/>
        <v>enemy_1144_merlgd_2</v>
      </c>
      <c r="G484" s="1">
        <v>1</v>
      </c>
      <c r="L484" s="1">
        <v>12000</v>
      </c>
      <c r="N484" s="1">
        <v>1400</v>
      </c>
      <c r="P484" s="1">
        <v>500</v>
      </c>
      <c r="R484" s="1">
        <v>60</v>
      </c>
      <c r="Z484" s="1">
        <v>0.05</v>
      </c>
      <c r="AA484" s="1">
        <v>3</v>
      </c>
      <c r="AB484" s="1">
        <v>3</v>
      </c>
      <c r="AC484" s="1">
        <v>1.2</v>
      </c>
      <c r="AH484" s="1">
        <v>0</v>
      </c>
      <c r="AI484" s="1">
        <v>1</v>
      </c>
      <c r="AJ484" s="1" t="s">
        <v>2223</v>
      </c>
      <c r="AK484" s="1" t="s">
        <v>206</v>
      </c>
      <c r="AL484" s="1" t="s">
        <v>228</v>
      </c>
      <c r="AN484" s="22" t="s">
        <v>9767</v>
      </c>
      <c r="AX484" s="1">
        <v>1</v>
      </c>
      <c r="AZ484" s="1">
        <v>0.25</v>
      </c>
      <c r="BG484" s="1" t="str">
        <f t="shared" si="213"/>
        <v>enemy_1144_merlgd_2</v>
      </c>
      <c r="BM484" s="1" t="s">
        <v>989</v>
      </c>
      <c r="BN484" s="1" t="s">
        <v>2224</v>
      </c>
      <c r="BQ484" s="1" t="s">
        <v>207</v>
      </c>
      <c r="BR484" s="1" t="s">
        <v>208</v>
      </c>
      <c r="BS484" s="1" t="s">
        <v>229</v>
      </c>
      <c r="BT484" s="1" t="s">
        <v>210</v>
      </c>
      <c r="BX484" s="1">
        <v>1</v>
      </c>
    </row>
    <row r="485" spans="1:76" x14ac:dyDescent="0.25">
      <c r="A485" s="1" t="s">
        <v>2225</v>
      </c>
      <c r="B485" s="1" t="s">
        <v>203</v>
      </c>
      <c r="C485" s="1">
        <v>1</v>
      </c>
      <c r="D485" s="1" t="s">
        <v>2226</v>
      </c>
      <c r="E485" s="1">
        <v>1145</v>
      </c>
      <c r="F485" s="1" t="str">
        <f t="shared" si="212"/>
        <v>enemy_1145_atkspd</v>
      </c>
      <c r="G485" s="1">
        <v>1</v>
      </c>
      <c r="L485" s="1">
        <v>5000</v>
      </c>
      <c r="N485" s="1">
        <v>250</v>
      </c>
      <c r="P485" s="1">
        <v>80</v>
      </c>
      <c r="R485" s="1">
        <v>50</v>
      </c>
      <c r="Z485" s="1">
        <v>0.05</v>
      </c>
      <c r="AA485" s="1">
        <v>3.8</v>
      </c>
      <c r="AB485" s="1">
        <v>0</v>
      </c>
      <c r="AC485" s="1">
        <v>1</v>
      </c>
      <c r="AH485" s="1">
        <v>-1</v>
      </c>
      <c r="AI485" s="1">
        <v>1</v>
      </c>
      <c r="AJ485" s="1" t="s">
        <v>2227</v>
      </c>
      <c r="AK485" s="1" t="s">
        <v>206</v>
      </c>
      <c r="AL485" s="1" t="s">
        <v>228</v>
      </c>
      <c r="AN485" s="22" t="s">
        <v>9767</v>
      </c>
      <c r="AX485" s="1">
        <v>1</v>
      </c>
      <c r="AZ485" s="1">
        <v>0.25</v>
      </c>
      <c r="BG485" s="1" t="str">
        <f t="shared" si="213"/>
        <v>enemy_1145_atkspd</v>
      </c>
      <c r="BM485" s="1" t="s">
        <v>2228</v>
      </c>
      <c r="BN485" s="1" t="s">
        <v>2229</v>
      </c>
      <c r="BQ485" s="1" t="s">
        <v>207</v>
      </c>
      <c r="BR485" s="1" t="s">
        <v>208</v>
      </c>
      <c r="BS485" s="1" t="s">
        <v>229</v>
      </c>
      <c r="BT485" s="1" t="s">
        <v>210</v>
      </c>
      <c r="BX485" s="1">
        <v>1</v>
      </c>
    </row>
    <row r="486" spans="1:76" x14ac:dyDescent="0.25">
      <c r="A486" s="1" t="s">
        <v>2230</v>
      </c>
      <c r="B486" s="1" t="s">
        <v>203</v>
      </c>
      <c r="C486" s="1">
        <v>1</v>
      </c>
      <c r="D486" s="1" t="s">
        <v>2231</v>
      </c>
      <c r="E486" s="1">
        <v>1145</v>
      </c>
      <c r="F486" s="1" t="str">
        <f t="shared" si="212"/>
        <v>enemy_1145_atkspd_2</v>
      </c>
      <c r="G486" s="1">
        <v>1</v>
      </c>
      <c r="L486" s="1">
        <v>8000</v>
      </c>
      <c r="N486" s="1">
        <v>350</v>
      </c>
      <c r="P486" s="1">
        <v>80</v>
      </c>
      <c r="R486" s="1">
        <v>50</v>
      </c>
      <c r="Z486" s="1">
        <v>0.05</v>
      </c>
      <c r="AA486" s="1">
        <v>3.8</v>
      </c>
      <c r="AB486" s="1">
        <v>0</v>
      </c>
      <c r="AC486" s="1">
        <v>1</v>
      </c>
      <c r="AH486" s="1">
        <v>-1</v>
      </c>
      <c r="AI486" s="1">
        <v>1</v>
      </c>
      <c r="AJ486" s="1" t="s">
        <v>2232</v>
      </c>
      <c r="AK486" s="1" t="s">
        <v>206</v>
      </c>
      <c r="AL486" s="1" t="s">
        <v>228</v>
      </c>
      <c r="AN486" s="22" t="s">
        <v>9767</v>
      </c>
      <c r="AX486" s="1">
        <v>1</v>
      </c>
      <c r="AZ486" s="1">
        <v>0.25</v>
      </c>
      <c r="BG486" s="1" t="str">
        <f t="shared" si="213"/>
        <v>enemy_1145_atkspd_2</v>
      </c>
      <c r="BM486" s="1" t="s">
        <v>2228</v>
      </c>
      <c r="BN486" s="1" t="s">
        <v>2233</v>
      </c>
      <c r="BQ486" s="1" t="s">
        <v>207</v>
      </c>
      <c r="BR486" s="1" t="s">
        <v>208</v>
      </c>
      <c r="BS486" s="1" t="s">
        <v>229</v>
      </c>
      <c r="BT486" s="1" t="s">
        <v>210</v>
      </c>
      <c r="BX486" s="1">
        <v>1</v>
      </c>
    </row>
    <row r="487" spans="1:76" x14ac:dyDescent="0.25">
      <c r="A487" s="1" t="s">
        <v>2234</v>
      </c>
      <c r="B487" s="1" t="s">
        <v>203</v>
      </c>
      <c r="C487" s="1">
        <v>1</v>
      </c>
      <c r="D487" s="1" t="s">
        <v>2235</v>
      </c>
      <c r="E487" s="1">
        <v>1146</v>
      </c>
      <c r="F487" s="1" t="str">
        <f t="shared" si="212"/>
        <v>enemy_1146_defspd</v>
      </c>
      <c r="G487" s="1">
        <v>1</v>
      </c>
      <c r="L487" s="1">
        <v>5000</v>
      </c>
      <c r="N487" s="1">
        <v>0</v>
      </c>
      <c r="P487" s="1">
        <v>80</v>
      </c>
      <c r="R487" s="1">
        <v>50</v>
      </c>
      <c r="Z487" s="1">
        <v>0.05</v>
      </c>
      <c r="AA487" s="1">
        <v>1</v>
      </c>
      <c r="AB487" s="1">
        <v>0</v>
      </c>
      <c r="AC487" s="1">
        <v>1</v>
      </c>
      <c r="AH487" s="1">
        <v>-1</v>
      </c>
      <c r="AI487" s="1">
        <v>1</v>
      </c>
      <c r="AJ487" s="1" t="s">
        <v>2236</v>
      </c>
      <c r="AK487" s="1" t="s">
        <v>206</v>
      </c>
      <c r="AL487" s="1" t="s">
        <v>228</v>
      </c>
      <c r="AN487" s="22" t="s">
        <v>9767</v>
      </c>
      <c r="AX487" s="1">
        <v>1</v>
      </c>
      <c r="AZ487" s="1">
        <v>0.25</v>
      </c>
      <c r="BG487" s="1" t="str">
        <f t="shared" si="213"/>
        <v>enemy_1146_defspd</v>
      </c>
      <c r="BM487" s="1" t="s">
        <v>2237</v>
      </c>
      <c r="BN487" s="1" t="s">
        <v>2238</v>
      </c>
      <c r="BQ487" s="1" t="s">
        <v>207</v>
      </c>
      <c r="BR487" s="1" t="s">
        <v>208</v>
      </c>
      <c r="BS487" s="1" t="s">
        <v>229</v>
      </c>
      <c r="BT487" s="1" t="s">
        <v>210</v>
      </c>
      <c r="BX487" s="1">
        <v>1</v>
      </c>
    </row>
    <row r="488" spans="1:76" x14ac:dyDescent="0.25">
      <c r="A488" s="1" t="s">
        <v>2239</v>
      </c>
      <c r="B488" s="1" t="s">
        <v>203</v>
      </c>
      <c r="C488" s="1">
        <v>1</v>
      </c>
      <c r="D488" s="1" t="s">
        <v>2240</v>
      </c>
      <c r="E488" s="1">
        <v>1146</v>
      </c>
      <c r="F488" s="1" t="str">
        <f t="shared" si="212"/>
        <v>enemy_1146_defspd_2</v>
      </c>
      <c r="G488" s="1">
        <v>1</v>
      </c>
      <c r="L488" s="1">
        <v>8000</v>
      </c>
      <c r="N488" s="1">
        <v>0</v>
      </c>
      <c r="P488" s="1">
        <v>80</v>
      </c>
      <c r="R488" s="1">
        <v>50</v>
      </c>
      <c r="Z488" s="1">
        <v>0.05</v>
      </c>
      <c r="AA488" s="1">
        <v>1</v>
      </c>
      <c r="AB488" s="1">
        <v>0</v>
      </c>
      <c r="AC488" s="1">
        <v>1</v>
      </c>
      <c r="AH488" s="1">
        <v>-1</v>
      </c>
      <c r="AI488" s="1">
        <v>1</v>
      </c>
      <c r="AJ488" s="1" t="s">
        <v>2241</v>
      </c>
      <c r="AK488" s="1" t="s">
        <v>206</v>
      </c>
      <c r="AL488" s="1" t="s">
        <v>228</v>
      </c>
      <c r="AN488" s="22" t="s">
        <v>9767</v>
      </c>
      <c r="AX488" s="1">
        <v>1</v>
      </c>
      <c r="AZ488" s="1">
        <v>0.25</v>
      </c>
      <c r="BG488" s="1" t="str">
        <f t="shared" si="213"/>
        <v>enemy_1146_defspd_2</v>
      </c>
      <c r="BM488" s="1" t="s">
        <v>2237</v>
      </c>
      <c r="BN488" s="1" t="s">
        <v>2242</v>
      </c>
      <c r="BQ488" s="1" t="s">
        <v>207</v>
      </c>
      <c r="BR488" s="1" t="s">
        <v>208</v>
      </c>
      <c r="BS488" s="1" t="s">
        <v>229</v>
      </c>
      <c r="BT488" s="1" t="s">
        <v>210</v>
      </c>
      <c r="BX488" s="1">
        <v>1</v>
      </c>
    </row>
    <row r="489" spans="1:76" x14ac:dyDescent="0.25">
      <c r="A489" s="1" t="s">
        <v>2243</v>
      </c>
      <c r="B489" s="1" t="s">
        <v>203</v>
      </c>
      <c r="C489" s="1">
        <v>1</v>
      </c>
      <c r="D489" s="1" t="s">
        <v>2244</v>
      </c>
      <c r="E489" s="1">
        <v>1520</v>
      </c>
      <c r="F489" s="1" t="str">
        <f t="shared" si="212"/>
        <v>enemy_1520_empgrd</v>
      </c>
      <c r="G489" s="1">
        <v>1</v>
      </c>
      <c r="L489" s="1">
        <v>28000</v>
      </c>
      <c r="N489" s="1">
        <v>600</v>
      </c>
      <c r="P489" s="1">
        <v>400</v>
      </c>
      <c r="R489" s="1">
        <v>40</v>
      </c>
      <c r="Z489" s="1">
        <v>0.05</v>
      </c>
      <c r="AA489" s="1">
        <v>4</v>
      </c>
      <c r="AB489" s="1">
        <v>6</v>
      </c>
      <c r="AC489" s="1">
        <v>0.6</v>
      </c>
      <c r="AH489" s="1">
        <v>0</v>
      </c>
      <c r="AI489" s="1">
        <v>1</v>
      </c>
      <c r="AJ489" s="1" t="s">
        <v>2245</v>
      </c>
      <c r="AK489" s="1" t="s">
        <v>206</v>
      </c>
      <c r="AL489" s="1" t="s">
        <v>228</v>
      </c>
      <c r="AN489" s="22" t="s">
        <v>9767</v>
      </c>
      <c r="AX489" s="1">
        <v>1</v>
      </c>
      <c r="AZ489" s="1">
        <v>0.25</v>
      </c>
      <c r="BG489" s="1" t="str">
        <f t="shared" si="213"/>
        <v>enemy_1520_empgrd</v>
      </c>
      <c r="BM489" s="1" t="s">
        <v>1319</v>
      </c>
      <c r="BN489" s="1" t="s">
        <v>2246</v>
      </c>
      <c r="BQ489" s="1" t="s">
        <v>207</v>
      </c>
      <c r="BR489" s="1" t="s">
        <v>208</v>
      </c>
      <c r="BS489" s="1" t="s">
        <v>229</v>
      </c>
      <c r="BT489" s="1" t="s">
        <v>210</v>
      </c>
      <c r="BX489" s="1">
        <v>1</v>
      </c>
    </row>
    <row r="490" spans="1:76" x14ac:dyDescent="0.25">
      <c r="A490" s="1" t="s">
        <v>2247</v>
      </c>
      <c r="B490" s="1" t="s">
        <v>203</v>
      </c>
      <c r="D490" s="1" t="s">
        <v>2248</v>
      </c>
      <c r="E490" s="1">
        <v>1147</v>
      </c>
      <c r="F490" s="1" t="str">
        <f t="shared" si="212"/>
        <v>enemy_1147_dshond</v>
      </c>
      <c r="G490" s="1">
        <v>1</v>
      </c>
      <c r="L490" s="1">
        <v>3000</v>
      </c>
      <c r="N490" s="1">
        <v>280</v>
      </c>
      <c r="P490" s="1">
        <v>0</v>
      </c>
      <c r="R490" s="1">
        <v>20</v>
      </c>
      <c r="Z490" s="1">
        <v>0.05</v>
      </c>
      <c r="AA490" s="1">
        <v>1.3</v>
      </c>
      <c r="AB490" s="1">
        <v>0</v>
      </c>
      <c r="AC490" s="1">
        <v>1.9</v>
      </c>
      <c r="AH490" s="1">
        <v>0</v>
      </c>
      <c r="AI490" s="1">
        <v>1</v>
      </c>
      <c r="AJ490" s="1" t="s">
        <v>2249</v>
      </c>
      <c r="AK490" s="1" t="s">
        <v>206</v>
      </c>
      <c r="AL490" s="1" t="s">
        <v>228</v>
      </c>
      <c r="AN490" s="22" t="s">
        <v>9767</v>
      </c>
      <c r="AX490" s="1">
        <v>1</v>
      </c>
      <c r="AZ490" s="1">
        <v>0.25</v>
      </c>
      <c r="BG490" s="1" t="str">
        <f t="shared" si="213"/>
        <v>enemy_1147_dshond</v>
      </c>
      <c r="BM490" s="1" t="s">
        <v>2250</v>
      </c>
      <c r="BN490" s="1" t="s">
        <v>2251</v>
      </c>
      <c r="BQ490" s="1" t="s">
        <v>207</v>
      </c>
      <c r="BR490" s="1" t="s">
        <v>208</v>
      </c>
      <c r="BS490" s="1" t="s">
        <v>229</v>
      </c>
      <c r="BT490" s="1" t="s">
        <v>210</v>
      </c>
      <c r="BX490" s="1">
        <v>1</v>
      </c>
    </row>
    <row r="491" spans="1:76" x14ac:dyDescent="0.25">
      <c r="A491" s="1" t="s">
        <v>2252</v>
      </c>
      <c r="B491" s="1" t="s">
        <v>203</v>
      </c>
      <c r="D491" s="1" t="s">
        <v>2253</v>
      </c>
      <c r="E491" s="1">
        <v>1147</v>
      </c>
      <c r="F491" s="1" t="str">
        <f t="shared" si="212"/>
        <v>enemy_1147_dshond_2</v>
      </c>
      <c r="G491" s="1">
        <v>1</v>
      </c>
      <c r="L491" s="1">
        <v>4000</v>
      </c>
      <c r="N491" s="1">
        <v>340</v>
      </c>
      <c r="P491" s="1">
        <v>0</v>
      </c>
      <c r="R491" s="1">
        <v>20</v>
      </c>
      <c r="Z491" s="1">
        <v>0.05</v>
      </c>
      <c r="AA491" s="1">
        <v>1.3</v>
      </c>
      <c r="AB491" s="1">
        <v>0</v>
      </c>
      <c r="AC491" s="1">
        <v>1.9</v>
      </c>
      <c r="AH491" s="1">
        <v>0</v>
      </c>
      <c r="AI491" s="1">
        <v>1</v>
      </c>
      <c r="AJ491" s="1" t="s">
        <v>2254</v>
      </c>
      <c r="AK491" s="1" t="s">
        <v>206</v>
      </c>
      <c r="AL491" s="1" t="s">
        <v>228</v>
      </c>
      <c r="AN491" s="22" t="s">
        <v>9767</v>
      </c>
      <c r="AX491" s="1">
        <v>1</v>
      </c>
      <c r="AZ491" s="1">
        <v>0.25</v>
      </c>
      <c r="BG491" s="1" t="str">
        <f t="shared" si="213"/>
        <v>enemy_1147_dshond_2</v>
      </c>
      <c r="BM491" s="1" t="s">
        <v>2250</v>
      </c>
      <c r="BN491" s="1" t="s">
        <v>2255</v>
      </c>
      <c r="BQ491" s="1" t="s">
        <v>207</v>
      </c>
      <c r="BR491" s="1" t="s">
        <v>208</v>
      </c>
      <c r="BS491" s="1" t="s">
        <v>229</v>
      </c>
      <c r="BT491" s="1" t="s">
        <v>210</v>
      </c>
      <c r="BX491" s="1">
        <v>1</v>
      </c>
    </row>
    <row r="492" spans="1:76" x14ac:dyDescent="0.25">
      <c r="A492" s="1" t="s">
        <v>2256</v>
      </c>
      <c r="B492" s="1" t="s">
        <v>203</v>
      </c>
      <c r="D492" s="1" t="s">
        <v>2257</v>
      </c>
      <c r="E492" s="1">
        <v>1148</v>
      </c>
      <c r="F492" s="1" t="str">
        <f t="shared" si="212"/>
        <v>enemy_1148_dssbr</v>
      </c>
      <c r="G492" s="1">
        <v>1</v>
      </c>
      <c r="L492" s="1">
        <v>2800</v>
      </c>
      <c r="N492" s="1">
        <v>280</v>
      </c>
      <c r="P492" s="1">
        <v>130</v>
      </c>
      <c r="R492" s="1">
        <v>10</v>
      </c>
      <c r="Z492" s="1">
        <v>0.05</v>
      </c>
      <c r="AA492" s="1">
        <v>2</v>
      </c>
      <c r="AB492" s="1">
        <v>1</v>
      </c>
      <c r="AC492" s="1">
        <v>1.1000000000000001</v>
      </c>
      <c r="AH492" s="1">
        <v>0</v>
      </c>
      <c r="AI492" s="1">
        <v>1</v>
      </c>
      <c r="AJ492" s="1" t="s">
        <v>2258</v>
      </c>
      <c r="AK492" s="1" t="s">
        <v>206</v>
      </c>
      <c r="AL492" s="1" t="s">
        <v>2259</v>
      </c>
      <c r="AN492" s="22" t="s">
        <v>9767</v>
      </c>
      <c r="AX492" s="1">
        <v>1</v>
      </c>
      <c r="AZ492" s="1">
        <v>0.25</v>
      </c>
      <c r="BG492" s="1" t="str">
        <f t="shared" si="213"/>
        <v>enemy_1148_dssbr</v>
      </c>
      <c r="BM492" s="1" t="s">
        <v>2250</v>
      </c>
      <c r="BN492" s="1" t="s">
        <v>2260</v>
      </c>
      <c r="BQ492" s="1" t="s">
        <v>207</v>
      </c>
      <c r="BR492" s="1" t="s">
        <v>208</v>
      </c>
      <c r="BS492" s="1" t="s">
        <v>229</v>
      </c>
      <c r="BT492" s="1" t="s">
        <v>210</v>
      </c>
      <c r="BX492" s="1">
        <v>1</v>
      </c>
    </row>
    <row r="493" spans="1:76" x14ac:dyDescent="0.25">
      <c r="A493" s="1" t="s">
        <v>2261</v>
      </c>
      <c r="B493" s="1" t="s">
        <v>203</v>
      </c>
      <c r="D493" s="1" t="s">
        <v>2262</v>
      </c>
      <c r="E493" s="1">
        <v>1148</v>
      </c>
      <c r="F493" s="1" t="str">
        <f t="shared" si="212"/>
        <v>enemy_1148_dssbr_2</v>
      </c>
      <c r="G493" s="1">
        <v>1</v>
      </c>
      <c r="L493" s="1">
        <v>3600</v>
      </c>
      <c r="N493" s="1">
        <v>360</v>
      </c>
      <c r="P493" s="1">
        <v>150</v>
      </c>
      <c r="R493" s="1">
        <v>10</v>
      </c>
      <c r="Z493" s="1">
        <v>0.05</v>
      </c>
      <c r="AA493" s="1">
        <v>2</v>
      </c>
      <c r="AB493" s="1">
        <v>1</v>
      </c>
      <c r="AC493" s="1">
        <v>1.1000000000000001</v>
      </c>
      <c r="AH493" s="1">
        <v>0</v>
      </c>
      <c r="AI493" s="1">
        <v>1</v>
      </c>
      <c r="AJ493" s="1" t="s">
        <v>2263</v>
      </c>
      <c r="AK493" s="1" t="s">
        <v>206</v>
      </c>
      <c r="AL493" s="1" t="s">
        <v>2259</v>
      </c>
      <c r="AN493" s="22" t="s">
        <v>9767</v>
      </c>
      <c r="AX493" s="1">
        <v>1</v>
      </c>
      <c r="AZ493" s="1">
        <v>0.25</v>
      </c>
      <c r="BG493" s="1" t="str">
        <f t="shared" si="213"/>
        <v>enemy_1148_dssbr_2</v>
      </c>
      <c r="BM493" s="1" t="s">
        <v>2250</v>
      </c>
      <c r="BN493" s="1" t="s">
        <v>2264</v>
      </c>
      <c r="BQ493" s="1" t="s">
        <v>207</v>
      </c>
      <c r="BR493" s="1" t="s">
        <v>208</v>
      </c>
      <c r="BS493" s="1" t="s">
        <v>229</v>
      </c>
      <c r="BT493" s="1" t="s">
        <v>210</v>
      </c>
      <c r="BX493" s="1">
        <v>1</v>
      </c>
    </row>
    <row r="494" spans="1:76" x14ac:dyDescent="0.25">
      <c r="A494" s="1" t="s">
        <v>2265</v>
      </c>
      <c r="B494" s="1" t="s">
        <v>203</v>
      </c>
      <c r="D494" s="1" t="s">
        <v>2266</v>
      </c>
      <c r="E494" s="1">
        <v>1149</v>
      </c>
      <c r="F494" s="1" t="str">
        <f t="shared" si="212"/>
        <v>enemy_1149_dsbow</v>
      </c>
      <c r="G494" s="1">
        <v>1</v>
      </c>
      <c r="L494" s="1">
        <v>4400</v>
      </c>
      <c r="N494" s="1">
        <v>280</v>
      </c>
      <c r="P494" s="1">
        <v>160</v>
      </c>
      <c r="R494" s="1">
        <v>20</v>
      </c>
      <c r="Z494" s="1">
        <v>0.05</v>
      </c>
      <c r="AA494" s="1">
        <v>3</v>
      </c>
      <c r="AB494" s="1">
        <v>1</v>
      </c>
      <c r="AC494" s="1">
        <v>0.75</v>
      </c>
      <c r="AH494" s="1">
        <v>0</v>
      </c>
      <c r="AI494" s="1">
        <v>1</v>
      </c>
      <c r="AJ494" s="1" t="s">
        <v>2267</v>
      </c>
      <c r="AK494" s="1" t="s">
        <v>206</v>
      </c>
      <c r="AL494" s="1" t="s">
        <v>2268</v>
      </c>
      <c r="AN494" s="22" t="s">
        <v>9767</v>
      </c>
      <c r="AX494" s="1">
        <v>1</v>
      </c>
      <c r="AZ494" s="1">
        <v>0.25</v>
      </c>
      <c r="BG494" s="1" t="str">
        <f t="shared" si="213"/>
        <v>enemy_1149_dsbow</v>
      </c>
      <c r="BM494" s="1" t="s">
        <v>2269</v>
      </c>
      <c r="BN494" s="1" t="s">
        <v>2270</v>
      </c>
      <c r="BQ494" s="1" t="s">
        <v>207</v>
      </c>
      <c r="BR494" s="1" t="s">
        <v>208</v>
      </c>
      <c r="BS494" s="1" t="s">
        <v>229</v>
      </c>
      <c r="BT494" s="1" t="s">
        <v>210</v>
      </c>
      <c r="BX494" s="1">
        <v>1</v>
      </c>
    </row>
    <row r="495" spans="1:76" x14ac:dyDescent="0.25">
      <c r="A495" s="1" t="s">
        <v>2271</v>
      </c>
      <c r="B495" s="1" t="s">
        <v>203</v>
      </c>
      <c r="D495" s="1" t="s">
        <v>2272</v>
      </c>
      <c r="E495" s="1">
        <v>1149</v>
      </c>
      <c r="F495" s="1" t="str">
        <f t="shared" si="212"/>
        <v>enemy_1149_dsbow_2</v>
      </c>
      <c r="G495" s="1">
        <v>1</v>
      </c>
      <c r="L495" s="1">
        <v>5000</v>
      </c>
      <c r="N495" s="1">
        <v>320</v>
      </c>
      <c r="P495" s="1">
        <v>200</v>
      </c>
      <c r="R495" s="1">
        <v>20</v>
      </c>
      <c r="Z495" s="1">
        <v>0.05</v>
      </c>
      <c r="AA495" s="1">
        <v>3</v>
      </c>
      <c r="AB495" s="1">
        <v>1</v>
      </c>
      <c r="AC495" s="1">
        <v>0.75</v>
      </c>
      <c r="AH495" s="1">
        <v>0</v>
      </c>
      <c r="AI495" s="1">
        <v>1</v>
      </c>
      <c r="AJ495" s="1" t="s">
        <v>2273</v>
      </c>
      <c r="AK495" s="1" t="s">
        <v>206</v>
      </c>
      <c r="AL495" s="1" t="s">
        <v>2268</v>
      </c>
      <c r="AN495" s="22" t="s">
        <v>9767</v>
      </c>
      <c r="AX495" s="1">
        <v>1</v>
      </c>
      <c r="AZ495" s="1">
        <v>0.25</v>
      </c>
      <c r="BG495" s="1" t="str">
        <f t="shared" si="213"/>
        <v>enemy_1149_dsbow_2</v>
      </c>
      <c r="BM495" s="1" t="s">
        <v>2269</v>
      </c>
      <c r="BN495" s="1" t="s">
        <v>2274</v>
      </c>
      <c r="BQ495" s="1" t="s">
        <v>207</v>
      </c>
      <c r="BR495" s="1" t="s">
        <v>208</v>
      </c>
      <c r="BS495" s="1" t="s">
        <v>229</v>
      </c>
      <c r="BT495" s="1" t="s">
        <v>210</v>
      </c>
      <c r="BX495" s="1">
        <v>1</v>
      </c>
    </row>
    <row r="496" spans="1:76" x14ac:dyDescent="0.25">
      <c r="A496" s="1" t="s">
        <v>2275</v>
      </c>
      <c r="B496" s="1" t="s">
        <v>203</v>
      </c>
      <c r="D496" s="1" t="s">
        <v>2276</v>
      </c>
      <c r="E496" s="1">
        <v>1150</v>
      </c>
      <c r="F496" s="1" t="str">
        <f t="shared" si="212"/>
        <v>enemy_1150_dsjely</v>
      </c>
      <c r="G496" s="1">
        <v>1</v>
      </c>
      <c r="L496" s="1">
        <v>3000</v>
      </c>
      <c r="N496" s="1">
        <v>220</v>
      </c>
      <c r="P496" s="1">
        <v>200</v>
      </c>
      <c r="R496" s="1">
        <v>20</v>
      </c>
      <c r="Z496" s="1">
        <v>0.05</v>
      </c>
      <c r="AA496" s="1">
        <v>3</v>
      </c>
      <c r="AB496" s="1">
        <v>0</v>
      </c>
      <c r="AC496" s="1">
        <v>0.75</v>
      </c>
      <c r="AH496" s="1">
        <v>0</v>
      </c>
      <c r="AI496" s="1">
        <v>1</v>
      </c>
      <c r="AJ496" s="1" t="s">
        <v>2277</v>
      </c>
      <c r="AK496" s="1" t="s">
        <v>206</v>
      </c>
      <c r="AL496" s="1" t="s">
        <v>2278</v>
      </c>
      <c r="AN496" s="22" t="s">
        <v>9767</v>
      </c>
      <c r="AP496" s="1">
        <v>1</v>
      </c>
      <c r="AX496" s="1">
        <v>1</v>
      </c>
      <c r="AZ496" s="1">
        <v>0.25</v>
      </c>
      <c r="BG496" s="1" t="str">
        <f t="shared" si="213"/>
        <v>enemy_1150_dsjely</v>
      </c>
      <c r="BM496" s="1" t="s">
        <v>2269</v>
      </c>
      <c r="BN496" s="1" t="s">
        <v>2279</v>
      </c>
      <c r="BQ496" s="1" t="s">
        <v>207</v>
      </c>
      <c r="BR496" s="1" t="s">
        <v>208</v>
      </c>
      <c r="BS496" s="1" t="s">
        <v>229</v>
      </c>
      <c r="BT496" s="1" t="s">
        <v>210</v>
      </c>
      <c r="BX496" s="1">
        <v>1</v>
      </c>
    </row>
    <row r="497" spans="1:76" x14ac:dyDescent="0.25">
      <c r="A497" s="1" t="s">
        <v>2280</v>
      </c>
      <c r="B497" s="1" t="s">
        <v>203</v>
      </c>
      <c r="D497" s="1" t="s">
        <v>2281</v>
      </c>
      <c r="E497" s="1">
        <v>1150</v>
      </c>
      <c r="F497" s="1" t="str">
        <f t="shared" ref="F497:F560" si="214">"enemy_"&amp;E497&amp;"_"&amp;D497</f>
        <v>enemy_1150_dsjely_2</v>
      </c>
      <c r="G497" s="1">
        <v>1</v>
      </c>
      <c r="L497" s="1">
        <v>4000</v>
      </c>
      <c r="N497" s="1">
        <v>250</v>
      </c>
      <c r="P497" s="1">
        <v>250</v>
      </c>
      <c r="R497" s="1">
        <v>20</v>
      </c>
      <c r="Z497" s="1">
        <v>0.05</v>
      </c>
      <c r="AA497" s="1">
        <v>3</v>
      </c>
      <c r="AB497" s="1">
        <v>0</v>
      </c>
      <c r="AC497" s="1">
        <v>0.75</v>
      </c>
      <c r="AH497" s="1">
        <v>0</v>
      </c>
      <c r="AI497" s="1">
        <v>1</v>
      </c>
      <c r="AJ497" s="1" t="s">
        <v>2282</v>
      </c>
      <c r="AK497" s="1" t="s">
        <v>206</v>
      </c>
      <c r="AL497" s="1" t="s">
        <v>2278</v>
      </c>
      <c r="AN497" s="22" t="s">
        <v>9767</v>
      </c>
      <c r="AP497" s="1">
        <v>1</v>
      </c>
      <c r="AX497" s="1">
        <v>1</v>
      </c>
      <c r="AZ497" s="1">
        <v>0.25</v>
      </c>
      <c r="BG497" s="1" t="str">
        <f t="shared" ref="BG497:BG560" si="215">"enemy_"&amp;E497&amp;"_"&amp;D497</f>
        <v>enemy_1150_dsjely_2</v>
      </c>
      <c r="BM497" s="1" t="s">
        <v>2269</v>
      </c>
      <c r="BN497" s="1" t="s">
        <v>2283</v>
      </c>
      <c r="BQ497" s="1" t="s">
        <v>207</v>
      </c>
      <c r="BR497" s="1" t="s">
        <v>208</v>
      </c>
      <c r="BS497" s="1" t="s">
        <v>229</v>
      </c>
      <c r="BT497" s="1" t="s">
        <v>210</v>
      </c>
      <c r="BX497" s="1">
        <v>1</v>
      </c>
    </row>
    <row r="498" spans="1:76" x14ac:dyDescent="0.25">
      <c r="A498" s="1" t="s">
        <v>2284</v>
      </c>
      <c r="B498" s="1" t="s">
        <v>203</v>
      </c>
      <c r="D498" s="1" t="s">
        <v>2285</v>
      </c>
      <c r="E498" s="1">
        <v>1151</v>
      </c>
      <c r="F498" s="1" t="str">
        <f t="shared" si="214"/>
        <v>enemy_1151_dslntc</v>
      </c>
      <c r="G498" s="1">
        <v>1</v>
      </c>
      <c r="L498" s="1">
        <v>20000</v>
      </c>
      <c r="N498" s="1">
        <v>400</v>
      </c>
      <c r="P498" s="1">
        <v>800</v>
      </c>
      <c r="R498" s="1">
        <v>75</v>
      </c>
      <c r="Z498" s="1">
        <v>0.05</v>
      </c>
      <c r="AA498" s="1">
        <v>3</v>
      </c>
      <c r="AB498" s="1">
        <v>2</v>
      </c>
      <c r="AC498" s="1">
        <v>0.3</v>
      </c>
      <c r="AH498" s="1">
        <v>0</v>
      </c>
      <c r="AI498" s="1">
        <v>1</v>
      </c>
      <c r="AJ498" s="1" t="s">
        <v>2286</v>
      </c>
      <c r="AK498" s="1" t="s">
        <v>206</v>
      </c>
      <c r="AL498" s="1" t="s">
        <v>2287</v>
      </c>
      <c r="AN498" s="22" t="s">
        <v>9767</v>
      </c>
      <c r="AX498" s="1">
        <v>1</v>
      </c>
      <c r="AZ498" s="1">
        <v>0.25</v>
      </c>
      <c r="BG498" s="1" t="str">
        <f t="shared" si="215"/>
        <v>enemy_1151_dslntc</v>
      </c>
      <c r="BM498" s="1" t="s">
        <v>2288</v>
      </c>
      <c r="BN498" s="1" t="s">
        <v>2289</v>
      </c>
      <c r="BQ498" s="1" t="s">
        <v>207</v>
      </c>
      <c r="BR498" s="1" t="s">
        <v>208</v>
      </c>
      <c r="BS498" s="1" t="s">
        <v>229</v>
      </c>
      <c r="BT498" s="1" t="s">
        <v>210</v>
      </c>
      <c r="BX498" s="1">
        <v>1</v>
      </c>
    </row>
    <row r="499" spans="1:76" x14ac:dyDescent="0.25">
      <c r="A499" s="1" t="s">
        <v>2290</v>
      </c>
      <c r="B499" s="1" t="s">
        <v>203</v>
      </c>
      <c r="D499" s="1" t="s">
        <v>2291</v>
      </c>
      <c r="E499" s="1">
        <v>1151</v>
      </c>
      <c r="F499" s="1" t="str">
        <f t="shared" si="214"/>
        <v>enemy_1151_dslntc_2</v>
      </c>
      <c r="G499" s="1">
        <v>1</v>
      </c>
      <c r="L499" s="1">
        <v>25000</v>
      </c>
      <c r="N499" s="1">
        <v>500</v>
      </c>
      <c r="P499" s="1">
        <v>800</v>
      </c>
      <c r="R499" s="1">
        <v>75</v>
      </c>
      <c r="Z499" s="1">
        <v>0.05</v>
      </c>
      <c r="AA499" s="1">
        <v>2</v>
      </c>
      <c r="AB499" s="1">
        <v>2</v>
      </c>
      <c r="AC499" s="1">
        <v>0.3</v>
      </c>
      <c r="AH499" s="1">
        <v>0</v>
      </c>
      <c r="AI499" s="1">
        <v>1</v>
      </c>
      <c r="AJ499" s="1" t="s">
        <v>2292</v>
      </c>
      <c r="AK499" s="1" t="s">
        <v>206</v>
      </c>
      <c r="AL499" s="1" t="s">
        <v>2287</v>
      </c>
      <c r="AN499" s="22" t="s">
        <v>9767</v>
      </c>
      <c r="AX499" s="1">
        <v>1</v>
      </c>
      <c r="AZ499" s="1">
        <v>0.25</v>
      </c>
      <c r="BG499" s="1" t="str">
        <f t="shared" si="215"/>
        <v>enemy_1151_dslntc_2</v>
      </c>
      <c r="BM499" s="1" t="s">
        <v>2288</v>
      </c>
      <c r="BN499" s="1" t="s">
        <v>2289</v>
      </c>
      <c r="BQ499" s="1" t="s">
        <v>207</v>
      </c>
      <c r="BR499" s="1" t="s">
        <v>208</v>
      </c>
      <c r="BS499" s="1" t="s">
        <v>229</v>
      </c>
      <c r="BT499" s="1" t="s">
        <v>210</v>
      </c>
      <c r="BX499" s="1">
        <v>1</v>
      </c>
    </row>
    <row r="500" spans="1:76" x14ac:dyDescent="0.25">
      <c r="A500" s="1" t="s">
        <v>2293</v>
      </c>
      <c r="B500" s="1" t="s">
        <v>203</v>
      </c>
      <c r="D500" s="1" t="s">
        <v>2294</v>
      </c>
      <c r="E500" s="1">
        <v>1152</v>
      </c>
      <c r="F500" s="1" t="str">
        <f t="shared" si="214"/>
        <v>enemy_1152_dsurch</v>
      </c>
      <c r="G500" s="1">
        <v>1</v>
      </c>
      <c r="L500" s="1">
        <v>25000</v>
      </c>
      <c r="N500" s="1">
        <v>300</v>
      </c>
      <c r="P500" s="1">
        <v>0</v>
      </c>
      <c r="R500" s="1">
        <v>0</v>
      </c>
      <c r="Z500" s="1">
        <v>0.05</v>
      </c>
      <c r="AA500" s="1">
        <v>3</v>
      </c>
      <c r="AB500" s="1">
        <v>4</v>
      </c>
      <c r="AC500" s="1">
        <v>0.4</v>
      </c>
      <c r="AH500" s="1">
        <v>0</v>
      </c>
      <c r="AI500" s="1">
        <v>1</v>
      </c>
      <c r="AJ500" s="1" t="s">
        <v>2295</v>
      </c>
      <c r="AK500" s="1" t="s">
        <v>206</v>
      </c>
      <c r="AL500" s="1" t="s">
        <v>2296</v>
      </c>
      <c r="AN500" s="22" t="s">
        <v>9767</v>
      </c>
      <c r="AX500" s="1">
        <v>1</v>
      </c>
      <c r="AZ500" s="1">
        <v>0.25</v>
      </c>
      <c r="BG500" s="1" t="str">
        <f t="shared" si="215"/>
        <v>enemy_1152_dsurch</v>
      </c>
      <c r="BM500" s="1" t="s">
        <v>2297</v>
      </c>
      <c r="BN500" s="1" t="s">
        <v>2298</v>
      </c>
      <c r="BQ500" s="1" t="s">
        <v>207</v>
      </c>
      <c r="BR500" s="1" t="s">
        <v>208</v>
      </c>
      <c r="BS500" s="1" t="s">
        <v>229</v>
      </c>
      <c r="BT500" s="1" t="s">
        <v>210</v>
      </c>
      <c r="BX500" s="1">
        <v>1</v>
      </c>
    </row>
    <row r="501" spans="1:76" x14ac:dyDescent="0.25">
      <c r="A501" s="1" t="s">
        <v>2299</v>
      </c>
      <c r="B501" s="1" t="s">
        <v>203</v>
      </c>
      <c r="D501" s="1" t="s">
        <v>2300</v>
      </c>
      <c r="E501" s="1">
        <v>1152</v>
      </c>
      <c r="F501" s="1" t="str">
        <f t="shared" si="214"/>
        <v>enemy_1152_dsurch_2</v>
      </c>
      <c r="G501" s="1">
        <v>1</v>
      </c>
      <c r="L501" s="1">
        <v>35000</v>
      </c>
      <c r="N501" s="1">
        <v>400</v>
      </c>
      <c r="P501" s="1">
        <v>0</v>
      </c>
      <c r="R501" s="1">
        <v>0</v>
      </c>
      <c r="Z501" s="1">
        <v>0.05</v>
      </c>
      <c r="AA501" s="1">
        <v>3</v>
      </c>
      <c r="AB501" s="1">
        <v>4</v>
      </c>
      <c r="AC501" s="1">
        <v>0.4</v>
      </c>
      <c r="AH501" s="1">
        <v>0</v>
      </c>
      <c r="AI501" s="1">
        <v>1</v>
      </c>
      <c r="AJ501" s="1" t="s">
        <v>2301</v>
      </c>
      <c r="AK501" s="1" t="s">
        <v>206</v>
      </c>
      <c r="AL501" s="1" t="s">
        <v>2296</v>
      </c>
      <c r="AN501" s="22" t="s">
        <v>9767</v>
      </c>
      <c r="AX501" s="1">
        <v>1</v>
      </c>
      <c r="AZ501" s="1">
        <v>0.25</v>
      </c>
      <c r="BG501" s="1" t="str">
        <f t="shared" si="215"/>
        <v>enemy_1152_dsurch_2</v>
      </c>
      <c r="BM501" s="1" t="s">
        <v>2297</v>
      </c>
      <c r="BN501" s="1" t="s">
        <v>2302</v>
      </c>
      <c r="BQ501" s="1" t="s">
        <v>207</v>
      </c>
      <c r="BR501" s="1" t="s">
        <v>208</v>
      </c>
      <c r="BS501" s="1" t="s">
        <v>229</v>
      </c>
      <c r="BT501" s="1" t="s">
        <v>210</v>
      </c>
      <c r="BX501" s="1">
        <v>1</v>
      </c>
    </row>
    <row r="502" spans="1:76" x14ac:dyDescent="0.25">
      <c r="A502" s="1" t="s">
        <v>2303</v>
      </c>
      <c r="B502" s="1" t="s">
        <v>203</v>
      </c>
      <c r="D502" s="1" t="s">
        <v>2304</v>
      </c>
      <c r="E502" s="1">
        <v>1153</v>
      </c>
      <c r="F502" s="1" t="str">
        <f t="shared" si="214"/>
        <v>enemy_1153_dsexcu</v>
      </c>
      <c r="G502" s="1">
        <v>1</v>
      </c>
      <c r="L502" s="1">
        <v>9000</v>
      </c>
      <c r="N502" s="1">
        <v>550</v>
      </c>
      <c r="P502" s="1">
        <v>240</v>
      </c>
      <c r="R502" s="1">
        <v>20</v>
      </c>
      <c r="Z502" s="1">
        <v>0.05</v>
      </c>
      <c r="AA502" s="1">
        <v>3.5</v>
      </c>
      <c r="AB502" s="1">
        <v>3</v>
      </c>
      <c r="AC502" s="1">
        <v>0.75</v>
      </c>
      <c r="AH502" s="1">
        <v>0</v>
      </c>
      <c r="AI502" s="1">
        <v>1</v>
      </c>
      <c r="AJ502" s="1" t="s">
        <v>2305</v>
      </c>
      <c r="AK502" s="1" t="s">
        <v>206</v>
      </c>
      <c r="AL502" s="1" t="s">
        <v>2306</v>
      </c>
      <c r="AN502" s="22" t="s">
        <v>9767</v>
      </c>
      <c r="AX502" s="1">
        <v>1</v>
      </c>
      <c r="AZ502" s="1">
        <v>0.25</v>
      </c>
      <c r="BG502" s="1" t="str">
        <f t="shared" si="215"/>
        <v>enemy_1153_dsexcu</v>
      </c>
      <c r="BM502" s="1" t="s">
        <v>2307</v>
      </c>
      <c r="BN502" s="1" t="s">
        <v>2308</v>
      </c>
      <c r="BQ502" s="1" t="s">
        <v>207</v>
      </c>
      <c r="BR502" s="1" t="s">
        <v>208</v>
      </c>
      <c r="BS502" s="1" t="s">
        <v>229</v>
      </c>
      <c r="BT502" s="1" t="s">
        <v>210</v>
      </c>
      <c r="BX502" s="1">
        <v>1</v>
      </c>
    </row>
    <row r="503" spans="1:76" x14ac:dyDescent="0.25">
      <c r="A503" s="1" t="s">
        <v>2309</v>
      </c>
      <c r="B503" s="1" t="s">
        <v>203</v>
      </c>
      <c r="D503" s="1" t="s">
        <v>2310</v>
      </c>
      <c r="E503" s="1">
        <v>1153</v>
      </c>
      <c r="F503" s="1" t="str">
        <f t="shared" si="214"/>
        <v>enemy_1153_dsexcu_2</v>
      </c>
      <c r="G503" s="1">
        <v>1</v>
      </c>
      <c r="L503" s="1">
        <v>12500</v>
      </c>
      <c r="N503" s="1">
        <v>700</v>
      </c>
      <c r="P503" s="1">
        <v>240</v>
      </c>
      <c r="R503" s="1">
        <v>20</v>
      </c>
      <c r="Z503" s="1">
        <v>0.05</v>
      </c>
      <c r="AA503" s="1">
        <v>3.5</v>
      </c>
      <c r="AB503" s="1">
        <v>3</v>
      </c>
      <c r="AC503" s="1">
        <v>0.75</v>
      </c>
      <c r="AH503" s="1">
        <v>0</v>
      </c>
      <c r="AI503" s="1">
        <v>1</v>
      </c>
      <c r="AJ503" s="1" t="s">
        <v>2311</v>
      </c>
      <c r="AK503" s="1" t="s">
        <v>206</v>
      </c>
      <c r="AL503" s="1" t="s">
        <v>2306</v>
      </c>
      <c r="AN503" s="22" t="s">
        <v>9767</v>
      </c>
      <c r="AX503" s="1">
        <v>1</v>
      </c>
      <c r="AZ503" s="1">
        <v>0.25</v>
      </c>
      <c r="BG503" s="1" t="str">
        <f t="shared" si="215"/>
        <v>enemy_1153_dsexcu_2</v>
      </c>
      <c r="BM503" s="1" t="s">
        <v>2307</v>
      </c>
      <c r="BN503" s="1" t="s">
        <v>2312</v>
      </c>
      <c r="BQ503" s="1" t="s">
        <v>207</v>
      </c>
      <c r="BR503" s="1" t="s">
        <v>208</v>
      </c>
      <c r="BS503" s="1" t="s">
        <v>229</v>
      </c>
      <c r="BT503" s="1" t="s">
        <v>210</v>
      </c>
      <c r="BX503" s="1">
        <v>1</v>
      </c>
    </row>
    <row r="504" spans="1:76" x14ac:dyDescent="0.25">
      <c r="A504" s="1" t="s">
        <v>2313</v>
      </c>
      <c r="B504" s="1" t="s">
        <v>203</v>
      </c>
      <c r="C504" s="1">
        <v>1</v>
      </c>
      <c r="D504" s="1" t="s">
        <v>2314</v>
      </c>
      <c r="E504" s="1">
        <v>1154</v>
      </c>
      <c r="F504" s="1" t="str">
        <f t="shared" si="214"/>
        <v>enemy_1154_dsmant</v>
      </c>
      <c r="G504" s="1">
        <v>1</v>
      </c>
      <c r="L504" s="1">
        <v>21000</v>
      </c>
      <c r="N504" s="1">
        <v>600</v>
      </c>
      <c r="P504" s="1">
        <v>500</v>
      </c>
      <c r="R504" s="1">
        <v>20</v>
      </c>
      <c r="Z504" s="1">
        <v>0.05</v>
      </c>
      <c r="AA504" s="1">
        <v>3</v>
      </c>
      <c r="AB504" s="1">
        <v>4</v>
      </c>
      <c r="AC504" s="1">
        <v>0.8</v>
      </c>
      <c r="AH504" s="1">
        <v>0</v>
      </c>
      <c r="AI504" s="1">
        <v>1</v>
      </c>
      <c r="AJ504" s="1" t="s">
        <v>2315</v>
      </c>
      <c r="AK504" s="1" t="s">
        <v>206</v>
      </c>
      <c r="AL504" s="1" t="s">
        <v>2316</v>
      </c>
      <c r="AN504" s="22" t="s">
        <v>9767</v>
      </c>
      <c r="AX504" s="1">
        <v>1</v>
      </c>
      <c r="AZ504" s="1">
        <v>0.25</v>
      </c>
      <c r="BG504" s="1" t="str">
        <f t="shared" si="215"/>
        <v>enemy_1154_dsmant</v>
      </c>
      <c r="BM504" s="1" t="s">
        <v>2307</v>
      </c>
      <c r="BN504" s="1" t="s">
        <v>2317</v>
      </c>
      <c r="BQ504" s="1" t="s">
        <v>207</v>
      </c>
      <c r="BR504" s="1" t="s">
        <v>208</v>
      </c>
      <c r="BS504" s="1" t="s">
        <v>229</v>
      </c>
      <c r="BT504" s="1" t="s">
        <v>210</v>
      </c>
      <c r="BX504" s="1">
        <v>1</v>
      </c>
    </row>
    <row r="505" spans="1:76" x14ac:dyDescent="0.25">
      <c r="A505" s="1" t="s">
        <v>2318</v>
      </c>
      <c r="B505" s="1" t="s">
        <v>203</v>
      </c>
      <c r="C505" s="1">
        <v>1</v>
      </c>
      <c r="D505" s="1" t="s">
        <v>2319</v>
      </c>
      <c r="E505" s="1">
        <v>1155</v>
      </c>
      <c r="F505" s="1" t="str">
        <f t="shared" si="214"/>
        <v>enemy_1155_dsrobt</v>
      </c>
      <c r="G505" s="1">
        <v>1</v>
      </c>
      <c r="L505" s="1">
        <v>6000</v>
      </c>
      <c r="N505" s="1">
        <v>0</v>
      </c>
      <c r="P505" s="1">
        <v>0</v>
      </c>
      <c r="R505" s="1">
        <v>0</v>
      </c>
      <c r="Z505" s="1">
        <v>0.05</v>
      </c>
      <c r="AA505" s="1">
        <v>3</v>
      </c>
      <c r="AB505" s="1">
        <v>0</v>
      </c>
      <c r="AC505" s="1">
        <v>0.6</v>
      </c>
      <c r="AH505" s="1">
        <v>0</v>
      </c>
      <c r="AI505" s="1">
        <v>1</v>
      </c>
      <c r="AJ505" s="1" t="s">
        <v>2320</v>
      </c>
      <c r="AK505" s="1" t="s">
        <v>206</v>
      </c>
      <c r="AL505" s="1" t="s">
        <v>228</v>
      </c>
      <c r="AN505" s="22" t="s">
        <v>9767</v>
      </c>
      <c r="AX505" s="1">
        <v>1</v>
      </c>
      <c r="AZ505" s="1">
        <v>0.25</v>
      </c>
      <c r="BG505" s="1" t="str">
        <f t="shared" si="215"/>
        <v>enemy_1155_dsrobt</v>
      </c>
      <c r="BM505" s="1" t="s">
        <v>1017</v>
      </c>
      <c r="BN505" s="1" t="s">
        <v>2321</v>
      </c>
      <c r="BQ505" s="1" t="s">
        <v>207</v>
      </c>
      <c r="BR505" s="1" t="s">
        <v>208</v>
      </c>
      <c r="BS505" s="1" t="s">
        <v>229</v>
      </c>
      <c r="BT505" s="1" t="s">
        <v>210</v>
      </c>
      <c r="BX505" s="1">
        <v>1</v>
      </c>
    </row>
    <row r="506" spans="1:76" x14ac:dyDescent="0.25">
      <c r="A506" s="1" t="s">
        <v>2322</v>
      </c>
      <c r="B506" s="1" t="s">
        <v>203</v>
      </c>
      <c r="D506" s="1" t="s">
        <v>2323</v>
      </c>
      <c r="E506" s="1">
        <v>1521</v>
      </c>
      <c r="F506" s="1" t="str">
        <f t="shared" si="214"/>
        <v>enemy_1521_dslily</v>
      </c>
      <c r="G506" s="1">
        <v>1</v>
      </c>
      <c r="L506" s="1">
        <v>100000</v>
      </c>
      <c r="N506" s="1">
        <v>380</v>
      </c>
      <c r="P506" s="1">
        <v>500</v>
      </c>
      <c r="R506" s="1">
        <v>50</v>
      </c>
      <c r="Z506" s="1">
        <v>0.05</v>
      </c>
      <c r="AA506" s="1">
        <v>3.5</v>
      </c>
      <c r="AB506" s="1">
        <v>99</v>
      </c>
      <c r="AC506" s="1">
        <v>1</v>
      </c>
      <c r="AH506" s="1">
        <v>-2</v>
      </c>
      <c r="AI506" s="1">
        <v>1</v>
      </c>
      <c r="AJ506" s="1" t="s">
        <v>2324</v>
      </c>
      <c r="AK506" s="1" t="s">
        <v>206</v>
      </c>
      <c r="AL506" s="1" t="s">
        <v>2325</v>
      </c>
      <c r="AN506" s="22" t="s">
        <v>9767</v>
      </c>
      <c r="AX506" s="1">
        <v>1</v>
      </c>
      <c r="AZ506" s="1">
        <v>0.25</v>
      </c>
      <c r="BA506" s="1" t="s">
        <v>2326</v>
      </c>
      <c r="BG506" s="1" t="str">
        <f t="shared" si="215"/>
        <v>enemy_1521_dslily</v>
      </c>
      <c r="BM506" s="1" t="s">
        <v>2327</v>
      </c>
      <c r="BN506" s="1" t="s">
        <v>2328</v>
      </c>
      <c r="BQ506" s="1" t="s">
        <v>207</v>
      </c>
      <c r="BR506" s="1" t="s">
        <v>208</v>
      </c>
      <c r="BT506" s="1" t="s">
        <v>210</v>
      </c>
      <c r="BX506" s="1">
        <v>1</v>
      </c>
    </row>
    <row r="507" spans="1:76" x14ac:dyDescent="0.25">
      <c r="A507" s="1" t="s">
        <v>2329</v>
      </c>
      <c r="B507" s="1" t="s">
        <v>203</v>
      </c>
      <c r="C507" s="1">
        <v>1</v>
      </c>
      <c r="D507" s="1" t="s">
        <v>2330</v>
      </c>
      <c r="E507" s="1">
        <v>1156</v>
      </c>
      <c r="F507" s="1" t="str">
        <f t="shared" si="214"/>
        <v>enemy_1156_hymhr</v>
      </c>
      <c r="G507" s="1">
        <v>1</v>
      </c>
      <c r="L507" s="1">
        <v>40000</v>
      </c>
      <c r="N507" s="1">
        <v>500</v>
      </c>
      <c r="P507" s="1">
        <v>500</v>
      </c>
      <c r="R507" s="1">
        <v>60</v>
      </c>
      <c r="Z507" s="1">
        <v>0.05</v>
      </c>
      <c r="AA507" s="1">
        <v>1</v>
      </c>
      <c r="AB507" s="1">
        <v>4</v>
      </c>
      <c r="AC507" s="1">
        <v>1.2</v>
      </c>
      <c r="AH507" s="1">
        <v>0</v>
      </c>
      <c r="AI507" s="1">
        <v>1</v>
      </c>
      <c r="AJ507" s="1" t="s">
        <v>2331</v>
      </c>
      <c r="AK507" s="1" t="s">
        <v>206</v>
      </c>
      <c r="AL507" s="1" t="s">
        <v>228</v>
      </c>
      <c r="AN507" s="22" t="s">
        <v>9767</v>
      </c>
      <c r="AX507" s="1">
        <v>1</v>
      </c>
      <c r="AZ507" s="1">
        <v>0.25</v>
      </c>
      <c r="BG507" s="1" t="str">
        <f t="shared" si="215"/>
        <v>enemy_1156_hymhr</v>
      </c>
      <c r="BM507" s="1" t="s">
        <v>1739</v>
      </c>
      <c r="BN507" s="1" t="s">
        <v>2332</v>
      </c>
      <c r="BQ507" s="1" t="s">
        <v>207</v>
      </c>
      <c r="BR507" s="1" t="s">
        <v>208</v>
      </c>
      <c r="BS507" s="1" t="s">
        <v>229</v>
      </c>
      <c r="BT507" s="1" t="s">
        <v>210</v>
      </c>
      <c r="BX507" s="1">
        <v>1</v>
      </c>
    </row>
    <row r="508" spans="1:76" x14ac:dyDescent="0.25">
      <c r="A508" s="1" t="s">
        <v>2333</v>
      </c>
      <c r="B508" s="1" t="s">
        <v>203</v>
      </c>
      <c r="C508" s="1">
        <v>1</v>
      </c>
      <c r="D508" s="1" t="s">
        <v>2334</v>
      </c>
      <c r="E508" s="1">
        <v>1157</v>
      </c>
      <c r="F508" s="1" t="str">
        <f t="shared" si="214"/>
        <v>enemy_1157_hymwr</v>
      </c>
      <c r="G508" s="1">
        <v>1</v>
      </c>
      <c r="L508" s="1">
        <v>40000</v>
      </c>
      <c r="N508" s="1">
        <v>1200</v>
      </c>
      <c r="P508" s="1">
        <v>1000</v>
      </c>
      <c r="R508" s="1">
        <v>40</v>
      </c>
      <c r="Z508" s="1">
        <v>0.05</v>
      </c>
      <c r="AA508" s="1">
        <v>3</v>
      </c>
      <c r="AB508" s="1">
        <v>6</v>
      </c>
      <c r="AC508" s="1">
        <v>0.7</v>
      </c>
      <c r="AH508" s="1">
        <v>0</v>
      </c>
      <c r="AI508" s="1">
        <v>1</v>
      </c>
      <c r="AJ508" s="1" t="s">
        <v>2335</v>
      </c>
      <c r="AK508" s="1" t="s">
        <v>206</v>
      </c>
      <c r="AL508" s="1" t="s">
        <v>228</v>
      </c>
      <c r="AN508" s="22" t="s">
        <v>9767</v>
      </c>
      <c r="AX508" s="1">
        <v>1</v>
      </c>
      <c r="AZ508" s="1">
        <v>0.25</v>
      </c>
      <c r="BG508" s="1" t="str">
        <f t="shared" si="215"/>
        <v>enemy_1157_hymwr</v>
      </c>
      <c r="BM508" s="1" t="s">
        <v>1904</v>
      </c>
      <c r="BN508" s="1" t="s">
        <v>2336</v>
      </c>
      <c r="BQ508" s="1" t="s">
        <v>207</v>
      </c>
      <c r="BR508" s="1" t="s">
        <v>208</v>
      </c>
      <c r="BS508" s="1" t="s">
        <v>229</v>
      </c>
      <c r="BT508" s="1" t="s">
        <v>210</v>
      </c>
      <c r="BX508" s="1">
        <v>1</v>
      </c>
    </row>
    <row r="509" spans="1:76" x14ac:dyDescent="0.25">
      <c r="A509" s="1" t="s">
        <v>2337</v>
      </c>
      <c r="B509" s="1" t="s">
        <v>203</v>
      </c>
      <c r="C509" s="1">
        <v>1</v>
      </c>
      <c r="D509" s="1" t="s">
        <v>2338</v>
      </c>
      <c r="E509" s="1">
        <v>1158</v>
      </c>
      <c r="F509" s="1" t="str">
        <f t="shared" si="214"/>
        <v>enemy_1158_divman</v>
      </c>
      <c r="G509" s="1">
        <v>1</v>
      </c>
      <c r="L509" s="1">
        <v>3300</v>
      </c>
      <c r="N509" s="1">
        <v>240</v>
      </c>
      <c r="P509" s="1">
        <v>150</v>
      </c>
      <c r="R509" s="1">
        <v>20</v>
      </c>
      <c r="Z509" s="1">
        <v>0.05</v>
      </c>
      <c r="AA509" s="1">
        <v>2.7</v>
      </c>
      <c r="AB509" s="1">
        <v>1</v>
      </c>
      <c r="AC509" s="1">
        <v>0.9</v>
      </c>
      <c r="AH509" s="1">
        <v>0</v>
      </c>
      <c r="AI509" s="1">
        <v>1</v>
      </c>
      <c r="AJ509" s="1" t="s">
        <v>2339</v>
      </c>
      <c r="AK509" s="1" t="s">
        <v>206</v>
      </c>
      <c r="AL509" s="1" t="s">
        <v>228</v>
      </c>
      <c r="AN509" s="22" t="s">
        <v>9767</v>
      </c>
      <c r="AX509" s="1">
        <v>1</v>
      </c>
      <c r="AZ509" s="1">
        <v>0.25</v>
      </c>
      <c r="BG509" s="1" t="str">
        <f t="shared" si="215"/>
        <v>enemy_1158_divman</v>
      </c>
      <c r="BM509" s="1" t="s">
        <v>936</v>
      </c>
      <c r="BN509" s="1" t="s">
        <v>2340</v>
      </c>
      <c r="BQ509" s="1" t="s">
        <v>207</v>
      </c>
      <c r="BR509" s="1" t="s">
        <v>2341</v>
      </c>
      <c r="BS509" s="1" t="s">
        <v>2342</v>
      </c>
      <c r="BT509" s="1" t="s">
        <v>210</v>
      </c>
      <c r="BX509" s="1">
        <v>1</v>
      </c>
    </row>
    <row r="510" spans="1:76" x14ac:dyDescent="0.25">
      <c r="A510" s="1" t="s">
        <v>2343</v>
      </c>
      <c r="B510" s="1" t="s">
        <v>203</v>
      </c>
      <c r="C510" s="1">
        <v>1</v>
      </c>
      <c r="D510" s="1" t="s">
        <v>2344</v>
      </c>
      <c r="E510" s="1">
        <v>1158</v>
      </c>
      <c r="F510" s="1" t="str">
        <f t="shared" si="214"/>
        <v>enemy_1158_divman_2</v>
      </c>
      <c r="G510" s="1">
        <v>1</v>
      </c>
      <c r="L510" s="1">
        <v>4000</v>
      </c>
      <c r="N510" s="1">
        <v>320</v>
      </c>
      <c r="P510" s="1">
        <v>200</v>
      </c>
      <c r="R510" s="1">
        <v>20</v>
      </c>
      <c r="Z510" s="1">
        <v>0.05</v>
      </c>
      <c r="AA510" s="1">
        <v>2.7</v>
      </c>
      <c r="AB510" s="1">
        <v>1</v>
      </c>
      <c r="AC510" s="1">
        <v>0.9</v>
      </c>
      <c r="AH510" s="1">
        <v>0</v>
      </c>
      <c r="AI510" s="1">
        <v>1</v>
      </c>
      <c r="AJ510" s="1" t="s">
        <v>2345</v>
      </c>
      <c r="AK510" s="1" t="s">
        <v>206</v>
      </c>
      <c r="AL510" s="1" t="s">
        <v>228</v>
      </c>
      <c r="AN510" s="22" t="s">
        <v>9767</v>
      </c>
      <c r="AX510" s="1">
        <v>1</v>
      </c>
      <c r="AZ510" s="1">
        <v>0.25</v>
      </c>
      <c r="BG510" s="1" t="str">
        <f t="shared" si="215"/>
        <v>enemy_1158_divman_2</v>
      </c>
      <c r="BM510" s="1" t="s">
        <v>936</v>
      </c>
      <c r="BN510" s="1" t="s">
        <v>2340</v>
      </c>
      <c r="BQ510" s="1" t="s">
        <v>207</v>
      </c>
      <c r="BR510" s="1" t="s">
        <v>2341</v>
      </c>
      <c r="BS510" s="1" t="s">
        <v>2342</v>
      </c>
      <c r="BT510" s="1" t="s">
        <v>210</v>
      </c>
      <c r="BX510" s="1">
        <v>1</v>
      </c>
    </row>
    <row r="511" spans="1:76" x14ac:dyDescent="0.25">
      <c r="A511" s="1" t="s">
        <v>2346</v>
      </c>
      <c r="B511" s="1" t="s">
        <v>203</v>
      </c>
      <c r="C511" s="1">
        <v>1</v>
      </c>
      <c r="D511" s="1" t="s">
        <v>2347</v>
      </c>
      <c r="E511" s="1">
        <v>1159</v>
      </c>
      <c r="F511" s="1" t="str">
        <f t="shared" si="214"/>
        <v>enemy_1159_swfmob</v>
      </c>
      <c r="G511" s="1">
        <v>1</v>
      </c>
      <c r="L511" s="1">
        <v>2800</v>
      </c>
      <c r="N511" s="1">
        <v>280</v>
      </c>
      <c r="P511" s="1">
        <v>100</v>
      </c>
      <c r="R511" s="1">
        <v>0</v>
      </c>
      <c r="Z511" s="1">
        <v>0.05</v>
      </c>
      <c r="AA511" s="1">
        <v>2</v>
      </c>
      <c r="AB511" s="1">
        <v>1</v>
      </c>
      <c r="AC511" s="1">
        <v>1</v>
      </c>
      <c r="AH511" s="1">
        <v>0</v>
      </c>
      <c r="AI511" s="1">
        <v>1</v>
      </c>
      <c r="AJ511" s="1" t="s">
        <v>2348</v>
      </c>
      <c r="AK511" s="1" t="s">
        <v>206</v>
      </c>
      <c r="AL511" s="1" t="s">
        <v>228</v>
      </c>
      <c r="AN511" s="22" t="s">
        <v>9767</v>
      </c>
      <c r="AX511" s="1">
        <v>1</v>
      </c>
      <c r="AZ511" s="1">
        <v>0.25</v>
      </c>
      <c r="BG511" s="1" t="str">
        <f t="shared" si="215"/>
        <v>enemy_1159_swfmob</v>
      </c>
      <c r="BM511" s="1" t="s">
        <v>930</v>
      </c>
      <c r="BN511" s="1" t="s">
        <v>2349</v>
      </c>
      <c r="BQ511" s="1" t="s">
        <v>207</v>
      </c>
      <c r="BR511" s="1" t="s">
        <v>208</v>
      </c>
      <c r="BS511" s="1" t="s">
        <v>229</v>
      </c>
      <c r="BT511" s="1" t="s">
        <v>210</v>
      </c>
      <c r="BX511" s="1">
        <v>1</v>
      </c>
    </row>
    <row r="512" spans="1:76" x14ac:dyDescent="0.25">
      <c r="A512" s="1" t="s">
        <v>2350</v>
      </c>
      <c r="B512" s="1" t="s">
        <v>203</v>
      </c>
      <c r="C512" s="1">
        <v>1</v>
      </c>
      <c r="D512" s="1" t="s">
        <v>2351</v>
      </c>
      <c r="E512" s="1">
        <v>1159</v>
      </c>
      <c r="F512" s="1" t="str">
        <f t="shared" si="214"/>
        <v>enemy_1159_swfmob_2</v>
      </c>
      <c r="G512" s="1">
        <v>1</v>
      </c>
      <c r="L512" s="1">
        <v>3500</v>
      </c>
      <c r="N512" s="1">
        <v>360</v>
      </c>
      <c r="P512" s="1">
        <v>120</v>
      </c>
      <c r="R512" s="1">
        <v>0</v>
      </c>
      <c r="Z512" s="1">
        <v>0.05</v>
      </c>
      <c r="AA512" s="1">
        <v>2</v>
      </c>
      <c r="AB512" s="1">
        <v>1</v>
      </c>
      <c r="AC512" s="1">
        <v>1</v>
      </c>
      <c r="AH512" s="1">
        <v>0</v>
      </c>
      <c r="AI512" s="1">
        <v>1</v>
      </c>
      <c r="AJ512" s="1" t="s">
        <v>2352</v>
      </c>
      <c r="AK512" s="1" t="s">
        <v>206</v>
      </c>
      <c r="AL512" s="1" t="s">
        <v>228</v>
      </c>
      <c r="AN512" s="22" t="s">
        <v>9767</v>
      </c>
      <c r="AX512" s="1">
        <v>1</v>
      </c>
      <c r="AZ512" s="1">
        <v>0.25</v>
      </c>
      <c r="BG512" s="1" t="str">
        <f t="shared" si="215"/>
        <v>enemy_1159_swfmob_2</v>
      </c>
      <c r="BM512" s="1" t="s">
        <v>930</v>
      </c>
      <c r="BN512" s="1" t="s">
        <v>2353</v>
      </c>
      <c r="BQ512" s="1" t="s">
        <v>207</v>
      </c>
      <c r="BR512" s="1" t="s">
        <v>208</v>
      </c>
      <c r="BS512" s="1" t="s">
        <v>229</v>
      </c>
      <c r="BT512" s="1" t="s">
        <v>210</v>
      </c>
      <c r="BX512" s="1">
        <v>1</v>
      </c>
    </row>
    <row r="513" spans="1:76" x14ac:dyDescent="0.25">
      <c r="A513" s="1" t="s">
        <v>2354</v>
      </c>
      <c r="B513" s="1" t="s">
        <v>203</v>
      </c>
      <c r="C513" s="1">
        <v>1</v>
      </c>
      <c r="D513" s="1" t="s">
        <v>2355</v>
      </c>
      <c r="E513" s="1">
        <v>1160</v>
      </c>
      <c r="F513" s="1" t="str">
        <f t="shared" si="214"/>
        <v>enemy_1160_hvyslr</v>
      </c>
      <c r="G513" s="1">
        <v>1</v>
      </c>
      <c r="L513" s="1">
        <v>10000</v>
      </c>
      <c r="N513" s="1">
        <v>800</v>
      </c>
      <c r="P513" s="1">
        <v>800</v>
      </c>
      <c r="R513" s="1">
        <v>20</v>
      </c>
      <c r="Z513" s="1">
        <v>0.05</v>
      </c>
      <c r="AA513" s="1">
        <v>3.5</v>
      </c>
      <c r="AB513" s="1">
        <v>4</v>
      </c>
      <c r="AC513" s="1">
        <v>0.7</v>
      </c>
      <c r="AH513" s="1">
        <v>0</v>
      </c>
      <c r="AI513" s="1">
        <v>1</v>
      </c>
      <c r="AJ513" s="1" t="s">
        <v>2356</v>
      </c>
      <c r="AK513" s="1" t="s">
        <v>206</v>
      </c>
      <c r="AL513" s="1" t="s">
        <v>228</v>
      </c>
      <c r="AN513" s="22" t="s">
        <v>9767</v>
      </c>
      <c r="AX513" s="1">
        <v>1</v>
      </c>
      <c r="AZ513" s="1">
        <v>0.25</v>
      </c>
      <c r="BG513" s="1" t="str">
        <f t="shared" si="215"/>
        <v>enemy_1160_hvyslr</v>
      </c>
      <c r="BM513" s="1" t="s">
        <v>989</v>
      </c>
      <c r="BN513" s="1" t="s">
        <v>2357</v>
      </c>
      <c r="BQ513" s="1" t="s">
        <v>207</v>
      </c>
      <c r="BR513" s="1" t="s">
        <v>208</v>
      </c>
      <c r="BS513" s="1" t="s">
        <v>229</v>
      </c>
      <c r="BT513" s="1" t="s">
        <v>210</v>
      </c>
      <c r="BX513" s="1">
        <v>1</v>
      </c>
    </row>
    <row r="514" spans="1:76" x14ac:dyDescent="0.25">
      <c r="A514" s="1" t="s">
        <v>2358</v>
      </c>
      <c r="B514" s="1" t="s">
        <v>203</v>
      </c>
      <c r="C514" s="1">
        <v>1</v>
      </c>
      <c r="D514" s="1" t="s">
        <v>2359</v>
      </c>
      <c r="E514" s="1">
        <v>1160</v>
      </c>
      <c r="F514" s="1" t="str">
        <f t="shared" si="214"/>
        <v>enemy_1160_hvyslr_2</v>
      </c>
      <c r="G514" s="1">
        <v>1</v>
      </c>
      <c r="L514" s="1">
        <v>14000</v>
      </c>
      <c r="N514" s="1">
        <v>1000</v>
      </c>
      <c r="P514" s="1">
        <v>1000</v>
      </c>
      <c r="R514" s="1">
        <v>20</v>
      </c>
      <c r="Z514" s="1">
        <v>0.05</v>
      </c>
      <c r="AA514" s="1">
        <v>3.5</v>
      </c>
      <c r="AB514" s="1">
        <v>4</v>
      </c>
      <c r="AC514" s="1">
        <v>0.7</v>
      </c>
      <c r="AH514" s="1">
        <v>0</v>
      </c>
      <c r="AI514" s="1">
        <v>1</v>
      </c>
      <c r="AJ514" s="1" t="s">
        <v>2360</v>
      </c>
      <c r="AK514" s="1" t="s">
        <v>206</v>
      </c>
      <c r="AL514" s="1" t="s">
        <v>228</v>
      </c>
      <c r="AN514" s="22" t="s">
        <v>9767</v>
      </c>
      <c r="AX514" s="1">
        <v>1</v>
      </c>
      <c r="AZ514" s="1">
        <v>0.25</v>
      </c>
      <c r="BG514" s="1" t="str">
        <f t="shared" si="215"/>
        <v>enemy_1160_hvyslr_2</v>
      </c>
      <c r="BM514" s="1" t="s">
        <v>989</v>
      </c>
      <c r="BN514" s="1" t="s">
        <v>2361</v>
      </c>
      <c r="BQ514" s="1" t="s">
        <v>207</v>
      </c>
      <c r="BR514" s="1" t="s">
        <v>208</v>
      </c>
      <c r="BS514" s="1" t="s">
        <v>229</v>
      </c>
      <c r="BT514" s="1" t="s">
        <v>210</v>
      </c>
      <c r="BX514" s="1">
        <v>1</v>
      </c>
    </row>
    <row r="515" spans="1:76" x14ac:dyDescent="0.25">
      <c r="A515" s="1" t="s">
        <v>2362</v>
      </c>
      <c r="B515" s="1" t="s">
        <v>203</v>
      </c>
      <c r="C515" s="1">
        <v>1</v>
      </c>
      <c r="D515" s="1" t="s">
        <v>2363</v>
      </c>
      <c r="E515" s="1">
        <v>1161</v>
      </c>
      <c r="F515" s="1" t="str">
        <f t="shared" si="214"/>
        <v>enemy_1161_tidmag</v>
      </c>
      <c r="G515" s="1">
        <v>1</v>
      </c>
      <c r="L515" s="1">
        <v>6000</v>
      </c>
      <c r="N515" s="1">
        <v>200</v>
      </c>
      <c r="P515" s="1">
        <v>200</v>
      </c>
      <c r="R515" s="1">
        <v>60</v>
      </c>
      <c r="Z515" s="1">
        <v>0.05</v>
      </c>
      <c r="AA515" s="1">
        <v>2.5</v>
      </c>
      <c r="AB515" s="1">
        <v>2</v>
      </c>
      <c r="AC515" s="1">
        <v>0.7</v>
      </c>
      <c r="AH515" s="1">
        <v>0</v>
      </c>
      <c r="AI515" s="1">
        <v>1</v>
      </c>
      <c r="AJ515" s="1" t="s">
        <v>2364</v>
      </c>
      <c r="AK515" s="1" t="s">
        <v>206</v>
      </c>
      <c r="AL515" s="1" t="s">
        <v>228</v>
      </c>
      <c r="AN515" s="22" t="s">
        <v>9767</v>
      </c>
      <c r="AX515" s="1">
        <v>1</v>
      </c>
      <c r="AZ515" s="1">
        <v>0.25</v>
      </c>
      <c r="BG515" s="1" t="str">
        <f t="shared" si="215"/>
        <v>enemy_1161_tidmag</v>
      </c>
      <c r="BM515" s="1" t="s">
        <v>936</v>
      </c>
      <c r="BN515" s="1" t="s">
        <v>2365</v>
      </c>
      <c r="BQ515" s="1" t="s">
        <v>207</v>
      </c>
      <c r="BR515" s="1" t="s">
        <v>208</v>
      </c>
      <c r="BS515" s="1" t="s">
        <v>229</v>
      </c>
      <c r="BT515" s="1" t="s">
        <v>210</v>
      </c>
      <c r="BX515" s="1">
        <v>1</v>
      </c>
    </row>
    <row r="516" spans="1:76" x14ac:dyDescent="0.25">
      <c r="A516" s="1" t="s">
        <v>2366</v>
      </c>
      <c r="B516" s="1" t="s">
        <v>203</v>
      </c>
      <c r="C516" s="1">
        <v>1</v>
      </c>
      <c r="D516" s="1" t="s">
        <v>2367</v>
      </c>
      <c r="E516" s="1">
        <v>1161</v>
      </c>
      <c r="F516" s="1" t="str">
        <f t="shared" si="214"/>
        <v>enemy_1161_tidmag_2</v>
      </c>
      <c r="G516" s="1">
        <v>1</v>
      </c>
      <c r="L516" s="1">
        <v>8000</v>
      </c>
      <c r="N516" s="1">
        <v>260</v>
      </c>
      <c r="P516" s="1">
        <v>220</v>
      </c>
      <c r="R516" s="1">
        <v>60</v>
      </c>
      <c r="Z516" s="1">
        <v>0.05</v>
      </c>
      <c r="AA516" s="1">
        <v>2.5</v>
      </c>
      <c r="AB516" s="1">
        <v>2</v>
      </c>
      <c r="AC516" s="1">
        <v>0.7</v>
      </c>
      <c r="AH516" s="1">
        <v>0</v>
      </c>
      <c r="AI516" s="1">
        <v>1</v>
      </c>
      <c r="AJ516" s="1" t="s">
        <v>2368</v>
      </c>
      <c r="AK516" s="1" t="s">
        <v>206</v>
      </c>
      <c r="AL516" s="1" t="s">
        <v>228</v>
      </c>
      <c r="AN516" s="22" t="s">
        <v>9767</v>
      </c>
      <c r="AX516" s="1">
        <v>1</v>
      </c>
      <c r="AZ516" s="1">
        <v>0.25</v>
      </c>
      <c r="BG516" s="1" t="str">
        <f t="shared" si="215"/>
        <v>enemy_1161_tidmag_2</v>
      </c>
      <c r="BM516" s="1" t="s">
        <v>936</v>
      </c>
      <c r="BN516" s="1" t="s">
        <v>2369</v>
      </c>
      <c r="BQ516" s="1" t="s">
        <v>207</v>
      </c>
      <c r="BR516" s="1" t="s">
        <v>208</v>
      </c>
      <c r="BS516" s="1" t="s">
        <v>229</v>
      </c>
      <c r="BT516" s="1" t="s">
        <v>210</v>
      </c>
      <c r="BX516" s="1">
        <v>1</v>
      </c>
    </row>
    <row r="517" spans="1:76" x14ac:dyDescent="0.25">
      <c r="A517" s="1" t="s">
        <v>2370</v>
      </c>
      <c r="B517" s="1" t="s">
        <v>203</v>
      </c>
      <c r="C517" s="1">
        <v>1</v>
      </c>
      <c r="D517" s="1" t="s">
        <v>2371</v>
      </c>
      <c r="E517" s="1">
        <v>1162</v>
      </c>
      <c r="F517" s="1" t="str">
        <f t="shared" si="214"/>
        <v>enemy_1162_magmot</v>
      </c>
      <c r="G517" s="1">
        <v>1</v>
      </c>
      <c r="L517" s="1">
        <v>12000</v>
      </c>
      <c r="N517" s="1">
        <v>300</v>
      </c>
      <c r="P517" s="1">
        <v>200</v>
      </c>
      <c r="R517" s="1">
        <v>0</v>
      </c>
      <c r="Z517" s="1">
        <v>0.05</v>
      </c>
      <c r="AA517" s="1">
        <v>3.5</v>
      </c>
      <c r="AB517" s="1">
        <v>4</v>
      </c>
      <c r="AC517" s="1">
        <v>1.1000000000000001</v>
      </c>
      <c r="AH517" s="1">
        <v>0</v>
      </c>
      <c r="AI517" s="1">
        <v>1</v>
      </c>
      <c r="AJ517" s="1" t="s">
        <v>2372</v>
      </c>
      <c r="AK517" s="1" t="s">
        <v>206</v>
      </c>
      <c r="AL517" s="1" t="s">
        <v>228</v>
      </c>
      <c r="AN517" s="22" t="s">
        <v>9767</v>
      </c>
      <c r="AX517" s="1">
        <v>1</v>
      </c>
      <c r="AZ517" s="1">
        <v>0.25</v>
      </c>
      <c r="BG517" s="1" t="str">
        <f t="shared" si="215"/>
        <v>enemy_1162_magmot</v>
      </c>
      <c r="BM517" s="1" t="s">
        <v>2373</v>
      </c>
      <c r="BN517" s="1" t="s">
        <v>2374</v>
      </c>
      <c r="BQ517" s="1" t="s">
        <v>207</v>
      </c>
      <c r="BR517" s="1" t="s">
        <v>208</v>
      </c>
      <c r="BS517" s="1" t="s">
        <v>229</v>
      </c>
      <c r="BT517" s="1" t="s">
        <v>210</v>
      </c>
      <c r="BX517" s="1">
        <v>1</v>
      </c>
    </row>
    <row r="518" spans="1:76" x14ac:dyDescent="0.25">
      <c r="A518" s="1" t="s">
        <v>2375</v>
      </c>
      <c r="B518" s="1" t="s">
        <v>203</v>
      </c>
      <c r="C518" s="1">
        <v>1</v>
      </c>
      <c r="D518" s="1" t="s">
        <v>2376</v>
      </c>
      <c r="E518" s="1">
        <v>1162</v>
      </c>
      <c r="F518" s="1" t="str">
        <f t="shared" si="214"/>
        <v>enemy_1162_magmot_2</v>
      </c>
      <c r="G518" s="1">
        <v>1</v>
      </c>
      <c r="L518" s="1">
        <v>16000</v>
      </c>
      <c r="N518" s="1">
        <v>380</v>
      </c>
      <c r="P518" s="1">
        <v>220</v>
      </c>
      <c r="R518" s="1">
        <v>0</v>
      </c>
      <c r="Z518" s="1">
        <v>0.05</v>
      </c>
      <c r="AA518" s="1">
        <v>3.5</v>
      </c>
      <c r="AB518" s="1">
        <v>4</v>
      </c>
      <c r="AC518" s="1">
        <v>1.1000000000000001</v>
      </c>
      <c r="AH518" s="1">
        <v>0</v>
      </c>
      <c r="AI518" s="1">
        <v>1</v>
      </c>
      <c r="AJ518" s="1" t="s">
        <v>2377</v>
      </c>
      <c r="AK518" s="1" t="s">
        <v>206</v>
      </c>
      <c r="AL518" s="1" t="s">
        <v>228</v>
      </c>
      <c r="AN518" s="22" t="s">
        <v>9767</v>
      </c>
      <c r="AX518" s="1">
        <v>1</v>
      </c>
      <c r="AZ518" s="1">
        <v>0.25</v>
      </c>
      <c r="BG518" s="1" t="str">
        <f t="shared" si="215"/>
        <v>enemy_1162_magmot_2</v>
      </c>
      <c r="BM518" s="1" t="s">
        <v>2373</v>
      </c>
      <c r="BN518" s="1" t="s">
        <v>2378</v>
      </c>
      <c r="BQ518" s="1" t="s">
        <v>207</v>
      </c>
      <c r="BR518" s="1" t="s">
        <v>208</v>
      </c>
      <c r="BS518" s="1" t="s">
        <v>229</v>
      </c>
      <c r="BT518" s="1" t="s">
        <v>210</v>
      </c>
      <c r="BX518" s="1">
        <v>1</v>
      </c>
    </row>
    <row r="519" spans="1:76" x14ac:dyDescent="0.25">
      <c r="A519" s="1" t="s">
        <v>2379</v>
      </c>
      <c r="B519" s="1" t="s">
        <v>203</v>
      </c>
      <c r="C519" s="1">
        <v>1</v>
      </c>
      <c r="D519" s="1" t="s">
        <v>2380</v>
      </c>
      <c r="E519" s="1">
        <v>1163</v>
      </c>
      <c r="F519" s="1" t="str">
        <f t="shared" si="214"/>
        <v>enemy_1163_hvymot</v>
      </c>
      <c r="G519" s="1">
        <v>1</v>
      </c>
      <c r="L519" s="1">
        <v>15000</v>
      </c>
      <c r="N519" s="1">
        <v>1000</v>
      </c>
      <c r="P519" s="1">
        <v>1000</v>
      </c>
      <c r="R519" s="1">
        <v>0</v>
      </c>
      <c r="Z519" s="1">
        <v>0.05</v>
      </c>
      <c r="AA519" s="1">
        <v>5</v>
      </c>
      <c r="AB519" s="1">
        <v>4</v>
      </c>
      <c r="AC519" s="1">
        <v>1.2</v>
      </c>
      <c r="AH519" s="1">
        <v>0</v>
      </c>
      <c r="AI519" s="1">
        <v>1</v>
      </c>
      <c r="AJ519" s="1" t="s">
        <v>2381</v>
      </c>
      <c r="AK519" s="1" t="s">
        <v>206</v>
      </c>
      <c r="AL519" s="1" t="s">
        <v>228</v>
      </c>
      <c r="AN519" s="22" t="s">
        <v>9767</v>
      </c>
      <c r="AX519" s="1">
        <v>1</v>
      </c>
      <c r="AZ519" s="1">
        <v>0.25</v>
      </c>
      <c r="BG519" s="1" t="str">
        <f t="shared" si="215"/>
        <v>enemy_1163_hvymot</v>
      </c>
      <c r="BM519" s="1" t="s">
        <v>2382</v>
      </c>
      <c r="BN519" s="1" t="s">
        <v>2383</v>
      </c>
      <c r="BQ519" s="1" t="s">
        <v>207</v>
      </c>
      <c r="BR519" s="1" t="s">
        <v>208</v>
      </c>
      <c r="BS519" s="1" t="s">
        <v>229</v>
      </c>
      <c r="BT519" s="1" t="s">
        <v>210</v>
      </c>
      <c r="BX519" s="1">
        <v>1</v>
      </c>
    </row>
    <row r="520" spans="1:76" x14ac:dyDescent="0.25">
      <c r="A520" s="1" t="s">
        <v>2384</v>
      </c>
      <c r="B520" s="1" t="s">
        <v>203</v>
      </c>
      <c r="C520" s="1">
        <v>1</v>
      </c>
      <c r="D520" s="1" t="s">
        <v>2385</v>
      </c>
      <c r="E520" s="1">
        <v>1163</v>
      </c>
      <c r="F520" s="1" t="str">
        <f t="shared" si="214"/>
        <v>enemy_1163_hvymot_2</v>
      </c>
      <c r="G520" s="1">
        <v>1</v>
      </c>
      <c r="L520" s="1">
        <v>20000</v>
      </c>
      <c r="N520" s="1">
        <v>1400</v>
      </c>
      <c r="P520" s="1">
        <v>1200</v>
      </c>
      <c r="R520" s="1">
        <v>0</v>
      </c>
      <c r="Z520" s="1">
        <v>0.05</v>
      </c>
      <c r="AA520" s="1">
        <v>5</v>
      </c>
      <c r="AB520" s="1">
        <v>4</v>
      </c>
      <c r="AC520" s="1">
        <v>1.2</v>
      </c>
      <c r="AH520" s="1">
        <v>0</v>
      </c>
      <c r="AI520" s="1">
        <v>1</v>
      </c>
      <c r="AJ520" s="1" t="s">
        <v>2386</v>
      </c>
      <c r="AK520" s="1" t="s">
        <v>206</v>
      </c>
      <c r="AL520" s="1" t="s">
        <v>228</v>
      </c>
      <c r="AN520" s="22" t="s">
        <v>9767</v>
      </c>
      <c r="AX520" s="1">
        <v>1</v>
      </c>
      <c r="AZ520" s="1">
        <v>0.25</v>
      </c>
      <c r="BG520" s="1" t="str">
        <f t="shared" si="215"/>
        <v>enemy_1163_hvymot_2</v>
      </c>
      <c r="BM520" s="1" t="s">
        <v>2382</v>
      </c>
      <c r="BN520" s="1" t="s">
        <v>2387</v>
      </c>
      <c r="BQ520" s="1" t="s">
        <v>207</v>
      </c>
      <c r="BR520" s="1" t="s">
        <v>208</v>
      </c>
      <c r="BS520" s="1" t="s">
        <v>229</v>
      </c>
      <c r="BT520" s="1" t="s">
        <v>210</v>
      </c>
      <c r="BX520" s="1">
        <v>1</v>
      </c>
    </row>
    <row r="521" spans="1:76" x14ac:dyDescent="0.25">
      <c r="A521" s="1" t="s">
        <v>2388</v>
      </c>
      <c r="B521" s="1" t="s">
        <v>203</v>
      </c>
      <c r="C521" s="1">
        <v>1</v>
      </c>
      <c r="D521" s="1" t="s">
        <v>2389</v>
      </c>
      <c r="E521" s="1">
        <v>1164</v>
      </c>
      <c r="F521" s="1" t="s">
        <v>2388</v>
      </c>
      <c r="G521" s="1">
        <v>1</v>
      </c>
      <c r="L521" s="1">
        <v>8000</v>
      </c>
      <c r="N521" s="1">
        <v>300</v>
      </c>
      <c r="P521" s="1">
        <v>300</v>
      </c>
      <c r="R521" s="1">
        <v>0</v>
      </c>
      <c r="Z521" s="1">
        <v>0.05</v>
      </c>
      <c r="AA521" s="1">
        <v>1</v>
      </c>
      <c r="AB521" s="1">
        <v>3</v>
      </c>
      <c r="AC521" s="1">
        <v>1.2</v>
      </c>
      <c r="AH521" s="1">
        <v>0</v>
      </c>
      <c r="AI521" s="1">
        <v>1</v>
      </c>
      <c r="AJ521" s="1" t="s">
        <v>2390</v>
      </c>
      <c r="AK521" s="1" t="s">
        <v>206</v>
      </c>
      <c r="AL521" s="1" t="s">
        <v>228</v>
      </c>
      <c r="AN521" s="22" t="s">
        <v>9767</v>
      </c>
      <c r="AX521" s="1">
        <v>1</v>
      </c>
      <c r="AZ521" s="1">
        <v>0.25</v>
      </c>
      <c r="BG521" s="1" t="str">
        <f t="shared" si="215"/>
        <v>enemy_1164_bmbmot</v>
      </c>
      <c r="BM521" s="1" t="s">
        <v>2100</v>
      </c>
      <c r="BN521" s="1" t="s">
        <v>2391</v>
      </c>
      <c r="BQ521" s="1" t="s">
        <v>207</v>
      </c>
      <c r="BR521" s="1" t="s">
        <v>208</v>
      </c>
      <c r="BS521" s="1" t="s">
        <v>229</v>
      </c>
      <c r="BT521" s="1" t="s">
        <v>210</v>
      </c>
      <c r="BX521" s="1">
        <v>1</v>
      </c>
    </row>
    <row r="522" spans="1:76" x14ac:dyDescent="0.25">
      <c r="A522" s="1" t="s">
        <v>2392</v>
      </c>
      <c r="B522" s="1" t="s">
        <v>203</v>
      </c>
      <c r="C522" s="1">
        <v>1</v>
      </c>
      <c r="D522" s="1" t="s">
        <v>2393</v>
      </c>
      <c r="E522" s="1">
        <v>1164</v>
      </c>
      <c r="F522" s="1" t="str">
        <f t="shared" si="214"/>
        <v>enemy_1164_bmbmot_2</v>
      </c>
      <c r="G522" s="1">
        <v>1</v>
      </c>
      <c r="L522" s="1">
        <v>10000</v>
      </c>
      <c r="N522" s="1">
        <v>400</v>
      </c>
      <c r="P522" s="1">
        <v>400</v>
      </c>
      <c r="R522" s="1">
        <v>0</v>
      </c>
      <c r="Z522" s="1">
        <v>0.05</v>
      </c>
      <c r="AA522" s="1">
        <v>1</v>
      </c>
      <c r="AB522" s="1">
        <v>3</v>
      </c>
      <c r="AC522" s="1">
        <v>1.2</v>
      </c>
      <c r="AH522" s="1">
        <v>0</v>
      </c>
      <c r="AI522" s="1">
        <v>1</v>
      </c>
      <c r="AJ522" s="1" t="s">
        <v>2394</v>
      </c>
      <c r="AK522" s="1" t="s">
        <v>206</v>
      </c>
      <c r="AL522" s="1" t="s">
        <v>228</v>
      </c>
      <c r="AN522" s="22" t="s">
        <v>9767</v>
      </c>
      <c r="AX522" s="1">
        <v>1</v>
      </c>
      <c r="AZ522" s="1">
        <v>0.25</v>
      </c>
      <c r="BG522" s="1" t="str">
        <f t="shared" si="215"/>
        <v>enemy_1164_bmbmot_2</v>
      </c>
      <c r="BM522" s="1" t="s">
        <v>2100</v>
      </c>
      <c r="BN522" s="1" t="s">
        <v>2395</v>
      </c>
      <c r="BQ522" s="1" t="s">
        <v>207</v>
      </c>
      <c r="BR522" s="1" t="s">
        <v>208</v>
      </c>
      <c r="BS522" s="1" t="s">
        <v>229</v>
      </c>
      <c r="BT522" s="1" t="s">
        <v>210</v>
      </c>
      <c r="BX522" s="1">
        <v>1</v>
      </c>
    </row>
    <row r="523" spans="1:76" x14ac:dyDescent="0.25">
      <c r="A523" s="1" t="s">
        <v>2396</v>
      </c>
      <c r="B523" s="1" t="s">
        <v>203</v>
      </c>
      <c r="C523" s="1">
        <v>1</v>
      </c>
      <c r="D523" s="1" t="s">
        <v>2397</v>
      </c>
      <c r="E523" s="1">
        <v>1164</v>
      </c>
      <c r="F523" s="1" t="str">
        <f t="shared" si="214"/>
        <v>enemy_1164_bmbmot_3</v>
      </c>
      <c r="G523" s="1">
        <v>1</v>
      </c>
      <c r="L523" s="1">
        <v>8000</v>
      </c>
      <c r="N523" s="1">
        <v>300</v>
      </c>
      <c r="P523" s="1">
        <v>300</v>
      </c>
      <c r="R523" s="1">
        <v>0</v>
      </c>
      <c r="Z523" s="1">
        <v>0.05</v>
      </c>
      <c r="AA523" s="1">
        <v>1</v>
      </c>
      <c r="AB523" s="1">
        <v>3</v>
      </c>
      <c r="AC523" s="1">
        <v>1.2</v>
      </c>
      <c r="AH523" s="1">
        <v>0</v>
      </c>
      <c r="AI523" s="1">
        <v>1</v>
      </c>
      <c r="AJ523" s="1" t="s">
        <v>2398</v>
      </c>
      <c r="AK523" s="1" t="s">
        <v>206</v>
      </c>
      <c r="AL523" s="1" t="s">
        <v>228</v>
      </c>
      <c r="AN523" s="22" t="s">
        <v>9767</v>
      </c>
      <c r="AX523" s="1">
        <v>1</v>
      </c>
      <c r="AZ523" s="1">
        <v>0.25</v>
      </c>
      <c r="BG523" s="1" t="str">
        <f t="shared" si="215"/>
        <v>enemy_1164_bmbmot_3</v>
      </c>
      <c r="BM523" s="1" t="s">
        <v>2100</v>
      </c>
      <c r="BN523" s="1" t="s">
        <v>2399</v>
      </c>
      <c r="BQ523" s="1" t="s">
        <v>207</v>
      </c>
      <c r="BR523" s="1" t="s">
        <v>208</v>
      </c>
      <c r="BS523" s="1" t="s">
        <v>229</v>
      </c>
      <c r="BT523" s="1" t="s">
        <v>210</v>
      </c>
      <c r="BX523" s="1">
        <v>1</v>
      </c>
    </row>
    <row r="524" spans="1:76" x14ac:dyDescent="0.25">
      <c r="A524" s="1" t="s">
        <v>2400</v>
      </c>
      <c r="B524" s="1" t="s">
        <v>203</v>
      </c>
      <c r="C524" s="1">
        <v>1</v>
      </c>
      <c r="D524" s="1" t="s">
        <v>2401</v>
      </c>
      <c r="E524" s="1">
        <v>3003</v>
      </c>
      <c r="F524" s="1" t="str">
        <f t="shared" si="214"/>
        <v>enemy_3003_alymot</v>
      </c>
      <c r="G524" s="1">
        <v>1</v>
      </c>
      <c r="L524" s="1">
        <v>2000</v>
      </c>
      <c r="N524" s="1">
        <v>100</v>
      </c>
      <c r="P524" s="1">
        <v>100</v>
      </c>
      <c r="R524" s="1">
        <v>0</v>
      </c>
      <c r="Z524" s="1">
        <v>0.05</v>
      </c>
      <c r="AA524" s="1">
        <v>1</v>
      </c>
      <c r="AB524" s="1">
        <v>4</v>
      </c>
      <c r="AC524" s="1">
        <v>0.65</v>
      </c>
      <c r="AH524" s="1">
        <v>1</v>
      </c>
      <c r="AI524" s="1">
        <v>1</v>
      </c>
      <c r="AJ524" s="1" t="s">
        <v>2402</v>
      </c>
      <c r="AK524" s="1" t="s">
        <v>206</v>
      </c>
      <c r="AL524" s="1" t="s">
        <v>228</v>
      </c>
      <c r="AN524" s="22" t="s">
        <v>9767</v>
      </c>
      <c r="AX524" s="1">
        <v>1</v>
      </c>
      <c r="AZ524" s="1">
        <v>0.25</v>
      </c>
      <c r="BG524" s="1" t="str">
        <f t="shared" si="215"/>
        <v>enemy_3003_alymot</v>
      </c>
      <c r="BM524" s="1" t="s">
        <v>1941</v>
      </c>
      <c r="BN524" s="1" t="s">
        <v>2403</v>
      </c>
      <c r="BQ524" s="1" t="s">
        <v>207</v>
      </c>
      <c r="BR524" s="1" t="s">
        <v>208</v>
      </c>
      <c r="BS524" s="1" t="s">
        <v>229</v>
      </c>
      <c r="BT524" s="1" t="s">
        <v>210</v>
      </c>
      <c r="BX524" s="1">
        <v>1</v>
      </c>
    </row>
    <row r="525" spans="1:76" x14ac:dyDescent="0.25">
      <c r="A525" s="1" t="s">
        <v>2404</v>
      </c>
      <c r="B525" s="1" t="s">
        <v>203</v>
      </c>
      <c r="C525" s="1">
        <v>1</v>
      </c>
      <c r="D525" s="1" t="s">
        <v>2405</v>
      </c>
      <c r="E525" s="1">
        <v>1522</v>
      </c>
      <c r="F525" s="1" t="str">
        <f t="shared" si="214"/>
        <v>enemy_1522_captan</v>
      </c>
      <c r="G525" s="1">
        <v>1</v>
      </c>
      <c r="L525" s="1">
        <v>27000</v>
      </c>
      <c r="N525" s="1">
        <v>1000</v>
      </c>
      <c r="P525" s="1">
        <v>750</v>
      </c>
      <c r="R525" s="1">
        <v>30</v>
      </c>
      <c r="Z525" s="1">
        <v>0.05</v>
      </c>
      <c r="AA525" s="1">
        <v>4</v>
      </c>
      <c r="AB525" s="1">
        <v>7</v>
      </c>
      <c r="AC525" s="1">
        <v>1</v>
      </c>
      <c r="AH525" s="1">
        <v>0</v>
      </c>
      <c r="AI525" s="1">
        <v>1</v>
      </c>
      <c r="AJ525" s="1" t="s">
        <v>2406</v>
      </c>
      <c r="AK525" s="1" t="s">
        <v>206</v>
      </c>
      <c r="AL525" s="1" t="s">
        <v>228</v>
      </c>
      <c r="AN525" s="22" t="s">
        <v>9767</v>
      </c>
      <c r="AX525" s="1">
        <v>1</v>
      </c>
      <c r="AZ525" s="1">
        <v>0.25</v>
      </c>
      <c r="BG525" s="1" t="str">
        <f t="shared" si="215"/>
        <v>enemy_1522_captan</v>
      </c>
      <c r="BM525" s="1" t="s">
        <v>1319</v>
      </c>
      <c r="BN525" s="1" t="s">
        <v>2407</v>
      </c>
      <c r="BQ525" s="1" t="s">
        <v>2010</v>
      </c>
      <c r="BR525" s="1" t="s">
        <v>2011</v>
      </c>
      <c r="BS525" s="1" t="s">
        <v>2012</v>
      </c>
      <c r="BT525" s="1" t="s">
        <v>2013</v>
      </c>
      <c r="BX525" s="1">
        <v>1</v>
      </c>
    </row>
    <row r="526" spans="1:76" x14ac:dyDescent="0.25">
      <c r="A526" s="1" t="s">
        <v>2408</v>
      </c>
      <c r="B526" s="1" t="s">
        <v>203</v>
      </c>
      <c r="C526" s="1">
        <v>1</v>
      </c>
      <c r="D526" s="1" t="s">
        <v>2409</v>
      </c>
      <c r="E526" s="1">
        <v>1165</v>
      </c>
      <c r="F526" s="1" t="str">
        <f t="shared" si="214"/>
        <v>enemy_1165_duhond</v>
      </c>
      <c r="G526" s="1">
        <v>1</v>
      </c>
      <c r="L526" s="1">
        <v>2800</v>
      </c>
      <c r="N526" s="1">
        <v>300</v>
      </c>
      <c r="P526" s="1">
        <v>0</v>
      </c>
      <c r="R526" s="1">
        <v>0</v>
      </c>
      <c r="Z526" s="1">
        <v>0.05</v>
      </c>
      <c r="AA526" s="1">
        <v>1.4</v>
      </c>
      <c r="AB526" s="1">
        <v>0</v>
      </c>
      <c r="AC526" s="1">
        <v>1.7</v>
      </c>
      <c r="AH526" s="1">
        <v>0</v>
      </c>
      <c r="AI526" s="1">
        <v>1</v>
      </c>
      <c r="AJ526" s="1" t="s">
        <v>2410</v>
      </c>
      <c r="AK526" s="1" t="s">
        <v>206</v>
      </c>
      <c r="AL526" s="1" t="s">
        <v>228</v>
      </c>
      <c r="AN526" s="22" t="s">
        <v>9767</v>
      </c>
      <c r="AX526" s="1">
        <v>1</v>
      </c>
      <c r="AZ526" s="1">
        <v>0.25</v>
      </c>
      <c r="BG526" s="1" t="str">
        <f t="shared" si="215"/>
        <v>enemy_1165_duhond</v>
      </c>
      <c r="BM526" s="1" t="s">
        <v>930</v>
      </c>
      <c r="BN526" s="1" t="s">
        <v>2411</v>
      </c>
      <c r="BQ526" s="1" t="s">
        <v>207</v>
      </c>
      <c r="BR526" s="1" t="s">
        <v>208</v>
      </c>
      <c r="BS526" s="1" t="s">
        <v>239</v>
      </c>
      <c r="BT526" s="1" t="s">
        <v>210</v>
      </c>
      <c r="BX526" s="1">
        <v>1</v>
      </c>
    </row>
    <row r="527" spans="1:76" x14ac:dyDescent="0.25">
      <c r="A527" s="1" t="s">
        <v>2412</v>
      </c>
      <c r="B527" s="1" t="s">
        <v>203</v>
      </c>
      <c r="C527" s="1">
        <v>1</v>
      </c>
      <c r="D527" s="1" t="s">
        <v>2413</v>
      </c>
      <c r="E527" s="1">
        <v>1165</v>
      </c>
      <c r="F527" s="1" t="str">
        <f t="shared" si="214"/>
        <v>enemy_1165_duhond_2</v>
      </c>
      <c r="G527" s="1">
        <v>1</v>
      </c>
      <c r="L527" s="1">
        <v>4000</v>
      </c>
      <c r="N527" s="1">
        <v>380</v>
      </c>
      <c r="P527" s="1">
        <v>0</v>
      </c>
      <c r="R527" s="1">
        <v>0</v>
      </c>
      <c r="Z527" s="1">
        <v>0.05</v>
      </c>
      <c r="AA527" s="1">
        <v>1.4</v>
      </c>
      <c r="AB527" s="1">
        <v>0</v>
      </c>
      <c r="AC527" s="1">
        <v>1.7</v>
      </c>
      <c r="AH527" s="1">
        <v>0</v>
      </c>
      <c r="AI527" s="1">
        <v>1</v>
      </c>
      <c r="AJ527" s="1" t="s">
        <v>2414</v>
      </c>
      <c r="AK527" s="1" t="s">
        <v>206</v>
      </c>
      <c r="AL527" s="1" t="s">
        <v>228</v>
      </c>
      <c r="AN527" s="22" t="s">
        <v>9767</v>
      </c>
      <c r="AX527" s="1">
        <v>1</v>
      </c>
      <c r="AZ527" s="1">
        <v>0.25</v>
      </c>
      <c r="BG527" s="1" t="str">
        <f t="shared" si="215"/>
        <v>enemy_1165_duhond_2</v>
      </c>
      <c r="BM527" s="1" t="s">
        <v>930</v>
      </c>
      <c r="BN527" s="1" t="s">
        <v>2415</v>
      </c>
      <c r="BQ527" s="1" t="s">
        <v>207</v>
      </c>
      <c r="BR527" s="1" t="s">
        <v>208</v>
      </c>
      <c r="BS527" s="1" t="s">
        <v>239</v>
      </c>
      <c r="BT527" s="1" t="s">
        <v>210</v>
      </c>
      <c r="BX527" s="1">
        <v>1</v>
      </c>
    </row>
    <row r="528" spans="1:76" x14ac:dyDescent="0.25">
      <c r="A528" s="1" t="s">
        <v>2416</v>
      </c>
      <c r="B528" s="1" t="s">
        <v>203</v>
      </c>
      <c r="C528" s="1">
        <v>1</v>
      </c>
      <c r="D528" s="1" t="s">
        <v>2417</v>
      </c>
      <c r="E528" s="1">
        <v>1166</v>
      </c>
      <c r="F528" s="1" t="str">
        <f t="shared" si="214"/>
        <v>enemy_1166_dusbr</v>
      </c>
      <c r="G528" s="1">
        <v>1</v>
      </c>
      <c r="L528" s="1">
        <v>3000</v>
      </c>
      <c r="N528" s="1">
        <v>280</v>
      </c>
      <c r="P528" s="1">
        <v>110</v>
      </c>
      <c r="R528" s="1">
        <v>0</v>
      </c>
      <c r="Z528" s="1">
        <v>0.05</v>
      </c>
      <c r="AA528" s="1">
        <v>2</v>
      </c>
      <c r="AB528" s="1">
        <v>1</v>
      </c>
      <c r="AC528" s="1">
        <v>1</v>
      </c>
      <c r="AH528" s="1">
        <v>0</v>
      </c>
      <c r="AI528" s="1">
        <v>1</v>
      </c>
      <c r="AJ528" s="1" t="s">
        <v>2418</v>
      </c>
      <c r="AK528" s="1" t="s">
        <v>206</v>
      </c>
      <c r="AL528" s="1" t="s">
        <v>228</v>
      </c>
      <c r="AN528" s="22" t="s">
        <v>9767</v>
      </c>
      <c r="AX528" s="1">
        <v>1</v>
      </c>
      <c r="AZ528" s="1">
        <v>0.25</v>
      </c>
      <c r="BG528" s="1" t="str">
        <f t="shared" si="215"/>
        <v>enemy_1166_dusbr</v>
      </c>
      <c r="BM528" s="1" t="s">
        <v>930</v>
      </c>
      <c r="BN528" s="1" t="s">
        <v>2419</v>
      </c>
      <c r="BQ528" s="1" t="s">
        <v>207</v>
      </c>
      <c r="BR528" s="1" t="s">
        <v>208</v>
      </c>
      <c r="BS528" s="1" t="s">
        <v>229</v>
      </c>
      <c r="BT528" s="1" t="s">
        <v>210</v>
      </c>
      <c r="BX528" s="1">
        <v>1</v>
      </c>
    </row>
    <row r="529" spans="1:76" x14ac:dyDescent="0.25">
      <c r="A529" s="1" t="s">
        <v>2420</v>
      </c>
      <c r="B529" s="1" t="s">
        <v>203</v>
      </c>
      <c r="C529" s="1">
        <v>1</v>
      </c>
      <c r="D529" s="1" t="s">
        <v>2421</v>
      </c>
      <c r="E529" s="1">
        <v>1166</v>
      </c>
      <c r="F529" s="1" t="str">
        <f t="shared" si="214"/>
        <v>enemy_1166_dusbr_2</v>
      </c>
      <c r="G529" s="1">
        <v>1</v>
      </c>
      <c r="L529" s="1">
        <v>4400</v>
      </c>
      <c r="N529" s="1">
        <v>380</v>
      </c>
      <c r="P529" s="1">
        <v>180</v>
      </c>
      <c r="R529" s="1">
        <v>0</v>
      </c>
      <c r="Z529" s="1">
        <v>0.05</v>
      </c>
      <c r="AA529" s="1">
        <v>2</v>
      </c>
      <c r="AB529" s="1">
        <v>1</v>
      </c>
      <c r="AC529" s="1">
        <v>1</v>
      </c>
      <c r="AH529" s="1">
        <v>0</v>
      </c>
      <c r="AI529" s="1">
        <v>1</v>
      </c>
      <c r="AJ529" s="1" t="s">
        <v>2422</v>
      </c>
      <c r="AK529" s="1" t="s">
        <v>206</v>
      </c>
      <c r="AL529" s="1" t="s">
        <v>228</v>
      </c>
      <c r="AN529" s="22" t="s">
        <v>9767</v>
      </c>
      <c r="AX529" s="1">
        <v>1</v>
      </c>
      <c r="AZ529" s="1">
        <v>0.25</v>
      </c>
      <c r="BG529" s="1" t="str">
        <f t="shared" si="215"/>
        <v>enemy_1166_dusbr_2</v>
      </c>
      <c r="BM529" s="1" t="s">
        <v>930</v>
      </c>
      <c r="BN529" s="1" t="s">
        <v>2423</v>
      </c>
      <c r="BQ529" s="1" t="s">
        <v>207</v>
      </c>
      <c r="BR529" s="1" t="s">
        <v>208</v>
      </c>
      <c r="BS529" s="1" t="s">
        <v>229</v>
      </c>
      <c r="BT529" s="1" t="s">
        <v>210</v>
      </c>
      <c r="BX529" s="1">
        <v>1</v>
      </c>
    </row>
    <row r="530" spans="1:76" x14ac:dyDescent="0.25">
      <c r="A530" s="1" t="s">
        <v>2424</v>
      </c>
      <c r="B530" s="1" t="s">
        <v>203</v>
      </c>
      <c r="C530" s="1">
        <v>1</v>
      </c>
      <c r="D530" s="1" t="s">
        <v>2425</v>
      </c>
      <c r="E530" s="1">
        <v>1167</v>
      </c>
      <c r="F530" s="1" t="str">
        <f t="shared" si="214"/>
        <v>enemy_1167_dubow</v>
      </c>
      <c r="G530" s="1">
        <v>1</v>
      </c>
      <c r="L530" s="1">
        <v>3800</v>
      </c>
      <c r="N530" s="1">
        <v>250</v>
      </c>
      <c r="P530" s="1">
        <v>150</v>
      </c>
      <c r="R530" s="1">
        <v>0</v>
      </c>
      <c r="Z530" s="1">
        <v>0.05</v>
      </c>
      <c r="AA530" s="1">
        <v>2.2999999999999998</v>
      </c>
      <c r="AB530" s="1">
        <v>1</v>
      </c>
      <c r="AC530" s="1">
        <v>1.1000000000000001</v>
      </c>
      <c r="AH530" s="1">
        <v>0</v>
      </c>
      <c r="AI530" s="1">
        <v>1</v>
      </c>
      <c r="AJ530" s="1" t="s">
        <v>2426</v>
      </c>
      <c r="AK530" s="1" t="s">
        <v>206</v>
      </c>
      <c r="AL530" s="1" t="s">
        <v>228</v>
      </c>
      <c r="AN530" s="22" t="s">
        <v>9767</v>
      </c>
      <c r="AX530" s="1">
        <v>1</v>
      </c>
      <c r="AZ530" s="1">
        <v>0.25</v>
      </c>
      <c r="BG530" s="1" t="str">
        <f t="shared" si="215"/>
        <v>enemy_1167_dubow</v>
      </c>
      <c r="BM530" s="1" t="s">
        <v>936</v>
      </c>
      <c r="BN530" s="1" t="s">
        <v>2427</v>
      </c>
      <c r="BQ530" s="1" t="s">
        <v>207</v>
      </c>
      <c r="BR530" s="1" t="s">
        <v>208</v>
      </c>
      <c r="BS530" s="1" t="s">
        <v>229</v>
      </c>
      <c r="BT530" s="1" t="s">
        <v>210</v>
      </c>
      <c r="BX530" s="1">
        <v>1</v>
      </c>
    </row>
    <row r="531" spans="1:76" x14ac:dyDescent="0.25">
      <c r="A531" s="1" t="s">
        <v>2428</v>
      </c>
      <c r="B531" s="1" t="s">
        <v>203</v>
      </c>
      <c r="C531" s="1">
        <v>1</v>
      </c>
      <c r="D531" s="1" t="s">
        <v>2429</v>
      </c>
      <c r="E531" s="1">
        <v>1167</v>
      </c>
      <c r="F531" s="1" t="str">
        <f t="shared" si="214"/>
        <v>enemy_1167_dubow_2</v>
      </c>
      <c r="G531" s="1">
        <v>1</v>
      </c>
      <c r="L531" s="1">
        <v>5000</v>
      </c>
      <c r="N531" s="1">
        <v>380</v>
      </c>
      <c r="P531" s="1">
        <v>150</v>
      </c>
      <c r="R531" s="1">
        <v>0</v>
      </c>
      <c r="Z531" s="1">
        <v>0.05</v>
      </c>
      <c r="AA531" s="1">
        <v>2.2999999999999998</v>
      </c>
      <c r="AB531" s="1">
        <v>1</v>
      </c>
      <c r="AC531" s="1">
        <v>1.1000000000000001</v>
      </c>
      <c r="AH531" s="1">
        <v>0</v>
      </c>
      <c r="AI531" s="1">
        <v>1</v>
      </c>
      <c r="AJ531" s="1" t="s">
        <v>2430</v>
      </c>
      <c r="AK531" s="1" t="s">
        <v>206</v>
      </c>
      <c r="AL531" s="1" t="s">
        <v>228</v>
      </c>
      <c r="AN531" s="22" t="s">
        <v>9767</v>
      </c>
      <c r="AX531" s="1">
        <v>1</v>
      </c>
      <c r="AZ531" s="1">
        <v>0.25</v>
      </c>
      <c r="BG531" s="1" t="str">
        <f t="shared" si="215"/>
        <v>enemy_1167_dubow_2</v>
      </c>
      <c r="BM531" s="1" t="s">
        <v>936</v>
      </c>
      <c r="BN531" s="1" t="s">
        <v>2431</v>
      </c>
      <c r="BQ531" s="1" t="s">
        <v>207</v>
      </c>
      <c r="BR531" s="1" t="s">
        <v>208</v>
      </c>
      <c r="BS531" s="1" t="s">
        <v>229</v>
      </c>
      <c r="BT531" s="1" t="s">
        <v>210</v>
      </c>
      <c r="BX531" s="1">
        <v>1</v>
      </c>
    </row>
    <row r="532" spans="1:76" x14ac:dyDescent="0.25">
      <c r="A532" s="1" t="s">
        <v>2432</v>
      </c>
      <c r="B532" s="1" t="s">
        <v>203</v>
      </c>
      <c r="C532" s="1">
        <v>1</v>
      </c>
      <c r="D532" s="1" t="s">
        <v>2433</v>
      </c>
      <c r="E532" s="1">
        <v>1168</v>
      </c>
      <c r="F532" s="1" t="str">
        <f t="shared" si="214"/>
        <v>enemy_1168_dumage</v>
      </c>
      <c r="G532" s="1">
        <v>1</v>
      </c>
      <c r="L532" s="1">
        <v>4500</v>
      </c>
      <c r="N532" s="1">
        <v>300</v>
      </c>
      <c r="P532" s="1">
        <v>150</v>
      </c>
      <c r="R532" s="1">
        <v>20</v>
      </c>
      <c r="Z532" s="1">
        <v>0.05</v>
      </c>
      <c r="AA532" s="1">
        <v>3</v>
      </c>
      <c r="AB532" s="1">
        <v>1</v>
      </c>
      <c r="AC532" s="1">
        <v>1.1000000000000001</v>
      </c>
      <c r="AH532" s="1">
        <v>0</v>
      </c>
      <c r="AI532" s="1">
        <v>1</v>
      </c>
      <c r="AJ532" s="1" t="s">
        <v>2434</v>
      </c>
      <c r="AK532" s="1" t="s">
        <v>206</v>
      </c>
      <c r="AL532" s="1" t="s">
        <v>228</v>
      </c>
      <c r="AN532" s="22" t="s">
        <v>9767</v>
      </c>
      <c r="AX532" s="1">
        <v>1</v>
      </c>
      <c r="AZ532" s="1">
        <v>0.25</v>
      </c>
      <c r="BG532" s="1" t="str">
        <f t="shared" si="215"/>
        <v>enemy_1168_dumage</v>
      </c>
      <c r="BM532" s="1" t="s">
        <v>936</v>
      </c>
      <c r="BN532" s="1" t="s">
        <v>2435</v>
      </c>
      <c r="BQ532" s="1" t="s">
        <v>207</v>
      </c>
      <c r="BR532" s="1" t="s">
        <v>208</v>
      </c>
      <c r="BS532" s="1" t="s">
        <v>229</v>
      </c>
      <c r="BT532" s="1" t="s">
        <v>210</v>
      </c>
      <c r="BX532" s="1">
        <v>1</v>
      </c>
    </row>
    <row r="533" spans="1:76" x14ac:dyDescent="0.25">
      <c r="A533" s="1" t="s">
        <v>2436</v>
      </c>
      <c r="B533" s="1" t="s">
        <v>203</v>
      </c>
      <c r="C533" s="1">
        <v>1</v>
      </c>
      <c r="D533" s="1" t="s">
        <v>2437</v>
      </c>
      <c r="E533" s="1">
        <v>1168</v>
      </c>
      <c r="F533" s="1" t="str">
        <f t="shared" si="214"/>
        <v>enemy_1168_dumage_2</v>
      </c>
      <c r="G533" s="1">
        <v>1</v>
      </c>
      <c r="L533" s="1">
        <v>6500</v>
      </c>
      <c r="N533" s="1">
        <v>460</v>
      </c>
      <c r="P533" s="1">
        <v>150</v>
      </c>
      <c r="R533" s="1">
        <v>20</v>
      </c>
      <c r="Z533" s="1">
        <v>0.05</v>
      </c>
      <c r="AA533" s="1">
        <v>3</v>
      </c>
      <c r="AB533" s="1">
        <v>1</v>
      </c>
      <c r="AC533" s="1">
        <v>1.1000000000000001</v>
      </c>
      <c r="AH533" s="1">
        <v>0</v>
      </c>
      <c r="AI533" s="1">
        <v>1</v>
      </c>
      <c r="AJ533" s="1" t="s">
        <v>2438</v>
      </c>
      <c r="AK533" s="1" t="s">
        <v>206</v>
      </c>
      <c r="AL533" s="1" t="s">
        <v>228</v>
      </c>
      <c r="AN533" s="22" t="s">
        <v>9767</v>
      </c>
      <c r="AX533" s="1">
        <v>1</v>
      </c>
      <c r="AZ533" s="1">
        <v>0.25</v>
      </c>
      <c r="BG533" s="1" t="str">
        <f t="shared" si="215"/>
        <v>enemy_1168_dumage_2</v>
      </c>
      <c r="BM533" s="1" t="s">
        <v>936</v>
      </c>
      <c r="BN533" s="1" t="s">
        <v>2439</v>
      </c>
      <c r="BQ533" s="1" t="s">
        <v>207</v>
      </c>
      <c r="BR533" s="1" t="s">
        <v>208</v>
      </c>
      <c r="BS533" s="1" t="s">
        <v>229</v>
      </c>
      <c r="BT533" s="1" t="s">
        <v>210</v>
      </c>
      <c r="BX533" s="1">
        <v>1</v>
      </c>
    </row>
    <row r="534" spans="1:76" x14ac:dyDescent="0.25">
      <c r="A534" s="1" t="s">
        <v>2440</v>
      </c>
      <c r="B534" s="1" t="s">
        <v>203</v>
      </c>
      <c r="C534" s="1">
        <v>1</v>
      </c>
      <c r="D534" s="1" t="s">
        <v>2441</v>
      </c>
      <c r="E534" s="1">
        <v>1169</v>
      </c>
      <c r="F534" s="1" t="str">
        <f t="shared" si="214"/>
        <v>enemy_1169_duphlx</v>
      </c>
      <c r="G534" s="1">
        <v>1</v>
      </c>
      <c r="L534" s="1">
        <v>4000</v>
      </c>
      <c r="N534" s="1">
        <v>300</v>
      </c>
      <c r="P534" s="1">
        <v>300</v>
      </c>
      <c r="R534" s="1">
        <v>0</v>
      </c>
      <c r="Z534" s="1">
        <v>0.05</v>
      </c>
      <c r="AA534" s="1">
        <v>2.5</v>
      </c>
      <c r="AB534" s="1">
        <v>2</v>
      </c>
      <c r="AC534" s="1">
        <v>1</v>
      </c>
      <c r="AH534" s="1">
        <v>0</v>
      </c>
      <c r="AI534" s="1">
        <v>1</v>
      </c>
      <c r="AJ534" s="1" t="s">
        <v>2442</v>
      </c>
      <c r="AK534" s="1" t="s">
        <v>206</v>
      </c>
      <c r="AL534" s="1" t="s">
        <v>228</v>
      </c>
      <c r="AN534" s="22" t="s">
        <v>9767</v>
      </c>
      <c r="AX534" s="1">
        <v>1</v>
      </c>
      <c r="AZ534" s="1">
        <v>0.25</v>
      </c>
      <c r="BG534" s="1" t="str">
        <f t="shared" si="215"/>
        <v>enemy_1169_duphlx</v>
      </c>
      <c r="BM534" s="1" t="s">
        <v>930</v>
      </c>
      <c r="BN534" s="1" t="s">
        <v>2443</v>
      </c>
      <c r="BQ534" s="1" t="s">
        <v>207</v>
      </c>
      <c r="BR534" s="1" t="s">
        <v>208</v>
      </c>
      <c r="BS534" s="1" t="s">
        <v>229</v>
      </c>
      <c r="BT534" s="1" t="s">
        <v>210</v>
      </c>
      <c r="BX534" s="1">
        <v>1</v>
      </c>
    </row>
    <row r="535" spans="1:76" x14ac:dyDescent="0.25">
      <c r="A535" s="1" t="s">
        <v>2444</v>
      </c>
      <c r="B535" s="1" t="s">
        <v>203</v>
      </c>
      <c r="C535" s="1">
        <v>1</v>
      </c>
      <c r="D535" s="1" t="s">
        <v>2445</v>
      </c>
      <c r="E535" s="1">
        <v>1169</v>
      </c>
      <c r="F535" s="1" t="str">
        <f t="shared" si="214"/>
        <v>enemy_1169_duphlx_2</v>
      </c>
      <c r="G535" s="1">
        <v>1</v>
      </c>
      <c r="L535" s="1">
        <v>6000</v>
      </c>
      <c r="N535" s="1">
        <v>450</v>
      </c>
      <c r="P535" s="1">
        <v>400</v>
      </c>
      <c r="R535" s="1">
        <v>0</v>
      </c>
      <c r="Z535" s="1">
        <v>0.05</v>
      </c>
      <c r="AA535" s="1">
        <v>2.5</v>
      </c>
      <c r="AB535" s="1">
        <v>2</v>
      </c>
      <c r="AC535" s="1">
        <v>1</v>
      </c>
      <c r="AH535" s="1">
        <v>0</v>
      </c>
      <c r="AI535" s="1">
        <v>1</v>
      </c>
      <c r="AJ535" s="1" t="s">
        <v>2446</v>
      </c>
      <c r="AK535" s="1" t="s">
        <v>206</v>
      </c>
      <c r="AL535" s="1" t="s">
        <v>228</v>
      </c>
      <c r="AN535" s="22" t="s">
        <v>9767</v>
      </c>
      <c r="AX535" s="1">
        <v>1</v>
      </c>
      <c r="AZ535" s="1">
        <v>0.25</v>
      </c>
      <c r="BG535" s="1" t="str">
        <f t="shared" si="215"/>
        <v>enemy_1169_duphlx_2</v>
      </c>
      <c r="BM535" s="1" t="s">
        <v>930</v>
      </c>
      <c r="BN535" s="1" t="s">
        <v>2447</v>
      </c>
      <c r="BQ535" s="1" t="s">
        <v>207</v>
      </c>
      <c r="BR535" s="1" t="s">
        <v>208</v>
      </c>
      <c r="BS535" s="1" t="s">
        <v>229</v>
      </c>
      <c r="BT535" s="1" t="s">
        <v>210</v>
      </c>
      <c r="BX535" s="1">
        <v>1</v>
      </c>
    </row>
    <row r="536" spans="1:76" x14ac:dyDescent="0.25">
      <c r="A536" s="1" t="s">
        <v>2448</v>
      </c>
      <c r="B536" s="1" t="s">
        <v>203</v>
      </c>
      <c r="C536" s="1">
        <v>1</v>
      </c>
      <c r="D536" s="1" t="s">
        <v>2449</v>
      </c>
      <c r="E536" s="1">
        <v>1170</v>
      </c>
      <c r="F536" s="1" t="str">
        <f t="shared" si="214"/>
        <v>enemy_1170_dushld</v>
      </c>
      <c r="G536" s="1">
        <v>1</v>
      </c>
      <c r="L536" s="1">
        <v>7000</v>
      </c>
      <c r="N536" s="1">
        <v>700</v>
      </c>
      <c r="P536" s="1">
        <v>750</v>
      </c>
      <c r="R536" s="1">
        <v>0</v>
      </c>
      <c r="Z536" s="1">
        <v>0.05</v>
      </c>
      <c r="AA536" s="1">
        <v>4</v>
      </c>
      <c r="AB536" s="1">
        <v>4</v>
      </c>
      <c r="AC536" s="1">
        <v>0.7</v>
      </c>
      <c r="AH536" s="1">
        <v>0</v>
      </c>
      <c r="AI536" s="1">
        <v>1</v>
      </c>
      <c r="AJ536" s="1" t="s">
        <v>2450</v>
      </c>
      <c r="AK536" s="1" t="s">
        <v>206</v>
      </c>
      <c r="AL536" s="1" t="s">
        <v>228</v>
      </c>
      <c r="AN536" s="22" t="s">
        <v>9767</v>
      </c>
      <c r="AX536" s="1">
        <v>1</v>
      </c>
      <c r="AZ536" s="1">
        <v>0.25</v>
      </c>
      <c r="BG536" s="1" t="str">
        <f t="shared" si="215"/>
        <v>enemy_1170_dushld</v>
      </c>
      <c r="BM536" s="1" t="s">
        <v>989</v>
      </c>
      <c r="BN536" s="1" t="s">
        <v>2451</v>
      </c>
      <c r="BQ536" s="1" t="s">
        <v>207</v>
      </c>
      <c r="BR536" s="1" t="s">
        <v>208</v>
      </c>
      <c r="BS536" s="1" t="s">
        <v>209</v>
      </c>
      <c r="BT536" s="1" t="s">
        <v>210</v>
      </c>
      <c r="BX536" s="1">
        <v>1</v>
      </c>
    </row>
    <row r="537" spans="1:76" x14ac:dyDescent="0.25">
      <c r="A537" s="1" t="s">
        <v>2452</v>
      </c>
      <c r="B537" s="1" t="s">
        <v>203</v>
      </c>
      <c r="C537" s="1">
        <v>1</v>
      </c>
      <c r="D537" s="1" t="s">
        <v>2453</v>
      </c>
      <c r="E537" s="1">
        <v>1170</v>
      </c>
      <c r="F537" s="1" t="str">
        <f t="shared" si="214"/>
        <v>enemy_1170_dushld_2</v>
      </c>
      <c r="G537" s="1">
        <v>1</v>
      </c>
      <c r="L537" s="1">
        <v>9000</v>
      </c>
      <c r="N537" s="1">
        <v>900</v>
      </c>
      <c r="P537" s="1">
        <v>1100</v>
      </c>
      <c r="R537" s="1">
        <v>0</v>
      </c>
      <c r="Z537" s="1">
        <v>0.05</v>
      </c>
      <c r="AA537" s="1">
        <v>4</v>
      </c>
      <c r="AB537" s="1">
        <v>4</v>
      </c>
      <c r="AC537" s="1">
        <v>0.7</v>
      </c>
      <c r="AH537" s="1">
        <v>0</v>
      </c>
      <c r="AI537" s="1">
        <v>1</v>
      </c>
      <c r="AJ537" s="1" t="s">
        <v>2454</v>
      </c>
      <c r="AK537" s="1" t="s">
        <v>206</v>
      </c>
      <c r="AL537" s="1" t="s">
        <v>228</v>
      </c>
      <c r="AN537" s="22" t="s">
        <v>9767</v>
      </c>
      <c r="AX537" s="1">
        <v>1</v>
      </c>
      <c r="AZ537" s="1">
        <v>0.25</v>
      </c>
      <c r="BG537" s="1" t="str">
        <f t="shared" si="215"/>
        <v>enemy_1170_dushld_2</v>
      </c>
      <c r="BM537" s="1" t="s">
        <v>989</v>
      </c>
      <c r="BN537" s="1" t="s">
        <v>2455</v>
      </c>
      <c r="BQ537" s="1" t="s">
        <v>207</v>
      </c>
      <c r="BR537" s="1" t="s">
        <v>208</v>
      </c>
      <c r="BS537" s="1" t="s">
        <v>209</v>
      </c>
      <c r="BT537" s="1" t="s">
        <v>210</v>
      </c>
      <c r="BX537" s="1">
        <v>1</v>
      </c>
    </row>
    <row r="538" spans="1:76" x14ac:dyDescent="0.25">
      <c r="A538" s="1" t="s">
        <v>2456</v>
      </c>
      <c r="B538" s="1" t="s">
        <v>203</v>
      </c>
      <c r="C538" s="1">
        <v>1</v>
      </c>
      <c r="D538" s="1" t="s">
        <v>2457</v>
      </c>
      <c r="E538" s="1">
        <v>1171</v>
      </c>
      <c r="F538" s="1" t="str">
        <f t="shared" si="214"/>
        <v>enemy_1171_durokt</v>
      </c>
      <c r="G538" s="1">
        <v>1</v>
      </c>
      <c r="L538" s="1">
        <v>6000</v>
      </c>
      <c r="N538" s="1">
        <v>400</v>
      </c>
      <c r="P538" s="1">
        <v>350</v>
      </c>
      <c r="R538" s="1">
        <v>0</v>
      </c>
      <c r="Z538" s="1">
        <v>0.05</v>
      </c>
      <c r="AA538" s="1">
        <v>3</v>
      </c>
      <c r="AB538" s="1">
        <v>2</v>
      </c>
      <c r="AC538" s="1">
        <v>0.8</v>
      </c>
      <c r="AH538" s="1">
        <v>0</v>
      </c>
      <c r="AI538" s="1">
        <v>1</v>
      </c>
      <c r="AJ538" s="1" t="s">
        <v>2458</v>
      </c>
      <c r="AK538" s="1" t="s">
        <v>206</v>
      </c>
      <c r="AL538" s="1" t="s">
        <v>228</v>
      </c>
      <c r="AN538" s="22" t="s">
        <v>9767</v>
      </c>
      <c r="AX538" s="1">
        <v>1</v>
      </c>
      <c r="AZ538" s="1">
        <v>0.25</v>
      </c>
      <c r="BG538" s="1" t="str">
        <f t="shared" si="215"/>
        <v>enemy_1171_durokt</v>
      </c>
      <c r="BM538" s="1" t="s">
        <v>936</v>
      </c>
      <c r="BN538" s="1" t="s">
        <v>2459</v>
      </c>
      <c r="BQ538" s="1" t="s">
        <v>207</v>
      </c>
      <c r="BR538" s="1" t="s">
        <v>2341</v>
      </c>
      <c r="BS538" s="1" t="s">
        <v>2342</v>
      </c>
      <c r="BT538" s="1" t="s">
        <v>210</v>
      </c>
      <c r="BX538" s="1">
        <v>1</v>
      </c>
    </row>
    <row r="539" spans="1:76" x14ac:dyDescent="0.25">
      <c r="A539" s="1" t="s">
        <v>2460</v>
      </c>
      <c r="B539" s="1" t="s">
        <v>203</v>
      </c>
      <c r="C539" s="1">
        <v>1</v>
      </c>
      <c r="D539" s="1" t="s">
        <v>2461</v>
      </c>
      <c r="E539" s="1">
        <v>1171</v>
      </c>
      <c r="F539" s="1" t="str">
        <f t="shared" si="214"/>
        <v>enemy_1171_durokt_2</v>
      </c>
      <c r="G539" s="1">
        <v>1</v>
      </c>
      <c r="L539" s="1">
        <v>8000</v>
      </c>
      <c r="N539" s="1">
        <v>550</v>
      </c>
      <c r="P539" s="1">
        <v>450</v>
      </c>
      <c r="R539" s="1">
        <v>0</v>
      </c>
      <c r="Z539" s="1">
        <v>0.05</v>
      </c>
      <c r="AA539" s="1">
        <v>3</v>
      </c>
      <c r="AB539" s="1">
        <v>2</v>
      </c>
      <c r="AC539" s="1">
        <v>0.8</v>
      </c>
      <c r="AH539" s="1">
        <v>0</v>
      </c>
      <c r="AI539" s="1">
        <v>1</v>
      </c>
      <c r="AJ539" s="1" t="s">
        <v>2462</v>
      </c>
      <c r="AK539" s="1" t="s">
        <v>206</v>
      </c>
      <c r="AL539" s="1" t="s">
        <v>228</v>
      </c>
      <c r="AN539" s="22" t="s">
        <v>9767</v>
      </c>
      <c r="AX539" s="1">
        <v>1</v>
      </c>
      <c r="AZ539" s="1">
        <v>0.25</v>
      </c>
      <c r="BG539" s="1" t="str">
        <f t="shared" si="215"/>
        <v>enemy_1171_durokt_2</v>
      </c>
      <c r="BM539" s="1" t="s">
        <v>936</v>
      </c>
      <c r="BN539" s="1" t="s">
        <v>2459</v>
      </c>
      <c r="BQ539" s="1" t="s">
        <v>207</v>
      </c>
      <c r="BR539" s="1" t="s">
        <v>2341</v>
      </c>
      <c r="BS539" s="1" t="s">
        <v>2342</v>
      </c>
      <c r="BT539" s="1" t="s">
        <v>210</v>
      </c>
      <c r="BX539" s="1">
        <v>1</v>
      </c>
    </row>
    <row r="540" spans="1:76" x14ac:dyDescent="0.25">
      <c r="A540" s="1" t="s">
        <v>2463</v>
      </c>
      <c r="B540" s="1" t="s">
        <v>203</v>
      </c>
      <c r="C540" s="1">
        <v>1</v>
      </c>
      <c r="D540" s="1" t="s">
        <v>2464</v>
      </c>
      <c r="E540" s="1">
        <v>1172</v>
      </c>
      <c r="F540" s="1" t="str">
        <f t="shared" si="214"/>
        <v>enemy_1172_dugago</v>
      </c>
      <c r="G540" s="1">
        <v>1</v>
      </c>
      <c r="L540" s="1">
        <v>10000</v>
      </c>
      <c r="N540" s="1">
        <v>550</v>
      </c>
      <c r="P540" s="1">
        <v>550</v>
      </c>
      <c r="R540" s="1">
        <v>0</v>
      </c>
      <c r="Z540" s="1">
        <v>0.05</v>
      </c>
      <c r="AA540" s="1">
        <v>4</v>
      </c>
      <c r="AB540" s="1">
        <v>4</v>
      </c>
      <c r="AC540" s="1">
        <v>0.5</v>
      </c>
      <c r="AH540" s="1">
        <v>0</v>
      </c>
      <c r="AI540" s="1">
        <v>1</v>
      </c>
      <c r="AJ540" s="1" t="s">
        <v>2465</v>
      </c>
      <c r="AK540" s="1" t="s">
        <v>206</v>
      </c>
      <c r="AL540" s="1" t="s">
        <v>228</v>
      </c>
      <c r="AN540" s="22" t="s">
        <v>9767</v>
      </c>
      <c r="AX540" s="1">
        <v>1</v>
      </c>
      <c r="AZ540" s="1">
        <v>0.25</v>
      </c>
      <c r="BG540" s="1" t="str">
        <f t="shared" si="215"/>
        <v>enemy_1172_dugago</v>
      </c>
      <c r="BM540" s="1" t="s">
        <v>2466</v>
      </c>
      <c r="BN540" s="1" t="s">
        <v>2467</v>
      </c>
      <c r="BQ540" s="1" t="s">
        <v>207</v>
      </c>
      <c r="BR540" s="1" t="s">
        <v>208</v>
      </c>
      <c r="BS540" s="1" t="s">
        <v>229</v>
      </c>
      <c r="BT540" s="1" t="s">
        <v>210</v>
      </c>
      <c r="BX540" s="1">
        <v>1</v>
      </c>
    </row>
    <row r="541" spans="1:76" x14ac:dyDescent="0.25">
      <c r="A541" s="1" t="s">
        <v>2468</v>
      </c>
      <c r="B541" s="1" t="s">
        <v>203</v>
      </c>
      <c r="C541" s="1">
        <v>1</v>
      </c>
      <c r="D541" s="1" t="s">
        <v>2469</v>
      </c>
      <c r="E541" s="1">
        <v>1172</v>
      </c>
      <c r="F541" s="1" t="str">
        <f t="shared" si="214"/>
        <v>enemy_1172_dugago_2</v>
      </c>
      <c r="G541" s="1">
        <v>1</v>
      </c>
      <c r="L541" s="1">
        <v>12000</v>
      </c>
      <c r="N541" s="1">
        <v>750</v>
      </c>
      <c r="P541" s="1">
        <v>750</v>
      </c>
      <c r="R541" s="1">
        <v>0</v>
      </c>
      <c r="Z541" s="1">
        <v>0.05</v>
      </c>
      <c r="AA541" s="1">
        <v>4</v>
      </c>
      <c r="AB541" s="1">
        <v>4</v>
      </c>
      <c r="AC541" s="1">
        <v>0.5</v>
      </c>
      <c r="AH541" s="1">
        <v>0</v>
      </c>
      <c r="AI541" s="1">
        <v>1</v>
      </c>
      <c r="AJ541" s="1" t="s">
        <v>2470</v>
      </c>
      <c r="AK541" s="1" t="s">
        <v>206</v>
      </c>
      <c r="AL541" s="1" t="s">
        <v>228</v>
      </c>
      <c r="AN541" s="22" t="s">
        <v>9767</v>
      </c>
      <c r="AX541" s="1">
        <v>1</v>
      </c>
      <c r="AZ541" s="1">
        <v>0.25</v>
      </c>
      <c r="BG541" s="1" t="str">
        <f t="shared" si="215"/>
        <v>enemy_1172_dugago_2</v>
      </c>
      <c r="BM541" s="1" t="s">
        <v>2466</v>
      </c>
      <c r="BN541" s="1" t="s">
        <v>2467</v>
      </c>
      <c r="BQ541" s="1" t="s">
        <v>207</v>
      </c>
      <c r="BR541" s="1" t="s">
        <v>208</v>
      </c>
      <c r="BS541" s="1" t="s">
        <v>229</v>
      </c>
      <c r="BT541" s="1" t="s">
        <v>210</v>
      </c>
      <c r="BX541" s="1">
        <v>1</v>
      </c>
    </row>
    <row r="542" spans="1:76" x14ac:dyDescent="0.25">
      <c r="A542" s="1" t="s">
        <v>2471</v>
      </c>
      <c r="B542" s="1" t="s">
        <v>203</v>
      </c>
      <c r="C542" s="1">
        <v>1</v>
      </c>
      <c r="D542" s="1" t="s">
        <v>2472</v>
      </c>
      <c r="E542" s="1">
        <v>1173</v>
      </c>
      <c r="F542" s="1" t="str">
        <f t="shared" si="214"/>
        <v>enemy_1173_duspfr</v>
      </c>
      <c r="G542" s="1">
        <v>1</v>
      </c>
      <c r="L542" s="1">
        <v>8000</v>
      </c>
      <c r="N542" s="1">
        <v>500</v>
      </c>
      <c r="P542" s="1">
        <v>400</v>
      </c>
      <c r="R542" s="1">
        <v>0</v>
      </c>
      <c r="Z542" s="1">
        <v>0.05</v>
      </c>
      <c r="AA542" s="1">
        <v>2</v>
      </c>
      <c r="AB542" s="1">
        <v>3</v>
      </c>
      <c r="AC542" s="1">
        <v>0.8</v>
      </c>
      <c r="AH542" s="1">
        <v>0</v>
      </c>
      <c r="AI542" s="1">
        <v>1</v>
      </c>
      <c r="AJ542" s="1" t="s">
        <v>2473</v>
      </c>
      <c r="AK542" s="1" t="s">
        <v>206</v>
      </c>
      <c r="AL542" s="1" t="s">
        <v>228</v>
      </c>
      <c r="AN542" s="22" t="s">
        <v>9767</v>
      </c>
      <c r="AX542" s="1">
        <v>1</v>
      </c>
      <c r="AZ542" s="1">
        <v>0.25</v>
      </c>
      <c r="BG542" s="1" t="str">
        <f t="shared" si="215"/>
        <v>enemy_1173_duspfr</v>
      </c>
      <c r="BM542" s="1" t="s">
        <v>957</v>
      </c>
      <c r="BN542" s="1" t="s">
        <v>2474</v>
      </c>
      <c r="BQ542" s="1" t="s">
        <v>207</v>
      </c>
      <c r="BR542" s="1" t="s">
        <v>208</v>
      </c>
      <c r="BS542" s="1" t="s">
        <v>229</v>
      </c>
      <c r="BT542" s="1" t="s">
        <v>210</v>
      </c>
      <c r="BX542" s="1">
        <v>1</v>
      </c>
    </row>
    <row r="543" spans="1:76" x14ac:dyDescent="0.25">
      <c r="A543" s="1" t="s">
        <v>2475</v>
      </c>
      <c r="B543" s="1" t="s">
        <v>203</v>
      </c>
      <c r="C543" s="1">
        <v>1</v>
      </c>
      <c r="D543" s="1" t="s">
        <v>2476</v>
      </c>
      <c r="E543" s="1">
        <v>1173</v>
      </c>
      <c r="F543" s="1" t="str">
        <f t="shared" si="214"/>
        <v>enemy_1173_duspfr_2</v>
      </c>
      <c r="G543" s="1">
        <v>1</v>
      </c>
      <c r="L543" s="1">
        <v>10000</v>
      </c>
      <c r="N543" s="1">
        <v>600</v>
      </c>
      <c r="P543" s="1">
        <v>550</v>
      </c>
      <c r="R543" s="1">
        <v>0</v>
      </c>
      <c r="Z543" s="1">
        <v>0.05</v>
      </c>
      <c r="AA543" s="1">
        <v>2</v>
      </c>
      <c r="AB543" s="1">
        <v>3</v>
      </c>
      <c r="AC543" s="1">
        <v>0.8</v>
      </c>
      <c r="AH543" s="1">
        <v>0</v>
      </c>
      <c r="AI543" s="1">
        <v>1</v>
      </c>
      <c r="AJ543" s="1" t="s">
        <v>2477</v>
      </c>
      <c r="AK543" s="1" t="s">
        <v>206</v>
      </c>
      <c r="AL543" s="1" t="s">
        <v>228</v>
      </c>
      <c r="AN543" s="22" t="s">
        <v>9767</v>
      </c>
      <c r="AX543" s="1">
        <v>1</v>
      </c>
      <c r="AZ543" s="1">
        <v>0.25</v>
      </c>
      <c r="BG543" s="1" t="str">
        <f t="shared" si="215"/>
        <v>enemy_1173_duspfr_2</v>
      </c>
      <c r="BM543" s="1" t="s">
        <v>957</v>
      </c>
      <c r="BN543" s="1" t="s">
        <v>2478</v>
      </c>
      <c r="BQ543" s="1" t="s">
        <v>207</v>
      </c>
      <c r="BR543" s="1" t="s">
        <v>208</v>
      </c>
      <c r="BS543" s="1" t="s">
        <v>229</v>
      </c>
      <c r="BT543" s="1" t="s">
        <v>210</v>
      </c>
      <c r="BX543" s="1">
        <v>1</v>
      </c>
    </row>
    <row r="544" spans="1:76" x14ac:dyDescent="0.25">
      <c r="A544" s="1" t="s">
        <v>2479</v>
      </c>
      <c r="B544" s="1" t="s">
        <v>203</v>
      </c>
      <c r="C544" s="1">
        <v>1</v>
      </c>
      <c r="D544" s="1" t="s">
        <v>2480</v>
      </c>
      <c r="E544" s="1">
        <v>1174</v>
      </c>
      <c r="F544" s="1" t="str">
        <f t="shared" si="214"/>
        <v>enemy_1174_duholy</v>
      </c>
      <c r="G544" s="1">
        <v>1</v>
      </c>
      <c r="L544" s="1">
        <v>15000</v>
      </c>
      <c r="N544" s="1">
        <v>900</v>
      </c>
      <c r="P544" s="1">
        <v>900</v>
      </c>
      <c r="R544" s="1">
        <v>0</v>
      </c>
      <c r="Z544" s="1">
        <v>0.05</v>
      </c>
      <c r="AA544" s="1">
        <v>4</v>
      </c>
      <c r="AB544" s="1">
        <v>5</v>
      </c>
      <c r="AC544" s="1">
        <v>0.8</v>
      </c>
      <c r="AH544" s="1">
        <v>1</v>
      </c>
      <c r="AI544" s="1">
        <v>1</v>
      </c>
      <c r="AJ544" s="1" t="s">
        <v>2481</v>
      </c>
      <c r="AK544" s="1" t="s">
        <v>206</v>
      </c>
      <c r="AL544" s="1" t="s">
        <v>228</v>
      </c>
      <c r="AN544" s="22" t="s">
        <v>9767</v>
      </c>
      <c r="AX544" s="1">
        <v>1</v>
      </c>
      <c r="AZ544" s="1">
        <v>0.25</v>
      </c>
      <c r="BG544" s="1" t="str">
        <f t="shared" si="215"/>
        <v>enemy_1174_duholy</v>
      </c>
      <c r="BM544" s="1" t="s">
        <v>2482</v>
      </c>
      <c r="BN544" s="1" t="s">
        <v>2483</v>
      </c>
      <c r="BQ544" s="1" t="s">
        <v>207</v>
      </c>
      <c r="BR544" s="1" t="s">
        <v>208</v>
      </c>
      <c r="BS544" s="1" t="s">
        <v>229</v>
      </c>
      <c r="BT544" s="1" t="s">
        <v>210</v>
      </c>
      <c r="BX544" s="1">
        <v>1</v>
      </c>
    </row>
    <row r="545" spans="1:76" x14ac:dyDescent="0.25">
      <c r="A545" s="1" t="s">
        <v>2484</v>
      </c>
      <c r="B545" s="1" t="s">
        <v>203</v>
      </c>
      <c r="C545" s="1">
        <v>1</v>
      </c>
      <c r="D545" s="1" t="s">
        <v>2485</v>
      </c>
      <c r="E545" s="1">
        <v>1174</v>
      </c>
      <c r="F545" s="1" t="str">
        <f t="shared" si="214"/>
        <v>enemy_1174_duholy_2</v>
      </c>
      <c r="G545" s="1">
        <v>1</v>
      </c>
      <c r="L545" s="1">
        <v>20000</v>
      </c>
      <c r="N545" s="1">
        <v>1100</v>
      </c>
      <c r="P545" s="1">
        <v>1000</v>
      </c>
      <c r="R545" s="1">
        <v>0</v>
      </c>
      <c r="Z545" s="1">
        <v>0.05</v>
      </c>
      <c r="AA545" s="1">
        <v>4</v>
      </c>
      <c r="AB545" s="1">
        <v>5</v>
      </c>
      <c r="AC545" s="1">
        <v>0.8</v>
      </c>
      <c r="AH545" s="1">
        <v>1</v>
      </c>
      <c r="AI545" s="1">
        <v>1</v>
      </c>
      <c r="AJ545" s="1" t="s">
        <v>2486</v>
      </c>
      <c r="AK545" s="1" t="s">
        <v>206</v>
      </c>
      <c r="AL545" s="1" t="s">
        <v>228</v>
      </c>
      <c r="AN545" s="22" t="s">
        <v>9767</v>
      </c>
      <c r="AX545" s="1">
        <v>1</v>
      </c>
      <c r="AZ545" s="1">
        <v>0.25</v>
      </c>
      <c r="BG545" s="1" t="str">
        <f t="shared" si="215"/>
        <v>enemy_1174_duholy_2</v>
      </c>
      <c r="BM545" s="1" t="s">
        <v>2482</v>
      </c>
      <c r="BN545" s="1" t="s">
        <v>2487</v>
      </c>
      <c r="BQ545" s="1" t="s">
        <v>207</v>
      </c>
      <c r="BR545" s="1" t="s">
        <v>208</v>
      </c>
      <c r="BS545" s="1" t="s">
        <v>229</v>
      </c>
      <c r="BT545" s="1" t="s">
        <v>210</v>
      </c>
      <c r="BX545" s="1">
        <v>1</v>
      </c>
    </row>
    <row r="546" spans="1:76" x14ac:dyDescent="0.25">
      <c r="A546" s="1" t="s">
        <v>2488</v>
      </c>
      <c r="B546" s="1" t="s">
        <v>203</v>
      </c>
      <c r="C546" s="1">
        <v>1</v>
      </c>
      <c r="D546" s="1" t="s">
        <v>2489</v>
      </c>
      <c r="E546" s="1">
        <v>1175</v>
      </c>
      <c r="F546" s="1" t="str">
        <f t="shared" si="214"/>
        <v>enemy_1175_dushdo</v>
      </c>
      <c r="G546" s="1">
        <v>1</v>
      </c>
      <c r="L546" s="1">
        <v>12000</v>
      </c>
      <c r="N546" s="1">
        <v>400</v>
      </c>
      <c r="P546" s="1">
        <v>350</v>
      </c>
      <c r="R546" s="1">
        <v>0</v>
      </c>
      <c r="Z546" s="1">
        <v>0.05</v>
      </c>
      <c r="AA546" s="1">
        <v>2.1</v>
      </c>
      <c r="AB546" s="1">
        <v>2</v>
      </c>
      <c r="AC546" s="1">
        <v>0.8</v>
      </c>
      <c r="AH546" s="1">
        <v>0</v>
      </c>
      <c r="AI546" s="1">
        <v>1</v>
      </c>
      <c r="AJ546" s="1" t="s">
        <v>2490</v>
      </c>
      <c r="AK546" s="1" t="s">
        <v>206</v>
      </c>
      <c r="AL546" s="1" t="s">
        <v>228</v>
      </c>
      <c r="AN546" s="22" t="s">
        <v>9767</v>
      </c>
      <c r="AX546" s="1">
        <v>1</v>
      </c>
      <c r="AZ546" s="1">
        <v>0.25</v>
      </c>
      <c r="BG546" s="1" t="str">
        <f t="shared" si="215"/>
        <v>enemy_1175_dushdo</v>
      </c>
      <c r="BM546" s="1" t="s">
        <v>2491</v>
      </c>
      <c r="BN546" s="1" t="s">
        <v>2492</v>
      </c>
      <c r="BQ546" s="1" t="s">
        <v>207</v>
      </c>
      <c r="BR546" s="1" t="s">
        <v>208</v>
      </c>
      <c r="BS546" s="1" t="s">
        <v>229</v>
      </c>
      <c r="BT546" s="1" t="s">
        <v>210</v>
      </c>
      <c r="BX546" s="1">
        <v>1</v>
      </c>
    </row>
    <row r="547" spans="1:76" x14ac:dyDescent="0.25">
      <c r="A547" s="1" t="s">
        <v>2493</v>
      </c>
      <c r="B547" s="1" t="s">
        <v>203</v>
      </c>
      <c r="C547" s="1">
        <v>1</v>
      </c>
      <c r="D547" s="1" t="s">
        <v>2494</v>
      </c>
      <c r="E547" s="1">
        <v>1175</v>
      </c>
      <c r="F547" s="1" t="str">
        <f t="shared" si="214"/>
        <v>enemy_1175_dushdo_2</v>
      </c>
      <c r="G547" s="1">
        <v>1</v>
      </c>
      <c r="L547" s="1">
        <v>15000</v>
      </c>
      <c r="N547" s="1">
        <v>580</v>
      </c>
      <c r="P547" s="1">
        <v>550</v>
      </c>
      <c r="R547" s="1">
        <v>0</v>
      </c>
      <c r="Z547" s="1">
        <v>0.05</v>
      </c>
      <c r="AA547" s="1">
        <v>2.1</v>
      </c>
      <c r="AB547" s="1">
        <v>2</v>
      </c>
      <c r="AC547" s="1">
        <v>0.8</v>
      </c>
      <c r="AH547" s="1">
        <v>0</v>
      </c>
      <c r="AI547" s="1">
        <v>1</v>
      </c>
      <c r="AJ547" s="1" t="s">
        <v>2495</v>
      </c>
      <c r="AK547" s="1" t="s">
        <v>206</v>
      </c>
      <c r="AL547" s="1" t="s">
        <v>228</v>
      </c>
      <c r="AN547" s="22" t="s">
        <v>9767</v>
      </c>
      <c r="AX547" s="1">
        <v>1</v>
      </c>
      <c r="AZ547" s="1">
        <v>0.25</v>
      </c>
      <c r="BG547" s="1" t="str">
        <f t="shared" si="215"/>
        <v>enemy_1175_dushdo_2</v>
      </c>
      <c r="BM547" s="1" t="s">
        <v>2491</v>
      </c>
      <c r="BN547" s="1" t="s">
        <v>2496</v>
      </c>
      <c r="BQ547" s="1" t="s">
        <v>207</v>
      </c>
      <c r="BR547" s="1" t="s">
        <v>208</v>
      </c>
      <c r="BS547" s="1" t="s">
        <v>229</v>
      </c>
      <c r="BT547" s="1" t="s">
        <v>210</v>
      </c>
      <c r="BX547" s="1">
        <v>1</v>
      </c>
    </row>
    <row r="548" spans="1:76" x14ac:dyDescent="0.25">
      <c r="A548" s="1" t="s">
        <v>2497</v>
      </c>
      <c r="B548" s="1" t="s">
        <v>203</v>
      </c>
      <c r="C548" s="1">
        <v>1</v>
      </c>
      <c r="D548" s="1" t="s">
        <v>2498</v>
      </c>
      <c r="E548" s="1">
        <v>1176</v>
      </c>
      <c r="F548" s="1" t="str">
        <f t="shared" si="214"/>
        <v>enemy_1176_dusocr</v>
      </c>
      <c r="G548" s="1">
        <v>1</v>
      </c>
      <c r="L548" s="1">
        <v>15000</v>
      </c>
      <c r="N548" s="1">
        <v>0</v>
      </c>
      <c r="P548" s="1">
        <v>450</v>
      </c>
      <c r="R548" s="1">
        <v>40</v>
      </c>
      <c r="Z548" s="1">
        <v>0.05</v>
      </c>
      <c r="AA548" s="1">
        <v>5</v>
      </c>
      <c r="AB548" s="1">
        <v>3</v>
      </c>
      <c r="AC548" s="1">
        <v>0.3</v>
      </c>
      <c r="AH548" s="1">
        <v>0</v>
      </c>
      <c r="AI548" s="1">
        <v>1</v>
      </c>
      <c r="AJ548" s="1" t="s">
        <v>2499</v>
      </c>
      <c r="AK548" s="1" t="s">
        <v>206</v>
      </c>
      <c r="AL548" s="1" t="s">
        <v>228</v>
      </c>
      <c r="AN548" s="22" t="s">
        <v>9767</v>
      </c>
      <c r="AX548" s="1">
        <v>1</v>
      </c>
      <c r="AZ548" s="1">
        <v>0.25</v>
      </c>
      <c r="BG548" s="1" t="str">
        <f t="shared" si="215"/>
        <v>enemy_1176_dusocr</v>
      </c>
      <c r="BM548" s="1" t="s">
        <v>1739</v>
      </c>
      <c r="BN548" s="1" t="s">
        <v>2500</v>
      </c>
      <c r="BQ548" s="1" t="s">
        <v>207</v>
      </c>
      <c r="BR548" s="1" t="s">
        <v>208</v>
      </c>
      <c r="BS548" s="1" t="s">
        <v>229</v>
      </c>
      <c r="BT548" s="1" t="s">
        <v>210</v>
      </c>
      <c r="BX548" s="1">
        <v>1</v>
      </c>
    </row>
    <row r="549" spans="1:76" x14ac:dyDescent="0.25">
      <c r="A549" s="1" t="s">
        <v>2501</v>
      </c>
      <c r="B549" s="1" t="s">
        <v>203</v>
      </c>
      <c r="C549" s="1">
        <v>1</v>
      </c>
      <c r="D549" s="1" t="s">
        <v>2502</v>
      </c>
      <c r="E549" s="1">
        <v>1176</v>
      </c>
      <c r="F549" s="1" t="str">
        <f t="shared" si="214"/>
        <v>enemy_1176_dusocr_2</v>
      </c>
      <c r="G549" s="1">
        <v>1</v>
      </c>
      <c r="L549" s="1">
        <v>20000</v>
      </c>
      <c r="N549" s="1">
        <v>0</v>
      </c>
      <c r="P549" s="1">
        <v>550</v>
      </c>
      <c r="R549" s="1">
        <v>50</v>
      </c>
      <c r="Z549" s="1">
        <v>0.05</v>
      </c>
      <c r="AA549" s="1">
        <v>5</v>
      </c>
      <c r="AB549" s="1">
        <v>3</v>
      </c>
      <c r="AC549" s="1">
        <v>0.3</v>
      </c>
      <c r="AH549" s="1">
        <v>0</v>
      </c>
      <c r="AI549" s="1">
        <v>1</v>
      </c>
      <c r="AJ549" s="1" t="s">
        <v>2503</v>
      </c>
      <c r="AK549" s="1" t="s">
        <v>206</v>
      </c>
      <c r="AL549" s="1" t="s">
        <v>228</v>
      </c>
      <c r="AN549" s="22" t="s">
        <v>9767</v>
      </c>
      <c r="AX549" s="1">
        <v>1</v>
      </c>
      <c r="AZ549" s="1">
        <v>0.25</v>
      </c>
      <c r="BG549" s="1" t="str">
        <f t="shared" si="215"/>
        <v>enemy_1176_dusocr_2</v>
      </c>
      <c r="BM549" s="1" t="s">
        <v>1739</v>
      </c>
      <c r="BN549" s="1" t="s">
        <v>2500</v>
      </c>
      <c r="BQ549" s="1" t="s">
        <v>207</v>
      </c>
      <c r="BR549" s="1" t="s">
        <v>208</v>
      </c>
      <c r="BS549" s="1" t="s">
        <v>229</v>
      </c>
      <c r="BT549" s="1" t="s">
        <v>210</v>
      </c>
      <c r="BX549" s="1">
        <v>1</v>
      </c>
    </row>
    <row r="550" spans="1:76" x14ac:dyDescent="0.25">
      <c r="A550" s="1" t="s">
        <v>2504</v>
      </c>
      <c r="B550" s="1" t="s">
        <v>203</v>
      </c>
      <c r="C550" s="1">
        <v>1</v>
      </c>
      <c r="D550" s="1" t="s">
        <v>2505</v>
      </c>
      <c r="E550" s="1">
        <v>1177</v>
      </c>
      <c r="F550" s="1" t="str">
        <f t="shared" si="214"/>
        <v>enemy_1177_dufrbl</v>
      </c>
      <c r="G550" s="1">
        <v>1</v>
      </c>
      <c r="L550" s="1">
        <v>100</v>
      </c>
      <c r="N550" s="1">
        <v>500</v>
      </c>
      <c r="P550" s="1">
        <v>0</v>
      </c>
      <c r="R550" s="1">
        <v>0</v>
      </c>
      <c r="Z550" s="1">
        <v>0.05</v>
      </c>
      <c r="AA550" s="1">
        <v>2</v>
      </c>
      <c r="AB550" s="1">
        <v>0</v>
      </c>
      <c r="AC550" s="1">
        <v>2.5</v>
      </c>
      <c r="AH550" s="1">
        <v>0</v>
      </c>
      <c r="AI550" s="1">
        <v>1</v>
      </c>
      <c r="AJ550" s="1" t="s">
        <v>2506</v>
      </c>
      <c r="AK550" s="1" t="s">
        <v>206</v>
      </c>
      <c r="AL550" s="1" t="s">
        <v>228</v>
      </c>
      <c r="AN550" s="22" t="s">
        <v>9767</v>
      </c>
      <c r="AX550" s="1">
        <v>1</v>
      </c>
      <c r="AZ550" s="1">
        <v>0.25</v>
      </c>
      <c r="BG550" s="1" t="str">
        <f t="shared" si="215"/>
        <v>enemy_1177_dufrbl</v>
      </c>
      <c r="BM550" s="1" t="s">
        <v>2507</v>
      </c>
      <c r="BQ550" s="1" t="s">
        <v>207</v>
      </c>
      <c r="BR550" s="1" t="s">
        <v>208</v>
      </c>
      <c r="BT550" s="1" t="s">
        <v>210</v>
      </c>
      <c r="BX550" s="1">
        <v>1</v>
      </c>
    </row>
    <row r="551" spans="1:76" x14ac:dyDescent="0.25">
      <c r="A551" s="1" t="s">
        <v>2508</v>
      </c>
      <c r="B551" s="1" t="s">
        <v>203</v>
      </c>
      <c r="C551" s="1">
        <v>1</v>
      </c>
      <c r="D551" s="1" t="s">
        <v>2509</v>
      </c>
      <c r="E551" s="1">
        <v>1177</v>
      </c>
      <c r="F551" s="1" t="str">
        <f t="shared" si="214"/>
        <v>enemy_1177_dufrbl_2</v>
      </c>
      <c r="G551" s="1">
        <v>1</v>
      </c>
      <c r="L551" s="1">
        <v>100</v>
      </c>
      <c r="N551" s="1">
        <v>600</v>
      </c>
      <c r="P551" s="1">
        <v>0</v>
      </c>
      <c r="R551" s="1">
        <v>0</v>
      </c>
      <c r="Z551" s="1">
        <v>0.05</v>
      </c>
      <c r="AA551" s="1">
        <v>2</v>
      </c>
      <c r="AB551" s="1">
        <v>0</v>
      </c>
      <c r="AC551" s="1">
        <v>2.5</v>
      </c>
      <c r="AH551" s="1">
        <v>0</v>
      </c>
      <c r="AI551" s="1">
        <v>1</v>
      </c>
      <c r="AJ551" s="1" t="s">
        <v>2506</v>
      </c>
      <c r="AK551" s="1" t="s">
        <v>206</v>
      </c>
      <c r="AL551" s="1" t="s">
        <v>228</v>
      </c>
      <c r="AN551" s="22" t="s">
        <v>9767</v>
      </c>
      <c r="AX551" s="1">
        <v>1</v>
      </c>
      <c r="AZ551" s="1">
        <v>0.25</v>
      </c>
      <c r="BG551" s="1" t="str">
        <f t="shared" si="215"/>
        <v>enemy_1177_dufrbl_2</v>
      </c>
      <c r="BM551" s="1" t="s">
        <v>2507</v>
      </c>
      <c r="BQ551" s="1" t="s">
        <v>207</v>
      </c>
      <c r="BR551" s="1" t="s">
        <v>208</v>
      </c>
      <c r="BT551" s="1" t="s">
        <v>210</v>
      </c>
      <c r="BX551" s="1">
        <v>1</v>
      </c>
    </row>
    <row r="552" spans="1:76" x14ac:dyDescent="0.25">
      <c r="A552" s="1" t="s">
        <v>2510</v>
      </c>
      <c r="B552" s="1" t="s">
        <v>203</v>
      </c>
      <c r="C552" s="1">
        <v>1</v>
      </c>
      <c r="D552" s="1" t="s">
        <v>2511</v>
      </c>
      <c r="E552" s="1">
        <v>1523</v>
      </c>
      <c r="F552" s="1" t="str">
        <f t="shared" si="214"/>
        <v>enemy_1523_mandra</v>
      </c>
      <c r="G552" s="1">
        <v>1</v>
      </c>
      <c r="L552" s="1">
        <v>50000</v>
      </c>
      <c r="N552" s="1">
        <v>640</v>
      </c>
      <c r="P552" s="1">
        <v>520</v>
      </c>
      <c r="R552" s="1">
        <v>35</v>
      </c>
      <c r="Z552" s="1">
        <v>0.05</v>
      </c>
      <c r="AA552" s="1">
        <v>1.8</v>
      </c>
      <c r="AB552" s="1">
        <v>7</v>
      </c>
      <c r="AC552" s="1">
        <v>0.4</v>
      </c>
      <c r="AH552" s="1">
        <v>0</v>
      </c>
      <c r="AI552" s="1">
        <v>1</v>
      </c>
      <c r="AJ552" s="1" t="s">
        <v>2512</v>
      </c>
      <c r="AK552" s="1" t="s">
        <v>206</v>
      </c>
      <c r="AL552" s="1" t="s">
        <v>228</v>
      </c>
      <c r="AN552" s="22" t="s">
        <v>9767</v>
      </c>
      <c r="AX552" s="1">
        <v>1</v>
      </c>
      <c r="AZ552" s="1">
        <v>0.25</v>
      </c>
      <c r="BG552" s="1" t="str">
        <f t="shared" si="215"/>
        <v>enemy_1523_mandra</v>
      </c>
      <c r="BM552" s="1" t="s">
        <v>1319</v>
      </c>
      <c r="BN552" s="1" t="s">
        <v>2513</v>
      </c>
      <c r="BQ552" s="1" t="s">
        <v>207</v>
      </c>
      <c r="BR552" s="1" t="s">
        <v>2011</v>
      </c>
      <c r="BS552" s="1" t="s">
        <v>2012</v>
      </c>
      <c r="BT552" s="1" t="s">
        <v>2514</v>
      </c>
      <c r="BX552" s="1">
        <v>1</v>
      </c>
    </row>
    <row r="553" spans="1:76" x14ac:dyDescent="0.25">
      <c r="A553" s="1" t="s">
        <v>2515</v>
      </c>
      <c r="B553" s="1" t="s">
        <v>203</v>
      </c>
      <c r="C553" s="1">
        <v>1</v>
      </c>
      <c r="D553" s="1" t="s">
        <v>2516</v>
      </c>
      <c r="E553" s="1">
        <v>1178</v>
      </c>
      <c r="F553" s="1" t="str">
        <f t="shared" si="214"/>
        <v>enemy_1178_dscorp</v>
      </c>
      <c r="G553" s="1">
        <v>1</v>
      </c>
      <c r="L553" s="1">
        <v>1800</v>
      </c>
      <c r="N553" s="1">
        <v>350</v>
      </c>
      <c r="P553" s="1">
        <v>300</v>
      </c>
      <c r="R553" s="1">
        <v>30</v>
      </c>
      <c r="Z553" s="1">
        <v>0.05</v>
      </c>
      <c r="AA553" s="1">
        <v>2.1</v>
      </c>
      <c r="AB553" s="1">
        <v>0</v>
      </c>
      <c r="AC553" s="1">
        <v>1.5</v>
      </c>
      <c r="AH553" s="1">
        <v>0</v>
      </c>
      <c r="AI553" s="1">
        <v>1</v>
      </c>
      <c r="AJ553" s="1" t="s">
        <v>2517</v>
      </c>
      <c r="AK553" s="1" t="s">
        <v>206</v>
      </c>
      <c r="AL553" s="1" t="s">
        <v>228</v>
      </c>
      <c r="AN553" s="22" t="s">
        <v>9767</v>
      </c>
      <c r="AX553" s="1">
        <v>1</v>
      </c>
      <c r="AZ553" s="1">
        <v>0.25</v>
      </c>
      <c r="BG553" s="1" t="str">
        <f t="shared" si="215"/>
        <v>enemy_1178_dscorp</v>
      </c>
      <c r="BM553" s="1" t="s">
        <v>888</v>
      </c>
      <c r="BN553" s="1" t="s">
        <v>2518</v>
      </c>
      <c r="BQ553" s="1" t="s">
        <v>207</v>
      </c>
      <c r="BR553" s="1" t="s">
        <v>208</v>
      </c>
      <c r="BS553" s="1" t="s">
        <v>229</v>
      </c>
      <c r="BT553" s="1" t="s">
        <v>210</v>
      </c>
      <c r="BX553" s="1">
        <v>1</v>
      </c>
    </row>
    <row r="554" spans="1:76" x14ac:dyDescent="0.25">
      <c r="A554" s="1" t="s">
        <v>2519</v>
      </c>
      <c r="B554" s="1" t="s">
        <v>203</v>
      </c>
      <c r="C554" s="1">
        <v>1</v>
      </c>
      <c r="D554" s="1" t="s">
        <v>2520</v>
      </c>
      <c r="E554" s="1">
        <v>1178</v>
      </c>
      <c r="F554" s="1" t="str">
        <f t="shared" si="214"/>
        <v>enemy_1178_dscorp_2</v>
      </c>
      <c r="G554" s="1">
        <v>1</v>
      </c>
      <c r="L554" s="1">
        <v>2800</v>
      </c>
      <c r="N554" s="1">
        <v>400</v>
      </c>
      <c r="P554" s="1">
        <v>400</v>
      </c>
      <c r="R554" s="1">
        <v>30</v>
      </c>
      <c r="Z554" s="1">
        <v>0.05</v>
      </c>
      <c r="AA554" s="1">
        <v>2.1</v>
      </c>
      <c r="AB554" s="1">
        <v>0</v>
      </c>
      <c r="AC554" s="1">
        <v>1.5</v>
      </c>
      <c r="AH554" s="1">
        <v>0</v>
      </c>
      <c r="AI554" s="1">
        <v>1</v>
      </c>
      <c r="AJ554" s="1" t="s">
        <v>2521</v>
      </c>
      <c r="AK554" s="1" t="s">
        <v>206</v>
      </c>
      <c r="AL554" s="1" t="s">
        <v>228</v>
      </c>
      <c r="AN554" s="22" t="s">
        <v>9767</v>
      </c>
      <c r="AX554" s="1">
        <v>1</v>
      </c>
      <c r="AZ554" s="1">
        <v>0.25</v>
      </c>
      <c r="BG554" s="1" t="str">
        <f t="shared" si="215"/>
        <v>enemy_1178_dscorp_2</v>
      </c>
      <c r="BM554" s="1" t="s">
        <v>888</v>
      </c>
      <c r="BN554" s="1" t="s">
        <v>2522</v>
      </c>
      <c r="BQ554" s="1" t="s">
        <v>207</v>
      </c>
      <c r="BR554" s="1" t="s">
        <v>208</v>
      </c>
      <c r="BS554" s="1" t="s">
        <v>229</v>
      </c>
      <c r="BT554" s="1" t="s">
        <v>210</v>
      </c>
      <c r="BX554" s="1">
        <v>1</v>
      </c>
    </row>
    <row r="555" spans="1:76" x14ac:dyDescent="0.25">
      <c r="A555" s="1" t="s">
        <v>2523</v>
      </c>
      <c r="B555" s="1" t="s">
        <v>203</v>
      </c>
      <c r="C555" s="1">
        <v>1</v>
      </c>
      <c r="D555" s="1" t="s">
        <v>2524</v>
      </c>
      <c r="E555" s="1">
        <v>1179</v>
      </c>
      <c r="F555" s="1" t="str">
        <f t="shared" si="214"/>
        <v>enemy_1179_aruarw</v>
      </c>
      <c r="G555" s="1">
        <v>1</v>
      </c>
      <c r="L555" s="1">
        <v>3000</v>
      </c>
      <c r="N555" s="1">
        <v>300</v>
      </c>
      <c r="P555" s="1">
        <v>100</v>
      </c>
      <c r="R555" s="1">
        <v>0</v>
      </c>
      <c r="Z555" s="1">
        <v>0.05</v>
      </c>
      <c r="AA555" s="1">
        <v>2.9</v>
      </c>
      <c r="AB555" s="1">
        <v>1</v>
      </c>
      <c r="AC555" s="1">
        <v>0.9</v>
      </c>
      <c r="AH555" s="1">
        <v>0</v>
      </c>
      <c r="AI555" s="1">
        <v>1</v>
      </c>
      <c r="AJ555" s="1" t="s">
        <v>2525</v>
      </c>
      <c r="AK555" s="1" t="s">
        <v>206</v>
      </c>
      <c r="AL555" s="1" t="s">
        <v>228</v>
      </c>
      <c r="AN555" s="22" t="s">
        <v>9767</v>
      </c>
      <c r="AX555" s="1">
        <v>1</v>
      </c>
      <c r="AZ555" s="1">
        <v>0.25</v>
      </c>
      <c r="BG555" s="1" t="str">
        <f t="shared" si="215"/>
        <v>enemy_1179_aruarw</v>
      </c>
      <c r="BM555" s="1" t="s">
        <v>936</v>
      </c>
      <c r="BN555" s="1" t="s">
        <v>2526</v>
      </c>
      <c r="BQ555" s="1" t="s">
        <v>207</v>
      </c>
      <c r="BR555" s="1" t="s">
        <v>208</v>
      </c>
      <c r="BS555" s="1" t="s">
        <v>229</v>
      </c>
      <c r="BT555" s="1" t="s">
        <v>210</v>
      </c>
      <c r="BX555" s="1">
        <v>1</v>
      </c>
    </row>
    <row r="556" spans="1:76" x14ac:dyDescent="0.25">
      <c r="A556" s="1" t="s">
        <v>2527</v>
      </c>
      <c r="B556" s="1" t="s">
        <v>203</v>
      </c>
      <c r="C556" s="1">
        <v>1</v>
      </c>
      <c r="D556" s="1" t="s">
        <v>2528</v>
      </c>
      <c r="E556" s="1">
        <v>1179</v>
      </c>
      <c r="F556" s="1" t="str">
        <f t="shared" si="214"/>
        <v>enemy_1179_aruarw_2</v>
      </c>
      <c r="G556" s="1">
        <v>1</v>
      </c>
      <c r="L556" s="1">
        <v>4000</v>
      </c>
      <c r="N556" s="1">
        <v>350</v>
      </c>
      <c r="P556" s="1">
        <v>150</v>
      </c>
      <c r="R556" s="1">
        <v>0</v>
      </c>
      <c r="Z556" s="1">
        <v>0.05</v>
      </c>
      <c r="AA556" s="1">
        <v>2.9</v>
      </c>
      <c r="AB556" s="1">
        <v>1</v>
      </c>
      <c r="AC556" s="1">
        <v>0.9</v>
      </c>
      <c r="AH556" s="1">
        <v>0</v>
      </c>
      <c r="AI556" s="1">
        <v>1</v>
      </c>
      <c r="AJ556" s="1" t="s">
        <v>2529</v>
      </c>
      <c r="AK556" s="1" t="s">
        <v>206</v>
      </c>
      <c r="AL556" s="1" t="s">
        <v>228</v>
      </c>
      <c r="AN556" s="22" t="s">
        <v>9767</v>
      </c>
      <c r="AX556" s="1">
        <v>1</v>
      </c>
      <c r="AZ556" s="1">
        <v>0.25</v>
      </c>
      <c r="BG556" s="1" t="str">
        <f t="shared" si="215"/>
        <v>enemy_1179_aruarw_2</v>
      </c>
      <c r="BM556" s="1" t="s">
        <v>936</v>
      </c>
      <c r="BN556" s="1" t="s">
        <v>2530</v>
      </c>
      <c r="BQ556" s="1" t="s">
        <v>207</v>
      </c>
      <c r="BR556" s="1" t="s">
        <v>208</v>
      </c>
      <c r="BS556" s="1" t="s">
        <v>229</v>
      </c>
      <c r="BT556" s="1" t="s">
        <v>210</v>
      </c>
      <c r="BX556" s="1">
        <v>1</v>
      </c>
    </row>
    <row r="557" spans="1:76" x14ac:dyDescent="0.25">
      <c r="A557" s="1" t="s">
        <v>2531</v>
      </c>
      <c r="B557" s="1" t="s">
        <v>203</v>
      </c>
      <c r="C557" s="1">
        <v>1</v>
      </c>
      <c r="D557" s="1" t="s">
        <v>2532</v>
      </c>
      <c r="E557" s="1">
        <v>1180</v>
      </c>
      <c r="F557" s="1" t="str">
        <f t="shared" si="214"/>
        <v>enemy_1180_aruass</v>
      </c>
      <c r="G557" s="1">
        <v>1</v>
      </c>
      <c r="L557" s="1">
        <v>4500</v>
      </c>
      <c r="N557" s="1">
        <v>400</v>
      </c>
      <c r="P557" s="1">
        <v>250</v>
      </c>
      <c r="R557" s="1">
        <v>20</v>
      </c>
      <c r="Z557" s="1">
        <v>0.05</v>
      </c>
      <c r="AA557" s="1">
        <v>2.2000000000000002</v>
      </c>
      <c r="AB557" s="1">
        <v>1</v>
      </c>
      <c r="AC557" s="1">
        <v>1</v>
      </c>
      <c r="AH557" s="1">
        <v>0</v>
      </c>
      <c r="AI557" s="1">
        <v>1</v>
      </c>
      <c r="AJ557" s="1" t="s">
        <v>2533</v>
      </c>
      <c r="AK557" s="1" t="s">
        <v>206</v>
      </c>
      <c r="AL557" s="1" t="s">
        <v>228</v>
      </c>
      <c r="AN557" s="22" t="s">
        <v>9767</v>
      </c>
      <c r="AX557" s="1">
        <v>1</v>
      </c>
      <c r="AZ557" s="1">
        <v>0.25</v>
      </c>
      <c r="BG557" s="1" t="str">
        <f t="shared" si="215"/>
        <v>enemy_1180_aruass</v>
      </c>
      <c r="BM557" s="1" t="s">
        <v>930</v>
      </c>
      <c r="BN557" s="1" t="s">
        <v>2534</v>
      </c>
      <c r="BQ557" s="1" t="s">
        <v>207</v>
      </c>
      <c r="BR557" s="1" t="s">
        <v>208</v>
      </c>
      <c r="BS557" s="1" t="s">
        <v>229</v>
      </c>
      <c r="BT557" s="1" t="s">
        <v>210</v>
      </c>
      <c r="BX557" s="1">
        <v>1</v>
      </c>
    </row>
    <row r="558" spans="1:76" x14ac:dyDescent="0.25">
      <c r="A558" s="1" t="s">
        <v>2535</v>
      </c>
      <c r="B558" s="1" t="s">
        <v>203</v>
      </c>
      <c r="C558" s="1">
        <v>1</v>
      </c>
      <c r="D558" s="1" t="s">
        <v>2536</v>
      </c>
      <c r="E558" s="1">
        <v>1180</v>
      </c>
      <c r="F558" s="1" t="str">
        <f t="shared" si="214"/>
        <v>enemy_1180_aruass_2</v>
      </c>
      <c r="G558" s="1">
        <v>1</v>
      </c>
      <c r="L558" s="1">
        <v>5500</v>
      </c>
      <c r="N558" s="1">
        <v>500</v>
      </c>
      <c r="P558" s="1">
        <v>300</v>
      </c>
      <c r="R558" s="1">
        <v>20</v>
      </c>
      <c r="Z558" s="1">
        <v>0.05</v>
      </c>
      <c r="AA558" s="1">
        <v>2.2000000000000002</v>
      </c>
      <c r="AB558" s="1">
        <v>1</v>
      </c>
      <c r="AC558" s="1">
        <v>1</v>
      </c>
      <c r="AH558" s="1">
        <v>0</v>
      </c>
      <c r="AI558" s="1">
        <v>1</v>
      </c>
      <c r="AJ558" s="1" t="s">
        <v>2537</v>
      </c>
      <c r="AK558" s="1" t="s">
        <v>206</v>
      </c>
      <c r="AL558" s="1" t="s">
        <v>228</v>
      </c>
      <c r="AN558" s="22" t="s">
        <v>9767</v>
      </c>
      <c r="AX558" s="1">
        <v>1</v>
      </c>
      <c r="AZ558" s="1">
        <v>0.25</v>
      </c>
      <c r="BG558" s="1" t="str">
        <f t="shared" si="215"/>
        <v>enemy_1180_aruass_2</v>
      </c>
      <c r="BM558" s="1" t="s">
        <v>930</v>
      </c>
      <c r="BN558" s="1" t="s">
        <v>2538</v>
      </c>
      <c r="BQ558" s="1" t="s">
        <v>207</v>
      </c>
      <c r="BR558" s="1" t="s">
        <v>208</v>
      </c>
      <c r="BS558" s="1" t="s">
        <v>229</v>
      </c>
      <c r="BT558" s="1" t="s">
        <v>210</v>
      </c>
      <c r="BX558" s="1">
        <v>1</v>
      </c>
    </row>
    <row r="559" spans="1:76" x14ac:dyDescent="0.25">
      <c r="A559" s="1" t="s">
        <v>2539</v>
      </c>
      <c r="B559" s="1" t="s">
        <v>203</v>
      </c>
      <c r="C559" s="1">
        <v>1</v>
      </c>
      <c r="D559" s="1" t="s">
        <v>2540</v>
      </c>
      <c r="E559" s="1">
        <v>1181</v>
      </c>
      <c r="F559" s="1" t="str">
        <f t="shared" si="214"/>
        <v>enemy_1181_napkgt</v>
      </c>
      <c r="G559" s="1">
        <v>1</v>
      </c>
      <c r="L559" s="1">
        <v>7500</v>
      </c>
      <c r="N559" s="1">
        <v>800</v>
      </c>
      <c r="P559" s="1">
        <v>550</v>
      </c>
      <c r="R559" s="1">
        <v>20</v>
      </c>
      <c r="Z559" s="1">
        <v>0.05</v>
      </c>
      <c r="AA559" s="1">
        <v>2.5</v>
      </c>
      <c r="AB559" s="1">
        <v>3</v>
      </c>
      <c r="AC559" s="1">
        <v>1.3</v>
      </c>
      <c r="AH559" s="1">
        <v>0</v>
      </c>
      <c r="AI559" s="1">
        <v>1</v>
      </c>
      <c r="AJ559" s="1" t="s">
        <v>2541</v>
      </c>
      <c r="AK559" s="1" t="s">
        <v>206</v>
      </c>
      <c r="AL559" s="1" t="s">
        <v>228</v>
      </c>
      <c r="AN559" s="22" t="s">
        <v>9767</v>
      </c>
      <c r="AX559" s="1">
        <v>1</v>
      </c>
      <c r="AZ559" s="1">
        <v>0.25</v>
      </c>
      <c r="BG559" s="1" t="str">
        <f t="shared" si="215"/>
        <v>enemy_1181_napkgt</v>
      </c>
      <c r="BM559" s="1" t="s">
        <v>930</v>
      </c>
      <c r="BN559" s="1" t="s">
        <v>2542</v>
      </c>
      <c r="BQ559" s="1" t="s">
        <v>207</v>
      </c>
      <c r="BR559" s="1" t="s">
        <v>208</v>
      </c>
      <c r="BS559" s="1" t="s">
        <v>229</v>
      </c>
      <c r="BT559" s="1" t="s">
        <v>210</v>
      </c>
      <c r="BX559" s="1">
        <v>1</v>
      </c>
    </row>
    <row r="560" spans="1:76" x14ac:dyDescent="0.25">
      <c r="A560" s="1" t="s">
        <v>2543</v>
      </c>
      <c r="B560" s="1" t="s">
        <v>203</v>
      </c>
      <c r="C560" s="1">
        <v>1</v>
      </c>
      <c r="D560" s="1" t="s">
        <v>2544</v>
      </c>
      <c r="E560" s="1">
        <v>1181</v>
      </c>
      <c r="F560" s="1" t="str">
        <f t="shared" si="214"/>
        <v>enemy_1181_napkgt_2</v>
      </c>
      <c r="G560" s="1">
        <v>1</v>
      </c>
      <c r="L560" s="1">
        <v>8500</v>
      </c>
      <c r="N560" s="1">
        <v>1000</v>
      </c>
      <c r="P560" s="1">
        <v>550</v>
      </c>
      <c r="R560" s="1">
        <v>20</v>
      </c>
      <c r="Z560" s="1">
        <v>0.05</v>
      </c>
      <c r="AA560" s="1">
        <v>2.5</v>
      </c>
      <c r="AB560" s="1">
        <v>3</v>
      </c>
      <c r="AC560" s="1">
        <v>1.3</v>
      </c>
      <c r="AH560" s="1">
        <v>0</v>
      </c>
      <c r="AI560" s="1">
        <v>1</v>
      </c>
      <c r="AJ560" s="1" t="s">
        <v>2545</v>
      </c>
      <c r="AK560" s="1" t="s">
        <v>206</v>
      </c>
      <c r="AL560" s="1" t="s">
        <v>228</v>
      </c>
      <c r="AN560" s="22" t="s">
        <v>9767</v>
      </c>
      <c r="AX560" s="1">
        <v>1</v>
      </c>
      <c r="AZ560" s="1">
        <v>0.25</v>
      </c>
      <c r="BG560" s="1" t="str">
        <f t="shared" si="215"/>
        <v>enemy_1181_napkgt_2</v>
      </c>
      <c r="BM560" s="1" t="s">
        <v>930</v>
      </c>
      <c r="BN560" s="1" t="s">
        <v>2542</v>
      </c>
      <c r="BQ560" s="1" t="s">
        <v>207</v>
      </c>
      <c r="BR560" s="1" t="s">
        <v>208</v>
      </c>
      <c r="BS560" s="1" t="s">
        <v>229</v>
      </c>
      <c r="BT560" s="1" t="s">
        <v>210</v>
      </c>
      <c r="BX560" s="1">
        <v>1</v>
      </c>
    </row>
    <row r="561" spans="1:76" x14ac:dyDescent="0.25">
      <c r="A561" s="1" t="s">
        <v>2546</v>
      </c>
      <c r="B561" s="1" t="s">
        <v>203</v>
      </c>
      <c r="C561" s="1">
        <v>1</v>
      </c>
      <c r="D561" s="1" t="s">
        <v>2547</v>
      </c>
      <c r="E561" s="1">
        <v>1182</v>
      </c>
      <c r="F561" s="1" t="str">
        <f t="shared" ref="F561:F624" si="216">"enemy_"&amp;E561&amp;"_"&amp;D561</f>
        <v>enemy_1182_flasrt</v>
      </c>
      <c r="G561" s="1">
        <v>1</v>
      </c>
      <c r="L561" s="1">
        <v>6500</v>
      </c>
      <c r="N561" s="1">
        <v>500</v>
      </c>
      <c r="P561" s="1">
        <v>200</v>
      </c>
      <c r="R561" s="1">
        <v>40</v>
      </c>
      <c r="Z561" s="1">
        <v>0.05</v>
      </c>
      <c r="AA561" s="1">
        <v>3</v>
      </c>
      <c r="AB561" s="1">
        <v>2</v>
      </c>
      <c r="AC561" s="1">
        <v>0.8</v>
      </c>
      <c r="AH561" s="1">
        <v>0</v>
      </c>
      <c r="AI561" s="1">
        <v>1</v>
      </c>
      <c r="AJ561" s="1" t="s">
        <v>2548</v>
      </c>
      <c r="AK561" s="1" t="s">
        <v>206</v>
      </c>
      <c r="AL561" s="1" t="s">
        <v>228</v>
      </c>
      <c r="AN561" s="22" t="s">
        <v>9767</v>
      </c>
      <c r="AX561" s="1">
        <v>1</v>
      </c>
      <c r="AZ561" s="1">
        <v>0.25</v>
      </c>
      <c r="BG561" s="1" t="str">
        <f t="shared" ref="BG561:BG624" si="217">"enemy_"&amp;E561&amp;"_"&amp;D561</f>
        <v>enemy_1182_flasrt</v>
      </c>
      <c r="BM561" s="1" t="s">
        <v>957</v>
      </c>
      <c r="BN561" s="1" t="s">
        <v>2549</v>
      </c>
      <c r="BQ561" s="1" t="s">
        <v>207</v>
      </c>
      <c r="BR561" s="1" t="s">
        <v>208</v>
      </c>
      <c r="BS561" s="1" t="s">
        <v>229</v>
      </c>
      <c r="BT561" s="1" t="s">
        <v>210</v>
      </c>
      <c r="BX561" s="1">
        <v>1</v>
      </c>
    </row>
    <row r="562" spans="1:76" x14ac:dyDescent="0.25">
      <c r="A562" s="1" t="s">
        <v>2550</v>
      </c>
      <c r="B562" s="1" t="s">
        <v>203</v>
      </c>
      <c r="C562" s="1">
        <v>1</v>
      </c>
      <c r="D562" s="1" t="s">
        <v>2551</v>
      </c>
      <c r="E562" s="1">
        <v>1182</v>
      </c>
      <c r="F562" s="1" t="str">
        <f t="shared" si="216"/>
        <v>enemy_1182_flasrt_2</v>
      </c>
      <c r="G562" s="1">
        <v>1</v>
      </c>
      <c r="L562" s="1">
        <v>8000</v>
      </c>
      <c r="N562" s="1">
        <v>600</v>
      </c>
      <c r="P562" s="1">
        <v>200</v>
      </c>
      <c r="R562" s="1">
        <v>40</v>
      </c>
      <c r="Z562" s="1">
        <v>0.05</v>
      </c>
      <c r="AA562" s="1">
        <v>3</v>
      </c>
      <c r="AB562" s="1">
        <v>2</v>
      </c>
      <c r="AC562" s="1">
        <v>0.8</v>
      </c>
      <c r="AH562" s="1">
        <v>0</v>
      </c>
      <c r="AI562" s="1">
        <v>1</v>
      </c>
      <c r="AJ562" s="1" t="s">
        <v>2552</v>
      </c>
      <c r="AK562" s="1" t="s">
        <v>206</v>
      </c>
      <c r="AL562" s="1" t="s">
        <v>228</v>
      </c>
      <c r="AN562" s="22" t="s">
        <v>9767</v>
      </c>
      <c r="AX562" s="1">
        <v>1</v>
      </c>
      <c r="AZ562" s="1">
        <v>0.25</v>
      </c>
      <c r="BG562" s="1" t="str">
        <f t="shared" si="217"/>
        <v>enemy_1182_flasrt_2</v>
      </c>
      <c r="BM562" s="1" t="s">
        <v>957</v>
      </c>
      <c r="BN562" s="1" t="s">
        <v>2549</v>
      </c>
      <c r="BQ562" s="1" t="s">
        <v>207</v>
      </c>
      <c r="BR562" s="1" t="s">
        <v>208</v>
      </c>
      <c r="BS562" s="1" t="s">
        <v>229</v>
      </c>
      <c r="BT562" s="1" t="s">
        <v>210</v>
      </c>
      <c r="BX562" s="1">
        <v>1</v>
      </c>
    </row>
    <row r="563" spans="1:76" x14ac:dyDescent="0.25">
      <c r="A563" s="1" t="s">
        <v>2553</v>
      </c>
      <c r="B563" s="1" t="s">
        <v>203</v>
      </c>
      <c r="C563" s="1">
        <v>1</v>
      </c>
      <c r="D563" s="1" t="s">
        <v>2554</v>
      </c>
      <c r="E563" s="1">
        <v>1182</v>
      </c>
      <c r="F563" s="1" t="str">
        <f t="shared" si="216"/>
        <v>enemy_1182_flasrt_3</v>
      </c>
      <c r="G563" s="1">
        <v>1</v>
      </c>
      <c r="L563" s="1">
        <v>9000</v>
      </c>
      <c r="N563" s="1">
        <v>600</v>
      </c>
      <c r="P563" s="1">
        <v>200</v>
      </c>
      <c r="R563" s="1">
        <v>40</v>
      </c>
      <c r="Z563" s="1">
        <v>0.05</v>
      </c>
      <c r="AA563" s="1">
        <v>3</v>
      </c>
      <c r="AB563" s="1">
        <v>2</v>
      </c>
      <c r="AC563" s="1">
        <v>0.8</v>
      </c>
      <c r="AH563" s="1">
        <v>0</v>
      </c>
      <c r="AI563" s="1">
        <v>1</v>
      </c>
      <c r="AJ563" s="1" t="s">
        <v>2555</v>
      </c>
      <c r="AK563" s="1" t="s">
        <v>206</v>
      </c>
      <c r="AL563" s="1" t="s">
        <v>228</v>
      </c>
      <c r="AN563" s="22" t="s">
        <v>9767</v>
      </c>
      <c r="AX563" s="1">
        <v>1</v>
      </c>
      <c r="AZ563" s="1">
        <v>0.25</v>
      </c>
      <c r="BG563" s="1" t="str">
        <f t="shared" si="217"/>
        <v>enemy_1182_flasrt_3</v>
      </c>
      <c r="BM563" s="1" t="s">
        <v>957</v>
      </c>
      <c r="BN563" s="1" t="s">
        <v>2549</v>
      </c>
      <c r="BQ563" s="1" t="s">
        <v>207</v>
      </c>
      <c r="BR563" s="1" t="s">
        <v>208</v>
      </c>
      <c r="BS563" s="1" t="s">
        <v>229</v>
      </c>
      <c r="BT563" s="1" t="s">
        <v>210</v>
      </c>
      <c r="BX563" s="1">
        <v>1</v>
      </c>
    </row>
    <row r="564" spans="1:76" x14ac:dyDescent="0.25">
      <c r="A564" s="1" t="s">
        <v>2556</v>
      </c>
      <c r="B564" s="1" t="s">
        <v>203</v>
      </c>
      <c r="C564" s="1">
        <v>1</v>
      </c>
      <c r="D564" s="1" t="s">
        <v>2557</v>
      </c>
      <c r="E564" s="1">
        <v>1183</v>
      </c>
      <c r="F564" s="1" t="str">
        <f t="shared" si="216"/>
        <v>enemy_1183_mlasrt</v>
      </c>
      <c r="G564" s="1">
        <v>1</v>
      </c>
      <c r="L564" s="1">
        <v>6500</v>
      </c>
      <c r="N564" s="1">
        <v>700</v>
      </c>
      <c r="P564" s="1">
        <v>200</v>
      </c>
      <c r="R564" s="1">
        <v>40</v>
      </c>
      <c r="Z564" s="1">
        <v>0.05</v>
      </c>
      <c r="AA564" s="1">
        <v>5</v>
      </c>
      <c r="AB564" s="1">
        <v>2</v>
      </c>
      <c r="AC564" s="1">
        <v>0.8</v>
      </c>
      <c r="AH564" s="1">
        <v>0</v>
      </c>
      <c r="AI564" s="1">
        <v>1</v>
      </c>
      <c r="AJ564" s="1" t="s">
        <v>2558</v>
      </c>
      <c r="AK564" s="1" t="s">
        <v>206</v>
      </c>
      <c r="AL564" s="1" t="s">
        <v>228</v>
      </c>
      <c r="AN564" s="22" t="s">
        <v>9767</v>
      </c>
      <c r="AX564" s="1">
        <v>1</v>
      </c>
      <c r="AZ564" s="1">
        <v>0.25</v>
      </c>
      <c r="BG564" s="1" t="str">
        <f t="shared" si="217"/>
        <v>enemy_1183_mlasrt</v>
      </c>
      <c r="BM564" s="1" t="s">
        <v>957</v>
      </c>
      <c r="BN564" s="1" t="s">
        <v>2549</v>
      </c>
      <c r="BQ564" s="1" t="s">
        <v>207</v>
      </c>
      <c r="BR564" s="1" t="s">
        <v>208</v>
      </c>
      <c r="BS564" s="1" t="s">
        <v>229</v>
      </c>
      <c r="BT564" s="1" t="s">
        <v>210</v>
      </c>
      <c r="BX564" s="1">
        <v>1</v>
      </c>
    </row>
    <row r="565" spans="1:76" x14ac:dyDescent="0.25">
      <c r="A565" s="1" t="s">
        <v>2559</v>
      </c>
      <c r="B565" s="1" t="s">
        <v>203</v>
      </c>
      <c r="C565" s="1">
        <v>1</v>
      </c>
      <c r="D565" s="1" t="s">
        <v>2560</v>
      </c>
      <c r="E565" s="1">
        <v>1183</v>
      </c>
      <c r="F565" s="1" t="str">
        <f t="shared" si="216"/>
        <v>enemy_1183_mlasrt_2</v>
      </c>
      <c r="G565" s="1">
        <v>1</v>
      </c>
      <c r="L565" s="1">
        <v>8000</v>
      </c>
      <c r="N565" s="1">
        <v>800</v>
      </c>
      <c r="P565" s="1">
        <v>200</v>
      </c>
      <c r="R565" s="1">
        <v>40</v>
      </c>
      <c r="Z565" s="1">
        <v>0.05</v>
      </c>
      <c r="AA565" s="1">
        <v>5</v>
      </c>
      <c r="AB565" s="1">
        <v>2</v>
      </c>
      <c r="AC565" s="1">
        <v>0.8</v>
      </c>
      <c r="AH565" s="1">
        <v>0</v>
      </c>
      <c r="AI565" s="1">
        <v>1</v>
      </c>
      <c r="AJ565" s="1" t="s">
        <v>2561</v>
      </c>
      <c r="AK565" s="1" t="s">
        <v>206</v>
      </c>
      <c r="AL565" s="1" t="s">
        <v>228</v>
      </c>
      <c r="AN565" s="22" t="s">
        <v>9767</v>
      </c>
      <c r="AX565" s="1">
        <v>1</v>
      </c>
      <c r="AZ565" s="1">
        <v>0.25</v>
      </c>
      <c r="BG565" s="1" t="str">
        <f t="shared" si="217"/>
        <v>enemy_1183_mlasrt_2</v>
      </c>
      <c r="BM565" s="1" t="s">
        <v>957</v>
      </c>
      <c r="BN565" s="1" t="s">
        <v>2549</v>
      </c>
      <c r="BQ565" s="1" t="s">
        <v>207</v>
      </c>
      <c r="BR565" s="1" t="s">
        <v>208</v>
      </c>
      <c r="BS565" s="1" t="s">
        <v>229</v>
      </c>
      <c r="BT565" s="1" t="s">
        <v>210</v>
      </c>
      <c r="BX565" s="1">
        <v>1</v>
      </c>
    </row>
    <row r="566" spans="1:76" x14ac:dyDescent="0.25">
      <c r="A566" s="1" t="s">
        <v>2562</v>
      </c>
      <c r="B566" s="1" t="s">
        <v>203</v>
      </c>
      <c r="C566" s="1">
        <v>1</v>
      </c>
      <c r="D566" s="1" t="s">
        <v>2563</v>
      </c>
      <c r="E566" s="1">
        <v>1183</v>
      </c>
      <c r="F566" s="1" t="str">
        <f t="shared" si="216"/>
        <v>enemy_1183_mlasrt_3</v>
      </c>
      <c r="G566" s="1">
        <v>1</v>
      </c>
      <c r="L566" s="1">
        <v>9000</v>
      </c>
      <c r="N566" s="1">
        <v>800</v>
      </c>
      <c r="P566" s="1">
        <v>200</v>
      </c>
      <c r="R566" s="1">
        <v>40</v>
      </c>
      <c r="Z566" s="1">
        <v>0.05</v>
      </c>
      <c r="AA566" s="1">
        <v>5</v>
      </c>
      <c r="AB566" s="1">
        <v>2</v>
      </c>
      <c r="AC566" s="1">
        <v>0.8</v>
      </c>
      <c r="AH566" s="1">
        <v>0</v>
      </c>
      <c r="AI566" s="1">
        <v>1</v>
      </c>
      <c r="AJ566" s="1" t="s">
        <v>2564</v>
      </c>
      <c r="AK566" s="1" t="s">
        <v>206</v>
      </c>
      <c r="AL566" s="1" t="s">
        <v>228</v>
      </c>
      <c r="AN566" s="22" t="s">
        <v>9767</v>
      </c>
      <c r="AX566" s="1">
        <v>1</v>
      </c>
      <c r="AZ566" s="1">
        <v>0.25</v>
      </c>
      <c r="BG566" s="1" t="str">
        <f t="shared" si="217"/>
        <v>enemy_1183_mlasrt_3</v>
      </c>
      <c r="BM566" s="1" t="s">
        <v>957</v>
      </c>
      <c r="BN566" s="1" t="s">
        <v>2549</v>
      </c>
      <c r="BQ566" s="1" t="s">
        <v>207</v>
      </c>
      <c r="BR566" s="1" t="s">
        <v>208</v>
      </c>
      <c r="BS566" s="1" t="s">
        <v>229</v>
      </c>
      <c r="BT566" s="1" t="s">
        <v>210</v>
      </c>
      <c r="BX566" s="1">
        <v>1</v>
      </c>
    </row>
    <row r="567" spans="1:76" x14ac:dyDescent="0.25">
      <c r="A567" s="1" t="s">
        <v>2565</v>
      </c>
      <c r="B567" s="1" t="s">
        <v>203</v>
      </c>
      <c r="C567" s="1">
        <v>1</v>
      </c>
      <c r="D567" s="1" t="s">
        <v>2566</v>
      </c>
      <c r="E567" s="1">
        <v>1184</v>
      </c>
      <c r="F567" s="1" t="str">
        <f t="shared" si="216"/>
        <v>enemy_1184_cadkgt</v>
      </c>
      <c r="G567" s="1">
        <v>1</v>
      </c>
      <c r="L567" s="1">
        <v>7500</v>
      </c>
      <c r="N567" s="1">
        <v>350</v>
      </c>
      <c r="P567" s="1">
        <v>300</v>
      </c>
      <c r="R567" s="1">
        <v>60</v>
      </c>
      <c r="Z567" s="1">
        <v>0.05</v>
      </c>
      <c r="AA567" s="1">
        <v>3.2</v>
      </c>
      <c r="AB567" s="1">
        <v>4</v>
      </c>
      <c r="AC567" s="1">
        <v>0.7</v>
      </c>
      <c r="AH567" s="1">
        <v>0</v>
      </c>
      <c r="AI567" s="1">
        <v>1</v>
      </c>
      <c r="AJ567" s="1" t="s">
        <v>2567</v>
      </c>
      <c r="AK567" s="1" t="s">
        <v>206</v>
      </c>
      <c r="AL567" s="1" t="s">
        <v>228</v>
      </c>
      <c r="AN567" s="22" t="s">
        <v>9767</v>
      </c>
      <c r="AX567" s="1">
        <v>1</v>
      </c>
      <c r="AZ567" s="1">
        <v>0.25</v>
      </c>
      <c r="BG567" s="1" t="str">
        <f t="shared" si="217"/>
        <v>enemy_1184_cadkgt</v>
      </c>
      <c r="BM567" s="1" t="s">
        <v>957</v>
      </c>
      <c r="BN567" s="1" t="s">
        <v>2568</v>
      </c>
      <c r="BQ567" s="1" t="s">
        <v>207</v>
      </c>
      <c r="BR567" s="1" t="s">
        <v>208</v>
      </c>
      <c r="BS567" s="1" t="s">
        <v>229</v>
      </c>
      <c r="BT567" s="1" t="s">
        <v>210</v>
      </c>
      <c r="BX567" s="1">
        <v>1</v>
      </c>
    </row>
    <row r="568" spans="1:76" x14ac:dyDescent="0.25">
      <c r="A568" s="1" t="s">
        <v>2569</v>
      </c>
      <c r="B568" s="1" t="s">
        <v>203</v>
      </c>
      <c r="C568" s="1">
        <v>1</v>
      </c>
      <c r="D568" s="1" t="s">
        <v>2570</v>
      </c>
      <c r="E568" s="1">
        <v>1184</v>
      </c>
      <c r="F568" s="1" t="str">
        <f t="shared" si="216"/>
        <v>enemy_1184_cadkgt_2</v>
      </c>
      <c r="G568" s="1">
        <v>1</v>
      </c>
      <c r="L568" s="1">
        <v>8500</v>
      </c>
      <c r="N568" s="1">
        <v>450</v>
      </c>
      <c r="P568" s="1">
        <v>350</v>
      </c>
      <c r="R568" s="1">
        <v>60</v>
      </c>
      <c r="Z568" s="1">
        <v>0.05</v>
      </c>
      <c r="AA568" s="1">
        <v>3.2</v>
      </c>
      <c r="AB568" s="1">
        <v>4</v>
      </c>
      <c r="AC568" s="1">
        <v>0.7</v>
      </c>
      <c r="AH568" s="1">
        <v>0</v>
      </c>
      <c r="AI568" s="1">
        <v>1</v>
      </c>
      <c r="AJ568" s="1" t="s">
        <v>2571</v>
      </c>
      <c r="AK568" s="1" t="s">
        <v>206</v>
      </c>
      <c r="AL568" s="1" t="s">
        <v>228</v>
      </c>
      <c r="AN568" s="22" t="s">
        <v>9767</v>
      </c>
      <c r="AX568" s="1">
        <v>1</v>
      </c>
      <c r="AZ568" s="1">
        <v>0.25</v>
      </c>
      <c r="BG568" s="1" t="str">
        <f t="shared" si="217"/>
        <v>enemy_1184_cadkgt_2</v>
      </c>
      <c r="BM568" s="1" t="s">
        <v>957</v>
      </c>
      <c r="BN568" s="1" t="s">
        <v>2568</v>
      </c>
      <c r="BQ568" s="1" t="s">
        <v>207</v>
      </c>
      <c r="BR568" s="1" t="s">
        <v>208</v>
      </c>
      <c r="BS568" s="1" t="s">
        <v>229</v>
      </c>
      <c r="BT568" s="1" t="s">
        <v>210</v>
      </c>
      <c r="BX568" s="1">
        <v>1</v>
      </c>
    </row>
    <row r="569" spans="1:76" x14ac:dyDescent="0.25">
      <c r="A569" s="1" t="s">
        <v>2572</v>
      </c>
      <c r="B569" s="1" t="s">
        <v>203</v>
      </c>
      <c r="C569" s="1">
        <v>1</v>
      </c>
      <c r="D569" s="1" t="s">
        <v>2573</v>
      </c>
      <c r="E569" s="1">
        <v>1184</v>
      </c>
      <c r="F569" s="1" t="str">
        <f t="shared" si="216"/>
        <v>enemy_1184_cadkgt_3</v>
      </c>
      <c r="G569" s="1">
        <v>1</v>
      </c>
      <c r="L569" s="1">
        <v>8500</v>
      </c>
      <c r="N569" s="1">
        <v>450</v>
      </c>
      <c r="P569" s="1">
        <v>350</v>
      </c>
      <c r="R569" s="1">
        <v>60</v>
      </c>
      <c r="Z569" s="1">
        <v>0.05</v>
      </c>
      <c r="AA569" s="1">
        <v>3.2</v>
      </c>
      <c r="AB569" s="1">
        <v>4</v>
      </c>
      <c r="AC569" s="1">
        <v>0.7</v>
      </c>
      <c r="AH569" s="1">
        <v>0</v>
      </c>
      <c r="AI569" s="1">
        <v>1</v>
      </c>
      <c r="AJ569" s="1" t="s">
        <v>2574</v>
      </c>
      <c r="AK569" s="1" t="s">
        <v>206</v>
      </c>
      <c r="AL569" s="1" t="s">
        <v>228</v>
      </c>
      <c r="AN569" s="22" t="s">
        <v>9767</v>
      </c>
      <c r="AX569" s="1">
        <v>1</v>
      </c>
      <c r="AZ569" s="1">
        <v>0.25</v>
      </c>
      <c r="BG569" s="1" t="str">
        <f t="shared" si="217"/>
        <v>enemy_1184_cadkgt_3</v>
      </c>
      <c r="BM569" s="1" t="s">
        <v>957</v>
      </c>
      <c r="BN569" s="1" t="s">
        <v>2568</v>
      </c>
      <c r="BQ569" s="1" t="s">
        <v>207</v>
      </c>
      <c r="BR569" s="1" t="s">
        <v>208</v>
      </c>
      <c r="BS569" s="1" t="s">
        <v>229</v>
      </c>
      <c r="BT569" s="1" t="s">
        <v>210</v>
      </c>
      <c r="BX569" s="1">
        <v>1</v>
      </c>
    </row>
    <row r="570" spans="1:76" x14ac:dyDescent="0.25">
      <c r="A570" s="1" t="s">
        <v>2575</v>
      </c>
      <c r="B570" s="1" t="s">
        <v>203</v>
      </c>
      <c r="C570" s="1">
        <v>1</v>
      </c>
      <c r="D570" s="1" t="s">
        <v>2576</v>
      </c>
      <c r="E570" s="1">
        <v>1185</v>
      </c>
      <c r="F570" s="1" t="str">
        <f t="shared" si="216"/>
        <v>enemy_1185_nmekgt</v>
      </c>
      <c r="G570" s="1">
        <v>1</v>
      </c>
      <c r="L570" s="1">
        <v>10000</v>
      </c>
      <c r="N570" s="1">
        <v>1200</v>
      </c>
      <c r="P570" s="1">
        <v>700</v>
      </c>
      <c r="R570" s="1">
        <v>20</v>
      </c>
      <c r="Z570" s="1">
        <v>0.05</v>
      </c>
      <c r="AA570" s="1">
        <v>5</v>
      </c>
      <c r="AB570" s="1">
        <v>5</v>
      </c>
      <c r="AC570" s="1">
        <v>0.7</v>
      </c>
      <c r="AH570" s="1">
        <v>0</v>
      </c>
      <c r="AI570" s="1">
        <v>1</v>
      </c>
      <c r="AJ570" s="1" t="s">
        <v>2577</v>
      </c>
      <c r="AK570" s="1" t="s">
        <v>206</v>
      </c>
      <c r="AL570" s="1" t="s">
        <v>228</v>
      </c>
      <c r="AN570" s="22" t="s">
        <v>9767</v>
      </c>
      <c r="AX570" s="1">
        <v>1</v>
      </c>
      <c r="AZ570" s="1">
        <v>0.25</v>
      </c>
      <c r="BG570" s="1" t="str">
        <f t="shared" si="217"/>
        <v>enemy_1185_nmekgt</v>
      </c>
      <c r="BM570" s="1" t="s">
        <v>989</v>
      </c>
      <c r="BN570" s="1" t="s">
        <v>2578</v>
      </c>
      <c r="BQ570" s="1" t="s">
        <v>207</v>
      </c>
      <c r="BR570" s="1" t="s">
        <v>208</v>
      </c>
      <c r="BS570" s="1" t="s">
        <v>229</v>
      </c>
      <c r="BT570" s="1" t="s">
        <v>210</v>
      </c>
      <c r="BX570" s="1">
        <v>1</v>
      </c>
    </row>
    <row r="571" spans="1:76" x14ac:dyDescent="0.25">
      <c r="A571" s="1" t="s">
        <v>2579</v>
      </c>
      <c r="B571" s="1" t="s">
        <v>203</v>
      </c>
      <c r="C571" s="1">
        <v>1</v>
      </c>
      <c r="D571" s="1" t="s">
        <v>2580</v>
      </c>
      <c r="E571" s="1">
        <v>1185</v>
      </c>
      <c r="F571" s="1" t="str">
        <f t="shared" si="216"/>
        <v>enemy_1185_nmekgt_2</v>
      </c>
      <c r="G571" s="1">
        <v>1</v>
      </c>
      <c r="L571" s="1">
        <v>15000</v>
      </c>
      <c r="N571" s="1">
        <v>1500</v>
      </c>
      <c r="P571" s="1">
        <v>750</v>
      </c>
      <c r="R571" s="1">
        <v>20</v>
      </c>
      <c r="Z571" s="1">
        <v>0.05</v>
      </c>
      <c r="AA571" s="1">
        <v>5</v>
      </c>
      <c r="AB571" s="1">
        <v>5</v>
      </c>
      <c r="AC571" s="1">
        <v>0.7</v>
      </c>
      <c r="AH571" s="1">
        <v>0</v>
      </c>
      <c r="AI571" s="1">
        <v>1</v>
      </c>
      <c r="AJ571" s="1" t="s">
        <v>2581</v>
      </c>
      <c r="AK571" s="1" t="s">
        <v>206</v>
      </c>
      <c r="AL571" s="1" t="s">
        <v>228</v>
      </c>
      <c r="AN571" s="22" t="s">
        <v>9767</v>
      </c>
      <c r="AX571" s="1">
        <v>1</v>
      </c>
      <c r="AZ571" s="1">
        <v>0.25</v>
      </c>
      <c r="BG571" s="1" t="str">
        <f t="shared" si="217"/>
        <v>enemy_1185_nmekgt_2</v>
      </c>
      <c r="BM571" s="1" t="s">
        <v>989</v>
      </c>
      <c r="BN571" s="1" t="s">
        <v>2578</v>
      </c>
      <c r="BQ571" s="1" t="s">
        <v>207</v>
      </c>
      <c r="BR571" s="1" t="s">
        <v>208</v>
      </c>
      <c r="BS571" s="1" t="s">
        <v>229</v>
      </c>
      <c r="BT571" s="1" t="s">
        <v>210</v>
      </c>
      <c r="BX571" s="1">
        <v>1</v>
      </c>
    </row>
    <row r="572" spans="1:76" x14ac:dyDescent="0.25">
      <c r="A572" s="1" t="s">
        <v>2582</v>
      </c>
      <c r="B572" s="1" t="s">
        <v>203</v>
      </c>
      <c r="C572" s="1">
        <v>1</v>
      </c>
      <c r="D572" s="1" t="s">
        <v>2583</v>
      </c>
      <c r="E572" s="1">
        <v>1185</v>
      </c>
      <c r="F572" s="1" t="str">
        <f t="shared" si="216"/>
        <v>enemy_1185_nmekgt_3</v>
      </c>
      <c r="G572" s="1">
        <v>1</v>
      </c>
      <c r="L572" s="1">
        <v>18000</v>
      </c>
      <c r="N572" s="1">
        <v>1200</v>
      </c>
      <c r="P572" s="1">
        <v>700</v>
      </c>
      <c r="R572" s="1">
        <v>20</v>
      </c>
      <c r="Z572" s="1">
        <v>0.05</v>
      </c>
      <c r="AA572" s="1">
        <v>5</v>
      </c>
      <c r="AB572" s="1">
        <v>5</v>
      </c>
      <c r="AC572" s="1">
        <v>0.7</v>
      </c>
      <c r="AH572" s="1">
        <v>0</v>
      </c>
      <c r="AI572" s="1">
        <v>1</v>
      </c>
      <c r="AJ572" s="1" t="s">
        <v>2584</v>
      </c>
      <c r="AK572" s="1" t="s">
        <v>206</v>
      </c>
      <c r="AL572" s="1" t="s">
        <v>228</v>
      </c>
      <c r="AN572" s="22" t="s">
        <v>9767</v>
      </c>
      <c r="AX572" s="1">
        <v>1</v>
      </c>
      <c r="AZ572" s="1">
        <v>0.25</v>
      </c>
      <c r="BG572" s="1" t="str">
        <f t="shared" si="217"/>
        <v>enemy_1185_nmekgt_3</v>
      </c>
      <c r="BM572" s="1" t="s">
        <v>989</v>
      </c>
      <c r="BN572" s="1" t="s">
        <v>2578</v>
      </c>
      <c r="BQ572" s="1" t="s">
        <v>207</v>
      </c>
      <c r="BR572" s="1" t="s">
        <v>208</v>
      </c>
      <c r="BS572" s="1" t="s">
        <v>229</v>
      </c>
      <c r="BT572" s="1" t="s">
        <v>210</v>
      </c>
      <c r="BX572" s="1">
        <v>1</v>
      </c>
    </row>
    <row r="573" spans="1:76" x14ac:dyDescent="0.25">
      <c r="A573" s="1" t="s">
        <v>2585</v>
      </c>
      <c r="B573" s="1" t="s">
        <v>203</v>
      </c>
      <c r="C573" s="1">
        <v>1</v>
      </c>
      <c r="D573" s="1" t="s">
        <v>2586</v>
      </c>
      <c r="E573" s="1">
        <v>1186</v>
      </c>
      <c r="F573" s="1" t="str">
        <f t="shared" si="216"/>
        <v>enemy_1186_bldbld</v>
      </c>
      <c r="G573" s="1">
        <v>1</v>
      </c>
      <c r="L573" s="1">
        <v>8000</v>
      </c>
      <c r="N573" s="1">
        <v>800</v>
      </c>
      <c r="P573" s="1">
        <v>300</v>
      </c>
      <c r="R573" s="1">
        <v>80</v>
      </c>
      <c r="Z573" s="1">
        <v>0.05</v>
      </c>
      <c r="AA573" s="1">
        <v>3</v>
      </c>
      <c r="AB573" s="1">
        <v>0</v>
      </c>
      <c r="AC573" s="1">
        <v>1.5</v>
      </c>
      <c r="AH573" s="1">
        <v>0</v>
      </c>
      <c r="AI573" s="1">
        <v>1</v>
      </c>
      <c r="AJ573" s="1" t="s">
        <v>2587</v>
      </c>
      <c r="AK573" s="1" t="s">
        <v>206</v>
      </c>
      <c r="AL573" s="1" t="s">
        <v>228</v>
      </c>
      <c r="AN573" s="22" t="s">
        <v>9767</v>
      </c>
      <c r="AX573" s="1">
        <v>1</v>
      </c>
      <c r="AZ573" s="1">
        <v>0.25</v>
      </c>
      <c r="BG573" s="1" t="str">
        <f t="shared" si="217"/>
        <v>enemy_1186_bldbld</v>
      </c>
      <c r="BM573" s="1" t="s">
        <v>989</v>
      </c>
      <c r="BN573" s="1" t="s">
        <v>2588</v>
      </c>
      <c r="BQ573" s="1" t="s">
        <v>207</v>
      </c>
      <c r="BR573" s="1" t="s">
        <v>208</v>
      </c>
      <c r="BS573" s="1" t="s">
        <v>229</v>
      </c>
      <c r="BT573" s="1" t="s">
        <v>210</v>
      </c>
      <c r="BX573" s="1">
        <v>1</v>
      </c>
    </row>
    <row r="574" spans="1:76" x14ac:dyDescent="0.25">
      <c r="A574" s="1" t="s">
        <v>2589</v>
      </c>
      <c r="B574" s="1" t="s">
        <v>203</v>
      </c>
      <c r="C574" s="1">
        <v>1</v>
      </c>
      <c r="D574" s="1" t="s">
        <v>2590</v>
      </c>
      <c r="E574" s="1">
        <v>1524</v>
      </c>
      <c r="F574" s="1" t="str">
        <f t="shared" si="216"/>
        <v>enemy_1524_bldkgt</v>
      </c>
      <c r="G574" s="1">
        <v>1</v>
      </c>
      <c r="L574" s="1">
        <v>30000</v>
      </c>
      <c r="N574" s="1">
        <v>1750</v>
      </c>
      <c r="P574" s="1">
        <v>1000</v>
      </c>
      <c r="R574" s="1">
        <v>40</v>
      </c>
      <c r="Z574" s="1">
        <v>0.05</v>
      </c>
      <c r="AA574" s="1">
        <v>6</v>
      </c>
      <c r="AB574" s="1">
        <v>7</v>
      </c>
      <c r="AC574" s="1">
        <v>0.6</v>
      </c>
      <c r="AH574" s="1">
        <v>0</v>
      </c>
      <c r="AI574" s="1">
        <v>1</v>
      </c>
      <c r="AJ574" s="1" t="s">
        <v>2591</v>
      </c>
      <c r="AK574" s="1" t="s">
        <v>206</v>
      </c>
      <c r="AL574" s="1" t="s">
        <v>228</v>
      </c>
      <c r="AN574" s="22" t="s">
        <v>9767</v>
      </c>
      <c r="AX574" s="1">
        <v>1</v>
      </c>
      <c r="AZ574" s="1">
        <v>0.25</v>
      </c>
      <c r="BG574" s="1" t="str">
        <f t="shared" si="217"/>
        <v>enemy_1524_bldkgt</v>
      </c>
      <c r="BM574" s="1" t="s">
        <v>1319</v>
      </c>
      <c r="BN574" s="1" t="s">
        <v>2592</v>
      </c>
      <c r="BQ574" s="1" t="s">
        <v>207</v>
      </c>
      <c r="BR574" s="1" t="s">
        <v>2593</v>
      </c>
      <c r="BS574" s="1" t="s">
        <v>2594</v>
      </c>
      <c r="BT574" s="1" t="s">
        <v>2595</v>
      </c>
      <c r="BX574" s="1">
        <v>1</v>
      </c>
    </row>
    <row r="575" spans="1:76" x14ac:dyDescent="0.25">
      <c r="A575" s="1" t="s">
        <v>2596</v>
      </c>
      <c r="B575" s="1" t="s">
        <v>203</v>
      </c>
      <c r="C575" s="1">
        <v>1</v>
      </c>
      <c r="D575" s="1" t="s">
        <v>2597</v>
      </c>
      <c r="E575" s="1">
        <v>1187</v>
      </c>
      <c r="F575" s="1" t="str">
        <f t="shared" si="216"/>
        <v>enemy_1187_krghd</v>
      </c>
      <c r="G575" s="1">
        <v>1</v>
      </c>
      <c r="L575" s="1">
        <v>3500</v>
      </c>
      <c r="N575" s="1">
        <v>290</v>
      </c>
      <c r="P575" s="1">
        <v>0</v>
      </c>
      <c r="R575" s="1">
        <v>20</v>
      </c>
      <c r="Z575" s="1">
        <v>0.05</v>
      </c>
      <c r="AA575" s="1">
        <v>1.4</v>
      </c>
      <c r="AB575" s="1">
        <v>0</v>
      </c>
      <c r="AC575" s="1">
        <v>1.9</v>
      </c>
      <c r="AH575" s="1">
        <v>0</v>
      </c>
      <c r="AI575" s="1">
        <v>1</v>
      </c>
      <c r="AJ575" s="1" t="s">
        <v>2598</v>
      </c>
      <c r="AK575" s="1" t="s">
        <v>206</v>
      </c>
      <c r="AL575" s="1" t="s">
        <v>228</v>
      </c>
      <c r="AN575" s="22" t="s">
        <v>9767</v>
      </c>
      <c r="AX575" s="1">
        <v>1</v>
      </c>
      <c r="AZ575" s="1">
        <v>0.25</v>
      </c>
      <c r="BG575" s="1" t="str">
        <f t="shared" si="217"/>
        <v>enemy_1187_krghd</v>
      </c>
      <c r="BM575" s="1" t="s">
        <v>930</v>
      </c>
      <c r="BN575" s="1" t="s">
        <v>2599</v>
      </c>
      <c r="BQ575" s="1" t="s">
        <v>207</v>
      </c>
      <c r="BR575" s="1" t="s">
        <v>208</v>
      </c>
      <c r="BS575" s="1" t="s">
        <v>229</v>
      </c>
      <c r="BT575" s="1" t="s">
        <v>210</v>
      </c>
      <c r="BX575" s="1">
        <v>1</v>
      </c>
    </row>
    <row r="576" spans="1:76" x14ac:dyDescent="0.25">
      <c r="A576" s="1" t="s">
        <v>2600</v>
      </c>
      <c r="B576" s="1" t="s">
        <v>203</v>
      </c>
      <c r="C576" s="1">
        <v>1</v>
      </c>
      <c r="D576" s="1" t="s">
        <v>2601</v>
      </c>
      <c r="E576" s="1">
        <v>1187</v>
      </c>
      <c r="F576" s="1" t="str">
        <f t="shared" si="216"/>
        <v>enemy_1187_krghd_2</v>
      </c>
      <c r="G576" s="1">
        <v>1</v>
      </c>
      <c r="L576" s="1">
        <v>4500</v>
      </c>
      <c r="N576" s="1">
        <v>340</v>
      </c>
      <c r="P576" s="1">
        <v>0</v>
      </c>
      <c r="R576" s="1">
        <v>20</v>
      </c>
      <c r="Z576" s="1">
        <v>0.05</v>
      </c>
      <c r="AA576" s="1">
        <v>1.4</v>
      </c>
      <c r="AB576" s="1">
        <v>0</v>
      </c>
      <c r="AC576" s="1">
        <v>1.9</v>
      </c>
      <c r="AH576" s="1">
        <v>0</v>
      </c>
      <c r="AI576" s="1">
        <v>1</v>
      </c>
      <c r="AJ576" s="1" t="s">
        <v>2602</v>
      </c>
      <c r="AK576" s="1" t="s">
        <v>206</v>
      </c>
      <c r="AL576" s="1" t="s">
        <v>228</v>
      </c>
      <c r="AN576" s="22" t="s">
        <v>9767</v>
      </c>
      <c r="AX576" s="1">
        <v>1</v>
      </c>
      <c r="AZ576" s="1">
        <v>0.25</v>
      </c>
      <c r="BG576" s="1" t="str">
        <f t="shared" si="217"/>
        <v>enemy_1187_krghd_2</v>
      </c>
      <c r="BM576" s="1" t="s">
        <v>930</v>
      </c>
      <c r="BN576" s="1" t="s">
        <v>2599</v>
      </c>
      <c r="BQ576" s="1" t="s">
        <v>207</v>
      </c>
      <c r="BR576" s="1" t="s">
        <v>208</v>
      </c>
      <c r="BS576" s="1" t="s">
        <v>229</v>
      </c>
      <c r="BT576" s="1" t="s">
        <v>210</v>
      </c>
      <c r="BX576" s="1">
        <v>1</v>
      </c>
    </row>
    <row r="577" spans="1:76" x14ac:dyDescent="0.25">
      <c r="A577" s="1" t="s">
        <v>2603</v>
      </c>
      <c r="B577" s="1" t="s">
        <v>203</v>
      </c>
      <c r="C577" s="1">
        <v>1</v>
      </c>
      <c r="D577" s="1" t="s">
        <v>2604</v>
      </c>
      <c r="E577" s="1">
        <v>1188</v>
      </c>
      <c r="F577" s="1" t="str">
        <f t="shared" si="216"/>
        <v>enemy_1188_krgdrn</v>
      </c>
      <c r="G577" s="1">
        <v>1</v>
      </c>
      <c r="L577" s="1">
        <v>5000</v>
      </c>
      <c r="N577" s="1">
        <v>300</v>
      </c>
      <c r="P577" s="1">
        <v>100</v>
      </c>
      <c r="R577" s="1">
        <v>20</v>
      </c>
      <c r="Z577" s="1">
        <v>0.05</v>
      </c>
      <c r="AA577" s="1">
        <v>3</v>
      </c>
      <c r="AB577" s="1">
        <v>0</v>
      </c>
      <c r="AC577" s="1">
        <v>0.7</v>
      </c>
      <c r="AH577" s="1">
        <v>0</v>
      </c>
      <c r="AI577" s="1">
        <v>1</v>
      </c>
      <c r="AJ577" s="1" t="s">
        <v>2605</v>
      </c>
      <c r="AK577" s="1" t="s">
        <v>206</v>
      </c>
      <c r="AL577" s="1" t="s">
        <v>228</v>
      </c>
      <c r="AN577" s="22" t="s">
        <v>9767</v>
      </c>
      <c r="AX577" s="1">
        <v>1</v>
      </c>
      <c r="AZ577" s="1">
        <v>0.25</v>
      </c>
      <c r="BG577" s="1" t="str">
        <f t="shared" si="217"/>
        <v>enemy_1188_krgdrn</v>
      </c>
      <c r="BM577" s="1" t="s">
        <v>1027</v>
      </c>
      <c r="BN577" s="1" t="s">
        <v>2606</v>
      </c>
      <c r="BQ577" s="1" t="s">
        <v>207</v>
      </c>
      <c r="BR577" s="1" t="s">
        <v>208</v>
      </c>
      <c r="BS577" s="1" t="s">
        <v>229</v>
      </c>
      <c r="BT577" s="1" t="s">
        <v>210</v>
      </c>
      <c r="BX577" s="1">
        <v>1</v>
      </c>
    </row>
    <row r="578" spans="1:76" x14ac:dyDescent="0.25">
      <c r="A578" s="1" t="s">
        <v>2607</v>
      </c>
      <c r="B578" s="1" t="s">
        <v>203</v>
      </c>
      <c r="C578" s="1">
        <v>1</v>
      </c>
      <c r="D578" s="1" t="s">
        <v>2608</v>
      </c>
      <c r="E578" s="1">
        <v>1188</v>
      </c>
      <c r="F578" s="1" t="str">
        <f t="shared" si="216"/>
        <v>enemy_1188_krgdrn_2</v>
      </c>
      <c r="G578" s="1">
        <v>1</v>
      </c>
      <c r="L578" s="1">
        <v>7000</v>
      </c>
      <c r="N578" s="1">
        <v>350</v>
      </c>
      <c r="P578" s="1">
        <v>150</v>
      </c>
      <c r="R578" s="1">
        <v>20</v>
      </c>
      <c r="Z578" s="1">
        <v>0.05</v>
      </c>
      <c r="AA578" s="1">
        <v>3</v>
      </c>
      <c r="AB578" s="1">
        <v>0</v>
      </c>
      <c r="AC578" s="1">
        <v>0.7</v>
      </c>
      <c r="AH578" s="1">
        <v>0</v>
      </c>
      <c r="AI578" s="1">
        <v>1</v>
      </c>
      <c r="AJ578" s="1" t="s">
        <v>2609</v>
      </c>
      <c r="AK578" s="1" t="s">
        <v>206</v>
      </c>
      <c r="AL578" s="1" t="s">
        <v>228</v>
      </c>
      <c r="AN578" s="22" t="s">
        <v>9767</v>
      </c>
      <c r="AX578" s="1">
        <v>1</v>
      </c>
      <c r="AZ578" s="1">
        <v>0.25</v>
      </c>
      <c r="BG578" s="1" t="str">
        <f t="shared" si="217"/>
        <v>enemy_1188_krgdrn_2</v>
      </c>
      <c r="BM578" s="1" t="s">
        <v>1027</v>
      </c>
      <c r="BN578" s="1" t="s">
        <v>2610</v>
      </c>
      <c r="BQ578" s="1" t="s">
        <v>207</v>
      </c>
      <c r="BR578" s="1" t="s">
        <v>208</v>
      </c>
      <c r="BS578" s="1" t="s">
        <v>229</v>
      </c>
      <c r="BT578" s="1" t="s">
        <v>210</v>
      </c>
      <c r="BX578" s="1">
        <v>1</v>
      </c>
    </row>
    <row r="579" spans="1:76" x14ac:dyDescent="0.25">
      <c r="A579" s="1" t="s">
        <v>2611</v>
      </c>
      <c r="B579" s="1" t="s">
        <v>203</v>
      </c>
      <c r="C579" s="1">
        <v>1</v>
      </c>
      <c r="D579" s="1" t="s">
        <v>2612</v>
      </c>
      <c r="E579" s="1">
        <v>1189</v>
      </c>
      <c r="F579" s="1" t="str">
        <f t="shared" si="216"/>
        <v>enemy_1189_krgaxe</v>
      </c>
      <c r="G579" s="1">
        <v>1</v>
      </c>
      <c r="L579" s="1">
        <v>3000</v>
      </c>
      <c r="N579" s="1">
        <v>300</v>
      </c>
      <c r="P579" s="1">
        <v>100</v>
      </c>
      <c r="R579" s="1">
        <v>20</v>
      </c>
      <c r="Z579" s="1">
        <v>0.05</v>
      </c>
      <c r="AA579" s="1">
        <v>2.2000000000000002</v>
      </c>
      <c r="AB579" s="1">
        <v>1</v>
      </c>
      <c r="AC579" s="1">
        <v>0.9</v>
      </c>
      <c r="AH579" s="1">
        <v>0</v>
      </c>
      <c r="AI579" s="1">
        <v>1</v>
      </c>
      <c r="AJ579" s="1" t="s">
        <v>2613</v>
      </c>
      <c r="AK579" s="1" t="s">
        <v>206</v>
      </c>
      <c r="AL579" s="1" t="s">
        <v>228</v>
      </c>
      <c r="AN579" s="22" t="s">
        <v>9767</v>
      </c>
      <c r="AX579" s="1">
        <v>1</v>
      </c>
      <c r="AZ579" s="1">
        <v>0.25</v>
      </c>
      <c r="BG579" s="1" t="str">
        <f t="shared" si="217"/>
        <v>enemy_1189_krgaxe</v>
      </c>
      <c r="BM579" s="1" t="s">
        <v>930</v>
      </c>
      <c r="BN579" s="1" t="s">
        <v>2614</v>
      </c>
      <c r="BQ579" s="1" t="s">
        <v>207</v>
      </c>
      <c r="BR579" s="1" t="s">
        <v>208</v>
      </c>
      <c r="BS579" s="1" t="s">
        <v>229</v>
      </c>
      <c r="BT579" s="1" t="s">
        <v>210</v>
      </c>
      <c r="BX579" s="1">
        <v>1</v>
      </c>
    </row>
    <row r="580" spans="1:76" x14ac:dyDescent="0.25">
      <c r="A580" s="1" t="s">
        <v>2615</v>
      </c>
      <c r="B580" s="1" t="s">
        <v>203</v>
      </c>
      <c r="C580" s="1">
        <v>1</v>
      </c>
      <c r="D580" s="1" t="s">
        <v>2616</v>
      </c>
      <c r="E580" s="1">
        <v>1189</v>
      </c>
      <c r="F580" s="1" t="str">
        <f t="shared" si="216"/>
        <v>enemy_1189_krgaxe_2</v>
      </c>
      <c r="G580" s="1">
        <v>1</v>
      </c>
      <c r="L580" s="1">
        <v>4000</v>
      </c>
      <c r="N580" s="1">
        <v>350</v>
      </c>
      <c r="P580" s="1">
        <v>150</v>
      </c>
      <c r="R580" s="1">
        <v>20</v>
      </c>
      <c r="Z580" s="1">
        <v>0.05</v>
      </c>
      <c r="AA580" s="1">
        <v>2.2000000000000002</v>
      </c>
      <c r="AB580" s="1">
        <v>1</v>
      </c>
      <c r="AC580" s="1">
        <v>0.9</v>
      </c>
      <c r="AH580" s="1">
        <v>0</v>
      </c>
      <c r="AI580" s="1">
        <v>1</v>
      </c>
      <c r="AJ580" s="1" t="s">
        <v>2617</v>
      </c>
      <c r="AK580" s="1" t="s">
        <v>206</v>
      </c>
      <c r="AL580" s="1" t="s">
        <v>228</v>
      </c>
      <c r="AN580" s="22" t="s">
        <v>9767</v>
      </c>
      <c r="AX580" s="1">
        <v>1</v>
      </c>
      <c r="AZ580" s="1">
        <v>0.25</v>
      </c>
      <c r="BG580" s="1" t="str">
        <f t="shared" si="217"/>
        <v>enemy_1189_krgaxe_2</v>
      </c>
      <c r="BM580" s="1" t="s">
        <v>930</v>
      </c>
      <c r="BN580" s="1" t="s">
        <v>2618</v>
      </c>
      <c r="BQ580" s="1" t="s">
        <v>207</v>
      </c>
      <c r="BR580" s="1" t="s">
        <v>208</v>
      </c>
      <c r="BS580" s="1" t="s">
        <v>229</v>
      </c>
      <c r="BT580" s="1" t="s">
        <v>210</v>
      </c>
      <c r="BX580" s="1">
        <v>1</v>
      </c>
    </row>
    <row r="581" spans="1:76" x14ac:dyDescent="0.25">
      <c r="A581" s="1" t="s">
        <v>2619</v>
      </c>
      <c r="B581" s="1" t="s">
        <v>203</v>
      </c>
      <c r="C581" s="1">
        <v>1</v>
      </c>
      <c r="D581" s="1" t="s">
        <v>2620</v>
      </c>
      <c r="E581" s="1">
        <v>1190</v>
      </c>
      <c r="F581" s="1" t="str">
        <f t="shared" si="216"/>
        <v>enemy_1190_krgbow</v>
      </c>
      <c r="G581" s="1">
        <v>1</v>
      </c>
      <c r="L581" s="1">
        <v>3500</v>
      </c>
      <c r="N581" s="1">
        <v>350</v>
      </c>
      <c r="P581" s="1">
        <v>100</v>
      </c>
      <c r="R581" s="1">
        <v>20</v>
      </c>
      <c r="Z581" s="1">
        <v>0.05</v>
      </c>
      <c r="AA581" s="1">
        <v>3.5</v>
      </c>
      <c r="AB581" s="1">
        <v>1</v>
      </c>
      <c r="AC581" s="1">
        <v>1.1000000000000001</v>
      </c>
      <c r="AH581" s="1">
        <v>0</v>
      </c>
      <c r="AI581" s="1">
        <v>1</v>
      </c>
      <c r="AJ581" s="1" t="s">
        <v>2621</v>
      </c>
      <c r="AK581" s="1" t="s">
        <v>206</v>
      </c>
      <c r="AL581" s="1" t="s">
        <v>228</v>
      </c>
      <c r="AN581" s="22" t="s">
        <v>9767</v>
      </c>
      <c r="AX581" s="1">
        <v>1</v>
      </c>
      <c r="AZ581" s="1">
        <v>0.25</v>
      </c>
      <c r="BG581" s="1" t="str">
        <f t="shared" si="217"/>
        <v>enemy_1190_krgbow</v>
      </c>
      <c r="BM581" s="1" t="s">
        <v>936</v>
      </c>
      <c r="BN581" s="1" t="s">
        <v>2622</v>
      </c>
      <c r="BQ581" s="1" t="s">
        <v>207</v>
      </c>
      <c r="BR581" s="1" t="s">
        <v>208</v>
      </c>
      <c r="BS581" s="1" t="s">
        <v>229</v>
      </c>
      <c r="BT581" s="1" t="s">
        <v>210</v>
      </c>
      <c r="BX581" s="1">
        <v>1</v>
      </c>
    </row>
    <row r="582" spans="1:76" x14ac:dyDescent="0.25">
      <c r="A582" s="1" t="s">
        <v>2623</v>
      </c>
      <c r="B582" s="1" t="s">
        <v>203</v>
      </c>
      <c r="C582" s="1">
        <v>1</v>
      </c>
      <c r="D582" s="1" t="s">
        <v>2624</v>
      </c>
      <c r="E582" s="1">
        <v>1190</v>
      </c>
      <c r="F582" s="1" t="str">
        <f t="shared" si="216"/>
        <v>enemy_1190_krgbow_2</v>
      </c>
      <c r="G582" s="1">
        <v>1</v>
      </c>
      <c r="L582" s="1">
        <v>5000</v>
      </c>
      <c r="N582" s="1">
        <v>450</v>
      </c>
      <c r="P582" s="1">
        <v>150</v>
      </c>
      <c r="R582" s="1">
        <v>20</v>
      </c>
      <c r="Z582" s="1">
        <v>0.05</v>
      </c>
      <c r="AA582" s="1">
        <v>3.5</v>
      </c>
      <c r="AB582" s="1">
        <v>1</v>
      </c>
      <c r="AC582" s="1">
        <v>1.1000000000000001</v>
      </c>
      <c r="AH582" s="1">
        <v>0</v>
      </c>
      <c r="AI582" s="1">
        <v>1</v>
      </c>
      <c r="AJ582" s="1" t="s">
        <v>2625</v>
      </c>
      <c r="AK582" s="1" t="s">
        <v>206</v>
      </c>
      <c r="AL582" s="1" t="s">
        <v>228</v>
      </c>
      <c r="AN582" s="22" t="s">
        <v>9767</v>
      </c>
      <c r="AX582" s="1">
        <v>1</v>
      </c>
      <c r="AZ582" s="1">
        <v>0.25</v>
      </c>
      <c r="BG582" s="1" t="str">
        <f t="shared" si="217"/>
        <v>enemy_1190_krgbow_2</v>
      </c>
      <c r="BM582" s="1" t="s">
        <v>936</v>
      </c>
      <c r="BN582" s="1" t="s">
        <v>2626</v>
      </c>
      <c r="BQ582" s="1" t="s">
        <v>207</v>
      </c>
      <c r="BR582" s="1" t="s">
        <v>208</v>
      </c>
      <c r="BS582" s="1" t="s">
        <v>229</v>
      </c>
      <c r="BT582" s="1" t="s">
        <v>210</v>
      </c>
      <c r="BX582" s="1">
        <v>1</v>
      </c>
    </row>
    <row r="583" spans="1:76" x14ac:dyDescent="0.25">
      <c r="A583" s="1" t="s">
        <v>2627</v>
      </c>
      <c r="B583" s="1" t="s">
        <v>203</v>
      </c>
      <c r="C583" s="1">
        <v>1</v>
      </c>
      <c r="D583" s="1" t="s">
        <v>2628</v>
      </c>
      <c r="E583" s="1">
        <v>1192</v>
      </c>
      <c r="F583" s="1" t="str">
        <f t="shared" si="216"/>
        <v>enemy_1192_krgscr</v>
      </c>
      <c r="G583" s="1">
        <v>1</v>
      </c>
      <c r="L583" s="1">
        <v>5000</v>
      </c>
      <c r="N583" s="1">
        <v>250</v>
      </c>
      <c r="P583" s="1">
        <v>200</v>
      </c>
      <c r="R583" s="1">
        <v>50</v>
      </c>
      <c r="Z583" s="1">
        <v>0.05</v>
      </c>
      <c r="AA583" s="1">
        <v>4.5</v>
      </c>
      <c r="AB583" s="1">
        <v>2</v>
      </c>
      <c r="AC583" s="1">
        <v>0.7</v>
      </c>
      <c r="AH583" s="1">
        <v>0</v>
      </c>
      <c r="AI583" s="1">
        <v>1</v>
      </c>
      <c r="AJ583" s="1" t="s">
        <v>2629</v>
      </c>
      <c r="AK583" s="1" t="s">
        <v>206</v>
      </c>
      <c r="AL583" s="1" t="s">
        <v>228</v>
      </c>
      <c r="AN583" s="22" t="s">
        <v>9767</v>
      </c>
      <c r="AX583" s="1">
        <v>1</v>
      </c>
      <c r="AZ583" s="1">
        <v>0.25</v>
      </c>
      <c r="BG583" s="1" t="str">
        <f t="shared" si="217"/>
        <v>enemy_1192_krgscr</v>
      </c>
      <c r="BM583" s="1" t="s">
        <v>936</v>
      </c>
      <c r="BN583" s="1" t="s">
        <v>2630</v>
      </c>
      <c r="BQ583" s="1" t="s">
        <v>207</v>
      </c>
      <c r="BR583" s="1" t="s">
        <v>208</v>
      </c>
      <c r="BS583" s="1" t="s">
        <v>229</v>
      </c>
      <c r="BT583" s="1" t="s">
        <v>210</v>
      </c>
      <c r="BX583" s="1">
        <v>1</v>
      </c>
    </row>
    <row r="584" spans="1:76" x14ac:dyDescent="0.25">
      <c r="A584" s="1" t="s">
        <v>2631</v>
      </c>
      <c r="B584" s="1" t="s">
        <v>203</v>
      </c>
      <c r="C584" s="1">
        <v>1</v>
      </c>
      <c r="D584" s="1" t="s">
        <v>2632</v>
      </c>
      <c r="E584" s="1">
        <v>1192</v>
      </c>
      <c r="F584" s="1" t="str">
        <f t="shared" si="216"/>
        <v>enemy_1192_krgscr_2</v>
      </c>
      <c r="G584" s="1">
        <v>1</v>
      </c>
      <c r="L584" s="1">
        <v>8000</v>
      </c>
      <c r="N584" s="1">
        <v>320</v>
      </c>
      <c r="P584" s="1">
        <v>200</v>
      </c>
      <c r="R584" s="1">
        <v>50</v>
      </c>
      <c r="Z584" s="1">
        <v>0.05</v>
      </c>
      <c r="AA584" s="1">
        <v>4</v>
      </c>
      <c r="AB584" s="1">
        <v>2</v>
      </c>
      <c r="AC584" s="1">
        <v>0.7</v>
      </c>
      <c r="AH584" s="1">
        <v>0</v>
      </c>
      <c r="AI584" s="1">
        <v>1</v>
      </c>
      <c r="AJ584" s="1" t="s">
        <v>2633</v>
      </c>
      <c r="AK584" s="1" t="s">
        <v>206</v>
      </c>
      <c r="AL584" s="1" t="s">
        <v>228</v>
      </c>
      <c r="AN584" s="22" t="s">
        <v>9767</v>
      </c>
      <c r="AX584" s="1">
        <v>1</v>
      </c>
      <c r="AZ584" s="1">
        <v>0.25</v>
      </c>
      <c r="BG584" s="1" t="str">
        <f t="shared" si="217"/>
        <v>enemy_1192_krgscr_2</v>
      </c>
      <c r="BM584" s="1" t="s">
        <v>936</v>
      </c>
      <c r="BN584" s="1" t="s">
        <v>2630</v>
      </c>
      <c r="BQ584" s="1" t="s">
        <v>207</v>
      </c>
      <c r="BR584" s="1" t="s">
        <v>208</v>
      </c>
      <c r="BS584" s="1" t="s">
        <v>229</v>
      </c>
      <c r="BT584" s="1" t="s">
        <v>210</v>
      </c>
      <c r="BX584" s="1">
        <v>1</v>
      </c>
    </row>
    <row r="585" spans="1:76" x14ac:dyDescent="0.25">
      <c r="A585" s="1" t="s">
        <v>2634</v>
      </c>
      <c r="B585" s="1" t="s">
        <v>203</v>
      </c>
      <c r="C585" s="1">
        <v>1</v>
      </c>
      <c r="D585" s="1" t="s">
        <v>2635</v>
      </c>
      <c r="E585" s="1">
        <v>1193</v>
      </c>
      <c r="F585" s="1" t="str">
        <f t="shared" si="216"/>
        <v>enemy_1193_krgbsk</v>
      </c>
      <c r="G585" s="1">
        <v>1</v>
      </c>
      <c r="L585" s="1">
        <v>12000</v>
      </c>
      <c r="N585" s="1">
        <v>800</v>
      </c>
      <c r="P585" s="1">
        <v>800</v>
      </c>
      <c r="R585" s="1">
        <v>20</v>
      </c>
      <c r="Z585" s="1">
        <v>0.05</v>
      </c>
      <c r="AA585" s="1">
        <v>4</v>
      </c>
      <c r="AB585" s="1">
        <v>4</v>
      </c>
      <c r="AC585" s="1">
        <v>0.7</v>
      </c>
      <c r="AH585" s="1">
        <v>0</v>
      </c>
      <c r="AI585" s="1">
        <v>1</v>
      </c>
      <c r="AJ585" s="1" t="s">
        <v>2636</v>
      </c>
      <c r="AK585" s="1" t="s">
        <v>206</v>
      </c>
      <c r="AL585" s="1" t="s">
        <v>228</v>
      </c>
      <c r="AN585" s="22" t="s">
        <v>9767</v>
      </c>
      <c r="AX585" s="1">
        <v>1</v>
      </c>
      <c r="AZ585" s="1">
        <v>0.25</v>
      </c>
      <c r="BG585" s="1" t="str">
        <f t="shared" si="217"/>
        <v>enemy_1193_krgbsk</v>
      </c>
      <c r="BM585" s="1" t="s">
        <v>989</v>
      </c>
      <c r="BN585" s="1" t="s">
        <v>2637</v>
      </c>
      <c r="BQ585" s="1" t="s">
        <v>207</v>
      </c>
      <c r="BR585" s="1" t="s">
        <v>208</v>
      </c>
      <c r="BS585" s="1" t="s">
        <v>229</v>
      </c>
      <c r="BT585" s="1" t="s">
        <v>210</v>
      </c>
      <c r="BX585" s="1">
        <v>1</v>
      </c>
    </row>
    <row r="586" spans="1:76" x14ac:dyDescent="0.25">
      <c r="A586" s="1" t="s">
        <v>2638</v>
      </c>
      <c r="B586" s="1" t="s">
        <v>203</v>
      </c>
      <c r="C586" s="1">
        <v>1</v>
      </c>
      <c r="D586" s="1" t="s">
        <v>2639</v>
      </c>
      <c r="E586" s="1">
        <v>1193</v>
      </c>
      <c r="F586" s="1" t="str">
        <f t="shared" si="216"/>
        <v>enemy_1193_krgbsk_2</v>
      </c>
      <c r="G586" s="1">
        <v>1</v>
      </c>
      <c r="L586" s="1">
        <v>18000</v>
      </c>
      <c r="N586" s="1">
        <v>1000</v>
      </c>
      <c r="P586" s="1">
        <v>1000</v>
      </c>
      <c r="R586" s="1">
        <v>20</v>
      </c>
      <c r="Z586" s="1">
        <v>0.05</v>
      </c>
      <c r="AA586" s="1">
        <v>4</v>
      </c>
      <c r="AB586" s="1">
        <v>4</v>
      </c>
      <c r="AC586" s="1">
        <v>0.7</v>
      </c>
      <c r="AH586" s="1">
        <v>0</v>
      </c>
      <c r="AI586" s="1">
        <v>1</v>
      </c>
      <c r="AJ586" s="1" t="s">
        <v>2640</v>
      </c>
      <c r="AK586" s="1" t="s">
        <v>206</v>
      </c>
      <c r="AL586" s="1" t="s">
        <v>228</v>
      </c>
      <c r="AN586" s="22" t="s">
        <v>9767</v>
      </c>
      <c r="AX586" s="1">
        <v>1</v>
      </c>
      <c r="AZ586" s="1">
        <v>0.25</v>
      </c>
      <c r="BG586" s="1" t="str">
        <f t="shared" si="217"/>
        <v>enemy_1193_krgbsk_2</v>
      </c>
      <c r="BM586" s="1" t="s">
        <v>989</v>
      </c>
      <c r="BN586" s="1" t="s">
        <v>2641</v>
      </c>
      <c r="BQ586" s="1" t="s">
        <v>207</v>
      </c>
      <c r="BR586" s="1" t="s">
        <v>208</v>
      </c>
      <c r="BS586" s="1" t="s">
        <v>229</v>
      </c>
      <c r="BT586" s="1" t="s">
        <v>210</v>
      </c>
      <c r="BX586" s="1">
        <v>1</v>
      </c>
    </row>
    <row r="587" spans="1:76" x14ac:dyDescent="0.25">
      <c r="A587" s="1" t="s">
        <v>2642</v>
      </c>
      <c r="B587" s="1" t="s">
        <v>203</v>
      </c>
      <c r="C587" s="1">
        <v>1</v>
      </c>
      <c r="D587" s="1" t="s">
        <v>2643</v>
      </c>
      <c r="E587" s="1">
        <v>1191</v>
      </c>
      <c r="F587" s="1" t="str">
        <f t="shared" si="216"/>
        <v>enemy_1191_krgrg</v>
      </c>
      <c r="G587" s="1">
        <v>1</v>
      </c>
      <c r="L587" s="1">
        <v>5000</v>
      </c>
      <c r="N587" s="1">
        <v>600</v>
      </c>
      <c r="P587" s="1">
        <v>250</v>
      </c>
      <c r="R587" s="1">
        <v>50</v>
      </c>
      <c r="Z587" s="1">
        <v>0.05</v>
      </c>
      <c r="AA587" s="1">
        <v>2.5</v>
      </c>
      <c r="AB587" s="1">
        <v>1</v>
      </c>
      <c r="AC587" s="1">
        <v>0.7</v>
      </c>
      <c r="AH587" s="1">
        <v>0</v>
      </c>
      <c r="AI587" s="1">
        <v>1</v>
      </c>
      <c r="AJ587" s="1" t="s">
        <v>2644</v>
      </c>
      <c r="AK587" s="1" t="s">
        <v>206</v>
      </c>
      <c r="AL587" s="1" t="s">
        <v>228</v>
      </c>
      <c r="AN587" s="22" t="s">
        <v>9767</v>
      </c>
      <c r="AX587" s="1">
        <v>1</v>
      </c>
      <c r="AZ587" s="1">
        <v>0.25</v>
      </c>
      <c r="BG587" s="1" t="str">
        <f t="shared" si="217"/>
        <v>enemy_1191_krgrg</v>
      </c>
      <c r="BM587" s="1" t="s">
        <v>989</v>
      </c>
      <c r="BN587" s="1" t="s">
        <v>2645</v>
      </c>
      <c r="BQ587" s="1" t="s">
        <v>207</v>
      </c>
      <c r="BR587" s="1" t="s">
        <v>208</v>
      </c>
      <c r="BS587" s="1" t="s">
        <v>229</v>
      </c>
      <c r="BT587" s="1" t="s">
        <v>210</v>
      </c>
      <c r="BX587" s="1">
        <v>1</v>
      </c>
    </row>
    <row r="588" spans="1:76" x14ac:dyDescent="0.25">
      <c r="A588" s="1" t="s">
        <v>2646</v>
      </c>
      <c r="B588" s="1" t="s">
        <v>203</v>
      </c>
      <c r="C588" s="1">
        <v>1</v>
      </c>
      <c r="D588" s="1" t="s">
        <v>2647</v>
      </c>
      <c r="E588" s="1">
        <v>1191</v>
      </c>
      <c r="F588" s="1" t="str">
        <f t="shared" si="216"/>
        <v>enemy_1191_krgrg_2</v>
      </c>
      <c r="G588" s="1">
        <v>1</v>
      </c>
      <c r="L588" s="1">
        <v>7000</v>
      </c>
      <c r="N588" s="1">
        <v>800</v>
      </c>
      <c r="P588" s="1">
        <v>350</v>
      </c>
      <c r="R588" s="1">
        <v>50</v>
      </c>
      <c r="Z588" s="1">
        <v>0.05</v>
      </c>
      <c r="AA588" s="1">
        <v>2.5</v>
      </c>
      <c r="AB588" s="1">
        <v>1</v>
      </c>
      <c r="AC588" s="1">
        <v>0.7</v>
      </c>
      <c r="AH588" s="1">
        <v>0</v>
      </c>
      <c r="AI588" s="1">
        <v>1</v>
      </c>
      <c r="AJ588" s="1" t="s">
        <v>2648</v>
      </c>
      <c r="AK588" s="1" t="s">
        <v>206</v>
      </c>
      <c r="AL588" s="1" t="s">
        <v>228</v>
      </c>
      <c r="AN588" s="22" t="s">
        <v>9767</v>
      </c>
      <c r="AX588" s="1">
        <v>1</v>
      </c>
      <c r="AZ588" s="1">
        <v>0.25</v>
      </c>
      <c r="BG588" s="1" t="str">
        <f t="shared" si="217"/>
        <v>enemy_1191_krgrg_2</v>
      </c>
      <c r="BM588" s="1" t="s">
        <v>989</v>
      </c>
      <c r="BN588" s="1" t="s">
        <v>2645</v>
      </c>
      <c r="BQ588" s="1" t="s">
        <v>207</v>
      </c>
      <c r="BR588" s="1" t="s">
        <v>208</v>
      </c>
      <c r="BS588" s="1" t="s">
        <v>229</v>
      </c>
      <c r="BT588" s="1" t="s">
        <v>210</v>
      </c>
      <c r="BX588" s="1">
        <v>1</v>
      </c>
    </row>
    <row r="589" spans="1:76" x14ac:dyDescent="0.25">
      <c r="A589" s="1" t="s">
        <v>2649</v>
      </c>
      <c r="B589" s="1" t="s">
        <v>203</v>
      </c>
      <c r="C589" s="1">
        <v>1</v>
      </c>
      <c r="D589" s="1" t="s">
        <v>2650</v>
      </c>
      <c r="E589" s="1">
        <v>1194</v>
      </c>
      <c r="F589" s="1" t="str">
        <f t="shared" si="216"/>
        <v>enemy_1194_krgmtr</v>
      </c>
      <c r="G589" s="1">
        <v>1</v>
      </c>
      <c r="L589" s="1">
        <v>15000</v>
      </c>
      <c r="N589" s="1">
        <v>600</v>
      </c>
      <c r="P589" s="1">
        <v>600</v>
      </c>
      <c r="R589" s="1">
        <v>50</v>
      </c>
      <c r="Z589" s="1">
        <v>0.05</v>
      </c>
      <c r="AA589" s="1">
        <v>3.7</v>
      </c>
      <c r="AB589" s="1">
        <v>5</v>
      </c>
      <c r="AC589" s="1">
        <v>0.9</v>
      </c>
      <c r="AH589" s="1">
        <v>0</v>
      </c>
      <c r="AI589" s="1">
        <v>1</v>
      </c>
      <c r="AJ589" s="1" t="s">
        <v>2651</v>
      </c>
      <c r="AK589" s="1" t="s">
        <v>206</v>
      </c>
      <c r="AL589" s="1" t="s">
        <v>228</v>
      </c>
      <c r="AN589" s="22" t="s">
        <v>9767</v>
      </c>
      <c r="AX589" s="1">
        <v>1</v>
      </c>
      <c r="AZ589" s="1">
        <v>0.25</v>
      </c>
      <c r="BG589" s="1" t="str">
        <f t="shared" si="217"/>
        <v>enemy_1194_krgmtr</v>
      </c>
      <c r="BM589" s="1" t="s">
        <v>957</v>
      </c>
      <c r="BN589" s="1" t="s">
        <v>2652</v>
      </c>
      <c r="BQ589" s="1" t="s">
        <v>207</v>
      </c>
      <c r="BR589" s="1" t="s">
        <v>208</v>
      </c>
      <c r="BS589" s="1" t="s">
        <v>229</v>
      </c>
      <c r="BT589" s="1" t="s">
        <v>210</v>
      </c>
      <c r="BX589" s="1">
        <v>1</v>
      </c>
    </row>
    <row r="590" spans="1:76" x14ac:dyDescent="0.25">
      <c r="A590" s="1" t="s">
        <v>2653</v>
      </c>
      <c r="B590" s="1" t="s">
        <v>203</v>
      </c>
      <c r="C590" s="1">
        <v>1</v>
      </c>
      <c r="D590" s="1" t="s">
        <v>2654</v>
      </c>
      <c r="E590" s="1">
        <v>1194</v>
      </c>
      <c r="F590" s="1" t="str">
        <f t="shared" si="216"/>
        <v>enemy_1194_krgmtr_2</v>
      </c>
      <c r="G590" s="1">
        <v>1</v>
      </c>
      <c r="L590" s="1">
        <v>20000</v>
      </c>
      <c r="N590" s="1">
        <v>800</v>
      </c>
      <c r="P590" s="1">
        <v>700</v>
      </c>
      <c r="R590" s="1">
        <v>50</v>
      </c>
      <c r="Z590" s="1">
        <v>0.05</v>
      </c>
      <c r="AA590" s="1">
        <v>3.7</v>
      </c>
      <c r="AB590" s="1">
        <v>5</v>
      </c>
      <c r="AC590" s="1">
        <v>0.9</v>
      </c>
      <c r="AH590" s="1">
        <v>0</v>
      </c>
      <c r="AI590" s="1">
        <v>1</v>
      </c>
      <c r="AJ590" s="1" t="s">
        <v>2655</v>
      </c>
      <c r="AK590" s="1" t="s">
        <v>206</v>
      </c>
      <c r="AL590" s="1" t="s">
        <v>228</v>
      </c>
      <c r="AN590" s="22" t="s">
        <v>9767</v>
      </c>
      <c r="AX590" s="1">
        <v>1</v>
      </c>
      <c r="AZ590" s="1">
        <v>0.25</v>
      </c>
      <c r="BG590" s="1" t="str">
        <f t="shared" si="217"/>
        <v>enemy_1194_krgmtr_2</v>
      </c>
      <c r="BM590" s="1" t="s">
        <v>957</v>
      </c>
      <c r="BN590" s="1" t="s">
        <v>2652</v>
      </c>
      <c r="BQ590" s="1" t="s">
        <v>207</v>
      </c>
      <c r="BR590" s="1" t="s">
        <v>208</v>
      </c>
      <c r="BS590" s="1" t="s">
        <v>229</v>
      </c>
      <c r="BT590" s="1" t="s">
        <v>210</v>
      </c>
      <c r="BX590" s="1">
        <v>1</v>
      </c>
    </row>
    <row r="591" spans="1:76" x14ac:dyDescent="0.25">
      <c r="A591" s="1" t="s">
        <v>2656</v>
      </c>
      <c r="B591" s="1" t="s">
        <v>203</v>
      </c>
      <c r="C591" s="1">
        <v>1</v>
      </c>
      <c r="D591" s="1" t="s">
        <v>2657</v>
      </c>
      <c r="E591" s="1">
        <v>1525</v>
      </c>
      <c r="F591" s="1" t="str">
        <f t="shared" si="216"/>
        <v>enemy_1525_blkswb</v>
      </c>
      <c r="G591" s="1">
        <v>1</v>
      </c>
      <c r="L591" s="1">
        <v>28000</v>
      </c>
      <c r="N591" s="1">
        <v>900</v>
      </c>
      <c r="P591" s="1">
        <v>600</v>
      </c>
      <c r="R591" s="1">
        <v>50</v>
      </c>
      <c r="Z591" s="1">
        <v>0.05</v>
      </c>
      <c r="AA591" s="1">
        <v>4</v>
      </c>
      <c r="AB591" s="1">
        <v>6</v>
      </c>
      <c r="AC591" s="1">
        <v>0.6</v>
      </c>
      <c r="AH591" s="1">
        <v>0</v>
      </c>
      <c r="AI591" s="1">
        <v>1</v>
      </c>
      <c r="AJ591" s="1" t="s">
        <v>2658</v>
      </c>
      <c r="AK591" s="1" t="s">
        <v>206</v>
      </c>
      <c r="AL591" s="1" t="s">
        <v>228</v>
      </c>
      <c r="AN591" s="22" t="s">
        <v>9767</v>
      </c>
      <c r="AX591" s="1">
        <v>1</v>
      </c>
      <c r="AZ591" s="1">
        <v>0.25</v>
      </c>
      <c r="BG591" s="1" t="str">
        <f t="shared" si="217"/>
        <v>enemy_1525_blkswb</v>
      </c>
      <c r="BM591" s="1" t="s">
        <v>996</v>
      </c>
      <c r="BN591" s="1" t="s">
        <v>2659</v>
      </c>
      <c r="BQ591" s="1" t="s">
        <v>207</v>
      </c>
      <c r="BR591" s="1" t="s">
        <v>2593</v>
      </c>
      <c r="BS591" s="1" t="s">
        <v>2594</v>
      </c>
      <c r="BT591" s="1" t="s">
        <v>2595</v>
      </c>
      <c r="BX591" s="1">
        <v>1</v>
      </c>
    </row>
    <row r="592" spans="1:76" x14ac:dyDescent="0.25">
      <c r="AN592" s="22"/>
    </row>
    <row r="593" spans="1:76" x14ac:dyDescent="0.25">
      <c r="AN593" s="22"/>
    </row>
    <row r="594" spans="1:76" x14ac:dyDescent="0.25">
      <c r="AN594" s="22"/>
    </row>
    <row r="595" spans="1:76" x14ac:dyDescent="0.25">
      <c r="AN595" s="22"/>
    </row>
    <row r="596" spans="1:76" x14ac:dyDescent="0.25">
      <c r="AN596" s="22"/>
    </row>
    <row r="597" spans="1:76" x14ac:dyDescent="0.25">
      <c r="AN597" s="22"/>
    </row>
    <row r="598" spans="1:76" x14ac:dyDescent="0.25">
      <c r="AN598" s="22"/>
    </row>
    <row r="599" spans="1:76" x14ac:dyDescent="0.25">
      <c r="AN599" s="22"/>
    </row>
    <row r="600" spans="1:76" x14ac:dyDescent="0.25">
      <c r="AN600" s="22"/>
    </row>
    <row r="601" spans="1:76" x14ac:dyDescent="0.25">
      <c r="AN601" s="22"/>
    </row>
    <row r="602" spans="1:76" x14ac:dyDescent="0.25">
      <c r="AN602" s="22"/>
    </row>
    <row r="603" spans="1:76" x14ac:dyDescent="0.25">
      <c r="A603" s="1" t="s">
        <v>2705</v>
      </c>
      <c r="B603" s="1" t="s">
        <v>203</v>
      </c>
      <c r="C603" s="1">
        <v>1</v>
      </c>
      <c r="D603" s="1" t="s">
        <v>2706</v>
      </c>
      <c r="E603" s="1">
        <v>1195</v>
      </c>
      <c r="F603" s="1" t="str">
        <f t="shared" si="216"/>
        <v>enemy_1195_sfyin</v>
      </c>
      <c r="G603" s="1">
        <v>1</v>
      </c>
      <c r="L603" s="1">
        <v>2000</v>
      </c>
      <c r="N603" s="1">
        <v>310</v>
      </c>
      <c r="P603" s="1">
        <v>0</v>
      </c>
      <c r="R603" s="1">
        <v>20</v>
      </c>
      <c r="Z603" s="1">
        <v>0.05</v>
      </c>
      <c r="AA603" s="1">
        <v>1.5</v>
      </c>
      <c r="AB603" s="1">
        <v>0</v>
      </c>
      <c r="AC603" s="1">
        <v>1.5</v>
      </c>
      <c r="AH603" s="1">
        <v>0</v>
      </c>
      <c r="AI603" s="1">
        <v>1</v>
      </c>
      <c r="AJ603" s="1" t="s">
        <v>2707</v>
      </c>
      <c r="AK603" s="1" t="s">
        <v>206</v>
      </c>
      <c r="AL603" s="1" t="s">
        <v>228</v>
      </c>
      <c r="AN603" s="22" t="s">
        <v>9767</v>
      </c>
      <c r="AX603" s="1">
        <v>1</v>
      </c>
      <c r="AZ603" s="1">
        <v>0.25</v>
      </c>
      <c r="BG603" s="1" t="str">
        <f t="shared" si="217"/>
        <v>enemy_1195_sfyin</v>
      </c>
      <c r="BM603" s="1" t="s">
        <v>2017</v>
      </c>
      <c r="BN603" s="1" t="s">
        <v>2708</v>
      </c>
      <c r="BQ603" s="1" t="s">
        <v>207</v>
      </c>
      <c r="BR603" s="1" t="s">
        <v>208</v>
      </c>
      <c r="BS603" s="1" t="s">
        <v>229</v>
      </c>
      <c r="BT603" s="1" t="s">
        <v>210</v>
      </c>
      <c r="BX603" s="1">
        <v>1</v>
      </c>
    </row>
    <row r="604" spans="1:76" x14ac:dyDescent="0.25">
      <c r="A604" s="1" t="s">
        <v>2709</v>
      </c>
      <c r="B604" s="1" t="s">
        <v>203</v>
      </c>
      <c r="C604" s="1">
        <v>1</v>
      </c>
      <c r="D604" s="1" t="s">
        <v>2710</v>
      </c>
      <c r="E604" s="1">
        <v>1195</v>
      </c>
      <c r="F604" s="1" t="str">
        <f t="shared" si="216"/>
        <v>enemy_1195_sfyin_2</v>
      </c>
      <c r="G604" s="1">
        <v>1</v>
      </c>
      <c r="L604" s="1">
        <v>3100</v>
      </c>
      <c r="N604" s="1">
        <v>390</v>
      </c>
      <c r="P604" s="1">
        <v>0</v>
      </c>
      <c r="R604" s="1">
        <v>20</v>
      </c>
      <c r="Z604" s="1">
        <v>0.05</v>
      </c>
      <c r="AA604" s="1">
        <v>1.5</v>
      </c>
      <c r="AB604" s="1">
        <v>0</v>
      </c>
      <c r="AC604" s="1">
        <v>1.5</v>
      </c>
      <c r="AH604" s="1">
        <v>0</v>
      </c>
      <c r="AI604" s="1">
        <v>1</v>
      </c>
      <c r="AJ604" s="1" t="s">
        <v>2711</v>
      </c>
      <c r="AK604" s="1" t="s">
        <v>206</v>
      </c>
      <c r="AL604" s="1" t="s">
        <v>228</v>
      </c>
      <c r="AN604" s="22" t="s">
        <v>9767</v>
      </c>
      <c r="AX604" s="1">
        <v>1</v>
      </c>
      <c r="AZ604" s="1">
        <v>0.25</v>
      </c>
      <c r="BG604" s="1" t="str">
        <f t="shared" si="217"/>
        <v>enemy_1195_sfyin_2</v>
      </c>
      <c r="BM604" s="1" t="s">
        <v>2017</v>
      </c>
      <c r="BN604" s="1" t="s">
        <v>2712</v>
      </c>
      <c r="BQ604" s="1" t="s">
        <v>207</v>
      </c>
      <c r="BR604" s="1" t="s">
        <v>208</v>
      </c>
      <c r="BS604" s="1" t="s">
        <v>229</v>
      </c>
      <c r="BT604" s="1" t="s">
        <v>210</v>
      </c>
      <c r="BX604" s="1">
        <v>1</v>
      </c>
    </row>
    <row r="605" spans="1:76" x14ac:dyDescent="0.25">
      <c r="A605" s="1" t="s">
        <v>2713</v>
      </c>
      <c r="B605" s="1" t="s">
        <v>203</v>
      </c>
      <c r="C605" s="1">
        <v>1</v>
      </c>
      <c r="D605" s="1" t="s">
        <v>2714</v>
      </c>
      <c r="E605" s="1">
        <v>1196</v>
      </c>
      <c r="F605" s="1" t="str">
        <f t="shared" si="216"/>
        <v>enemy_1196_msfyin</v>
      </c>
      <c r="G605" s="1">
        <v>1</v>
      </c>
      <c r="L605" s="1">
        <v>2</v>
      </c>
      <c r="N605" s="1">
        <v>0</v>
      </c>
      <c r="P605" s="1">
        <v>0</v>
      </c>
      <c r="R605" s="1">
        <v>0</v>
      </c>
      <c r="Z605" s="1">
        <v>0.05</v>
      </c>
      <c r="AA605" s="1">
        <v>1</v>
      </c>
      <c r="AB605" s="1">
        <v>0</v>
      </c>
      <c r="AC605" s="1">
        <v>0.8</v>
      </c>
      <c r="AH605" s="1">
        <v>0</v>
      </c>
      <c r="AI605" s="1">
        <v>1</v>
      </c>
      <c r="AJ605" s="1" t="s">
        <v>2715</v>
      </c>
      <c r="AK605" s="1" t="s">
        <v>206</v>
      </c>
      <c r="AL605" s="1" t="s">
        <v>228</v>
      </c>
      <c r="AN605" s="22" t="s">
        <v>9767</v>
      </c>
      <c r="AX605" s="1">
        <v>1</v>
      </c>
      <c r="AZ605" s="1">
        <v>0.25</v>
      </c>
      <c r="BG605" s="1" t="str">
        <f t="shared" si="217"/>
        <v>enemy_1196_msfyin</v>
      </c>
      <c r="BM605" s="1" t="s">
        <v>2716</v>
      </c>
      <c r="BN605" s="1" t="s">
        <v>2717</v>
      </c>
      <c r="BQ605" s="1" t="s">
        <v>207</v>
      </c>
      <c r="BR605" s="1" t="s">
        <v>208</v>
      </c>
      <c r="BS605" s="1" t="s">
        <v>229</v>
      </c>
      <c r="BT605" s="1" t="s">
        <v>210</v>
      </c>
      <c r="BX605" s="1">
        <v>1</v>
      </c>
    </row>
    <row r="606" spans="1:76" x14ac:dyDescent="0.25">
      <c r="A606" s="1" t="s">
        <v>2718</v>
      </c>
      <c r="B606" s="1" t="s">
        <v>203</v>
      </c>
      <c r="C606" s="1">
        <v>1</v>
      </c>
      <c r="D606" s="1" t="s">
        <v>2719</v>
      </c>
      <c r="E606" s="1">
        <v>1196</v>
      </c>
      <c r="F606" s="1" t="str">
        <f t="shared" si="216"/>
        <v>enemy_1196_msfyin_2</v>
      </c>
      <c r="G606" s="1">
        <v>1</v>
      </c>
      <c r="L606" s="1">
        <v>3</v>
      </c>
      <c r="N606" s="1">
        <v>0</v>
      </c>
      <c r="P606" s="1">
        <v>0</v>
      </c>
      <c r="R606" s="1">
        <v>0</v>
      </c>
      <c r="Z606" s="1">
        <v>0.05</v>
      </c>
      <c r="AA606" s="1">
        <v>1</v>
      </c>
      <c r="AB606" s="1">
        <v>0</v>
      </c>
      <c r="AC606" s="1">
        <v>0.8</v>
      </c>
      <c r="AH606" s="1">
        <v>0</v>
      </c>
      <c r="AI606" s="1">
        <v>1</v>
      </c>
      <c r="AJ606" s="1" t="s">
        <v>2720</v>
      </c>
      <c r="AK606" s="1" t="s">
        <v>206</v>
      </c>
      <c r="AL606" s="1" t="s">
        <v>228</v>
      </c>
      <c r="AN606" s="22" t="s">
        <v>9767</v>
      </c>
      <c r="AX606" s="1">
        <v>1</v>
      </c>
      <c r="AZ606" s="1">
        <v>0.25</v>
      </c>
      <c r="BG606" s="1" t="str">
        <f t="shared" si="217"/>
        <v>enemy_1196_msfyin_2</v>
      </c>
      <c r="BM606" s="1" t="s">
        <v>2716</v>
      </c>
      <c r="BN606" s="1" t="s">
        <v>2721</v>
      </c>
      <c r="BQ606" s="1" t="s">
        <v>207</v>
      </c>
      <c r="BR606" s="1" t="s">
        <v>208</v>
      </c>
      <c r="BS606" s="1" t="s">
        <v>229</v>
      </c>
      <c r="BT606" s="1" t="s">
        <v>210</v>
      </c>
      <c r="BX606" s="1">
        <v>1</v>
      </c>
    </row>
    <row r="607" spans="1:76" x14ac:dyDescent="0.25">
      <c r="A607" s="1" t="s">
        <v>2722</v>
      </c>
      <c r="B607" s="1" t="s">
        <v>203</v>
      </c>
      <c r="C607" s="1">
        <v>1</v>
      </c>
      <c r="D607" s="1" t="s">
        <v>2723</v>
      </c>
      <c r="E607" s="1">
        <v>1197</v>
      </c>
      <c r="F607" s="1" t="str">
        <f t="shared" si="216"/>
        <v>enemy_1197_sfshu</v>
      </c>
      <c r="G607" s="1">
        <v>1</v>
      </c>
      <c r="L607" s="1">
        <v>2500</v>
      </c>
      <c r="N607" s="1">
        <v>320</v>
      </c>
      <c r="P607" s="1">
        <v>60</v>
      </c>
      <c r="R607" s="1">
        <v>0</v>
      </c>
      <c r="Z607" s="1">
        <v>0.05</v>
      </c>
      <c r="AA607" s="1">
        <v>1.4</v>
      </c>
      <c r="AB607" s="1">
        <v>1</v>
      </c>
      <c r="AC607" s="1">
        <v>1.4</v>
      </c>
      <c r="AH607" s="1">
        <v>0</v>
      </c>
      <c r="AI607" s="1">
        <v>1</v>
      </c>
      <c r="AJ607" s="1" t="s">
        <v>2724</v>
      </c>
      <c r="AK607" s="1" t="s">
        <v>206</v>
      </c>
      <c r="AL607" s="1" t="s">
        <v>228</v>
      </c>
      <c r="AN607" s="22" t="s">
        <v>9767</v>
      </c>
      <c r="AX607" s="1">
        <v>1</v>
      </c>
      <c r="AZ607" s="1">
        <v>0.25</v>
      </c>
      <c r="BG607" s="1" t="str">
        <f t="shared" si="217"/>
        <v>enemy_1197_sfshu</v>
      </c>
      <c r="BM607" s="1" t="s">
        <v>2017</v>
      </c>
      <c r="BN607" s="1" t="s">
        <v>2725</v>
      </c>
      <c r="BQ607" s="1" t="s">
        <v>207</v>
      </c>
      <c r="BR607" s="1" t="s">
        <v>208</v>
      </c>
      <c r="BS607" s="1" t="s">
        <v>229</v>
      </c>
      <c r="BT607" s="1" t="s">
        <v>210</v>
      </c>
      <c r="BX607" s="1">
        <v>1</v>
      </c>
    </row>
    <row r="608" spans="1:76" x14ac:dyDescent="0.25">
      <c r="A608" s="1" t="s">
        <v>2726</v>
      </c>
      <c r="B608" s="1" t="s">
        <v>203</v>
      </c>
      <c r="C608" s="1">
        <v>1</v>
      </c>
      <c r="D608" s="1" t="s">
        <v>2727</v>
      </c>
      <c r="E608" s="1">
        <v>1197</v>
      </c>
      <c r="F608" s="1" t="str">
        <f t="shared" si="216"/>
        <v>enemy_1197_sfshu_2</v>
      </c>
      <c r="G608" s="1">
        <v>1</v>
      </c>
      <c r="L608" s="1">
        <v>3350</v>
      </c>
      <c r="N608" s="1">
        <v>410</v>
      </c>
      <c r="P608" s="1">
        <v>70</v>
      </c>
      <c r="R608" s="1">
        <v>0</v>
      </c>
      <c r="Z608" s="1">
        <v>0.05</v>
      </c>
      <c r="AA608" s="1">
        <v>2</v>
      </c>
      <c r="AB608" s="1">
        <v>1</v>
      </c>
      <c r="AC608" s="1">
        <v>1.4</v>
      </c>
      <c r="AH608" s="1">
        <v>0</v>
      </c>
      <c r="AI608" s="1">
        <v>1</v>
      </c>
      <c r="AJ608" s="1" t="s">
        <v>2728</v>
      </c>
      <c r="AK608" s="1" t="s">
        <v>206</v>
      </c>
      <c r="AL608" s="1" t="s">
        <v>228</v>
      </c>
      <c r="AN608" s="22" t="s">
        <v>9767</v>
      </c>
      <c r="AX608" s="1">
        <v>1</v>
      </c>
      <c r="AZ608" s="1">
        <v>0.25</v>
      </c>
      <c r="BG608" s="1" t="str">
        <f t="shared" si="217"/>
        <v>enemy_1197_sfshu_2</v>
      </c>
      <c r="BM608" s="1" t="s">
        <v>2017</v>
      </c>
      <c r="BN608" s="1" t="s">
        <v>2729</v>
      </c>
      <c r="BQ608" s="1" t="s">
        <v>207</v>
      </c>
      <c r="BR608" s="1" t="s">
        <v>208</v>
      </c>
      <c r="BS608" s="1" t="s">
        <v>229</v>
      </c>
      <c r="BT608" s="1" t="s">
        <v>210</v>
      </c>
      <c r="BX608" s="1">
        <v>1</v>
      </c>
    </row>
    <row r="609" spans="1:76" x14ac:dyDescent="0.25">
      <c r="A609" s="1" t="s">
        <v>2730</v>
      </c>
      <c r="B609" s="1" t="s">
        <v>203</v>
      </c>
      <c r="C609" s="1">
        <v>1</v>
      </c>
      <c r="D609" s="1" t="s">
        <v>2731</v>
      </c>
      <c r="E609" s="1">
        <v>1198</v>
      </c>
      <c r="F609" s="1" t="str">
        <f t="shared" si="216"/>
        <v>enemy_1198_msfshu</v>
      </c>
      <c r="G609" s="1">
        <v>1</v>
      </c>
      <c r="L609" s="1">
        <v>3</v>
      </c>
      <c r="N609" s="1">
        <v>0</v>
      </c>
      <c r="P609" s="1">
        <v>0</v>
      </c>
      <c r="R609" s="1">
        <v>0</v>
      </c>
      <c r="Z609" s="1">
        <v>0.05</v>
      </c>
      <c r="AA609" s="1">
        <v>1</v>
      </c>
      <c r="AB609" s="1">
        <v>0</v>
      </c>
      <c r="AC609" s="1">
        <v>0.9</v>
      </c>
      <c r="AH609" s="1">
        <v>0</v>
      </c>
      <c r="AI609" s="1">
        <v>1</v>
      </c>
      <c r="AJ609" s="1" t="s">
        <v>2732</v>
      </c>
      <c r="AK609" s="1" t="s">
        <v>206</v>
      </c>
      <c r="AL609" s="1" t="s">
        <v>228</v>
      </c>
      <c r="AN609" s="22" t="s">
        <v>9767</v>
      </c>
      <c r="AX609" s="1">
        <v>1</v>
      </c>
      <c r="AZ609" s="1">
        <v>0.25</v>
      </c>
      <c r="BG609" s="1" t="str">
        <f t="shared" si="217"/>
        <v>enemy_1198_msfshu</v>
      </c>
      <c r="BM609" s="1" t="s">
        <v>2716</v>
      </c>
      <c r="BN609" s="1" t="s">
        <v>2721</v>
      </c>
      <c r="BQ609" s="1" t="s">
        <v>207</v>
      </c>
      <c r="BR609" s="1" t="s">
        <v>208</v>
      </c>
      <c r="BS609" s="1" t="s">
        <v>229</v>
      </c>
      <c r="BT609" s="1" t="s">
        <v>210</v>
      </c>
      <c r="BX609" s="1">
        <v>1</v>
      </c>
    </row>
    <row r="610" spans="1:76" x14ac:dyDescent="0.25">
      <c r="A610" s="1" t="s">
        <v>2733</v>
      </c>
      <c r="B610" s="1" t="s">
        <v>203</v>
      </c>
      <c r="C610" s="1">
        <v>1</v>
      </c>
      <c r="D610" s="1" t="s">
        <v>2734</v>
      </c>
      <c r="E610" s="1">
        <v>1198</v>
      </c>
      <c r="F610" s="1" t="str">
        <f t="shared" si="216"/>
        <v>enemy_1198_msfshu_2</v>
      </c>
      <c r="G610" s="1">
        <v>1</v>
      </c>
      <c r="L610" s="1">
        <v>4</v>
      </c>
      <c r="N610" s="1">
        <v>0</v>
      </c>
      <c r="P610" s="1">
        <v>0</v>
      </c>
      <c r="R610" s="1">
        <v>0</v>
      </c>
      <c r="Z610" s="1">
        <v>0.05</v>
      </c>
      <c r="AA610" s="1">
        <v>1</v>
      </c>
      <c r="AB610" s="1">
        <v>0</v>
      </c>
      <c r="AC610" s="1">
        <v>0.9</v>
      </c>
      <c r="AH610" s="1">
        <v>0</v>
      </c>
      <c r="AI610" s="1">
        <v>1</v>
      </c>
      <c r="AJ610" s="1" t="s">
        <v>2735</v>
      </c>
      <c r="AK610" s="1" t="s">
        <v>206</v>
      </c>
      <c r="AL610" s="1" t="s">
        <v>228</v>
      </c>
      <c r="AN610" s="22" t="s">
        <v>9767</v>
      </c>
      <c r="AX610" s="1">
        <v>1</v>
      </c>
      <c r="AZ610" s="1">
        <v>0.25</v>
      </c>
      <c r="BG610" s="1" t="str">
        <f t="shared" si="217"/>
        <v>enemy_1198_msfshu_2</v>
      </c>
      <c r="BM610" s="1" t="s">
        <v>2716</v>
      </c>
      <c r="BN610" s="1" t="s">
        <v>2736</v>
      </c>
      <c r="BQ610" s="1" t="s">
        <v>207</v>
      </c>
      <c r="BR610" s="1" t="s">
        <v>208</v>
      </c>
      <c r="BS610" s="1" t="s">
        <v>229</v>
      </c>
      <c r="BT610" s="1" t="s">
        <v>210</v>
      </c>
      <c r="BX610" s="1">
        <v>1</v>
      </c>
    </row>
    <row r="611" spans="1:76" x14ac:dyDescent="0.25">
      <c r="A611" s="1" t="s">
        <v>2737</v>
      </c>
      <c r="B611" s="1" t="s">
        <v>203</v>
      </c>
      <c r="C611" s="1">
        <v>1</v>
      </c>
      <c r="D611" s="1" t="s">
        <v>2738</v>
      </c>
      <c r="E611" s="1">
        <v>1199</v>
      </c>
      <c r="F611" s="1" t="str">
        <f t="shared" si="216"/>
        <v>enemy_1199_sfjin</v>
      </c>
      <c r="G611" s="1">
        <v>1</v>
      </c>
      <c r="L611" s="1">
        <v>6500</v>
      </c>
      <c r="N611" s="1">
        <v>700</v>
      </c>
      <c r="P611" s="1">
        <v>750</v>
      </c>
      <c r="R611" s="1">
        <v>0</v>
      </c>
      <c r="Z611" s="1">
        <v>0.05</v>
      </c>
      <c r="AA611" s="1">
        <v>4</v>
      </c>
      <c r="AB611" s="1">
        <v>3</v>
      </c>
      <c r="AC611" s="1">
        <v>0.8</v>
      </c>
      <c r="AH611" s="1">
        <v>1</v>
      </c>
      <c r="AI611" s="1">
        <v>1</v>
      </c>
      <c r="AJ611" s="1" t="s">
        <v>2739</v>
      </c>
      <c r="AK611" s="1" t="s">
        <v>206</v>
      </c>
      <c r="AL611" s="1" t="s">
        <v>228</v>
      </c>
      <c r="AN611" s="22" t="s">
        <v>9767</v>
      </c>
      <c r="AX611" s="1">
        <v>1</v>
      </c>
      <c r="AZ611" s="1">
        <v>0.25</v>
      </c>
      <c r="BG611" s="1" t="str">
        <f t="shared" si="217"/>
        <v>enemy_1199_sfjin</v>
      </c>
      <c r="BM611" s="1" t="s">
        <v>2017</v>
      </c>
      <c r="BN611" s="1" t="s">
        <v>2740</v>
      </c>
      <c r="BQ611" s="1" t="s">
        <v>207</v>
      </c>
      <c r="BR611" s="1" t="s">
        <v>208</v>
      </c>
      <c r="BS611" s="1" t="s">
        <v>229</v>
      </c>
      <c r="BT611" s="1" t="s">
        <v>210</v>
      </c>
      <c r="BX611" s="1">
        <v>1</v>
      </c>
    </row>
    <row r="612" spans="1:76" x14ac:dyDescent="0.25">
      <c r="A612" s="1" t="s">
        <v>2741</v>
      </c>
      <c r="B612" s="1" t="s">
        <v>203</v>
      </c>
      <c r="C612" s="1">
        <v>1</v>
      </c>
      <c r="D612" s="1" t="s">
        <v>2742</v>
      </c>
      <c r="E612" s="1">
        <v>1199</v>
      </c>
      <c r="F612" s="1" t="str">
        <f t="shared" si="216"/>
        <v>enemy_1199_sfjin_2</v>
      </c>
      <c r="G612" s="1">
        <v>1</v>
      </c>
      <c r="L612" s="1">
        <v>8000</v>
      </c>
      <c r="N612" s="1">
        <v>900</v>
      </c>
      <c r="P612" s="1">
        <v>900</v>
      </c>
      <c r="R612" s="1">
        <v>0</v>
      </c>
      <c r="Z612" s="1">
        <v>0.05</v>
      </c>
      <c r="AA612" s="1">
        <v>4</v>
      </c>
      <c r="AB612" s="1">
        <v>3</v>
      </c>
      <c r="AC612" s="1">
        <v>0.8</v>
      </c>
      <c r="AH612" s="1">
        <v>1</v>
      </c>
      <c r="AI612" s="1">
        <v>1</v>
      </c>
      <c r="AJ612" s="1" t="s">
        <v>2743</v>
      </c>
      <c r="AK612" s="1" t="s">
        <v>206</v>
      </c>
      <c r="AL612" s="1" t="s">
        <v>228</v>
      </c>
      <c r="AN612" s="22" t="s">
        <v>9767</v>
      </c>
      <c r="AX612" s="1">
        <v>1</v>
      </c>
      <c r="AZ612" s="1">
        <v>0.25</v>
      </c>
      <c r="BG612" s="1" t="str">
        <f t="shared" si="217"/>
        <v>enemy_1199_sfjin_2</v>
      </c>
      <c r="BM612" s="1" t="s">
        <v>2017</v>
      </c>
      <c r="BN612" s="1" t="s">
        <v>2744</v>
      </c>
      <c r="BQ612" s="1" t="s">
        <v>207</v>
      </c>
      <c r="BR612" s="1" t="s">
        <v>208</v>
      </c>
      <c r="BS612" s="1" t="s">
        <v>229</v>
      </c>
      <c r="BT612" s="1" t="s">
        <v>210</v>
      </c>
      <c r="BX612" s="1">
        <v>1</v>
      </c>
    </row>
    <row r="613" spans="1:76" x14ac:dyDescent="0.25">
      <c r="A613" s="1" t="s">
        <v>2745</v>
      </c>
      <c r="B613" s="1" t="s">
        <v>203</v>
      </c>
      <c r="C613" s="1">
        <v>1</v>
      </c>
      <c r="D613" s="1" t="s">
        <v>2746</v>
      </c>
      <c r="E613" s="1">
        <v>1200</v>
      </c>
      <c r="F613" s="1" t="str">
        <f t="shared" si="216"/>
        <v>enemy_1200_msfjin</v>
      </c>
      <c r="G613" s="1">
        <v>1</v>
      </c>
      <c r="L613" s="1">
        <v>30</v>
      </c>
      <c r="N613" s="1">
        <v>0</v>
      </c>
      <c r="P613" s="1">
        <v>0</v>
      </c>
      <c r="R613" s="1">
        <v>0</v>
      </c>
      <c r="Z613" s="1">
        <v>0.05</v>
      </c>
      <c r="AA613" s="1">
        <v>1</v>
      </c>
      <c r="AB613" s="1">
        <v>0</v>
      </c>
      <c r="AC613" s="1">
        <v>0.5</v>
      </c>
      <c r="AH613" s="1">
        <v>0</v>
      </c>
      <c r="AI613" s="1">
        <v>1</v>
      </c>
      <c r="AJ613" s="1" t="s">
        <v>2747</v>
      </c>
      <c r="AK613" s="1" t="s">
        <v>206</v>
      </c>
      <c r="AL613" s="1" t="s">
        <v>228</v>
      </c>
      <c r="AN613" s="22" t="s">
        <v>9767</v>
      </c>
      <c r="AX613" s="1">
        <v>1</v>
      </c>
      <c r="AZ613" s="1">
        <v>0.25</v>
      </c>
      <c r="BG613" s="1" t="str">
        <f t="shared" si="217"/>
        <v>enemy_1200_msfjin</v>
      </c>
      <c r="BM613" s="1" t="s">
        <v>2716</v>
      </c>
      <c r="BN613" s="1" t="s">
        <v>2748</v>
      </c>
      <c r="BQ613" s="1" t="s">
        <v>207</v>
      </c>
      <c r="BR613" s="1" t="s">
        <v>208</v>
      </c>
      <c r="BS613" s="1" t="s">
        <v>229</v>
      </c>
      <c r="BT613" s="1" t="s">
        <v>210</v>
      </c>
      <c r="BX613" s="1">
        <v>1</v>
      </c>
    </row>
    <row r="614" spans="1:76" x14ac:dyDescent="0.25">
      <c r="A614" s="1" t="s">
        <v>2749</v>
      </c>
      <c r="B614" s="1" t="s">
        <v>203</v>
      </c>
      <c r="C614" s="1">
        <v>1</v>
      </c>
      <c r="D614" s="1" t="s">
        <v>2750</v>
      </c>
      <c r="E614" s="1">
        <v>1200</v>
      </c>
      <c r="F614" s="1" t="str">
        <f t="shared" si="216"/>
        <v>enemy_1200_msfjin_2</v>
      </c>
      <c r="G614" s="1">
        <v>1</v>
      </c>
      <c r="L614" s="1">
        <v>35</v>
      </c>
      <c r="N614" s="1">
        <v>0</v>
      </c>
      <c r="P614" s="1">
        <v>0</v>
      </c>
      <c r="R614" s="1">
        <v>0</v>
      </c>
      <c r="Z614" s="1">
        <v>0.05</v>
      </c>
      <c r="AA614" s="1">
        <v>1</v>
      </c>
      <c r="AB614" s="1">
        <v>0</v>
      </c>
      <c r="AC614" s="1">
        <v>0.5</v>
      </c>
      <c r="AH614" s="1">
        <v>0</v>
      </c>
      <c r="AI614" s="1">
        <v>1</v>
      </c>
      <c r="AJ614" s="1" t="s">
        <v>2751</v>
      </c>
      <c r="AK614" s="1" t="s">
        <v>206</v>
      </c>
      <c r="AL614" s="1" t="s">
        <v>228</v>
      </c>
      <c r="AN614" s="22" t="s">
        <v>9767</v>
      </c>
      <c r="AX614" s="1">
        <v>1</v>
      </c>
      <c r="AZ614" s="1">
        <v>0.25</v>
      </c>
      <c r="BG614" s="1" t="str">
        <f t="shared" si="217"/>
        <v>enemy_1200_msfjin_2</v>
      </c>
      <c r="BM614" s="1" t="s">
        <v>2716</v>
      </c>
      <c r="BN614" s="1" t="s">
        <v>2752</v>
      </c>
      <c r="BQ614" s="1" t="s">
        <v>207</v>
      </c>
      <c r="BR614" s="1" t="s">
        <v>208</v>
      </c>
      <c r="BS614" s="1" t="s">
        <v>229</v>
      </c>
      <c r="BT614" s="1" t="s">
        <v>210</v>
      </c>
      <c r="BX614" s="1">
        <v>1</v>
      </c>
    </row>
    <row r="615" spans="1:76" x14ac:dyDescent="0.25">
      <c r="A615" s="1" t="s">
        <v>2753</v>
      </c>
      <c r="B615" s="1" t="s">
        <v>203</v>
      </c>
      <c r="C615" s="1">
        <v>1</v>
      </c>
      <c r="D615" s="1" t="s">
        <v>2754</v>
      </c>
      <c r="E615" s="1">
        <v>1201</v>
      </c>
      <c r="F615" s="1" t="str">
        <f t="shared" si="216"/>
        <v>enemy_1201_sfzhi</v>
      </c>
      <c r="G615" s="1">
        <v>1</v>
      </c>
      <c r="L615" s="1">
        <v>6000</v>
      </c>
      <c r="N615" s="1">
        <v>400</v>
      </c>
      <c r="P615" s="1">
        <v>400</v>
      </c>
      <c r="R615" s="1">
        <v>30</v>
      </c>
      <c r="Z615" s="1">
        <v>0.05</v>
      </c>
      <c r="AA615" s="1">
        <v>2.2000000000000002</v>
      </c>
      <c r="AB615" s="1">
        <v>2</v>
      </c>
      <c r="AC615" s="1">
        <v>0.8</v>
      </c>
      <c r="AH615" s="1">
        <v>0</v>
      </c>
      <c r="AI615" s="1">
        <v>1</v>
      </c>
      <c r="AJ615" s="1" t="s">
        <v>2755</v>
      </c>
      <c r="AK615" s="1" t="s">
        <v>206</v>
      </c>
      <c r="AL615" s="1" t="s">
        <v>228</v>
      </c>
      <c r="AN615" s="22" t="s">
        <v>9767</v>
      </c>
      <c r="AX615" s="1">
        <v>1</v>
      </c>
      <c r="AZ615" s="1">
        <v>0.25</v>
      </c>
      <c r="BG615" s="1" t="str">
        <f t="shared" si="217"/>
        <v>enemy_1201_sfzhi</v>
      </c>
      <c r="BM615" s="1" t="s">
        <v>2032</v>
      </c>
      <c r="BN615" s="1" t="s">
        <v>2756</v>
      </c>
      <c r="BQ615" s="1" t="s">
        <v>207</v>
      </c>
      <c r="BR615" s="1" t="s">
        <v>208</v>
      </c>
      <c r="BS615" s="1" t="s">
        <v>229</v>
      </c>
      <c r="BT615" s="1" t="s">
        <v>210</v>
      </c>
      <c r="BX615" s="1">
        <v>1</v>
      </c>
    </row>
    <row r="616" spans="1:76" x14ac:dyDescent="0.25">
      <c r="A616" s="1" t="s">
        <v>2757</v>
      </c>
      <c r="B616" s="1" t="s">
        <v>203</v>
      </c>
      <c r="C616" s="1">
        <v>1</v>
      </c>
      <c r="D616" s="1" t="s">
        <v>2758</v>
      </c>
      <c r="E616" s="1">
        <v>1201</v>
      </c>
      <c r="F616" s="1" t="str">
        <f t="shared" si="216"/>
        <v>enemy_1201_sfzhi_2</v>
      </c>
      <c r="G616" s="1">
        <v>1</v>
      </c>
      <c r="L616" s="1">
        <v>7600</v>
      </c>
      <c r="N616" s="1">
        <v>500</v>
      </c>
      <c r="P616" s="1">
        <v>500</v>
      </c>
      <c r="R616" s="1">
        <v>30</v>
      </c>
      <c r="Z616" s="1">
        <v>0.05</v>
      </c>
      <c r="AA616" s="1">
        <v>2.2000000000000002</v>
      </c>
      <c r="AB616" s="1">
        <v>2</v>
      </c>
      <c r="AC616" s="1">
        <v>0.8</v>
      </c>
      <c r="AH616" s="1">
        <v>0</v>
      </c>
      <c r="AI616" s="1">
        <v>1</v>
      </c>
      <c r="AJ616" s="1" t="s">
        <v>2759</v>
      </c>
      <c r="AK616" s="1" t="s">
        <v>206</v>
      </c>
      <c r="AL616" s="1" t="s">
        <v>228</v>
      </c>
      <c r="AN616" s="22" t="s">
        <v>9767</v>
      </c>
      <c r="AX616" s="1">
        <v>1</v>
      </c>
      <c r="AZ616" s="1">
        <v>0.25</v>
      </c>
      <c r="BG616" s="1" t="str">
        <f t="shared" si="217"/>
        <v>enemy_1201_sfzhi_2</v>
      </c>
      <c r="BM616" s="1" t="s">
        <v>2032</v>
      </c>
      <c r="BN616" s="1" t="s">
        <v>2760</v>
      </c>
      <c r="BQ616" s="1" t="s">
        <v>207</v>
      </c>
      <c r="BR616" s="1" t="s">
        <v>208</v>
      </c>
      <c r="BS616" s="1" t="s">
        <v>229</v>
      </c>
      <c r="BT616" s="1" t="s">
        <v>210</v>
      </c>
      <c r="BX616" s="1">
        <v>1</v>
      </c>
    </row>
    <row r="617" spans="1:76" x14ac:dyDescent="0.25">
      <c r="A617" s="1" t="s">
        <v>2761</v>
      </c>
      <c r="B617" s="1" t="s">
        <v>203</v>
      </c>
      <c r="C617" s="1">
        <v>1</v>
      </c>
      <c r="D617" s="1" t="s">
        <v>2762</v>
      </c>
      <c r="E617" s="1">
        <v>1202</v>
      </c>
      <c r="F617" s="1" t="str">
        <f t="shared" si="216"/>
        <v>enemy_1202_msfzhi</v>
      </c>
      <c r="G617" s="1">
        <v>1</v>
      </c>
      <c r="L617" s="1">
        <v>3</v>
      </c>
      <c r="N617" s="1">
        <v>0</v>
      </c>
      <c r="P617" s="1">
        <v>0</v>
      </c>
      <c r="R617" s="1">
        <v>0</v>
      </c>
      <c r="Z617" s="1">
        <v>0.05</v>
      </c>
      <c r="AA617" s="1">
        <v>1</v>
      </c>
      <c r="AB617" s="1">
        <v>0</v>
      </c>
      <c r="AC617" s="1">
        <v>0.9</v>
      </c>
      <c r="AH617" s="1">
        <v>0</v>
      </c>
      <c r="AI617" s="1">
        <v>1</v>
      </c>
      <c r="AJ617" s="1" t="s">
        <v>2763</v>
      </c>
      <c r="AK617" s="1" t="s">
        <v>206</v>
      </c>
      <c r="AL617" s="1" t="s">
        <v>228</v>
      </c>
      <c r="AN617" s="22" t="s">
        <v>9767</v>
      </c>
      <c r="AX617" s="1">
        <v>1</v>
      </c>
      <c r="AZ617" s="1">
        <v>0.25</v>
      </c>
      <c r="BG617" s="1" t="str">
        <f t="shared" si="217"/>
        <v>enemy_1202_msfzhi</v>
      </c>
      <c r="BM617" s="1" t="s">
        <v>2716</v>
      </c>
      <c r="BN617" s="1" t="s">
        <v>2721</v>
      </c>
      <c r="BQ617" s="1" t="s">
        <v>207</v>
      </c>
      <c r="BR617" s="1" t="s">
        <v>208</v>
      </c>
      <c r="BS617" s="1" t="s">
        <v>229</v>
      </c>
      <c r="BT617" s="1" t="s">
        <v>210</v>
      </c>
      <c r="BX617" s="1">
        <v>1</v>
      </c>
    </row>
    <row r="618" spans="1:76" x14ac:dyDescent="0.25">
      <c r="A618" s="1" t="s">
        <v>2764</v>
      </c>
      <c r="B618" s="1" t="s">
        <v>203</v>
      </c>
      <c r="C618" s="1">
        <v>1</v>
      </c>
      <c r="D618" s="1" t="s">
        <v>2765</v>
      </c>
      <c r="E618" s="1">
        <v>1202</v>
      </c>
      <c r="F618" s="1" t="str">
        <f t="shared" si="216"/>
        <v>enemy_1202_msfzhi_2</v>
      </c>
      <c r="G618" s="1">
        <v>1</v>
      </c>
      <c r="L618" s="1">
        <v>4</v>
      </c>
      <c r="N618" s="1">
        <v>0</v>
      </c>
      <c r="P618" s="1">
        <v>0</v>
      </c>
      <c r="R618" s="1">
        <v>0</v>
      </c>
      <c r="Z618" s="1">
        <v>0.05</v>
      </c>
      <c r="AA618" s="1">
        <v>1</v>
      </c>
      <c r="AB618" s="1">
        <v>0</v>
      </c>
      <c r="AC618" s="1">
        <v>0.9</v>
      </c>
      <c r="AH618" s="1">
        <v>0</v>
      </c>
      <c r="AI618" s="1">
        <v>1</v>
      </c>
      <c r="AJ618" s="1" t="s">
        <v>2766</v>
      </c>
      <c r="AK618" s="1" t="s">
        <v>206</v>
      </c>
      <c r="AL618" s="1" t="s">
        <v>228</v>
      </c>
      <c r="AN618" s="22" t="s">
        <v>9767</v>
      </c>
      <c r="AX618" s="1">
        <v>1</v>
      </c>
      <c r="AZ618" s="1">
        <v>0.25</v>
      </c>
      <c r="BG618" s="1" t="str">
        <f t="shared" si="217"/>
        <v>enemy_1202_msfzhi_2</v>
      </c>
      <c r="BM618" s="1" t="s">
        <v>2716</v>
      </c>
      <c r="BN618" s="1" t="s">
        <v>2736</v>
      </c>
      <c r="BQ618" s="1" t="s">
        <v>207</v>
      </c>
      <c r="BR618" s="1" t="s">
        <v>208</v>
      </c>
      <c r="BS618" s="1" t="s">
        <v>229</v>
      </c>
      <c r="BT618" s="1" t="s">
        <v>210</v>
      </c>
      <c r="BX618" s="1">
        <v>1</v>
      </c>
    </row>
    <row r="619" spans="1:76" x14ac:dyDescent="0.25">
      <c r="A619" s="1" t="s">
        <v>2767</v>
      </c>
      <c r="B619" s="1" t="s">
        <v>203</v>
      </c>
      <c r="C619" s="1">
        <v>1</v>
      </c>
      <c r="D619" s="1" t="s">
        <v>2768</v>
      </c>
      <c r="E619" s="1">
        <v>1203</v>
      </c>
      <c r="F619" s="1" t="str">
        <f t="shared" si="216"/>
        <v>enemy_1203_sfhu</v>
      </c>
      <c r="G619" s="1">
        <v>1</v>
      </c>
      <c r="L619" s="1">
        <v>6500</v>
      </c>
      <c r="N619" s="1">
        <v>280</v>
      </c>
      <c r="P619" s="1">
        <v>290</v>
      </c>
      <c r="R619" s="1">
        <v>50</v>
      </c>
      <c r="Z619" s="1">
        <v>0.05</v>
      </c>
      <c r="AA619" s="1">
        <v>3.5</v>
      </c>
      <c r="AB619" s="1">
        <v>2</v>
      </c>
      <c r="AC619" s="1">
        <v>0.8</v>
      </c>
      <c r="AH619" s="1">
        <v>0</v>
      </c>
      <c r="AI619" s="1">
        <v>1</v>
      </c>
      <c r="AJ619" s="1" t="s">
        <v>2769</v>
      </c>
      <c r="AK619" s="1" t="s">
        <v>206</v>
      </c>
      <c r="AL619" s="1" t="s">
        <v>228</v>
      </c>
      <c r="AN619" s="22" t="s">
        <v>9767</v>
      </c>
      <c r="AX619" s="1">
        <v>1</v>
      </c>
      <c r="AZ619" s="1">
        <v>0.25</v>
      </c>
      <c r="BG619" s="1" t="str">
        <f t="shared" si="217"/>
        <v>enemy_1203_sfhu</v>
      </c>
      <c r="BM619" s="1" t="s">
        <v>2032</v>
      </c>
      <c r="BN619" s="1" t="s">
        <v>2770</v>
      </c>
      <c r="BQ619" s="1" t="s">
        <v>207</v>
      </c>
      <c r="BR619" s="1" t="s">
        <v>2149</v>
      </c>
      <c r="BS619" s="1" t="s">
        <v>2150</v>
      </c>
      <c r="BT619" s="1" t="s">
        <v>2151</v>
      </c>
      <c r="BX619" s="1">
        <v>1</v>
      </c>
    </row>
    <row r="620" spans="1:76" x14ac:dyDescent="0.25">
      <c r="A620" s="1" t="s">
        <v>2771</v>
      </c>
      <c r="B620" s="1" t="s">
        <v>203</v>
      </c>
      <c r="C620" s="1">
        <v>1</v>
      </c>
      <c r="D620" s="1" t="s">
        <v>2772</v>
      </c>
      <c r="E620" s="1">
        <v>1203</v>
      </c>
      <c r="F620" s="1" t="str">
        <f t="shared" si="216"/>
        <v>enemy_1203_sfhu_2</v>
      </c>
      <c r="G620" s="1">
        <v>1</v>
      </c>
      <c r="L620" s="1">
        <v>8750</v>
      </c>
      <c r="N620" s="1">
        <v>360</v>
      </c>
      <c r="P620" s="1">
        <v>380</v>
      </c>
      <c r="R620" s="1">
        <v>50</v>
      </c>
      <c r="Z620" s="1">
        <v>0.05</v>
      </c>
      <c r="AA620" s="1">
        <v>3.5</v>
      </c>
      <c r="AB620" s="1">
        <v>2</v>
      </c>
      <c r="AC620" s="1">
        <v>0.8</v>
      </c>
      <c r="AH620" s="1">
        <v>0</v>
      </c>
      <c r="AI620" s="1">
        <v>1</v>
      </c>
      <c r="AJ620" s="1" t="s">
        <v>2773</v>
      </c>
      <c r="AK620" s="1" t="s">
        <v>206</v>
      </c>
      <c r="AL620" s="1" t="s">
        <v>228</v>
      </c>
      <c r="AN620" s="22" t="s">
        <v>9767</v>
      </c>
      <c r="AX620" s="1">
        <v>1</v>
      </c>
      <c r="AZ620" s="1">
        <v>0.25</v>
      </c>
      <c r="BG620" s="1" t="str">
        <f t="shared" si="217"/>
        <v>enemy_1203_sfhu_2</v>
      </c>
      <c r="BM620" s="1" t="s">
        <v>2032</v>
      </c>
      <c r="BN620" s="1" t="s">
        <v>2774</v>
      </c>
      <c r="BQ620" s="1" t="s">
        <v>207</v>
      </c>
      <c r="BR620" s="1" t="s">
        <v>2149</v>
      </c>
      <c r="BS620" s="1" t="s">
        <v>2150</v>
      </c>
      <c r="BT620" s="1" t="s">
        <v>2151</v>
      </c>
      <c r="BX620" s="1">
        <v>1</v>
      </c>
    </row>
    <row r="621" spans="1:76" x14ac:dyDescent="0.25">
      <c r="A621" s="1" t="s">
        <v>2775</v>
      </c>
      <c r="B621" s="1" t="s">
        <v>203</v>
      </c>
      <c r="C621" s="1">
        <v>1</v>
      </c>
      <c r="D621" s="1" t="s">
        <v>2776</v>
      </c>
      <c r="E621" s="1">
        <v>1204</v>
      </c>
      <c r="F621" s="1" t="str">
        <f t="shared" si="216"/>
        <v>enemy_1204_msfhu</v>
      </c>
      <c r="G621" s="1">
        <v>1</v>
      </c>
      <c r="L621" s="1">
        <v>4</v>
      </c>
      <c r="N621" s="1">
        <v>0</v>
      </c>
      <c r="P621" s="1">
        <v>0</v>
      </c>
      <c r="R621" s="1">
        <v>0</v>
      </c>
      <c r="Z621" s="1">
        <v>0.05</v>
      </c>
      <c r="AA621" s="1">
        <v>1</v>
      </c>
      <c r="AB621" s="1">
        <v>0</v>
      </c>
      <c r="AC621" s="1">
        <v>0.7</v>
      </c>
      <c r="AH621" s="1">
        <v>0</v>
      </c>
      <c r="AI621" s="1">
        <v>1</v>
      </c>
      <c r="AJ621" s="1" t="s">
        <v>2777</v>
      </c>
      <c r="AK621" s="1" t="s">
        <v>206</v>
      </c>
      <c r="AL621" s="1" t="s">
        <v>228</v>
      </c>
      <c r="AN621" s="22" t="s">
        <v>9767</v>
      </c>
      <c r="AX621" s="1">
        <v>1</v>
      </c>
      <c r="AZ621" s="1">
        <v>0.25</v>
      </c>
      <c r="BG621" s="1" t="str">
        <f t="shared" si="217"/>
        <v>enemy_1204_msfhu</v>
      </c>
      <c r="BM621" s="1" t="s">
        <v>2716</v>
      </c>
      <c r="BN621" s="1" t="s">
        <v>2778</v>
      </c>
      <c r="BQ621" s="1" t="s">
        <v>207</v>
      </c>
      <c r="BR621" s="1" t="s">
        <v>208</v>
      </c>
      <c r="BS621" s="1" t="s">
        <v>229</v>
      </c>
      <c r="BT621" s="1" t="s">
        <v>210</v>
      </c>
      <c r="BX621" s="1">
        <v>1</v>
      </c>
    </row>
    <row r="622" spans="1:76" x14ac:dyDescent="0.25">
      <c r="A622" s="1" t="s">
        <v>2779</v>
      </c>
      <c r="B622" s="1" t="s">
        <v>203</v>
      </c>
      <c r="C622" s="1">
        <v>1</v>
      </c>
      <c r="D622" s="1" t="s">
        <v>2780</v>
      </c>
      <c r="E622" s="1">
        <v>1204</v>
      </c>
      <c r="F622" s="1" t="str">
        <f t="shared" si="216"/>
        <v>enemy_1204_msfhu_2</v>
      </c>
      <c r="G622" s="1">
        <v>1</v>
      </c>
      <c r="L622" s="1">
        <v>6</v>
      </c>
      <c r="N622" s="1">
        <v>0</v>
      </c>
      <c r="P622" s="1">
        <v>0</v>
      </c>
      <c r="R622" s="1">
        <v>0</v>
      </c>
      <c r="Z622" s="1">
        <v>0.05</v>
      </c>
      <c r="AA622" s="1">
        <v>1</v>
      </c>
      <c r="AB622" s="1">
        <v>0</v>
      </c>
      <c r="AC622" s="1">
        <v>0.7</v>
      </c>
      <c r="AH622" s="1">
        <v>0</v>
      </c>
      <c r="AI622" s="1">
        <v>1</v>
      </c>
      <c r="AJ622" s="1" t="s">
        <v>2781</v>
      </c>
      <c r="AK622" s="1" t="s">
        <v>206</v>
      </c>
      <c r="AL622" s="1" t="s">
        <v>228</v>
      </c>
      <c r="AN622" s="22" t="s">
        <v>9767</v>
      </c>
      <c r="AX622" s="1">
        <v>1</v>
      </c>
      <c r="AZ622" s="1">
        <v>0.25</v>
      </c>
      <c r="BG622" s="1" t="str">
        <f t="shared" si="217"/>
        <v>enemy_1204_msfhu_2</v>
      </c>
      <c r="BM622" s="1" t="s">
        <v>2716</v>
      </c>
      <c r="BN622" s="1" t="s">
        <v>2782</v>
      </c>
      <c r="BQ622" s="1" t="s">
        <v>207</v>
      </c>
      <c r="BR622" s="1" t="s">
        <v>208</v>
      </c>
      <c r="BS622" s="1" t="s">
        <v>229</v>
      </c>
      <c r="BT622" s="1" t="s">
        <v>210</v>
      </c>
      <c r="BX622" s="1">
        <v>1</v>
      </c>
    </row>
    <row r="623" spans="1:76" x14ac:dyDescent="0.25">
      <c r="A623" s="1" t="s">
        <v>2783</v>
      </c>
      <c r="B623" s="1" t="s">
        <v>203</v>
      </c>
      <c r="C623" s="1">
        <v>1</v>
      </c>
      <c r="D623" s="1" t="s">
        <v>2784</v>
      </c>
      <c r="E623" s="1">
        <v>1205</v>
      </c>
      <c r="F623" s="1" t="str">
        <f t="shared" si="216"/>
        <v>enemy_1205_sfpin</v>
      </c>
      <c r="G623" s="1">
        <v>1</v>
      </c>
      <c r="L623" s="1">
        <v>7000</v>
      </c>
      <c r="N623" s="1">
        <v>400</v>
      </c>
      <c r="P623" s="1">
        <v>350</v>
      </c>
      <c r="R623" s="1">
        <v>50</v>
      </c>
      <c r="Z623" s="1">
        <v>0.05</v>
      </c>
      <c r="AA623" s="1">
        <v>3</v>
      </c>
      <c r="AB623" s="1">
        <v>1</v>
      </c>
      <c r="AC623" s="1">
        <v>0.9</v>
      </c>
      <c r="AH623" s="1">
        <v>0</v>
      </c>
      <c r="AI623" s="1">
        <v>1</v>
      </c>
      <c r="AJ623" s="1" t="s">
        <v>2785</v>
      </c>
      <c r="AK623" s="1" t="s">
        <v>206</v>
      </c>
      <c r="AL623" s="1" t="s">
        <v>228</v>
      </c>
      <c r="AN623" s="22" t="s">
        <v>9767</v>
      </c>
      <c r="AX623" s="1">
        <v>1</v>
      </c>
      <c r="AZ623" s="1">
        <v>0.25</v>
      </c>
      <c r="BG623" s="1" t="str">
        <f t="shared" si="217"/>
        <v>enemy_1205_sfpin</v>
      </c>
      <c r="BM623" s="1" t="s">
        <v>2063</v>
      </c>
      <c r="BN623" s="1" t="s">
        <v>2786</v>
      </c>
      <c r="BQ623" s="1" t="s">
        <v>207</v>
      </c>
      <c r="BR623" s="1" t="s">
        <v>208</v>
      </c>
      <c r="BS623" s="1" t="s">
        <v>229</v>
      </c>
      <c r="BT623" s="1" t="s">
        <v>210</v>
      </c>
      <c r="BX623" s="1">
        <v>1</v>
      </c>
    </row>
    <row r="624" spans="1:76" x14ac:dyDescent="0.25">
      <c r="A624" s="1" t="s">
        <v>2787</v>
      </c>
      <c r="B624" s="1" t="s">
        <v>203</v>
      </c>
      <c r="C624" s="1">
        <v>1</v>
      </c>
      <c r="D624" s="1" t="s">
        <v>2788</v>
      </c>
      <c r="E624" s="1">
        <v>1205</v>
      </c>
      <c r="F624" s="1" t="str">
        <f t="shared" si="216"/>
        <v>enemy_1205_sfpin_2</v>
      </c>
      <c r="G624" s="1">
        <v>1</v>
      </c>
      <c r="L624" s="1">
        <v>8000</v>
      </c>
      <c r="N624" s="1">
        <v>570</v>
      </c>
      <c r="P624" s="1">
        <v>450</v>
      </c>
      <c r="R624" s="1">
        <v>65</v>
      </c>
      <c r="Z624" s="1">
        <v>0.05</v>
      </c>
      <c r="AA624" s="1">
        <v>3</v>
      </c>
      <c r="AB624" s="1">
        <v>1</v>
      </c>
      <c r="AC624" s="1">
        <v>0.9</v>
      </c>
      <c r="AH624" s="1">
        <v>0</v>
      </c>
      <c r="AI624" s="1">
        <v>1</v>
      </c>
      <c r="AJ624" s="1" t="s">
        <v>2789</v>
      </c>
      <c r="AK624" s="1" t="s">
        <v>206</v>
      </c>
      <c r="AL624" s="1" t="s">
        <v>228</v>
      </c>
      <c r="AN624" s="22" t="s">
        <v>9767</v>
      </c>
      <c r="AX624" s="1">
        <v>1</v>
      </c>
      <c r="AZ624" s="1">
        <v>0.25</v>
      </c>
      <c r="BG624" s="1" t="str">
        <f t="shared" si="217"/>
        <v>enemy_1205_sfpin_2</v>
      </c>
      <c r="BM624" s="1" t="s">
        <v>2063</v>
      </c>
      <c r="BN624" s="1" t="s">
        <v>2790</v>
      </c>
      <c r="BQ624" s="1" t="s">
        <v>207</v>
      </c>
      <c r="BR624" s="1" t="s">
        <v>208</v>
      </c>
      <c r="BS624" s="1" t="s">
        <v>229</v>
      </c>
      <c r="BT624" s="1" t="s">
        <v>210</v>
      </c>
      <c r="BX624" s="1">
        <v>1</v>
      </c>
    </row>
    <row r="625" spans="1:76" x14ac:dyDescent="0.25">
      <c r="A625" s="1" t="s">
        <v>2791</v>
      </c>
      <c r="B625" s="1" t="s">
        <v>203</v>
      </c>
      <c r="C625" s="1">
        <v>1</v>
      </c>
      <c r="D625" s="1" t="s">
        <v>2792</v>
      </c>
      <c r="E625" s="1">
        <v>1206</v>
      </c>
      <c r="F625" s="1" t="str">
        <f t="shared" ref="F625:F637" si="218">"enemy_"&amp;E625&amp;"_"&amp;D625</f>
        <v>enemy_1206_msfpin</v>
      </c>
      <c r="G625" s="1">
        <v>1</v>
      </c>
      <c r="L625" s="1">
        <v>12</v>
      </c>
      <c r="N625" s="1">
        <v>0</v>
      </c>
      <c r="P625" s="1">
        <v>0</v>
      </c>
      <c r="R625" s="1">
        <v>0</v>
      </c>
      <c r="Z625" s="1">
        <v>0.05</v>
      </c>
      <c r="AA625" s="1">
        <v>1</v>
      </c>
      <c r="AB625" s="1">
        <v>0</v>
      </c>
      <c r="AC625" s="1">
        <v>0.7</v>
      </c>
      <c r="AH625" s="1">
        <v>0</v>
      </c>
      <c r="AI625" s="1">
        <v>1</v>
      </c>
      <c r="AJ625" s="1" t="s">
        <v>2793</v>
      </c>
      <c r="AK625" s="1" t="s">
        <v>206</v>
      </c>
      <c r="AL625" s="1" t="s">
        <v>228</v>
      </c>
      <c r="AN625" s="22" t="s">
        <v>9767</v>
      </c>
      <c r="AX625" s="1">
        <v>1</v>
      </c>
      <c r="AZ625" s="1">
        <v>0.25</v>
      </c>
      <c r="BG625" s="1" t="str">
        <f t="shared" ref="BG625:BG637" si="219">"enemy_"&amp;E625&amp;"_"&amp;D625</f>
        <v>enemy_1206_msfpin</v>
      </c>
      <c r="BM625" s="1" t="s">
        <v>2716</v>
      </c>
      <c r="BN625" s="1" t="s">
        <v>2794</v>
      </c>
      <c r="BQ625" s="1" t="s">
        <v>207</v>
      </c>
      <c r="BR625" s="1" t="s">
        <v>208</v>
      </c>
      <c r="BS625" s="1" t="s">
        <v>229</v>
      </c>
      <c r="BT625" s="1" t="s">
        <v>210</v>
      </c>
      <c r="BX625" s="1">
        <v>1</v>
      </c>
    </row>
    <row r="626" spans="1:76" x14ac:dyDescent="0.25">
      <c r="A626" s="1" t="s">
        <v>2795</v>
      </c>
      <c r="B626" s="1" t="s">
        <v>203</v>
      </c>
      <c r="C626" s="1">
        <v>1</v>
      </c>
      <c r="D626" s="1" t="s">
        <v>2796</v>
      </c>
      <c r="E626" s="1">
        <v>1206</v>
      </c>
      <c r="F626" s="1" t="str">
        <f t="shared" si="218"/>
        <v>enemy_1206_msfpin_2</v>
      </c>
      <c r="G626" s="1">
        <v>1</v>
      </c>
      <c r="L626" s="1">
        <v>15</v>
      </c>
      <c r="N626" s="1">
        <v>0</v>
      </c>
      <c r="P626" s="1">
        <v>0</v>
      </c>
      <c r="R626" s="1">
        <v>0</v>
      </c>
      <c r="Z626" s="1">
        <v>0.05</v>
      </c>
      <c r="AA626" s="1">
        <v>1</v>
      </c>
      <c r="AB626" s="1">
        <v>0</v>
      </c>
      <c r="AC626" s="1">
        <v>0.7</v>
      </c>
      <c r="AH626" s="1">
        <v>0</v>
      </c>
      <c r="AI626" s="1">
        <v>1</v>
      </c>
      <c r="AJ626" s="1" t="s">
        <v>2797</v>
      </c>
      <c r="AK626" s="1" t="s">
        <v>206</v>
      </c>
      <c r="AL626" s="1" t="s">
        <v>228</v>
      </c>
      <c r="AN626" s="22" t="s">
        <v>9767</v>
      </c>
      <c r="AX626" s="1">
        <v>1</v>
      </c>
      <c r="AZ626" s="1">
        <v>0.25</v>
      </c>
      <c r="BG626" s="1" t="str">
        <f t="shared" si="219"/>
        <v>enemy_1206_msfpin_2</v>
      </c>
      <c r="BM626" s="1" t="s">
        <v>2716</v>
      </c>
      <c r="BN626" s="1" t="s">
        <v>2798</v>
      </c>
      <c r="BQ626" s="1" t="s">
        <v>207</v>
      </c>
      <c r="BR626" s="1" t="s">
        <v>208</v>
      </c>
      <c r="BS626" s="1" t="s">
        <v>229</v>
      </c>
      <c r="BT626" s="1" t="s">
        <v>210</v>
      </c>
      <c r="BX626" s="1">
        <v>1</v>
      </c>
    </row>
    <row r="627" spans="1:76" x14ac:dyDescent="0.25">
      <c r="A627" s="1" t="s">
        <v>2799</v>
      </c>
      <c r="B627" s="1" t="s">
        <v>203</v>
      </c>
      <c r="C627" s="1">
        <v>1</v>
      </c>
      <c r="D627" s="1" t="s">
        <v>2800</v>
      </c>
      <c r="E627" s="1">
        <v>1207</v>
      </c>
      <c r="F627" s="1" t="str">
        <f t="shared" si="218"/>
        <v>enemy_1207_sfji</v>
      </c>
      <c r="G627" s="1">
        <v>1</v>
      </c>
      <c r="L627" s="1">
        <v>11000</v>
      </c>
      <c r="N627" s="1">
        <v>1100</v>
      </c>
      <c r="P627" s="1">
        <v>600</v>
      </c>
      <c r="R627" s="1">
        <v>30</v>
      </c>
      <c r="Z627" s="1">
        <v>0.05</v>
      </c>
      <c r="AA627" s="1">
        <v>2.2000000000000002</v>
      </c>
      <c r="AB627" s="1">
        <v>3</v>
      </c>
      <c r="AC627" s="1">
        <v>1.3</v>
      </c>
      <c r="AH627" s="1">
        <v>0</v>
      </c>
      <c r="AI627" s="1">
        <v>1</v>
      </c>
      <c r="AJ627" s="1" t="s">
        <v>2801</v>
      </c>
      <c r="AK627" s="1" t="s">
        <v>206</v>
      </c>
      <c r="AL627" s="1" t="s">
        <v>228</v>
      </c>
      <c r="AN627" s="22" t="s">
        <v>9767</v>
      </c>
      <c r="AX627" s="1">
        <v>1</v>
      </c>
      <c r="AZ627" s="1">
        <v>0.25</v>
      </c>
      <c r="BG627" s="1" t="str">
        <f t="shared" si="219"/>
        <v>enemy_1207_sfji</v>
      </c>
      <c r="BM627" s="1" t="s">
        <v>2040</v>
      </c>
      <c r="BN627" s="1" t="s">
        <v>2802</v>
      </c>
      <c r="BQ627" s="1" t="s">
        <v>207</v>
      </c>
      <c r="BR627" s="1" t="s">
        <v>208</v>
      </c>
      <c r="BS627" s="1" t="s">
        <v>229</v>
      </c>
      <c r="BT627" s="1" t="s">
        <v>210</v>
      </c>
      <c r="BX627" s="1">
        <v>1</v>
      </c>
    </row>
    <row r="628" spans="1:76" x14ac:dyDescent="0.25">
      <c r="A628" s="1" t="s">
        <v>2803</v>
      </c>
      <c r="B628" s="1" t="s">
        <v>203</v>
      </c>
      <c r="C628" s="1">
        <v>1</v>
      </c>
      <c r="D628" s="1" t="s">
        <v>2804</v>
      </c>
      <c r="E628" s="1">
        <v>1207</v>
      </c>
      <c r="F628" s="1" t="str">
        <f t="shared" si="218"/>
        <v>enemy_1207_sfji_2</v>
      </c>
      <c r="G628" s="1">
        <v>1</v>
      </c>
      <c r="L628" s="1">
        <v>14000</v>
      </c>
      <c r="N628" s="1">
        <v>1350</v>
      </c>
      <c r="P628" s="1">
        <v>750</v>
      </c>
      <c r="R628" s="1">
        <v>30</v>
      </c>
      <c r="Z628" s="1">
        <v>0.05</v>
      </c>
      <c r="AA628" s="1">
        <v>2.2000000000000002</v>
      </c>
      <c r="AB628" s="1">
        <v>3</v>
      </c>
      <c r="AC628" s="1">
        <v>1.3</v>
      </c>
      <c r="AH628" s="1">
        <v>0</v>
      </c>
      <c r="AI628" s="1">
        <v>1</v>
      </c>
      <c r="AJ628" s="1" t="s">
        <v>2805</v>
      </c>
      <c r="AK628" s="1" t="s">
        <v>206</v>
      </c>
      <c r="AL628" s="1" t="s">
        <v>228</v>
      </c>
      <c r="AN628" s="22" t="s">
        <v>9767</v>
      </c>
      <c r="AX628" s="1">
        <v>1</v>
      </c>
      <c r="AZ628" s="1">
        <v>0.25</v>
      </c>
      <c r="BG628" s="1" t="str">
        <f t="shared" si="219"/>
        <v>enemy_1207_sfji_2</v>
      </c>
      <c r="BM628" s="1" t="s">
        <v>2040</v>
      </c>
      <c r="BN628" s="1" t="s">
        <v>2806</v>
      </c>
      <c r="BQ628" s="1" t="s">
        <v>207</v>
      </c>
      <c r="BR628" s="1" t="s">
        <v>208</v>
      </c>
      <c r="BS628" s="1" t="s">
        <v>229</v>
      </c>
      <c r="BT628" s="1" t="s">
        <v>210</v>
      </c>
      <c r="BX628" s="1">
        <v>1</v>
      </c>
    </row>
    <row r="629" spans="1:76" x14ac:dyDescent="0.25">
      <c r="A629" s="1" t="s">
        <v>2807</v>
      </c>
      <c r="B629" s="1" t="s">
        <v>203</v>
      </c>
      <c r="C629" s="1">
        <v>1</v>
      </c>
      <c r="D629" s="1" t="s">
        <v>2808</v>
      </c>
      <c r="E629" s="1">
        <v>1208</v>
      </c>
      <c r="F629" s="1" t="str">
        <f t="shared" si="218"/>
        <v>enemy_1208_msfji</v>
      </c>
      <c r="G629" s="1">
        <v>1</v>
      </c>
      <c r="L629" s="1">
        <v>25</v>
      </c>
      <c r="N629" s="1">
        <v>0</v>
      </c>
      <c r="P629" s="1">
        <v>0</v>
      </c>
      <c r="R629" s="1">
        <v>0</v>
      </c>
      <c r="Z629" s="1">
        <v>0.05</v>
      </c>
      <c r="AA629" s="1">
        <v>1</v>
      </c>
      <c r="AB629" s="1">
        <v>0</v>
      </c>
      <c r="AC629" s="1">
        <v>0.7</v>
      </c>
      <c r="AH629" s="1">
        <v>0</v>
      </c>
      <c r="AI629" s="1">
        <v>1</v>
      </c>
      <c r="AJ629" s="1" t="s">
        <v>2809</v>
      </c>
      <c r="AK629" s="1" t="s">
        <v>206</v>
      </c>
      <c r="AL629" s="1" t="s">
        <v>228</v>
      </c>
      <c r="AN629" s="22" t="s">
        <v>9767</v>
      </c>
      <c r="AX629" s="1">
        <v>1</v>
      </c>
      <c r="AZ629" s="1">
        <v>0.25</v>
      </c>
      <c r="BG629" s="1" t="str">
        <f t="shared" si="219"/>
        <v>enemy_1208_msfji</v>
      </c>
      <c r="BM629" s="1" t="s">
        <v>2716</v>
      </c>
      <c r="BN629" s="1" t="s">
        <v>2810</v>
      </c>
      <c r="BQ629" s="1" t="s">
        <v>207</v>
      </c>
      <c r="BR629" s="1" t="s">
        <v>208</v>
      </c>
      <c r="BS629" s="1" t="s">
        <v>229</v>
      </c>
      <c r="BT629" s="1" t="s">
        <v>210</v>
      </c>
      <c r="BX629" s="1">
        <v>1</v>
      </c>
    </row>
    <row r="630" spans="1:76" x14ac:dyDescent="0.25">
      <c r="A630" s="1" t="s">
        <v>2811</v>
      </c>
      <c r="B630" s="1" t="s">
        <v>203</v>
      </c>
      <c r="C630" s="1">
        <v>1</v>
      </c>
      <c r="D630" s="1" t="s">
        <v>2812</v>
      </c>
      <c r="E630" s="1">
        <v>1208</v>
      </c>
      <c r="F630" s="1" t="str">
        <f t="shared" si="218"/>
        <v>enemy_1208_msfji_2</v>
      </c>
      <c r="G630" s="1">
        <v>1</v>
      </c>
      <c r="L630" s="1">
        <v>30</v>
      </c>
      <c r="N630" s="1">
        <v>0</v>
      </c>
      <c r="P630" s="1">
        <v>0</v>
      </c>
      <c r="R630" s="1">
        <v>0</v>
      </c>
      <c r="Z630" s="1">
        <v>0.05</v>
      </c>
      <c r="AA630" s="1">
        <v>1</v>
      </c>
      <c r="AB630" s="1">
        <v>0</v>
      </c>
      <c r="AC630" s="1">
        <v>0.7</v>
      </c>
      <c r="AH630" s="1">
        <v>0</v>
      </c>
      <c r="AI630" s="1">
        <v>1</v>
      </c>
      <c r="AJ630" s="1" t="s">
        <v>2813</v>
      </c>
      <c r="AK630" s="1" t="s">
        <v>206</v>
      </c>
      <c r="AL630" s="1" t="s">
        <v>228</v>
      </c>
      <c r="AN630" s="22" t="s">
        <v>9767</v>
      </c>
      <c r="AX630" s="1">
        <v>1</v>
      </c>
      <c r="AZ630" s="1">
        <v>0.25</v>
      </c>
      <c r="BG630" s="1" t="str">
        <f t="shared" si="219"/>
        <v>enemy_1208_msfji_2</v>
      </c>
      <c r="BM630" s="1" t="s">
        <v>2716</v>
      </c>
      <c r="BN630" s="1" t="s">
        <v>2748</v>
      </c>
      <c r="BQ630" s="1" t="s">
        <v>207</v>
      </c>
      <c r="BR630" s="1" t="s">
        <v>208</v>
      </c>
      <c r="BS630" s="1" t="s">
        <v>229</v>
      </c>
      <c r="BT630" s="1" t="s">
        <v>210</v>
      </c>
      <c r="BX630" s="1">
        <v>1</v>
      </c>
    </row>
    <row r="631" spans="1:76" x14ac:dyDescent="0.25">
      <c r="A631" s="1" t="s">
        <v>2814</v>
      </c>
      <c r="B631" s="1" t="s">
        <v>203</v>
      </c>
      <c r="C631" s="1">
        <v>1</v>
      </c>
      <c r="D631" s="1" t="s">
        <v>2815</v>
      </c>
      <c r="E631" s="1">
        <v>1209</v>
      </c>
      <c r="F631" s="1" t="str">
        <f t="shared" si="218"/>
        <v>enemy_1209_sfden</v>
      </c>
      <c r="G631" s="1">
        <v>1</v>
      </c>
      <c r="L631" s="1">
        <v>14000</v>
      </c>
      <c r="N631" s="1">
        <v>550</v>
      </c>
      <c r="P631" s="1">
        <v>850</v>
      </c>
      <c r="R631" s="1">
        <v>20</v>
      </c>
      <c r="Z631" s="1">
        <v>0.05</v>
      </c>
      <c r="AA631" s="1">
        <v>3</v>
      </c>
      <c r="AB631" s="1">
        <v>3</v>
      </c>
      <c r="AC631" s="1">
        <v>0.7</v>
      </c>
      <c r="AH631" s="1">
        <v>0</v>
      </c>
      <c r="AI631" s="1">
        <v>1</v>
      </c>
      <c r="AJ631" s="1" t="s">
        <v>2816</v>
      </c>
      <c r="AK631" s="1" t="s">
        <v>206</v>
      </c>
      <c r="AL631" s="1" t="s">
        <v>228</v>
      </c>
      <c r="AN631" s="22" t="s">
        <v>9767</v>
      </c>
      <c r="AX631" s="1">
        <v>1</v>
      </c>
      <c r="AZ631" s="1">
        <v>0.25</v>
      </c>
      <c r="BG631" s="1" t="str">
        <f t="shared" si="219"/>
        <v>enemy_1209_sfden</v>
      </c>
      <c r="BM631" s="1" t="s">
        <v>2040</v>
      </c>
      <c r="BN631" s="1" t="s">
        <v>2817</v>
      </c>
      <c r="BQ631" s="1" t="s">
        <v>207</v>
      </c>
      <c r="BR631" s="1" t="s">
        <v>208</v>
      </c>
      <c r="BS631" s="1" t="s">
        <v>229</v>
      </c>
      <c r="BT631" s="1" t="s">
        <v>210</v>
      </c>
      <c r="BX631" s="1">
        <v>1</v>
      </c>
    </row>
    <row r="632" spans="1:76" x14ac:dyDescent="0.25">
      <c r="A632" s="1" t="s">
        <v>2818</v>
      </c>
      <c r="B632" s="1" t="s">
        <v>203</v>
      </c>
      <c r="C632" s="1">
        <v>1</v>
      </c>
      <c r="D632" s="1" t="s">
        <v>2819</v>
      </c>
      <c r="E632" s="1">
        <v>1209</v>
      </c>
      <c r="F632" s="1" t="str">
        <f t="shared" si="218"/>
        <v>enemy_1209_sfden_2</v>
      </c>
      <c r="G632" s="1">
        <v>1</v>
      </c>
      <c r="L632" s="1">
        <v>18000</v>
      </c>
      <c r="N632" s="1">
        <v>700</v>
      </c>
      <c r="P632" s="1">
        <v>1050</v>
      </c>
      <c r="R632" s="1">
        <v>20</v>
      </c>
      <c r="Z632" s="1">
        <v>0.05</v>
      </c>
      <c r="AA632" s="1">
        <v>3</v>
      </c>
      <c r="AB632" s="1">
        <v>3</v>
      </c>
      <c r="AC632" s="1">
        <v>0.7</v>
      </c>
      <c r="AH632" s="1">
        <v>0</v>
      </c>
      <c r="AI632" s="1">
        <v>1</v>
      </c>
      <c r="AJ632" s="1" t="s">
        <v>2820</v>
      </c>
      <c r="AK632" s="1" t="s">
        <v>206</v>
      </c>
      <c r="AL632" s="1" t="s">
        <v>228</v>
      </c>
      <c r="AN632" s="22" t="s">
        <v>9767</v>
      </c>
      <c r="AX632" s="1">
        <v>1</v>
      </c>
      <c r="AZ632" s="1">
        <v>0.25</v>
      </c>
      <c r="BG632" s="1" t="str">
        <f t="shared" si="219"/>
        <v>enemy_1209_sfden_2</v>
      </c>
      <c r="BM632" s="1" t="s">
        <v>2040</v>
      </c>
      <c r="BN632" s="1" t="s">
        <v>2821</v>
      </c>
      <c r="BQ632" s="1" t="s">
        <v>207</v>
      </c>
      <c r="BR632" s="1" t="s">
        <v>208</v>
      </c>
      <c r="BS632" s="1" t="s">
        <v>229</v>
      </c>
      <c r="BT632" s="1" t="s">
        <v>210</v>
      </c>
      <c r="BX632" s="1">
        <v>1</v>
      </c>
    </row>
    <row r="633" spans="1:76" x14ac:dyDescent="0.25">
      <c r="A633" s="1" t="s">
        <v>2822</v>
      </c>
      <c r="B633" s="1" t="s">
        <v>203</v>
      </c>
      <c r="C633" s="1">
        <v>1</v>
      </c>
      <c r="D633" s="1" t="s">
        <v>2823</v>
      </c>
      <c r="E633" s="1">
        <v>1210</v>
      </c>
      <c r="F633" s="1" t="str">
        <f t="shared" si="218"/>
        <v>enemy_1210_msfden</v>
      </c>
      <c r="G633" s="1">
        <v>1</v>
      </c>
      <c r="L633" s="1">
        <v>35</v>
      </c>
      <c r="N633" s="1">
        <v>0</v>
      </c>
      <c r="P633" s="1">
        <v>0</v>
      </c>
      <c r="R633" s="1">
        <v>0</v>
      </c>
      <c r="Z633" s="1">
        <v>0.05</v>
      </c>
      <c r="AA633" s="1">
        <v>1</v>
      </c>
      <c r="AB633" s="1">
        <v>0</v>
      </c>
      <c r="AC633" s="1">
        <v>0.5</v>
      </c>
      <c r="AH633" s="1">
        <v>0</v>
      </c>
      <c r="AI633" s="1">
        <v>1</v>
      </c>
      <c r="AJ633" s="1" t="s">
        <v>2824</v>
      </c>
      <c r="AK633" s="1" t="s">
        <v>206</v>
      </c>
      <c r="AL633" s="1" t="s">
        <v>228</v>
      </c>
      <c r="AN633" s="22" t="s">
        <v>9767</v>
      </c>
      <c r="AX633" s="1">
        <v>1</v>
      </c>
      <c r="AZ633" s="1">
        <v>0.25</v>
      </c>
      <c r="BG633" s="1" t="str">
        <f t="shared" si="219"/>
        <v>enemy_1210_msfden</v>
      </c>
      <c r="BM633" s="1" t="s">
        <v>2716</v>
      </c>
      <c r="BN633" s="1" t="s">
        <v>2752</v>
      </c>
      <c r="BQ633" s="1" t="s">
        <v>207</v>
      </c>
      <c r="BR633" s="1" t="s">
        <v>208</v>
      </c>
      <c r="BS633" s="1" t="s">
        <v>229</v>
      </c>
      <c r="BT633" s="1" t="s">
        <v>210</v>
      </c>
      <c r="BX633" s="1">
        <v>1</v>
      </c>
    </row>
    <row r="634" spans="1:76" x14ac:dyDescent="0.25">
      <c r="A634" s="1" t="s">
        <v>2825</v>
      </c>
      <c r="B634" s="1" t="s">
        <v>203</v>
      </c>
      <c r="C634" s="1">
        <v>1</v>
      </c>
      <c r="D634" s="1" t="s">
        <v>2826</v>
      </c>
      <c r="E634" s="1">
        <v>1210</v>
      </c>
      <c r="F634" s="1" t="str">
        <f t="shared" si="218"/>
        <v>enemy_1210_msfden_2</v>
      </c>
      <c r="G634" s="1">
        <v>1</v>
      </c>
      <c r="L634" s="1">
        <v>45</v>
      </c>
      <c r="N634" s="1">
        <v>0</v>
      </c>
      <c r="P634" s="1">
        <v>0</v>
      </c>
      <c r="R634" s="1">
        <v>0</v>
      </c>
      <c r="Z634" s="1">
        <v>0.05</v>
      </c>
      <c r="AA634" s="1">
        <v>1</v>
      </c>
      <c r="AB634" s="1">
        <v>0</v>
      </c>
      <c r="AC634" s="1">
        <v>0.5</v>
      </c>
      <c r="AH634" s="1">
        <v>0</v>
      </c>
      <c r="AI634" s="1">
        <v>1</v>
      </c>
      <c r="AJ634" s="1" t="s">
        <v>2827</v>
      </c>
      <c r="AK634" s="1" t="s">
        <v>206</v>
      </c>
      <c r="AL634" s="1" t="s">
        <v>228</v>
      </c>
      <c r="AN634" s="22" t="s">
        <v>9767</v>
      </c>
      <c r="AX634" s="1">
        <v>1</v>
      </c>
      <c r="AZ634" s="1">
        <v>0.25</v>
      </c>
      <c r="BG634" s="1" t="str">
        <f t="shared" si="219"/>
        <v>enemy_1210_msfden_2</v>
      </c>
      <c r="BM634" s="1" t="s">
        <v>2716</v>
      </c>
      <c r="BN634" s="1" t="s">
        <v>2828</v>
      </c>
      <c r="BQ634" s="1" t="s">
        <v>207</v>
      </c>
      <c r="BR634" s="1" t="s">
        <v>208</v>
      </c>
      <c r="BS634" s="1" t="s">
        <v>229</v>
      </c>
      <c r="BT634" s="1" t="s">
        <v>210</v>
      </c>
      <c r="BX634" s="1">
        <v>1</v>
      </c>
    </row>
    <row r="635" spans="1:76" x14ac:dyDescent="0.25">
      <c r="A635" s="1" t="s">
        <v>2829</v>
      </c>
      <c r="B635" s="1" t="s">
        <v>203</v>
      </c>
      <c r="C635" s="1">
        <v>1</v>
      </c>
      <c r="D635" s="1" t="s">
        <v>2830</v>
      </c>
      <c r="E635" s="1">
        <v>1211</v>
      </c>
      <c r="F635" s="1" t="str">
        <f t="shared" si="218"/>
        <v>enemy_1211_msfsui</v>
      </c>
      <c r="G635" s="1">
        <v>1</v>
      </c>
      <c r="L635" s="1">
        <v>10</v>
      </c>
      <c r="N635" s="1">
        <v>0</v>
      </c>
      <c r="P635" s="1">
        <v>0</v>
      </c>
      <c r="R635" s="1">
        <v>0</v>
      </c>
      <c r="Z635" s="1">
        <v>0.05</v>
      </c>
      <c r="AA635" s="1">
        <v>1</v>
      </c>
      <c r="AB635" s="1">
        <v>0</v>
      </c>
      <c r="AC635" s="1">
        <v>0.6</v>
      </c>
      <c r="AH635" s="1">
        <v>0</v>
      </c>
      <c r="AI635" s="1">
        <v>1</v>
      </c>
      <c r="AJ635" s="1" t="s">
        <v>2831</v>
      </c>
      <c r="AK635" s="1" t="s">
        <v>206</v>
      </c>
      <c r="AL635" s="1" t="s">
        <v>228</v>
      </c>
      <c r="AN635" s="22" t="s">
        <v>9767</v>
      </c>
      <c r="AX635" s="1">
        <v>1</v>
      </c>
      <c r="AZ635" s="1">
        <v>0.25</v>
      </c>
      <c r="BG635" s="1" t="str">
        <f t="shared" si="219"/>
        <v>enemy_1211_msfsui</v>
      </c>
      <c r="BM635" s="1" t="s">
        <v>2716</v>
      </c>
      <c r="BN635" s="1" t="s">
        <v>2832</v>
      </c>
      <c r="BQ635" s="1" t="s">
        <v>207</v>
      </c>
      <c r="BR635" s="1" t="s">
        <v>208</v>
      </c>
      <c r="BS635" s="1" t="s">
        <v>229</v>
      </c>
      <c r="BT635" s="1" t="s">
        <v>210</v>
      </c>
      <c r="BX635" s="1">
        <v>1</v>
      </c>
    </row>
    <row r="636" spans="1:76" x14ac:dyDescent="0.25">
      <c r="A636" s="1" t="s">
        <v>2833</v>
      </c>
      <c r="B636" s="1" t="s">
        <v>203</v>
      </c>
      <c r="C636" s="1">
        <v>1</v>
      </c>
      <c r="D636" s="1" t="s">
        <v>2834</v>
      </c>
      <c r="E636" s="1">
        <v>1526</v>
      </c>
      <c r="F636" s="1" t="str">
        <f t="shared" si="218"/>
        <v>enemy_1526_sfsui</v>
      </c>
      <c r="G636" s="1">
        <v>1</v>
      </c>
      <c r="L636" s="1">
        <v>55000</v>
      </c>
      <c r="N636" s="1">
        <v>1400</v>
      </c>
      <c r="P636" s="1">
        <v>550</v>
      </c>
      <c r="R636" s="1">
        <v>30</v>
      </c>
      <c r="Z636" s="1">
        <v>0.05</v>
      </c>
      <c r="AA636" s="1">
        <v>2.5</v>
      </c>
      <c r="AB636" s="1">
        <v>9</v>
      </c>
      <c r="AC636" s="1">
        <v>1</v>
      </c>
      <c r="AH636" s="1">
        <v>0</v>
      </c>
      <c r="AI636" s="1">
        <v>1</v>
      </c>
      <c r="AJ636" s="1" t="s">
        <v>2835</v>
      </c>
      <c r="AK636" s="1" t="s">
        <v>206</v>
      </c>
      <c r="AL636" s="1" t="s">
        <v>228</v>
      </c>
      <c r="AN636" s="22" t="s">
        <v>9767</v>
      </c>
      <c r="AX636" s="1">
        <v>1</v>
      </c>
      <c r="AZ636" s="1">
        <v>0.25</v>
      </c>
      <c r="BG636" s="1" t="str">
        <f t="shared" si="219"/>
        <v>enemy_1526_sfsui</v>
      </c>
      <c r="BM636" s="1" t="s">
        <v>2078</v>
      </c>
      <c r="BN636" s="1" t="s">
        <v>2836</v>
      </c>
      <c r="BQ636" s="1" t="s">
        <v>207</v>
      </c>
      <c r="BR636" s="1" t="s">
        <v>208</v>
      </c>
      <c r="BS636" s="1" t="s">
        <v>229</v>
      </c>
      <c r="BT636" s="1" t="s">
        <v>210</v>
      </c>
      <c r="BX636" s="1">
        <v>1</v>
      </c>
    </row>
    <row r="637" spans="1:76" x14ac:dyDescent="0.25">
      <c r="A637" s="1" t="s">
        <v>2837</v>
      </c>
      <c r="B637" s="1" t="s">
        <v>203</v>
      </c>
      <c r="C637" s="1">
        <v>1</v>
      </c>
      <c r="D637" s="1" t="s">
        <v>2838</v>
      </c>
      <c r="E637" s="1">
        <v>1212</v>
      </c>
      <c r="F637" s="1" t="str">
        <f t="shared" si="218"/>
        <v>enemy_1212_mtrfol</v>
      </c>
      <c r="G637" s="1">
        <v>1</v>
      </c>
      <c r="L637" s="1">
        <v>3500</v>
      </c>
      <c r="N637" s="1">
        <v>380</v>
      </c>
      <c r="P637" s="1">
        <v>150</v>
      </c>
      <c r="R637" s="1">
        <v>0</v>
      </c>
      <c r="Z637" s="1">
        <v>0.05</v>
      </c>
      <c r="AA637" s="1">
        <v>2.5</v>
      </c>
      <c r="AB637" s="1">
        <v>1</v>
      </c>
      <c r="AC637" s="1">
        <v>1.1000000000000001</v>
      </c>
      <c r="AH637" s="1">
        <v>0</v>
      </c>
      <c r="AI637" s="1">
        <v>1</v>
      </c>
      <c r="AJ637" s="1" t="s">
        <v>2839</v>
      </c>
      <c r="AK637" s="1" t="s">
        <v>206</v>
      </c>
      <c r="AL637" s="1" t="s">
        <v>228</v>
      </c>
      <c r="AN637" s="22" t="s">
        <v>9767</v>
      </c>
      <c r="AX637" s="1">
        <v>1</v>
      </c>
      <c r="AZ637" s="1">
        <v>0.25</v>
      </c>
      <c r="BG637" s="1" t="str">
        <f t="shared" si="219"/>
        <v>enemy_1212_mtrfol</v>
      </c>
      <c r="BM637" s="1" t="s">
        <v>930</v>
      </c>
      <c r="BN637" s="1" t="s">
        <v>2840</v>
      </c>
      <c r="BQ637" s="1" t="s">
        <v>207</v>
      </c>
      <c r="BR637" s="1" t="s">
        <v>208</v>
      </c>
      <c r="BS637" s="1" t="s">
        <v>229</v>
      </c>
      <c r="BT637" s="1" t="s">
        <v>210</v>
      </c>
      <c r="BX637" s="1">
        <v>1</v>
      </c>
    </row>
    <row r="638" spans="1:76" x14ac:dyDescent="0.25">
      <c r="A638" s="1" t="s">
        <v>2841</v>
      </c>
      <c r="B638" s="1" t="s">
        <v>203</v>
      </c>
      <c r="C638" s="1">
        <v>1</v>
      </c>
      <c r="D638" s="1" t="s">
        <v>2842</v>
      </c>
      <c r="E638" s="1">
        <v>1212</v>
      </c>
      <c r="F638" s="1" t="str">
        <f t="shared" ref="F638:F658" si="220">"enemy_"&amp;E638&amp;"_"&amp;D638</f>
        <v>enemy_1212_mtrfol_2</v>
      </c>
      <c r="G638" s="1">
        <v>1</v>
      </c>
      <c r="L638" s="1">
        <v>4800</v>
      </c>
      <c r="N638" s="1">
        <v>400</v>
      </c>
      <c r="P638" s="1">
        <v>200</v>
      </c>
      <c r="R638" s="1">
        <v>0</v>
      </c>
      <c r="Z638" s="1">
        <v>0.05</v>
      </c>
      <c r="AA638" s="1">
        <v>2.5</v>
      </c>
      <c r="AB638" s="1">
        <v>1</v>
      </c>
      <c r="AC638" s="1">
        <v>1.1000000000000001</v>
      </c>
      <c r="AH638" s="1">
        <v>0</v>
      </c>
      <c r="AI638" s="1">
        <v>1</v>
      </c>
      <c r="AJ638" s="1" t="s">
        <v>2843</v>
      </c>
      <c r="AK638" s="1" t="s">
        <v>206</v>
      </c>
      <c r="AL638" s="1" t="s">
        <v>228</v>
      </c>
      <c r="AN638" s="22" t="s">
        <v>9767</v>
      </c>
      <c r="AX638" s="1">
        <v>1</v>
      </c>
      <c r="AZ638" s="1">
        <v>0.25</v>
      </c>
      <c r="BG638" s="1" t="str">
        <f t="shared" ref="BG638:BG658" si="221">"enemy_"&amp;E638&amp;"_"&amp;D638</f>
        <v>enemy_1212_mtrfol_2</v>
      </c>
      <c r="BM638" s="1" t="s">
        <v>930</v>
      </c>
      <c r="BN638" s="1" t="s">
        <v>2844</v>
      </c>
      <c r="BQ638" s="1" t="s">
        <v>207</v>
      </c>
      <c r="BR638" s="1" t="s">
        <v>208</v>
      </c>
      <c r="BS638" s="1" t="s">
        <v>229</v>
      </c>
      <c r="BT638" s="1" t="s">
        <v>210</v>
      </c>
      <c r="BX638" s="1">
        <v>1</v>
      </c>
    </row>
    <row r="639" spans="1:76" x14ac:dyDescent="0.25">
      <c r="A639" s="1" t="s">
        <v>2845</v>
      </c>
      <c r="B639" s="1" t="s">
        <v>203</v>
      </c>
      <c r="C639" s="1">
        <v>1</v>
      </c>
      <c r="D639" s="1" t="s">
        <v>2846</v>
      </c>
      <c r="E639" s="1">
        <v>1213</v>
      </c>
      <c r="F639" s="1" t="str">
        <f t="shared" si="220"/>
        <v>enemy_1213_mtrsnp</v>
      </c>
      <c r="G639" s="1">
        <v>1</v>
      </c>
      <c r="L639" s="1">
        <v>3800</v>
      </c>
      <c r="N639" s="1">
        <v>300</v>
      </c>
      <c r="P639" s="1">
        <v>50</v>
      </c>
      <c r="R639" s="1">
        <v>0</v>
      </c>
      <c r="Z639" s="1">
        <v>0.05</v>
      </c>
      <c r="AA639" s="1">
        <v>3</v>
      </c>
      <c r="AB639" s="1">
        <v>1</v>
      </c>
      <c r="AC639" s="1">
        <v>0.9</v>
      </c>
      <c r="AH639" s="1">
        <v>0</v>
      </c>
      <c r="AI639" s="1">
        <v>1</v>
      </c>
      <c r="AJ639" s="1" t="s">
        <v>2847</v>
      </c>
      <c r="AK639" s="1" t="s">
        <v>206</v>
      </c>
      <c r="AL639" s="1" t="s">
        <v>228</v>
      </c>
      <c r="AN639" s="22" t="s">
        <v>9767</v>
      </c>
      <c r="AX639" s="1">
        <v>1</v>
      </c>
      <c r="AZ639" s="1">
        <v>0.25</v>
      </c>
      <c r="BG639" s="1" t="str">
        <f t="shared" si="221"/>
        <v>enemy_1213_mtrsnp</v>
      </c>
      <c r="BM639" s="1" t="s">
        <v>936</v>
      </c>
      <c r="BN639" s="1" t="s">
        <v>2848</v>
      </c>
      <c r="BQ639" s="1" t="s">
        <v>207</v>
      </c>
      <c r="BR639" s="1" t="s">
        <v>208</v>
      </c>
      <c r="BS639" s="1" t="s">
        <v>229</v>
      </c>
      <c r="BT639" s="1" t="s">
        <v>210</v>
      </c>
      <c r="BX639" s="1">
        <v>1</v>
      </c>
    </row>
    <row r="640" spans="1:76" x14ac:dyDescent="0.25">
      <c r="A640" s="1" t="s">
        <v>2849</v>
      </c>
      <c r="B640" s="1" t="s">
        <v>203</v>
      </c>
      <c r="C640" s="1">
        <v>1</v>
      </c>
      <c r="D640" s="1" t="s">
        <v>2850</v>
      </c>
      <c r="E640" s="1">
        <v>1213</v>
      </c>
      <c r="F640" s="1" t="str">
        <f t="shared" si="220"/>
        <v>enemy_1213_mtrsnp_2</v>
      </c>
      <c r="G640" s="1">
        <v>1</v>
      </c>
      <c r="L640" s="1">
        <v>5500</v>
      </c>
      <c r="N640" s="1">
        <v>350</v>
      </c>
      <c r="P640" s="1">
        <v>100</v>
      </c>
      <c r="R640" s="1">
        <v>0</v>
      </c>
      <c r="Z640" s="1">
        <v>0.05</v>
      </c>
      <c r="AA640" s="1">
        <v>3</v>
      </c>
      <c r="AB640" s="1">
        <v>1</v>
      </c>
      <c r="AC640" s="1">
        <v>0.9</v>
      </c>
      <c r="AH640" s="1">
        <v>0</v>
      </c>
      <c r="AI640" s="1">
        <v>1</v>
      </c>
      <c r="AJ640" s="1" t="s">
        <v>2851</v>
      </c>
      <c r="AK640" s="1" t="s">
        <v>206</v>
      </c>
      <c r="AL640" s="1" t="s">
        <v>228</v>
      </c>
      <c r="AN640" s="22" t="s">
        <v>9767</v>
      </c>
      <c r="AX640" s="1">
        <v>1</v>
      </c>
      <c r="AZ640" s="1">
        <v>0.25</v>
      </c>
      <c r="BG640" s="1" t="str">
        <f t="shared" si="221"/>
        <v>enemy_1213_mtrsnp_2</v>
      </c>
      <c r="BM640" s="1" t="s">
        <v>936</v>
      </c>
      <c r="BN640" s="1" t="s">
        <v>2848</v>
      </c>
      <c r="BQ640" s="1" t="s">
        <v>207</v>
      </c>
      <c r="BR640" s="1" t="s">
        <v>208</v>
      </c>
      <c r="BS640" s="1" t="s">
        <v>229</v>
      </c>
      <c r="BT640" s="1" t="s">
        <v>210</v>
      </c>
      <c r="BX640" s="1">
        <v>1</v>
      </c>
    </row>
    <row r="641" spans="1:76" x14ac:dyDescent="0.25">
      <c r="A641" s="1" t="s">
        <v>2852</v>
      </c>
      <c r="B641" s="1" t="s">
        <v>203</v>
      </c>
      <c r="C641" s="1">
        <v>1</v>
      </c>
      <c r="D641" s="1" t="s">
        <v>2853</v>
      </c>
      <c r="E641" s="1">
        <v>1214</v>
      </c>
      <c r="F641" s="1" t="str">
        <f t="shared" si="220"/>
        <v>enemy_1214_mtrmgc</v>
      </c>
      <c r="G641" s="1">
        <v>1</v>
      </c>
      <c r="L641" s="1">
        <v>6000</v>
      </c>
      <c r="N641" s="1">
        <v>320</v>
      </c>
      <c r="P641" s="1">
        <v>200</v>
      </c>
      <c r="R641" s="1">
        <v>50</v>
      </c>
      <c r="Z641" s="1">
        <v>0.05</v>
      </c>
      <c r="AA641" s="1">
        <v>2.6</v>
      </c>
      <c r="AB641" s="1">
        <v>2</v>
      </c>
      <c r="AC641" s="1">
        <v>0.8</v>
      </c>
      <c r="AH641" s="1">
        <v>0</v>
      </c>
      <c r="AI641" s="1">
        <v>1</v>
      </c>
      <c r="AJ641" s="1" t="s">
        <v>2854</v>
      </c>
      <c r="AK641" s="1" t="s">
        <v>206</v>
      </c>
      <c r="AL641" s="1" t="s">
        <v>228</v>
      </c>
      <c r="AN641" s="22" t="s">
        <v>9767</v>
      </c>
      <c r="AX641" s="1">
        <v>1</v>
      </c>
      <c r="AZ641" s="1">
        <v>0.25</v>
      </c>
      <c r="BG641" s="1" t="str">
        <f t="shared" si="221"/>
        <v>enemy_1214_mtrmgc</v>
      </c>
      <c r="BM641" s="1" t="s">
        <v>936</v>
      </c>
      <c r="BN641" s="1" t="s">
        <v>2855</v>
      </c>
      <c r="BQ641" s="1" t="s">
        <v>207</v>
      </c>
      <c r="BR641" s="1" t="s">
        <v>208</v>
      </c>
      <c r="BS641" s="1" t="s">
        <v>938</v>
      </c>
      <c r="BT641" s="1" t="s">
        <v>210</v>
      </c>
      <c r="BX641" s="1">
        <v>1</v>
      </c>
    </row>
    <row r="642" spans="1:76" x14ac:dyDescent="0.25">
      <c r="A642" s="1" t="s">
        <v>2856</v>
      </c>
      <c r="B642" s="1" t="s">
        <v>203</v>
      </c>
      <c r="C642" s="1">
        <v>1</v>
      </c>
      <c r="D642" s="1" t="s">
        <v>2857</v>
      </c>
      <c r="E642" s="1">
        <v>1214</v>
      </c>
      <c r="F642" s="1" t="str">
        <f t="shared" si="220"/>
        <v>enemy_1214_mtrmgc_2</v>
      </c>
      <c r="G642" s="1">
        <v>1</v>
      </c>
      <c r="L642" s="1">
        <v>7500</v>
      </c>
      <c r="N642" s="1">
        <v>385</v>
      </c>
      <c r="P642" s="1">
        <v>250</v>
      </c>
      <c r="R642" s="1">
        <v>50</v>
      </c>
      <c r="Z642" s="1">
        <v>0.05</v>
      </c>
      <c r="AA642" s="1">
        <v>2.6</v>
      </c>
      <c r="AB642" s="1">
        <v>2</v>
      </c>
      <c r="AC642" s="1">
        <v>0.8</v>
      </c>
      <c r="AH642" s="1">
        <v>0</v>
      </c>
      <c r="AI642" s="1">
        <v>1</v>
      </c>
      <c r="AJ642" s="1" t="s">
        <v>2858</v>
      </c>
      <c r="AK642" s="1" t="s">
        <v>206</v>
      </c>
      <c r="AL642" s="1" t="s">
        <v>228</v>
      </c>
      <c r="AN642" s="22" t="s">
        <v>9767</v>
      </c>
      <c r="AX642" s="1">
        <v>1</v>
      </c>
      <c r="AZ642" s="1">
        <v>0.25</v>
      </c>
      <c r="BG642" s="1" t="str">
        <f t="shared" si="221"/>
        <v>enemy_1214_mtrmgc_2</v>
      </c>
      <c r="BM642" s="1" t="s">
        <v>936</v>
      </c>
      <c r="BN642" s="1" t="s">
        <v>2855</v>
      </c>
      <c r="BQ642" s="1" t="s">
        <v>207</v>
      </c>
      <c r="BR642" s="1" t="s">
        <v>208</v>
      </c>
      <c r="BS642" s="1" t="s">
        <v>938</v>
      </c>
      <c r="BT642" s="1" t="s">
        <v>210</v>
      </c>
      <c r="BX642" s="1">
        <v>1</v>
      </c>
    </row>
    <row r="643" spans="1:76" x14ac:dyDescent="0.25">
      <c r="A643" s="1" t="s">
        <v>2859</v>
      </c>
      <c r="B643" s="1" t="s">
        <v>203</v>
      </c>
      <c r="C643" s="1">
        <v>1</v>
      </c>
      <c r="D643" s="1" t="s">
        <v>2860</v>
      </c>
      <c r="E643" s="1">
        <v>1215</v>
      </c>
      <c r="F643" s="1" t="str">
        <f t="shared" si="220"/>
        <v>enemy_1215_ptrarc</v>
      </c>
      <c r="G643" s="1">
        <v>1</v>
      </c>
      <c r="L643" s="1">
        <v>6000</v>
      </c>
      <c r="N643" s="1">
        <v>380</v>
      </c>
      <c r="P643" s="1">
        <v>200</v>
      </c>
      <c r="R643" s="1">
        <v>0</v>
      </c>
      <c r="Z643" s="1">
        <v>0.05</v>
      </c>
      <c r="AA643" s="1">
        <v>2</v>
      </c>
      <c r="AB643" s="1">
        <v>2</v>
      </c>
      <c r="AC643" s="1">
        <v>0.8</v>
      </c>
      <c r="AH643" s="1">
        <v>0</v>
      </c>
      <c r="AI643" s="1">
        <v>1</v>
      </c>
      <c r="AJ643" s="1" t="s">
        <v>2861</v>
      </c>
      <c r="AK643" s="1" t="s">
        <v>206</v>
      </c>
      <c r="AL643" s="1" t="s">
        <v>228</v>
      </c>
      <c r="AN643" s="22" t="s">
        <v>9767</v>
      </c>
      <c r="AX643" s="1">
        <v>1</v>
      </c>
      <c r="AZ643" s="1">
        <v>0.25</v>
      </c>
      <c r="BG643" s="1" t="str">
        <f t="shared" si="221"/>
        <v>enemy_1215_ptrarc</v>
      </c>
      <c r="BM643" s="1" t="s">
        <v>936</v>
      </c>
      <c r="BN643" s="1" t="s">
        <v>2862</v>
      </c>
      <c r="BQ643" s="1" t="s">
        <v>207</v>
      </c>
      <c r="BR643" s="1" t="s">
        <v>208</v>
      </c>
      <c r="BS643" s="1" t="s">
        <v>229</v>
      </c>
      <c r="BT643" s="1" t="s">
        <v>210</v>
      </c>
      <c r="BX643" s="1">
        <v>1</v>
      </c>
    </row>
    <row r="644" spans="1:76" x14ac:dyDescent="0.25">
      <c r="A644" s="1" t="s">
        <v>2863</v>
      </c>
      <c r="B644" s="1" t="s">
        <v>203</v>
      </c>
      <c r="C644" s="1">
        <v>1</v>
      </c>
      <c r="D644" s="1" t="s">
        <v>2864</v>
      </c>
      <c r="E644" s="1">
        <v>1215</v>
      </c>
      <c r="F644" s="1" t="str">
        <f t="shared" si="220"/>
        <v>enemy_1215_ptrarc_2</v>
      </c>
      <c r="G644" s="1">
        <v>1</v>
      </c>
      <c r="L644" s="1">
        <v>8000</v>
      </c>
      <c r="N644" s="1">
        <v>450</v>
      </c>
      <c r="P644" s="1">
        <v>250</v>
      </c>
      <c r="R644" s="1">
        <v>0</v>
      </c>
      <c r="Z644" s="1">
        <v>0.05</v>
      </c>
      <c r="AA644" s="1">
        <v>2</v>
      </c>
      <c r="AB644" s="1">
        <v>2</v>
      </c>
      <c r="AC644" s="1">
        <v>0.8</v>
      </c>
      <c r="AH644" s="1">
        <v>0</v>
      </c>
      <c r="AI644" s="1">
        <v>1</v>
      </c>
      <c r="AJ644" s="1" t="s">
        <v>2865</v>
      </c>
      <c r="AK644" s="1" t="s">
        <v>206</v>
      </c>
      <c r="AL644" s="1" t="s">
        <v>228</v>
      </c>
      <c r="AN644" s="22" t="s">
        <v>9767</v>
      </c>
      <c r="AX644" s="1">
        <v>1</v>
      </c>
      <c r="AZ644" s="1">
        <v>0.25</v>
      </c>
      <c r="BG644" s="1" t="str">
        <f t="shared" si="221"/>
        <v>enemy_1215_ptrarc_2</v>
      </c>
      <c r="BM644" s="1" t="s">
        <v>936</v>
      </c>
      <c r="BN644" s="1" t="s">
        <v>2862</v>
      </c>
      <c r="BQ644" s="1" t="s">
        <v>207</v>
      </c>
      <c r="BR644" s="1" t="s">
        <v>208</v>
      </c>
      <c r="BS644" s="1" t="s">
        <v>229</v>
      </c>
      <c r="BT644" s="1" t="s">
        <v>210</v>
      </c>
      <c r="BX644" s="1">
        <v>1</v>
      </c>
    </row>
    <row r="645" spans="1:76" x14ac:dyDescent="0.25">
      <c r="A645" s="1" t="s">
        <v>2866</v>
      </c>
      <c r="B645" s="1" t="s">
        <v>203</v>
      </c>
      <c r="C645" s="1">
        <v>1</v>
      </c>
      <c r="D645" s="1" t="s">
        <v>2867</v>
      </c>
      <c r="E645" s="1">
        <v>1216</v>
      </c>
      <c r="F645" s="1" t="str">
        <f t="shared" si="220"/>
        <v>enemy_1216_cansld</v>
      </c>
      <c r="G645" s="1">
        <v>1</v>
      </c>
      <c r="L645" s="1">
        <v>12000</v>
      </c>
      <c r="N645" s="1">
        <v>800</v>
      </c>
      <c r="P645" s="1">
        <v>1200</v>
      </c>
      <c r="R645" s="1">
        <v>0</v>
      </c>
      <c r="Z645" s="1">
        <v>0.05</v>
      </c>
      <c r="AA645" s="1">
        <v>4.5</v>
      </c>
      <c r="AB645" s="1">
        <v>4</v>
      </c>
      <c r="AC645" s="1">
        <v>0.6</v>
      </c>
      <c r="AH645" s="1">
        <v>0</v>
      </c>
      <c r="AI645" s="1">
        <v>1</v>
      </c>
      <c r="AJ645" s="1" t="s">
        <v>2868</v>
      </c>
      <c r="AK645" s="1" t="s">
        <v>206</v>
      </c>
      <c r="AL645" s="1" t="s">
        <v>228</v>
      </c>
      <c r="AN645" s="22" t="s">
        <v>9767</v>
      </c>
      <c r="AX645" s="1">
        <v>1</v>
      </c>
      <c r="AZ645" s="1">
        <v>0.25</v>
      </c>
      <c r="BG645" s="1" t="str">
        <f t="shared" si="221"/>
        <v>enemy_1216_cansld</v>
      </c>
      <c r="BM645" s="1" t="s">
        <v>1904</v>
      </c>
      <c r="BN645" s="1" t="s">
        <v>2869</v>
      </c>
      <c r="BQ645" s="1" t="s">
        <v>207</v>
      </c>
      <c r="BR645" s="1" t="s">
        <v>208</v>
      </c>
      <c r="BS645" s="1" t="s">
        <v>229</v>
      </c>
      <c r="BT645" s="1" t="s">
        <v>210</v>
      </c>
      <c r="BX645" s="1">
        <v>1</v>
      </c>
    </row>
    <row r="646" spans="1:76" x14ac:dyDescent="0.25">
      <c r="A646" s="1" t="s">
        <v>2870</v>
      </c>
      <c r="B646" s="1" t="s">
        <v>203</v>
      </c>
      <c r="C646" s="1">
        <v>1</v>
      </c>
      <c r="D646" s="1" t="s">
        <v>2871</v>
      </c>
      <c r="E646" s="1">
        <v>1216</v>
      </c>
      <c r="F646" s="1" t="str">
        <f t="shared" si="220"/>
        <v>enemy_1216_cansld_2</v>
      </c>
      <c r="G646" s="1">
        <v>1</v>
      </c>
      <c r="L646" s="1">
        <v>18000</v>
      </c>
      <c r="N646" s="1">
        <v>1000</v>
      </c>
      <c r="P646" s="1">
        <v>1500</v>
      </c>
      <c r="R646" s="1">
        <v>0</v>
      </c>
      <c r="Z646" s="1">
        <v>0.05</v>
      </c>
      <c r="AA646" s="1">
        <v>4.5</v>
      </c>
      <c r="AB646" s="1">
        <v>4</v>
      </c>
      <c r="AC646" s="1">
        <v>0.6</v>
      </c>
      <c r="AH646" s="1">
        <v>0</v>
      </c>
      <c r="AI646" s="1">
        <v>1</v>
      </c>
      <c r="AJ646" s="1" t="s">
        <v>2872</v>
      </c>
      <c r="AK646" s="1" t="s">
        <v>206</v>
      </c>
      <c r="AL646" s="1" t="s">
        <v>228</v>
      </c>
      <c r="AN646" s="22" t="s">
        <v>9767</v>
      </c>
      <c r="AX646" s="1">
        <v>1</v>
      </c>
      <c r="AZ646" s="1">
        <v>0.25</v>
      </c>
      <c r="BG646" s="1" t="str">
        <f t="shared" si="221"/>
        <v>enemy_1216_cansld_2</v>
      </c>
      <c r="BM646" s="1" t="s">
        <v>1904</v>
      </c>
      <c r="BN646" s="1" t="s">
        <v>2869</v>
      </c>
      <c r="BQ646" s="1" t="s">
        <v>207</v>
      </c>
      <c r="BR646" s="1" t="s">
        <v>208</v>
      </c>
      <c r="BS646" s="1" t="s">
        <v>229</v>
      </c>
      <c r="BT646" s="1" t="s">
        <v>210</v>
      </c>
      <c r="BX646" s="1">
        <v>1</v>
      </c>
    </row>
    <row r="647" spans="1:76" x14ac:dyDescent="0.25">
      <c r="A647" s="1" t="s">
        <v>2873</v>
      </c>
      <c r="B647" s="1" t="s">
        <v>203</v>
      </c>
      <c r="C647" s="1">
        <v>1</v>
      </c>
      <c r="D647" s="1" t="s">
        <v>2874</v>
      </c>
      <c r="E647" s="1">
        <v>1217</v>
      </c>
      <c r="F647" s="1" t="str">
        <f t="shared" si="220"/>
        <v>enemy_1217_rescar</v>
      </c>
      <c r="G647" s="1">
        <v>1</v>
      </c>
      <c r="L647" s="1">
        <v>17500</v>
      </c>
      <c r="N647" s="1">
        <v>500</v>
      </c>
      <c r="P647" s="1">
        <v>650</v>
      </c>
      <c r="R647" s="1">
        <v>30</v>
      </c>
      <c r="Z647" s="1">
        <v>0.05</v>
      </c>
      <c r="AA647" s="1">
        <v>5</v>
      </c>
      <c r="AB647" s="1">
        <v>5</v>
      </c>
      <c r="AC647" s="1">
        <v>0.6</v>
      </c>
      <c r="AH647" s="1">
        <v>0</v>
      </c>
      <c r="AI647" s="1">
        <v>1</v>
      </c>
      <c r="AJ647" s="1" t="s">
        <v>2875</v>
      </c>
      <c r="AK647" s="1" t="s">
        <v>206</v>
      </c>
      <c r="AL647" s="1" t="s">
        <v>228</v>
      </c>
      <c r="AN647" s="22" t="s">
        <v>9767</v>
      </c>
      <c r="AX647" s="1">
        <v>1</v>
      </c>
      <c r="AZ647" s="1">
        <v>0.25</v>
      </c>
      <c r="BG647" s="1" t="str">
        <f t="shared" si="221"/>
        <v>enemy_1217_rescar</v>
      </c>
      <c r="BM647" s="1" t="s">
        <v>2373</v>
      </c>
      <c r="BN647" s="1" t="s">
        <v>2876</v>
      </c>
      <c r="BQ647" s="1" t="s">
        <v>207</v>
      </c>
      <c r="BR647" s="1" t="s">
        <v>208</v>
      </c>
      <c r="BS647" s="1" t="s">
        <v>229</v>
      </c>
      <c r="BT647" s="1" t="s">
        <v>210</v>
      </c>
      <c r="BX647" s="1">
        <v>1</v>
      </c>
    </row>
    <row r="648" spans="1:76" x14ac:dyDescent="0.25">
      <c r="A648" s="1" t="s">
        <v>2877</v>
      </c>
      <c r="B648" s="1" t="s">
        <v>203</v>
      </c>
      <c r="C648" s="1">
        <v>1</v>
      </c>
      <c r="D648" s="1" t="s">
        <v>2878</v>
      </c>
      <c r="E648" s="1">
        <v>1217</v>
      </c>
      <c r="F648" s="1" t="str">
        <f t="shared" si="220"/>
        <v>enemy_1217_rescar_2</v>
      </c>
      <c r="G648" s="1">
        <v>1</v>
      </c>
      <c r="L648" s="1">
        <v>22500</v>
      </c>
      <c r="N648" s="1">
        <v>600</v>
      </c>
      <c r="P648" s="1">
        <v>650</v>
      </c>
      <c r="R648" s="1">
        <v>30</v>
      </c>
      <c r="Z648" s="1">
        <v>0.05</v>
      </c>
      <c r="AA648" s="1">
        <v>5</v>
      </c>
      <c r="AB648" s="1">
        <v>5</v>
      </c>
      <c r="AC648" s="1">
        <v>0.6</v>
      </c>
      <c r="AH648" s="1">
        <v>0</v>
      </c>
      <c r="AI648" s="1">
        <v>1</v>
      </c>
      <c r="AJ648" s="1" t="s">
        <v>2879</v>
      </c>
      <c r="AK648" s="1" t="s">
        <v>206</v>
      </c>
      <c r="AL648" s="1" t="s">
        <v>228</v>
      </c>
      <c r="AN648" s="22" t="s">
        <v>9767</v>
      </c>
      <c r="AX648" s="1">
        <v>1</v>
      </c>
      <c r="AZ648" s="1">
        <v>0.25</v>
      </c>
      <c r="BG648" s="1" t="str">
        <f t="shared" si="221"/>
        <v>enemy_1217_rescar_2</v>
      </c>
      <c r="BM648" s="1" t="s">
        <v>2373</v>
      </c>
      <c r="BN648" s="1" t="s">
        <v>2880</v>
      </c>
      <c r="BQ648" s="1" t="s">
        <v>207</v>
      </c>
      <c r="BR648" s="1" t="s">
        <v>208</v>
      </c>
      <c r="BS648" s="1" t="s">
        <v>229</v>
      </c>
      <c r="BT648" s="1" t="s">
        <v>210</v>
      </c>
      <c r="BX648" s="1">
        <v>1</v>
      </c>
    </row>
    <row r="649" spans="1:76" x14ac:dyDescent="0.25">
      <c r="A649" s="1" t="s">
        <v>2881</v>
      </c>
      <c r="B649" s="1" t="s">
        <v>203</v>
      </c>
      <c r="C649" s="1">
        <v>1</v>
      </c>
      <c r="D649" s="1" t="s">
        <v>2882</v>
      </c>
      <c r="E649" s="1">
        <v>1218</v>
      </c>
      <c r="F649" s="1" t="str">
        <f t="shared" si="220"/>
        <v>enemy_1218_bomscr</v>
      </c>
      <c r="G649" s="1">
        <v>1</v>
      </c>
      <c r="L649" s="1">
        <v>3500</v>
      </c>
      <c r="N649" s="1">
        <v>300</v>
      </c>
      <c r="P649" s="1">
        <v>100</v>
      </c>
      <c r="R649" s="1">
        <v>20</v>
      </c>
      <c r="Z649" s="1">
        <v>0.05</v>
      </c>
      <c r="AA649" s="1">
        <v>1</v>
      </c>
      <c r="AB649" s="1">
        <v>1</v>
      </c>
      <c r="AC649" s="1">
        <v>1.6</v>
      </c>
      <c r="AH649" s="1">
        <v>0</v>
      </c>
      <c r="AI649" s="1">
        <v>1</v>
      </c>
      <c r="AJ649" s="1" t="s">
        <v>2883</v>
      </c>
      <c r="AK649" s="1" t="s">
        <v>206</v>
      </c>
      <c r="AL649" s="1" t="s">
        <v>228</v>
      </c>
      <c r="AN649" s="22" t="s">
        <v>9767</v>
      </c>
      <c r="AX649" s="1">
        <v>1</v>
      </c>
      <c r="AZ649" s="1">
        <v>0.25</v>
      </c>
      <c r="BG649" s="1" t="str">
        <f t="shared" si="221"/>
        <v>enemy_1218_bomscr</v>
      </c>
      <c r="BM649" s="1" t="s">
        <v>2100</v>
      </c>
      <c r="BN649" s="1" t="s">
        <v>2884</v>
      </c>
      <c r="BQ649" s="1" t="s">
        <v>207</v>
      </c>
      <c r="BR649" s="1" t="s">
        <v>208</v>
      </c>
      <c r="BS649" s="1" t="s">
        <v>229</v>
      </c>
      <c r="BT649" s="1" t="s">
        <v>210</v>
      </c>
      <c r="BX649" s="1">
        <v>1</v>
      </c>
    </row>
    <row r="650" spans="1:76" x14ac:dyDescent="0.25">
      <c r="A650" s="1" t="s">
        <v>2885</v>
      </c>
      <c r="B650" s="1" t="s">
        <v>203</v>
      </c>
      <c r="C650" s="1">
        <v>1</v>
      </c>
      <c r="D650" s="1" t="s">
        <v>2886</v>
      </c>
      <c r="E650" s="1">
        <v>1218</v>
      </c>
      <c r="F650" s="1" t="str">
        <f t="shared" si="220"/>
        <v>enemy_1218_bomscr_2</v>
      </c>
      <c r="G650" s="1">
        <v>1</v>
      </c>
      <c r="L650" s="1">
        <v>3800</v>
      </c>
      <c r="N650" s="1">
        <v>300</v>
      </c>
      <c r="P650" s="1">
        <v>200</v>
      </c>
      <c r="R650" s="1">
        <v>20</v>
      </c>
      <c r="Z650" s="1">
        <v>0.05</v>
      </c>
      <c r="AA650" s="1">
        <v>1</v>
      </c>
      <c r="AB650" s="1">
        <v>1</v>
      </c>
      <c r="AC650" s="1">
        <v>1.6</v>
      </c>
      <c r="AH650" s="1">
        <v>0</v>
      </c>
      <c r="AI650" s="1">
        <v>1</v>
      </c>
      <c r="AJ650" s="1" t="s">
        <v>2887</v>
      </c>
      <c r="AK650" s="1" t="s">
        <v>206</v>
      </c>
      <c r="AL650" s="1" t="s">
        <v>228</v>
      </c>
      <c r="AN650" s="22" t="s">
        <v>9767</v>
      </c>
      <c r="AX650" s="1">
        <v>1</v>
      </c>
      <c r="AZ650" s="1">
        <v>0.25</v>
      </c>
      <c r="BG650" s="1" t="str">
        <f t="shared" si="221"/>
        <v>enemy_1218_bomscr_2</v>
      </c>
      <c r="BM650" s="1" t="s">
        <v>2100</v>
      </c>
      <c r="BN650" s="1" t="s">
        <v>2884</v>
      </c>
      <c r="BQ650" s="1" t="s">
        <v>207</v>
      </c>
      <c r="BR650" s="1" t="s">
        <v>208</v>
      </c>
      <c r="BS650" s="1" t="s">
        <v>229</v>
      </c>
      <c r="BT650" s="1" t="s">
        <v>210</v>
      </c>
      <c r="BX650" s="1">
        <v>1</v>
      </c>
    </row>
    <row r="651" spans="1:76" x14ac:dyDescent="0.25">
      <c r="A651" s="1" t="s">
        <v>2888</v>
      </c>
      <c r="B651" s="1" t="s">
        <v>203</v>
      </c>
      <c r="C651" s="1">
        <v>1</v>
      </c>
      <c r="D651" s="1" t="s">
        <v>2889</v>
      </c>
      <c r="E651" s="1">
        <v>1219</v>
      </c>
      <c r="F651" s="1" t="str">
        <f t="shared" si="220"/>
        <v>enemy_1219_mtrbty</v>
      </c>
      <c r="G651" s="1">
        <v>1</v>
      </c>
      <c r="L651" s="1">
        <v>17000</v>
      </c>
      <c r="N651" s="1">
        <v>600</v>
      </c>
      <c r="P651" s="1">
        <v>500</v>
      </c>
      <c r="R651" s="1">
        <v>60</v>
      </c>
      <c r="Z651" s="1">
        <v>0.05</v>
      </c>
      <c r="AA651" s="1">
        <v>2.7</v>
      </c>
      <c r="AB651" s="1">
        <v>4</v>
      </c>
      <c r="AC651" s="1">
        <v>0.8</v>
      </c>
      <c r="AH651" s="1">
        <v>0</v>
      </c>
      <c r="AI651" s="1">
        <v>1</v>
      </c>
      <c r="AJ651" s="1" t="s">
        <v>2890</v>
      </c>
      <c r="AK651" s="1" t="s">
        <v>206</v>
      </c>
      <c r="AL651" s="1" t="s">
        <v>228</v>
      </c>
      <c r="AN651" s="22" t="s">
        <v>9767</v>
      </c>
      <c r="AX651" s="1">
        <v>1</v>
      </c>
      <c r="AZ651" s="1">
        <v>0.25</v>
      </c>
      <c r="BG651" s="1" t="str">
        <f t="shared" si="221"/>
        <v>enemy_1219_mtrbty</v>
      </c>
      <c r="BM651" s="1" t="s">
        <v>1904</v>
      </c>
      <c r="BN651" s="1" t="s">
        <v>2891</v>
      </c>
      <c r="BQ651" s="1" t="s">
        <v>207</v>
      </c>
      <c r="BR651" s="1" t="s">
        <v>208</v>
      </c>
      <c r="BS651" s="1" t="s">
        <v>229</v>
      </c>
      <c r="BT651" s="1" t="s">
        <v>210</v>
      </c>
      <c r="BX651" s="1">
        <v>1</v>
      </c>
    </row>
    <row r="652" spans="1:76" x14ac:dyDescent="0.25">
      <c r="A652" s="1" t="s">
        <v>2892</v>
      </c>
      <c r="B652" s="1" t="s">
        <v>203</v>
      </c>
      <c r="C652" s="1">
        <v>1</v>
      </c>
      <c r="D652" s="1" t="s">
        <v>2893</v>
      </c>
      <c r="E652" s="1">
        <v>1219</v>
      </c>
      <c r="F652" s="1" t="str">
        <f t="shared" si="220"/>
        <v>enemy_1219_mtrbty_2</v>
      </c>
      <c r="G652" s="1">
        <v>1</v>
      </c>
      <c r="L652" s="1">
        <v>23000</v>
      </c>
      <c r="N652" s="1">
        <v>700</v>
      </c>
      <c r="P652" s="1">
        <v>550</v>
      </c>
      <c r="R652" s="1">
        <v>60</v>
      </c>
      <c r="Z652" s="1">
        <v>0.05</v>
      </c>
      <c r="AA652" s="1">
        <v>2.7</v>
      </c>
      <c r="AB652" s="1">
        <v>4</v>
      </c>
      <c r="AC652" s="1">
        <v>0.8</v>
      </c>
      <c r="AH652" s="1">
        <v>0</v>
      </c>
      <c r="AI652" s="1">
        <v>1</v>
      </c>
      <c r="AJ652" s="1" t="s">
        <v>2894</v>
      </c>
      <c r="AK652" s="1" t="s">
        <v>206</v>
      </c>
      <c r="AL652" s="1" t="s">
        <v>228</v>
      </c>
      <c r="AN652" s="22" t="s">
        <v>9767</v>
      </c>
      <c r="AX652" s="1">
        <v>1</v>
      </c>
      <c r="AZ652" s="1">
        <v>0.25</v>
      </c>
      <c r="BG652" s="1" t="str">
        <f t="shared" si="221"/>
        <v>enemy_1219_mtrbty_2</v>
      </c>
      <c r="BM652" s="1" t="s">
        <v>1904</v>
      </c>
      <c r="BN652" s="1" t="s">
        <v>2891</v>
      </c>
      <c r="BQ652" s="1" t="s">
        <v>207</v>
      </c>
      <c r="BR652" s="1" t="s">
        <v>208</v>
      </c>
      <c r="BS652" s="1" t="s">
        <v>229</v>
      </c>
      <c r="BT652" s="1" t="s">
        <v>210</v>
      </c>
      <c r="BX652" s="1">
        <v>1</v>
      </c>
    </row>
    <row r="653" spans="1:76" x14ac:dyDescent="0.25">
      <c r="A653" s="1" t="s">
        <v>2895</v>
      </c>
      <c r="B653" s="1" t="s">
        <v>203</v>
      </c>
      <c r="C653" s="1">
        <v>1</v>
      </c>
      <c r="D653" s="1" t="s">
        <v>2896</v>
      </c>
      <c r="E653" s="1">
        <v>1527</v>
      </c>
      <c r="F653" s="1" t="str">
        <f t="shared" si="220"/>
        <v>enemy_1527_martyr</v>
      </c>
      <c r="G653" s="1">
        <v>1</v>
      </c>
      <c r="L653" s="1">
        <v>27000</v>
      </c>
      <c r="N653" s="1">
        <v>750</v>
      </c>
      <c r="P653" s="1">
        <v>550</v>
      </c>
      <c r="R653" s="1">
        <v>60</v>
      </c>
      <c r="Z653" s="1">
        <v>0.05</v>
      </c>
      <c r="AA653" s="1">
        <v>5</v>
      </c>
      <c r="AB653" s="1">
        <v>10</v>
      </c>
      <c r="AC653" s="1">
        <v>0.5</v>
      </c>
      <c r="AH653" s="1">
        <v>0</v>
      </c>
      <c r="AI653" s="1">
        <v>1</v>
      </c>
      <c r="AJ653" s="1" t="s">
        <v>2897</v>
      </c>
      <c r="AK653" s="1" t="s">
        <v>206</v>
      </c>
      <c r="AL653" s="1" t="s">
        <v>228</v>
      </c>
      <c r="AN653" s="22" t="s">
        <v>9767</v>
      </c>
      <c r="AX653" s="1">
        <v>1</v>
      </c>
      <c r="AZ653" s="1">
        <v>0.25</v>
      </c>
      <c r="BG653" s="1" t="str">
        <f t="shared" si="221"/>
        <v>enemy_1527_martyr</v>
      </c>
      <c r="BM653" s="1" t="s">
        <v>1328</v>
      </c>
      <c r="BN653" s="1" t="s">
        <v>2898</v>
      </c>
      <c r="BQ653" s="1" t="s">
        <v>207</v>
      </c>
      <c r="BR653" s="1" t="s">
        <v>2899</v>
      </c>
      <c r="BS653" s="1" t="s">
        <v>2900</v>
      </c>
      <c r="BT653" s="1" t="s">
        <v>210</v>
      </c>
      <c r="BX653" s="1">
        <v>1</v>
      </c>
    </row>
    <row r="654" spans="1:76" x14ac:dyDescent="0.25">
      <c r="A654" s="1" t="s">
        <v>2901</v>
      </c>
      <c r="B654" s="1" t="s">
        <v>203</v>
      </c>
      <c r="C654" s="1">
        <v>1</v>
      </c>
      <c r="D654" s="1" t="s">
        <v>2902</v>
      </c>
      <c r="E654" s="1">
        <v>1220</v>
      </c>
      <c r="F654" s="1" t="str">
        <f t="shared" si="220"/>
        <v>enemy_1220_dzoms</v>
      </c>
      <c r="G654" s="1">
        <v>1</v>
      </c>
      <c r="L654" s="1">
        <v>1500</v>
      </c>
      <c r="N654" s="1">
        <v>280</v>
      </c>
      <c r="P654" s="1">
        <v>100</v>
      </c>
      <c r="R654" s="1">
        <v>10</v>
      </c>
      <c r="Z654" s="1">
        <v>0.05</v>
      </c>
      <c r="AA654" s="1">
        <v>2.5</v>
      </c>
      <c r="AB654" s="1">
        <v>0</v>
      </c>
      <c r="AC654" s="1">
        <v>1</v>
      </c>
      <c r="AH654" s="1">
        <v>0</v>
      </c>
      <c r="AI654" s="1">
        <v>1</v>
      </c>
      <c r="AJ654" s="1" t="s">
        <v>2903</v>
      </c>
      <c r="AK654" s="1" t="s">
        <v>206</v>
      </c>
      <c r="AL654" s="1" t="s">
        <v>228</v>
      </c>
      <c r="AN654" s="22" t="s">
        <v>9767</v>
      </c>
      <c r="AX654" s="1">
        <v>1</v>
      </c>
      <c r="AZ654" s="1">
        <v>0.25</v>
      </c>
      <c r="BG654" s="1" t="str">
        <f t="shared" si="221"/>
        <v>enemy_1220_dzoms</v>
      </c>
      <c r="BM654" s="1" t="s">
        <v>2904</v>
      </c>
      <c r="BN654" s="1" t="s">
        <v>2905</v>
      </c>
      <c r="BQ654" s="1" t="s">
        <v>207</v>
      </c>
      <c r="BR654" s="1" t="s">
        <v>208</v>
      </c>
      <c r="BS654" s="1" t="s">
        <v>229</v>
      </c>
      <c r="BT654" s="1" t="s">
        <v>210</v>
      </c>
      <c r="BX654" s="1">
        <v>1</v>
      </c>
    </row>
    <row r="655" spans="1:76" x14ac:dyDescent="0.25">
      <c r="A655" s="1" t="s">
        <v>2906</v>
      </c>
      <c r="B655" s="1" t="s">
        <v>203</v>
      </c>
      <c r="C655" s="1">
        <v>1</v>
      </c>
      <c r="D655" s="1" t="s">
        <v>2907</v>
      </c>
      <c r="E655" s="1">
        <v>1220</v>
      </c>
      <c r="F655" s="1" t="str">
        <f t="shared" si="220"/>
        <v>enemy_1220_dzoms_2</v>
      </c>
      <c r="G655" s="1">
        <v>1</v>
      </c>
      <c r="L655" s="1">
        <v>1500</v>
      </c>
      <c r="N655" s="1">
        <v>380</v>
      </c>
      <c r="P655" s="1">
        <v>100</v>
      </c>
      <c r="R655" s="1">
        <v>10</v>
      </c>
      <c r="Z655" s="1">
        <v>0.05</v>
      </c>
      <c r="AA655" s="1">
        <v>2.5</v>
      </c>
      <c r="AB655" s="1">
        <v>0</v>
      </c>
      <c r="AC655" s="1">
        <v>1</v>
      </c>
      <c r="AH655" s="1">
        <v>0</v>
      </c>
      <c r="AI655" s="1">
        <v>1</v>
      </c>
      <c r="AJ655" s="1" t="s">
        <v>2908</v>
      </c>
      <c r="AK655" s="1" t="s">
        <v>206</v>
      </c>
      <c r="AL655" s="1" t="s">
        <v>228</v>
      </c>
      <c r="AN655" s="22" t="s">
        <v>9767</v>
      </c>
      <c r="AX655" s="1">
        <v>1</v>
      </c>
      <c r="AZ655" s="1">
        <v>0.25</v>
      </c>
      <c r="BG655" s="1" t="str">
        <f t="shared" si="221"/>
        <v>enemy_1220_dzoms_2</v>
      </c>
      <c r="BM655" s="1" t="s">
        <v>2904</v>
      </c>
      <c r="BN655" s="1" t="s">
        <v>2905</v>
      </c>
      <c r="BQ655" s="1" t="s">
        <v>207</v>
      </c>
      <c r="BR655" s="1" t="s">
        <v>208</v>
      </c>
      <c r="BS655" s="1" t="s">
        <v>229</v>
      </c>
      <c r="BT655" s="1" t="s">
        <v>210</v>
      </c>
      <c r="BX655" s="1">
        <v>1</v>
      </c>
    </row>
    <row r="656" spans="1:76" x14ac:dyDescent="0.25">
      <c r="A656" s="1" t="s">
        <v>2909</v>
      </c>
      <c r="B656" s="1" t="s">
        <v>203</v>
      </c>
      <c r="C656" s="1">
        <v>1</v>
      </c>
      <c r="D656" s="1" t="s">
        <v>2910</v>
      </c>
      <c r="E656" s="1">
        <v>1221</v>
      </c>
      <c r="F656" s="1" t="str">
        <f t="shared" si="220"/>
        <v>enemy_1221_dzomg</v>
      </c>
      <c r="G656" s="1">
        <v>1</v>
      </c>
      <c r="L656" s="1">
        <v>3000</v>
      </c>
      <c r="N656" s="1">
        <v>680</v>
      </c>
      <c r="P656" s="1">
        <v>200</v>
      </c>
      <c r="R656" s="1">
        <v>20</v>
      </c>
      <c r="Z656" s="1">
        <v>0.05</v>
      </c>
      <c r="AA656" s="1">
        <v>4</v>
      </c>
      <c r="AB656" s="1">
        <v>3</v>
      </c>
      <c r="AC656" s="1">
        <v>0.7</v>
      </c>
      <c r="AH656" s="1">
        <v>0</v>
      </c>
      <c r="AI656" s="1">
        <v>1</v>
      </c>
      <c r="AJ656" s="1" t="s">
        <v>2911</v>
      </c>
      <c r="AK656" s="1" t="s">
        <v>206</v>
      </c>
      <c r="AL656" s="1" t="s">
        <v>228</v>
      </c>
      <c r="AN656" s="22" t="s">
        <v>9767</v>
      </c>
      <c r="AX656" s="1">
        <v>1</v>
      </c>
      <c r="AZ656" s="1">
        <v>0.25</v>
      </c>
      <c r="BG656" s="1" t="str">
        <f t="shared" si="221"/>
        <v>enemy_1221_dzomg</v>
      </c>
      <c r="BM656" s="1" t="s">
        <v>2904</v>
      </c>
      <c r="BN656" s="1" t="s">
        <v>2905</v>
      </c>
      <c r="BQ656" s="1" t="s">
        <v>207</v>
      </c>
      <c r="BR656" s="1" t="s">
        <v>208</v>
      </c>
      <c r="BS656" s="1" t="s">
        <v>229</v>
      </c>
      <c r="BT656" s="1" t="s">
        <v>210</v>
      </c>
      <c r="BX656" s="1">
        <v>1</v>
      </c>
    </row>
    <row r="657" spans="1:76" x14ac:dyDescent="0.25">
      <c r="A657" s="1" t="s">
        <v>2912</v>
      </c>
      <c r="B657" s="1" t="s">
        <v>203</v>
      </c>
      <c r="C657" s="1">
        <v>1</v>
      </c>
      <c r="D657" s="1" t="s">
        <v>2913</v>
      </c>
      <c r="E657" s="1">
        <v>1221</v>
      </c>
      <c r="F657" s="1" t="str">
        <f t="shared" si="220"/>
        <v>enemy_1221_dzomg_2</v>
      </c>
      <c r="G657" s="1">
        <v>1</v>
      </c>
      <c r="L657" s="1">
        <v>3000</v>
      </c>
      <c r="N657" s="1">
        <v>800</v>
      </c>
      <c r="P657" s="1">
        <v>200</v>
      </c>
      <c r="R657" s="1">
        <v>20</v>
      </c>
      <c r="Z657" s="1">
        <v>0.05</v>
      </c>
      <c r="AA657" s="1">
        <v>4</v>
      </c>
      <c r="AB657" s="1">
        <v>3</v>
      </c>
      <c r="AC657" s="1">
        <v>0.7</v>
      </c>
      <c r="AH657" s="1">
        <v>0</v>
      </c>
      <c r="AI657" s="1">
        <v>1</v>
      </c>
      <c r="AJ657" s="1" t="s">
        <v>2914</v>
      </c>
      <c r="AK657" s="1" t="s">
        <v>206</v>
      </c>
      <c r="AL657" s="1" t="s">
        <v>228</v>
      </c>
      <c r="AN657" s="22" t="s">
        <v>9767</v>
      </c>
      <c r="AX657" s="1">
        <v>1</v>
      </c>
      <c r="AZ657" s="1">
        <v>0.25</v>
      </c>
      <c r="BG657" s="1" t="str">
        <f t="shared" si="221"/>
        <v>enemy_1221_dzomg_2</v>
      </c>
      <c r="BM657" s="1" t="s">
        <v>2904</v>
      </c>
      <c r="BN657" s="1" t="s">
        <v>2905</v>
      </c>
      <c r="BQ657" s="1" t="s">
        <v>207</v>
      </c>
      <c r="BR657" s="1" t="s">
        <v>208</v>
      </c>
      <c r="BS657" s="1" t="s">
        <v>229</v>
      </c>
      <c r="BT657" s="1" t="s">
        <v>210</v>
      </c>
      <c r="BX657" s="1">
        <v>1</v>
      </c>
    </row>
    <row r="658" spans="1:76" x14ac:dyDescent="0.25">
      <c r="A658" s="1" t="s">
        <v>2915</v>
      </c>
      <c r="B658" s="1" t="s">
        <v>203</v>
      </c>
      <c r="C658" s="1">
        <v>1</v>
      </c>
      <c r="D658" s="1" t="s">
        <v>2916</v>
      </c>
      <c r="E658" s="1">
        <v>1222</v>
      </c>
      <c r="F658" s="1" t="str">
        <f t="shared" si="220"/>
        <v>enemy_1222_dpvt</v>
      </c>
      <c r="G658" s="1">
        <v>1</v>
      </c>
      <c r="L658" s="1">
        <v>3600</v>
      </c>
      <c r="N658" s="1">
        <v>340</v>
      </c>
      <c r="P658" s="1">
        <v>120</v>
      </c>
      <c r="R658" s="1">
        <v>30</v>
      </c>
      <c r="Z658" s="1">
        <v>0.05</v>
      </c>
      <c r="AA658" s="1">
        <v>2</v>
      </c>
      <c r="AB658" s="1">
        <v>1</v>
      </c>
      <c r="AC658" s="1">
        <v>1</v>
      </c>
      <c r="AH658" s="1">
        <v>0</v>
      </c>
      <c r="AI658" s="1">
        <v>1</v>
      </c>
      <c r="AJ658" s="1" t="s">
        <v>2917</v>
      </c>
      <c r="AK658" s="1" t="s">
        <v>206</v>
      </c>
      <c r="AL658" s="1" t="s">
        <v>228</v>
      </c>
      <c r="AN658" s="22" t="s">
        <v>9767</v>
      </c>
      <c r="AX658" s="1">
        <v>1</v>
      </c>
      <c r="AZ658" s="1">
        <v>0.25</v>
      </c>
      <c r="BG658" s="1" t="str">
        <f t="shared" si="221"/>
        <v>enemy_1222_dpvt</v>
      </c>
      <c r="BM658" s="1" t="s">
        <v>2918</v>
      </c>
      <c r="BN658" s="1" t="s">
        <v>2919</v>
      </c>
      <c r="BQ658" s="1" t="s">
        <v>207</v>
      </c>
      <c r="BR658" s="1" t="s">
        <v>208</v>
      </c>
      <c r="BS658" s="1" t="s">
        <v>229</v>
      </c>
      <c r="BT658" s="1" t="s">
        <v>210</v>
      </c>
      <c r="BX658" s="1">
        <v>1</v>
      </c>
    </row>
    <row r="659" spans="1:76" x14ac:dyDescent="0.25">
      <c r="A659" s="1" t="s">
        <v>2920</v>
      </c>
      <c r="B659" s="1" t="s">
        <v>203</v>
      </c>
      <c r="C659" s="1">
        <v>1</v>
      </c>
      <c r="D659" s="1" t="s">
        <v>2921</v>
      </c>
      <c r="E659" s="1">
        <v>1222</v>
      </c>
      <c r="F659" s="1" t="str">
        <f t="shared" ref="F659:F703" si="222">"enemy_"&amp;E659&amp;"_"&amp;D659</f>
        <v>enemy_1222_dpvt_2</v>
      </c>
      <c r="G659" s="1">
        <v>1</v>
      </c>
      <c r="L659" s="1">
        <v>4500</v>
      </c>
      <c r="N659" s="1">
        <v>400</v>
      </c>
      <c r="P659" s="1">
        <v>210</v>
      </c>
      <c r="R659" s="1">
        <v>30</v>
      </c>
      <c r="Z659" s="1">
        <v>0.05</v>
      </c>
      <c r="AA659" s="1">
        <v>2</v>
      </c>
      <c r="AB659" s="1">
        <v>1</v>
      </c>
      <c r="AC659" s="1">
        <v>1</v>
      </c>
      <c r="AH659" s="1">
        <v>0</v>
      </c>
      <c r="AI659" s="1">
        <v>1</v>
      </c>
      <c r="AJ659" s="1" t="s">
        <v>2922</v>
      </c>
      <c r="AK659" s="1" t="s">
        <v>206</v>
      </c>
      <c r="AL659" s="1" t="s">
        <v>228</v>
      </c>
      <c r="AN659" s="22" t="s">
        <v>9767</v>
      </c>
      <c r="AX659" s="1">
        <v>1</v>
      </c>
      <c r="AZ659" s="1">
        <v>0.25</v>
      </c>
      <c r="BG659" s="1" t="str">
        <f t="shared" ref="BG659:BG703" si="223">"enemy_"&amp;E659&amp;"_"&amp;D659</f>
        <v>enemy_1222_dpvt_2</v>
      </c>
      <c r="BM659" s="1" t="s">
        <v>2918</v>
      </c>
      <c r="BN659" s="1" t="s">
        <v>2923</v>
      </c>
      <c r="BQ659" s="1" t="s">
        <v>207</v>
      </c>
      <c r="BR659" s="1" t="s">
        <v>208</v>
      </c>
      <c r="BS659" s="1" t="s">
        <v>229</v>
      </c>
      <c r="BT659" s="1" t="s">
        <v>210</v>
      </c>
      <c r="BX659" s="1">
        <v>1</v>
      </c>
    </row>
    <row r="660" spans="1:76" x14ac:dyDescent="0.25">
      <c r="A660" s="1" t="s">
        <v>2924</v>
      </c>
      <c r="B660" s="1" t="s">
        <v>203</v>
      </c>
      <c r="C660" s="1">
        <v>1</v>
      </c>
      <c r="D660" s="1" t="s">
        <v>2925</v>
      </c>
      <c r="E660" s="1">
        <v>1223</v>
      </c>
      <c r="F660" s="1" t="str">
        <f t="shared" si="222"/>
        <v>enemy_1223_dmech</v>
      </c>
      <c r="G660" s="1">
        <v>1</v>
      </c>
      <c r="L660" s="1">
        <v>6000</v>
      </c>
      <c r="N660" s="1">
        <v>300</v>
      </c>
      <c r="P660" s="1">
        <v>250</v>
      </c>
      <c r="R660" s="1">
        <v>20</v>
      </c>
      <c r="Z660" s="1">
        <v>0.05</v>
      </c>
      <c r="AA660" s="1">
        <v>2</v>
      </c>
      <c r="AB660" s="1">
        <v>1</v>
      </c>
      <c r="AC660" s="1">
        <v>1</v>
      </c>
      <c r="AH660" s="1">
        <v>0</v>
      </c>
      <c r="AI660" s="1">
        <v>1</v>
      </c>
      <c r="AJ660" s="1" t="s">
        <v>2926</v>
      </c>
      <c r="AK660" s="1" t="s">
        <v>206</v>
      </c>
      <c r="AL660" s="1" t="s">
        <v>228</v>
      </c>
      <c r="AN660" s="22" t="s">
        <v>9767</v>
      </c>
      <c r="AX660" s="1">
        <v>1</v>
      </c>
      <c r="AZ660" s="1">
        <v>0.25</v>
      </c>
      <c r="BG660" s="1" t="str">
        <f t="shared" si="223"/>
        <v>enemy_1223_dmech</v>
      </c>
      <c r="BM660" s="1" t="s">
        <v>2918</v>
      </c>
      <c r="BN660" s="1" t="s">
        <v>2927</v>
      </c>
      <c r="BQ660" s="1" t="s">
        <v>207</v>
      </c>
      <c r="BR660" s="1" t="s">
        <v>208</v>
      </c>
      <c r="BS660" s="1" t="s">
        <v>229</v>
      </c>
      <c r="BT660" s="1" t="s">
        <v>210</v>
      </c>
      <c r="BX660" s="1">
        <v>1</v>
      </c>
    </row>
    <row r="661" spans="1:76" x14ac:dyDescent="0.25">
      <c r="A661" s="1" t="s">
        <v>2928</v>
      </c>
      <c r="B661" s="1" t="s">
        <v>203</v>
      </c>
      <c r="C661" s="1">
        <v>1</v>
      </c>
      <c r="D661" s="1" t="s">
        <v>2929</v>
      </c>
      <c r="E661" s="1">
        <v>1223</v>
      </c>
      <c r="F661" s="1" t="str">
        <f t="shared" si="222"/>
        <v>enemy_1223_dmech_2</v>
      </c>
      <c r="G661" s="1">
        <v>1</v>
      </c>
      <c r="L661" s="1">
        <v>8000</v>
      </c>
      <c r="N661" s="1">
        <v>380</v>
      </c>
      <c r="P661" s="1">
        <v>350</v>
      </c>
      <c r="R661" s="1">
        <v>20</v>
      </c>
      <c r="Z661" s="1">
        <v>0.05</v>
      </c>
      <c r="AA661" s="1">
        <v>2</v>
      </c>
      <c r="AB661" s="1">
        <v>1</v>
      </c>
      <c r="AC661" s="1">
        <v>1</v>
      </c>
      <c r="AH661" s="1">
        <v>0</v>
      </c>
      <c r="AI661" s="1">
        <v>1</v>
      </c>
      <c r="AJ661" s="1" t="s">
        <v>2930</v>
      </c>
      <c r="AK661" s="1" t="s">
        <v>206</v>
      </c>
      <c r="AL661" s="1" t="s">
        <v>228</v>
      </c>
      <c r="AN661" s="22" t="s">
        <v>9767</v>
      </c>
      <c r="AX661" s="1">
        <v>1</v>
      </c>
      <c r="AZ661" s="1">
        <v>0.25</v>
      </c>
      <c r="BG661" s="1" t="str">
        <f t="shared" si="223"/>
        <v>enemy_1223_dmech_2</v>
      </c>
      <c r="BM661" s="1" t="s">
        <v>2918</v>
      </c>
      <c r="BN661" s="1" t="s">
        <v>2931</v>
      </c>
      <c r="BQ661" s="1" t="s">
        <v>207</v>
      </c>
      <c r="BR661" s="1" t="s">
        <v>208</v>
      </c>
      <c r="BS661" s="1" t="s">
        <v>229</v>
      </c>
      <c r="BT661" s="1" t="s">
        <v>210</v>
      </c>
      <c r="BX661" s="1">
        <v>1</v>
      </c>
    </row>
    <row r="662" spans="1:76" x14ac:dyDescent="0.25">
      <c r="A662" s="1" t="s">
        <v>2932</v>
      </c>
      <c r="B662" s="1" t="s">
        <v>203</v>
      </c>
      <c r="C662" s="1">
        <v>1</v>
      </c>
      <c r="D662" s="1" t="s">
        <v>2933</v>
      </c>
      <c r="E662" s="1">
        <v>1224</v>
      </c>
      <c r="F662" s="1" t="str">
        <f t="shared" si="222"/>
        <v>enemy_1224_dsuply</v>
      </c>
      <c r="G662" s="1">
        <v>1</v>
      </c>
      <c r="L662" s="1">
        <v>7000</v>
      </c>
      <c r="N662" s="1">
        <v>340</v>
      </c>
      <c r="P662" s="1">
        <v>550</v>
      </c>
      <c r="R662" s="1">
        <v>10</v>
      </c>
      <c r="Z662" s="1">
        <v>0.05</v>
      </c>
      <c r="AA662" s="1">
        <v>1.7</v>
      </c>
      <c r="AB662" s="1">
        <v>4</v>
      </c>
      <c r="AC662" s="1">
        <v>0.7</v>
      </c>
      <c r="AH662" s="1">
        <v>0</v>
      </c>
      <c r="AI662" s="1">
        <v>1</v>
      </c>
      <c r="AJ662" s="1" t="s">
        <v>2934</v>
      </c>
      <c r="AK662" s="1" t="s">
        <v>206</v>
      </c>
      <c r="AL662" s="1" t="s">
        <v>228</v>
      </c>
      <c r="AN662" s="22" t="s">
        <v>9767</v>
      </c>
      <c r="AX662" s="1">
        <v>1</v>
      </c>
      <c r="AZ662" s="1">
        <v>0.25</v>
      </c>
      <c r="BG662" s="1" t="str">
        <f t="shared" si="223"/>
        <v>enemy_1224_dsuply</v>
      </c>
      <c r="BM662" s="1" t="s">
        <v>2373</v>
      </c>
      <c r="BN662" s="1" t="s">
        <v>2935</v>
      </c>
      <c r="BQ662" s="1" t="s">
        <v>207</v>
      </c>
      <c r="BR662" s="1" t="s">
        <v>208</v>
      </c>
      <c r="BS662" s="1" t="s">
        <v>229</v>
      </c>
      <c r="BT662" s="1" t="s">
        <v>210</v>
      </c>
      <c r="BX662" s="1">
        <v>1</v>
      </c>
    </row>
    <row r="663" spans="1:76" x14ac:dyDescent="0.25">
      <c r="A663" s="1" t="s">
        <v>2936</v>
      </c>
      <c r="B663" s="1" t="s">
        <v>203</v>
      </c>
      <c r="C663" s="1">
        <v>1</v>
      </c>
      <c r="D663" s="1" t="s">
        <v>2937</v>
      </c>
      <c r="E663" s="1">
        <v>1224</v>
      </c>
      <c r="F663" s="1" t="str">
        <f t="shared" si="222"/>
        <v>enemy_1224_dsuply_2</v>
      </c>
      <c r="G663" s="1">
        <v>1</v>
      </c>
      <c r="L663" s="1">
        <v>9000</v>
      </c>
      <c r="N663" s="1">
        <v>420</v>
      </c>
      <c r="P663" s="1">
        <v>600</v>
      </c>
      <c r="R663" s="1">
        <v>10</v>
      </c>
      <c r="Z663" s="1">
        <v>0.05</v>
      </c>
      <c r="AA663" s="1">
        <v>1.7</v>
      </c>
      <c r="AB663" s="1">
        <v>4</v>
      </c>
      <c r="AC663" s="1">
        <v>0.7</v>
      </c>
      <c r="AH663" s="1">
        <v>0</v>
      </c>
      <c r="AI663" s="1">
        <v>1</v>
      </c>
      <c r="AJ663" s="1" t="s">
        <v>2938</v>
      </c>
      <c r="AK663" s="1" t="s">
        <v>206</v>
      </c>
      <c r="AL663" s="1" t="s">
        <v>228</v>
      </c>
      <c r="AN663" s="22" t="s">
        <v>9767</v>
      </c>
      <c r="AX663" s="1">
        <v>1</v>
      </c>
      <c r="AZ663" s="1">
        <v>0.25</v>
      </c>
      <c r="BG663" s="1" t="str">
        <f t="shared" si="223"/>
        <v>enemy_1224_dsuply_2</v>
      </c>
      <c r="BM663" s="1" t="s">
        <v>2373</v>
      </c>
      <c r="BN663" s="1" t="s">
        <v>2935</v>
      </c>
      <c r="BQ663" s="1" t="s">
        <v>207</v>
      </c>
      <c r="BR663" s="1" t="s">
        <v>208</v>
      </c>
      <c r="BS663" s="1" t="s">
        <v>229</v>
      </c>
      <c r="BT663" s="1" t="s">
        <v>210</v>
      </c>
      <c r="BX663" s="1">
        <v>1</v>
      </c>
    </row>
    <row r="664" spans="1:76" x14ac:dyDescent="0.25">
      <c r="A664" s="1" t="s">
        <v>2939</v>
      </c>
      <c r="B664" s="1" t="s">
        <v>203</v>
      </c>
      <c r="C664" s="1">
        <v>1</v>
      </c>
      <c r="D664" s="1" t="s">
        <v>2940</v>
      </c>
      <c r="E664" s="1">
        <v>1225</v>
      </c>
      <c r="F664" s="1" t="str">
        <f t="shared" si="222"/>
        <v>enemy_1225_dkmage</v>
      </c>
      <c r="G664" s="1">
        <v>1</v>
      </c>
      <c r="L664" s="1">
        <v>12000</v>
      </c>
      <c r="N664" s="1">
        <v>420</v>
      </c>
      <c r="P664" s="1">
        <v>450</v>
      </c>
      <c r="R664" s="1">
        <v>50</v>
      </c>
      <c r="Z664" s="1">
        <v>0.05</v>
      </c>
      <c r="AA664" s="1">
        <v>4</v>
      </c>
      <c r="AB664" s="1">
        <v>3</v>
      </c>
      <c r="AC664" s="1">
        <v>0.7</v>
      </c>
      <c r="AH664" s="1">
        <v>0</v>
      </c>
      <c r="AI664" s="1">
        <v>1</v>
      </c>
      <c r="AJ664" s="1" t="s">
        <v>2941</v>
      </c>
      <c r="AK664" s="1" t="s">
        <v>206</v>
      </c>
      <c r="AL664" s="1" t="s">
        <v>228</v>
      </c>
      <c r="AN664" s="22" t="s">
        <v>9767</v>
      </c>
      <c r="AX664" s="1">
        <v>1</v>
      </c>
      <c r="AZ664" s="1">
        <v>0.25</v>
      </c>
      <c r="BG664" s="1" t="str">
        <f t="shared" si="223"/>
        <v>enemy_1225_dkmage</v>
      </c>
      <c r="BM664" s="1" t="s">
        <v>2942</v>
      </c>
      <c r="BN664" s="1" t="s">
        <v>2943</v>
      </c>
      <c r="BQ664" s="1" t="s">
        <v>207</v>
      </c>
      <c r="BR664" s="1" t="s">
        <v>208</v>
      </c>
      <c r="BS664" s="1" t="s">
        <v>229</v>
      </c>
      <c r="BT664" s="1" t="s">
        <v>210</v>
      </c>
      <c r="BX664" s="1">
        <v>1</v>
      </c>
    </row>
    <row r="665" spans="1:76" x14ac:dyDescent="0.25">
      <c r="A665" s="1" t="s">
        <v>2944</v>
      </c>
      <c r="B665" s="1" t="s">
        <v>203</v>
      </c>
      <c r="C665" s="1">
        <v>1</v>
      </c>
      <c r="D665" s="1" t="s">
        <v>2945</v>
      </c>
      <c r="E665" s="1">
        <v>1225</v>
      </c>
      <c r="F665" s="1" t="str">
        <f t="shared" si="222"/>
        <v>enemy_1225_dkmage_2</v>
      </c>
      <c r="G665" s="1">
        <v>1</v>
      </c>
      <c r="L665" s="1">
        <v>16000</v>
      </c>
      <c r="N665" s="1">
        <v>550</v>
      </c>
      <c r="P665" s="1">
        <v>550</v>
      </c>
      <c r="R665" s="1">
        <v>50</v>
      </c>
      <c r="Z665" s="1">
        <v>0.05</v>
      </c>
      <c r="AA665" s="1">
        <v>4</v>
      </c>
      <c r="AB665" s="1">
        <v>3</v>
      </c>
      <c r="AC665" s="1">
        <v>0.7</v>
      </c>
      <c r="AH665" s="1">
        <v>0</v>
      </c>
      <c r="AI665" s="1">
        <v>1</v>
      </c>
      <c r="AJ665" s="1" t="s">
        <v>2946</v>
      </c>
      <c r="AK665" s="1" t="s">
        <v>206</v>
      </c>
      <c r="AL665" s="1" t="s">
        <v>228</v>
      </c>
      <c r="AN665" s="22" t="s">
        <v>9767</v>
      </c>
      <c r="AX665" s="1">
        <v>1</v>
      </c>
      <c r="AZ665" s="1">
        <v>0.25</v>
      </c>
      <c r="BG665" s="1" t="str">
        <f t="shared" si="223"/>
        <v>enemy_1225_dkmage_2</v>
      </c>
      <c r="BM665" s="1" t="s">
        <v>2942</v>
      </c>
      <c r="BN665" s="1" t="s">
        <v>2947</v>
      </c>
      <c r="BQ665" s="1" t="s">
        <v>207</v>
      </c>
      <c r="BR665" s="1" t="s">
        <v>208</v>
      </c>
      <c r="BS665" s="1" t="s">
        <v>229</v>
      </c>
      <c r="BT665" s="1" t="s">
        <v>210</v>
      </c>
      <c r="BX665" s="1">
        <v>1</v>
      </c>
    </row>
    <row r="666" spans="1:76" x14ac:dyDescent="0.25">
      <c r="A666" s="1" t="s">
        <v>2948</v>
      </c>
      <c r="B666" s="1" t="s">
        <v>203</v>
      </c>
      <c r="C666" s="1">
        <v>1</v>
      </c>
      <c r="D666" s="1" t="s">
        <v>2949</v>
      </c>
      <c r="E666" s="1">
        <v>1226</v>
      </c>
      <c r="F666" s="1" t="str">
        <f t="shared" si="222"/>
        <v>enemy_1226_dklord</v>
      </c>
      <c r="G666" s="1">
        <v>1</v>
      </c>
      <c r="L666" s="1">
        <v>14000</v>
      </c>
      <c r="N666" s="1">
        <v>1000</v>
      </c>
      <c r="P666" s="1">
        <v>800</v>
      </c>
      <c r="R666" s="1">
        <v>20</v>
      </c>
      <c r="Z666" s="1">
        <v>0.05</v>
      </c>
      <c r="AA666" s="1">
        <v>5</v>
      </c>
      <c r="AB666" s="1">
        <v>4</v>
      </c>
      <c r="AC666" s="1">
        <v>0.5</v>
      </c>
      <c r="AH666" s="1">
        <v>0</v>
      </c>
      <c r="AI666" s="1">
        <v>1</v>
      </c>
      <c r="AJ666" s="1" t="s">
        <v>2950</v>
      </c>
      <c r="AK666" s="1" t="s">
        <v>206</v>
      </c>
      <c r="AL666" s="1" t="s">
        <v>228</v>
      </c>
      <c r="AN666" s="22" t="s">
        <v>9767</v>
      </c>
      <c r="AX666" s="1">
        <v>1</v>
      </c>
      <c r="AZ666" s="1">
        <v>0.25</v>
      </c>
      <c r="BG666" s="1" t="str">
        <f t="shared" si="223"/>
        <v>enemy_1226_dklord</v>
      </c>
      <c r="BM666" s="1" t="s">
        <v>2951</v>
      </c>
      <c r="BN666" s="1" t="s">
        <v>2952</v>
      </c>
      <c r="BQ666" s="1" t="s">
        <v>207</v>
      </c>
      <c r="BR666" s="1" t="s">
        <v>208</v>
      </c>
      <c r="BS666" s="1" t="s">
        <v>229</v>
      </c>
      <c r="BT666" s="1" t="s">
        <v>210</v>
      </c>
      <c r="BX666" s="1">
        <v>1</v>
      </c>
    </row>
    <row r="667" spans="1:76" x14ac:dyDescent="0.25">
      <c r="A667" s="1" t="s">
        <v>2953</v>
      </c>
      <c r="B667" s="1" t="s">
        <v>203</v>
      </c>
      <c r="C667" s="1">
        <v>1</v>
      </c>
      <c r="D667" s="1" t="s">
        <v>2954</v>
      </c>
      <c r="E667" s="1">
        <v>1226</v>
      </c>
      <c r="F667" s="1" t="str">
        <f t="shared" si="222"/>
        <v>enemy_1226_dklord_2</v>
      </c>
      <c r="G667" s="1">
        <v>1</v>
      </c>
      <c r="L667" s="1">
        <v>20000</v>
      </c>
      <c r="N667" s="1">
        <v>1200</v>
      </c>
      <c r="P667" s="1">
        <v>800</v>
      </c>
      <c r="R667" s="1">
        <v>20</v>
      </c>
      <c r="Z667" s="1">
        <v>0.05</v>
      </c>
      <c r="AA667" s="1">
        <v>5</v>
      </c>
      <c r="AB667" s="1">
        <v>4</v>
      </c>
      <c r="AC667" s="1">
        <v>0.5</v>
      </c>
      <c r="AH667" s="1">
        <v>0</v>
      </c>
      <c r="AI667" s="1">
        <v>1</v>
      </c>
      <c r="AJ667" s="1" t="s">
        <v>2955</v>
      </c>
      <c r="AK667" s="1" t="s">
        <v>206</v>
      </c>
      <c r="AL667" s="1" t="s">
        <v>228</v>
      </c>
      <c r="AN667" s="22" t="s">
        <v>9767</v>
      </c>
      <c r="AX667" s="1">
        <v>1</v>
      </c>
      <c r="AZ667" s="1">
        <v>0.25</v>
      </c>
      <c r="BG667" s="1" t="str">
        <f t="shared" si="223"/>
        <v>enemy_1226_dklord_2</v>
      </c>
      <c r="BM667" s="1" t="s">
        <v>2951</v>
      </c>
      <c r="BN667" s="1" t="s">
        <v>2956</v>
      </c>
      <c r="BQ667" s="1" t="s">
        <v>207</v>
      </c>
      <c r="BR667" s="1" t="s">
        <v>208</v>
      </c>
      <c r="BS667" s="1" t="s">
        <v>229</v>
      </c>
      <c r="BT667" s="1" t="s">
        <v>210</v>
      </c>
      <c r="BX667" s="1">
        <v>1</v>
      </c>
    </row>
    <row r="668" spans="1:76" x14ac:dyDescent="0.25">
      <c r="A668" s="1" t="s">
        <v>2957</v>
      </c>
      <c r="B668" s="1" t="s">
        <v>203</v>
      </c>
      <c r="C668" s="1">
        <v>1</v>
      </c>
      <c r="D668" s="1" t="s">
        <v>2958</v>
      </c>
      <c r="E668" s="1">
        <v>1227</v>
      </c>
      <c r="F668" s="1" t="str">
        <f t="shared" si="222"/>
        <v>enemy_1227_dair</v>
      </c>
      <c r="G668" s="1">
        <v>1</v>
      </c>
      <c r="L668" s="1">
        <v>6000</v>
      </c>
      <c r="N668" s="1">
        <v>500</v>
      </c>
      <c r="P668" s="1">
        <v>150</v>
      </c>
      <c r="R668" s="1">
        <v>10</v>
      </c>
      <c r="Z668" s="1">
        <v>0.05</v>
      </c>
      <c r="AA668" s="1">
        <v>4.5</v>
      </c>
      <c r="AB668" s="1">
        <v>1</v>
      </c>
      <c r="AC668" s="1">
        <v>0.5</v>
      </c>
      <c r="AH668" s="1">
        <v>0</v>
      </c>
      <c r="AI668" s="1">
        <v>1</v>
      </c>
      <c r="AJ668" s="1" t="s">
        <v>2959</v>
      </c>
      <c r="AK668" s="1" t="s">
        <v>206</v>
      </c>
      <c r="AL668" s="1" t="s">
        <v>228</v>
      </c>
      <c r="AN668" s="22" t="s">
        <v>9767</v>
      </c>
      <c r="AX668" s="1">
        <v>1</v>
      </c>
      <c r="AZ668" s="1">
        <v>0.25</v>
      </c>
      <c r="BG668" s="1" t="str">
        <f t="shared" si="223"/>
        <v>enemy_1227_dair</v>
      </c>
      <c r="BM668" s="1" t="s">
        <v>1027</v>
      </c>
      <c r="BN668" s="1" t="s">
        <v>2960</v>
      </c>
      <c r="BQ668" s="1" t="s">
        <v>207</v>
      </c>
      <c r="BR668" s="1" t="s">
        <v>208</v>
      </c>
      <c r="BS668" s="1" t="s">
        <v>229</v>
      </c>
      <c r="BT668" s="1" t="s">
        <v>210</v>
      </c>
      <c r="BX668" s="1">
        <v>1</v>
      </c>
    </row>
    <row r="669" spans="1:76" x14ac:dyDescent="0.25">
      <c r="A669" s="1" t="s">
        <v>2961</v>
      </c>
      <c r="B669" s="1" t="s">
        <v>203</v>
      </c>
      <c r="C669" s="1">
        <v>1</v>
      </c>
      <c r="D669" s="1" t="s">
        <v>2962</v>
      </c>
      <c r="E669" s="1">
        <v>1227</v>
      </c>
      <c r="F669" s="1" t="str">
        <f t="shared" si="222"/>
        <v>enemy_1227_dair_2</v>
      </c>
      <c r="G669" s="1">
        <v>1</v>
      </c>
      <c r="L669" s="1">
        <v>9000</v>
      </c>
      <c r="N669" s="1">
        <v>650</v>
      </c>
      <c r="P669" s="1">
        <v>220</v>
      </c>
      <c r="R669" s="1">
        <v>10</v>
      </c>
      <c r="Z669" s="1">
        <v>0.05</v>
      </c>
      <c r="AA669" s="1">
        <v>4.5</v>
      </c>
      <c r="AB669" s="1">
        <v>1</v>
      </c>
      <c r="AC669" s="1">
        <v>0.5</v>
      </c>
      <c r="AH669" s="1">
        <v>0</v>
      </c>
      <c r="AI669" s="1">
        <v>1</v>
      </c>
      <c r="AJ669" s="1" t="s">
        <v>2963</v>
      </c>
      <c r="AK669" s="1" t="s">
        <v>206</v>
      </c>
      <c r="AL669" s="1" t="s">
        <v>228</v>
      </c>
      <c r="AN669" s="22" t="s">
        <v>9767</v>
      </c>
      <c r="AX669" s="1">
        <v>1</v>
      </c>
      <c r="AZ669" s="1">
        <v>0.25</v>
      </c>
      <c r="BG669" s="1" t="str">
        <f t="shared" si="223"/>
        <v>enemy_1227_dair_2</v>
      </c>
      <c r="BM669" s="1" t="s">
        <v>1027</v>
      </c>
      <c r="BN669" s="1" t="s">
        <v>2960</v>
      </c>
      <c r="BQ669" s="1" t="s">
        <v>207</v>
      </c>
      <c r="BR669" s="1" t="s">
        <v>208</v>
      </c>
      <c r="BS669" s="1" t="s">
        <v>229</v>
      </c>
      <c r="BT669" s="1" t="s">
        <v>210</v>
      </c>
      <c r="BX669" s="1">
        <v>1</v>
      </c>
    </row>
    <row r="670" spans="1:76" x14ac:dyDescent="0.25">
      <c r="A670" s="1" t="s">
        <v>2964</v>
      </c>
      <c r="B670" s="1" t="s">
        <v>203</v>
      </c>
      <c r="C670" s="1">
        <v>1</v>
      </c>
      <c r="D670" s="1" t="s">
        <v>2965</v>
      </c>
      <c r="E670" s="1">
        <v>1228</v>
      </c>
      <c r="F670" s="1" t="str">
        <f t="shared" si="222"/>
        <v>enemy_1228_dslime</v>
      </c>
      <c r="G670" s="1">
        <v>1</v>
      </c>
      <c r="L670" s="1">
        <v>4000</v>
      </c>
      <c r="N670" s="1">
        <v>90</v>
      </c>
      <c r="P670" s="1">
        <v>100</v>
      </c>
      <c r="R670" s="1">
        <v>0</v>
      </c>
      <c r="Z670" s="1">
        <v>0.05</v>
      </c>
      <c r="AA670" s="1">
        <v>0.6</v>
      </c>
      <c r="AB670" s="1">
        <v>0</v>
      </c>
      <c r="AC670" s="1">
        <v>1.7</v>
      </c>
      <c r="AH670" s="1">
        <v>0</v>
      </c>
      <c r="AI670" s="1">
        <v>1</v>
      </c>
      <c r="AJ670" s="1" t="s">
        <v>2966</v>
      </c>
      <c r="AK670" s="1" t="s">
        <v>206</v>
      </c>
      <c r="AL670" s="1" t="s">
        <v>228</v>
      </c>
      <c r="AN670" s="22" t="s">
        <v>9767</v>
      </c>
      <c r="AX670" s="1">
        <v>1</v>
      </c>
      <c r="AZ670" s="1">
        <v>0.25</v>
      </c>
      <c r="BG670" s="1" t="str">
        <f t="shared" si="223"/>
        <v>enemy_1228_dslime</v>
      </c>
      <c r="BM670" s="1" t="s">
        <v>930</v>
      </c>
      <c r="BN670" s="1" t="s">
        <v>2967</v>
      </c>
      <c r="BQ670" s="1" t="s">
        <v>207</v>
      </c>
      <c r="BR670" s="1" t="s">
        <v>208</v>
      </c>
      <c r="BS670" s="1" t="s">
        <v>229</v>
      </c>
      <c r="BT670" s="1" t="s">
        <v>210</v>
      </c>
      <c r="BX670" s="1">
        <v>1</v>
      </c>
    </row>
    <row r="671" spans="1:76" x14ac:dyDescent="0.25">
      <c r="A671" s="1" t="s">
        <v>2968</v>
      </c>
      <c r="B671" s="1" t="s">
        <v>203</v>
      </c>
      <c r="C671" s="1">
        <v>1</v>
      </c>
      <c r="D671" s="1" t="s">
        <v>2969</v>
      </c>
      <c r="E671" s="1">
        <v>1228</v>
      </c>
      <c r="F671" s="1" t="str">
        <f t="shared" si="222"/>
        <v>enemy_1228_dslime_2</v>
      </c>
      <c r="G671" s="1">
        <v>1</v>
      </c>
      <c r="L671" s="1">
        <v>6000</v>
      </c>
      <c r="N671" s="1">
        <v>120</v>
      </c>
      <c r="P671" s="1">
        <v>100</v>
      </c>
      <c r="R671" s="1">
        <v>0</v>
      </c>
      <c r="Z671" s="1">
        <v>0.05</v>
      </c>
      <c r="AA671" s="1">
        <v>0.6</v>
      </c>
      <c r="AB671" s="1">
        <v>0</v>
      </c>
      <c r="AC671" s="1">
        <v>1.7</v>
      </c>
      <c r="AH671" s="1">
        <v>0</v>
      </c>
      <c r="AI671" s="1">
        <v>1</v>
      </c>
      <c r="AJ671" s="1" t="s">
        <v>2970</v>
      </c>
      <c r="AK671" s="1" t="s">
        <v>206</v>
      </c>
      <c r="AL671" s="1" t="s">
        <v>228</v>
      </c>
      <c r="AN671" s="22" t="s">
        <v>9767</v>
      </c>
      <c r="AX671" s="1">
        <v>1</v>
      </c>
      <c r="AZ671" s="1">
        <v>0.25</v>
      </c>
      <c r="BG671" s="1" t="str">
        <f t="shared" si="223"/>
        <v>enemy_1228_dslime_2</v>
      </c>
      <c r="BM671" s="1" t="s">
        <v>930</v>
      </c>
      <c r="BN671" s="1" t="s">
        <v>2967</v>
      </c>
      <c r="BQ671" s="1" t="s">
        <v>207</v>
      </c>
      <c r="BR671" s="1" t="s">
        <v>208</v>
      </c>
      <c r="BS671" s="1" t="s">
        <v>229</v>
      </c>
      <c r="BT671" s="1" t="s">
        <v>210</v>
      </c>
      <c r="BX671" s="1">
        <v>1</v>
      </c>
    </row>
    <row r="672" spans="1:76" x14ac:dyDescent="0.25">
      <c r="A672" s="1" t="s">
        <v>2971</v>
      </c>
      <c r="B672" s="1" t="s">
        <v>203</v>
      </c>
      <c r="C672" s="1">
        <v>1</v>
      </c>
      <c r="D672" s="1" t="s">
        <v>2972</v>
      </c>
      <c r="E672" s="1">
        <v>1229</v>
      </c>
      <c r="F672" s="1" t="str">
        <f t="shared" si="222"/>
        <v>enemy_1229_darmy</v>
      </c>
      <c r="G672" s="1">
        <v>1</v>
      </c>
      <c r="L672" s="1">
        <v>4200</v>
      </c>
      <c r="N672" s="1">
        <v>240</v>
      </c>
      <c r="P672" s="1">
        <v>220</v>
      </c>
      <c r="R672" s="1">
        <v>40</v>
      </c>
      <c r="Z672" s="1">
        <v>0.05</v>
      </c>
      <c r="AA672" s="1">
        <v>2.5</v>
      </c>
      <c r="AB672" s="1">
        <v>1</v>
      </c>
      <c r="AC672" s="1">
        <v>0.9</v>
      </c>
      <c r="AH672" s="1">
        <v>0</v>
      </c>
      <c r="AI672" s="1">
        <v>1</v>
      </c>
      <c r="AJ672" s="1" t="s">
        <v>2973</v>
      </c>
      <c r="AK672" s="1" t="s">
        <v>206</v>
      </c>
      <c r="AL672" s="1" t="s">
        <v>228</v>
      </c>
      <c r="AN672" s="22" t="s">
        <v>9767</v>
      </c>
      <c r="AX672" s="1">
        <v>1</v>
      </c>
      <c r="AZ672" s="1">
        <v>0.25</v>
      </c>
      <c r="BG672" s="1" t="str">
        <f t="shared" si="223"/>
        <v>enemy_1229_darmy</v>
      </c>
      <c r="BM672" s="1" t="s">
        <v>1473</v>
      </c>
      <c r="BN672" s="1" t="s">
        <v>2974</v>
      </c>
      <c r="BQ672" s="1" t="s">
        <v>207</v>
      </c>
      <c r="BR672" s="1" t="s">
        <v>208</v>
      </c>
      <c r="BS672" s="1" t="s">
        <v>229</v>
      </c>
      <c r="BT672" s="1" t="s">
        <v>210</v>
      </c>
      <c r="BX672" s="1">
        <v>1</v>
      </c>
    </row>
    <row r="673" spans="1:76" x14ac:dyDescent="0.25">
      <c r="A673" s="1" t="s">
        <v>2975</v>
      </c>
      <c r="B673" s="1" t="s">
        <v>203</v>
      </c>
      <c r="C673" s="1">
        <v>1</v>
      </c>
      <c r="D673" s="1" t="s">
        <v>2976</v>
      </c>
      <c r="E673" s="1">
        <v>1229</v>
      </c>
      <c r="F673" s="1" t="str">
        <f t="shared" si="222"/>
        <v>enemy_1229_darmy_2</v>
      </c>
      <c r="G673" s="1">
        <v>1</v>
      </c>
      <c r="L673" s="1">
        <v>5500</v>
      </c>
      <c r="N673" s="1">
        <v>380</v>
      </c>
      <c r="P673" s="1">
        <v>280</v>
      </c>
      <c r="R673" s="1">
        <v>40</v>
      </c>
      <c r="Z673" s="1">
        <v>0.05</v>
      </c>
      <c r="AA673" s="1">
        <v>2.5</v>
      </c>
      <c r="AB673" s="1">
        <v>1</v>
      </c>
      <c r="AC673" s="1">
        <v>0.9</v>
      </c>
      <c r="AH673" s="1">
        <v>0</v>
      </c>
      <c r="AI673" s="1">
        <v>1</v>
      </c>
      <c r="AJ673" s="1" t="s">
        <v>2977</v>
      </c>
      <c r="AK673" s="1" t="s">
        <v>206</v>
      </c>
      <c r="AL673" s="1" t="s">
        <v>228</v>
      </c>
      <c r="AN673" s="22" t="s">
        <v>9767</v>
      </c>
      <c r="AX673" s="1">
        <v>1</v>
      </c>
      <c r="AZ673" s="1">
        <v>0.25</v>
      </c>
      <c r="BG673" s="1" t="str">
        <f t="shared" si="223"/>
        <v>enemy_1229_darmy_2</v>
      </c>
      <c r="BM673" s="1" t="s">
        <v>1473</v>
      </c>
      <c r="BN673" s="1" t="s">
        <v>2974</v>
      </c>
      <c r="BQ673" s="1" t="s">
        <v>207</v>
      </c>
      <c r="BR673" s="1" t="s">
        <v>208</v>
      </c>
      <c r="BS673" s="1" t="s">
        <v>229</v>
      </c>
      <c r="BT673" s="1" t="s">
        <v>210</v>
      </c>
      <c r="BX673" s="1">
        <v>1</v>
      </c>
    </row>
    <row r="674" spans="1:76" x14ac:dyDescent="0.25">
      <c r="A674" s="1" t="s">
        <v>2978</v>
      </c>
      <c r="B674" s="1" t="s">
        <v>203</v>
      </c>
      <c r="C674" s="1">
        <v>1</v>
      </c>
      <c r="D674" s="1" t="s">
        <v>2979</v>
      </c>
      <c r="E674" s="1">
        <v>1528</v>
      </c>
      <c r="F674" s="1" t="str">
        <f t="shared" si="222"/>
        <v>enemy_1528_manfri</v>
      </c>
      <c r="G674" s="1">
        <v>1</v>
      </c>
      <c r="L674" s="1">
        <v>40000</v>
      </c>
      <c r="N674" s="1">
        <v>1000</v>
      </c>
      <c r="P674" s="1">
        <v>600</v>
      </c>
      <c r="R674" s="1">
        <v>40</v>
      </c>
      <c r="Z674" s="1">
        <v>0.05</v>
      </c>
      <c r="AA674" s="1">
        <v>5</v>
      </c>
      <c r="AB674" s="1">
        <v>8</v>
      </c>
      <c r="AC674" s="1">
        <v>0.5</v>
      </c>
      <c r="AH674" s="1">
        <v>0</v>
      </c>
      <c r="AI674" s="1">
        <v>1</v>
      </c>
      <c r="AJ674" s="1" t="s">
        <v>2980</v>
      </c>
      <c r="AK674" s="1" t="s">
        <v>206</v>
      </c>
      <c r="AL674" s="1" t="s">
        <v>228</v>
      </c>
      <c r="AN674" s="22" t="s">
        <v>9767</v>
      </c>
      <c r="AX674" s="1">
        <v>1</v>
      </c>
      <c r="AZ674" s="1">
        <v>0.25</v>
      </c>
      <c r="BG674" s="1" t="str">
        <f t="shared" si="223"/>
        <v>enemy_1528_manfri</v>
      </c>
      <c r="BM674" s="1" t="s">
        <v>1091</v>
      </c>
      <c r="BN674" s="1" t="s">
        <v>2981</v>
      </c>
      <c r="BQ674" s="1" t="s">
        <v>207</v>
      </c>
      <c r="BR674" s="1" t="s">
        <v>208</v>
      </c>
      <c r="BS674" s="1" t="s">
        <v>229</v>
      </c>
      <c r="BT674" s="1" t="s">
        <v>210</v>
      </c>
      <c r="BX674" s="1">
        <v>1</v>
      </c>
    </row>
    <row r="675" spans="1:76" x14ac:dyDescent="0.25">
      <c r="A675" s="1" t="s">
        <v>2982</v>
      </c>
      <c r="B675" s="1" t="s">
        <v>203</v>
      </c>
      <c r="C675" s="1">
        <v>1</v>
      </c>
      <c r="D675" s="1" t="s">
        <v>2983</v>
      </c>
      <c r="E675" s="1">
        <v>1230</v>
      </c>
      <c r="F675" s="1" t="str">
        <f t="shared" si="222"/>
        <v>enemy_1230_dsbudr</v>
      </c>
      <c r="G675" s="1">
        <v>1</v>
      </c>
      <c r="L675" s="1">
        <v>7000</v>
      </c>
      <c r="N675" s="1">
        <v>450</v>
      </c>
      <c r="P675" s="1">
        <v>200</v>
      </c>
      <c r="R675" s="1">
        <v>30</v>
      </c>
      <c r="Z675" s="1">
        <v>0.05</v>
      </c>
      <c r="AA675" s="1">
        <v>3</v>
      </c>
      <c r="AB675" s="1">
        <v>2</v>
      </c>
      <c r="AC675" s="1">
        <v>1</v>
      </c>
      <c r="AH675" s="1">
        <v>0</v>
      </c>
      <c r="AI675" s="1">
        <v>1</v>
      </c>
      <c r="AJ675" s="1" t="s">
        <v>2984</v>
      </c>
      <c r="AK675" s="1" t="s">
        <v>206</v>
      </c>
      <c r="AL675" s="1" t="s">
        <v>228</v>
      </c>
      <c r="AN675" s="22" t="s">
        <v>9767</v>
      </c>
      <c r="AX675" s="1">
        <v>1</v>
      </c>
      <c r="AZ675" s="1">
        <v>0.25</v>
      </c>
      <c r="BG675" s="1" t="str">
        <f t="shared" si="223"/>
        <v>enemy_1230_dsbudr</v>
      </c>
      <c r="BM675" s="1" t="s">
        <v>2288</v>
      </c>
      <c r="BN675" s="1" t="s">
        <v>2985</v>
      </c>
      <c r="BQ675" s="1" t="s">
        <v>207</v>
      </c>
      <c r="BR675" s="1" t="s">
        <v>208</v>
      </c>
      <c r="BS675" s="1" t="s">
        <v>229</v>
      </c>
      <c r="BT675" s="1" t="s">
        <v>210</v>
      </c>
      <c r="BX675" s="1">
        <v>1</v>
      </c>
    </row>
    <row r="676" spans="1:76" x14ac:dyDescent="0.25">
      <c r="A676" s="1" t="s">
        <v>2986</v>
      </c>
      <c r="B676" s="1" t="s">
        <v>203</v>
      </c>
      <c r="C676" s="1">
        <v>1</v>
      </c>
      <c r="D676" s="1" t="s">
        <v>2987</v>
      </c>
      <c r="E676" s="1">
        <v>1230</v>
      </c>
      <c r="F676" s="1" t="str">
        <f t="shared" si="222"/>
        <v>enemy_1230_dsbudr_2</v>
      </c>
      <c r="G676" s="1">
        <v>1</v>
      </c>
      <c r="L676" s="1">
        <v>9000</v>
      </c>
      <c r="N676" s="1">
        <v>600</v>
      </c>
      <c r="P676" s="1">
        <v>250</v>
      </c>
      <c r="R676" s="1">
        <v>30</v>
      </c>
      <c r="Z676" s="1">
        <v>0.05</v>
      </c>
      <c r="AA676" s="1">
        <v>3</v>
      </c>
      <c r="AB676" s="1">
        <v>2</v>
      </c>
      <c r="AC676" s="1">
        <v>1</v>
      </c>
      <c r="AH676" s="1">
        <v>0</v>
      </c>
      <c r="AI676" s="1">
        <v>1</v>
      </c>
      <c r="AJ676" s="1" t="s">
        <v>2988</v>
      </c>
      <c r="AK676" s="1" t="s">
        <v>206</v>
      </c>
      <c r="AL676" s="1" t="s">
        <v>228</v>
      </c>
      <c r="AN676" s="22" t="s">
        <v>9767</v>
      </c>
      <c r="AX676" s="1">
        <v>1</v>
      </c>
      <c r="AZ676" s="1">
        <v>0.25</v>
      </c>
      <c r="BG676" s="1" t="str">
        <f t="shared" si="223"/>
        <v>enemy_1230_dsbudr_2</v>
      </c>
      <c r="BM676" s="1" t="s">
        <v>2288</v>
      </c>
      <c r="BN676" s="1" t="s">
        <v>2985</v>
      </c>
      <c r="BQ676" s="1" t="s">
        <v>207</v>
      </c>
      <c r="BR676" s="1" t="s">
        <v>208</v>
      </c>
      <c r="BS676" s="1" t="s">
        <v>229</v>
      </c>
      <c r="BT676" s="1" t="s">
        <v>210</v>
      </c>
      <c r="BX676" s="1">
        <v>1</v>
      </c>
    </row>
    <row r="677" spans="1:76" x14ac:dyDescent="0.25">
      <c r="A677" s="1" t="s">
        <v>2989</v>
      </c>
      <c r="B677" s="1" t="s">
        <v>203</v>
      </c>
      <c r="C677" s="1">
        <v>1</v>
      </c>
      <c r="D677" s="1" t="s">
        <v>2990</v>
      </c>
      <c r="E677" s="1">
        <v>1230</v>
      </c>
      <c r="F677" s="1" t="str">
        <f t="shared" si="222"/>
        <v>enemy_1230_dsbudr_3</v>
      </c>
      <c r="G677" s="1">
        <v>1</v>
      </c>
      <c r="L677" s="1">
        <v>100</v>
      </c>
      <c r="N677" s="1">
        <v>100</v>
      </c>
      <c r="P677" s="1">
        <v>0</v>
      </c>
      <c r="R677" s="1">
        <v>0</v>
      </c>
      <c r="Z677" s="1">
        <v>0.05</v>
      </c>
      <c r="AA677" s="1">
        <v>1</v>
      </c>
      <c r="AB677" s="1">
        <v>0</v>
      </c>
      <c r="AC677" s="1">
        <v>1</v>
      </c>
      <c r="AH677" s="1">
        <v>0</v>
      </c>
      <c r="AI677" s="1">
        <v>1</v>
      </c>
      <c r="AJ677" s="1" t="s">
        <v>2991</v>
      </c>
      <c r="AK677" s="1" t="s">
        <v>206</v>
      </c>
      <c r="AL677" s="1" t="s">
        <v>228</v>
      </c>
      <c r="AN677" s="22" t="s">
        <v>9767</v>
      </c>
      <c r="AX677" s="1">
        <v>1</v>
      </c>
      <c r="AZ677" s="1">
        <v>0.25</v>
      </c>
      <c r="BG677" s="1" t="str">
        <f t="shared" si="223"/>
        <v>enemy_1230_dsbudr_3</v>
      </c>
      <c r="BM677" s="1" t="s">
        <v>930</v>
      </c>
      <c r="BQ677" s="1" t="s">
        <v>207</v>
      </c>
      <c r="BR677" s="1" t="s">
        <v>208</v>
      </c>
      <c r="BS677" s="1" t="s">
        <v>229</v>
      </c>
      <c r="BT677" s="1" t="s">
        <v>210</v>
      </c>
      <c r="BX677" s="1">
        <v>1</v>
      </c>
    </row>
    <row r="678" spans="1:76" x14ac:dyDescent="0.25">
      <c r="A678" s="1" t="s">
        <v>2992</v>
      </c>
      <c r="B678" s="1" t="s">
        <v>203</v>
      </c>
      <c r="C678" s="1">
        <v>1</v>
      </c>
      <c r="D678" s="1" t="s">
        <v>2993</v>
      </c>
      <c r="E678" s="1">
        <v>1230</v>
      </c>
      <c r="F678" s="1" t="s">
        <v>2982</v>
      </c>
      <c r="G678" s="1">
        <v>1</v>
      </c>
      <c r="L678" s="1">
        <v>7000</v>
      </c>
      <c r="N678" s="1">
        <v>450</v>
      </c>
      <c r="P678" s="1">
        <v>200</v>
      </c>
      <c r="R678" s="1">
        <v>30</v>
      </c>
      <c r="Z678" s="1">
        <v>0.05</v>
      </c>
      <c r="AA678" s="1">
        <v>3</v>
      </c>
      <c r="AB678" s="1">
        <v>2</v>
      </c>
      <c r="AC678" s="1">
        <v>1</v>
      </c>
      <c r="AH678" s="1">
        <v>0</v>
      </c>
      <c r="AI678" s="1">
        <v>1</v>
      </c>
      <c r="AJ678" s="1" t="s">
        <v>2994</v>
      </c>
      <c r="AK678" s="1" t="s">
        <v>206</v>
      </c>
      <c r="AL678" s="1" t="s">
        <v>228</v>
      </c>
      <c r="AN678" s="22" t="s">
        <v>9767</v>
      </c>
      <c r="AX678" s="1">
        <v>1</v>
      </c>
      <c r="AZ678" s="1">
        <v>0.25</v>
      </c>
      <c r="BG678" s="1" t="str">
        <f t="shared" si="223"/>
        <v>enemy_1230_dsbudr_4</v>
      </c>
      <c r="BM678" s="1" t="s">
        <v>2288</v>
      </c>
      <c r="BN678" s="1" t="s">
        <v>2995</v>
      </c>
      <c r="BQ678" s="1" t="s">
        <v>207</v>
      </c>
      <c r="BR678" s="1" t="s">
        <v>208</v>
      </c>
      <c r="BS678" s="1" t="s">
        <v>229</v>
      </c>
      <c r="BT678" s="1" t="s">
        <v>210</v>
      </c>
      <c r="BX678" s="1">
        <v>1</v>
      </c>
    </row>
    <row r="679" spans="1:76" x14ac:dyDescent="0.25">
      <c r="A679" s="1" t="s">
        <v>2996</v>
      </c>
      <c r="B679" s="1" t="s">
        <v>203</v>
      </c>
      <c r="C679" s="1">
        <v>1</v>
      </c>
      <c r="D679" s="1" t="s">
        <v>2997</v>
      </c>
      <c r="E679" s="1">
        <v>1231</v>
      </c>
      <c r="F679" s="1" t="str">
        <f t="shared" si="222"/>
        <v>enemy_1231_dsrunr</v>
      </c>
      <c r="G679" s="1">
        <v>1</v>
      </c>
      <c r="L679" s="1">
        <v>4000</v>
      </c>
      <c r="N679" s="1">
        <v>450</v>
      </c>
      <c r="P679" s="1">
        <v>50</v>
      </c>
      <c r="R679" s="1">
        <v>0</v>
      </c>
      <c r="Z679" s="1">
        <v>0.05</v>
      </c>
      <c r="AA679" s="1">
        <v>3</v>
      </c>
      <c r="AB679" s="1">
        <v>1</v>
      </c>
      <c r="AC679" s="1">
        <v>1</v>
      </c>
      <c r="AH679" s="1">
        <v>0</v>
      </c>
      <c r="AI679" s="1">
        <v>1</v>
      </c>
      <c r="AJ679" s="1" t="s">
        <v>2998</v>
      </c>
      <c r="AK679" s="1" t="s">
        <v>206</v>
      </c>
      <c r="AL679" s="1" t="s">
        <v>228</v>
      </c>
      <c r="AN679" s="22" t="s">
        <v>9767</v>
      </c>
      <c r="AX679" s="1">
        <v>1</v>
      </c>
      <c r="AZ679" s="1">
        <v>0.25</v>
      </c>
      <c r="BG679" s="1" t="str">
        <f t="shared" si="223"/>
        <v>enemy_1231_dsrunr</v>
      </c>
      <c r="BM679" s="1" t="s">
        <v>2250</v>
      </c>
      <c r="BN679" s="1" t="s">
        <v>2999</v>
      </c>
      <c r="BQ679" s="1" t="s">
        <v>207</v>
      </c>
      <c r="BR679" s="1" t="s">
        <v>208</v>
      </c>
      <c r="BS679" s="1" t="s">
        <v>229</v>
      </c>
      <c r="BT679" s="1" t="s">
        <v>210</v>
      </c>
      <c r="BX679" s="1">
        <v>1</v>
      </c>
    </row>
    <row r="680" spans="1:76" x14ac:dyDescent="0.25">
      <c r="A680" s="1" t="s">
        <v>3000</v>
      </c>
      <c r="B680" s="1" t="s">
        <v>203</v>
      </c>
      <c r="C680" s="1">
        <v>1</v>
      </c>
      <c r="D680" s="1" t="s">
        <v>3001</v>
      </c>
      <c r="E680" s="1">
        <v>1231</v>
      </c>
      <c r="F680" s="1" t="str">
        <f t="shared" si="222"/>
        <v>enemy_1231_dsrunr_2</v>
      </c>
      <c r="G680" s="1">
        <v>1</v>
      </c>
      <c r="L680" s="1">
        <v>5000</v>
      </c>
      <c r="N680" s="1">
        <v>550</v>
      </c>
      <c r="P680" s="1">
        <v>80</v>
      </c>
      <c r="R680" s="1">
        <v>0</v>
      </c>
      <c r="Z680" s="1">
        <v>0.05</v>
      </c>
      <c r="AA680" s="1">
        <v>3</v>
      </c>
      <c r="AB680" s="1">
        <v>1</v>
      </c>
      <c r="AC680" s="1">
        <v>1</v>
      </c>
      <c r="AH680" s="1">
        <v>0</v>
      </c>
      <c r="AI680" s="1">
        <v>1</v>
      </c>
      <c r="AJ680" s="1" t="s">
        <v>3002</v>
      </c>
      <c r="AK680" s="1" t="s">
        <v>206</v>
      </c>
      <c r="AL680" s="1" t="s">
        <v>228</v>
      </c>
      <c r="AN680" s="22" t="s">
        <v>9767</v>
      </c>
      <c r="AX680" s="1">
        <v>1</v>
      </c>
      <c r="AZ680" s="1">
        <v>0.25</v>
      </c>
      <c r="BG680" s="1" t="str">
        <f t="shared" si="223"/>
        <v>enemy_1231_dsrunr_2</v>
      </c>
      <c r="BM680" s="1" t="s">
        <v>2250</v>
      </c>
      <c r="BN680" s="1" t="s">
        <v>2999</v>
      </c>
      <c r="BQ680" s="1" t="s">
        <v>207</v>
      </c>
      <c r="BR680" s="1" t="s">
        <v>208</v>
      </c>
      <c r="BS680" s="1" t="s">
        <v>229</v>
      </c>
      <c r="BT680" s="1" t="s">
        <v>210</v>
      </c>
      <c r="BX680" s="1">
        <v>1</v>
      </c>
    </row>
    <row r="681" spans="1:76" x14ac:dyDescent="0.25">
      <c r="A681" s="1" t="s">
        <v>3003</v>
      </c>
      <c r="B681" s="1" t="s">
        <v>203</v>
      </c>
      <c r="C681" s="1">
        <v>1</v>
      </c>
      <c r="D681" s="1" t="s">
        <v>3001</v>
      </c>
      <c r="E681" s="1">
        <v>1231</v>
      </c>
      <c r="F681" s="1" t="str">
        <f t="shared" si="222"/>
        <v>enemy_1231_dsrunr_2</v>
      </c>
      <c r="G681" s="1">
        <v>1</v>
      </c>
      <c r="L681" s="1">
        <v>100</v>
      </c>
      <c r="N681" s="1">
        <v>100</v>
      </c>
      <c r="P681" s="1">
        <v>0</v>
      </c>
      <c r="R681" s="1">
        <v>0</v>
      </c>
      <c r="Z681" s="1">
        <v>0.05</v>
      </c>
      <c r="AA681" s="1">
        <v>1</v>
      </c>
      <c r="AB681" s="1">
        <v>0</v>
      </c>
      <c r="AC681" s="1">
        <v>1</v>
      </c>
      <c r="AH681" s="1">
        <v>0</v>
      </c>
      <c r="AI681" s="1">
        <v>1</v>
      </c>
      <c r="AJ681" s="1" t="s">
        <v>3004</v>
      </c>
      <c r="AK681" s="1" t="s">
        <v>206</v>
      </c>
      <c r="AL681" s="1" t="s">
        <v>228</v>
      </c>
      <c r="AN681" s="22" t="s">
        <v>9767</v>
      </c>
      <c r="AX681" s="1">
        <v>1</v>
      </c>
      <c r="AZ681" s="1">
        <v>0.25</v>
      </c>
      <c r="BG681" s="1" t="str">
        <f t="shared" si="223"/>
        <v>enemy_1231_dsrunr_2</v>
      </c>
      <c r="BM681" s="1" t="s">
        <v>930</v>
      </c>
      <c r="BQ681" s="1" t="s">
        <v>207</v>
      </c>
      <c r="BR681" s="1" t="s">
        <v>208</v>
      </c>
      <c r="BS681" s="1" t="s">
        <v>229</v>
      </c>
      <c r="BT681" s="1" t="s">
        <v>210</v>
      </c>
      <c r="BX681" s="1">
        <v>1</v>
      </c>
    </row>
    <row r="682" spans="1:76" x14ac:dyDescent="0.25">
      <c r="A682" s="1" t="s">
        <v>3005</v>
      </c>
      <c r="B682" s="1" t="s">
        <v>203</v>
      </c>
      <c r="C682" s="1">
        <v>1</v>
      </c>
      <c r="D682" s="1" t="s">
        <v>3001</v>
      </c>
      <c r="E682" s="1">
        <v>1231</v>
      </c>
      <c r="F682" s="1" t="str">
        <f t="shared" si="222"/>
        <v>enemy_1231_dsrunr_2</v>
      </c>
      <c r="G682" s="1">
        <v>1</v>
      </c>
      <c r="L682" s="1">
        <v>4500</v>
      </c>
      <c r="N682" s="1">
        <v>450</v>
      </c>
      <c r="P682" s="1">
        <v>50</v>
      </c>
      <c r="R682" s="1">
        <v>0</v>
      </c>
      <c r="Z682" s="1">
        <v>0.05</v>
      </c>
      <c r="AA682" s="1">
        <v>3</v>
      </c>
      <c r="AB682" s="1">
        <v>1</v>
      </c>
      <c r="AC682" s="1">
        <v>1</v>
      </c>
      <c r="AH682" s="1">
        <v>0</v>
      </c>
      <c r="AI682" s="1">
        <v>1</v>
      </c>
      <c r="AJ682" s="1" t="s">
        <v>3006</v>
      </c>
      <c r="AK682" s="1" t="s">
        <v>206</v>
      </c>
      <c r="AL682" s="1" t="s">
        <v>228</v>
      </c>
      <c r="AN682" s="22" t="s">
        <v>9767</v>
      </c>
      <c r="AX682" s="1">
        <v>1</v>
      </c>
      <c r="AZ682" s="1">
        <v>0.25</v>
      </c>
      <c r="BG682" s="1" t="str">
        <f t="shared" si="223"/>
        <v>enemy_1231_dsrunr_2</v>
      </c>
      <c r="BM682" s="1" t="s">
        <v>2250</v>
      </c>
      <c r="BN682" s="1" t="s">
        <v>3007</v>
      </c>
      <c r="BQ682" s="1" t="s">
        <v>207</v>
      </c>
      <c r="BR682" s="1" t="s">
        <v>208</v>
      </c>
      <c r="BS682" s="1" t="s">
        <v>229</v>
      </c>
      <c r="BT682" s="1" t="s">
        <v>210</v>
      </c>
      <c r="BX682" s="1">
        <v>1</v>
      </c>
    </row>
    <row r="683" spans="1:76" x14ac:dyDescent="0.25">
      <c r="A683" s="1" t="s">
        <v>3008</v>
      </c>
      <c r="B683" s="1" t="s">
        <v>203</v>
      </c>
      <c r="C683" s="1">
        <v>1</v>
      </c>
      <c r="D683" s="1" t="s">
        <v>3009</v>
      </c>
      <c r="E683" s="1">
        <v>1232</v>
      </c>
      <c r="F683" s="1" t="str">
        <f t="shared" si="222"/>
        <v>enemy_1232_dssalr</v>
      </c>
      <c r="G683" s="1">
        <v>1</v>
      </c>
      <c r="L683" s="1">
        <v>19000</v>
      </c>
      <c r="N683" s="1">
        <v>800</v>
      </c>
      <c r="P683" s="1">
        <v>500</v>
      </c>
      <c r="R683" s="1">
        <v>5</v>
      </c>
      <c r="Z683" s="1">
        <v>0.05</v>
      </c>
      <c r="AA683" s="1">
        <v>4</v>
      </c>
      <c r="AB683" s="1">
        <v>4</v>
      </c>
      <c r="AC683" s="1">
        <v>0.8</v>
      </c>
      <c r="AH683" s="1">
        <v>0</v>
      </c>
      <c r="AI683" s="1">
        <v>1</v>
      </c>
      <c r="AJ683" s="1" t="s">
        <v>3010</v>
      </c>
      <c r="AK683" s="1" t="s">
        <v>206</v>
      </c>
      <c r="AL683" s="1" t="s">
        <v>228</v>
      </c>
      <c r="AN683" s="22" t="s">
        <v>9767</v>
      </c>
      <c r="AX683" s="1">
        <v>1</v>
      </c>
      <c r="AZ683" s="1">
        <v>0.25</v>
      </c>
      <c r="BG683" s="1" t="str">
        <f t="shared" si="223"/>
        <v>enemy_1232_dssalr</v>
      </c>
      <c r="BM683" s="1" t="s">
        <v>2288</v>
      </c>
      <c r="BN683" s="1" t="s">
        <v>3011</v>
      </c>
      <c r="BQ683" s="1" t="s">
        <v>207</v>
      </c>
      <c r="BR683" s="1" t="s">
        <v>208</v>
      </c>
      <c r="BS683" s="1" t="s">
        <v>229</v>
      </c>
      <c r="BT683" s="1" t="s">
        <v>210</v>
      </c>
      <c r="BX683" s="1">
        <v>1</v>
      </c>
    </row>
    <row r="684" spans="1:76" x14ac:dyDescent="0.25">
      <c r="A684" s="1" t="s">
        <v>3012</v>
      </c>
      <c r="B684" s="1" t="s">
        <v>203</v>
      </c>
      <c r="C684" s="1">
        <v>1</v>
      </c>
      <c r="D684" s="1" t="s">
        <v>3013</v>
      </c>
      <c r="E684" s="1">
        <v>1232</v>
      </c>
      <c r="F684" s="1" t="str">
        <f t="shared" si="222"/>
        <v>enemy_1232_dssalr_2</v>
      </c>
      <c r="G684" s="1">
        <v>1</v>
      </c>
      <c r="L684" s="1">
        <v>24000</v>
      </c>
      <c r="N684" s="1">
        <v>900</v>
      </c>
      <c r="P684" s="1">
        <v>500</v>
      </c>
      <c r="R684" s="1">
        <v>5</v>
      </c>
      <c r="Z684" s="1">
        <v>0.05</v>
      </c>
      <c r="AA684" s="1">
        <v>4</v>
      </c>
      <c r="AB684" s="1">
        <v>4</v>
      </c>
      <c r="AC684" s="1">
        <v>0.8</v>
      </c>
      <c r="AH684" s="1">
        <v>0</v>
      </c>
      <c r="AI684" s="1">
        <v>1</v>
      </c>
      <c r="AJ684" s="1" t="s">
        <v>3014</v>
      </c>
      <c r="AK684" s="1" t="s">
        <v>206</v>
      </c>
      <c r="AL684" s="1" t="s">
        <v>228</v>
      </c>
      <c r="AN684" s="22" t="s">
        <v>9767</v>
      </c>
      <c r="AX684" s="1">
        <v>1</v>
      </c>
      <c r="AZ684" s="1">
        <v>0.25</v>
      </c>
      <c r="BG684" s="1" t="str">
        <f t="shared" si="223"/>
        <v>enemy_1232_dssalr_2</v>
      </c>
      <c r="BM684" s="1" t="s">
        <v>2288</v>
      </c>
      <c r="BN684" s="1" t="s">
        <v>3011</v>
      </c>
      <c r="BQ684" s="1" t="s">
        <v>207</v>
      </c>
      <c r="BR684" s="1" t="s">
        <v>208</v>
      </c>
      <c r="BS684" s="1" t="s">
        <v>229</v>
      </c>
      <c r="BT684" s="1" t="s">
        <v>210</v>
      </c>
      <c r="BX684" s="1">
        <v>1</v>
      </c>
    </row>
    <row r="685" spans="1:76" x14ac:dyDescent="0.25">
      <c r="A685" s="1" t="s">
        <v>3015</v>
      </c>
      <c r="B685" s="1" t="s">
        <v>203</v>
      </c>
      <c r="C685" s="1">
        <v>1</v>
      </c>
      <c r="D685" s="1" t="s">
        <v>3013</v>
      </c>
      <c r="E685" s="1">
        <v>1232</v>
      </c>
      <c r="F685" s="1" t="str">
        <f t="shared" si="222"/>
        <v>enemy_1232_dssalr_2</v>
      </c>
      <c r="G685" s="1">
        <v>1</v>
      </c>
      <c r="L685" s="1">
        <v>100</v>
      </c>
      <c r="N685" s="1">
        <v>100</v>
      </c>
      <c r="P685" s="1">
        <v>0</v>
      </c>
      <c r="R685" s="1">
        <v>0</v>
      </c>
      <c r="Z685" s="1">
        <v>0.05</v>
      </c>
      <c r="AA685" s="1">
        <v>1</v>
      </c>
      <c r="AB685" s="1">
        <v>0</v>
      </c>
      <c r="AC685" s="1">
        <v>1</v>
      </c>
      <c r="AH685" s="1">
        <v>0</v>
      </c>
      <c r="AI685" s="1">
        <v>1</v>
      </c>
      <c r="AJ685" s="1" t="s">
        <v>3016</v>
      </c>
      <c r="AK685" s="1" t="s">
        <v>206</v>
      </c>
      <c r="AL685" s="1" t="s">
        <v>228</v>
      </c>
      <c r="AN685" s="22" t="s">
        <v>9767</v>
      </c>
      <c r="AX685" s="1">
        <v>1</v>
      </c>
      <c r="AZ685" s="1">
        <v>0.25</v>
      </c>
      <c r="BG685" s="1" t="str">
        <f t="shared" si="223"/>
        <v>enemy_1232_dssalr_2</v>
      </c>
      <c r="BM685" s="1" t="s">
        <v>930</v>
      </c>
      <c r="BQ685" s="1" t="s">
        <v>207</v>
      </c>
      <c r="BR685" s="1" t="s">
        <v>208</v>
      </c>
      <c r="BS685" s="1" t="s">
        <v>229</v>
      </c>
      <c r="BT685" s="1" t="s">
        <v>210</v>
      </c>
      <c r="BX685" s="1">
        <v>1</v>
      </c>
    </row>
    <row r="686" spans="1:76" x14ac:dyDescent="0.25">
      <c r="A686" s="1" t="s">
        <v>3017</v>
      </c>
      <c r="B686" s="1" t="s">
        <v>203</v>
      </c>
      <c r="C686" s="1">
        <v>1</v>
      </c>
      <c r="D686" s="1" t="s">
        <v>3013</v>
      </c>
      <c r="E686" s="1">
        <v>1232</v>
      </c>
      <c r="F686" s="1" t="str">
        <f t="shared" si="222"/>
        <v>enemy_1232_dssalr_2</v>
      </c>
      <c r="G686" s="1">
        <v>1</v>
      </c>
      <c r="L686" s="1">
        <v>19000</v>
      </c>
      <c r="N686" s="1">
        <v>800</v>
      </c>
      <c r="P686" s="1">
        <v>500</v>
      </c>
      <c r="R686" s="1">
        <v>5</v>
      </c>
      <c r="Z686" s="1">
        <v>0.05</v>
      </c>
      <c r="AA686" s="1">
        <v>4</v>
      </c>
      <c r="AB686" s="1">
        <v>4</v>
      </c>
      <c r="AC686" s="1">
        <v>0.8</v>
      </c>
      <c r="AH686" s="1">
        <v>0</v>
      </c>
      <c r="AI686" s="1">
        <v>1</v>
      </c>
      <c r="AJ686" s="1" t="s">
        <v>3018</v>
      </c>
      <c r="AK686" s="1" t="s">
        <v>206</v>
      </c>
      <c r="AL686" s="1" t="s">
        <v>228</v>
      </c>
      <c r="AN686" s="22" t="s">
        <v>9767</v>
      </c>
      <c r="AX686" s="1">
        <v>1</v>
      </c>
      <c r="AZ686" s="1">
        <v>0.25</v>
      </c>
      <c r="BG686" s="1" t="str">
        <f t="shared" si="223"/>
        <v>enemy_1232_dssalr_2</v>
      </c>
      <c r="BM686" s="1" t="s">
        <v>2288</v>
      </c>
      <c r="BN686" s="1" t="s">
        <v>3019</v>
      </c>
      <c r="BQ686" s="1" t="s">
        <v>207</v>
      </c>
      <c r="BR686" s="1" t="s">
        <v>208</v>
      </c>
      <c r="BS686" s="1" t="s">
        <v>229</v>
      </c>
      <c r="BT686" s="1" t="s">
        <v>210</v>
      </c>
      <c r="BX686" s="1">
        <v>1</v>
      </c>
    </row>
    <row r="687" spans="1:76" x14ac:dyDescent="0.25">
      <c r="A687" s="1" t="s">
        <v>3020</v>
      </c>
      <c r="B687" s="1" t="s">
        <v>203</v>
      </c>
      <c r="C687" s="1">
        <v>1</v>
      </c>
      <c r="D687" s="1" t="s">
        <v>3021</v>
      </c>
      <c r="E687" s="1">
        <v>1233</v>
      </c>
      <c r="F687" s="1" t="str">
        <f t="shared" si="222"/>
        <v>enemy_1233_dsshtr</v>
      </c>
      <c r="G687" s="1">
        <v>1</v>
      </c>
      <c r="L687" s="1">
        <v>4000</v>
      </c>
      <c r="N687" s="1">
        <v>650</v>
      </c>
      <c r="P687" s="1">
        <v>100</v>
      </c>
      <c r="R687" s="1">
        <v>50</v>
      </c>
      <c r="Z687" s="1">
        <v>0.05</v>
      </c>
      <c r="AA687" s="1">
        <v>2</v>
      </c>
      <c r="AB687" s="1">
        <v>1</v>
      </c>
      <c r="AC687" s="1">
        <v>0.3</v>
      </c>
      <c r="AH687" s="1">
        <v>0</v>
      </c>
      <c r="AI687" s="1">
        <v>1</v>
      </c>
      <c r="AJ687" s="1" t="s">
        <v>3022</v>
      </c>
      <c r="AK687" s="1" t="s">
        <v>206</v>
      </c>
      <c r="AL687" s="1" t="s">
        <v>228</v>
      </c>
      <c r="AN687" s="22" t="s">
        <v>9767</v>
      </c>
      <c r="AX687" s="1">
        <v>1</v>
      </c>
      <c r="AZ687" s="1">
        <v>0.25</v>
      </c>
      <c r="BG687" s="1" t="str">
        <f t="shared" si="223"/>
        <v>enemy_1233_dsshtr</v>
      </c>
      <c r="BM687" s="1" t="s">
        <v>2269</v>
      </c>
      <c r="BN687" s="1" t="s">
        <v>3023</v>
      </c>
      <c r="BQ687" s="1" t="s">
        <v>207</v>
      </c>
      <c r="BR687" s="1" t="s">
        <v>208</v>
      </c>
      <c r="BS687" s="1" t="s">
        <v>229</v>
      </c>
      <c r="BT687" s="1" t="s">
        <v>210</v>
      </c>
      <c r="BX687" s="1">
        <v>1</v>
      </c>
    </row>
    <row r="688" spans="1:76" x14ac:dyDescent="0.25">
      <c r="A688" s="1" t="s">
        <v>3024</v>
      </c>
      <c r="B688" s="1" t="s">
        <v>203</v>
      </c>
      <c r="C688" s="1">
        <v>1</v>
      </c>
      <c r="D688" s="1" t="s">
        <v>3025</v>
      </c>
      <c r="E688" s="1">
        <v>1233</v>
      </c>
      <c r="F688" s="1" t="str">
        <f t="shared" si="222"/>
        <v>enemy_1233_dsshtr_2</v>
      </c>
      <c r="G688" s="1">
        <v>1</v>
      </c>
      <c r="L688" s="1">
        <v>5000</v>
      </c>
      <c r="N688" s="1">
        <v>800</v>
      </c>
      <c r="P688" s="1">
        <v>100</v>
      </c>
      <c r="R688" s="1">
        <v>50</v>
      </c>
      <c r="Z688" s="1">
        <v>0.05</v>
      </c>
      <c r="AA688" s="1">
        <v>2</v>
      </c>
      <c r="AB688" s="1">
        <v>1</v>
      </c>
      <c r="AC688" s="1">
        <v>0.3</v>
      </c>
      <c r="AH688" s="1">
        <v>0</v>
      </c>
      <c r="AI688" s="1">
        <v>1</v>
      </c>
      <c r="AJ688" s="1" t="s">
        <v>3026</v>
      </c>
      <c r="AK688" s="1" t="s">
        <v>206</v>
      </c>
      <c r="AL688" s="1" t="s">
        <v>228</v>
      </c>
      <c r="AN688" s="22" t="s">
        <v>9767</v>
      </c>
      <c r="AX688" s="1">
        <v>1</v>
      </c>
      <c r="AZ688" s="1">
        <v>0.25</v>
      </c>
      <c r="BG688" s="1" t="str">
        <f t="shared" si="223"/>
        <v>enemy_1233_dsshtr_2</v>
      </c>
      <c r="BM688" s="1" t="s">
        <v>2269</v>
      </c>
      <c r="BN688" s="1" t="s">
        <v>3023</v>
      </c>
      <c r="BQ688" s="1" t="s">
        <v>207</v>
      </c>
      <c r="BR688" s="1" t="s">
        <v>208</v>
      </c>
      <c r="BS688" s="1" t="s">
        <v>229</v>
      </c>
      <c r="BT688" s="1" t="s">
        <v>210</v>
      </c>
      <c r="BX688" s="1">
        <v>1</v>
      </c>
    </row>
    <row r="689" spans="1:76" x14ac:dyDescent="0.25">
      <c r="A689" s="1" t="s">
        <v>3027</v>
      </c>
      <c r="B689" s="1" t="s">
        <v>203</v>
      </c>
      <c r="C689" s="1">
        <v>1</v>
      </c>
      <c r="D689" s="1" t="s">
        <v>3025</v>
      </c>
      <c r="E689" s="1">
        <v>1233</v>
      </c>
      <c r="F689" s="1" t="str">
        <f t="shared" si="222"/>
        <v>enemy_1233_dsshtr_2</v>
      </c>
      <c r="G689" s="1">
        <v>1</v>
      </c>
      <c r="L689" s="1">
        <v>100</v>
      </c>
      <c r="N689" s="1">
        <v>100</v>
      </c>
      <c r="P689" s="1">
        <v>0</v>
      </c>
      <c r="R689" s="1">
        <v>0</v>
      </c>
      <c r="Z689" s="1">
        <v>0.05</v>
      </c>
      <c r="AA689" s="1">
        <v>1</v>
      </c>
      <c r="AB689" s="1">
        <v>0</v>
      </c>
      <c r="AC689" s="1">
        <v>1</v>
      </c>
      <c r="AH689" s="1">
        <v>0</v>
      </c>
      <c r="AI689" s="1">
        <v>1</v>
      </c>
      <c r="AJ689" s="1" t="s">
        <v>3028</v>
      </c>
      <c r="AK689" s="1" t="s">
        <v>206</v>
      </c>
      <c r="AL689" s="1" t="s">
        <v>228</v>
      </c>
      <c r="AN689" s="22" t="s">
        <v>9767</v>
      </c>
      <c r="AX689" s="1">
        <v>1</v>
      </c>
      <c r="AZ689" s="1">
        <v>0.25</v>
      </c>
      <c r="BG689" s="1" t="str">
        <f t="shared" si="223"/>
        <v>enemy_1233_dsshtr_2</v>
      </c>
      <c r="BM689" s="1" t="s">
        <v>930</v>
      </c>
      <c r="BQ689" s="1" t="s">
        <v>207</v>
      </c>
      <c r="BR689" s="1" t="s">
        <v>208</v>
      </c>
      <c r="BS689" s="1" t="s">
        <v>229</v>
      </c>
      <c r="BT689" s="1" t="s">
        <v>210</v>
      </c>
      <c r="BX689" s="1">
        <v>1</v>
      </c>
    </row>
    <row r="690" spans="1:76" x14ac:dyDescent="0.25">
      <c r="A690" s="1" t="s">
        <v>3029</v>
      </c>
      <c r="B690" s="1" t="s">
        <v>203</v>
      </c>
      <c r="C690" s="1">
        <v>1</v>
      </c>
      <c r="D690" s="1" t="s">
        <v>3025</v>
      </c>
      <c r="E690" s="1">
        <v>1233</v>
      </c>
      <c r="F690" s="1" t="str">
        <f t="shared" si="222"/>
        <v>enemy_1233_dsshtr_2</v>
      </c>
      <c r="G690" s="1">
        <v>1</v>
      </c>
      <c r="L690" s="1">
        <v>4000</v>
      </c>
      <c r="N690" s="1">
        <v>650</v>
      </c>
      <c r="P690" s="1">
        <v>100</v>
      </c>
      <c r="R690" s="1">
        <v>50</v>
      </c>
      <c r="Z690" s="1">
        <v>0.05</v>
      </c>
      <c r="AA690" s="1">
        <v>2</v>
      </c>
      <c r="AB690" s="1">
        <v>1</v>
      </c>
      <c r="AC690" s="1">
        <v>0.3</v>
      </c>
      <c r="AH690" s="1">
        <v>0</v>
      </c>
      <c r="AI690" s="1">
        <v>1</v>
      </c>
      <c r="AJ690" s="1" t="s">
        <v>3030</v>
      </c>
      <c r="AK690" s="1" t="s">
        <v>206</v>
      </c>
      <c r="AL690" s="1" t="s">
        <v>228</v>
      </c>
      <c r="AN690" s="22" t="s">
        <v>9767</v>
      </c>
      <c r="AX690" s="1">
        <v>1</v>
      </c>
      <c r="AZ690" s="1">
        <v>0.25</v>
      </c>
      <c r="BG690" s="1" t="str">
        <f t="shared" si="223"/>
        <v>enemy_1233_dsshtr_2</v>
      </c>
      <c r="BM690" s="1" t="s">
        <v>2269</v>
      </c>
      <c r="BN690" s="1" t="s">
        <v>3031</v>
      </c>
      <c r="BQ690" s="1" t="s">
        <v>207</v>
      </c>
      <c r="BR690" s="1" t="s">
        <v>208</v>
      </c>
      <c r="BS690" s="1" t="s">
        <v>229</v>
      </c>
      <c r="BT690" s="1" t="s">
        <v>210</v>
      </c>
      <c r="BX690" s="1">
        <v>1</v>
      </c>
    </row>
    <row r="691" spans="1:76" x14ac:dyDescent="0.25">
      <c r="A691" s="1" t="s">
        <v>3032</v>
      </c>
      <c r="B691" s="1" t="s">
        <v>203</v>
      </c>
      <c r="C691" s="1">
        <v>1</v>
      </c>
      <c r="D691" s="1" t="s">
        <v>3033</v>
      </c>
      <c r="E691" s="1">
        <v>1234</v>
      </c>
      <c r="F691" s="1" t="str">
        <f t="shared" si="222"/>
        <v>enemy_1234_dsubrl</v>
      </c>
      <c r="G691" s="1">
        <v>1</v>
      </c>
      <c r="L691" s="1">
        <v>10000</v>
      </c>
      <c r="N691" s="1">
        <v>140</v>
      </c>
      <c r="P691" s="1">
        <v>550</v>
      </c>
      <c r="R691" s="1">
        <v>60</v>
      </c>
      <c r="Z691" s="1">
        <v>0.05</v>
      </c>
      <c r="AA691" s="1">
        <v>1</v>
      </c>
      <c r="AB691" s="1">
        <v>3</v>
      </c>
      <c r="AC691" s="1">
        <v>0.8</v>
      </c>
      <c r="AH691" s="1">
        <v>0</v>
      </c>
      <c r="AI691" s="1">
        <v>1</v>
      </c>
      <c r="AJ691" s="1" t="s">
        <v>3034</v>
      </c>
      <c r="AK691" s="1" t="s">
        <v>206</v>
      </c>
      <c r="AL691" s="1" t="s">
        <v>228</v>
      </c>
      <c r="AN691" s="22" t="s">
        <v>9767</v>
      </c>
      <c r="AX691" s="1">
        <v>1</v>
      </c>
      <c r="AZ691" s="1">
        <v>0.25</v>
      </c>
      <c r="BG691" s="1" t="str">
        <f t="shared" si="223"/>
        <v>enemy_1234_dsubrl</v>
      </c>
      <c r="BM691" s="1" t="s">
        <v>2307</v>
      </c>
      <c r="BN691" s="1" t="s">
        <v>3035</v>
      </c>
      <c r="BQ691" s="1" t="s">
        <v>207</v>
      </c>
      <c r="BR691" s="1" t="s">
        <v>208</v>
      </c>
      <c r="BS691" s="1" t="s">
        <v>229</v>
      </c>
      <c r="BT691" s="1" t="s">
        <v>210</v>
      </c>
      <c r="BX691" s="1">
        <v>1</v>
      </c>
    </row>
    <row r="692" spans="1:76" x14ac:dyDescent="0.25">
      <c r="A692" s="1" t="s">
        <v>3036</v>
      </c>
      <c r="B692" s="1" t="s">
        <v>203</v>
      </c>
      <c r="C692" s="1">
        <v>1</v>
      </c>
      <c r="D692" s="1" t="s">
        <v>3037</v>
      </c>
      <c r="E692" s="1">
        <v>1234</v>
      </c>
      <c r="F692" s="1" t="str">
        <f t="shared" si="222"/>
        <v>enemy_1234_dsubrl_2</v>
      </c>
      <c r="G692" s="1">
        <v>1</v>
      </c>
      <c r="L692" s="1">
        <v>14000</v>
      </c>
      <c r="N692" s="1">
        <v>160</v>
      </c>
      <c r="P692" s="1">
        <v>550</v>
      </c>
      <c r="R692" s="1">
        <v>60</v>
      </c>
      <c r="Z692" s="1">
        <v>0.05</v>
      </c>
      <c r="AA692" s="1">
        <v>1</v>
      </c>
      <c r="AB692" s="1">
        <v>3</v>
      </c>
      <c r="AC692" s="1">
        <v>0.8</v>
      </c>
      <c r="AH692" s="1">
        <v>0</v>
      </c>
      <c r="AI692" s="1">
        <v>1</v>
      </c>
      <c r="AJ692" s="1" t="s">
        <v>3038</v>
      </c>
      <c r="AK692" s="1" t="s">
        <v>206</v>
      </c>
      <c r="AL692" s="1" t="s">
        <v>228</v>
      </c>
      <c r="AN692" s="22" t="s">
        <v>9767</v>
      </c>
      <c r="AX692" s="1">
        <v>1</v>
      </c>
      <c r="AZ692" s="1">
        <v>0.25</v>
      </c>
      <c r="BG692" s="1" t="str">
        <f t="shared" si="223"/>
        <v>enemy_1234_dsubrl_2</v>
      </c>
      <c r="BM692" s="1" t="s">
        <v>2307</v>
      </c>
      <c r="BN692" s="1" t="s">
        <v>3035</v>
      </c>
      <c r="BQ692" s="1" t="s">
        <v>207</v>
      </c>
      <c r="BR692" s="1" t="s">
        <v>208</v>
      </c>
      <c r="BS692" s="1" t="s">
        <v>229</v>
      </c>
      <c r="BT692" s="1" t="s">
        <v>210</v>
      </c>
      <c r="BX692" s="1">
        <v>1</v>
      </c>
    </row>
    <row r="693" spans="1:76" x14ac:dyDescent="0.25">
      <c r="A693" s="1" t="s">
        <v>3039</v>
      </c>
      <c r="B693" s="1" t="s">
        <v>203</v>
      </c>
      <c r="C693" s="1">
        <v>1</v>
      </c>
      <c r="D693" s="1" t="s">
        <v>3037</v>
      </c>
      <c r="E693" s="1">
        <v>1234</v>
      </c>
      <c r="F693" s="1" t="str">
        <f t="shared" si="222"/>
        <v>enemy_1234_dsubrl_2</v>
      </c>
      <c r="G693" s="1">
        <v>1</v>
      </c>
      <c r="L693" s="1">
        <v>100</v>
      </c>
      <c r="N693" s="1">
        <v>100</v>
      </c>
      <c r="P693" s="1">
        <v>0</v>
      </c>
      <c r="R693" s="1">
        <v>0</v>
      </c>
      <c r="Z693" s="1">
        <v>0.05</v>
      </c>
      <c r="AA693" s="1">
        <v>1</v>
      </c>
      <c r="AB693" s="1">
        <v>0</v>
      </c>
      <c r="AC693" s="1">
        <v>1</v>
      </c>
      <c r="AH693" s="1">
        <v>0</v>
      </c>
      <c r="AI693" s="1">
        <v>1</v>
      </c>
      <c r="AJ693" s="1" t="s">
        <v>3040</v>
      </c>
      <c r="AK693" s="1" t="s">
        <v>206</v>
      </c>
      <c r="AL693" s="1" t="s">
        <v>228</v>
      </c>
      <c r="AN693" s="22" t="s">
        <v>9767</v>
      </c>
      <c r="AX693" s="1">
        <v>1</v>
      </c>
      <c r="AZ693" s="1">
        <v>0.25</v>
      </c>
      <c r="BG693" s="1" t="str">
        <f t="shared" si="223"/>
        <v>enemy_1234_dsubrl_2</v>
      </c>
      <c r="BM693" s="1" t="s">
        <v>930</v>
      </c>
      <c r="BQ693" s="1" t="s">
        <v>207</v>
      </c>
      <c r="BR693" s="1" t="s">
        <v>208</v>
      </c>
      <c r="BS693" s="1" t="s">
        <v>229</v>
      </c>
      <c r="BT693" s="1" t="s">
        <v>210</v>
      </c>
      <c r="BX693" s="1">
        <v>1</v>
      </c>
    </row>
    <row r="694" spans="1:76" x14ac:dyDescent="0.25">
      <c r="A694" s="1" t="s">
        <v>3041</v>
      </c>
      <c r="B694" s="1" t="s">
        <v>203</v>
      </c>
      <c r="C694" s="1">
        <v>1</v>
      </c>
      <c r="D694" s="1" t="s">
        <v>3037</v>
      </c>
      <c r="E694" s="1">
        <v>1234</v>
      </c>
      <c r="F694" s="1" t="str">
        <f t="shared" si="222"/>
        <v>enemy_1234_dsubrl_2</v>
      </c>
      <c r="G694" s="1">
        <v>1</v>
      </c>
      <c r="L694" s="1">
        <v>10000</v>
      </c>
      <c r="N694" s="1">
        <v>140</v>
      </c>
      <c r="P694" s="1">
        <v>550</v>
      </c>
      <c r="R694" s="1">
        <v>60</v>
      </c>
      <c r="Z694" s="1">
        <v>0.05</v>
      </c>
      <c r="AA694" s="1">
        <v>1</v>
      </c>
      <c r="AB694" s="1">
        <v>3</v>
      </c>
      <c r="AC694" s="1">
        <v>0.8</v>
      </c>
      <c r="AH694" s="1">
        <v>0</v>
      </c>
      <c r="AI694" s="1">
        <v>1</v>
      </c>
      <c r="AJ694" s="1" t="s">
        <v>3042</v>
      </c>
      <c r="AK694" s="1" t="s">
        <v>206</v>
      </c>
      <c r="AL694" s="1" t="s">
        <v>228</v>
      </c>
      <c r="AN694" s="22" t="s">
        <v>9767</v>
      </c>
      <c r="AX694" s="1">
        <v>1</v>
      </c>
      <c r="AZ694" s="1">
        <v>0.25</v>
      </c>
      <c r="BG694" s="1" t="str">
        <f t="shared" si="223"/>
        <v>enemy_1234_dsubrl_2</v>
      </c>
      <c r="BM694" s="1" t="s">
        <v>2307</v>
      </c>
      <c r="BN694" s="1" t="s">
        <v>3043</v>
      </c>
      <c r="BQ694" s="1" t="s">
        <v>207</v>
      </c>
      <c r="BR694" s="1" t="s">
        <v>208</v>
      </c>
      <c r="BS694" s="1" t="s">
        <v>229</v>
      </c>
      <c r="BT694" s="1" t="s">
        <v>210</v>
      </c>
      <c r="BX694" s="1">
        <v>1</v>
      </c>
    </row>
    <row r="695" spans="1:76" x14ac:dyDescent="0.25">
      <c r="A695" s="1" t="s">
        <v>3044</v>
      </c>
      <c r="B695" s="1" t="s">
        <v>203</v>
      </c>
      <c r="C695" s="1">
        <v>1</v>
      </c>
      <c r="D695" s="1" t="s">
        <v>3045</v>
      </c>
      <c r="E695" s="1">
        <v>1235</v>
      </c>
      <c r="F695" s="1" t="str">
        <f t="shared" si="222"/>
        <v>enemy_1235_dsbskr</v>
      </c>
      <c r="G695" s="1">
        <v>1</v>
      </c>
      <c r="L695" s="1">
        <v>20000</v>
      </c>
      <c r="N695" s="1">
        <v>300</v>
      </c>
      <c r="P695" s="1">
        <v>750</v>
      </c>
      <c r="R695" s="1">
        <v>40</v>
      </c>
      <c r="Z695" s="1">
        <v>0.05</v>
      </c>
      <c r="AA695" s="1">
        <v>1.5</v>
      </c>
      <c r="AB695" s="1">
        <v>4</v>
      </c>
      <c r="AC695" s="1">
        <v>1.2</v>
      </c>
      <c r="AH695" s="1">
        <v>0</v>
      </c>
      <c r="AI695" s="1">
        <v>1</v>
      </c>
      <c r="AJ695" s="1" t="s">
        <v>3046</v>
      </c>
      <c r="AK695" s="1" t="s">
        <v>206</v>
      </c>
      <c r="AL695" s="1" t="s">
        <v>228</v>
      </c>
      <c r="AN695" s="22" t="s">
        <v>9767</v>
      </c>
      <c r="AX695" s="1">
        <v>1</v>
      </c>
      <c r="AZ695" s="1">
        <v>0.25</v>
      </c>
      <c r="BG695" s="1" t="str">
        <f t="shared" si="223"/>
        <v>enemy_1235_dsbskr</v>
      </c>
      <c r="BM695" s="1" t="s">
        <v>3047</v>
      </c>
      <c r="BN695" s="1" t="s">
        <v>3048</v>
      </c>
      <c r="BQ695" s="1" t="s">
        <v>207</v>
      </c>
      <c r="BR695" s="1" t="s">
        <v>208</v>
      </c>
      <c r="BS695" s="1" t="s">
        <v>229</v>
      </c>
      <c r="BT695" s="1" t="s">
        <v>210</v>
      </c>
      <c r="BX695" s="1">
        <v>1</v>
      </c>
    </row>
    <row r="696" spans="1:76" x14ac:dyDescent="0.25">
      <c r="A696" s="1" t="s">
        <v>3049</v>
      </c>
      <c r="B696" s="1" t="s">
        <v>203</v>
      </c>
      <c r="C696" s="1">
        <v>1</v>
      </c>
      <c r="D696" s="1" t="s">
        <v>3050</v>
      </c>
      <c r="E696" s="1">
        <v>1235</v>
      </c>
      <c r="F696" s="1" t="str">
        <f t="shared" si="222"/>
        <v>enemy_1235_dsbskr_2</v>
      </c>
      <c r="G696" s="1">
        <v>1</v>
      </c>
      <c r="L696" s="1">
        <v>25000</v>
      </c>
      <c r="N696" s="1">
        <v>400</v>
      </c>
      <c r="P696" s="1">
        <v>750</v>
      </c>
      <c r="R696" s="1">
        <v>40</v>
      </c>
      <c r="Z696" s="1">
        <v>0.05</v>
      </c>
      <c r="AA696" s="1">
        <v>1.5</v>
      </c>
      <c r="AB696" s="1">
        <v>4</v>
      </c>
      <c r="AC696" s="1">
        <v>1.2</v>
      </c>
      <c r="AH696" s="1">
        <v>0</v>
      </c>
      <c r="AI696" s="1">
        <v>1</v>
      </c>
      <c r="AJ696" s="1" t="s">
        <v>3051</v>
      </c>
      <c r="AK696" s="1" t="s">
        <v>206</v>
      </c>
      <c r="AL696" s="1" t="s">
        <v>228</v>
      </c>
      <c r="AN696" s="22" t="s">
        <v>9767</v>
      </c>
      <c r="AX696" s="1">
        <v>1</v>
      </c>
      <c r="AZ696" s="1">
        <v>0.25</v>
      </c>
      <c r="BG696" s="1" t="str">
        <f t="shared" si="223"/>
        <v>enemy_1235_dsbskr_2</v>
      </c>
      <c r="BM696" s="1" t="s">
        <v>3047</v>
      </c>
      <c r="BN696" s="1" t="s">
        <v>3048</v>
      </c>
      <c r="BQ696" s="1" t="s">
        <v>207</v>
      </c>
      <c r="BR696" s="1" t="s">
        <v>208</v>
      </c>
      <c r="BS696" s="1" t="s">
        <v>229</v>
      </c>
      <c r="BT696" s="1" t="s">
        <v>210</v>
      </c>
      <c r="BX696" s="1">
        <v>1</v>
      </c>
    </row>
    <row r="697" spans="1:76" x14ac:dyDescent="0.25">
      <c r="A697" s="1" t="s">
        <v>3052</v>
      </c>
      <c r="B697" s="1" t="s">
        <v>203</v>
      </c>
      <c r="C697" s="1">
        <v>1</v>
      </c>
      <c r="D697" s="1" t="s">
        <v>3050</v>
      </c>
      <c r="E697" s="1">
        <v>1235</v>
      </c>
      <c r="F697" s="1" t="str">
        <f t="shared" si="222"/>
        <v>enemy_1235_dsbskr_2</v>
      </c>
      <c r="G697" s="1">
        <v>1</v>
      </c>
      <c r="L697" s="1">
        <v>100</v>
      </c>
      <c r="N697" s="1">
        <v>100</v>
      </c>
      <c r="P697" s="1">
        <v>0</v>
      </c>
      <c r="R697" s="1">
        <v>0</v>
      </c>
      <c r="Z697" s="1">
        <v>0.05</v>
      </c>
      <c r="AA697" s="1">
        <v>1</v>
      </c>
      <c r="AB697" s="1">
        <v>0</v>
      </c>
      <c r="AC697" s="1">
        <v>1</v>
      </c>
      <c r="AH697" s="1">
        <v>0</v>
      </c>
      <c r="AI697" s="1">
        <v>1</v>
      </c>
      <c r="AJ697" s="1" t="s">
        <v>3053</v>
      </c>
      <c r="AK697" s="1" t="s">
        <v>206</v>
      </c>
      <c r="AL697" s="1" t="s">
        <v>228</v>
      </c>
      <c r="AN697" s="22" t="s">
        <v>9767</v>
      </c>
      <c r="AX697" s="1">
        <v>1</v>
      </c>
      <c r="AZ697" s="1">
        <v>0.25</v>
      </c>
      <c r="BG697" s="1" t="str">
        <f t="shared" si="223"/>
        <v>enemy_1235_dsbskr_2</v>
      </c>
      <c r="BM697" s="1" t="s">
        <v>930</v>
      </c>
      <c r="BQ697" s="1" t="s">
        <v>207</v>
      </c>
      <c r="BR697" s="1" t="s">
        <v>208</v>
      </c>
      <c r="BT697" s="1" t="s">
        <v>210</v>
      </c>
      <c r="BX697" s="1">
        <v>1</v>
      </c>
    </row>
    <row r="698" spans="1:76" x14ac:dyDescent="0.25">
      <c r="A698" s="1" t="s">
        <v>3054</v>
      </c>
      <c r="B698" s="1" t="s">
        <v>203</v>
      </c>
      <c r="C698" s="1">
        <v>1</v>
      </c>
      <c r="D698" s="1" t="s">
        <v>3050</v>
      </c>
      <c r="E698" s="1">
        <v>1235</v>
      </c>
      <c r="F698" s="1" t="str">
        <f t="shared" si="222"/>
        <v>enemy_1235_dsbskr_2</v>
      </c>
      <c r="G698" s="1">
        <v>1</v>
      </c>
      <c r="L698" s="1">
        <v>20000</v>
      </c>
      <c r="N698" s="1">
        <v>300</v>
      </c>
      <c r="P698" s="1">
        <v>750</v>
      </c>
      <c r="R698" s="1">
        <v>40</v>
      </c>
      <c r="Z698" s="1">
        <v>0.05</v>
      </c>
      <c r="AA698" s="1">
        <v>1.5</v>
      </c>
      <c r="AB698" s="1">
        <v>4</v>
      </c>
      <c r="AC698" s="1">
        <v>1.2</v>
      </c>
      <c r="AH698" s="1">
        <v>0</v>
      </c>
      <c r="AI698" s="1">
        <v>1</v>
      </c>
      <c r="AJ698" s="1" t="s">
        <v>3055</v>
      </c>
      <c r="AK698" s="1" t="s">
        <v>206</v>
      </c>
      <c r="AL698" s="1" t="s">
        <v>228</v>
      </c>
      <c r="AN698" s="22" t="s">
        <v>9767</v>
      </c>
      <c r="AX698" s="1">
        <v>1</v>
      </c>
      <c r="AZ698" s="1">
        <v>0.25</v>
      </c>
      <c r="BG698" s="1" t="str">
        <f t="shared" si="223"/>
        <v>enemy_1235_dsbskr_2</v>
      </c>
      <c r="BM698" s="1" t="s">
        <v>3047</v>
      </c>
      <c r="BN698" s="1" t="s">
        <v>3056</v>
      </c>
      <c r="BQ698" s="1" t="s">
        <v>207</v>
      </c>
      <c r="BR698" s="1" t="s">
        <v>208</v>
      </c>
      <c r="BS698" s="1" t="s">
        <v>229</v>
      </c>
      <c r="BT698" s="1" t="s">
        <v>210</v>
      </c>
      <c r="BX698" s="1">
        <v>1</v>
      </c>
    </row>
    <row r="699" spans="1:76" x14ac:dyDescent="0.25">
      <c r="A699" s="1" t="s">
        <v>3057</v>
      </c>
      <c r="B699" s="1" t="s">
        <v>203</v>
      </c>
      <c r="C699" s="1">
        <v>1</v>
      </c>
      <c r="D699" s="1" t="s">
        <v>3058</v>
      </c>
      <c r="E699" s="1">
        <v>1236</v>
      </c>
      <c r="F699" s="1" t="str">
        <f t="shared" si="222"/>
        <v>enemy_1236_bouncy</v>
      </c>
      <c r="G699" s="1">
        <v>1</v>
      </c>
      <c r="L699" s="1">
        <v>80000</v>
      </c>
      <c r="N699" s="1">
        <v>2000</v>
      </c>
      <c r="P699" s="1">
        <v>600</v>
      </c>
      <c r="R699" s="1">
        <v>30</v>
      </c>
      <c r="Z699" s="1">
        <v>0.05</v>
      </c>
      <c r="AA699" s="1">
        <v>1.5</v>
      </c>
      <c r="AB699" s="1">
        <v>-2</v>
      </c>
      <c r="AC699" s="1">
        <v>1.2</v>
      </c>
      <c r="AH699" s="1">
        <v>0</v>
      </c>
      <c r="AI699" s="1">
        <v>1</v>
      </c>
      <c r="AJ699" s="1" t="s">
        <v>3059</v>
      </c>
      <c r="AK699" s="1" t="s">
        <v>206</v>
      </c>
      <c r="AL699" s="1" t="s">
        <v>228</v>
      </c>
      <c r="AN699" s="22" t="s">
        <v>9767</v>
      </c>
      <c r="AX699" s="1">
        <v>1</v>
      </c>
      <c r="AZ699" s="1">
        <v>0.25</v>
      </c>
      <c r="BG699" s="1" t="str">
        <f t="shared" si="223"/>
        <v>enemy_1236_bouncy</v>
      </c>
      <c r="BN699" s="1" t="s">
        <v>3060</v>
      </c>
      <c r="BQ699" s="1" t="s">
        <v>207</v>
      </c>
      <c r="BR699" s="1" t="s">
        <v>208</v>
      </c>
      <c r="BT699" s="1" t="s">
        <v>210</v>
      </c>
      <c r="BX699" s="1">
        <v>1</v>
      </c>
    </row>
    <row r="700" spans="1:76" x14ac:dyDescent="0.25">
      <c r="A700" s="1" t="s">
        <v>3061</v>
      </c>
      <c r="B700" s="1" t="s">
        <v>203</v>
      </c>
      <c r="C700" s="1">
        <v>1</v>
      </c>
      <c r="D700" s="1" t="s">
        <v>3062</v>
      </c>
      <c r="E700" s="1">
        <v>1236</v>
      </c>
      <c r="F700" s="1" t="str">
        <f t="shared" si="222"/>
        <v>enemy_1236_bouncy_2</v>
      </c>
      <c r="G700" s="1">
        <v>1</v>
      </c>
      <c r="L700" s="1">
        <v>80000</v>
      </c>
      <c r="N700" s="1">
        <v>2000</v>
      </c>
      <c r="P700" s="1">
        <v>600</v>
      </c>
      <c r="R700" s="1">
        <v>30</v>
      </c>
      <c r="Z700" s="1">
        <v>0.05</v>
      </c>
      <c r="AA700" s="1">
        <v>1.5</v>
      </c>
      <c r="AB700" s="1">
        <v>-2</v>
      </c>
      <c r="AC700" s="1">
        <v>1.2</v>
      </c>
      <c r="AH700" s="1">
        <v>0</v>
      </c>
      <c r="AI700" s="1">
        <v>1</v>
      </c>
      <c r="AJ700" s="1" t="s">
        <v>3063</v>
      </c>
      <c r="AK700" s="1" t="s">
        <v>206</v>
      </c>
      <c r="AL700" s="1" t="s">
        <v>228</v>
      </c>
      <c r="AN700" s="22" t="s">
        <v>9767</v>
      </c>
      <c r="AX700" s="1">
        <v>1</v>
      </c>
      <c r="AZ700" s="1">
        <v>0.25</v>
      </c>
      <c r="BG700" s="1" t="str">
        <f t="shared" si="223"/>
        <v>enemy_1236_bouncy_2</v>
      </c>
      <c r="BN700" s="1" t="s">
        <v>3064</v>
      </c>
      <c r="BQ700" s="1" t="s">
        <v>207</v>
      </c>
      <c r="BR700" s="1" t="s">
        <v>208</v>
      </c>
      <c r="BT700" s="1" t="s">
        <v>210</v>
      </c>
      <c r="BX700" s="1">
        <v>1</v>
      </c>
    </row>
    <row r="701" spans="1:76" x14ac:dyDescent="0.25">
      <c r="A701" s="1" t="s">
        <v>3065</v>
      </c>
      <c r="B701" s="1" t="s">
        <v>203</v>
      </c>
      <c r="C701" s="1">
        <v>1</v>
      </c>
      <c r="D701" s="1" t="s">
        <v>3066</v>
      </c>
      <c r="E701" s="1">
        <v>1236</v>
      </c>
      <c r="F701" s="1" t="str">
        <f t="shared" si="222"/>
        <v>enemy_1236_bouncy_3</v>
      </c>
      <c r="G701" s="1">
        <v>1</v>
      </c>
      <c r="L701" s="1">
        <v>80000</v>
      </c>
      <c r="N701" s="1">
        <v>2000</v>
      </c>
      <c r="P701" s="1">
        <v>600</v>
      </c>
      <c r="R701" s="1">
        <v>30</v>
      </c>
      <c r="Z701" s="1">
        <v>0.05</v>
      </c>
      <c r="AA701" s="1">
        <v>1.5</v>
      </c>
      <c r="AB701" s="1">
        <v>-2</v>
      </c>
      <c r="AC701" s="1">
        <v>1.2</v>
      </c>
      <c r="AH701" s="1">
        <v>0</v>
      </c>
      <c r="AI701" s="1">
        <v>1</v>
      </c>
      <c r="AJ701" s="1" t="s">
        <v>3067</v>
      </c>
      <c r="AK701" s="1" t="s">
        <v>206</v>
      </c>
      <c r="AL701" s="1" t="s">
        <v>228</v>
      </c>
      <c r="AN701" s="22" t="s">
        <v>9767</v>
      </c>
      <c r="AX701" s="1">
        <v>1</v>
      </c>
      <c r="AZ701" s="1">
        <v>0.25</v>
      </c>
      <c r="BG701" s="1" t="str">
        <f t="shared" si="223"/>
        <v>enemy_1236_bouncy_3</v>
      </c>
      <c r="BN701" s="1" t="s">
        <v>3068</v>
      </c>
      <c r="BQ701" s="1" t="s">
        <v>207</v>
      </c>
      <c r="BR701" s="1" t="s">
        <v>208</v>
      </c>
      <c r="BT701" s="1" t="s">
        <v>210</v>
      </c>
      <c r="BX701" s="1">
        <v>1</v>
      </c>
    </row>
    <row r="702" spans="1:76" x14ac:dyDescent="0.25">
      <c r="A702" s="1" t="s">
        <v>3069</v>
      </c>
      <c r="B702" s="1" t="s">
        <v>203</v>
      </c>
      <c r="C702" s="1">
        <v>1</v>
      </c>
      <c r="D702" s="1" t="s">
        <v>3070</v>
      </c>
      <c r="E702" s="1">
        <v>1529</v>
      </c>
      <c r="F702" s="1" t="str">
        <f t="shared" si="222"/>
        <v>enemy_1529_dsdevr</v>
      </c>
      <c r="G702" s="1">
        <v>1</v>
      </c>
      <c r="L702" s="1">
        <v>10000</v>
      </c>
      <c r="N702" s="1">
        <v>800</v>
      </c>
      <c r="P702" s="1">
        <v>700</v>
      </c>
      <c r="R702" s="1">
        <v>0</v>
      </c>
      <c r="Z702" s="1">
        <v>0.05</v>
      </c>
      <c r="AA702" s="1">
        <v>2</v>
      </c>
      <c r="AB702" s="1">
        <v>5</v>
      </c>
      <c r="AC702" s="1">
        <v>0.8</v>
      </c>
      <c r="AH702" s="1">
        <v>0</v>
      </c>
      <c r="AI702" s="1">
        <v>1</v>
      </c>
      <c r="AJ702" s="1" t="s">
        <v>3071</v>
      </c>
      <c r="AK702" s="1" t="s">
        <v>206</v>
      </c>
      <c r="AL702" s="1" t="s">
        <v>228</v>
      </c>
      <c r="AN702" s="22" t="s">
        <v>9767</v>
      </c>
      <c r="AX702" s="1">
        <v>1</v>
      </c>
      <c r="AZ702" s="1">
        <v>0.25</v>
      </c>
      <c r="BG702" s="1" t="str">
        <f t="shared" si="223"/>
        <v>enemy_1529_dsdevr</v>
      </c>
      <c r="BM702" s="1" t="s">
        <v>3072</v>
      </c>
      <c r="BN702" s="1" t="s">
        <v>3073</v>
      </c>
      <c r="BQ702" s="1" t="s">
        <v>207</v>
      </c>
      <c r="BR702" s="1" t="s">
        <v>208</v>
      </c>
      <c r="BS702" s="1" t="s">
        <v>1612</v>
      </c>
      <c r="BT702" s="1" t="s">
        <v>210</v>
      </c>
      <c r="BX702" s="1">
        <v>1</v>
      </c>
    </row>
    <row r="703" spans="1:76" x14ac:dyDescent="0.25">
      <c r="A703" s="1" t="s">
        <v>3074</v>
      </c>
      <c r="B703" s="1" t="s">
        <v>203</v>
      </c>
      <c r="C703" s="1">
        <v>1</v>
      </c>
      <c r="D703" s="1" t="s">
        <v>3075</v>
      </c>
      <c r="E703" s="1">
        <v>1529</v>
      </c>
      <c r="F703" s="1" t="str">
        <f t="shared" si="222"/>
        <v>enemy_1529_dsdevr_2</v>
      </c>
      <c r="G703" s="1">
        <v>1</v>
      </c>
      <c r="L703" s="1">
        <v>100</v>
      </c>
      <c r="N703" s="1">
        <v>100</v>
      </c>
      <c r="P703" s="1">
        <v>0</v>
      </c>
      <c r="R703" s="1">
        <v>0</v>
      </c>
      <c r="Z703" s="1">
        <v>0.05</v>
      </c>
      <c r="AA703" s="1">
        <v>1</v>
      </c>
      <c r="AB703" s="1">
        <v>0</v>
      </c>
      <c r="AC703" s="1">
        <v>1</v>
      </c>
      <c r="AH703" s="1">
        <v>0</v>
      </c>
      <c r="AI703" s="1">
        <v>1</v>
      </c>
      <c r="AJ703" s="1" t="s">
        <v>3071</v>
      </c>
      <c r="AK703" s="1" t="s">
        <v>206</v>
      </c>
      <c r="AL703" s="1" t="s">
        <v>228</v>
      </c>
      <c r="AN703" s="22" t="s">
        <v>9767</v>
      </c>
      <c r="AX703" s="1">
        <v>1</v>
      </c>
      <c r="AZ703" s="1">
        <v>0.25</v>
      </c>
      <c r="BG703" s="1" t="str">
        <f t="shared" si="223"/>
        <v>enemy_1529_dsdevr_2</v>
      </c>
      <c r="BQ703" s="1" t="s">
        <v>207</v>
      </c>
      <c r="BR703" s="1" t="s">
        <v>208</v>
      </c>
      <c r="BS703" s="1" t="s">
        <v>1612</v>
      </c>
      <c r="BT703" s="1" t="s">
        <v>210</v>
      </c>
      <c r="BX703" s="1">
        <v>1</v>
      </c>
    </row>
    <row r="704" spans="1:76" x14ac:dyDescent="0.25">
      <c r="A704" s="1" t="s">
        <v>3076</v>
      </c>
      <c r="B704" s="1" t="s">
        <v>203</v>
      </c>
      <c r="C704" s="1">
        <v>1</v>
      </c>
      <c r="D704" s="1" t="s">
        <v>9703</v>
      </c>
      <c r="E704" s="1">
        <v>1238</v>
      </c>
      <c r="F704" s="1" t="s">
        <v>3076</v>
      </c>
      <c r="G704" s="1">
        <v>1</v>
      </c>
      <c r="L704" s="1">
        <v>3500</v>
      </c>
      <c r="N704" s="1">
        <v>380</v>
      </c>
      <c r="P704" s="1">
        <v>50</v>
      </c>
      <c r="R704" s="1">
        <v>0</v>
      </c>
      <c r="Z704" s="1">
        <v>0.05</v>
      </c>
      <c r="AA704" s="1">
        <v>2.2000000000000002</v>
      </c>
      <c r="AB704" s="1">
        <v>1</v>
      </c>
      <c r="AC704" s="1">
        <v>1.3</v>
      </c>
      <c r="AH704" s="1">
        <v>0</v>
      </c>
      <c r="AI704" s="1">
        <v>1</v>
      </c>
      <c r="AJ704" s="1" t="s">
        <v>3077</v>
      </c>
      <c r="AK704" s="1" t="s">
        <v>265</v>
      </c>
      <c r="AL704" s="1" t="s">
        <v>228</v>
      </c>
      <c r="AN704" s="22" t="s">
        <v>9767</v>
      </c>
      <c r="AX704" s="1">
        <v>1</v>
      </c>
      <c r="AZ704" s="1">
        <v>0.1</v>
      </c>
      <c r="BG704" s="1" t="s">
        <v>3076</v>
      </c>
      <c r="BM704" s="1" t="s">
        <v>930</v>
      </c>
      <c r="BQ704" s="1" t="s">
        <v>207</v>
      </c>
      <c r="BR704" s="1" t="s">
        <v>208</v>
      </c>
      <c r="BS704" s="1" t="s">
        <v>229</v>
      </c>
      <c r="BT704" s="1" t="s">
        <v>210</v>
      </c>
      <c r="BX704" s="1">
        <v>1</v>
      </c>
    </row>
    <row r="705" spans="1:76" x14ac:dyDescent="0.25">
      <c r="A705" s="1" t="s">
        <v>3078</v>
      </c>
      <c r="B705" s="1" t="s">
        <v>203</v>
      </c>
      <c r="C705" s="1">
        <v>1</v>
      </c>
      <c r="D705" s="1" t="s">
        <v>3079</v>
      </c>
      <c r="E705" s="1">
        <v>1238</v>
      </c>
      <c r="F705" s="1" t="s">
        <v>3078</v>
      </c>
      <c r="G705" s="1">
        <v>1</v>
      </c>
      <c r="L705" s="1">
        <v>4500</v>
      </c>
      <c r="N705" s="1">
        <v>520</v>
      </c>
      <c r="P705" s="1">
        <v>50</v>
      </c>
      <c r="R705" s="1">
        <v>0</v>
      </c>
      <c r="Z705" s="1">
        <v>0.05</v>
      </c>
      <c r="AA705" s="1">
        <v>2.2000000000000002</v>
      </c>
      <c r="AB705" s="1">
        <v>1</v>
      </c>
      <c r="AC705" s="1">
        <v>1.3</v>
      </c>
      <c r="AH705" s="1">
        <v>0</v>
      </c>
      <c r="AI705" s="1">
        <v>1</v>
      </c>
      <c r="AJ705" s="1" t="s">
        <v>3080</v>
      </c>
      <c r="AK705" s="1" t="s">
        <v>265</v>
      </c>
      <c r="AL705" s="1" t="s">
        <v>228</v>
      </c>
      <c r="AN705" s="22" t="s">
        <v>9767</v>
      </c>
      <c r="AX705" s="1">
        <v>1</v>
      </c>
      <c r="AZ705" s="1">
        <v>0.1</v>
      </c>
      <c r="BG705" s="1" t="s">
        <v>3078</v>
      </c>
      <c r="BM705" s="1" t="s">
        <v>930</v>
      </c>
      <c r="BQ705" s="1" t="s">
        <v>207</v>
      </c>
      <c r="BR705" s="1" t="s">
        <v>208</v>
      </c>
      <c r="BS705" s="1" t="s">
        <v>229</v>
      </c>
      <c r="BT705" s="1" t="s">
        <v>210</v>
      </c>
      <c r="BX705" s="1">
        <v>1</v>
      </c>
    </row>
    <row r="706" spans="1:76" x14ac:dyDescent="0.25">
      <c r="A706" s="1" t="s">
        <v>3081</v>
      </c>
      <c r="B706" s="1" t="s">
        <v>203</v>
      </c>
      <c r="C706" s="1">
        <v>1</v>
      </c>
      <c r="D706" s="1" t="s">
        <v>3082</v>
      </c>
      <c r="E706" s="1">
        <v>1239</v>
      </c>
      <c r="F706" s="1" t="s">
        <v>3081</v>
      </c>
      <c r="G706" s="1">
        <v>1</v>
      </c>
      <c r="L706" s="1">
        <v>3300</v>
      </c>
      <c r="N706" s="1">
        <v>330</v>
      </c>
      <c r="P706" s="1">
        <v>80</v>
      </c>
      <c r="R706" s="1">
        <v>10</v>
      </c>
      <c r="Z706" s="1">
        <v>0.05</v>
      </c>
      <c r="AA706" s="1">
        <v>3.5</v>
      </c>
      <c r="AB706" s="1">
        <v>1</v>
      </c>
      <c r="AC706" s="1">
        <v>0.9</v>
      </c>
      <c r="AH706" s="1">
        <v>0</v>
      </c>
      <c r="AI706" s="1">
        <v>1</v>
      </c>
      <c r="AJ706" s="1" t="s">
        <v>3083</v>
      </c>
      <c r="AK706" s="1" t="s">
        <v>265</v>
      </c>
      <c r="AL706" s="1" t="s">
        <v>228</v>
      </c>
      <c r="AN706" s="22" t="s">
        <v>9767</v>
      </c>
      <c r="AX706" s="1">
        <v>1</v>
      </c>
      <c r="AZ706" s="1">
        <v>0.1</v>
      </c>
      <c r="BG706" s="1" t="s">
        <v>3081</v>
      </c>
      <c r="BM706" s="1" t="s">
        <v>936</v>
      </c>
      <c r="BQ706" s="1" t="s">
        <v>207</v>
      </c>
      <c r="BR706" s="1" t="s">
        <v>208</v>
      </c>
      <c r="BS706" s="1" t="s">
        <v>229</v>
      </c>
      <c r="BT706" s="1" t="s">
        <v>210</v>
      </c>
      <c r="BX706" s="1">
        <v>1</v>
      </c>
    </row>
    <row r="707" spans="1:76" x14ac:dyDescent="0.25">
      <c r="A707" s="1" t="s">
        <v>3084</v>
      </c>
      <c r="B707" s="1" t="s">
        <v>203</v>
      </c>
      <c r="C707" s="1">
        <v>1</v>
      </c>
      <c r="D707" s="1" t="s">
        <v>3085</v>
      </c>
      <c r="E707" s="1">
        <v>1239</v>
      </c>
      <c r="F707" s="1" t="s">
        <v>3084</v>
      </c>
      <c r="G707" s="1">
        <v>1</v>
      </c>
      <c r="L707" s="1">
        <v>4000</v>
      </c>
      <c r="N707" s="1">
        <v>360</v>
      </c>
      <c r="P707" s="1">
        <v>120</v>
      </c>
      <c r="R707" s="1">
        <v>10</v>
      </c>
      <c r="Z707" s="1">
        <v>0.05</v>
      </c>
      <c r="AA707" s="1">
        <v>3.5</v>
      </c>
      <c r="AB707" s="1">
        <v>1</v>
      </c>
      <c r="AC707" s="1">
        <v>0.9</v>
      </c>
      <c r="AH707" s="1">
        <v>0</v>
      </c>
      <c r="AI707" s="1">
        <v>1</v>
      </c>
      <c r="AJ707" s="1" t="s">
        <v>3086</v>
      </c>
      <c r="AK707" s="1" t="s">
        <v>265</v>
      </c>
      <c r="AL707" s="1" t="s">
        <v>228</v>
      </c>
      <c r="AN707" s="22" t="s">
        <v>9767</v>
      </c>
      <c r="AX707" s="1">
        <v>1</v>
      </c>
      <c r="AZ707" s="1">
        <v>0.1</v>
      </c>
      <c r="BG707" s="1" t="s">
        <v>3084</v>
      </c>
      <c r="BM707" s="1" t="s">
        <v>936</v>
      </c>
      <c r="BQ707" s="1" t="s">
        <v>207</v>
      </c>
      <c r="BR707" s="1" t="s">
        <v>208</v>
      </c>
      <c r="BS707" s="1" t="s">
        <v>229</v>
      </c>
      <c r="BT707" s="1" t="s">
        <v>210</v>
      </c>
      <c r="BX707" s="1">
        <v>1</v>
      </c>
    </row>
    <row r="708" spans="1:76" x14ac:dyDescent="0.25">
      <c r="A708" s="1" t="s">
        <v>3087</v>
      </c>
      <c r="B708" s="1" t="s">
        <v>203</v>
      </c>
      <c r="C708" s="1">
        <v>1</v>
      </c>
      <c r="D708" s="1" t="s">
        <v>3088</v>
      </c>
      <c r="E708" s="1">
        <v>1240</v>
      </c>
      <c r="F708" s="1" t="s">
        <v>3087</v>
      </c>
      <c r="G708" s="1">
        <v>1.2</v>
      </c>
      <c r="L708" s="1">
        <v>15000</v>
      </c>
      <c r="N708" s="1">
        <v>650</v>
      </c>
      <c r="P708" s="1">
        <v>1200</v>
      </c>
      <c r="R708" s="1">
        <v>50</v>
      </c>
      <c r="Z708" s="1">
        <v>0.05</v>
      </c>
      <c r="AA708" s="1">
        <v>4</v>
      </c>
      <c r="AB708" s="1">
        <v>4</v>
      </c>
      <c r="AC708" s="1">
        <v>0.75</v>
      </c>
      <c r="AH708" s="1">
        <v>0</v>
      </c>
      <c r="AI708" s="1">
        <v>1</v>
      </c>
      <c r="AJ708" s="1" t="s">
        <v>3089</v>
      </c>
      <c r="AK708" s="1" t="s">
        <v>265</v>
      </c>
      <c r="AL708" s="1" t="s">
        <v>228</v>
      </c>
      <c r="AN708" s="22" t="s">
        <v>9767</v>
      </c>
      <c r="AR708" s="1">
        <v>2</v>
      </c>
      <c r="AX708" s="1">
        <v>1</v>
      </c>
      <c r="AZ708" s="1">
        <v>0.1</v>
      </c>
      <c r="BG708" s="1" t="s">
        <v>3087</v>
      </c>
      <c r="BM708" s="1" t="s">
        <v>1665</v>
      </c>
      <c r="BQ708" s="1" t="s">
        <v>207</v>
      </c>
      <c r="BR708" s="1" t="s">
        <v>208</v>
      </c>
      <c r="BS708" s="1" t="s">
        <v>229</v>
      </c>
      <c r="BT708" s="1" t="s">
        <v>210</v>
      </c>
      <c r="BX708" s="1">
        <v>1</v>
      </c>
    </row>
    <row r="709" spans="1:76" x14ac:dyDescent="0.25">
      <c r="A709" s="1" t="s">
        <v>3090</v>
      </c>
      <c r="B709" s="1" t="s">
        <v>203</v>
      </c>
      <c r="C709" s="1">
        <v>1</v>
      </c>
      <c r="D709" s="1" t="s">
        <v>3091</v>
      </c>
      <c r="E709" s="1">
        <v>1240</v>
      </c>
      <c r="F709" s="1" t="s">
        <v>3090</v>
      </c>
      <c r="G709" s="1">
        <v>1.2</v>
      </c>
      <c r="L709" s="1">
        <v>20000</v>
      </c>
      <c r="N709" s="1">
        <v>800</v>
      </c>
      <c r="P709" s="1">
        <v>1400</v>
      </c>
      <c r="R709" s="1">
        <v>50</v>
      </c>
      <c r="Z709" s="1">
        <v>0.05</v>
      </c>
      <c r="AA709" s="1">
        <v>4</v>
      </c>
      <c r="AB709" s="1">
        <v>4</v>
      </c>
      <c r="AC709" s="1">
        <v>0.75</v>
      </c>
      <c r="AH709" s="1">
        <v>0</v>
      </c>
      <c r="AI709" s="1">
        <v>1</v>
      </c>
      <c r="AJ709" s="1" t="s">
        <v>3092</v>
      </c>
      <c r="AK709" s="1" t="s">
        <v>265</v>
      </c>
      <c r="AL709" s="1" t="s">
        <v>228</v>
      </c>
      <c r="AN709" s="22" t="s">
        <v>9767</v>
      </c>
      <c r="AR709" s="1">
        <v>2</v>
      </c>
      <c r="AX709" s="1">
        <v>1</v>
      </c>
      <c r="AZ709" s="1">
        <v>0.1</v>
      </c>
      <c r="BG709" s="1" t="s">
        <v>3090</v>
      </c>
      <c r="BM709" s="1" t="s">
        <v>1665</v>
      </c>
      <c r="BQ709" s="1" t="s">
        <v>207</v>
      </c>
      <c r="BR709" s="1" t="s">
        <v>208</v>
      </c>
      <c r="BS709" s="1" t="s">
        <v>229</v>
      </c>
      <c r="BT709" s="1" t="s">
        <v>210</v>
      </c>
      <c r="BX709" s="1">
        <v>1</v>
      </c>
    </row>
    <row r="710" spans="1:76" x14ac:dyDescent="0.25">
      <c r="A710" s="1" t="s">
        <v>3093</v>
      </c>
      <c r="B710" s="1" t="s">
        <v>203</v>
      </c>
      <c r="C710" s="1">
        <v>1</v>
      </c>
      <c r="D710" s="1" t="s">
        <v>3094</v>
      </c>
      <c r="E710" s="1">
        <v>1241</v>
      </c>
      <c r="F710" s="1" t="s">
        <v>3093</v>
      </c>
      <c r="G710" s="1">
        <v>1</v>
      </c>
      <c r="L710" s="1">
        <v>7000</v>
      </c>
      <c r="N710" s="1">
        <v>600</v>
      </c>
      <c r="P710" s="1">
        <v>160</v>
      </c>
      <c r="R710" s="1">
        <v>65</v>
      </c>
      <c r="Z710" s="1">
        <v>0.05</v>
      </c>
      <c r="AA710" s="1">
        <v>7</v>
      </c>
      <c r="AB710" s="1">
        <v>2</v>
      </c>
      <c r="AC710" s="1">
        <v>0.6</v>
      </c>
      <c r="AH710" s="1">
        <v>0</v>
      </c>
      <c r="AI710" s="1">
        <v>1</v>
      </c>
      <c r="AJ710" s="1" t="s">
        <v>3095</v>
      </c>
      <c r="AK710" s="1" t="s">
        <v>265</v>
      </c>
      <c r="AL710" s="1" t="s">
        <v>228</v>
      </c>
      <c r="AN710" s="22" t="s">
        <v>9767</v>
      </c>
      <c r="AX710" s="1">
        <v>1</v>
      </c>
      <c r="AZ710" s="1">
        <v>0.1</v>
      </c>
      <c r="BG710" s="1" t="s">
        <v>3093</v>
      </c>
      <c r="BM710" s="1" t="s">
        <v>936</v>
      </c>
      <c r="BQ710" s="1" t="s">
        <v>207</v>
      </c>
      <c r="BR710" s="1" t="s">
        <v>208</v>
      </c>
      <c r="BS710" s="1" t="s">
        <v>229</v>
      </c>
      <c r="BT710" s="1" t="s">
        <v>210</v>
      </c>
      <c r="BX710" s="1">
        <v>1</v>
      </c>
    </row>
    <row r="711" spans="1:76" x14ac:dyDescent="0.25">
      <c r="A711" s="1" t="s">
        <v>3096</v>
      </c>
      <c r="B711" s="1" t="s">
        <v>203</v>
      </c>
      <c r="C711" s="1">
        <v>1</v>
      </c>
      <c r="D711" s="1" t="s">
        <v>3097</v>
      </c>
      <c r="E711" s="1">
        <v>1241</v>
      </c>
      <c r="F711" s="1" t="s">
        <v>3096</v>
      </c>
      <c r="G711" s="1">
        <v>1</v>
      </c>
      <c r="L711" s="1">
        <v>9000</v>
      </c>
      <c r="N711" s="1">
        <v>780</v>
      </c>
      <c r="P711" s="1">
        <v>240</v>
      </c>
      <c r="R711" s="1">
        <v>65</v>
      </c>
      <c r="Z711" s="1">
        <v>0.05</v>
      </c>
      <c r="AA711" s="1">
        <v>7</v>
      </c>
      <c r="AB711" s="1">
        <v>2</v>
      </c>
      <c r="AC711" s="1">
        <v>0.6</v>
      </c>
      <c r="AH711" s="1">
        <v>0</v>
      </c>
      <c r="AI711" s="1">
        <v>1</v>
      </c>
      <c r="AJ711" s="1" t="s">
        <v>3098</v>
      </c>
      <c r="AK711" s="1" t="s">
        <v>265</v>
      </c>
      <c r="AL711" s="1" t="s">
        <v>228</v>
      </c>
      <c r="AN711" s="22" t="s">
        <v>9767</v>
      </c>
      <c r="AX711" s="1">
        <v>1</v>
      </c>
      <c r="AZ711" s="1">
        <v>0.1</v>
      </c>
      <c r="BG711" s="1" t="s">
        <v>3096</v>
      </c>
      <c r="BM711" s="1" t="s">
        <v>936</v>
      </c>
      <c r="BQ711" s="1" t="s">
        <v>207</v>
      </c>
      <c r="BR711" s="1" t="s">
        <v>208</v>
      </c>
      <c r="BS711" s="1" t="s">
        <v>229</v>
      </c>
      <c r="BT711" s="1" t="s">
        <v>210</v>
      </c>
      <c r="BX711" s="1">
        <v>1</v>
      </c>
    </row>
    <row r="712" spans="1:76" x14ac:dyDescent="0.25">
      <c r="A712" s="1" t="s">
        <v>3099</v>
      </c>
      <c r="B712" s="1" t="s">
        <v>203</v>
      </c>
      <c r="C712" s="1">
        <v>1</v>
      </c>
      <c r="D712" s="1" t="s">
        <v>3100</v>
      </c>
      <c r="E712" s="1">
        <v>1242</v>
      </c>
      <c r="F712" s="1" t="s">
        <v>3099</v>
      </c>
      <c r="G712" s="1">
        <v>1</v>
      </c>
      <c r="L712" s="1">
        <v>12000</v>
      </c>
      <c r="N712" s="1">
        <v>500</v>
      </c>
      <c r="P712" s="1">
        <v>450</v>
      </c>
      <c r="R712" s="1">
        <v>40</v>
      </c>
      <c r="Z712" s="1">
        <v>0.05</v>
      </c>
      <c r="AA712" s="1">
        <v>5</v>
      </c>
      <c r="AB712" s="1">
        <v>3</v>
      </c>
      <c r="AC712" s="1">
        <v>0.4</v>
      </c>
      <c r="AH712" s="1">
        <v>0</v>
      </c>
      <c r="AI712" s="1">
        <v>1</v>
      </c>
      <c r="AJ712" s="1" t="s">
        <v>3101</v>
      </c>
      <c r="AK712" s="1" t="s">
        <v>265</v>
      </c>
      <c r="AL712" s="1" t="s">
        <v>228</v>
      </c>
      <c r="AN712" s="22" t="s">
        <v>9767</v>
      </c>
      <c r="AX712" s="1">
        <v>1</v>
      </c>
      <c r="AZ712" s="1">
        <v>0.1</v>
      </c>
      <c r="BG712" s="1" t="s">
        <v>3099</v>
      </c>
      <c r="BM712" s="1" t="s">
        <v>957</v>
      </c>
      <c r="BQ712" s="1" t="s">
        <v>207</v>
      </c>
      <c r="BR712" s="1" t="s">
        <v>208</v>
      </c>
      <c r="BS712" s="1" t="s">
        <v>229</v>
      </c>
      <c r="BT712" s="1" t="s">
        <v>210</v>
      </c>
      <c r="BX712" s="1">
        <v>1</v>
      </c>
    </row>
    <row r="713" spans="1:76" x14ac:dyDescent="0.25">
      <c r="A713" s="1" t="s">
        <v>3102</v>
      </c>
      <c r="B713" s="1" t="s">
        <v>203</v>
      </c>
      <c r="C713" s="1">
        <v>1</v>
      </c>
      <c r="D713" s="1" t="s">
        <v>3103</v>
      </c>
      <c r="E713" s="1">
        <v>1242</v>
      </c>
      <c r="F713" s="1" t="s">
        <v>3102</v>
      </c>
      <c r="G713" s="1">
        <v>1</v>
      </c>
      <c r="L713" s="1">
        <v>18000</v>
      </c>
      <c r="N713" s="1">
        <v>650</v>
      </c>
      <c r="P713" s="1">
        <v>550</v>
      </c>
      <c r="R713" s="1">
        <v>40</v>
      </c>
      <c r="Z713" s="1">
        <v>0.05</v>
      </c>
      <c r="AA713" s="1">
        <v>5</v>
      </c>
      <c r="AB713" s="1">
        <v>3</v>
      </c>
      <c r="AC713" s="1">
        <v>0.4</v>
      </c>
      <c r="AH713" s="1">
        <v>0</v>
      </c>
      <c r="AI713" s="1">
        <v>1</v>
      </c>
      <c r="AJ713" s="1" t="s">
        <v>3104</v>
      </c>
      <c r="AK713" s="1" t="s">
        <v>265</v>
      </c>
      <c r="AL713" s="1" t="s">
        <v>228</v>
      </c>
      <c r="AN713" s="22" t="s">
        <v>9767</v>
      </c>
      <c r="AX713" s="1">
        <v>1</v>
      </c>
      <c r="AZ713" s="1">
        <v>0.1</v>
      </c>
      <c r="BG713" s="1" t="s">
        <v>3102</v>
      </c>
      <c r="BM713" s="1" t="s">
        <v>957</v>
      </c>
      <c r="BQ713" s="1" t="s">
        <v>207</v>
      </c>
      <c r="BR713" s="1" t="s">
        <v>208</v>
      </c>
      <c r="BS713" s="1" t="s">
        <v>229</v>
      </c>
      <c r="BT713" s="1" t="s">
        <v>210</v>
      </c>
      <c r="BX713" s="1">
        <v>1</v>
      </c>
    </row>
    <row r="714" spans="1:76" x14ac:dyDescent="0.25">
      <c r="A714" s="1" t="s">
        <v>3105</v>
      </c>
      <c r="B714" s="1" t="s">
        <v>203</v>
      </c>
      <c r="C714" s="1">
        <v>1</v>
      </c>
      <c r="D714" s="1" t="s">
        <v>3106</v>
      </c>
      <c r="E714" s="1">
        <v>1243</v>
      </c>
      <c r="F714" s="1" t="s">
        <v>3105</v>
      </c>
      <c r="G714" s="1">
        <v>1.1000000000000001</v>
      </c>
      <c r="L714" s="1">
        <v>17500</v>
      </c>
      <c r="N714" s="1">
        <v>800</v>
      </c>
      <c r="P714" s="1">
        <v>650</v>
      </c>
      <c r="R714" s="1">
        <v>20</v>
      </c>
      <c r="Z714" s="1">
        <v>0.05</v>
      </c>
      <c r="AA714" s="1">
        <v>4.5</v>
      </c>
      <c r="AB714" s="1">
        <v>4</v>
      </c>
      <c r="AC714" s="1">
        <v>0.8</v>
      </c>
      <c r="AH714" s="1">
        <v>0</v>
      </c>
      <c r="AI714" s="1">
        <v>1</v>
      </c>
      <c r="AJ714" s="1" t="s">
        <v>3107</v>
      </c>
      <c r="AK714" s="1" t="s">
        <v>265</v>
      </c>
      <c r="AL714" s="1" t="s">
        <v>228</v>
      </c>
      <c r="AN714" s="22" t="s">
        <v>9767</v>
      </c>
      <c r="AX714" s="1">
        <v>1</v>
      </c>
      <c r="AZ714" s="1">
        <v>0.1</v>
      </c>
      <c r="BG714" s="1" t="s">
        <v>3105</v>
      </c>
      <c r="BM714" s="1" t="s">
        <v>989</v>
      </c>
      <c r="BQ714" s="1" t="s">
        <v>207</v>
      </c>
      <c r="BR714" s="1" t="s">
        <v>208</v>
      </c>
      <c r="BS714" s="1" t="s">
        <v>229</v>
      </c>
      <c r="BT714" s="1" t="s">
        <v>210</v>
      </c>
      <c r="BX714" s="1">
        <v>1</v>
      </c>
    </row>
    <row r="715" spans="1:76" x14ac:dyDescent="0.25">
      <c r="A715" s="1" t="s">
        <v>3108</v>
      </c>
      <c r="B715" s="1" t="s">
        <v>203</v>
      </c>
      <c r="C715" s="1">
        <v>1</v>
      </c>
      <c r="D715" s="1" t="s">
        <v>3109</v>
      </c>
      <c r="E715" s="1">
        <v>1243</v>
      </c>
      <c r="F715" s="1" t="s">
        <v>3108</v>
      </c>
      <c r="G715" s="1">
        <v>1.1000000000000001</v>
      </c>
      <c r="L715" s="1">
        <v>20000</v>
      </c>
      <c r="N715" s="1">
        <v>1000</v>
      </c>
      <c r="P715" s="1">
        <v>700</v>
      </c>
      <c r="R715" s="1">
        <v>20</v>
      </c>
      <c r="Z715" s="1">
        <v>0.05</v>
      </c>
      <c r="AA715" s="1">
        <v>4.5</v>
      </c>
      <c r="AB715" s="1">
        <v>4</v>
      </c>
      <c r="AC715" s="1">
        <v>0.8</v>
      </c>
      <c r="AH715" s="1">
        <v>0</v>
      </c>
      <c r="AI715" s="1">
        <v>1</v>
      </c>
      <c r="AJ715" s="1" t="s">
        <v>3110</v>
      </c>
      <c r="AK715" s="1" t="s">
        <v>265</v>
      </c>
      <c r="AL715" s="1" t="s">
        <v>228</v>
      </c>
      <c r="AN715" s="22" t="s">
        <v>9767</v>
      </c>
      <c r="AX715" s="1">
        <v>1</v>
      </c>
      <c r="AZ715" s="1">
        <v>0.1</v>
      </c>
      <c r="BG715" s="1" t="s">
        <v>3108</v>
      </c>
      <c r="BM715" s="1" t="s">
        <v>989</v>
      </c>
      <c r="BQ715" s="1" t="s">
        <v>207</v>
      </c>
      <c r="BR715" s="1" t="s">
        <v>208</v>
      </c>
      <c r="BS715" s="1" t="s">
        <v>229</v>
      </c>
      <c r="BT715" s="1" t="s">
        <v>210</v>
      </c>
      <c r="BX715" s="1">
        <v>1</v>
      </c>
    </row>
    <row r="716" spans="1:76" x14ac:dyDescent="0.25">
      <c r="A716" s="1" t="s">
        <v>3111</v>
      </c>
      <c r="B716" s="1" t="s">
        <v>203</v>
      </c>
      <c r="C716" s="1">
        <v>1</v>
      </c>
      <c r="D716" s="1" t="s">
        <v>3112</v>
      </c>
      <c r="E716" s="1">
        <v>1244</v>
      </c>
      <c r="F716" s="1" t="s">
        <v>3111</v>
      </c>
      <c r="G716" s="1">
        <v>1</v>
      </c>
      <c r="L716" s="1">
        <v>15000</v>
      </c>
      <c r="N716" s="1">
        <v>0</v>
      </c>
      <c r="P716" s="1">
        <v>500</v>
      </c>
      <c r="R716" s="1">
        <v>60</v>
      </c>
      <c r="Z716" s="1">
        <v>0.05</v>
      </c>
      <c r="AA716" s="1">
        <v>13</v>
      </c>
      <c r="AB716" s="1">
        <v>3</v>
      </c>
      <c r="AC716" s="1">
        <v>0.3</v>
      </c>
      <c r="AH716" s="1">
        <v>0</v>
      </c>
      <c r="AI716" s="1">
        <v>1</v>
      </c>
      <c r="AJ716" s="1" t="s">
        <v>3113</v>
      </c>
      <c r="AK716" s="1" t="s">
        <v>265</v>
      </c>
      <c r="AL716" s="1" t="s">
        <v>228</v>
      </c>
      <c r="AN716" s="22" t="s">
        <v>9767</v>
      </c>
      <c r="AX716" s="1">
        <v>1</v>
      </c>
      <c r="AZ716" s="1">
        <v>0.1</v>
      </c>
      <c r="BG716" s="1" t="s">
        <v>3111</v>
      </c>
      <c r="BM716" s="1" t="s">
        <v>3114</v>
      </c>
      <c r="BQ716" s="1" t="s">
        <v>207</v>
      </c>
      <c r="BR716" s="1" t="s">
        <v>208</v>
      </c>
      <c r="BS716" s="1" t="s">
        <v>229</v>
      </c>
      <c r="BT716" s="1" t="s">
        <v>210</v>
      </c>
      <c r="BX716" s="1">
        <v>1</v>
      </c>
    </row>
    <row r="717" spans="1:76" x14ac:dyDescent="0.25">
      <c r="A717" s="1" t="s">
        <v>3115</v>
      </c>
      <c r="B717" s="1" t="s">
        <v>203</v>
      </c>
      <c r="C717" s="1">
        <v>1</v>
      </c>
      <c r="D717" s="1" t="s">
        <v>3116</v>
      </c>
      <c r="E717" s="1">
        <v>1244</v>
      </c>
      <c r="F717" s="1" t="s">
        <v>3115</v>
      </c>
      <c r="G717" s="1">
        <v>1</v>
      </c>
      <c r="L717" s="1">
        <v>20000</v>
      </c>
      <c r="N717" s="1">
        <v>0</v>
      </c>
      <c r="P717" s="1">
        <v>650</v>
      </c>
      <c r="R717" s="1">
        <v>60</v>
      </c>
      <c r="Z717" s="1">
        <v>0.05</v>
      </c>
      <c r="AA717" s="1">
        <v>13</v>
      </c>
      <c r="AB717" s="1">
        <v>3</v>
      </c>
      <c r="AC717" s="1">
        <v>0.3</v>
      </c>
      <c r="AH717" s="1">
        <v>0</v>
      </c>
      <c r="AI717" s="1">
        <v>1</v>
      </c>
      <c r="AJ717" s="1" t="s">
        <v>3117</v>
      </c>
      <c r="AK717" s="1" t="s">
        <v>265</v>
      </c>
      <c r="AL717" s="1" t="s">
        <v>228</v>
      </c>
      <c r="AN717" s="22" t="s">
        <v>9767</v>
      </c>
      <c r="AX717" s="1">
        <v>1</v>
      </c>
      <c r="AZ717" s="1">
        <v>0.1</v>
      </c>
      <c r="BG717" s="1" t="s">
        <v>3115</v>
      </c>
      <c r="BM717" s="1" t="s">
        <v>3114</v>
      </c>
      <c r="BQ717" s="1" t="s">
        <v>207</v>
      </c>
      <c r="BR717" s="1" t="s">
        <v>208</v>
      </c>
      <c r="BS717" s="1" t="s">
        <v>229</v>
      </c>
      <c r="BT717" s="1" t="s">
        <v>210</v>
      </c>
      <c r="BX717" s="1">
        <v>1</v>
      </c>
    </row>
    <row r="718" spans="1:76" x14ac:dyDescent="0.25">
      <c r="A718" s="1" t="s">
        <v>3118</v>
      </c>
      <c r="B718" s="1" t="s">
        <v>203</v>
      </c>
      <c r="C718" s="1">
        <v>1</v>
      </c>
      <c r="D718" s="1" t="s">
        <v>3119</v>
      </c>
      <c r="E718" s="1">
        <v>1246</v>
      </c>
      <c r="F718" s="1" t="s">
        <v>3118</v>
      </c>
      <c r="G718" s="1">
        <v>1</v>
      </c>
      <c r="L718" s="1">
        <v>2250</v>
      </c>
      <c r="N718" s="1">
        <v>280</v>
      </c>
      <c r="P718" s="1">
        <v>0</v>
      </c>
      <c r="R718" s="1">
        <v>0</v>
      </c>
      <c r="Z718" s="1">
        <v>0.05</v>
      </c>
      <c r="AA718" s="1">
        <v>1.7</v>
      </c>
      <c r="AB718" s="1">
        <v>0</v>
      </c>
      <c r="AC718" s="1">
        <v>1</v>
      </c>
      <c r="AH718" s="1">
        <v>0</v>
      </c>
      <c r="AI718" s="1">
        <v>1</v>
      </c>
      <c r="AJ718" s="1" t="s">
        <v>3120</v>
      </c>
      <c r="AK718" s="1" t="s">
        <v>265</v>
      </c>
      <c r="AL718" s="1" t="s">
        <v>228</v>
      </c>
      <c r="AN718" s="22" t="s">
        <v>9767</v>
      </c>
      <c r="AX718" s="1">
        <v>1</v>
      </c>
      <c r="AZ718" s="1">
        <v>0.1</v>
      </c>
      <c r="BG718" s="1" t="s">
        <v>3118</v>
      </c>
      <c r="BM718" s="1" t="s">
        <v>888</v>
      </c>
      <c r="BQ718" s="1" t="s">
        <v>207</v>
      </c>
      <c r="BR718" s="1" t="s">
        <v>208</v>
      </c>
      <c r="BS718" s="1" t="s">
        <v>229</v>
      </c>
      <c r="BT718" s="1" t="s">
        <v>210</v>
      </c>
      <c r="BX718" s="1">
        <v>1</v>
      </c>
    </row>
    <row r="719" spans="1:76" x14ac:dyDescent="0.25">
      <c r="A719" s="1" t="s">
        <v>3121</v>
      </c>
      <c r="B719" s="1" t="s">
        <v>203</v>
      </c>
      <c r="C719" s="1">
        <v>1</v>
      </c>
      <c r="D719" s="1" t="s">
        <v>3122</v>
      </c>
      <c r="E719" s="1">
        <v>1246</v>
      </c>
      <c r="F719" s="1" t="s">
        <v>3121</v>
      </c>
      <c r="G719" s="1">
        <v>1</v>
      </c>
      <c r="L719" s="1">
        <v>3500</v>
      </c>
      <c r="N719" s="1">
        <v>370</v>
      </c>
      <c r="P719" s="1">
        <v>0</v>
      </c>
      <c r="R719" s="1">
        <v>0</v>
      </c>
      <c r="Z719" s="1">
        <v>0.05</v>
      </c>
      <c r="AA719" s="1">
        <v>1.7</v>
      </c>
      <c r="AB719" s="1">
        <v>0</v>
      </c>
      <c r="AC719" s="1">
        <v>1</v>
      </c>
      <c r="AH719" s="1">
        <v>0</v>
      </c>
      <c r="AI719" s="1">
        <v>1</v>
      </c>
      <c r="AJ719" s="1" t="s">
        <v>3123</v>
      </c>
      <c r="AK719" s="1" t="s">
        <v>265</v>
      </c>
      <c r="AL719" s="1" t="s">
        <v>228</v>
      </c>
      <c r="AN719" s="22" t="s">
        <v>9767</v>
      </c>
      <c r="AX719" s="1">
        <v>1</v>
      </c>
      <c r="AZ719" s="1">
        <v>0.1</v>
      </c>
      <c r="BG719" s="1" t="s">
        <v>3121</v>
      </c>
      <c r="BM719" s="1" t="s">
        <v>888</v>
      </c>
      <c r="BQ719" s="1" t="s">
        <v>207</v>
      </c>
      <c r="BR719" s="1" t="s">
        <v>208</v>
      </c>
      <c r="BS719" s="1" t="s">
        <v>229</v>
      </c>
      <c r="BT719" s="1" t="s">
        <v>210</v>
      </c>
      <c r="BX719" s="1">
        <v>1</v>
      </c>
    </row>
    <row r="720" spans="1:76" x14ac:dyDescent="0.25">
      <c r="A720" s="1" t="s">
        <v>3124</v>
      </c>
      <c r="B720" s="1" t="s">
        <v>203</v>
      </c>
      <c r="C720" s="1">
        <v>1</v>
      </c>
      <c r="D720" s="1" t="s">
        <v>3125</v>
      </c>
      <c r="E720" s="1">
        <v>1247</v>
      </c>
      <c r="F720" s="1" t="s">
        <v>3124</v>
      </c>
      <c r="G720" s="1">
        <v>1.1000000000000001</v>
      </c>
      <c r="L720" s="1">
        <v>20000</v>
      </c>
      <c r="N720" s="1">
        <v>700</v>
      </c>
      <c r="P720" s="1">
        <v>450</v>
      </c>
      <c r="R720" s="1">
        <v>35</v>
      </c>
      <c r="Z720" s="1">
        <v>0.05</v>
      </c>
      <c r="AA720" s="1">
        <v>5</v>
      </c>
      <c r="AB720" s="1">
        <v>3</v>
      </c>
      <c r="AC720" s="1">
        <v>1</v>
      </c>
      <c r="AH720" s="1">
        <v>0</v>
      </c>
      <c r="AI720" s="1">
        <v>1</v>
      </c>
      <c r="AJ720" s="1" t="s">
        <v>3126</v>
      </c>
      <c r="AK720" s="1" t="s">
        <v>265</v>
      </c>
      <c r="AL720" s="1" t="s">
        <v>228</v>
      </c>
      <c r="AN720" s="22" t="s">
        <v>9767</v>
      </c>
      <c r="AX720" s="1">
        <v>1</v>
      </c>
      <c r="AZ720" s="1">
        <v>0.1</v>
      </c>
      <c r="BG720" s="1" t="s">
        <v>3124</v>
      </c>
      <c r="BM720" s="1" t="s">
        <v>957</v>
      </c>
      <c r="BQ720" s="1" t="s">
        <v>207</v>
      </c>
      <c r="BR720" s="1" t="s">
        <v>208</v>
      </c>
      <c r="BS720" s="1" t="s">
        <v>229</v>
      </c>
      <c r="BT720" s="1" t="s">
        <v>210</v>
      </c>
      <c r="BX720" s="1">
        <v>1</v>
      </c>
    </row>
    <row r="721" spans="1:76" x14ac:dyDescent="0.25">
      <c r="A721" s="1" t="s">
        <v>3127</v>
      </c>
      <c r="B721" s="1" t="s">
        <v>203</v>
      </c>
      <c r="C721" s="1">
        <v>1</v>
      </c>
      <c r="D721" s="1" t="s">
        <v>3128</v>
      </c>
      <c r="E721" s="1">
        <v>1530</v>
      </c>
      <c r="F721" s="1" t="s">
        <v>3127</v>
      </c>
      <c r="G721" s="1">
        <v>1</v>
      </c>
      <c r="L721" s="1">
        <v>60000</v>
      </c>
      <c r="N721" s="1">
        <v>800</v>
      </c>
      <c r="P721" s="1">
        <v>400</v>
      </c>
      <c r="R721" s="1">
        <v>20</v>
      </c>
      <c r="Z721" s="1">
        <v>0.05</v>
      </c>
      <c r="AA721" s="1">
        <v>5</v>
      </c>
      <c r="AB721" s="1">
        <v>10</v>
      </c>
      <c r="AC721" s="1">
        <v>0.4</v>
      </c>
      <c r="AH721" s="1">
        <v>0</v>
      </c>
      <c r="AI721" s="1">
        <v>1</v>
      </c>
      <c r="AJ721" s="1" t="s">
        <v>3129</v>
      </c>
      <c r="AK721" s="1" t="s">
        <v>265</v>
      </c>
      <c r="AL721" s="1" t="s">
        <v>228</v>
      </c>
      <c r="AN721" s="22" t="s">
        <v>9767</v>
      </c>
      <c r="AX721" s="1">
        <v>1</v>
      </c>
      <c r="AZ721" s="1">
        <v>0.1</v>
      </c>
      <c r="BG721" s="1" t="s">
        <v>3127</v>
      </c>
      <c r="BM721" s="1" t="s">
        <v>3130</v>
      </c>
      <c r="BQ721" s="1" t="s">
        <v>207</v>
      </c>
      <c r="BR721" s="1" t="s">
        <v>2593</v>
      </c>
      <c r="BS721" s="1" t="s">
        <v>2594</v>
      </c>
      <c r="BT721" s="1" t="s">
        <v>3131</v>
      </c>
      <c r="BX721" s="1">
        <v>1</v>
      </c>
    </row>
    <row r="722" spans="1:76" x14ac:dyDescent="0.25">
      <c r="A722" s="1" t="s">
        <v>3132</v>
      </c>
      <c r="B722" s="1" t="s">
        <v>203</v>
      </c>
      <c r="C722" s="1">
        <v>1</v>
      </c>
      <c r="D722" s="1" t="s">
        <v>3128</v>
      </c>
      <c r="E722" s="1">
        <v>1530</v>
      </c>
      <c r="F722" s="1" t="s">
        <v>3127</v>
      </c>
      <c r="G722" s="1">
        <v>1</v>
      </c>
      <c r="L722" s="1">
        <v>100000</v>
      </c>
      <c r="N722" s="1">
        <v>1000</v>
      </c>
      <c r="P722" s="1">
        <v>500</v>
      </c>
      <c r="R722" s="1">
        <v>20</v>
      </c>
      <c r="Z722" s="1">
        <v>0.05</v>
      </c>
      <c r="AA722" s="1">
        <v>5</v>
      </c>
      <c r="AB722" s="1">
        <v>10</v>
      </c>
      <c r="AC722" s="1">
        <v>0.4</v>
      </c>
      <c r="AH722" s="1">
        <v>0</v>
      </c>
      <c r="AI722" s="1">
        <v>1</v>
      </c>
      <c r="AJ722" s="1" t="s">
        <v>3133</v>
      </c>
      <c r="AK722" s="1" t="s">
        <v>265</v>
      </c>
      <c r="AL722" s="1" t="s">
        <v>228</v>
      </c>
      <c r="AN722" s="22" t="s">
        <v>9767</v>
      </c>
      <c r="AX722" s="1">
        <v>1</v>
      </c>
      <c r="AZ722" s="1">
        <v>0.1</v>
      </c>
      <c r="BG722" s="1" t="s">
        <v>3127</v>
      </c>
      <c r="BM722" s="1" t="s">
        <v>3130</v>
      </c>
      <c r="BQ722" s="1" t="s">
        <v>207</v>
      </c>
      <c r="BR722" s="1" t="s">
        <v>2593</v>
      </c>
      <c r="BS722" s="1" t="s">
        <v>2594</v>
      </c>
      <c r="BT722" s="1" t="s">
        <v>3131</v>
      </c>
      <c r="BX722" s="1">
        <v>1</v>
      </c>
    </row>
    <row r="723" spans="1:76" x14ac:dyDescent="0.25">
      <c r="A723" s="1" t="s">
        <v>3134</v>
      </c>
      <c r="B723" s="1" t="s">
        <v>203</v>
      </c>
      <c r="C723" s="1">
        <v>1</v>
      </c>
      <c r="D723" s="1" t="s">
        <v>3135</v>
      </c>
      <c r="E723" s="1">
        <v>1249</v>
      </c>
      <c r="F723" s="1" t="s">
        <v>3134</v>
      </c>
      <c r="G723" s="1">
        <v>1</v>
      </c>
      <c r="L723" s="1">
        <v>4500</v>
      </c>
      <c r="N723" s="1">
        <v>410</v>
      </c>
      <c r="P723" s="1">
        <v>250</v>
      </c>
      <c r="R723" s="1">
        <v>0</v>
      </c>
      <c r="Z723" s="1">
        <v>0.05</v>
      </c>
      <c r="AA723" s="1">
        <v>2.8</v>
      </c>
      <c r="AB723" s="1">
        <v>2</v>
      </c>
      <c r="AC723" s="1">
        <v>1</v>
      </c>
      <c r="AH723" s="1">
        <v>0</v>
      </c>
      <c r="AI723" s="1">
        <v>1</v>
      </c>
      <c r="AJ723" s="1" t="s">
        <v>3136</v>
      </c>
      <c r="AK723" s="1" t="s">
        <v>265</v>
      </c>
      <c r="AL723" s="1" t="s">
        <v>228</v>
      </c>
      <c r="AN723" s="22" t="s">
        <v>9767</v>
      </c>
      <c r="AX723" s="1">
        <v>1</v>
      </c>
      <c r="AZ723" s="1">
        <v>0.1</v>
      </c>
      <c r="BG723" s="1" t="s">
        <v>3134</v>
      </c>
      <c r="BM723" s="1" t="s">
        <v>930</v>
      </c>
      <c r="BQ723" s="1" t="s">
        <v>207</v>
      </c>
      <c r="BR723" s="1" t="s">
        <v>208</v>
      </c>
      <c r="BS723" s="1" t="s">
        <v>229</v>
      </c>
      <c r="BT723" s="1" t="s">
        <v>210</v>
      </c>
      <c r="BX723" s="1">
        <v>1</v>
      </c>
    </row>
    <row r="724" spans="1:76" x14ac:dyDescent="0.25">
      <c r="A724" s="1" t="s">
        <v>3137</v>
      </c>
      <c r="B724" s="1" t="s">
        <v>203</v>
      </c>
      <c r="C724" s="1">
        <v>1</v>
      </c>
      <c r="D724" s="1" t="s">
        <v>3138</v>
      </c>
      <c r="E724" s="1">
        <v>1249</v>
      </c>
      <c r="F724" s="1" t="s">
        <v>3137</v>
      </c>
      <c r="G724" s="1">
        <v>1</v>
      </c>
      <c r="L724" s="1">
        <v>6000</v>
      </c>
      <c r="N724" s="1">
        <v>485</v>
      </c>
      <c r="P724" s="1">
        <v>300</v>
      </c>
      <c r="R724" s="1">
        <v>0</v>
      </c>
      <c r="Z724" s="1">
        <v>0.05</v>
      </c>
      <c r="AA724" s="1">
        <v>2.8</v>
      </c>
      <c r="AB724" s="1">
        <v>2</v>
      </c>
      <c r="AC724" s="1">
        <v>1</v>
      </c>
      <c r="AH724" s="1">
        <v>0</v>
      </c>
      <c r="AI724" s="1">
        <v>1</v>
      </c>
      <c r="AJ724" s="1" t="s">
        <v>3139</v>
      </c>
      <c r="AK724" s="1" t="s">
        <v>265</v>
      </c>
      <c r="AL724" s="1" t="s">
        <v>228</v>
      </c>
      <c r="AN724" s="22" t="s">
        <v>9767</v>
      </c>
      <c r="AX724" s="1">
        <v>1</v>
      </c>
      <c r="AZ724" s="1">
        <v>0.1</v>
      </c>
      <c r="BG724" s="1" t="s">
        <v>3137</v>
      </c>
      <c r="BM724" s="1" t="s">
        <v>930</v>
      </c>
      <c r="BQ724" s="1" t="s">
        <v>207</v>
      </c>
      <c r="BR724" s="1" t="s">
        <v>208</v>
      </c>
      <c r="BS724" s="1" t="s">
        <v>229</v>
      </c>
      <c r="BT724" s="1" t="s">
        <v>210</v>
      </c>
      <c r="BX724" s="1">
        <v>1</v>
      </c>
    </row>
    <row r="725" spans="1:76" x14ac:dyDescent="0.25">
      <c r="A725" s="1" t="s">
        <v>3140</v>
      </c>
      <c r="B725" s="1" t="s">
        <v>203</v>
      </c>
      <c r="C725" s="1">
        <v>1</v>
      </c>
      <c r="D725" s="1" t="s">
        <v>3141</v>
      </c>
      <c r="E725" s="1">
        <v>1250</v>
      </c>
      <c r="F725" s="1" t="s">
        <v>3140</v>
      </c>
      <c r="G725" s="1">
        <v>1</v>
      </c>
      <c r="L725" s="1">
        <v>6500</v>
      </c>
      <c r="N725" s="1">
        <v>300</v>
      </c>
      <c r="P725" s="1">
        <v>100</v>
      </c>
      <c r="R725" s="1">
        <v>60</v>
      </c>
      <c r="Z725" s="1">
        <v>0.05</v>
      </c>
      <c r="AA725" s="1">
        <v>3.8</v>
      </c>
      <c r="AB725" s="1">
        <v>1</v>
      </c>
      <c r="AC725" s="1">
        <v>0.7</v>
      </c>
      <c r="AH725" s="1">
        <v>0</v>
      </c>
      <c r="AI725" s="1">
        <v>1</v>
      </c>
      <c r="AJ725" s="1" t="s">
        <v>3142</v>
      </c>
      <c r="AK725" s="1" t="s">
        <v>265</v>
      </c>
      <c r="AL725" s="1" t="s">
        <v>228</v>
      </c>
      <c r="AN725" s="22" t="s">
        <v>9767</v>
      </c>
      <c r="AX725" s="1">
        <v>1</v>
      </c>
      <c r="AZ725" s="1">
        <v>0.1</v>
      </c>
      <c r="BG725" s="1" t="s">
        <v>3140</v>
      </c>
      <c r="BM725" s="1" t="s">
        <v>936</v>
      </c>
      <c r="BQ725" s="1" t="s">
        <v>207</v>
      </c>
      <c r="BR725" s="1" t="s">
        <v>208</v>
      </c>
      <c r="BS725" s="1" t="s">
        <v>229</v>
      </c>
      <c r="BT725" s="1" t="s">
        <v>210</v>
      </c>
      <c r="BX725" s="1">
        <v>1</v>
      </c>
    </row>
    <row r="726" spans="1:76" x14ac:dyDescent="0.25">
      <c r="A726" s="1" t="s">
        <v>3143</v>
      </c>
      <c r="B726" s="1" t="s">
        <v>203</v>
      </c>
      <c r="C726" s="1">
        <v>1</v>
      </c>
      <c r="D726" s="1" t="s">
        <v>3144</v>
      </c>
      <c r="E726" s="1">
        <v>1250</v>
      </c>
      <c r="F726" s="1" t="s">
        <v>3143</v>
      </c>
      <c r="G726" s="1">
        <v>1</v>
      </c>
      <c r="L726" s="1">
        <v>8000</v>
      </c>
      <c r="N726" s="1">
        <v>375</v>
      </c>
      <c r="P726" s="1">
        <v>100</v>
      </c>
      <c r="R726" s="1">
        <v>60</v>
      </c>
      <c r="Z726" s="1">
        <v>0.05</v>
      </c>
      <c r="AA726" s="1">
        <v>3.8</v>
      </c>
      <c r="AB726" s="1">
        <v>1</v>
      </c>
      <c r="AC726" s="1">
        <v>0.7</v>
      </c>
      <c r="AH726" s="1">
        <v>0</v>
      </c>
      <c r="AI726" s="1">
        <v>1</v>
      </c>
      <c r="AJ726" s="1" t="s">
        <v>3145</v>
      </c>
      <c r="AK726" s="1" t="s">
        <v>265</v>
      </c>
      <c r="AL726" s="1" t="s">
        <v>228</v>
      </c>
      <c r="AN726" s="22" t="s">
        <v>9767</v>
      </c>
      <c r="AX726" s="1">
        <v>1</v>
      </c>
      <c r="AZ726" s="1">
        <v>0.1</v>
      </c>
      <c r="BG726" s="1" t="s">
        <v>3143</v>
      </c>
      <c r="BM726" s="1" t="s">
        <v>936</v>
      </c>
      <c r="BQ726" s="1" t="s">
        <v>207</v>
      </c>
      <c r="BR726" s="1" t="s">
        <v>208</v>
      </c>
      <c r="BS726" s="1" t="s">
        <v>229</v>
      </c>
      <c r="BT726" s="1" t="s">
        <v>210</v>
      </c>
      <c r="BX726" s="1">
        <v>1</v>
      </c>
    </row>
    <row r="727" spans="1:76" x14ac:dyDescent="0.25">
      <c r="A727" s="1" t="s">
        <v>3146</v>
      </c>
      <c r="B727" s="1" t="s">
        <v>203</v>
      </c>
      <c r="C727" s="1">
        <v>1</v>
      </c>
      <c r="D727" s="1" t="s">
        <v>3147</v>
      </c>
      <c r="E727" s="1">
        <v>1251</v>
      </c>
      <c r="F727" s="1" t="s">
        <v>3146</v>
      </c>
      <c r="G727" s="1">
        <v>1</v>
      </c>
      <c r="L727" s="1">
        <v>2750</v>
      </c>
      <c r="N727" s="1">
        <v>310</v>
      </c>
      <c r="P727" s="1">
        <v>0</v>
      </c>
      <c r="R727" s="1">
        <v>50</v>
      </c>
      <c r="Z727" s="1">
        <v>0.05</v>
      </c>
      <c r="AA727" s="1">
        <v>1.8</v>
      </c>
      <c r="AB727" s="1">
        <v>0</v>
      </c>
      <c r="AC727" s="1">
        <v>1.5</v>
      </c>
      <c r="AH727" s="1">
        <v>0</v>
      </c>
      <c r="AI727" s="1">
        <v>1</v>
      </c>
      <c r="AJ727" s="1" t="s">
        <v>3148</v>
      </c>
      <c r="AK727" s="1" t="s">
        <v>265</v>
      </c>
      <c r="AL727" s="1" t="s">
        <v>228</v>
      </c>
      <c r="AN727" s="22" t="s">
        <v>9767</v>
      </c>
      <c r="AX727" s="1">
        <v>1</v>
      </c>
      <c r="AZ727" s="1">
        <v>0.1</v>
      </c>
      <c r="BG727" s="1" t="s">
        <v>3146</v>
      </c>
      <c r="BM727" s="1" t="s">
        <v>3149</v>
      </c>
      <c r="BQ727" s="1" t="s">
        <v>207</v>
      </c>
      <c r="BR727" s="1" t="s">
        <v>208</v>
      </c>
      <c r="BS727" s="1" t="s">
        <v>229</v>
      </c>
      <c r="BT727" s="1" t="s">
        <v>210</v>
      </c>
      <c r="BX727" s="1">
        <v>1</v>
      </c>
    </row>
    <row r="728" spans="1:76" x14ac:dyDescent="0.25">
      <c r="A728" s="1" t="s">
        <v>3150</v>
      </c>
      <c r="B728" s="1" t="s">
        <v>203</v>
      </c>
      <c r="C728" s="1">
        <v>1</v>
      </c>
      <c r="D728" s="1" t="s">
        <v>3151</v>
      </c>
      <c r="E728" s="1">
        <v>1251</v>
      </c>
      <c r="F728" s="1" t="s">
        <v>3150</v>
      </c>
      <c r="G728" s="1">
        <v>1</v>
      </c>
      <c r="L728" s="1">
        <v>3200</v>
      </c>
      <c r="N728" s="1">
        <v>360</v>
      </c>
      <c r="P728" s="1">
        <v>50</v>
      </c>
      <c r="R728" s="1">
        <v>50</v>
      </c>
      <c r="Z728" s="1">
        <v>0.05</v>
      </c>
      <c r="AA728" s="1">
        <v>1.8</v>
      </c>
      <c r="AB728" s="1">
        <v>0</v>
      </c>
      <c r="AC728" s="1">
        <v>1.5</v>
      </c>
      <c r="AH728" s="1">
        <v>0</v>
      </c>
      <c r="AI728" s="1">
        <v>1</v>
      </c>
      <c r="AJ728" s="1" t="s">
        <v>3152</v>
      </c>
      <c r="AK728" s="1" t="s">
        <v>265</v>
      </c>
      <c r="AL728" s="1" t="s">
        <v>228</v>
      </c>
      <c r="AN728" s="22" t="s">
        <v>9767</v>
      </c>
      <c r="AX728" s="1">
        <v>1</v>
      </c>
      <c r="AZ728" s="1">
        <v>0.1</v>
      </c>
      <c r="BG728" s="1" t="s">
        <v>3150</v>
      </c>
      <c r="BM728" s="1" t="s">
        <v>3149</v>
      </c>
      <c r="BQ728" s="1" t="s">
        <v>207</v>
      </c>
      <c r="BR728" s="1" t="s">
        <v>208</v>
      </c>
      <c r="BS728" s="1" t="s">
        <v>229</v>
      </c>
      <c r="BT728" s="1" t="s">
        <v>210</v>
      </c>
      <c r="BX728" s="1">
        <v>1</v>
      </c>
    </row>
    <row r="729" spans="1:76" x14ac:dyDescent="0.25">
      <c r="A729" s="1" t="s">
        <v>3153</v>
      </c>
      <c r="B729" s="1" t="s">
        <v>203</v>
      </c>
      <c r="C729" s="1">
        <v>1</v>
      </c>
      <c r="D729" s="1" t="s">
        <v>3154</v>
      </c>
      <c r="E729" s="1">
        <v>1252</v>
      </c>
      <c r="F729" s="1" t="s">
        <v>3153</v>
      </c>
      <c r="G729" s="1">
        <v>1</v>
      </c>
      <c r="L729" s="1">
        <v>8000</v>
      </c>
      <c r="N729" s="1">
        <v>390</v>
      </c>
      <c r="P729" s="1">
        <v>0</v>
      </c>
      <c r="R729" s="1">
        <v>50</v>
      </c>
      <c r="Z729" s="1">
        <v>0.05</v>
      </c>
      <c r="AA729" s="1">
        <v>3.2</v>
      </c>
      <c r="AB729" s="1">
        <v>2</v>
      </c>
      <c r="AC729" s="1">
        <v>0.9</v>
      </c>
      <c r="AH729" s="1">
        <v>0</v>
      </c>
      <c r="AI729" s="1">
        <v>1</v>
      </c>
      <c r="AJ729" s="1" t="s">
        <v>3155</v>
      </c>
      <c r="AK729" s="1" t="s">
        <v>265</v>
      </c>
      <c r="AL729" s="1" t="s">
        <v>228</v>
      </c>
      <c r="AN729" s="22" t="s">
        <v>9767</v>
      </c>
      <c r="AX729" s="1">
        <v>1</v>
      </c>
      <c r="AZ729" s="1">
        <v>0.1</v>
      </c>
      <c r="BG729" s="1" t="s">
        <v>3153</v>
      </c>
      <c r="BM729" s="1" t="s">
        <v>3156</v>
      </c>
      <c r="BQ729" s="1" t="s">
        <v>207</v>
      </c>
      <c r="BR729" s="1" t="s">
        <v>208</v>
      </c>
      <c r="BS729" s="1" t="s">
        <v>229</v>
      </c>
      <c r="BT729" s="1" t="s">
        <v>210</v>
      </c>
      <c r="BX729" s="1">
        <v>1</v>
      </c>
    </row>
    <row r="730" spans="1:76" x14ac:dyDescent="0.25">
      <c r="A730" s="1" t="s">
        <v>3157</v>
      </c>
      <c r="B730" s="1" t="s">
        <v>203</v>
      </c>
      <c r="C730" s="1">
        <v>1</v>
      </c>
      <c r="D730" s="1" t="s">
        <v>3158</v>
      </c>
      <c r="E730" s="1">
        <v>1252</v>
      </c>
      <c r="F730" s="1" t="s">
        <v>3157</v>
      </c>
      <c r="G730" s="1">
        <v>1</v>
      </c>
      <c r="L730" s="1">
        <v>9000</v>
      </c>
      <c r="N730" s="1">
        <v>420</v>
      </c>
      <c r="P730" s="1">
        <v>50</v>
      </c>
      <c r="R730" s="1">
        <v>50</v>
      </c>
      <c r="Z730" s="1">
        <v>0.05</v>
      </c>
      <c r="AA730" s="1">
        <v>3.2</v>
      </c>
      <c r="AB730" s="1">
        <v>2</v>
      </c>
      <c r="AC730" s="1">
        <v>0.9</v>
      </c>
      <c r="AH730" s="1">
        <v>0</v>
      </c>
      <c r="AI730" s="1">
        <v>1</v>
      </c>
      <c r="AJ730" s="1" t="s">
        <v>3159</v>
      </c>
      <c r="AK730" s="1" t="s">
        <v>265</v>
      </c>
      <c r="AL730" s="1" t="s">
        <v>228</v>
      </c>
      <c r="AN730" s="22" t="s">
        <v>9767</v>
      </c>
      <c r="AX730" s="1">
        <v>1</v>
      </c>
      <c r="AZ730" s="1">
        <v>0.1</v>
      </c>
      <c r="BG730" s="1" t="s">
        <v>3157</v>
      </c>
      <c r="BM730" s="1" t="s">
        <v>3156</v>
      </c>
      <c r="BQ730" s="1" t="s">
        <v>207</v>
      </c>
      <c r="BR730" s="1" t="s">
        <v>208</v>
      </c>
      <c r="BS730" s="1" t="s">
        <v>229</v>
      </c>
      <c r="BT730" s="1" t="s">
        <v>210</v>
      </c>
      <c r="BX730" s="1">
        <v>1</v>
      </c>
    </row>
    <row r="731" spans="1:76" x14ac:dyDescent="0.25">
      <c r="A731" s="1" t="s">
        <v>3160</v>
      </c>
      <c r="B731" s="1" t="s">
        <v>203</v>
      </c>
      <c r="C731" s="1">
        <v>1</v>
      </c>
      <c r="D731" s="1" t="s">
        <v>3161</v>
      </c>
      <c r="E731" s="1">
        <v>1253</v>
      </c>
      <c r="F731" s="1" t="s">
        <v>3160</v>
      </c>
      <c r="G731" s="1">
        <v>1</v>
      </c>
      <c r="L731" s="1">
        <v>5000</v>
      </c>
      <c r="N731" s="1">
        <v>500</v>
      </c>
      <c r="P731" s="1">
        <v>1000</v>
      </c>
      <c r="R731" s="1">
        <v>50</v>
      </c>
      <c r="Z731" s="1">
        <v>0.05</v>
      </c>
      <c r="AA731" s="1">
        <v>3.2</v>
      </c>
      <c r="AB731" s="1">
        <v>3</v>
      </c>
      <c r="AC731" s="1">
        <v>0.8</v>
      </c>
      <c r="AH731" s="1">
        <v>0</v>
      </c>
      <c r="AI731" s="1">
        <v>1</v>
      </c>
      <c r="AJ731" s="1" t="s">
        <v>3162</v>
      </c>
      <c r="AK731" s="1" t="s">
        <v>265</v>
      </c>
      <c r="AL731" s="1" t="s">
        <v>228</v>
      </c>
      <c r="AN731" s="22" t="s">
        <v>9767</v>
      </c>
      <c r="AX731" s="1">
        <v>1</v>
      </c>
      <c r="AZ731" s="1">
        <v>0.1</v>
      </c>
      <c r="BG731" s="1" t="s">
        <v>3160</v>
      </c>
      <c r="BM731" s="1" t="s">
        <v>3163</v>
      </c>
      <c r="BQ731" s="1" t="s">
        <v>207</v>
      </c>
      <c r="BR731" s="1" t="s">
        <v>208</v>
      </c>
      <c r="BS731" s="1" t="s">
        <v>229</v>
      </c>
      <c r="BT731" s="1" t="s">
        <v>210</v>
      </c>
      <c r="BX731" s="1">
        <v>1</v>
      </c>
    </row>
    <row r="732" spans="1:76" x14ac:dyDescent="0.25">
      <c r="A732" s="1" t="s">
        <v>3164</v>
      </c>
      <c r="B732" s="1" t="s">
        <v>203</v>
      </c>
      <c r="C732" s="1">
        <v>1</v>
      </c>
      <c r="D732" s="1" t="s">
        <v>3165</v>
      </c>
      <c r="E732" s="1">
        <v>1253</v>
      </c>
      <c r="F732" s="1" t="s">
        <v>3164</v>
      </c>
      <c r="G732" s="1">
        <v>1</v>
      </c>
      <c r="L732" s="1">
        <v>7500</v>
      </c>
      <c r="N732" s="1">
        <v>600</v>
      </c>
      <c r="P732" s="1">
        <v>1200</v>
      </c>
      <c r="R732" s="1">
        <v>50</v>
      </c>
      <c r="Z732" s="1">
        <v>0.05</v>
      </c>
      <c r="AA732" s="1">
        <v>3.2</v>
      </c>
      <c r="AB732" s="1">
        <v>3</v>
      </c>
      <c r="AC732" s="1">
        <v>0.8</v>
      </c>
      <c r="AH732" s="1">
        <v>0</v>
      </c>
      <c r="AI732" s="1">
        <v>1</v>
      </c>
      <c r="AJ732" s="1" t="s">
        <v>3166</v>
      </c>
      <c r="AK732" s="1" t="s">
        <v>265</v>
      </c>
      <c r="AL732" s="1" t="s">
        <v>228</v>
      </c>
      <c r="AN732" s="22" t="s">
        <v>9767</v>
      </c>
      <c r="AX732" s="1">
        <v>1</v>
      </c>
      <c r="AZ732" s="1">
        <v>0.1</v>
      </c>
      <c r="BG732" s="1" t="s">
        <v>3164</v>
      </c>
      <c r="BM732" s="1" t="s">
        <v>3163</v>
      </c>
      <c r="BQ732" s="1" t="s">
        <v>207</v>
      </c>
      <c r="BR732" s="1" t="s">
        <v>208</v>
      </c>
      <c r="BS732" s="1" t="s">
        <v>229</v>
      </c>
      <c r="BT732" s="1" t="s">
        <v>210</v>
      </c>
      <c r="BX732" s="1">
        <v>1</v>
      </c>
    </row>
    <row r="733" spans="1:76" x14ac:dyDescent="0.25">
      <c r="A733" s="1" t="s">
        <v>3167</v>
      </c>
      <c r="B733" s="1" t="s">
        <v>203</v>
      </c>
      <c r="C733" s="1">
        <v>1</v>
      </c>
      <c r="D733" s="1" t="s">
        <v>3168</v>
      </c>
      <c r="E733" s="1">
        <v>1254</v>
      </c>
      <c r="F733" s="1" t="s">
        <v>3167</v>
      </c>
      <c r="G733" s="1">
        <v>1</v>
      </c>
      <c r="L733" s="1">
        <v>8000</v>
      </c>
      <c r="N733" s="1">
        <v>750</v>
      </c>
      <c r="P733" s="1">
        <v>700</v>
      </c>
      <c r="R733" s="1">
        <v>20</v>
      </c>
      <c r="Z733" s="1">
        <v>0.05</v>
      </c>
      <c r="AA733" s="1">
        <v>1.3</v>
      </c>
      <c r="AB733" s="1">
        <v>3</v>
      </c>
      <c r="AC733" s="1">
        <v>1.2</v>
      </c>
      <c r="AH733" s="1">
        <v>0</v>
      </c>
      <c r="AI733" s="1">
        <v>1</v>
      </c>
      <c r="AJ733" s="1" t="s">
        <v>3169</v>
      </c>
      <c r="AK733" s="1" t="s">
        <v>265</v>
      </c>
      <c r="AL733" s="1" t="s">
        <v>228</v>
      </c>
      <c r="AN733" s="22" t="s">
        <v>9767</v>
      </c>
      <c r="AX733" s="1">
        <v>1</v>
      </c>
      <c r="AZ733" s="1">
        <v>0.1</v>
      </c>
      <c r="BG733" s="1" t="s">
        <v>3167</v>
      </c>
      <c r="BM733" s="1" t="s">
        <v>2382</v>
      </c>
      <c r="BQ733" s="1" t="s">
        <v>207</v>
      </c>
      <c r="BR733" s="1" t="s">
        <v>208</v>
      </c>
      <c r="BS733" s="1" t="s">
        <v>229</v>
      </c>
      <c r="BT733" s="1" t="s">
        <v>210</v>
      </c>
      <c r="BX733" s="1">
        <v>1</v>
      </c>
    </row>
    <row r="734" spans="1:76" x14ac:dyDescent="0.25">
      <c r="A734" s="1" t="s">
        <v>3170</v>
      </c>
      <c r="B734" s="1" t="s">
        <v>203</v>
      </c>
      <c r="C734" s="1">
        <v>1</v>
      </c>
      <c r="D734" s="1" t="s">
        <v>3171</v>
      </c>
      <c r="E734" s="1">
        <v>1254</v>
      </c>
      <c r="F734" s="1" t="s">
        <v>3170</v>
      </c>
      <c r="G734" s="1">
        <v>1</v>
      </c>
      <c r="L734" s="1">
        <v>10000</v>
      </c>
      <c r="N734" s="1">
        <v>850</v>
      </c>
      <c r="P734" s="1">
        <v>800</v>
      </c>
      <c r="R734" s="1">
        <v>20</v>
      </c>
      <c r="Z734" s="1">
        <v>0.05</v>
      </c>
      <c r="AA734" s="1">
        <v>1.3</v>
      </c>
      <c r="AB734" s="1">
        <v>3</v>
      </c>
      <c r="AC734" s="1">
        <v>1.2</v>
      </c>
      <c r="AH734" s="1">
        <v>0</v>
      </c>
      <c r="AI734" s="1">
        <v>1</v>
      </c>
      <c r="AJ734" s="1" t="s">
        <v>3172</v>
      </c>
      <c r="AK734" s="1" t="s">
        <v>265</v>
      </c>
      <c r="AL734" s="1" t="s">
        <v>228</v>
      </c>
      <c r="AN734" s="22" t="s">
        <v>9767</v>
      </c>
      <c r="AX734" s="1">
        <v>1</v>
      </c>
      <c r="AZ734" s="1">
        <v>0.1</v>
      </c>
      <c r="BG734" s="1" t="s">
        <v>3170</v>
      </c>
      <c r="BM734" s="1" t="s">
        <v>2382</v>
      </c>
      <c r="BQ734" s="1" t="s">
        <v>207</v>
      </c>
      <c r="BR734" s="1" t="s">
        <v>208</v>
      </c>
      <c r="BS734" s="1" t="s">
        <v>229</v>
      </c>
      <c r="BT734" s="1" t="s">
        <v>210</v>
      </c>
      <c r="BX734" s="1">
        <v>1</v>
      </c>
    </row>
    <row r="735" spans="1:76" x14ac:dyDescent="0.25">
      <c r="A735" s="1" t="s">
        <v>3173</v>
      </c>
      <c r="B735" s="1" t="s">
        <v>203</v>
      </c>
      <c r="C735" s="1">
        <v>1</v>
      </c>
      <c r="D735" s="1" t="s">
        <v>3174</v>
      </c>
      <c r="E735" s="1">
        <v>1255</v>
      </c>
      <c r="F735" s="1" t="s">
        <v>3173</v>
      </c>
      <c r="G735" s="1">
        <v>1</v>
      </c>
      <c r="L735" s="1">
        <v>25000</v>
      </c>
      <c r="N735" s="1">
        <v>1600</v>
      </c>
      <c r="P735" s="1">
        <v>1200</v>
      </c>
      <c r="R735" s="1">
        <v>20</v>
      </c>
      <c r="Z735" s="1">
        <v>0.05</v>
      </c>
      <c r="AA735" s="1">
        <v>4</v>
      </c>
      <c r="AB735" s="1">
        <v>5</v>
      </c>
      <c r="AC735" s="1">
        <v>0.3</v>
      </c>
      <c r="AH735" s="1">
        <v>0</v>
      </c>
      <c r="AI735" s="1">
        <v>1</v>
      </c>
      <c r="AJ735" s="1" t="s">
        <v>3175</v>
      </c>
      <c r="AK735" s="1" t="s">
        <v>265</v>
      </c>
      <c r="AL735" s="1" t="s">
        <v>228</v>
      </c>
      <c r="AN735" s="22" t="s">
        <v>9767</v>
      </c>
      <c r="AX735" s="1">
        <v>1</v>
      </c>
      <c r="AZ735" s="1">
        <v>0.1</v>
      </c>
      <c r="BG735" s="1" t="s">
        <v>3173</v>
      </c>
      <c r="BM735" s="1" t="s">
        <v>2382</v>
      </c>
      <c r="BQ735" s="1" t="s">
        <v>207</v>
      </c>
      <c r="BR735" s="1" t="s">
        <v>208</v>
      </c>
      <c r="BS735" s="1" t="s">
        <v>229</v>
      </c>
      <c r="BT735" s="1" t="s">
        <v>3176</v>
      </c>
      <c r="BX735" s="1">
        <v>1</v>
      </c>
    </row>
    <row r="736" spans="1:76" x14ac:dyDescent="0.25">
      <c r="A736" s="1" t="s">
        <v>3177</v>
      </c>
      <c r="B736" s="1" t="s">
        <v>203</v>
      </c>
      <c r="C736" s="1">
        <v>1</v>
      </c>
      <c r="D736" s="1" t="s">
        <v>3178</v>
      </c>
      <c r="E736" s="1">
        <v>1255</v>
      </c>
      <c r="F736" s="1" t="s">
        <v>3177</v>
      </c>
      <c r="G736" s="1">
        <v>1</v>
      </c>
      <c r="L736" s="1">
        <v>32500</v>
      </c>
      <c r="N736" s="1">
        <v>2000</v>
      </c>
      <c r="P736" s="1">
        <v>1500</v>
      </c>
      <c r="R736" s="1">
        <v>20</v>
      </c>
      <c r="Z736" s="1">
        <v>0.05</v>
      </c>
      <c r="AA736" s="1">
        <v>4</v>
      </c>
      <c r="AB736" s="1">
        <v>5</v>
      </c>
      <c r="AC736" s="1">
        <v>0.3</v>
      </c>
      <c r="AH736" s="1">
        <v>0</v>
      </c>
      <c r="AI736" s="1">
        <v>1</v>
      </c>
      <c r="AJ736" s="1" t="s">
        <v>3179</v>
      </c>
      <c r="AK736" s="1" t="s">
        <v>265</v>
      </c>
      <c r="AL736" s="1" t="s">
        <v>228</v>
      </c>
      <c r="AN736" s="22" t="s">
        <v>9767</v>
      </c>
      <c r="AX736" s="1">
        <v>1</v>
      </c>
      <c r="AZ736" s="1">
        <v>0.1</v>
      </c>
      <c r="BG736" s="1" t="s">
        <v>3177</v>
      </c>
      <c r="BM736" s="1" t="s">
        <v>2382</v>
      </c>
      <c r="BQ736" s="1" t="s">
        <v>207</v>
      </c>
      <c r="BR736" s="1" t="s">
        <v>208</v>
      </c>
      <c r="BS736" s="1" t="s">
        <v>229</v>
      </c>
      <c r="BT736" s="1" t="s">
        <v>3176</v>
      </c>
      <c r="BX736" s="1">
        <v>1</v>
      </c>
    </row>
    <row r="737" spans="1:76" x14ac:dyDescent="0.25">
      <c r="A737" s="1" t="s">
        <v>3180</v>
      </c>
      <c r="B737" s="1" t="s">
        <v>203</v>
      </c>
      <c r="C737" s="1">
        <v>1</v>
      </c>
      <c r="D737" s="1" t="s">
        <v>3181</v>
      </c>
      <c r="E737" s="1">
        <v>1256</v>
      </c>
      <c r="F737" s="1" t="s">
        <v>3180</v>
      </c>
      <c r="G737" s="1">
        <v>1</v>
      </c>
      <c r="L737" s="1">
        <v>25000</v>
      </c>
      <c r="N737" s="1">
        <v>1200</v>
      </c>
      <c r="P737" s="1">
        <v>1200</v>
      </c>
      <c r="R737" s="1">
        <v>20</v>
      </c>
      <c r="Z737" s="1">
        <v>0.05</v>
      </c>
      <c r="AA737" s="1">
        <v>5</v>
      </c>
      <c r="AB737" s="1">
        <v>5</v>
      </c>
      <c r="AC737" s="1">
        <v>0.3</v>
      </c>
      <c r="AH737" s="1">
        <v>0</v>
      </c>
      <c r="AI737" s="1">
        <v>1</v>
      </c>
      <c r="AJ737" s="1" t="s">
        <v>3182</v>
      </c>
      <c r="AK737" s="1" t="s">
        <v>265</v>
      </c>
      <c r="AL737" s="1" t="s">
        <v>228</v>
      </c>
      <c r="AN737" s="22" t="s">
        <v>9767</v>
      </c>
      <c r="AX737" s="1">
        <v>1</v>
      </c>
      <c r="AZ737" s="1">
        <v>0.1</v>
      </c>
      <c r="BG737" s="1" t="s">
        <v>3180</v>
      </c>
      <c r="BM737" s="1" t="s">
        <v>2373</v>
      </c>
      <c r="BQ737" s="1" t="s">
        <v>207</v>
      </c>
      <c r="BR737" s="1" t="s">
        <v>208</v>
      </c>
      <c r="BS737" s="1" t="s">
        <v>229</v>
      </c>
      <c r="BT737" s="1" t="s">
        <v>3183</v>
      </c>
      <c r="BX737" s="1">
        <v>1</v>
      </c>
    </row>
    <row r="738" spans="1:76" x14ac:dyDescent="0.25">
      <c r="A738" s="1" t="s">
        <v>3184</v>
      </c>
      <c r="B738" s="1" t="s">
        <v>203</v>
      </c>
      <c r="C738" s="1">
        <v>1</v>
      </c>
      <c r="D738" s="1" t="s">
        <v>3185</v>
      </c>
      <c r="E738" s="1">
        <v>1256</v>
      </c>
      <c r="F738" s="1" t="s">
        <v>3184</v>
      </c>
      <c r="G738" s="1">
        <v>1</v>
      </c>
      <c r="L738" s="1">
        <v>32500</v>
      </c>
      <c r="N738" s="1">
        <v>1350</v>
      </c>
      <c r="P738" s="1">
        <v>1500</v>
      </c>
      <c r="R738" s="1">
        <v>20</v>
      </c>
      <c r="Z738" s="1">
        <v>0.05</v>
      </c>
      <c r="AA738" s="1">
        <v>5</v>
      </c>
      <c r="AB738" s="1">
        <v>5</v>
      </c>
      <c r="AC738" s="1">
        <v>0.3</v>
      </c>
      <c r="AH738" s="1">
        <v>0</v>
      </c>
      <c r="AI738" s="1">
        <v>1</v>
      </c>
      <c r="AJ738" s="1" t="s">
        <v>3186</v>
      </c>
      <c r="AK738" s="1" t="s">
        <v>265</v>
      </c>
      <c r="AL738" s="1" t="s">
        <v>228</v>
      </c>
      <c r="AN738" s="22" t="s">
        <v>9767</v>
      </c>
      <c r="AX738" s="1">
        <v>1</v>
      </c>
      <c r="AZ738" s="1">
        <v>0.1</v>
      </c>
      <c r="BG738" s="1" t="s">
        <v>3184</v>
      </c>
      <c r="BM738" s="1" t="s">
        <v>2373</v>
      </c>
      <c r="BQ738" s="1" t="s">
        <v>207</v>
      </c>
      <c r="BR738" s="1" t="s">
        <v>208</v>
      </c>
      <c r="BS738" s="1" t="s">
        <v>229</v>
      </c>
      <c r="BT738" s="1" t="s">
        <v>3183</v>
      </c>
      <c r="BX738" s="1">
        <v>1</v>
      </c>
    </row>
    <row r="739" spans="1:76" x14ac:dyDescent="0.25">
      <c r="A739" s="1" t="s">
        <v>3187</v>
      </c>
      <c r="B739" s="1" t="s">
        <v>203</v>
      </c>
      <c r="C739" s="1">
        <v>1</v>
      </c>
      <c r="D739" s="1" t="s">
        <v>3174</v>
      </c>
      <c r="E739" s="1">
        <v>1255</v>
      </c>
      <c r="F739" s="1" t="s">
        <v>3173</v>
      </c>
      <c r="G739" s="1">
        <v>1</v>
      </c>
      <c r="L739" s="1">
        <v>25000</v>
      </c>
      <c r="N739" s="1">
        <v>1600</v>
      </c>
      <c r="P739" s="1">
        <v>1200</v>
      </c>
      <c r="R739" s="1">
        <v>20</v>
      </c>
      <c r="Z739" s="1">
        <v>0.05</v>
      </c>
      <c r="AA739" s="1">
        <v>4</v>
      </c>
      <c r="AB739" s="1">
        <v>5</v>
      </c>
      <c r="AC739" s="1">
        <v>0</v>
      </c>
      <c r="AH739" s="1">
        <v>0</v>
      </c>
      <c r="AI739" s="1">
        <v>1</v>
      </c>
      <c r="AJ739" s="1" t="s">
        <v>3188</v>
      </c>
      <c r="AK739" s="1" t="s">
        <v>265</v>
      </c>
      <c r="AL739" s="1" t="s">
        <v>228</v>
      </c>
      <c r="AN739" s="22" t="s">
        <v>9767</v>
      </c>
      <c r="AX739" s="1">
        <v>0</v>
      </c>
      <c r="AZ739" s="1">
        <v>0.1</v>
      </c>
      <c r="BG739" s="1" t="s">
        <v>3173</v>
      </c>
      <c r="BM739" s="1" t="s">
        <v>3189</v>
      </c>
      <c r="BQ739" s="1" t="s">
        <v>207</v>
      </c>
      <c r="BR739" s="1" t="s">
        <v>3190</v>
      </c>
      <c r="BS739" s="1" t="s">
        <v>3190</v>
      </c>
      <c r="BT739" s="1" t="s">
        <v>3191</v>
      </c>
      <c r="BX739" s="1">
        <v>1</v>
      </c>
    </row>
    <row r="740" spans="1:76" x14ac:dyDescent="0.25">
      <c r="A740" s="1" t="s">
        <v>3192</v>
      </c>
      <c r="B740" s="1" t="s">
        <v>203</v>
      </c>
      <c r="C740" s="1">
        <v>1</v>
      </c>
      <c r="D740" s="1" t="s">
        <v>3178</v>
      </c>
      <c r="E740" s="1">
        <v>1255</v>
      </c>
      <c r="F740" s="1" t="s">
        <v>3177</v>
      </c>
      <c r="G740" s="1">
        <v>1</v>
      </c>
      <c r="L740" s="1">
        <v>32500</v>
      </c>
      <c r="N740" s="1">
        <v>2000</v>
      </c>
      <c r="P740" s="1">
        <v>1500</v>
      </c>
      <c r="R740" s="1">
        <v>20</v>
      </c>
      <c r="Z740" s="1">
        <v>0.05</v>
      </c>
      <c r="AA740" s="1">
        <v>4</v>
      </c>
      <c r="AB740" s="1">
        <v>5</v>
      </c>
      <c r="AC740" s="1">
        <v>0</v>
      </c>
      <c r="AH740" s="1">
        <v>0</v>
      </c>
      <c r="AI740" s="1">
        <v>1</v>
      </c>
      <c r="AJ740" s="1" t="s">
        <v>3193</v>
      </c>
      <c r="AK740" s="1" t="s">
        <v>265</v>
      </c>
      <c r="AL740" s="1" t="s">
        <v>228</v>
      </c>
      <c r="AN740" s="22" t="s">
        <v>9767</v>
      </c>
      <c r="AX740" s="1">
        <v>0</v>
      </c>
      <c r="AZ740" s="1">
        <v>0.1</v>
      </c>
      <c r="BG740" s="1" t="s">
        <v>3177</v>
      </c>
      <c r="BM740" s="1" t="s">
        <v>3189</v>
      </c>
      <c r="BQ740" s="1" t="s">
        <v>207</v>
      </c>
      <c r="BR740" s="1" t="s">
        <v>3190</v>
      </c>
      <c r="BS740" s="1" t="s">
        <v>3190</v>
      </c>
      <c r="BT740" s="1" t="s">
        <v>3191</v>
      </c>
      <c r="BX740" s="1">
        <v>1</v>
      </c>
    </row>
    <row r="741" spans="1:76" x14ac:dyDescent="0.25">
      <c r="A741" s="1" t="s">
        <v>3194</v>
      </c>
      <c r="B741" s="1" t="s">
        <v>203</v>
      </c>
      <c r="C741" s="1">
        <v>1</v>
      </c>
      <c r="D741" s="1" t="s">
        <v>3181</v>
      </c>
      <c r="E741" s="1">
        <v>1256</v>
      </c>
      <c r="F741" s="1" t="s">
        <v>3180</v>
      </c>
      <c r="G741" s="1">
        <v>1</v>
      </c>
      <c r="L741" s="1">
        <v>25000</v>
      </c>
      <c r="N741" s="1">
        <v>1200</v>
      </c>
      <c r="P741" s="1">
        <v>1200</v>
      </c>
      <c r="R741" s="1">
        <v>20</v>
      </c>
      <c r="Z741" s="1">
        <v>0.05</v>
      </c>
      <c r="AA741" s="1">
        <v>5</v>
      </c>
      <c r="AB741" s="1">
        <v>5</v>
      </c>
      <c r="AC741" s="1">
        <v>0</v>
      </c>
      <c r="AH741" s="1">
        <v>0</v>
      </c>
      <c r="AI741" s="1">
        <v>1</v>
      </c>
      <c r="AJ741" s="1" t="s">
        <v>3195</v>
      </c>
      <c r="AK741" s="1" t="s">
        <v>265</v>
      </c>
      <c r="AL741" s="1" t="s">
        <v>228</v>
      </c>
      <c r="AN741" s="22" t="s">
        <v>9767</v>
      </c>
      <c r="AX741" s="1">
        <v>0</v>
      </c>
      <c r="AZ741" s="1">
        <v>0.1</v>
      </c>
      <c r="BG741" s="1" t="s">
        <v>3180</v>
      </c>
      <c r="BM741" s="1" t="s">
        <v>3189</v>
      </c>
      <c r="BQ741" s="1" t="s">
        <v>207</v>
      </c>
      <c r="BR741" s="1" t="s">
        <v>3190</v>
      </c>
      <c r="BS741" s="1" t="s">
        <v>3190</v>
      </c>
      <c r="BT741" s="1" t="s">
        <v>3196</v>
      </c>
      <c r="BX741" s="1">
        <v>1</v>
      </c>
    </row>
    <row r="742" spans="1:76" x14ac:dyDescent="0.25">
      <c r="A742" s="1" t="s">
        <v>3197</v>
      </c>
      <c r="B742" s="1" t="s">
        <v>203</v>
      </c>
      <c r="C742" s="1">
        <v>1</v>
      </c>
      <c r="D742" s="1" t="s">
        <v>3185</v>
      </c>
      <c r="E742" s="1">
        <v>1256</v>
      </c>
      <c r="F742" s="1" t="s">
        <v>3184</v>
      </c>
      <c r="G742" s="1">
        <v>1</v>
      </c>
      <c r="L742" s="1">
        <v>32500</v>
      </c>
      <c r="N742" s="1">
        <v>1350</v>
      </c>
      <c r="P742" s="1">
        <v>1500</v>
      </c>
      <c r="R742" s="1">
        <v>20</v>
      </c>
      <c r="Z742" s="1">
        <v>0.05</v>
      </c>
      <c r="AA742" s="1">
        <v>5</v>
      </c>
      <c r="AB742" s="1">
        <v>5</v>
      </c>
      <c r="AC742" s="1">
        <v>0</v>
      </c>
      <c r="AH742" s="1">
        <v>0</v>
      </c>
      <c r="AI742" s="1">
        <v>1</v>
      </c>
      <c r="AJ742" s="1" t="s">
        <v>3198</v>
      </c>
      <c r="AK742" s="1" t="s">
        <v>265</v>
      </c>
      <c r="AL742" s="1" t="s">
        <v>228</v>
      </c>
      <c r="AN742" s="22" t="s">
        <v>9767</v>
      </c>
      <c r="AX742" s="1">
        <v>0</v>
      </c>
      <c r="AZ742" s="1">
        <v>0.1</v>
      </c>
      <c r="BG742" s="1" t="s">
        <v>3184</v>
      </c>
      <c r="BM742" s="1" t="s">
        <v>3189</v>
      </c>
      <c r="BQ742" s="1" t="s">
        <v>207</v>
      </c>
      <c r="BR742" s="1" t="s">
        <v>3190</v>
      </c>
      <c r="BS742" s="1" t="s">
        <v>3190</v>
      </c>
      <c r="BT742" s="1" t="s">
        <v>3196</v>
      </c>
      <c r="BX742" s="1">
        <v>1</v>
      </c>
    </row>
    <row r="743" spans="1:76" x14ac:dyDescent="0.25">
      <c r="A743" s="1" t="s">
        <v>3199</v>
      </c>
      <c r="B743" s="1" t="s">
        <v>203</v>
      </c>
      <c r="C743" s="1">
        <v>1</v>
      </c>
      <c r="D743" s="1" t="s">
        <v>3200</v>
      </c>
      <c r="E743" s="1">
        <v>1257</v>
      </c>
      <c r="F743" s="1" t="s">
        <v>3199</v>
      </c>
      <c r="G743" s="1">
        <v>1</v>
      </c>
      <c r="L743" s="1">
        <v>37500</v>
      </c>
      <c r="N743" s="1">
        <v>650</v>
      </c>
      <c r="P743" s="1">
        <v>600</v>
      </c>
      <c r="R743" s="1">
        <v>0</v>
      </c>
      <c r="Z743" s="1">
        <v>0.05</v>
      </c>
      <c r="AA743" s="1">
        <v>3</v>
      </c>
      <c r="AB743" s="1">
        <v>10</v>
      </c>
      <c r="AC743" s="1">
        <v>0.5</v>
      </c>
      <c r="AH743" s="1">
        <v>0</v>
      </c>
      <c r="AI743" s="1">
        <v>1</v>
      </c>
      <c r="AJ743" s="1" t="s">
        <v>3201</v>
      </c>
      <c r="AK743" s="1" t="s">
        <v>265</v>
      </c>
      <c r="AL743" s="1" t="s">
        <v>228</v>
      </c>
      <c r="AN743" s="22" t="s">
        <v>9767</v>
      </c>
      <c r="AX743" s="1">
        <v>0</v>
      </c>
      <c r="AZ743" s="1">
        <v>0.1</v>
      </c>
      <c r="BG743" s="1" t="s">
        <v>3199</v>
      </c>
      <c r="BM743" s="1" t="s">
        <v>957</v>
      </c>
      <c r="BQ743" s="1" t="s">
        <v>207</v>
      </c>
      <c r="BR743" s="1" t="s">
        <v>3202</v>
      </c>
      <c r="BS743" s="1" t="s">
        <v>3203</v>
      </c>
      <c r="BT743" s="1" t="s">
        <v>3204</v>
      </c>
      <c r="BX743" s="1">
        <v>1</v>
      </c>
    </row>
    <row r="744" spans="1:76" x14ac:dyDescent="0.25">
      <c r="A744" s="1" t="s">
        <v>3205</v>
      </c>
      <c r="B744" s="1" t="s">
        <v>203</v>
      </c>
      <c r="C744" s="1">
        <v>1</v>
      </c>
      <c r="D744" s="1" t="s">
        <v>3206</v>
      </c>
      <c r="E744" s="1">
        <v>1531</v>
      </c>
      <c r="F744" s="1" t="s">
        <v>3205</v>
      </c>
      <c r="G744" s="1">
        <v>1</v>
      </c>
      <c r="L744" s="1">
        <v>37500</v>
      </c>
      <c r="N744" s="1">
        <v>1200</v>
      </c>
      <c r="P744" s="1">
        <v>650</v>
      </c>
      <c r="R744" s="1">
        <v>50</v>
      </c>
      <c r="Z744" s="1">
        <v>0.05</v>
      </c>
      <c r="AA744" s="1">
        <v>5</v>
      </c>
      <c r="AB744" s="1">
        <v>10</v>
      </c>
      <c r="AC744" s="1">
        <v>0.5</v>
      </c>
      <c r="AH744" s="1">
        <v>0</v>
      </c>
      <c r="AI744" s="1">
        <v>1</v>
      </c>
      <c r="AJ744" s="1" t="s">
        <v>3207</v>
      </c>
      <c r="AK744" s="1" t="s">
        <v>265</v>
      </c>
      <c r="AL744" s="1" t="s">
        <v>228</v>
      </c>
      <c r="AN744" s="22" t="s">
        <v>9767</v>
      </c>
      <c r="AX744" s="1">
        <v>1</v>
      </c>
      <c r="AZ744" s="1">
        <v>0.1</v>
      </c>
      <c r="BG744" s="1" t="s">
        <v>3205</v>
      </c>
      <c r="BM744" s="1" t="s">
        <v>1328</v>
      </c>
      <c r="BQ744" s="1" t="s">
        <v>207</v>
      </c>
      <c r="BR744" s="1" t="s">
        <v>208</v>
      </c>
      <c r="BS744" s="1" t="s">
        <v>208</v>
      </c>
      <c r="BT744" s="1" t="s">
        <v>3208</v>
      </c>
      <c r="BX744" s="1">
        <v>1</v>
      </c>
    </row>
    <row r="745" spans="1:76" x14ac:dyDescent="0.25">
      <c r="A745" s="1" t="s">
        <v>3209</v>
      </c>
      <c r="B745" s="1" t="s">
        <v>203</v>
      </c>
      <c r="C745" s="1">
        <v>1</v>
      </c>
      <c r="D745" s="1" t="s">
        <v>3206</v>
      </c>
      <c r="E745" s="1">
        <v>1531</v>
      </c>
      <c r="F745" s="1" t="s">
        <v>3205</v>
      </c>
      <c r="G745" s="1">
        <v>1</v>
      </c>
      <c r="L745" s="1">
        <v>50000</v>
      </c>
      <c r="N745" s="1">
        <v>1350</v>
      </c>
      <c r="P745" s="1">
        <v>750</v>
      </c>
      <c r="R745" s="1">
        <v>50</v>
      </c>
      <c r="Z745" s="1">
        <v>0.05</v>
      </c>
      <c r="AA745" s="1">
        <v>5</v>
      </c>
      <c r="AB745" s="1">
        <v>10</v>
      </c>
      <c r="AC745" s="1">
        <v>0.5</v>
      </c>
      <c r="AH745" s="1">
        <v>0</v>
      </c>
      <c r="AI745" s="1">
        <v>1</v>
      </c>
      <c r="AJ745" s="1" t="s">
        <v>3210</v>
      </c>
      <c r="AK745" s="1" t="s">
        <v>265</v>
      </c>
      <c r="AL745" s="1" t="s">
        <v>228</v>
      </c>
      <c r="AN745" s="22" t="s">
        <v>9767</v>
      </c>
      <c r="AX745" s="1">
        <v>1</v>
      </c>
      <c r="AZ745" s="1">
        <v>0.1</v>
      </c>
      <c r="BG745" s="1" t="s">
        <v>3205</v>
      </c>
      <c r="BM745" s="1" t="s">
        <v>1328</v>
      </c>
      <c r="BQ745" s="1" t="s">
        <v>207</v>
      </c>
      <c r="BR745" s="1" t="s">
        <v>208</v>
      </c>
      <c r="BS745" s="1" t="s">
        <v>208</v>
      </c>
      <c r="BT745" s="1" t="s">
        <v>3208</v>
      </c>
      <c r="BX745" s="1">
        <v>1</v>
      </c>
    </row>
    <row r="746" spans="1:76" x14ac:dyDescent="0.25">
      <c r="A746" s="1" t="s">
        <v>3211</v>
      </c>
      <c r="B746" s="1" t="s">
        <v>203</v>
      </c>
      <c r="C746" s="1">
        <v>1</v>
      </c>
      <c r="D746" s="1" t="s">
        <v>3212</v>
      </c>
      <c r="E746" s="1">
        <v>1258</v>
      </c>
      <c r="F746" s="1" t="s">
        <v>3211</v>
      </c>
      <c r="G746" s="1">
        <v>1</v>
      </c>
      <c r="L746" s="1">
        <v>2800</v>
      </c>
      <c r="N746" s="1">
        <v>300</v>
      </c>
      <c r="P746" s="1">
        <v>100</v>
      </c>
      <c r="R746" s="1">
        <v>50</v>
      </c>
      <c r="Z746" s="1">
        <v>0.05</v>
      </c>
      <c r="AA746" s="1">
        <v>2</v>
      </c>
      <c r="AB746" s="1">
        <v>1</v>
      </c>
      <c r="AC746" s="1">
        <v>1.1000000000000001</v>
      </c>
      <c r="AH746" s="1">
        <v>0</v>
      </c>
      <c r="AI746" s="1">
        <v>1</v>
      </c>
      <c r="AJ746" s="1" t="s">
        <v>3213</v>
      </c>
      <c r="AK746" s="1" t="s">
        <v>265</v>
      </c>
      <c r="AL746" s="1" t="s">
        <v>228</v>
      </c>
      <c r="AN746" s="22" t="s">
        <v>9767</v>
      </c>
      <c r="AX746" s="1">
        <v>1</v>
      </c>
      <c r="AZ746" s="1">
        <v>0.1</v>
      </c>
      <c r="BG746" s="1" t="s">
        <v>3211</v>
      </c>
      <c r="BM746" s="1" t="s">
        <v>930</v>
      </c>
      <c r="BQ746" s="1" t="s">
        <v>207</v>
      </c>
      <c r="BR746" s="1" t="s">
        <v>208</v>
      </c>
      <c r="BS746" s="1" t="s">
        <v>229</v>
      </c>
      <c r="BT746" s="1" t="s">
        <v>210</v>
      </c>
      <c r="BX746" s="1">
        <v>1</v>
      </c>
    </row>
    <row r="747" spans="1:76" x14ac:dyDescent="0.25">
      <c r="A747" s="1" t="s">
        <v>3214</v>
      </c>
      <c r="B747" s="1" t="s">
        <v>203</v>
      </c>
      <c r="C747" s="1">
        <v>1</v>
      </c>
      <c r="D747" s="1" t="s">
        <v>3215</v>
      </c>
      <c r="E747" s="1">
        <v>1258</v>
      </c>
      <c r="F747" s="1" t="s">
        <v>3214</v>
      </c>
      <c r="G747" s="1">
        <v>1</v>
      </c>
      <c r="L747" s="1">
        <v>3600</v>
      </c>
      <c r="N747" s="1">
        <v>400</v>
      </c>
      <c r="P747" s="1">
        <v>150</v>
      </c>
      <c r="R747" s="1">
        <v>50</v>
      </c>
      <c r="Z747" s="1">
        <v>0.05</v>
      </c>
      <c r="AA747" s="1">
        <v>2</v>
      </c>
      <c r="AB747" s="1">
        <v>1</v>
      </c>
      <c r="AC747" s="1">
        <v>1.1000000000000001</v>
      </c>
      <c r="AH747" s="1">
        <v>0</v>
      </c>
      <c r="AI747" s="1">
        <v>1</v>
      </c>
      <c r="AJ747" s="1" t="s">
        <v>3216</v>
      </c>
      <c r="AK747" s="1" t="s">
        <v>265</v>
      </c>
      <c r="AL747" s="1" t="s">
        <v>228</v>
      </c>
      <c r="AN747" s="22" t="s">
        <v>9767</v>
      </c>
      <c r="AX747" s="1">
        <v>1</v>
      </c>
      <c r="AZ747" s="1">
        <v>0.1</v>
      </c>
      <c r="BG747" s="1" t="s">
        <v>3214</v>
      </c>
      <c r="BM747" s="1" t="s">
        <v>930</v>
      </c>
      <c r="BQ747" s="1" t="s">
        <v>207</v>
      </c>
      <c r="BR747" s="1" t="s">
        <v>208</v>
      </c>
      <c r="BS747" s="1" t="s">
        <v>229</v>
      </c>
      <c r="BT747" s="1" t="s">
        <v>210</v>
      </c>
      <c r="BX747" s="1">
        <v>1</v>
      </c>
    </row>
    <row r="748" spans="1:76" x14ac:dyDescent="0.25">
      <c r="A748" s="1" t="s">
        <v>3217</v>
      </c>
      <c r="B748" s="1" t="s">
        <v>203</v>
      </c>
      <c r="C748" s="1">
        <v>1</v>
      </c>
      <c r="D748" s="1" t="s">
        <v>3218</v>
      </c>
      <c r="E748" s="1">
        <v>1259</v>
      </c>
      <c r="F748" s="1" t="s">
        <v>3217</v>
      </c>
      <c r="G748" s="1">
        <v>1</v>
      </c>
      <c r="L748" s="1">
        <v>4000</v>
      </c>
      <c r="N748" s="1">
        <v>320</v>
      </c>
      <c r="P748" s="1">
        <v>250</v>
      </c>
      <c r="R748" s="1">
        <v>50</v>
      </c>
      <c r="Z748" s="1">
        <v>0.05</v>
      </c>
      <c r="AA748" s="1">
        <v>0.4</v>
      </c>
      <c r="AB748" s="1">
        <v>2</v>
      </c>
      <c r="AC748" s="1">
        <v>0.95</v>
      </c>
      <c r="AH748" s="1">
        <v>0</v>
      </c>
      <c r="AI748" s="1">
        <v>1</v>
      </c>
      <c r="AJ748" s="1" t="s">
        <v>3219</v>
      </c>
      <c r="AK748" s="1" t="s">
        <v>265</v>
      </c>
      <c r="AL748" s="1" t="s">
        <v>228</v>
      </c>
      <c r="AN748" s="22" t="s">
        <v>9767</v>
      </c>
      <c r="AX748" s="1">
        <v>1</v>
      </c>
      <c r="AZ748" s="1">
        <v>0.1</v>
      </c>
      <c r="BG748" s="1" t="s">
        <v>3217</v>
      </c>
      <c r="BM748" s="1" t="s">
        <v>930</v>
      </c>
      <c r="BQ748" s="1" t="s">
        <v>207</v>
      </c>
      <c r="BR748" s="1" t="s">
        <v>208</v>
      </c>
      <c r="BS748" s="1" t="s">
        <v>229</v>
      </c>
      <c r="BT748" s="1" t="s">
        <v>210</v>
      </c>
      <c r="BX748" s="1">
        <v>1</v>
      </c>
    </row>
    <row r="749" spans="1:76" x14ac:dyDescent="0.25">
      <c r="A749" s="1" t="s">
        <v>3220</v>
      </c>
      <c r="B749" s="1" t="s">
        <v>203</v>
      </c>
      <c r="C749" s="1">
        <v>1</v>
      </c>
      <c r="D749" s="1" t="s">
        <v>3221</v>
      </c>
      <c r="E749" s="1">
        <v>1259</v>
      </c>
      <c r="F749" s="1" t="s">
        <v>3220</v>
      </c>
      <c r="G749" s="1">
        <v>1</v>
      </c>
      <c r="L749" s="1">
        <v>6000</v>
      </c>
      <c r="N749" s="1">
        <v>420</v>
      </c>
      <c r="P749" s="1">
        <v>250</v>
      </c>
      <c r="R749" s="1">
        <v>50</v>
      </c>
      <c r="Z749" s="1">
        <v>0.05</v>
      </c>
      <c r="AA749" s="1">
        <v>0.4</v>
      </c>
      <c r="AB749" s="1">
        <v>2</v>
      </c>
      <c r="AC749" s="1">
        <v>0.95</v>
      </c>
      <c r="AH749" s="1">
        <v>0</v>
      </c>
      <c r="AI749" s="1">
        <v>1</v>
      </c>
      <c r="AJ749" s="1" t="s">
        <v>3222</v>
      </c>
      <c r="AK749" s="1" t="s">
        <v>265</v>
      </c>
      <c r="AL749" s="1" t="s">
        <v>228</v>
      </c>
      <c r="AN749" s="22" t="s">
        <v>9767</v>
      </c>
      <c r="AX749" s="1">
        <v>1</v>
      </c>
      <c r="AZ749" s="1">
        <v>0.1</v>
      </c>
      <c r="BG749" s="1" t="s">
        <v>3220</v>
      </c>
      <c r="BM749" s="1" t="s">
        <v>930</v>
      </c>
      <c r="BQ749" s="1" t="s">
        <v>207</v>
      </c>
      <c r="BR749" s="1" t="s">
        <v>208</v>
      </c>
      <c r="BS749" s="1" t="s">
        <v>229</v>
      </c>
      <c r="BT749" s="1" t="s">
        <v>210</v>
      </c>
      <c r="BX749" s="1">
        <v>1</v>
      </c>
    </row>
    <row r="750" spans="1:76" x14ac:dyDescent="0.25">
      <c r="A750" s="1" t="s">
        <v>3223</v>
      </c>
      <c r="B750" s="1" t="s">
        <v>203</v>
      </c>
      <c r="C750" s="1">
        <v>1</v>
      </c>
      <c r="D750" s="1" t="s">
        <v>3224</v>
      </c>
      <c r="E750" s="1">
        <v>1260</v>
      </c>
      <c r="F750" s="1" t="s">
        <v>3223</v>
      </c>
      <c r="G750" s="1">
        <v>1</v>
      </c>
      <c r="L750" s="1">
        <v>3500</v>
      </c>
      <c r="N750" s="1">
        <v>150</v>
      </c>
      <c r="P750" s="1">
        <v>300</v>
      </c>
      <c r="R750" s="1">
        <v>50</v>
      </c>
      <c r="Z750" s="1">
        <v>0.05</v>
      </c>
      <c r="AA750" s="1">
        <v>1.5</v>
      </c>
      <c r="AB750" s="1">
        <v>2</v>
      </c>
      <c r="AC750" s="1">
        <v>0.7</v>
      </c>
      <c r="AH750" s="1">
        <v>0</v>
      </c>
      <c r="AI750" s="1">
        <v>1</v>
      </c>
      <c r="AJ750" s="1" t="s">
        <v>3225</v>
      </c>
      <c r="AK750" s="1" t="s">
        <v>265</v>
      </c>
      <c r="AL750" s="1" t="s">
        <v>228</v>
      </c>
      <c r="AN750" s="22" t="s">
        <v>9767</v>
      </c>
      <c r="AX750" s="1">
        <v>1</v>
      </c>
      <c r="AZ750" s="1">
        <v>0.1</v>
      </c>
      <c r="BG750" s="1" t="s">
        <v>3223</v>
      </c>
      <c r="BM750" s="1" t="s">
        <v>936</v>
      </c>
      <c r="BQ750" s="1" t="s">
        <v>207</v>
      </c>
      <c r="BR750" s="1" t="s">
        <v>208</v>
      </c>
      <c r="BS750" s="1" t="s">
        <v>229</v>
      </c>
      <c r="BT750" s="1" t="s">
        <v>210</v>
      </c>
      <c r="BX750" s="1">
        <v>1</v>
      </c>
    </row>
    <row r="751" spans="1:76" x14ac:dyDescent="0.25">
      <c r="A751" s="1" t="s">
        <v>3226</v>
      </c>
      <c r="B751" s="1" t="s">
        <v>203</v>
      </c>
      <c r="C751" s="1">
        <v>1</v>
      </c>
      <c r="D751" s="1" t="s">
        <v>3227</v>
      </c>
      <c r="E751" s="1">
        <v>1260</v>
      </c>
      <c r="F751" s="1" t="s">
        <v>3226</v>
      </c>
      <c r="G751" s="1">
        <v>1</v>
      </c>
      <c r="L751" s="1">
        <v>5000</v>
      </c>
      <c r="N751" s="1">
        <v>200</v>
      </c>
      <c r="P751" s="1">
        <v>300</v>
      </c>
      <c r="R751" s="1">
        <v>50</v>
      </c>
      <c r="Z751" s="1">
        <v>0.05</v>
      </c>
      <c r="AA751" s="1">
        <v>1.5</v>
      </c>
      <c r="AB751" s="1">
        <v>2</v>
      </c>
      <c r="AC751" s="1">
        <v>0.7</v>
      </c>
      <c r="AH751" s="1">
        <v>0</v>
      </c>
      <c r="AI751" s="1">
        <v>1</v>
      </c>
      <c r="AJ751" s="1" t="s">
        <v>3228</v>
      </c>
      <c r="AK751" s="1" t="s">
        <v>265</v>
      </c>
      <c r="AL751" s="1" t="s">
        <v>228</v>
      </c>
      <c r="AN751" s="22" t="s">
        <v>9767</v>
      </c>
      <c r="AX751" s="1">
        <v>1</v>
      </c>
      <c r="AZ751" s="1">
        <v>0.1</v>
      </c>
      <c r="BG751" s="1" t="s">
        <v>3226</v>
      </c>
      <c r="BM751" s="1" t="s">
        <v>936</v>
      </c>
      <c r="BQ751" s="1" t="s">
        <v>207</v>
      </c>
      <c r="BR751" s="1" t="s">
        <v>208</v>
      </c>
      <c r="BS751" s="1" t="s">
        <v>229</v>
      </c>
      <c r="BT751" s="1" t="s">
        <v>210</v>
      </c>
      <c r="BX751" s="1">
        <v>1</v>
      </c>
    </row>
    <row r="752" spans="1:76" x14ac:dyDescent="0.25">
      <c r="A752" s="1" t="s">
        <v>3229</v>
      </c>
      <c r="B752" s="1" t="s">
        <v>203</v>
      </c>
      <c r="C752" s="1">
        <v>1</v>
      </c>
      <c r="D752" s="1" t="s">
        <v>3230</v>
      </c>
      <c r="E752" s="1">
        <v>1261</v>
      </c>
      <c r="F752" s="1" t="s">
        <v>3229</v>
      </c>
      <c r="G752" s="1">
        <v>1</v>
      </c>
      <c r="L752" s="1">
        <v>6000</v>
      </c>
      <c r="N752" s="1">
        <v>350</v>
      </c>
      <c r="P752" s="1">
        <v>400</v>
      </c>
      <c r="R752" s="1">
        <v>10</v>
      </c>
      <c r="Z752" s="1">
        <v>0.05</v>
      </c>
      <c r="AA752" s="1">
        <v>2.5</v>
      </c>
      <c r="AB752" s="1">
        <v>3</v>
      </c>
      <c r="AC752" s="1">
        <v>0.8</v>
      </c>
      <c r="AH752" s="1">
        <v>0</v>
      </c>
      <c r="AI752" s="1">
        <v>1</v>
      </c>
      <c r="AJ752" s="1" t="s">
        <v>3231</v>
      </c>
      <c r="AK752" s="1" t="s">
        <v>265</v>
      </c>
      <c r="AL752" s="1" t="s">
        <v>228</v>
      </c>
      <c r="AN752" s="22" t="s">
        <v>9767</v>
      </c>
      <c r="AX752" s="1">
        <v>1</v>
      </c>
      <c r="AZ752" s="1">
        <v>0.1</v>
      </c>
      <c r="BG752" s="1" t="s">
        <v>3229</v>
      </c>
      <c r="BM752" s="1" t="s">
        <v>3232</v>
      </c>
      <c r="BQ752" s="1" t="s">
        <v>207</v>
      </c>
      <c r="BR752" s="1" t="s">
        <v>208</v>
      </c>
      <c r="BS752" s="1" t="s">
        <v>229</v>
      </c>
      <c r="BT752" s="1" t="s">
        <v>210</v>
      </c>
      <c r="BX752" s="1">
        <v>1</v>
      </c>
    </row>
    <row r="753" spans="1:76" x14ac:dyDescent="0.25">
      <c r="A753" s="1" t="s">
        <v>3233</v>
      </c>
      <c r="B753" s="1" t="s">
        <v>203</v>
      </c>
      <c r="C753" s="1">
        <v>1</v>
      </c>
      <c r="D753" s="1" t="s">
        <v>3234</v>
      </c>
      <c r="E753" s="1">
        <v>1261</v>
      </c>
      <c r="F753" s="1" t="s">
        <v>3233</v>
      </c>
      <c r="G753" s="1">
        <v>1</v>
      </c>
      <c r="L753" s="1">
        <v>8000</v>
      </c>
      <c r="N753" s="1">
        <v>450</v>
      </c>
      <c r="P753" s="1">
        <v>400</v>
      </c>
      <c r="R753" s="1">
        <v>10</v>
      </c>
      <c r="Z753" s="1">
        <v>0.05</v>
      </c>
      <c r="AA753" s="1">
        <v>2.5</v>
      </c>
      <c r="AB753" s="1">
        <v>3</v>
      </c>
      <c r="AC753" s="1">
        <v>0.8</v>
      </c>
      <c r="AH753" s="1">
        <v>0</v>
      </c>
      <c r="AI753" s="1">
        <v>1</v>
      </c>
      <c r="AJ753" s="1" t="s">
        <v>3235</v>
      </c>
      <c r="AK753" s="1" t="s">
        <v>265</v>
      </c>
      <c r="AL753" s="1" t="s">
        <v>228</v>
      </c>
      <c r="AN753" s="22" t="s">
        <v>9767</v>
      </c>
      <c r="AX753" s="1">
        <v>1</v>
      </c>
      <c r="AZ753" s="1">
        <v>0.1</v>
      </c>
      <c r="BG753" s="1" t="s">
        <v>3233</v>
      </c>
      <c r="BM753" s="1" t="s">
        <v>3232</v>
      </c>
      <c r="BQ753" s="1" t="s">
        <v>207</v>
      </c>
      <c r="BR753" s="1" t="s">
        <v>208</v>
      </c>
      <c r="BS753" s="1" t="s">
        <v>229</v>
      </c>
      <c r="BT753" s="1" t="s">
        <v>210</v>
      </c>
      <c r="BX753" s="1">
        <v>1</v>
      </c>
    </row>
    <row r="754" spans="1:76" x14ac:dyDescent="0.25">
      <c r="A754" s="1" t="s">
        <v>3236</v>
      </c>
      <c r="B754" s="1" t="s">
        <v>203</v>
      </c>
      <c r="C754" s="1">
        <v>1</v>
      </c>
      <c r="D754" s="1" t="s">
        <v>3237</v>
      </c>
      <c r="E754" s="1">
        <v>1262</v>
      </c>
      <c r="F754" s="1" t="s">
        <v>3236</v>
      </c>
      <c r="G754" s="1">
        <v>1</v>
      </c>
      <c r="L754" s="1">
        <v>8000</v>
      </c>
      <c r="N754" s="1">
        <v>400</v>
      </c>
      <c r="P754" s="1">
        <v>800</v>
      </c>
      <c r="R754" s="1">
        <v>10</v>
      </c>
      <c r="Z754" s="1">
        <v>0.05</v>
      </c>
      <c r="AA754" s="1">
        <v>3</v>
      </c>
      <c r="AB754" s="1">
        <v>3</v>
      </c>
      <c r="AC754" s="1">
        <v>0.75</v>
      </c>
      <c r="AH754" s="1">
        <v>0</v>
      </c>
      <c r="AI754" s="1">
        <v>1</v>
      </c>
      <c r="AJ754" s="1" t="s">
        <v>3238</v>
      </c>
      <c r="AK754" s="1" t="s">
        <v>265</v>
      </c>
      <c r="AL754" s="1" t="s">
        <v>228</v>
      </c>
      <c r="AN754" s="22" t="s">
        <v>9767</v>
      </c>
      <c r="AX754" s="1">
        <v>1</v>
      </c>
      <c r="AZ754" s="1">
        <v>0.1</v>
      </c>
      <c r="BG754" s="1" t="s">
        <v>3236</v>
      </c>
      <c r="BM754" s="1" t="s">
        <v>2382</v>
      </c>
      <c r="BQ754" s="1" t="s">
        <v>207</v>
      </c>
      <c r="BR754" s="1" t="s">
        <v>208</v>
      </c>
      <c r="BS754" s="1" t="s">
        <v>229</v>
      </c>
      <c r="BT754" s="1" t="s">
        <v>210</v>
      </c>
      <c r="BX754" s="1">
        <v>1</v>
      </c>
    </row>
    <row r="755" spans="1:76" x14ac:dyDescent="0.25">
      <c r="A755" s="1" t="s">
        <v>3239</v>
      </c>
      <c r="B755" s="1" t="s">
        <v>203</v>
      </c>
      <c r="C755" s="1">
        <v>1</v>
      </c>
      <c r="D755" s="1" t="s">
        <v>3240</v>
      </c>
      <c r="E755" s="1">
        <v>1262</v>
      </c>
      <c r="F755" s="1" t="s">
        <v>3239</v>
      </c>
      <c r="G755" s="1">
        <v>1</v>
      </c>
      <c r="L755" s="1">
        <v>12000</v>
      </c>
      <c r="N755" s="1">
        <v>500</v>
      </c>
      <c r="P755" s="1">
        <v>1000</v>
      </c>
      <c r="R755" s="1">
        <v>10</v>
      </c>
      <c r="Z755" s="1">
        <v>0.05</v>
      </c>
      <c r="AA755" s="1">
        <v>3</v>
      </c>
      <c r="AB755" s="1">
        <v>3</v>
      </c>
      <c r="AC755" s="1">
        <v>0.75</v>
      </c>
      <c r="AH755" s="1">
        <v>0</v>
      </c>
      <c r="AI755" s="1">
        <v>1</v>
      </c>
      <c r="AJ755" s="1" t="s">
        <v>3241</v>
      </c>
      <c r="AK755" s="1" t="s">
        <v>265</v>
      </c>
      <c r="AL755" s="1" t="s">
        <v>228</v>
      </c>
      <c r="AN755" s="22" t="s">
        <v>9767</v>
      </c>
      <c r="AX755" s="1">
        <v>1</v>
      </c>
      <c r="AZ755" s="1">
        <v>0.1</v>
      </c>
      <c r="BG755" s="1" t="s">
        <v>3239</v>
      </c>
      <c r="BM755" s="1" t="s">
        <v>2382</v>
      </c>
      <c r="BQ755" s="1" t="s">
        <v>207</v>
      </c>
      <c r="BR755" s="1" t="s">
        <v>208</v>
      </c>
      <c r="BS755" s="1" t="s">
        <v>229</v>
      </c>
      <c r="BT755" s="1" t="s">
        <v>210</v>
      </c>
      <c r="BX755" s="1">
        <v>1</v>
      </c>
    </row>
    <row r="756" spans="1:76" x14ac:dyDescent="0.25">
      <c r="A756" s="1" t="s">
        <v>3242</v>
      </c>
      <c r="B756" s="1" t="s">
        <v>203</v>
      </c>
      <c r="C756" s="1">
        <v>1</v>
      </c>
      <c r="D756" s="1" t="s">
        <v>3243</v>
      </c>
      <c r="E756" s="1">
        <v>1263</v>
      </c>
      <c r="F756" s="1" t="s">
        <v>3242</v>
      </c>
      <c r="G756" s="1">
        <v>1</v>
      </c>
      <c r="L756" s="1">
        <v>20000</v>
      </c>
      <c r="N756" s="1">
        <v>800</v>
      </c>
      <c r="P756" s="1">
        <v>1000</v>
      </c>
      <c r="R756" s="1">
        <v>10</v>
      </c>
      <c r="Z756" s="1">
        <v>0.05</v>
      </c>
      <c r="AA756" s="1">
        <v>3.5</v>
      </c>
      <c r="AB756" s="1">
        <v>4</v>
      </c>
      <c r="AC756" s="1">
        <v>1.3</v>
      </c>
      <c r="AH756" s="1">
        <v>0</v>
      </c>
      <c r="AI756" s="1">
        <v>1</v>
      </c>
      <c r="AJ756" s="1" t="s">
        <v>3244</v>
      </c>
      <c r="AK756" s="1" t="s">
        <v>265</v>
      </c>
      <c r="AL756" s="1" t="s">
        <v>228</v>
      </c>
      <c r="AN756" s="22" t="s">
        <v>9767</v>
      </c>
      <c r="AR756" s="1">
        <v>3</v>
      </c>
      <c r="AX756" s="1">
        <v>1</v>
      </c>
      <c r="AZ756" s="1">
        <v>0.1</v>
      </c>
      <c r="BG756" s="1" t="s">
        <v>3242</v>
      </c>
      <c r="BM756" s="1" t="s">
        <v>2382</v>
      </c>
      <c r="BQ756" s="1" t="s">
        <v>207</v>
      </c>
      <c r="BR756" s="1" t="s">
        <v>208</v>
      </c>
      <c r="BS756" s="1" t="s">
        <v>229</v>
      </c>
      <c r="BT756" s="1" t="s">
        <v>210</v>
      </c>
      <c r="BX756" s="1">
        <v>1</v>
      </c>
    </row>
    <row r="757" spans="1:76" x14ac:dyDescent="0.25">
      <c r="A757" s="1" t="s">
        <v>3245</v>
      </c>
      <c r="B757" s="1" t="s">
        <v>203</v>
      </c>
      <c r="C757" s="1">
        <v>1</v>
      </c>
      <c r="D757" s="1" t="s">
        <v>3246</v>
      </c>
      <c r="E757" s="1">
        <v>1263</v>
      </c>
      <c r="F757" s="1" t="s">
        <v>3245</v>
      </c>
      <c r="G757" s="1">
        <v>1</v>
      </c>
      <c r="L757" s="1">
        <v>30000</v>
      </c>
      <c r="N757" s="1">
        <v>1000</v>
      </c>
      <c r="P757" s="1">
        <v>1000</v>
      </c>
      <c r="R757" s="1">
        <v>10</v>
      </c>
      <c r="Z757" s="1">
        <v>0.05</v>
      </c>
      <c r="AA757" s="1">
        <v>3.5</v>
      </c>
      <c r="AB757" s="1">
        <v>4</v>
      </c>
      <c r="AC757" s="1">
        <v>1.3</v>
      </c>
      <c r="AH757" s="1">
        <v>0</v>
      </c>
      <c r="AI757" s="1">
        <v>1</v>
      </c>
      <c r="AJ757" s="1" t="s">
        <v>3247</v>
      </c>
      <c r="AK757" s="1" t="s">
        <v>265</v>
      </c>
      <c r="AL757" s="1" t="s">
        <v>228</v>
      </c>
      <c r="AN757" s="22" t="s">
        <v>9767</v>
      </c>
      <c r="AR757" s="1">
        <v>3</v>
      </c>
      <c r="AX757" s="1">
        <v>1</v>
      </c>
      <c r="AZ757" s="1">
        <v>0.1</v>
      </c>
      <c r="BG757" s="1" t="s">
        <v>3245</v>
      </c>
      <c r="BM757" s="1" t="s">
        <v>2382</v>
      </c>
      <c r="BQ757" s="1" t="s">
        <v>207</v>
      </c>
      <c r="BR757" s="1" t="s">
        <v>208</v>
      </c>
      <c r="BS757" s="1" t="s">
        <v>229</v>
      </c>
      <c r="BT757" s="1" t="s">
        <v>210</v>
      </c>
      <c r="BX757" s="1">
        <v>1</v>
      </c>
    </row>
    <row r="758" spans="1:76" x14ac:dyDescent="0.25">
      <c r="A758" s="1" t="s">
        <v>3248</v>
      </c>
      <c r="B758" s="1" t="s">
        <v>203</v>
      </c>
      <c r="C758" s="1">
        <v>1</v>
      </c>
      <c r="D758" s="1" t="s">
        <v>3249</v>
      </c>
      <c r="E758" s="1">
        <v>1264</v>
      </c>
      <c r="F758" s="1" t="s">
        <v>3248</v>
      </c>
      <c r="G758" s="1">
        <v>1</v>
      </c>
      <c r="L758" s="1">
        <v>10000</v>
      </c>
      <c r="N758" s="1">
        <v>1100</v>
      </c>
      <c r="P758" s="1">
        <v>1500</v>
      </c>
      <c r="R758" s="1">
        <v>10</v>
      </c>
      <c r="Z758" s="1">
        <v>0.05</v>
      </c>
      <c r="AA758" s="1">
        <v>3</v>
      </c>
      <c r="AB758" s="1">
        <v>5</v>
      </c>
      <c r="AC758" s="1">
        <v>0.7</v>
      </c>
      <c r="AH758" s="1">
        <v>0</v>
      </c>
      <c r="AI758" s="1">
        <v>1</v>
      </c>
      <c r="AJ758" s="1" t="s">
        <v>3250</v>
      </c>
      <c r="AK758" s="1" t="s">
        <v>265</v>
      </c>
      <c r="AL758" s="1" t="s">
        <v>228</v>
      </c>
      <c r="AN758" s="22" t="s">
        <v>9767</v>
      </c>
      <c r="AX758" s="1">
        <v>1</v>
      </c>
      <c r="AZ758" s="1">
        <v>0.1</v>
      </c>
      <c r="BG758" s="1" t="s">
        <v>3248</v>
      </c>
      <c r="BM758" s="1" t="s">
        <v>2382</v>
      </c>
      <c r="BQ758" s="1" t="s">
        <v>207</v>
      </c>
      <c r="BR758" s="1" t="s">
        <v>208</v>
      </c>
      <c r="BS758" s="1" t="s">
        <v>229</v>
      </c>
      <c r="BT758" s="1" t="s">
        <v>210</v>
      </c>
      <c r="BX758" s="1">
        <v>1</v>
      </c>
    </row>
    <row r="759" spans="1:76" x14ac:dyDescent="0.25">
      <c r="A759" s="1" t="s">
        <v>3251</v>
      </c>
      <c r="B759" s="1" t="s">
        <v>203</v>
      </c>
      <c r="C759" s="1">
        <v>1</v>
      </c>
      <c r="D759" s="1" t="s">
        <v>3252</v>
      </c>
      <c r="E759" s="1">
        <v>1264</v>
      </c>
      <c r="F759" s="1" t="s">
        <v>3251</v>
      </c>
      <c r="G759" s="1">
        <v>1</v>
      </c>
      <c r="L759" s="1">
        <v>18000</v>
      </c>
      <c r="N759" s="1">
        <v>1500</v>
      </c>
      <c r="P759" s="1">
        <v>1500</v>
      </c>
      <c r="R759" s="1">
        <v>10</v>
      </c>
      <c r="Z759" s="1">
        <v>0.05</v>
      </c>
      <c r="AA759" s="1">
        <v>3</v>
      </c>
      <c r="AB759" s="1">
        <v>5</v>
      </c>
      <c r="AC759" s="1">
        <v>0.7</v>
      </c>
      <c r="AH759" s="1">
        <v>0</v>
      </c>
      <c r="AI759" s="1">
        <v>1</v>
      </c>
      <c r="AJ759" s="1" t="s">
        <v>3253</v>
      </c>
      <c r="AK759" s="1" t="s">
        <v>265</v>
      </c>
      <c r="AL759" s="1" t="s">
        <v>228</v>
      </c>
      <c r="AN759" s="22" t="s">
        <v>9767</v>
      </c>
      <c r="AX759" s="1">
        <v>1</v>
      </c>
      <c r="AZ759" s="1">
        <v>0.1</v>
      </c>
      <c r="BG759" s="1" t="s">
        <v>3251</v>
      </c>
      <c r="BM759" s="1" t="s">
        <v>2382</v>
      </c>
      <c r="BQ759" s="1" t="s">
        <v>207</v>
      </c>
      <c r="BR759" s="1" t="s">
        <v>208</v>
      </c>
      <c r="BS759" s="1" t="s">
        <v>229</v>
      </c>
      <c r="BT759" s="1" t="s">
        <v>210</v>
      </c>
      <c r="BX759" s="1">
        <v>1</v>
      </c>
    </row>
    <row r="760" spans="1:76" x14ac:dyDescent="0.25">
      <c r="A760" s="1" t="s">
        <v>3254</v>
      </c>
      <c r="B760" s="1" t="s">
        <v>203</v>
      </c>
      <c r="C760" s="1">
        <v>1</v>
      </c>
      <c r="D760" s="1" t="s">
        <v>3255</v>
      </c>
      <c r="E760" s="1">
        <v>1532</v>
      </c>
      <c r="F760" s="1" t="s">
        <v>3254</v>
      </c>
      <c r="G760" s="1">
        <v>1</v>
      </c>
      <c r="L760" s="1">
        <v>10000</v>
      </c>
      <c r="Z760" s="1">
        <v>0.05</v>
      </c>
      <c r="AA760" s="1">
        <v>1</v>
      </c>
      <c r="AB760" s="1">
        <v>6</v>
      </c>
      <c r="AC760" s="1">
        <v>0.5</v>
      </c>
      <c r="AH760" s="1">
        <v>0</v>
      </c>
      <c r="AI760" s="1">
        <v>1</v>
      </c>
      <c r="AJ760" s="1" t="s">
        <v>3256</v>
      </c>
      <c r="AK760" s="1" t="s">
        <v>265</v>
      </c>
      <c r="AL760" s="1" t="s">
        <v>228</v>
      </c>
      <c r="AN760" s="22" t="s">
        <v>9767</v>
      </c>
      <c r="AP760" s="1">
        <v>1</v>
      </c>
      <c r="AX760" s="1">
        <v>1</v>
      </c>
      <c r="AZ760" s="1">
        <v>0.1</v>
      </c>
      <c r="BG760" s="1" t="s">
        <v>3254</v>
      </c>
      <c r="BM760" s="1" t="s">
        <v>3257</v>
      </c>
      <c r="BQ760" s="1" t="s">
        <v>3258</v>
      </c>
      <c r="BR760" s="1" t="s">
        <v>3259</v>
      </c>
      <c r="BS760" s="1" t="s">
        <v>3260</v>
      </c>
      <c r="BT760" s="1" t="s">
        <v>3261</v>
      </c>
      <c r="BX760" s="1">
        <v>1</v>
      </c>
    </row>
    <row r="761" spans="1:76" x14ac:dyDescent="0.25">
      <c r="A761" s="1" t="s">
        <v>3262</v>
      </c>
      <c r="B761" s="1" t="s">
        <v>203</v>
      </c>
      <c r="C761" s="1">
        <v>1</v>
      </c>
      <c r="D761" s="1" t="s">
        <v>3263</v>
      </c>
      <c r="E761" s="1">
        <v>1267</v>
      </c>
      <c r="F761" s="1" t="s">
        <v>3262</v>
      </c>
      <c r="G761" s="1">
        <v>0.9</v>
      </c>
      <c r="L761" s="1">
        <v>4500</v>
      </c>
      <c r="N761" s="1">
        <v>380</v>
      </c>
      <c r="P761" s="1">
        <v>100</v>
      </c>
      <c r="R761" s="1">
        <v>20</v>
      </c>
      <c r="Z761" s="1">
        <v>0.05</v>
      </c>
      <c r="AA761" s="1">
        <v>2.5</v>
      </c>
      <c r="AB761" s="1">
        <v>1</v>
      </c>
      <c r="AC761" s="1">
        <v>0.8</v>
      </c>
      <c r="AH761" s="1">
        <v>0</v>
      </c>
      <c r="AI761" s="1">
        <v>1</v>
      </c>
      <c r="AJ761" s="1" t="s">
        <v>3264</v>
      </c>
      <c r="AK761" s="1" t="s">
        <v>265</v>
      </c>
      <c r="AL761" s="1" t="s">
        <v>228</v>
      </c>
      <c r="AN761" s="22" t="s">
        <v>9767</v>
      </c>
      <c r="AX761" s="1">
        <v>1</v>
      </c>
      <c r="AZ761" s="1">
        <v>0.1</v>
      </c>
      <c r="BG761" s="1" t="s">
        <v>3262</v>
      </c>
      <c r="BM761" s="1" t="s">
        <v>1473</v>
      </c>
      <c r="BQ761" s="1" t="s">
        <v>3265</v>
      </c>
      <c r="BR761" s="1" t="s">
        <v>3202</v>
      </c>
      <c r="BS761" s="1" t="s">
        <v>3203</v>
      </c>
      <c r="BT761" s="1" t="s">
        <v>3204</v>
      </c>
      <c r="BX761" s="1">
        <v>1</v>
      </c>
    </row>
    <row r="762" spans="1:76" x14ac:dyDescent="0.25">
      <c r="A762" s="1" t="s">
        <v>3266</v>
      </c>
      <c r="B762" s="1" t="s">
        <v>203</v>
      </c>
      <c r="C762" s="1">
        <v>1</v>
      </c>
      <c r="D762" s="1" t="s">
        <v>3267</v>
      </c>
      <c r="E762" s="1">
        <v>1267</v>
      </c>
      <c r="F762" s="1" t="s">
        <v>3266</v>
      </c>
      <c r="G762" s="1">
        <v>0.9</v>
      </c>
      <c r="L762" s="1">
        <v>5500</v>
      </c>
      <c r="N762" s="1">
        <v>450</v>
      </c>
      <c r="P762" s="1">
        <v>100</v>
      </c>
      <c r="R762" s="1">
        <v>20</v>
      </c>
      <c r="Z762" s="1">
        <v>0.05</v>
      </c>
      <c r="AA762" s="1">
        <v>2.5</v>
      </c>
      <c r="AB762" s="1">
        <v>1</v>
      </c>
      <c r="AC762" s="1">
        <v>0.8</v>
      </c>
      <c r="AH762" s="1">
        <v>0</v>
      </c>
      <c r="AI762" s="1">
        <v>1</v>
      </c>
      <c r="AJ762" s="1" t="s">
        <v>3268</v>
      </c>
      <c r="AK762" s="1" t="s">
        <v>265</v>
      </c>
      <c r="AL762" s="1" t="s">
        <v>228</v>
      </c>
      <c r="AN762" s="22" t="s">
        <v>9767</v>
      </c>
      <c r="AX762" s="1">
        <v>1</v>
      </c>
      <c r="AZ762" s="1">
        <v>0.1</v>
      </c>
      <c r="BG762" s="1" t="s">
        <v>3266</v>
      </c>
      <c r="BM762" s="1" t="s">
        <v>1473</v>
      </c>
      <c r="BQ762" s="1" t="s">
        <v>3265</v>
      </c>
      <c r="BR762" s="1" t="s">
        <v>3202</v>
      </c>
      <c r="BS762" s="1" t="s">
        <v>3203</v>
      </c>
      <c r="BT762" s="1" t="s">
        <v>3204</v>
      </c>
      <c r="BX762" s="1">
        <v>1</v>
      </c>
    </row>
    <row r="763" spans="1:76" x14ac:dyDescent="0.25">
      <c r="A763" s="1" t="s">
        <v>3269</v>
      </c>
      <c r="B763" s="1" t="s">
        <v>203</v>
      </c>
      <c r="C763" s="1">
        <v>1</v>
      </c>
      <c r="D763" s="1" t="s">
        <v>3270</v>
      </c>
      <c r="E763" s="1">
        <v>1268</v>
      </c>
      <c r="F763" s="1" t="s">
        <v>3269</v>
      </c>
      <c r="G763" s="1">
        <v>0.92</v>
      </c>
      <c r="L763" s="1">
        <v>6500</v>
      </c>
      <c r="N763" s="1">
        <v>320</v>
      </c>
      <c r="P763" s="1">
        <v>200</v>
      </c>
      <c r="R763" s="1">
        <v>50</v>
      </c>
      <c r="Z763" s="1">
        <v>0.05</v>
      </c>
      <c r="AA763" s="1">
        <v>3</v>
      </c>
      <c r="AB763" s="1">
        <v>2</v>
      </c>
      <c r="AC763" s="1">
        <v>0.7</v>
      </c>
      <c r="AH763" s="1">
        <v>0</v>
      </c>
      <c r="AI763" s="1">
        <v>1</v>
      </c>
      <c r="AJ763" s="1" t="s">
        <v>3271</v>
      </c>
      <c r="AK763" s="1" t="s">
        <v>265</v>
      </c>
      <c r="AL763" s="1" t="s">
        <v>228</v>
      </c>
      <c r="AN763" s="22" t="s">
        <v>9767</v>
      </c>
      <c r="AX763" s="1">
        <v>1</v>
      </c>
      <c r="AZ763" s="1">
        <v>0.1</v>
      </c>
      <c r="BG763" s="1" t="s">
        <v>3269</v>
      </c>
      <c r="BM763" s="1" t="s">
        <v>3272</v>
      </c>
      <c r="BQ763" s="1" t="s">
        <v>207</v>
      </c>
      <c r="BR763" s="1" t="s">
        <v>208</v>
      </c>
      <c r="BS763" s="1" t="s">
        <v>229</v>
      </c>
      <c r="BT763" s="1" t="s">
        <v>210</v>
      </c>
      <c r="BX763" s="1">
        <v>1</v>
      </c>
    </row>
    <row r="764" spans="1:76" x14ac:dyDescent="0.25">
      <c r="A764" s="1" t="s">
        <v>3273</v>
      </c>
      <c r="B764" s="1" t="s">
        <v>203</v>
      </c>
      <c r="C764" s="1">
        <v>1</v>
      </c>
      <c r="D764" s="1" t="s">
        <v>3274</v>
      </c>
      <c r="E764" s="1">
        <v>1268</v>
      </c>
      <c r="F764" s="1" t="s">
        <v>3273</v>
      </c>
      <c r="G764" s="1">
        <v>0.92</v>
      </c>
      <c r="L764" s="1">
        <v>8000</v>
      </c>
      <c r="N764" s="1">
        <v>380</v>
      </c>
      <c r="P764" s="1">
        <v>200</v>
      </c>
      <c r="R764" s="1">
        <v>50</v>
      </c>
      <c r="Z764" s="1">
        <v>0.05</v>
      </c>
      <c r="AA764" s="1">
        <v>3</v>
      </c>
      <c r="AB764" s="1">
        <v>2</v>
      </c>
      <c r="AC764" s="1">
        <v>0.7</v>
      </c>
      <c r="AH764" s="1">
        <v>0</v>
      </c>
      <c r="AI764" s="1">
        <v>1</v>
      </c>
      <c r="AJ764" s="1" t="s">
        <v>3275</v>
      </c>
      <c r="AK764" s="1" t="s">
        <v>265</v>
      </c>
      <c r="AL764" s="1" t="s">
        <v>228</v>
      </c>
      <c r="AN764" s="22" t="s">
        <v>9767</v>
      </c>
      <c r="AX764" s="1">
        <v>1</v>
      </c>
      <c r="AZ764" s="1">
        <v>0.1</v>
      </c>
      <c r="BG764" s="1" t="s">
        <v>3273</v>
      </c>
      <c r="BM764" s="1" t="s">
        <v>3272</v>
      </c>
      <c r="BQ764" s="1" t="s">
        <v>207</v>
      </c>
      <c r="BR764" s="1" t="s">
        <v>208</v>
      </c>
      <c r="BS764" s="1" t="s">
        <v>229</v>
      </c>
      <c r="BT764" s="1" t="s">
        <v>210</v>
      </c>
      <c r="BX764" s="1">
        <v>1</v>
      </c>
    </row>
    <row r="765" spans="1:76" x14ac:dyDescent="0.25">
      <c r="A765" s="1" t="s">
        <v>3276</v>
      </c>
      <c r="B765" s="1" t="s">
        <v>203</v>
      </c>
      <c r="C765" s="1">
        <v>1</v>
      </c>
      <c r="D765" s="1" t="s">
        <v>3277</v>
      </c>
      <c r="E765" s="1">
        <v>1269</v>
      </c>
      <c r="F765" s="1" t="s">
        <v>3276</v>
      </c>
      <c r="G765" s="1">
        <v>0.92</v>
      </c>
      <c r="L765" s="1">
        <v>1200</v>
      </c>
      <c r="N765" s="1">
        <v>750</v>
      </c>
      <c r="P765" s="1">
        <v>0</v>
      </c>
      <c r="R765" s="1">
        <v>0</v>
      </c>
      <c r="Z765" s="1">
        <v>0.05</v>
      </c>
      <c r="AA765" s="1">
        <v>1</v>
      </c>
      <c r="AB765" s="1">
        <v>0</v>
      </c>
      <c r="AC765" s="1">
        <v>0.6</v>
      </c>
      <c r="AH765" s="1">
        <v>0</v>
      </c>
      <c r="AI765" s="1">
        <v>1</v>
      </c>
      <c r="AJ765" s="1" t="s">
        <v>3278</v>
      </c>
      <c r="AK765" s="1" t="s">
        <v>265</v>
      </c>
      <c r="AL765" s="1" t="s">
        <v>228</v>
      </c>
      <c r="AN765" s="22" t="s">
        <v>9767</v>
      </c>
      <c r="AP765" s="1">
        <v>1</v>
      </c>
      <c r="AX765" s="1">
        <v>1</v>
      </c>
      <c r="AZ765" s="1">
        <v>0.1</v>
      </c>
      <c r="BG765" s="1" t="s">
        <v>3276</v>
      </c>
      <c r="BM765" s="1" t="s">
        <v>936</v>
      </c>
      <c r="BQ765" s="1" t="s">
        <v>207</v>
      </c>
      <c r="BR765" s="1" t="s">
        <v>208</v>
      </c>
      <c r="BS765" s="1" t="s">
        <v>229</v>
      </c>
      <c r="BT765" s="1" t="s">
        <v>210</v>
      </c>
      <c r="BX765" s="1">
        <v>1</v>
      </c>
    </row>
    <row r="766" spans="1:76" x14ac:dyDescent="0.25">
      <c r="A766" s="1" t="s">
        <v>3279</v>
      </c>
      <c r="B766" s="1" t="s">
        <v>203</v>
      </c>
      <c r="C766" s="1">
        <v>1</v>
      </c>
      <c r="D766" s="1" t="s">
        <v>3280</v>
      </c>
      <c r="E766" s="1">
        <v>1269</v>
      </c>
      <c r="F766" s="1" t="s">
        <v>3279</v>
      </c>
      <c r="G766" s="1">
        <v>0.92</v>
      </c>
      <c r="L766" s="1">
        <v>1550</v>
      </c>
      <c r="N766" s="1">
        <v>1250</v>
      </c>
      <c r="P766" s="1">
        <v>0</v>
      </c>
      <c r="R766" s="1">
        <v>0</v>
      </c>
      <c r="Z766" s="1">
        <v>0.05</v>
      </c>
      <c r="AA766" s="1">
        <v>1</v>
      </c>
      <c r="AB766" s="1">
        <v>0</v>
      </c>
      <c r="AC766" s="1">
        <v>0.6</v>
      </c>
      <c r="AH766" s="1">
        <v>0</v>
      </c>
      <c r="AI766" s="1">
        <v>1</v>
      </c>
      <c r="AJ766" s="1" t="s">
        <v>3281</v>
      </c>
      <c r="AK766" s="1" t="s">
        <v>265</v>
      </c>
      <c r="AL766" s="1" t="s">
        <v>228</v>
      </c>
      <c r="AN766" s="22" t="s">
        <v>9767</v>
      </c>
      <c r="AP766" s="1">
        <v>1</v>
      </c>
      <c r="AX766" s="1">
        <v>1</v>
      </c>
      <c r="AZ766" s="1">
        <v>0.1</v>
      </c>
      <c r="BG766" s="1" t="s">
        <v>3279</v>
      </c>
      <c r="BM766" s="1" t="s">
        <v>936</v>
      </c>
      <c r="BQ766" s="1" t="s">
        <v>207</v>
      </c>
      <c r="BR766" s="1" t="s">
        <v>208</v>
      </c>
      <c r="BS766" s="1" t="s">
        <v>229</v>
      </c>
      <c r="BT766" s="1" t="s">
        <v>210</v>
      </c>
      <c r="BX766" s="1">
        <v>1</v>
      </c>
    </row>
    <row r="767" spans="1:76" x14ac:dyDescent="0.25">
      <c r="A767" s="1" t="s">
        <v>3282</v>
      </c>
      <c r="B767" s="1" t="s">
        <v>203</v>
      </c>
      <c r="C767" s="1">
        <v>1</v>
      </c>
      <c r="D767" s="1" t="s">
        <v>3277</v>
      </c>
      <c r="E767" s="1">
        <v>1269</v>
      </c>
      <c r="F767" s="1" t="s">
        <v>3276</v>
      </c>
      <c r="G767" s="1">
        <v>0.92</v>
      </c>
      <c r="L767" s="1">
        <v>1200</v>
      </c>
      <c r="N767" s="1">
        <v>750</v>
      </c>
      <c r="P767" s="1">
        <v>0</v>
      </c>
      <c r="R767" s="1">
        <v>0</v>
      </c>
      <c r="Z767" s="1">
        <v>0.05</v>
      </c>
      <c r="AA767" s="1">
        <v>1</v>
      </c>
      <c r="AB767" s="1">
        <v>0</v>
      </c>
      <c r="AC767" s="1">
        <v>0.6</v>
      </c>
      <c r="AH767" s="1">
        <v>0</v>
      </c>
      <c r="AI767" s="1">
        <v>1</v>
      </c>
      <c r="AJ767" s="1" t="s">
        <v>3283</v>
      </c>
      <c r="AK767" s="1" t="s">
        <v>265</v>
      </c>
      <c r="AL767" s="1" t="s">
        <v>228</v>
      </c>
      <c r="AN767" s="22" t="s">
        <v>9767</v>
      </c>
      <c r="AP767" s="1">
        <v>1</v>
      </c>
      <c r="AX767" s="1">
        <v>1</v>
      </c>
      <c r="AZ767" s="1">
        <v>0.1</v>
      </c>
      <c r="BG767" s="1" t="s">
        <v>3276</v>
      </c>
      <c r="BM767" s="1" t="s">
        <v>936</v>
      </c>
      <c r="BQ767" s="1" t="s">
        <v>207</v>
      </c>
      <c r="BR767" s="1" t="s">
        <v>208</v>
      </c>
      <c r="BS767" s="1" t="s">
        <v>229</v>
      </c>
      <c r="BT767" s="1" t="s">
        <v>210</v>
      </c>
      <c r="BX767" s="1">
        <v>1</v>
      </c>
    </row>
    <row r="768" spans="1:76" x14ac:dyDescent="0.25">
      <c r="A768" s="1" t="s">
        <v>3284</v>
      </c>
      <c r="B768" s="1" t="s">
        <v>203</v>
      </c>
      <c r="C768" s="1">
        <v>1</v>
      </c>
      <c r="D768" s="1" t="s">
        <v>3280</v>
      </c>
      <c r="E768" s="1">
        <v>1269</v>
      </c>
      <c r="F768" s="1" t="s">
        <v>3279</v>
      </c>
      <c r="G768" s="1">
        <v>0.92</v>
      </c>
      <c r="L768" s="1">
        <v>1550</v>
      </c>
      <c r="N768" s="1">
        <v>1250</v>
      </c>
      <c r="P768" s="1">
        <v>0</v>
      </c>
      <c r="R768" s="1">
        <v>0</v>
      </c>
      <c r="Z768" s="1">
        <v>0.05</v>
      </c>
      <c r="AA768" s="1">
        <v>1</v>
      </c>
      <c r="AB768" s="1">
        <v>0</v>
      </c>
      <c r="AC768" s="1">
        <v>0.6</v>
      </c>
      <c r="AH768" s="1">
        <v>0</v>
      </c>
      <c r="AI768" s="1">
        <v>1</v>
      </c>
      <c r="AJ768" s="1" t="s">
        <v>3285</v>
      </c>
      <c r="AK768" s="1" t="s">
        <v>265</v>
      </c>
      <c r="AL768" s="1" t="s">
        <v>228</v>
      </c>
      <c r="AN768" s="22" t="s">
        <v>9767</v>
      </c>
      <c r="AP768" s="1">
        <v>1</v>
      </c>
      <c r="AX768" s="1">
        <v>1</v>
      </c>
      <c r="AZ768" s="1">
        <v>0.1</v>
      </c>
      <c r="BG768" s="1" t="s">
        <v>3279</v>
      </c>
      <c r="BM768" s="1" t="s">
        <v>936</v>
      </c>
      <c r="BQ768" s="1" t="s">
        <v>207</v>
      </c>
      <c r="BR768" s="1" t="s">
        <v>208</v>
      </c>
      <c r="BS768" s="1" t="s">
        <v>229</v>
      </c>
      <c r="BT768" s="1" t="s">
        <v>210</v>
      </c>
      <c r="BX768" s="1">
        <v>1</v>
      </c>
    </row>
    <row r="769" spans="1:76" x14ac:dyDescent="0.25">
      <c r="A769" s="1" t="s">
        <v>3286</v>
      </c>
      <c r="B769" s="1" t="s">
        <v>203</v>
      </c>
      <c r="C769" s="1">
        <v>1</v>
      </c>
      <c r="D769" s="1" t="s">
        <v>3287</v>
      </c>
      <c r="E769" s="1">
        <v>1270</v>
      </c>
      <c r="F769" s="1" t="s">
        <v>3286</v>
      </c>
      <c r="G769" s="1">
        <v>0.94</v>
      </c>
      <c r="L769" s="1">
        <v>12000</v>
      </c>
      <c r="N769" s="1">
        <v>550</v>
      </c>
      <c r="P769" s="1">
        <v>150</v>
      </c>
      <c r="R769" s="1">
        <v>20</v>
      </c>
      <c r="Z769" s="1">
        <v>0.05</v>
      </c>
      <c r="AA769" s="1">
        <v>1.8</v>
      </c>
      <c r="AB769" s="1">
        <v>2</v>
      </c>
      <c r="AC769" s="1">
        <v>1.4</v>
      </c>
      <c r="AH769" s="1">
        <v>0</v>
      </c>
      <c r="AI769" s="1">
        <v>1</v>
      </c>
      <c r="AJ769" s="1" t="s">
        <v>3288</v>
      </c>
      <c r="AK769" s="1" t="s">
        <v>265</v>
      </c>
      <c r="AL769" s="1" t="s">
        <v>228</v>
      </c>
      <c r="AN769" s="22" t="s">
        <v>9767</v>
      </c>
      <c r="AX769" s="1">
        <v>1</v>
      </c>
      <c r="AZ769" s="1">
        <v>0.1</v>
      </c>
      <c r="BG769" s="1" t="s">
        <v>3286</v>
      </c>
      <c r="BM769" s="1" t="s">
        <v>3289</v>
      </c>
      <c r="BQ769" s="1" t="s">
        <v>207</v>
      </c>
      <c r="BR769" s="1" t="s">
        <v>208</v>
      </c>
      <c r="BS769" s="1" t="s">
        <v>229</v>
      </c>
      <c r="BT769" s="1" t="s">
        <v>210</v>
      </c>
      <c r="BX769" s="1">
        <v>1</v>
      </c>
    </row>
    <row r="770" spans="1:76" x14ac:dyDescent="0.25">
      <c r="A770" s="1" t="s">
        <v>3290</v>
      </c>
      <c r="B770" s="1" t="s">
        <v>203</v>
      </c>
      <c r="C770" s="1">
        <v>1</v>
      </c>
      <c r="D770" s="1" t="s">
        <v>3291</v>
      </c>
      <c r="E770" s="1">
        <v>1270</v>
      </c>
      <c r="F770" s="1" t="s">
        <v>3290</v>
      </c>
      <c r="G770" s="1">
        <v>0.94</v>
      </c>
      <c r="L770" s="1">
        <v>16000</v>
      </c>
      <c r="N770" s="1">
        <v>700</v>
      </c>
      <c r="P770" s="1">
        <v>200</v>
      </c>
      <c r="R770" s="1">
        <v>20</v>
      </c>
      <c r="Z770" s="1">
        <v>0.05</v>
      </c>
      <c r="AA770" s="1">
        <v>1.8</v>
      </c>
      <c r="AB770" s="1">
        <v>2</v>
      </c>
      <c r="AC770" s="1">
        <v>1.4</v>
      </c>
      <c r="AH770" s="1">
        <v>0</v>
      </c>
      <c r="AI770" s="1">
        <v>1</v>
      </c>
      <c r="AJ770" s="1" t="s">
        <v>3292</v>
      </c>
      <c r="AK770" s="1" t="s">
        <v>265</v>
      </c>
      <c r="AL770" s="1" t="s">
        <v>228</v>
      </c>
      <c r="AN770" s="22" t="s">
        <v>9767</v>
      </c>
      <c r="AX770" s="1">
        <v>1</v>
      </c>
      <c r="AZ770" s="1">
        <v>0.1</v>
      </c>
      <c r="BG770" s="1" t="s">
        <v>3290</v>
      </c>
      <c r="BM770" s="1" t="s">
        <v>3289</v>
      </c>
      <c r="BQ770" s="1" t="s">
        <v>207</v>
      </c>
      <c r="BR770" s="1" t="s">
        <v>208</v>
      </c>
      <c r="BS770" s="1" t="s">
        <v>229</v>
      </c>
      <c r="BT770" s="1" t="s">
        <v>210</v>
      </c>
      <c r="BX770" s="1">
        <v>1</v>
      </c>
    </row>
    <row r="771" spans="1:76" x14ac:dyDescent="0.25">
      <c r="A771" s="1" t="s">
        <v>3293</v>
      </c>
      <c r="B771" s="1" t="s">
        <v>203</v>
      </c>
      <c r="C771" s="1">
        <v>1</v>
      </c>
      <c r="D771" s="1" t="s">
        <v>3294</v>
      </c>
      <c r="E771" s="1">
        <v>1271</v>
      </c>
      <c r="F771" s="1" t="s">
        <v>3293</v>
      </c>
      <c r="G771" s="1">
        <v>0.92</v>
      </c>
      <c r="L771" s="1">
        <v>30000</v>
      </c>
      <c r="N771" s="1">
        <v>1050</v>
      </c>
      <c r="P771" s="1">
        <v>0</v>
      </c>
      <c r="R771" s="1">
        <v>20</v>
      </c>
      <c r="Z771" s="1">
        <v>0.05</v>
      </c>
      <c r="AA771" s="1">
        <v>3.5</v>
      </c>
      <c r="AB771" s="1">
        <v>4</v>
      </c>
      <c r="AC771" s="1">
        <v>0.6</v>
      </c>
      <c r="AH771" s="1">
        <v>0</v>
      </c>
      <c r="AI771" s="1">
        <v>1</v>
      </c>
      <c r="AJ771" s="1" t="s">
        <v>3295</v>
      </c>
      <c r="AK771" s="1" t="s">
        <v>265</v>
      </c>
      <c r="AL771" s="1" t="s">
        <v>228</v>
      </c>
      <c r="AN771" s="22" t="s">
        <v>9767</v>
      </c>
      <c r="AX771" s="1">
        <v>1</v>
      </c>
      <c r="AZ771" s="1">
        <v>0.1</v>
      </c>
      <c r="BG771" s="1" t="s">
        <v>3293</v>
      </c>
      <c r="BM771" s="1" t="s">
        <v>1063</v>
      </c>
      <c r="BQ771" s="1" t="s">
        <v>207</v>
      </c>
      <c r="BR771" s="1" t="s">
        <v>1935</v>
      </c>
      <c r="BS771" s="1" t="s">
        <v>1936</v>
      </c>
      <c r="BT771" s="1" t="s">
        <v>3296</v>
      </c>
      <c r="BX771" s="1">
        <v>1</v>
      </c>
    </row>
    <row r="772" spans="1:76" x14ac:dyDescent="0.25">
      <c r="A772" s="1" t="s">
        <v>3297</v>
      </c>
      <c r="B772" s="1" t="s">
        <v>203</v>
      </c>
      <c r="C772" s="1">
        <v>1</v>
      </c>
      <c r="D772" s="1" t="s">
        <v>3298</v>
      </c>
      <c r="E772" s="1">
        <v>1271</v>
      </c>
      <c r="F772" s="1" t="s">
        <v>3297</v>
      </c>
      <c r="G772" s="1">
        <v>0.92</v>
      </c>
      <c r="L772" s="1">
        <v>40000</v>
      </c>
      <c r="N772" s="1">
        <v>1350</v>
      </c>
      <c r="P772" s="1">
        <v>0</v>
      </c>
      <c r="R772" s="1">
        <v>20</v>
      </c>
      <c r="Z772" s="1">
        <v>0.05</v>
      </c>
      <c r="AA772" s="1">
        <v>3.5</v>
      </c>
      <c r="AB772" s="1">
        <v>4</v>
      </c>
      <c r="AC772" s="1">
        <v>0.6</v>
      </c>
      <c r="AH772" s="1">
        <v>0</v>
      </c>
      <c r="AI772" s="1">
        <v>1</v>
      </c>
      <c r="AJ772" s="1" t="s">
        <v>3299</v>
      </c>
      <c r="AK772" s="1" t="s">
        <v>265</v>
      </c>
      <c r="AL772" s="1" t="s">
        <v>228</v>
      </c>
      <c r="AN772" s="22" t="s">
        <v>9767</v>
      </c>
      <c r="AX772" s="1">
        <v>1</v>
      </c>
      <c r="AZ772" s="1">
        <v>0.1</v>
      </c>
      <c r="BG772" s="1" t="s">
        <v>3297</v>
      </c>
      <c r="BM772" s="1" t="s">
        <v>1063</v>
      </c>
      <c r="BQ772" s="1" t="s">
        <v>207</v>
      </c>
      <c r="BR772" s="1" t="s">
        <v>1935</v>
      </c>
      <c r="BS772" s="1" t="s">
        <v>1936</v>
      </c>
      <c r="BT772" s="1" t="s">
        <v>3296</v>
      </c>
      <c r="BX772" s="1">
        <v>1</v>
      </c>
    </row>
    <row r="773" spans="1:76" x14ac:dyDescent="0.25">
      <c r="A773" s="1" t="s">
        <v>3300</v>
      </c>
      <c r="B773" s="1" t="s">
        <v>203</v>
      </c>
      <c r="C773" s="1">
        <v>1</v>
      </c>
      <c r="D773" s="1" t="s">
        <v>3301</v>
      </c>
      <c r="E773" s="1">
        <v>1272</v>
      </c>
      <c r="F773" s="1" t="s">
        <v>3300</v>
      </c>
      <c r="G773" s="1">
        <v>0.92</v>
      </c>
      <c r="L773" s="1">
        <v>12000</v>
      </c>
      <c r="N773" s="1">
        <v>750</v>
      </c>
      <c r="P773" s="1">
        <v>750</v>
      </c>
      <c r="R773" s="1">
        <v>10</v>
      </c>
      <c r="Z773" s="1">
        <v>0.05</v>
      </c>
      <c r="AA773" s="1">
        <v>4.5</v>
      </c>
      <c r="AB773" s="1">
        <v>4</v>
      </c>
      <c r="AC773" s="1">
        <v>0.7</v>
      </c>
      <c r="AH773" s="1">
        <v>0</v>
      </c>
      <c r="AI773" s="1">
        <v>1</v>
      </c>
      <c r="AJ773" s="1" t="s">
        <v>3302</v>
      </c>
      <c r="AK773" s="1" t="s">
        <v>265</v>
      </c>
      <c r="AL773" s="1" t="s">
        <v>228</v>
      </c>
      <c r="AN773" s="22" t="s">
        <v>9767</v>
      </c>
      <c r="AX773" s="1">
        <v>1</v>
      </c>
      <c r="AZ773" s="1">
        <v>0.1</v>
      </c>
      <c r="BG773" s="1" t="s">
        <v>3300</v>
      </c>
      <c r="BM773" s="1" t="s">
        <v>2373</v>
      </c>
      <c r="BQ773" s="1" t="s">
        <v>207</v>
      </c>
      <c r="BR773" s="1" t="s">
        <v>208</v>
      </c>
      <c r="BS773" s="1" t="s">
        <v>229</v>
      </c>
      <c r="BT773" s="1" t="s">
        <v>210</v>
      </c>
      <c r="BX773" s="1">
        <v>1</v>
      </c>
    </row>
    <row r="774" spans="1:76" x14ac:dyDescent="0.25">
      <c r="A774" s="1" t="s">
        <v>3303</v>
      </c>
      <c r="B774" s="1" t="s">
        <v>203</v>
      </c>
      <c r="C774" s="1">
        <v>1</v>
      </c>
      <c r="D774" s="1" t="s">
        <v>3304</v>
      </c>
      <c r="E774" s="1">
        <v>1272</v>
      </c>
      <c r="F774" s="1" t="s">
        <v>3303</v>
      </c>
      <c r="G774" s="1">
        <v>0.92</v>
      </c>
      <c r="L774" s="1">
        <v>15000</v>
      </c>
      <c r="N774" s="1">
        <v>850</v>
      </c>
      <c r="P774" s="1">
        <v>750</v>
      </c>
      <c r="R774" s="1">
        <v>10</v>
      </c>
      <c r="Z774" s="1">
        <v>0.05</v>
      </c>
      <c r="AA774" s="1">
        <v>4.5</v>
      </c>
      <c r="AB774" s="1">
        <v>4</v>
      </c>
      <c r="AC774" s="1">
        <v>0.7</v>
      </c>
      <c r="AH774" s="1">
        <v>0</v>
      </c>
      <c r="AI774" s="1">
        <v>1</v>
      </c>
      <c r="AJ774" s="1" t="s">
        <v>3305</v>
      </c>
      <c r="AK774" s="1" t="s">
        <v>265</v>
      </c>
      <c r="AL774" s="1" t="s">
        <v>228</v>
      </c>
      <c r="AN774" s="22" t="s">
        <v>9767</v>
      </c>
      <c r="AX774" s="1">
        <v>1</v>
      </c>
      <c r="AZ774" s="1">
        <v>0.1</v>
      </c>
      <c r="BG774" s="1" t="s">
        <v>3303</v>
      </c>
      <c r="BM774" s="1" t="s">
        <v>2373</v>
      </c>
      <c r="BQ774" s="1" t="s">
        <v>207</v>
      </c>
      <c r="BR774" s="1" t="s">
        <v>208</v>
      </c>
      <c r="BS774" s="1" t="s">
        <v>229</v>
      </c>
      <c r="BT774" s="1" t="s">
        <v>210</v>
      </c>
      <c r="BX774" s="1">
        <v>1</v>
      </c>
    </row>
    <row r="775" spans="1:76" x14ac:dyDescent="0.25">
      <c r="A775" s="1" t="s">
        <v>3306</v>
      </c>
      <c r="B775" s="1" t="s">
        <v>203</v>
      </c>
      <c r="C775" s="1">
        <v>1</v>
      </c>
      <c r="D775" s="1" t="s">
        <v>3307</v>
      </c>
      <c r="E775" s="1">
        <v>1273</v>
      </c>
      <c r="F775" s="1" t="s">
        <v>3306</v>
      </c>
      <c r="G775" s="1">
        <v>1</v>
      </c>
      <c r="L775" s="1">
        <v>15000</v>
      </c>
      <c r="N775" s="1">
        <v>600</v>
      </c>
      <c r="P775" s="1">
        <v>1500</v>
      </c>
      <c r="R775" s="1">
        <v>10</v>
      </c>
      <c r="Z775" s="1">
        <v>0.05</v>
      </c>
      <c r="AA775" s="1">
        <v>6</v>
      </c>
      <c r="AB775" s="1">
        <v>4</v>
      </c>
      <c r="AC775" s="1">
        <v>0.5</v>
      </c>
      <c r="AH775" s="1">
        <v>0</v>
      </c>
      <c r="AI775" s="1">
        <v>1</v>
      </c>
      <c r="AJ775" s="1" t="s">
        <v>3308</v>
      </c>
      <c r="AK775" s="1" t="s">
        <v>265</v>
      </c>
      <c r="AL775" s="1" t="s">
        <v>228</v>
      </c>
      <c r="AN775" s="22" t="s">
        <v>9767</v>
      </c>
      <c r="AX775" s="1">
        <v>1</v>
      </c>
      <c r="AZ775" s="1">
        <v>0.1</v>
      </c>
      <c r="BG775" s="1" t="s">
        <v>3306</v>
      </c>
      <c r="BM775" s="1" t="s">
        <v>2373</v>
      </c>
      <c r="BQ775" s="1" t="s">
        <v>207</v>
      </c>
      <c r="BR775" s="1" t="s">
        <v>208</v>
      </c>
      <c r="BS775" s="1" t="s">
        <v>229</v>
      </c>
      <c r="BT775" s="1" t="s">
        <v>210</v>
      </c>
      <c r="BX775" s="1">
        <v>1</v>
      </c>
    </row>
    <row r="776" spans="1:76" x14ac:dyDescent="0.25">
      <c r="A776" s="1" t="s">
        <v>3309</v>
      </c>
      <c r="B776" s="1" t="s">
        <v>203</v>
      </c>
      <c r="C776" s="1">
        <v>1</v>
      </c>
      <c r="D776" s="1" t="s">
        <v>3310</v>
      </c>
      <c r="E776" s="1">
        <v>1273</v>
      </c>
      <c r="F776" s="1" t="s">
        <v>3309</v>
      </c>
      <c r="G776" s="1">
        <v>1</v>
      </c>
      <c r="L776" s="1">
        <v>18000</v>
      </c>
      <c r="N776" s="1">
        <v>750</v>
      </c>
      <c r="P776" s="1">
        <v>1500</v>
      </c>
      <c r="R776" s="1">
        <v>10</v>
      </c>
      <c r="Z776" s="1">
        <v>0.05</v>
      </c>
      <c r="AA776" s="1">
        <v>6</v>
      </c>
      <c r="AB776" s="1">
        <v>4</v>
      </c>
      <c r="AC776" s="1">
        <v>0.5</v>
      </c>
      <c r="AH776" s="1">
        <v>0</v>
      </c>
      <c r="AI776" s="1">
        <v>1</v>
      </c>
      <c r="AJ776" s="1" t="s">
        <v>3311</v>
      </c>
      <c r="AK776" s="1" t="s">
        <v>265</v>
      </c>
      <c r="AL776" s="1" t="s">
        <v>228</v>
      </c>
      <c r="AN776" s="22" t="s">
        <v>9767</v>
      </c>
      <c r="AX776" s="1">
        <v>1</v>
      </c>
      <c r="AZ776" s="1">
        <v>0.1</v>
      </c>
      <c r="BG776" s="1" t="s">
        <v>3309</v>
      </c>
      <c r="BM776" s="1" t="s">
        <v>2373</v>
      </c>
      <c r="BQ776" s="1" t="s">
        <v>207</v>
      </c>
      <c r="BR776" s="1" t="s">
        <v>208</v>
      </c>
      <c r="BS776" s="1" t="s">
        <v>229</v>
      </c>
      <c r="BT776" s="1" t="s">
        <v>210</v>
      </c>
      <c r="BX776" s="1">
        <v>1</v>
      </c>
    </row>
    <row r="777" spans="1:76" x14ac:dyDescent="0.25">
      <c r="A777" s="1" t="s">
        <v>3312</v>
      </c>
      <c r="B777" s="1" t="s">
        <v>203</v>
      </c>
      <c r="C777" s="1">
        <v>1</v>
      </c>
      <c r="D777" s="1" t="s">
        <v>3313</v>
      </c>
      <c r="E777" s="1">
        <v>1274</v>
      </c>
      <c r="F777" s="1" t="s">
        <v>3312</v>
      </c>
      <c r="G777" s="1">
        <v>0.92</v>
      </c>
      <c r="L777" s="1">
        <v>10000</v>
      </c>
      <c r="N777" s="1">
        <v>650</v>
      </c>
      <c r="P777" s="1">
        <v>800</v>
      </c>
      <c r="R777" s="1">
        <v>20</v>
      </c>
      <c r="Z777" s="1">
        <v>0.05</v>
      </c>
      <c r="AA777" s="1">
        <v>3</v>
      </c>
      <c r="AB777" s="1">
        <v>3</v>
      </c>
      <c r="AC777" s="1">
        <v>0.7</v>
      </c>
      <c r="AH777" s="1">
        <v>0</v>
      </c>
      <c r="AI777" s="1">
        <v>1</v>
      </c>
      <c r="AJ777" s="1" t="s">
        <v>3314</v>
      </c>
      <c r="AK777" s="1" t="s">
        <v>265</v>
      </c>
      <c r="AL777" s="1" t="s">
        <v>228</v>
      </c>
      <c r="AN777" s="22" t="s">
        <v>9767</v>
      </c>
      <c r="AX777" s="1">
        <v>1</v>
      </c>
      <c r="AZ777" s="1">
        <v>0.1</v>
      </c>
      <c r="BG777" s="1" t="s">
        <v>3312</v>
      </c>
      <c r="BM777" s="1" t="s">
        <v>2382</v>
      </c>
      <c r="BQ777" s="1" t="s">
        <v>207</v>
      </c>
      <c r="BR777" s="1" t="s">
        <v>208</v>
      </c>
      <c r="BS777" s="1" t="s">
        <v>229</v>
      </c>
      <c r="BT777" s="1" t="s">
        <v>210</v>
      </c>
      <c r="BX777" s="1">
        <v>1</v>
      </c>
    </row>
    <row r="778" spans="1:76" x14ac:dyDescent="0.25">
      <c r="A778" s="1" t="s">
        <v>3315</v>
      </c>
      <c r="B778" s="1" t="s">
        <v>203</v>
      </c>
      <c r="C778" s="1">
        <v>1</v>
      </c>
      <c r="D778" s="1" t="s">
        <v>3316</v>
      </c>
      <c r="E778" s="1">
        <v>1274</v>
      </c>
      <c r="F778" s="1" t="s">
        <v>3315</v>
      </c>
      <c r="G778" s="1">
        <v>0.92</v>
      </c>
      <c r="L778" s="1">
        <v>13500</v>
      </c>
      <c r="N778" s="1">
        <v>750</v>
      </c>
      <c r="P778" s="1">
        <v>800</v>
      </c>
      <c r="R778" s="1">
        <v>20</v>
      </c>
      <c r="Z778" s="1">
        <v>0.05</v>
      </c>
      <c r="AA778" s="1">
        <v>3</v>
      </c>
      <c r="AB778" s="1">
        <v>3</v>
      </c>
      <c r="AC778" s="1">
        <v>0.7</v>
      </c>
      <c r="AH778" s="1">
        <v>0</v>
      </c>
      <c r="AI778" s="1">
        <v>1</v>
      </c>
      <c r="AJ778" s="1" t="s">
        <v>3317</v>
      </c>
      <c r="AK778" s="1" t="s">
        <v>265</v>
      </c>
      <c r="AL778" s="1" t="s">
        <v>228</v>
      </c>
      <c r="AN778" s="22" t="s">
        <v>9767</v>
      </c>
      <c r="AX778" s="1">
        <v>1</v>
      </c>
      <c r="AZ778" s="1">
        <v>0.1</v>
      </c>
      <c r="BG778" s="1" t="s">
        <v>3315</v>
      </c>
      <c r="BM778" s="1" t="s">
        <v>2382</v>
      </c>
      <c r="BQ778" s="1" t="s">
        <v>207</v>
      </c>
      <c r="BR778" s="1" t="s">
        <v>208</v>
      </c>
      <c r="BS778" s="1" t="s">
        <v>229</v>
      </c>
      <c r="BT778" s="1" t="s">
        <v>210</v>
      </c>
      <c r="BX778" s="1">
        <v>1</v>
      </c>
    </row>
    <row r="779" spans="1:76" x14ac:dyDescent="0.25">
      <c r="A779" s="1" t="s">
        <v>3318</v>
      </c>
      <c r="B779" s="1" t="s">
        <v>203</v>
      </c>
      <c r="C779" s="1">
        <v>1</v>
      </c>
      <c r="D779" s="1" t="s">
        <v>3319</v>
      </c>
      <c r="E779" s="1">
        <v>1275</v>
      </c>
      <c r="F779" s="1" t="s">
        <v>3318</v>
      </c>
      <c r="G779" s="1">
        <v>0.94</v>
      </c>
      <c r="L779" s="1">
        <v>12000</v>
      </c>
      <c r="N779" s="1">
        <v>450</v>
      </c>
      <c r="P779" s="1">
        <v>250</v>
      </c>
      <c r="R779" s="1">
        <v>50</v>
      </c>
      <c r="Z779" s="1">
        <v>0.05</v>
      </c>
      <c r="AA779" s="1">
        <v>4</v>
      </c>
      <c r="AB779" s="1">
        <v>2</v>
      </c>
      <c r="AC779" s="1">
        <v>0.8</v>
      </c>
      <c r="AH779" s="1">
        <v>0</v>
      </c>
      <c r="AI779" s="1">
        <v>1</v>
      </c>
      <c r="AJ779" s="1" t="s">
        <v>3320</v>
      </c>
      <c r="AK779" s="1" t="s">
        <v>265</v>
      </c>
      <c r="AL779" s="1" t="s">
        <v>228</v>
      </c>
      <c r="AN779" s="22" t="s">
        <v>9767</v>
      </c>
      <c r="AX779" s="1">
        <v>1</v>
      </c>
      <c r="AZ779" s="1">
        <v>0.1</v>
      </c>
      <c r="BG779" s="1" t="s">
        <v>3318</v>
      </c>
      <c r="BM779" s="1" t="s">
        <v>1073</v>
      </c>
      <c r="BQ779" s="1" t="s">
        <v>207</v>
      </c>
      <c r="BR779" s="1" t="s">
        <v>208</v>
      </c>
      <c r="BS779" s="1" t="s">
        <v>229</v>
      </c>
      <c r="BT779" s="1" t="s">
        <v>210</v>
      </c>
      <c r="BX779" s="1">
        <v>1</v>
      </c>
    </row>
    <row r="780" spans="1:76" x14ac:dyDescent="0.25">
      <c r="A780" s="1" t="s">
        <v>3321</v>
      </c>
      <c r="B780" s="1" t="s">
        <v>203</v>
      </c>
      <c r="C780" s="1">
        <v>1</v>
      </c>
      <c r="D780" s="1" t="s">
        <v>3322</v>
      </c>
      <c r="E780" s="1">
        <v>1275</v>
      </c>
      <c r="F780" s="1" t="s">
        <v>3321</v>
      </c>
      <c r="G780" s="1">
        <v>0.94</v>
      </c>
      <c r="L780" s="1">
        <v>14000</v>
      </c>
      <c r="N780" s="1">
        <v>500</v>
      </c>
      <c r="P780" s="1">
        <v>250</v>
      </c>
      <c r="R780" s="1">
        <v>50</v>
      </c>
      <c r="Z780" s="1">
        <v>0.05</v>
      </c>
      <c r="AA780" s="1">
        <v>4</v>
      </c>
      <c r="AB780" s="1">
        <v>2</v>
      </c>
      <c r="AC780" s="1">
        <v>0.8</v>
      </c>
      <c r="AH780" s="1">
        <v>0</v>
      </c>
      <c r="AI780" s="1">
        <v>1</v>
      </c>
      <c r="AJ780" s="1" t="s">
        <v>3323</v>
      </c>
      <c r="AK780" s="1" t="s">
        <v>265</v>
      </c>
      <c r="AL780" s="1" t="s">
        <v>228</v>
      </c>
      <c r="AN780" s="22" t="s">
        <v>9767</v>
      </c>
      <c r="AX780" s="1">
        <v>1</v>
      </c>
      <c r="AZ780" s="1">
        <v>0.1</v>
      </c>
      <c r="BG780" s="1" t="s">
        <v>3321</v>
      </c>
      <c r="BM780" s="1" t="s">
        <v>1073</v>
      </c>
      <c r="BQ780" s="1" t="s">
        <v>207</v>
      </c>
      <c r="BR780" s="1" t="s">
        <v>208</v>
      </c>
      <c r="BS780" s="1" t="s">
        <v>229</v>
      </c>
      <c r="BT780" s="1" t="s">
        <v>210</v>
      </c>
      <c r="BX780" s="1">
        <v>1</v>
      </c>
    </row>
    <row r="781" spans="1:76" x14ac:dyDescent="0.25">
      <c r="A781" s="1" t="s">
        <v>3324</v>
      </c>
      <c r="B781" s="1" t="s">
        <v>203</v>
      </c>
      <c r="C781" s="1">
        <v>1</v>
      </c>
      <c r="D781" s="1" t="s">
        <v>3325</v>
      </c>
      <c r="E781" s="1">
        <v>1533</v>
      </c>
      <c r="F781" s="1" t="s">
        <v>3324</v>
      </c>
      <c r="G781" s="1">
        <v>1.08</v>
      </c>
      <c r="L781" s="1">
        <v>65000</v>
      </c>
      <c r="N781" s="1">
        <v>1600</v>
      </c>
      <c r="P781" s="1">
        <v>2000</v>
      </c>
      <c r="R781" s="1">
        <v>40</v>
      </c>
      <c r="Z781" s="1">
        <v>0.05</v>
      </c>
      <c r="AA781" s="1">
        <v>5</v>
      </c>
      <c r="AB781" s="1">
        <v>10</v>
      </c>
      <c r="AC781" s="1">
        <v>0.5</v>
      </c>
      <c r="AH781" s="1">
        <v>0</v>
      </c>
      <c r="AI781" s="1">
        <v>1</v>
      </c>
      <c r="AJ781" s="1" t="s">
        <v>3326</v>
      </c>
      <c r="AK781" s="1" t="s">
        <v>265</v>
      </c>
      <c r="AL781" s="1" t="s">
        <v>228</v>
      </c>
      <c r="AN781" s="22" t="s">
        <v>9767</v>
      </c>
      <c r="AX781" s="1">
        <v>2</v>
      </c>
      <c r="AZ781" s="1">
        <v>0.1</v>
      </c>
      <c r="BG781" s="1" t="s">
        <v>3324</v>
      </c>
      <c r="BM781" s="1" t="s">
        <v>3327</v>
      </c>
      <c r="BQ781" s="1" t="s">
        <v>3328</v>
      </c>
      <c r="BR781" s="1" t="s">
        <v>1935</v>
      </c>
      <c r="BS781" s="1" t="s">
        <v>1936</v>
      </c>
      <c r="BT781" s="1" t="s">
        <v>3329</v>
      </c>
      <c r="BU781" s="1" t="s">
        <v>3330</v>
      </c>
      <c r="BX781" s="1">
        <v>5</v>
      </c>
    </row>
    <row r="782" spans="1:76" x14ac:dyDescent="0.25">
      <c r="A782" s="1" t="s">
        <v>3331</v>
      </c>
      <c r="B782" s="1" t="s">
        <v>203</v>
      </c>
      <c r="C782" s="1">
        <v>1</v>
      </c>
      <c r="D782" s="1" t="s">
        <v>3325</v>
      </c>
      <c r="E782" s="1">
        <v>1533</v>
      </c>
      <c r="F782" s="1" t="s">
        <v>3324</v>
      </c>
      <c r="G782" s="1">
        <v>1.08</v>
      </c>
      <c r="L782" s="1">
        <v>80000</v>
      </c>
      <c r="N782" s="1">
        <v>1800</v>
      </c>
      <c r="P782" s="1">
        <v>2400</v>
      </c>
      <c r="R782" s="1">
        <v>40</v>
      </c>
      <c r="Z782" s="1">
        <v>0.05</v>
      </c>
      <c r="AA782" s="1">
        <v>5</v>
      </c>
      <c r="AB782" s="1">
        <v>10</v>
      </c>
      <c r="AC782" s="1">
        <v>0.5</v>
      </c>
      <c r="AH782" s="1">
        <v>0</v>
      </c>
      <c r="AI782" s="1">
        <v>1</v>
      </c>
      <c r="AJ782" s="1" t="s">
        <v>3332</v>
      </c>
      <c r="AK782" s="1" t="s">
        <v>265</v>
      </c>
      <c r="AL782" s="1" t="s">
        <v>228</v>
      </c>
      <c r="AN782" s="22" t="s">
        <v>9767</v>
      </c>
      <c r="AX782" s="1">
        <v>2</v>
      </c>
      <c r="AZ782" s="1">
        <v>0.1</v>
      </c>
      <c r="BG782" s="1" t="s">
        <v>3324</v>
      </c>
      <c r="BM782" s="1" t="s">
        <v>3327</v>
      </c>
      <c r="BQ782" s="1" t="s">
        <v>3328</v>
      </c>
      <c r="BR782" s="1" t="s">
        <v>1935</v>
      </c>
      <c r="BS782" s="1" t="s">
        <v>1936</v>
      </c>
      <c r="BT782" s="1" t="s">
        <v>3329</v>
      </c>
      <c r="BU782" s="1" t="s">
        <v>3330</v>
      </c>
      <c r="BX782" s="1">
        <v>5</v>
      </c>
    </row>
    <row r="783" spans="1:76" x14ac:dyDescent="0.25">
      <c r="A783" s="1" t="s">
        <v>3333</v>
      </c>
      <c r="B783" s="1" t="s">
        <v>203</v>
      </c>
      <c r="C783" s="1">
        <v>1</v>
      </c>
      <c r="D783" s="1" t="s">
        <v>3325</v>
      </c>
      <c r="E783" s="1">
        <v>1533</v>
      </c>
      <c r="F783" s="1" t="s">
        <v>3324</v>
      </c>
      <c r="G783" s="1">
        <v>1.08</v>
      </c>
      <c r="L783" s="1">
        <v>80000</v>
      </c>
      <c r="N783" s="1">
        <v>1800</v>
      </c>
      <c r="P783" s="1">
        <v>2400</v>
      </c>
      <c r="R783" s="1">
        <v>40</v>
      </c>
      <c r="Z783" s="1">
        <v>0.05</v>
      </c>
      <c r="AA783" s="1">
        <v>5</v>
      </c>
      <c r="AB783" s="1">
        <v>10</v>
      </c>
      <c r="AC783" s="1">
        <v>0.5</v>
      </c>
      <c r="AH783" s="1">
        <v>0</v>
      </c>
      <c r="AI783" s="1">
        <v>1</v>
      </c>
      <c r="AJ783" s="1" t="s">
        <v>3334</v>
      </c>
      <c r="AK783" s="1" t="s">
        <v>265</v>
      </c>
      <c r="AL783" s="1" t="s">
        <v>228</v>
      </c>
      <c r="AN783" s="22" t="s">
        <v>9767</v>
      </c>
      <c r="AX783" s="1">
        <v>2</v>
      </c>
      <c r="AZ783" s="1">
        <v>0.1</v>
      </c>
      <c r="BG783" s="1" t="s">
        <v>3324</v>
      </c>
      <c r="BM783" s="1" t="s">
        <v>3335</v>
      </c>
      <c r="BQ783" s="1" t="s">
        <v>3328</v>
      </c>
      <c r="BR783" s="1" t="s">
        <v>1935</v>
      </c>
      <c r="BS783" s="1" t="s">
        <v>1936</v>
      </c>
      <c r="BT783" s="1" t="s">
        <v>3329</v>
      </c>
      <c r="BU783" s="1" t="s">
        <v>3330</v>
      </c>
      <c r="BX783" s="1">
        <v>5</v>
      </c>
    </row>
    <row r="784" spans="1:76" x14ac:dyDescent="0.25">
      <c r="A784" s="1" t="s">
        <v>3336</v>
      </c>
      <c r="B784" s="1" t="s">
        <v>203</v>
      </c>
      <c r="C784" s="1">
        <v>1</v>
      </c>
      <c r="D784" s="1" t="s">
        <v>3337</v>
      </c>
      <c r="E784" s="1">
        <v>1276</v>
      </c>
      <c r="F784" s="1" t="s">
        <v>3336</v>
      </c>
      <c r="G784" s="1">
        <v>1</v>
      </c>
      <c r="L784" s="1">
        <v>50000</v>
      </c>
      <c r="N784" s="1">
        <v>0</v>
      </c>
      <c r="P784" s="1">
        <v>3000</v>
      </c>
      <c r="R784" s="1">
        <v>90</v>
      </c>
      <c r="Z784" s="1">
        <v>0.05</v>
      </c>
      <c r="AA784" s="1">
        <v>4</v>
      </c>
      <c r="AB784" s="1">
        <v>6</v>
      </c>
      <c r="AC784" s="1">
        <v>0.5</v>
      </c>
      <c r="AH784" s="1">
        <v>0</v>
      </c>
      <c r="AI784" s="1">
        <v>1</v>
      </c>
      <c r="AJ784" s="1" t="s">
        <v>3338</v>
      </c>
      <c r="AK784" s="1" t="s">
        <v>265</v>
      </c>
      <c r="AL784" s="1" t="s">
        <v>228</v>
      </c>
      <c r="AN784" s="22" t="s">
        <v>9767</v>
      </c>
      <c r="AX784" s="1">
        <v>1</v>
      </c>
      <c r="AZ784" s="1">
        <v>0.1</v>
      </c>
      <c r="BG784" s="1" t="s">
        <v>3336</v>
      </c>
      <c r="BM784" s="1" t="s">
        <v>3339</v>
      </c>
      <c r="BQ784" s="1" t="s">
        <v>207</v>
      </c>
      <c r="BR784" s="1" t="s">
        <v>208</v>
      </c>
      <c r="BS784" s="1" t="s">
        <v>229</v>
      </c>
      <c r="BT784" s="1" t="s">
        <v>208</v>
      </c>
      <c r="BX784" s="1">
        <v>1</v>
      </c>
    </row>
    <row r="785" spans="1:76" x14ac:dyDescent="0.25">
      <c r="A785" s="1" t="s">
        <v>3340</v>
      </c>
      <c r="B785" s="1" t="s">
        <v>203</v>
      </c>
      <c r="C785" s="1">
        <v>1</v>
      </c>
      <c r="D785" s="1" t="s">
        <v>3341</v>
      </c>
      <c r="E785" s="1">
        <v>1266</v>
      </c>
      <c r="F785" s="1" t="s">
        <v>3340</v>
      </c>
      <c r="G785" s="1">
        <v>1</v>
      </c>
      <c r="L785" s="1">
        <v>40000</v>
      </c>
      <c r="N785" s="1">
        <v>2000</v>
      </c>
      <c r="P785" s="1">
        <v>1000</v>
      </c>
      <c r="R785" s="1">
        <v>30</v>
      </c>
      <c r="Z785" s="1">
        <v>0.05</v>
      </c>
      <c r="AA785" s="1">
        <v>3</v>
      </c>
      <c r="AB785" s="1">
        <v>4</v>
      </c>
      <c r="AC785" s="1">
        <v>0.5</v>
      </c>
      <c r="AH785" s="1">
        <v>0</v>
      </c>
      <c r="AI785" s="1">
        <v>1</v>
      </c>
      <c r="AJ785" s="1" t="s">
        <v>3342</v>
      </c>
      <c r="AK785" s="1" t="s">
        <v>265</v>
      </c>
      <c r="AL785" s="1" t="s">
        <v>228</v>
      </c>
      <c r="AN785" s="22" t="s">
        <v>9767</v>
      </c>
      <c r="AX785" s="1">
        <v>1</v>
      </c>
      <c r="AZ785" s="1">
        <v>0.1</v>
      </c>
      <c r="BG785" s="1" t="s">
        <v>3340</v>
      </c>
      <c r="BM785" s="1" t="s">
        <v>989</v>
      </c>
      <c r="BQ785" s="1" t="s">
        <v>207</v>
      </c>
      <c r="BR785" s="1" t="s">
        <v>208</v>
      </c>
      <c r="BS785" s="1" t="s">
        <v>229</v>
      </c>
      <c r="BT785" s="1" t="s">
        <v>210</v>
      </c>
      <c r="BX785" s="1">
        <v>1</v>
      </c>
    </row>
    <row r="786" spans="1:76" x14ac:dyDescent="0.25">
      <c r="A786" s="1" t="s">
        <v>3343</v>
      </c>
      <c r="B786" s="1" t="s">
        <v>203</v>
      </c>
      <c r="C786" s="1">
        <v>1</v>
      </c>
      <c r="D786" s="1" t="s">
        <v>9704</v>
      </c>
      <c r="E786" s="1">
        <v>1266</v>
      </c>
      <c r="F786" s="1" t="s">
        <v>3343</v>
      </c>
      <c r="G786" s="1">
        <v>1</v>
      </c>
      <c r="L786" s="1">
        <v>50000</v>
      </c>
      <c r="N786" s="1">
        <v>2400</v>
      </c>
      <c r="P786" s="1">
        <v>1200</v>
      </c>
      <c r="R786" s="1">
        <v>40</v>
      </c>
      <c r="Z786" s="1">
        <v>0.05</v>
      </c>
      <c r="AA786" s="1">
        <v>3</v>
      </c>
      <c r="AB786" s="1">
        <v>4</v>
      </c>
      <c r="AC786" s="1">
        <v>0.5</v>
      </c>
      <c r="AH786" s="1">
        <v>0</v>
      </c>
      <c r="AI786" s="1">
        <v>1</v>
      </c>
      <c r="AJ786" s="1" t="s">
        <v>3344</v>
      </c>
      <c r="AK786" s="1" t="s">
        <v>265</v>
      </c>
      <c r="AL786" s="1" t="s">
        <v>228</v>
      </c>
      <c r="AN786" s="22" t="s">
        <v>9767</v>
      </c>
      <c r="AX786" s="1">
        <v>1</v>
      </c>
      <c r="AZ786" s="1">
        <v>0.1</v>
      </c>
      <c r="BG786" s="1" t="s">
        <v>3340</v>
      </c>
      <c r="BM786" s="1" t="s">
        <v>989</v>
      </c>
      <c r="BQ786" s="1" t="s">
        <v>207</v>
      </c>
      <c r="BR786" s="1" t="s">
        <v>208</v>
      </c>
      <c r="BS786" s="1" t="s">
        <v>229</v>
      </c>
      <c r="BT786" s="1" t="s">
        <v>210</v>
      </c>
      <c r="BX786" s="1">
        <v>1</v>
      </c>
    </row>
    <row r="787" spans="1:76" x14ac:dyDescent="0.25">
      <c r="A787" s="1" t="s">
        <v>3345</v>
      </c>
      <c r="B787" s="1" t="s">
        <v>203</v>
      </c>
      <c r="C787" s="1">
        <v>1</v>
      </c>
      <c r="D787" s="1" t="s">
        <v>3341</v>
      </c>
      <c r="E787" s="1">
        <v>1266</v>
      </c>
      <c r="F787" s="1" t="s">
        <v>3340</v>
      </c>
      <c r="G787" s="1">
        <v>1</v>
      </c>
      <c r="L787" s="1">
        <v>40000</v>
      </c>
      <c r="N787" s="1">
        <v>2000</v>
      </c>
      <c r="P787" s="1">
        <v>1000</v>
      </c>
      <c r="R787" s="1">
        <v>30</v>
      </c>
      <c r="Z787" s="1">
        <v>0.05</v>
      </c>
      <c r="AA787" s="1">
        <v>3</v>
      </c>
      <c r="AB787" s="1">
        <v>4</v>
      </c>
      <c r="AC787" s="1">
        <v>0.5</v>
      </c>
      <c r="AH787" s="1">
        <v>0</v>
      </c>
      <c r="AI787" s="1">
        <v>1</v>
      </c>
      <c r="AJ787" s="1" t="s">
        <v>3346</v>
      </c>
      <c r="AK787" s="1" t="s">
        <v>265</v>
      </c>
      <c r="AL787" s="1" t="s">
        <v>228</v>
      </c>
      <c r="AN787" s="22" t="s">
        <v>9767</v>
      </c>
      <c r="AX787" s="1">
        <v>1</v>
      </c>
      <c r="AZ787" s="1">
        <v>0.1</v>
      </c>
      <c r="BG787" s="1" t="s">
        <v>3340</v>
      </c>
      <c r="BM787" s="1" t="s">
        <v>989</v>
      </c>
      <c r="BQ787" s="1" t="s">
        <v>207</v>
      </c>
      <c r="BR787" s="1" t="s">
        <v>208</v>
      </c>
      <c r="BS787" s="1" t="s">
        <v>229</v>
      </c>
      <c r="BT787" s="1" t="s">
        <v>210</v>
      </c>
      <c r="BX787" s="1">
        <v>1</v>
      </c>
    </row>
    <row r="788" spans="1:76" x14ac:dyDescent="0.25">
      <c r="A788" s="1" t="s">
        <v>3347</v>
      </c>
      <c r="B788" s="1" t="s">
        <v>203</v>
      </c>
      <c r="C788" s="1">
        <v>1</v>
      </c>
      <c r="D788" s="1" t="s">
        <v>9704</v>
      </c>
      <c r="E788" s="1">
        <v>1266</v>
      </c>
      <c r="F788" s="1" t="s">
        <v>3343</v>
      </c>
      <c r="G788" s="1">
        <v>1</v>
      </c>
      <c r="L788" s="1">
        <v>50000</v>
      </c>
      <c r="N788" s="1">
        <v>2400</v>
      </c>
      <c r="P788" s="1">
        <v>1200</v>
      </c>
      <c r="R788" s="1">
        <v>40</v>
      </c>
      <c r="Z788" s="1">
        <v>0.05</v>
      </c>
      <c r="AA788" s="1">
        <v>3</v>
      </c>
      <c r="AB788" s="1">
        <v>4</v>
      </c>
      <c r="AC788" s="1">
        <v>0.5</v>
      </c>
      <c r="AH788" s="1">
        <v>0</v>
      </c>
      <c r="AI788" s="1">
        <v>1</v>
      </c>
      <c r="AJ788" s="1" t="s">
        <v>3348</v>
      </c>
      <c r="AK788" s="1" t="s">
        <v>265</v>
      </c>
      <c r="AL788" s="1" t="s">
        <v>228</v>
      </c>
      <c r="AN788" s="22" t="s">
        <v>9767</v>
      </c>
      <c r="AX788" s="1">
        <v>1</v>
      </c>
      <c r="AZ788" s="1">
        <v>0.1</v>
      </c>
      <c r="BG788" s="1" t="s">
        <v>3340</v>
      </c>
      <c r="BM788" s="1" t="s">
        <v>989</v>
      </c>
      <c r="BQ788" s="1" t="s">
        <v>207</v>
      </c>
      <c r="BR788" s="1" t="s">
        <v>208</v>
      </c>
      <c r="BS788" s="1" t="s">
        <v>229</v>
      </c>
      <c r="BT788" s="1" t="s">
        <v>210</v>
      </c>
      <c r="BX788" s="1">
        <v>1</v>
      </c>
    </row>
    <row r="789" spans="1:76" x14ac:dyDescent="0.25">
      <c r="A789" s="1" t="s">
        <v>3349</v>
      </c>
      <c r="B789" s="1" t="s">
        <v>203</v>
      </c>
      <c r="C789" s="1">
        <v>1</v>
      </c>
      <c r="D789" s="1" t="s">
        <v>3350</v>
      </c>
      <c r="E789" s="1">
        <v>1277</v>
      </c>
      <c r="F789" s="1" t="s">
        <v>3349</v>
      </c>
      <c r="G789" s="1">
        <v>1</v>
      </c>
      <c r="L789" s="1">
        <v>3500</v>
      </c>
      <c r="N789" s="1">
        <v>320</v>
      </c>
      <c r="P789" s="1">
        <v>120</v>
      </c>
      <c r="R789" s="1">
        <v>10</v>
      </c>
      <c r="Z789" s="1">
        <v>0.05</v>
      </c>
      <c r="AA789" s="1">
        <v>1.8</v>
      </c>
      <c r="AB789" s="1">
        <v>1</v>
      </c>
      <c r="AC789" s="1">
        <v>1</v>
      </c>
      <c r="AH789" s="1">
        <v>0</v>
      </c>
      <c r="AI789" s="1">
        <v>1</v>
      </c>
      <c r="AJ789" s="1" t="s">
        <v>3351</v>
      </c>
      <c r="AK789" s="1" t="s">
        <v>206</v>
      </c>
      <c r="AL789" s="1" t="s">
        <v>228</v>
      </c>
      <c r="AN789" s="22" t="s">
        <v>9767</v>
      </c>
      <c r="AX789" s="1">
        <v>1</v>
      </c>
      <c r="AZ789" s="1">
        <v>0.1</v>
      </c>
      <c r="BG789" s="1" t="s">
        <v>3349</v>
      </c>
      <c r="BM789" s="1" t="s">
        <v>930</v>
      </c>
      <c r="BQ789" s="1" t="s">
        <v>207</v>
      </c>
      <c r="BR789" s="1" t="s">
        <v>208</v>
      </c>
      <c r="BS789" s="1" t="s">
        <v>229</v>
      </c>
      <c r="BT789" s="1" t="s">
        <v>210</v>
      </c>
      <c r="BX789" s="1">
        <v>1</v>
      </c>
    </row>
    <row r="790" spans="1:76" x14ac:dyDescent="0.25">
      <c r="A790" s="1" t="s">
        <v>3352</v>
      </c>
      <c r="B790" s="1" t="s">
        <v>203</v>
      </c>
      <c r="C790" s="1">
        <v>1</v>
      </c>
      <c r="D790" s="1" t="s">
        <v>3353</v>
      </c>
      <c r="E790" s="1" t="s">
        <v>3354</v>
      </c>
      <c r="F790" s="1" t="s">
        <v>3352</v>
      </c>
      <c r="G790" s="1">
        <v>1</v>
      </c>
      <c r="L790" s="1">
        <v>4400</v>
      </c>
      <c r="N790" s="1">
        <v>375</v>
      </c>
      <c r="P790" s="1">
        <v>180</v>
      </c>
      <c r="R790" s="1">
        <v>10</v>
      </c>
      <c r="Z790" s="1">
        <v>0.05</v>
      </c>
      <c r="AA790" s="1">
        <v>1.8</v>
      </c>
      <c r="AB790" s="1">
        <v>1</v>
      </c>
      <c r="AC790" s="1">
        <v>1</v>
      </c>
      <c r="AH790" s="1">
        <v>0</v>
      </c>
      <c r="AI790" s="1">
        <v>1</v>
      </c>
      <c r="AJ790" s="1" t="s">
        <v>3355</v>
      </c>
      <c r="AK790" s="1" t="s">
        <v>206</v>
      </c>
      <c r="AL790" s="1" t="s">
        <v>228</v>
      </c>
      <c r="AN790" s="22" t="s">
        <v>9767</v>
      </c>
      <c r="AX790" s="1">
        <v>1</v>
      </c>
      <c r="AZ790" s="1">
        <v>0.1</v>
      </c>
      <c r="BG790" s="1" t="s">
        <v>3352</v>
      </c>
      <c r="BM790" s="1" t="s">
        <v>930</v>
      </c>
      <c r="BQ790" s="1" t="s">
        <v>207</v>
      </c>
      <c r="BR790" s="1" t="s">
        <v>208</v>
      </c>
      <c r="BS790" s="1" t="s">
        <v>229</v>
      </c>
      <c r="BT790" s="1" t="s">
        <v>210</v>
      </c>
      <c r="BX790" s="1">
        <v>1</v>
      </c>
    </row>
    <row r="791" spans="1:76" x14ac:dyDescent="0.25">
      <c r="A791" s="1" t="s">
        <v>3356</v>
      </c>
      <c r="B791" s="1" t="s">
        <v>203</v>
      </c>
      <c r="C791" s="1">
        <v>1</v>
      </c>
      <c r="D791" s="1" t="s">
        <v>3357</v>
      </c>
      <c r="E791" s="1" t="s">
        <v>3358</v>
      </c>
      <c r="F791" s="1" t="s">
        <v>3356</v>
      </c>
      <c r="G791" s="1">
        <v>1</v>
      </c>
      <c r="L791" s="1">
        <v>4000</v>
      </c>
      <c r="N791" s="1">
        <v>300</v>
      </c>
      <c r="P791" s="1">
        <v>200</v>
      </c>
      <c r="R791" s="1">
        <v>10</v>
      </c>
      <c r="Z791" s="1">
        <v>0.05</v>
      </c>
      <c r="AA791" s="1">
        <v>2.8</v>
      </c>
      <c r="AB791" s="1">
        <v>1</v>
      </c>
      <c r="AC791" s="1">
        <v>1</v>
      </c>
      <c r="AH791" s="1">
        <v>0</v>
      </c>
      <c r="AI791" s="1">
        <v>1</v>
      </c>
      <c r="AJ791" s="1" t="s">
        <v>3359</v>
      </c>
      <c r="AK791" s="1" t="s">
        <v>206</v>
      </c>
      <c r="AL791" s="1" t="s">
        <v>228</v>
      </c>
      <c r="AN791" s="22" t="s">
        <v>9767</v>
      </c>
      <c r="AX791" s="1">
        <v>1</v>
      </c>
      <c r="AZ791" s="1">
        <v>0.1</v>
      </c>
      <c r="BG791" s="1" t="s">
        <v>3356</v>
      </c>
      <c r="BM791" s="1" t="s">
        <v>936</v>
      </c>
      <c r="BQ791" s="1" t="s">
        <v>207</v>
      </c>
      <c r="BR791" s="1" t="s">
        <v>208</v>
      </c>
      <c r="BS791" s="1" t="s">
        <v>229</v>
      </c>
      <c r="BT791" s="1" t="s">
        <v>210</v>
      </c>
      <c r="BX791" s="1">
        <v>1</v>
      </c>
    </row>
    <row r="792" spans="1:76" x14ac:dyDescent="0.25">
      <c r="A792" s="1" t="s">
        <v>3360</v>
      </c>
      <c r="B792" s="1" t="s">
        <v>203</v>
      </c>
      <c r="C792" s="1">
        <v>1</v>
      </c>
      <c r="D792" s="1" t="s">
        <v>3361</v>
      </c>
      <c r="E792" s="1" t="s">
        <v>3358</v>
      </c>
      <c r="F792" s="1" t="s">
        <v>3360</v>
      </c>
      <c r="G792" s="1">
        <v>1</v>
      </c>
      <c r="L792" s="1">
        <v>5500</v>
      </c>
      <c r="N792" s="1">
        <v>380</v>
      </c>
      <c r="P792" s="1">
        <v>200</v>
      </c>
      <c r="R792" s="1">
        <v>10</v>
      </c>
      <c r="Z792" s="1">
        <v>0.05</v>
      </c>
      <c r="AA792" s="1">
        <v>2.8</v>
      </c>
      <c r="AB792" s="1">
        <v>1</v>
      </c>
      <c r="AC792" s="1">
        <v>1</v>
      </c>
      <c r="AH792" s="1">
        <v>0</v>
      </c>
      <c r="AI792" s="1">
        <v>1</v>
      </c>
      <c r="AJ792" s="1" t="s">
        <v>3362</v>
      </c>
      <c r="AK792" s="1" t="s">
        <v>206</v>
      </c>
      <c r="AL792" s="1" t="s">
        <v>228</v>
      </c>
      <c r="AN792" s="22" t="s">
        <v>9767</v>
      </c>
      <c r="AX792" s="1">
        <v>1</v>
      </c>
      <c r="AZ792" s="1">
        <v>0.1</v>
      </c>
      <c r="BG792" s="1" t="s">
        <v>3360</v>
      </c>
      <c r="BM792" s="1" t="s">
        <v>936</v>
      </c>
      <c r="BQ792" s="1" t="s">
        <v>207</v>
      </c>
      <c r="BR792" s="1" t="s">
        <v>208</v>
      </c>
      <c r="BS792" s="1" t="s">
        <v>229</v>
      </c>
      <c r="BT792" s="1" t="s">
        <v>210</v>
      </c>
      <c r="BX792" s="1">
        <v>1</v>
      </c>
    </row>
    <row r="793" spans="1:76" x14ac:dyDescent="0.25">
      <c r="A793" s="1" t="s">
        <v>3363</v>
      </c>
      <c r="B793" s="1" t="s">
        <v>203</v>
      </c>
      <c r="C793" s="1">
        <v>1</v>
      </c>
      <c r="D793" s="1" t="s">
        <v>3364</v>
      </c>
      <c r="E793" s="1" t="s">
        <v>3365</v>
      </c>
      <c r="F793" s="1" t="s">
        <v>3363</v>
      </c>
      <c r="G793" s="1">
        <v>1</v>
      </c>
      <c r="L793" s="1">
        <v>9000</v>
      </c>
      <c r="N793" s="1">
        <v>500</v>
      </c>
      <c r="P793" s="1">
        <v>900</v>
      </c>
      <c r="R793" s="1">
        <v>10</v>
      </c>
      <c r="Z793" s="1">
        <v>0.05</v>
      </c>
      <c r="AA793" s="1">
        <v>3</v>
      </c>
      <c r="AB793" s="1">
        <v>4</v>
      </c>
      <c r="AC793" s="1">
        <v>0.5</v>
      </c>
      <c r="AH793" s="1">
        <v>1</v>
      </c>
      <c r="AI793" s="1">
        <v>1</v>
      </c>
      <c r="AJ793" s="1" t="s">
        <v>3366</v>
      </c>
      <c r="AK793" s="1" t="s">
        <v>3367</v>
      </c>
      <c r="AL793" s="1" t="s">
        <v>228</v>
      </c>
      <c r="AN793" s="22" t="s">
        <v>9767</v>
      </c>
      <c r="AX793" s="1">
        <v>1</v>
      </c>
      <c r="AZ793" s="1">
        <v>0.1</v>
      </c>
      <c r="BG793" s="1" t="s">
        <v>3363</v>
      </c>
      <c r="BM793" s="1" t="s">
        <v>930</v>
      </c>
      <c r="BQ793" s="1" t="s">
        <v>207</v>
      </c>
      <c r="BR793" s="1" t="s">
        <v>208</v>
      </c>
      <c r="BS793" s="1" t="s">
        <v>229</v>
      </c>
      <c r="BT793" s="1" t="s">
        <v>210</v>
      </c>
      <c r="BX793" s="1">
        <v>1</v>
      </c>
    </row>
    <row r="794" spans="1:76" x14ac:dyDescent="0.25">
      <c r="A794" s="1" t="s">
        <v>3368</v>
      </c>
      <c r="B794" s="1" t="s">
        <v>203</v>
      </c>
      <c r="C794" s="1">
        <v>1</v>
      </c>
      <c r="D794" s="1" t="s">
        <v>3369</v>
      </c>
      <c r="E794" s="1" t="s">
        <v>3365</v>
      </c>
      <c r="F794" s="1" t="s">
        <v>3368</v>
      </c>
      <c r="G794" s="1">
        <v>1</v>
      </c>
      <c r="L794" s="1">
        <v>12000</v>
      </c>
      <c r="N794" s="1">
        <v>600</v>
      </c>
      <c r="P794" s="1">
        <v>1100</v>
      </c>
      <c r="R794" s="1">
        <v>10</v>
      </c>
      <c r="Z794" s="1">
        <v>0.05</v>
      </c>
      <c r="AA794" s="1">
        <v>3</v>
      </c>
      <c r="AB794" s="1">
        <v>4</v>
      </c>
      <c r="AC794" s="1">
        <v>0.5</v>
      </c>
      <c r="AH794" s="1">
        <v>1</v>
      </c>
      <c r="AI794" s="1">
        <v>1</v>
      </c>
      <c r="AJ794" s="1" t="s">
        <v>3370</v>
      </c>
      <c r="AK794" s="1" t="s">
        <v>3367</v>
      </c>
      <c r="AL794" s="1" t="s">
        <v>228</v>
      </c>
      <c r="AN794" s="22" t="s">
        <v>9767</v>
      </c>
      <c r="AX794" s="1">
        <v>1</v>
      </c>
      <c r="AZ794" s="1">
        <v>0.1</v>
      </c>
      <c r="BG794" s="1" t="s">
        <v>3368</v>
      </c>
      <c r="BM794" s="1" t="s">
        <v>930</v>
      </c>
      <c r="BQ794" s="1" t="s">
        <v>207</v>
      </c>
      <c r="BR794" s="1" t="s">
        <v>208</v>
      </c>
      <c r="BS794" s="1" t="s">
        <v>229</v>
      </c>
      <c r="BT794" s="1" t="s">
        <v>210</v>
      </c>
      <c r="BX794" s="1">
        <v>1</v>
      </c>
    </row>
    <row r="795" spans="1:76" x14ac:dyDescent="0.25">
      <c r="A795" s="1" t="s">
        <v>3371</v>
      </c>
      <c r="B795" s="1" t="s">
        <v>203</v>
      </c>
      <c r="C795" s="1">
        <v>1</v>
      </c>
      <c r="D795" s="1" t="s">
        <v>3372</v>
      </c>
      <c r="E795" s="1">
        <v>1280</v>
      </c>
      <c r="F795" s="1" t="s">
        <v>3371</v>
      </c>
      <c r="G795" s="1">
        <v>1</v>
      </c>
      <c r="L795" s="1">
        <v>4500</v>
      </c>
      <c r="N795" s="1">
        <v>320</v>
      </c>
      <c r="P795" s="1">
        <v>250</v>
      </c>
      <c r="R795" s="1">
        <v>40</v>
      </c>
      <c r="Z795" s="1">
        <v>0.05</v>
      </c>
      <c r="AA795" s="1">
        <v>3.5</v>
      </c>
      <c r="AB795" s="1">
        <v>2</v>
      </c>
      <c r="AC795" s="1">
        <v>0.8</v>
      </c>
      <c r="AH795" s="1">
        <v>0</v>
      </c>
      <c r="AI795" s="1">
        <v>1</v>
      </c>
      <c r="AJ795" s="1" t="s">
        <v>3373</v>
      </c>
      <c r="AK795" s="1" t="s">
        <v>3374</v>
      </c>
      <c r="AL795" s="1" t="s">
        <v>228</v>
      </c>
      <c r="AN795" s="22" t="s">
        <v>9767</v>
      </c>
      <c r="AX795" s="1">
        <v>1</v>
      </c>
      <c r="AZ795" s="1">
        <v>0.1</v>
      </c>
      <c r="BG795" s="1" t="s">
        <v>3371</v>
      </c>
      <c r="BM795" s="1" t="s">
        <v>936</v>
      </c>
      <c r="BQ795" s="1" t="s">
        <v>207</v>
      </c>
      <c r="BR795" s="1" t="s">
        <v>208</v>
      </c>
      <c r="BS795" s="1" t="s">
        <v>229</v>
      </c>
      <c r="BT795" s="1" t="s">
        <v>210</v>
      </c>
      <c r="BX795" s="1">
        <v>1</v>
      </c>
    </row>
    <row r="796" spans="1:76" x14ac:dyDescent="0.25">
      <c r="A796" s="1" t="s">
        <v>3375</v>
      </c>
      <c r="B796" s="1" t="s">
        <v>203</v>
      </c>
      <c r="C796" s="1">
        <v>1</v>
      </c>
      <c r="D796" s="1" t="s">
        <v>3376</v>
      </c>
      <c r="E796" s="1" t="s">
        <v>3377</v>
      </c>
      <c r="F796" s="1" t="s">
        <v>3375</v>
      </c>
      <c r="G796" s="1">
        <v>1</v>
      </c>
      <c r="L796" s="1">
        <v>6000</v>
      </c>
      <c r="N796" s="1">
        <v>400</v>
      </c>
      <c r="P796" s="1">
        <v>250</v>
      </c>
      <c r="R796" s="1">
        <v>40</v>
      </c>
      <c r="Z796" s="1">
        <v>0.05</v>
      </c>
      <c r="AA796" s="1">
        <v>3.5</v>
      </c>
      <c r="AB796" s="1">
        <v>2</v>
      </c>
      <c r="AC796" s="1">
        <v>0.8</v>
      </c>
      <c r="AH796" s="1">
        <v>0</v>
      </c>
      <c r="AI796" s="1">
        <v>1</v>
      </c>
      <c r="AJ796" s="1" t="s">
        <v>3378</v>
      </c>
      <c r="AK796" s="1" t="s">
        <v>3374</v>
      </c>
      <c r="AL796" s="1" t="s">
        <v>228</v>
      </c>
      <c r="AN796" s="22" t="s">
        <v>9767</v>
      </c>
      <c r="AX796" s="1">
        <v>1</v>
      </c>
      <c r="AZ796" s="1">
        <v>0.1</v>
      </c>
      <c r="BG796" s="1" t="s">
        <v>3375</v>
      </c>
      <c r="BM796" s="1" t="s">
        <v>936</v>
      </c>
      <c r="BQ796" s="1" t="s">
        <v>207</v>
      </c>
      <c r="BR796" s="1" t="s">
        <v>208</v>
      </c>
      <c r="BS796" s="1" t="s">
        <v>229</v>
      </c>
      <c r="BT796" s="1" t="s">
        <v>210</v>
      </c>
      <c r="BX796" s="1">
        <v>1</v>
      </c>
    </row>
    <row r="797" spans="1:76" x14ac:dyDescent="0.25">
      <c r="A797" s="1" t="s">
        <v>3379</v>
      </c>
      <c r="B797" s="1" t="s">
        <v>203</v>
      </c>
      <c r="C797" s="1">
        <v>1</v>
      </c>
      <c r="D797" s="1" t="s">
        <v>3380</v>
      </c>
      <c r="E797" s="1" t="s">
        <v>3381</v>
      </c>
      <c r="F797" s="1" t="s">
        <v>3379</v>
      </c>
      <c r="G797" s="1">
        <v>1</v>
      </c>
      <c r="L797" s="1">
        <v>10000</v>
      </c>
      <c r="N797" s="1">
        <v>900</v>
      </c>
      <c r="P797" s="1">
        <v>1000</v>
      </c>
      <c r="R797" s="1">
        <v>15</v>
      </c>
      <c r="Z797" s="1">
        <v>0.05</v>
      </c>
      <c r="AA797" s="1">
        <v>5</v>
      </c>
      <c r="AB797" s="1">
        <v>4</v>
      </c>
      <c r="AC797" s="1">
        <v>1.2</v>
      </c>
      <c r="AH797" s="1">
        <v>0</v>
      </c>
      <c r="AI797" s="1">
        <v>1</v>
      </c>
      <c r="AJ797" s="1" t="s">
        <v>3382</v>
      </c>
      <c r="AK797" s="1" t="s">
        <v>3383</v>
      </c>
      <c r="AL797" s="1" t="s">
        <v>228</v>
      </c>
      <c r="AN797" s="22" t="s">
        <v>9767</v>
      </c>
      <c r="AX797" s="1">
        <v>1</v>
      </c>
      <c r="AZ797" s="1">
        <v>0.1</v>
      </c>
      <c r="BG797" s="1" t="s">
        <v>3379</v>
      </c>
      <c r="BM797" s="1" t="s">
        <v>2382</v>
      </c>
      <c r="BQ797" s="1" t="s">
        <v>207</v>
      </c>
      <c r="BR797" s="1" t="s">
        <v>208</v>
      </c>
      <c r="BS797" s="1" t="s">
        <v>229</v>
      </c>
      <c r="BT797" s="1" t="s">
        <v>3196</v>
      </c>
      <c r="BX797" s="1">
        <v>1</v>
      </c>
    </row>
    <row r="798" spans="1:76" x14ac:dyDescent="0.25">
      <c r="A798" s="1" t="s">
        <v>3384</v>
      </c>
      <c r="B798" s="1" t="s">
        <v>203</v>
      </c>
      <c r="C798" s="1">
        <v>1</v>
      </c>
      <c r="D798" s="1" t="s">
        <v>3385</v>
      </c>
      <c r="E798" s="1" t="s">
        <v>3381</v>
      </c>
      <c r="F798" s="1" t="s">
        <v>3384</v>
      </c>
      <c r="G798" s="1">
        <v>1</v>
      </c>
      <c r="L798" s="1">
        <v>18000</v>
      </c>
      <c r="N798" s="1">
        <v>1100</v>
      </c>
      <c r="P798" s="1">
        <v>1300</v>
      </c>
      <c r="R798" s="1">
        <v>15</v>
      </c>
      <c r="Z798" s="1">
        <v>0.05</v>
      </c>
      <c r="AA798" s="1">
        <v>5</v>
      </c>
      <c r="AB798" s="1">
        <v>4</v>
      </c>
      <c r="AC798" s="1">
        <v>1.2</v>
      </c>
      <c r="AH798" s="1">
        <v>0</v>
      </c>
      <c r="AI798" s="1">
        <v>1</v>
      </c>
      <c r="AJ798" s="1" t="s">
        <v>3386</v>
      </c>
      <c r="AK798" s="1" t="s">
        <v>3383</v>
      </c>
      <c r="AL798" s="1" t="s">
        <v>228</v>
      </c>
      <c r="AN798" s="22" t="s">
        <v>9767</v>
      </c>
      <c r="AX798" s="1">
        <v>1</v>
      </c>
      <c r="AZ798" s="1">
        <v>0.1</v>
      </c>
      <c r="BG798" s="1" t="s">
        <v>3384</v>
      </c>
      <c r="BM798" s="1" t="s">
        <v>2382</v>
      </c>
      <c r="BQ798" s="1" t="s">
        <v>207</v>
      </c>
      <c r="BR798" s="1" t="s">
        <v>208</v>
      </c>
      <c r="BS798" s="1" t="s">
        <v>229</v>
      </c>
      <c r="BT798" s="1" t="s">
        <v>3196</v>
      </c>
      <c r="BX798" s="1">
        <v>1</v>
      </c>
    </row>
    <row r="799" spans="1:76" x14ac:dyDescent="0.25">
      <c r="A799" s="1" t="s">
        <v>3387</v>
      </c>
      <c r="B799" s="1" t="s">
        <v>203</v>
      </c>
      <c r="C799" s="1">
        <v>1</v>
      </c>
      <c r="D799" s="1" t="s">
        <v>3388</v>
      </c>
      <c r="E799" s="1" t="s">
        <v>3389</v>
      </c>
      <c r="F799" s="1" t="s">
        <v>3387</v>
      </c>
      <c r="G799" s="1">
        <v>1</v>
      </c>
      <c r="L799" s="1">
        <v>7500</v>
      </c>
      <c r="N799" s="1">
        <v>500</v>
      </c>
      <c r="P799" s="1">
        <v>500</v>
      </c>
      <c r="R799" s="1">
        <v>25</v>
      </c>
      <c r="Z799" s="1">
        <v>0.05</v>
      </c>
      <c r="AA799" s="1">
        <v>2.5</v>
      </c>
      <c r="AB799" s="1">
        <v>1</v>
      </c>
      <c r="AC799" s="1">
        <v>0.7</v>
      </c>
      <c r="AH799" s="1">
        <v>0</v>
      </c>
      <c r="AI799" s="1">
        <v>1</v>
      </c>
      <c r="AJ799" s="1" t="s">
        <v>3390</v>
      </c>
      <c r="AK799" s="1" t="s">
        <v>3391</v>
      </c>
      <c r="AL799" s="1" t="s">
        <v>228</v>
      </c>
      <c r="AN799" s="22" t="s">
        <v>9767</v>
      </c>
      <c r="AX799" s="1">
        <v>1</v>
      </c>
      <c r="AZ799" s="1">
        <v>0.1</v>
      </c>
      <c r="BG799" s="1" t="s">
        <v>3387</v>
      </c>
      <c r="BM799" s="1" t="s">
        <v>989</v>
      </c>
      <c r="BQ799" s="1" t="s">
        <v>207</v>
      </c>
      <c r="BR799" s="1" t="s">
        <v>208</v>
      </c>
      <c r="BS799" s="1" t="s">
        <v>229</v>
      </c>
      <c r="BT799" s="1" t="s">
        <v>210</v>
      </c>
      <c r="BX799" s="1">
        <v>1</v>
      </c>
    </row>
    <row r="800" spans="1:76" x14ac:dyDescent="0.25">
      <c r="A800" s="1" t="s">
        <v>3392</v>
      </c>
      <c r="B800" s="1" t="s">
        <v>203</v>
      </c>
      <c r="C800" s="1">
        <v>1</v>
      </c>
      <c r="D800" s="1" t="s">
        <v>3393</v>
      </c>
      <c r="E800" s="1" t="s">
        <v>3389</v>
      </c>
      <c r="F800" s="1" t="s">
        <v>3392</v>
      </c>
      <c r="G800" s="1">
        <v>1</v>
      </c>
      <c r="L800" s="1">
        <v>9500</v>
      </c>
      <c r="N800" s="1">
        <v>600</v>
      </c>
      <c r="P800" s="1">
        <v>500</v>
      </c>
      <c r="R800" s="1">
        <v>25</v>
      </c>
      <c r="Z800" s="1">
        <v>0.05</v>
      </c>
      <c r="AA800" s="1">
        <v>2.5</v>
      </c>
      <c r="AB800" s="1">
        <v>1</v>
      </c>
      <c r="AC800" s="1">
        <v>0.7</v>
      </c>
      <c r="AH800" s="1">
        <v>0</v>
      </c>
      <c r="AI800" s="1">
        <v>1</v>
      </c>
      <c r="AJ800" s="1" t="s">
        <v>3394</v>
      </c>
      <c r="AK800" s="1" t="s">
        <v>3391</v>
      </c>
      <c r="AL800" s="1" t="s">
        <v>228</v>
      </c>
      <c r="AN800" s="22" t="s">
        <v>9767</v>
      </c>
      <c r="AX800" s="1">
        <v>1</v>
      </c>
      <c r="AZ800" s="1">
        <v>0.1</v>
      </c>
      <c r="BG800" s="1" t="s">
        <v>3392</v>
      </c>
      <c r="BM800" s="1" t="s">
        <v>989</v>
      </c>
      <c r="BQ800" s="1" t="s">
        <v>207</v>
      </c>
      <c r="BR800" s="1" t="s">
        <v>208</v>
      </c>
      <c r="BS800" s="1" t="s">
        <v>229</v>
      </c>
      <c r="BT800" s="1" t="s">
        <v>210</v>
      </c>
      <c r="BX800" s="1">
        <v>1</v>
      </c>
    </row>
    <row r="801" spans="1:76" x14ac:dyDescent="0.25">
      <c r="A801" s="1" t="s">
        <v>3395</v>
      </c>
      <c r="B801" s="1" t="s">
        <v>203</v>
      </c>
      <c r="C801" s="1">
        <v>1</v>
      </c>
      <c r="D801" s="1" t="s">
        <v>3396</v>
      </c>
      <c r="E801" s="1" t="s">
        <v>3397</v>
      </c>
      <c r="F801" s="1" t="s">
        <v>3395</v>
      </c>
      <c r="G801" s="1">
        <v>1</v>
      </c>
      <c r="L801" s="1">
        <v>12000</v>
      </c>
      <c r="N801" s="1">
        <v>800</v>
      </c>
      <c r="P801" s="1">
        <v>800</v>
      </c>
      <c r="R801" s="1">
        <v>45</v>
      </c>
      <c r="Z801" s="1">
        <v>0.05</v>
      </c>
      <c r="AA801" s="1">
        <v>3</v>
      </c>
      <c r="AB801" s="1">
        <v>3</v>
      </c>
      <c r="AC801" s="1">
        <v>0.9</v>
      </c>
      <c r="AH801" s="1">
        <v>0</v>
      </c>
      <c r="AI801" s="1">
        <v>1</v>
      </c>
      <c r="AJ801" s="1" t="s">
        <v>3398</v>
      </c>
      <c r="AK801" s="1" t="s">
        <v>3367</v>
      </c>
      <c r="AL801" s="1" t="s">
        <v>228</v>
      </c>
      <c r="AN801" s="22" t="s">
        <v>9767</v>
      </c>
      <c r="AX801" s="1">
        <v>1</v>
      </c>
      <c r="AZ801" s="1">
        <v>0.1</v>
      </c>
      <c r="BG801" s="1" t="s">
        <v>3395</v>
      </c>
      <c r="BM801" s="1" t="s">
        <v>957</v>
      </c>
      <c r="BQ801" s="1" t="s">
        <v>207</v>
      </c>
      <c r="BR801" s="1" t="s">
        <v>208</v>
      </c>
      <c r="BS801" s="1" t="s">
        <v>229</v>
      </c>
      <c r="BT801" s="1" t="s">
        <v>210</v>
      </c>
      <c r="BX801" s="1">
        <v>1</v>
      </c>
    </row>
    <row r="802" spans="1:76" x14ac:dyDescent="0.25">
      <c r="A802" s="1" t="s">
        <v>3399</v>
      </c>
      <c r="B802" s="1" t="s">
        <v>203</v>
      </c>
      <c r="C802" s="1">
        <v>1</v>
      </c>
      <c r="D802" s="1" t="s">
        <v>3400</v>
      </c>
      <c r="E802" s="1" t="s">
        <v>3397</v>
      </c>
      <c r="F802" s="1" t="s">
        <v>3399</v>
      </c>
      <c r="G802" s="1">
        <v>1</v>
      </c>
      <c r="L802" s="1">
        <v>18000</v>
      </c>
      <c r="N802" s="1">
        <v>1050</v>
      </c>
      <c r="P802" s="1">
        <v>800</v>
      </c>
      <c r="R802" s="1">
        <v>45</v>
      </c>
      <c r="Z802" s="1">
        <v>0.05</v>
      </c>
      <c r="AA802" s="1">
        <v>3</v>
      </c>
      <c r="AB802" s="1">
        <v>3</v>
      </c>
      <c r="AC802" s="1">
        <v>0.9</v>
      </c>
      <c r="AH802" s="1">
        <v>0</v>
      </c>
      <c r="AI802" s="1">
        <v>1</v>
      </c>
      <c r="AJ802" s="1" t="s">
        <v>3401</v>
      </c>
      <c r="AK802" s="1" t="s">
        <v>3367</v>
      </c>
      <c r="AL802" s="1" t="s">
        <v>228</v>
      </c>
      <c r="AN802" s="22" t="s">
        <v>9767</v>
      </c>
      <c r="AX802" s="1">
        <v>1</v>
      </c>
      <c r="AZ802" s="1">
        <v>0.1</v>
      </c>
      <c r="BG802" s="1" t="s">
        <v>3399</v>
      </c>
      <c r="BM802" s="1" t="s">
        <v>957</v>
      </c>
      <c r="BQ802" s="1" t="s">
        <v>207</v>
      </c>
      <c r="BR802" s="1" t="s">
        <v>208</v>
      </c>
      <c r="BS802" s="1" t="s">
        <v>229</v>
      </c>
      <c r="BT802" s="1" t="s">
        <v>210</v>
      </c>
      <c r="BX802" s="1">
        <v>1</v>
      </c>
    </row>
    <row r="803" spans="1:76" x14ac:dyDescent="0.25">
      <c r="A803" s="1" t="s">
        <v>3402</v>
      </c>
      <c r="B803" s="1" t="s">
        <v>203</v>
      </c>
      <c r="C803" s="1">
        <v>1</v>
      </c>
      <c r="D803" s="1" t="s">
        <v>3403</v>
      </c>
      <c r="E803" s="1" t="s">
        <v>3404</v>
      </c>
      <c r="F803" s="1" t="s">
        <v>3402</v>
      </c>
      <c r="G803" s="1">
        <v>1</v>
      </c>
      <c r="L803" s="1">
        <v>22000</v>
      </c>
      <c r="N803" s="1">
        <v>900</v>
      </c>
      <c r="P803" s="1">
        <v>500</v>
      </c>
      <c r="R803" s="1">
        <v>40</v>
      </c>
      <c r="Z803" s="1">
        <v>0.05</v>
      </c>
      <c r="AA803" s="1">
        <v>4.5</v>
      </c>
      <c r="AB803" s="1">
        <v>5</v>
      </c>
      <c r="AC803" s="1">
        <v>1</v>
      </c>
      <c r="AH803" s="1">
        <v>0</v>
      </c>
      <c r="AI803" s="1">
        <v>1</v>
      </c>
      <c r="AJ803" s="1" t="s">
        <v>3405</v>
      </c>
      <c r="AK803" s="1" t="s">
        <v>3406</v>
      </c>
      <c r="AL803" s="1" t="s">
        <v>228</v>
      </c>
      <c r="AN803" s="22" t="s">
        <v>9767</v>
      </c>
      <c r="AO803" s="22" t="s">
        <v>9771</v>
      </c>
      <c r="AX803" s="1">
        <v>1</v>
      </c>
      <c r="AZ803" s="1">
        <v>0.1</v>
      </c>
      <c r="BG803" s="1" t="s">
        <v>3402</v>
      </c>
      <c r="BM803" s="1" t="s">
        <v>957</v>
      </c>
      <c r="BQ803" s="1" t="s">
        <v>207</v>
      </c>
      <c r="BR803" s="1" t="s">
        <v>208</v>
      </c>
      <c r="BS803" s="1" t="s">
        <v>229</v>
      </c>
      <c r="BT803" s="1" t="s">
        <v>210</v>
      </c>
      <c r="BX803" s="1">
        <v>1</v>
      </c>
    </row>
    <row r="804" spans="1:76" x14ac:dyDescent="0.25">
      <c r="A804" s="1" t="s">
        <v>3407</v>
      </c>
      <c r="B804" s="1" t="s">
        <v>203</v>
      </c>
      <c r="C804" s="1">
        <v>1</v>
      </c>
      <c r="D804" s="1" t="s">
        <v>3408</v>
      </c>
      <c r="E804" s="1">
        <v>1285</v>
      </c>
      <c r="F804" s="1" t="s">
        <v>3407</v>
      </c>
      <c r="G804" s="1">
        <v>1</v>
      </c>
      <c r="L804" s="1">
        <v>30000</v>
      </c>
      <c r="N804" s="1">
        <v>0</v>
      </c>
      <c r="P804" s="1">
        <v>200</v>
      </c>
      <c r="R804" s="1">
        <v>0</v>
      </c>
      <c r="Z804" s="1">
        <v>0.05</v>
      </c>
      <c r="AA804" s="1">
        <v>1</v>
      </c>
      <c r="AB804" s="1">
        <v>5</v>
      </c>
      <c r="AC804" s="1">
        <v>1</v>
      </c>
      <c r="AH804" s="1">
        <v>0</v>
      </c>
      <c r="AI804" s="1">
        <v>1</v>
      </c>
      <c r="AJ804" s="1" t="s">
        <v>3409</v>
      </c>
      <c r="AK804" s="1" t="s">
        <v>265</v>
      </c>
      <c r="AL804" s="1" t="s">
        <v>228</v>
      </c>
      <c r="AN804" s="22" t="s">
        <v>9767</v>
      </c>
      <c r="AX804" s="1">
        <v>1</v>
      </c>
      <c r="AZ804" s="1">
        <v>0.1</v>
      </c>
      <c r="BG804" s="1" t="s">
        <v>3407</v>
      </c>
      <c r="BM804" s="1" t="s">
        <v>3410</v>
      </c>
      <c r="BQ804" s="1" t="s">
        <v>207</v>
      </c>
      <c r="BR804" s="1" t="s">
        <v>208</v>
      </c>
      <c r="BS804" s="1" t="s">
        <v>229</v>
      </c>
      <c r="BT804" s="1" t="s">
        <v>210</v>
      </c>
      <c r="BX804" s="1">
        <v>1</v>
      </c>
    </row>
    <row r="805" spans="1:76" x14ac:dyDescent="0.25">
      <c r="A805" s="1" t="s">
        <v>3411</v>
      </c>
      <c r="B805" s="1" t="s">
        <v>203</v>
      </c>
      <c r="C805" s="1">
        <v>1</v>
      </c>
      <c r="D805" s="1" t="s">
        <v>3412</v>
      </c>
      <c r="E805" s="1" t="s">
        <v>3413</v>
      </c>
      <c r="F805" s="1" t="s">
        <v>3411</v>
      </c>
      <c r="G805" s="1">
        <v>1</v>
      </c>
      <c r="L805" s="1">
        <v>35000</v>
      </c>
      <c r="N805" s="1">
        <v>800</v>
      </c>
      <c r="P805" s="1">
        <v>1000</v>
      </c>
      <c r="R805" s="1">
        <v>60</v>
      </c>
      <c r="Z805" s="1">
        <v>0.05</v>
      </c>
      <c r="AA805" s="1">
        <v>4</v>
      </c>
      <c r="AB805" s="1">
        <v>5</v>
      </c>
      <c r="AC805" s="1">
        <v>0.6</v>
      </c>
      <c r="AH805" s="1">
        <v>0</v>
      </c>
      <c r="AI805" s="1">
        <v>1</v>
      </c>
      <c r="AJ805" s="1" t="s">
        <v>3414</v>
      </c>
      <c r="AK805" s="1" t="s">
        <v>265</v>
      </c>
      <c r="AL805" s="1" t="s">
        <v>228</v>
      </c>
      <c r="AN805" s="22" t="s">
        <v>9767</v>
      </c>
      <c r="AX805" s="1">
        <v>2</v>
      </c>
      <c r="AZ805" s="1">
        <v>0.1</v>
      </c>
      <c r="BG805" s="1" t="s">
        <v>3411</v>
      </c>
      <c r="BM805" s="1" t="s">
        <v>3415</v>
      </c>
      <c r="BQ805" s="1" t="s">
        <v>3416</v>
      </c>
      <c r="BR805" s="1" t="s">
        <v>2593</v>
      </c>
      <c r="BS805" s="1" t="s">
        <v>2594</v>
      </c>
      <c r="BT805" s="1" t="s">
        <v>2595</v>
      </c>
      <c r="BX805" s="1">
        <v>1</v>
      </c>
    </row>
    <row r="806" spans="1:76" x14ac:dyDescent="0.25">
      <c r="A806" s="1" t="s">
        <v>3417</v>
      </c>
      <c r="B806" s="1" t="s">
        <v>203</v>
      </c>
      <c r="C806" s="1">
        <v>1</v>
      </c>
      <c r="D806" s="1" t="s">
        <v>3418</v>
      </c>
      <c r="E806" s="1" t="s">
        <v>3419</v>
      </c>
      <c r="F806" s="1" t="s">
        <v>3417</v>
      </c>
      <c r="G806" s="1">
        <v>1</v>
      </c>
      <c r="L806" s="1">
        <v>3000</v>
      </c>
      <c r="N806" s="1">
        <v>0</v>
      </c>
      <c r="P806" s="1">
        <v>50</v>
      </c>
      <c r="R806" s="1">
        <v>0</v>
      </c>
      <c r="Z806" s="1">
        <v>0.05</v>
      </c>
      <c r="AA806" s="1">
        <v>0</v>
      </c>
      <c r="AB806" s="1">
        <v>1</v>
      </c>
      <c r="AC806" s="1">
        <v>0.65</v>
      </c>
      <c r="AH806" s="1">
        <v>1</v>
      </c>
      <c r="AI806" s="1">
        <v>0</v>
      </c>
      <c r="AJ806" s="1" t="s">
        <v>3420</v>
      </c>
      <c r="AK806" s="1" t="s">
        <v>265</v>
      </c>
      <c r="AL806" s="1" t="s">
        <v>228</v>
      </c>
      <c r="AN806" s="22" t="s">
        <v>9767</v>
      </c>
      <c r="AX806" s="1">
        <v>0</v>
      </c>
      <c r="AZ806" s="1">
        <v>0.1</v>
      </c>
      <c r="BG806" s="1" t="s">
        <v>3417</v>
      </c>
      <c r="BM806" s="1" t="s">
        <v>3421</v>
      </c>
      <c r="BN806" s="1" t="s">
        <v>3422</v>
      </c>
      <c r="BQ806" s="1" t="s">
        <v>207</v>
      </c>
      <c r="BR806" s="1" t="s">
        <v>208</v>
      </c>
      <c r="BS806" s="1" t="s">
        <v>229</v>
      </c>
      <c r="BT806" s="1" t="s">
        <v>210</v>
      </c>
      <c r="BX806" s="1">
        <v>1</v>
      </c>
    </row>
    <row r="807" spans="1:76" x14ac:dyDescent="0.25">
      <c r="A807" s="1" t="s">
        <v>3423</v>
      </c>
      <c r="B807" s="1" t="s">
        <v>203</v>
      </c>
      <c r="C807" s="1">
        <v>1</v>
      </c>
      <c r="D807" s="1" t="s">
        <v>3424</v>
      </c>
      <c r="E807" s="1">
        <v>1286</v>
      </c>
      <c r="F807" s="1" t="s">
        <v>3423</v>
      </c>
      <c r="G807" s="1">
        <v>1</v>
      </c>
      <c r="L807" s="1">
        <v>3500</v>
      </c>
      <c r="N807" s="1">
        <v>330</v>
      </c>
      <c r="P807" s="1">
        <v>150</v>
      </c>
      <c r="R807" s="1">
        <v>0</v>
      </c>
      <c r="Z807" s="1">
        <v>0.05</v>
      </c>
      <c r="AA807" s="1">
        <v>2.2000000000000002</v>
      </c>
      <c r="AB807" s="1">
        <v>1</v>
      </c>
      <c r="AC807" s="1">
        <v>0.9</v>
      </c>
      <c r="AH807" s="1">
        <v>0</v>
      </c>
      <c r="AI807" s="1">
        <v>1</v>
      </c>
      <c r="AJ807" s="1" t="s">
        <v>3425</v>
      </c>
      <c r="AK807" s="1" t="s">
        <v>265</v>
      </c>
      <c r="AL807" s="1" t="s">
        <v>228</v>
      </c>
      <c r="AN807" s="22" t="s">
        <v>9767</v>
      </c>
      <c r="AX807" s="1">
        <v>1</v>
      </c>
      <c r="AZ807" s="1">
        <v>0.1</v>
      </c>
      <c r="BG807" s="1" t="s">
        <v>3423</v>
      </c>
      <c r="BM807" s="1" t="s">
        <v>930</v>
      </c>
      <c r="BQ807" s="1" t="s">
        <v>207</v>
      </c>
      <c r="BR807" s="1" t="s">
        <v>208</v>
      </c>
      <c r="BS807" s="1" t="s">
        <v>229</v>
      </c>
      <c r="BT807" s="1" t="s">
        <v>210</v>
      </c>
      <c r="BX807" s="1">
        <v>1</v>
      </c>
    </row>
    <row r="808" spans="1:76" x14ac:dyDescent="0.25">
      <c r="A808" s="1" t="s">
        <v>3426</v>
      </c>
      <c r="B808" s="1" t="s">
        <v>203</v>
      </c>
      <c r="C808" s="1">
        <v>1</v>
      </c>
      <c r="D808" s="1" t="s">
        <v>3427</v>
      </c>
      <c r="E808" s="1">
        <v>1286</v>
      </c>
      <c r="F808" s="1" t="s">
        <v>3426</v>
      </c>
      <c r="G808" s="1">
        <v>1</v>
      </c>
      <c r="L808" s="1">
        <v>4800</v>
      </c>
      <c r="N808" s="1">
        <v>380</v>
      </c>
      <c r="P808" s="1">
        <v>200</v>
      </c>
      <c r="R808" s="1">
        <v>0</v>
      </c>
      <c r="Z808" s="1">
        <v>0.05</v>
      </c>
      <c r="AA808" s="1">
        <v>2.2000000000000002</v>
      </c>
      <c r="AB808" s="1">
        <v>1</v>
      </c>
      <c r="AC808" s="1">
        <v>0.9</v>
      </c>
      <c r="AH808" s="1">
        <v>0</v>
      </c>
      <c r="AI808" s="1">
        <v>1</v>
      </c>
      <c r="AJ808" s="1" t="s">
        <v>3428</v>
      </c>
      <c r="AK808" s="1" t="s">
        <v>265</v>
      </c>
      <c r="AL808" s="1" t="s">
        <v>228</v>
      </c>
      <c r="AN808" s="22" t="s">
        <v>9767</v>
      </c>
      <c r="AX808" s="1">
        <v>1</v>
      </c>
      <c r="AZ808" s="1">
        <v>0.1</v>
      </c>
      <c r="BG808" s="1" t="s">
        <v>3426</v>
      </c>
      <c r="BM808" s="1" t="s">
        <v>930</v>
      </c>
      <c r="BQ808" s="1" t="s">
        <v>207</v>
      </c>
      <c r="BR808" s="1" t="s">
        <v>208</v>
      </c>
      <c r="BS808" s="1" t="s">
        <v>229</v>
      </c>
      <c r="BT808" s="1" t="s">
        <v>210</v>
      </c>
      <c r="BX808" s="1">
        <v>1</v>
      </c>
    </row>
    <row r="809" spans="1:76" x14ac:dyDescent="0.25">
      <c r="A809" s="1" t="s">
        <v>3429</v>
      </c>
      <c r="B809" s="1" t="s">
        <v>203</v>
      </c>
      <c r="C809" s="1">
        <v>1</v>
      </c>
      <c r="D809" s="1" t="s">
        <v>3430</v>
      </c>
      <c r="E809" s="1">
        <v>1287</v>
      </c>
      <c r="F809" s="1" t="s">
        <v>3429</v>
      </c>
      <c r="G809" s="1">
        <v>1.1000000000000001</v>
      </c>
      <c r="L809" s="1">
        <v>2000</v>
      </c>
      <c r="N809" s="1">
        <v>350</v>
      </c>
      <c r="P809" s="1">
        <v>400</v>
      </c>
      <c r="R809" s="1">
        <v>30</v>
      </c>
      <c r="Z809" s="1">
        <v>0.05</v>
      </c>
      <c r="AA809" s="1">
        <v>2</v>
      </c>
      <c r="AB809" s="1">
        <v>0</v>
      </c>
      <c r="AC809" s="1">
        <v>1</v>
      </c>
      <c r="AH809" s="1">
        <v>0</v>
      </c>
      <c r="AI809" s="1">
        <v>1</v>
      </c>
      <c r="AJ809" s="1" t="s">
        <v>3431</v>
      </c>
      <c r="AK809" s="1" t="s">
        <v>265</v>
      </c>
      <c r="AL809" s="1" t="s">
        <v>228</v>
      </c>
      <c r="AN809" s="22" t="s">
        <v>9767</v>
      </c>
      <c r="AX809" s="1">
        <v>1</v>
      </c>
      <c r="AZ809" s="1">
        <v>0.1</v>
      </c>
      <c r="BG809" s="1" t="s">
        <v>3429</v>
      </c>
      <c r="BM809" s="1" t="s">
        <v>3432</v>
      </c>
      <c r="BQ809" s="1" t="s">
        <v>207</v>
      </c>
      <c r="BR809" s="1" t="s">
        <v>208</v>
      </c>
      <c r="BS809" s="1" t="s">
        <v>229</v>
      </c>
      <c r="BT809" s="1" t="s">
        <v>210</v>
      </c>
      <c r="BX809" s="1">
        <v>1</v>
      </c>
    </row>
    <row r="810" spans="1:76" x14ac:dyDescent="0.25">
      <c r="A810" s="1" t="s">
        <v>3433</v>
      </c>
      <c r="B810" s="1" t="s">
        <v>203</v>
      </c>
      <c r="C810" s="1">
        <v>1</v>
      </c>
      <c r="D810" s="1" t="s">
        <v>3434</v>
      </c>
      <c r="E810" s="1">
        <v>1287</v>
      </c>
      <c r="F810" s="1" t="s">
        <v>3433</v>
      </c>
      <c r="G810" s="1">
        <v>1.1000000000000001</v>
      </c>
      <c r="L810" s="1">
        <v>3000</v>
      </c>
      <c r="N810" s="1">
        <v>420</v>
      </c>
      <c r="P810" s="1">
        <v>500</v>
      </c>
      <c r="R810" s="1">
        <v>50</v>
      </c>
      <c r="Z810" s="1">
        <v>0.05</v>
      </c>
      <c r="AA810" s="1">
        <v>2</v>
      </c>
      <c r="AB810" s="1">
        <v>0</v>
      </c>
      <c r="AC810" s="1">
        <v>1</v>
      </c>
      <c r="AH810" s="1">
        <v>0</v>
      </c>
      <c r="AI810" s="1">
        <v>1</v>
      </c>
      <c r="AJ810" s="1" t="s">
        <v>3435</v>
      </c>
      <c r="AK810" s="1" t="s">
        <v>265</v>
      </c>
      <c r="AL810" s="1" t="s">
        <v>228</v>
      </c>
      <c r="AN810" s="22" t="s">
        <v>9767</v>
      </c>
      <c r="AX810" s="1">
        <v>1</v>
      </c>
      <c r="AZ810" s="1">
        <v>0.1</v>
      </c>
      <c r="BG810" s="1" t="s">
        <v>3433</v>
      </c>
      <c r="BM810" s="1" t="s">
        <v>3432</v>
      </c>
      <c r="BQ810" s="1" t="s">
        <v>207</v>
      </c>
      <c r="BR810" s="1" t="s">
        <v>208</v>
      </c>
      <c r="BS810" s="1" t="s">
        <v>229</v>
      </c>
      <c r="BT810" s="1" t="s">
        <v>210</v>
      </c>
      <c r="BX810" s="1">
        <v>1</v>
      </c>
    </row>
    <row r="811" spans="1:76" x14ac:dyDescent="0.25">
      <c r="A811" s="1" t="s">
        <v>3436</v>
      </c>
      <c r="B811" s="1" t="s">
        <v>203</v>
      </c>
      <c r="C811" s="1">
        <v>1</v>
      </c>
      <c r="D811" s="1" t="s">
        <v>3437</v>
      </c>
      <c r="E811" s="1">
        <v>1288</v>
      </c>
      <c r="F811" s="1" t="s">
        <v>3436</v>
      </c>
      <c r="G811" s="1">
        <v>1</v>
      </c>
      <c r="L811" s="1">
        <v>5000</v>
      </c>
      <c r="N811" s="1">
        <v>150</v>
      </c>
      <c r="P811" s="1">
        <v>50</v>
      </c>
      <c r="R811" s="1">
        <v>50</v>
      </c>
      <c r="Z811" s="1">
        <v>0.05</v>
      </c>
      <c r="AA811" s="1">
        <v>2</v>
      </c>
      <c r="AB811" s="1">
        <v>1</v>
      </c>
      <c r="AC811" s="1">
        <v>0.7</v>
      </c>
      <c r="AH811" s="1">
        <v>0</v>
      </c>
      <c r="AI811" s="1">
        <v>1</v>
      </c>
      <c r="AJ811" s="1" t="s">
        <v>3438</v>
      </c>
      <c r="AK811" s="1" t="s">
        <v>265</v>
      </c>
      <c r="AL811" s="1" t="s">
        <v>228</v>
      </c>
      <c r="AN811" s="22" t="s">
        <v>9767</v>
      </c>
      <c r="AX811" s="1">
        <v>1</v>
      </c>
      <c r="AZ811" s="1">
        <v>0.1</v>
      </c>
      <c r="BG811" s="1" t="s">
        <v>3436</v>
      </c>
      <c r="BM811" s="1" t="s">
        <v>3439</v>
      </c>
      <c r="BQ811" s="1" t="s">
        <v>207</v>
      </c>
      <c r="BR811" s="1" t="s">
        <v>208</v>
      </c>
      <c r="BS811" s="1" t="s">
        <v>229</v>
      </c>
      <c r="BT811" s="1" t="s">
        <v>3183</v>
      </c>
      <c r="BX811" s="1">
        <v>1</v>
      </c>
    </row>
    <row r="812" spans="1:76" x14ac:dyDescent="0.25">
      <c r="A812" s="1" t="s">
        <v>3440</v>
      </c>
      <c r="B812" s="1" t="s">
        <v>203</v>
      </c>
      <c r="C812" s="1">
        <v>1</v>
      </c>
      <c r="D812" s="1" t="s">
        <v>3441</v>
      </c>
      <c r="E812" s="1">
        <v>1288</v>
      </c>
      <c r="F812" s="1" t="s">
        <v>3440</v>
      </c>
      <c r="G812" s="1">
        <v>1</v>
      </c>
      <c r="L812" s="1">
        <v>6000</v>
      </c>
      <c r="N812" s="1">
        <v>180</v>
      </c>
      <c r="P812" s="1">
        <v>100</v>
      </c>
      <c r="R812" s="1">
        <v>50</v>
      </c>
      <c r="Z812" s="1">
        <v>0.05</v>
      </c>
      <c r="AA812" s="1">
        <v>2</v>
      </c>
      <c r="AB812" s="1">
        <v>1</v>
      </c>
      <c r="AC812" s="1">
        <v>0.7</v>
      </c>
      <c r="AH812" s="1">
        <v>0</v>
      </c>
      <c r="AI812" s="1">
        <v>1</v>
      </c>
      <c r="AJ812" s="1" t="s">
        <v>3442</v>
      </c>
      <c r="AK812" s="1" t="s">
        <v>265</v>
      </c>
      <c r="AL812" s="1" t="s">
        <v>228</v>
      </c>
      <c r="AN812" s="22" t="s">
        <v>9767</v>
      </c>
      <c r="AX812" s="1">
        <v>1</v>
      </c>
      <c r="AZ812" s="1">
        <v>0.1</v>
      </c>
      <c r="BG812" s="1" t="s">
        <v>3440</v>
      </c>
      <c r="BM812" s="1" t="s">
        <v>3443</v>
      </c>
      <c r="BQ812" s="1" t="s">
        <v>207</v>
      </c>
      <c r="BR812" s="1" t="s">
        <v>208</v>
      </c>
      <c r="BS812" s="1" t="s">
        <v>229</v>
      </c>
      <c r="BT812" s="1" t="s">
        <v>3183</v>
      </c>
      <c r="BX812" s="1">
        <v>1</v>
      </c>
    </row>
    <row r="813" spans="1:76" x14ac:dyDescent="0.25">
      <c r="A813" s="1" t="s">
        <v>3444</v>
      </c>
      <c r="B813" s="1" t="s">
        <v>203</v>
      </c>
      <c r="C813" s="1">
        <v>1</v>
      </c>
      <c r="D813" s="1" t="s">
        <v>3445</v>
      </c>
      <c r="E813" s="1">
        <v>1289</v>
      </c>
      <c r="F813" s="1" t="s">
        <v>3444</v>
      </c>
      <c r="G813" s="1">
        <v>1</v>
      </c>
      <c r="L813" s="1">
        <v>6000</v>
      </c>
      <c r="N813" s="1">
        <v>500</v>
      </c>
      <c r="P813" s="1">
        <v>300</v>
      </c>
      <c r="R813" s="1">
        <v>20</v>
      </c>
      <c r="Z813" s="1">
        <v>0.05</v>
      </c>
      <c r="AA813" s="1">
        <v>5</v>
      </c>
      <c r="AB813" s="1">
        <v>2</v>
      </c>
      <c r="AC813" s="1">
        <v>0.6</v>
      </c>
      <c r="AH813" s="1">
        <v>0</v>
      </c>
      <c r="AI813" s="1">
        <v>1</v>
      </c>
      <c r="AJ813" s="1" t="s">
        <v>3446</v>
      </c>
      <c r="AK813" s="1" t="s">
        <v>265</v>
      </c>
      <c r="AL813" s="1" t="s">
        <v>228</v>
      </c>
      <c r="AN813" s="22" t="s">
        <v>9767</v>
      </c>
      <c r="AX813" s="1">
        <v>1</v>
      </c>
      <c r="AZ813" s="1">
        <v>0.1</v>
      </c>
      <c r="BG813" s="1" t="s">
        <v>3444</v>
      </c>
      <c r="BM813" s="1" t="s">
        <v>936</v>
      </c>
      <c r="BQ813" s="1" t="s">
        <v>207</v>
      </c>
      <c r="BR813" s="1" t="s">
        <v>208</v>
      </c>
      <c r="BS813" s="1" t="s">
        <v>229</v>
      </c>
      <c r="BT813" s="1" t="s">
        <v>210</v>
      </c>
      <c r="BX813" s="1">
        <v>1</v>
      </c>
    </row>
    <row r="814" spans="1:76" x14ac:dyDescent="0.25">
      <c r="A814" s="1" t="s">
        <v>3447</v>
      </c>
      <c r="B814" s="1" t="s">
        <v>203</v>
      </c>
      <c r="C814" s="1">
        <v>1</v>
      </c>
      <c r="D814" s="1" t="s">
        <v>3448</v>
      </c>
      <c r="E814" s="1">
        <v>1289</v>
      </c>
      <c r="F814" s="1" t="s">
        <v>3447</v>
      </c>
      <c r="G814" s="1">
        <v>1</v>
      </c>
      <c r="L814" s="1">
        <v>7500</v>
      </c>
      <c r="N814" s="1">
        <v>600</v>
      </c>
      <c r="P814" s="1">
        <v>350</v>
      </c>
      <c r="R814" s="1">
        <v>20</v>
      </c>
      <c r="Z814" s="1">
        <v>0.05</v>
      </c>
      <c r="AA814" s="1">
        <v>5</v>
      </c>
      <c r="AB814" s="1">
        <v>2</v>
      </c>
      <c r="AC814" s="1">
        <v>0.6</v>
      </c>
      <c r="AH814" s="1">
        <v>0</v>
      </c>
      <c r="AI814" s="1">
        <v>1</v>
      </c>
      <c r="AJ814" s="1" t="s">
        <v>3449</v>
      </c>
      <c r="AK814" s="1" t="s">
        <v>265</v>
      </c>
      <c r="AL814" s="1" t="s">
        <v>228</v>
      </c>
      <c r="AN814" s="22" t="s">
        <v>9767</v>
      </c>
      <c r="AX814" s="1">
        <v>1</v>
      </c>
      <c r="AZ814" s="1">
        <v>0.1</v>
      </c>
      <c r="BG814" s="1" t="s">
        <v>3447</v>
      </c>
      <c r="BM814" s="1" t="s">
        <v>936</v>
      </c>
      <c r="BQ814" s="1" t="s">
        <v>207</v>
      </c>
      <c r="BR814" s="1" t="s">
        <v>208</v>
      </c>
      <c r="BS814" s="1" t="s">
        <v>229</v>
      </c>
      <c r="BT814" s="1" t="s">
        <v>210</v>
      </c>
      <c r="BX814" s="1">
        <v>1</v>
      </c>
    </row>
    <row r="815" spans="1:76" x14ac:dyDescent="0.25">
      <c r="A815" s="1" t="s">
        <v>3450</v>
      </c>
      <c r="B815" s="1" t="s">
        <v>203</v>
      </c>
      <c r="C815" s="1">
        <v>1</v>
      </c>
      <c r="D815" s="1" t="s">
        <v>3451</v>
      </c>
      <c r="E815" s="1">
        <v>1290</v>
      </c>
      <c r="F815" s="1" t="s">
        <v>3450</v>
      </c>
      <c r="G815" s="1">
        <v>1</v>
      </c>
      <c r="L815" s="1">
        <v>7500</v>
      </c>
      <c r="N815" s="1">
        <v>300</v>
      </c>
      <c r="P815" s="1">
        <v>300</v>
      </c>
      <c r="R815" s="1">
        <v>50</v>
      </c>
      <c r="Z815" s="1">
        <v>0.05</v>
      </c>
      <c r="AA815" s="1">
        <v>3</v>
      </c>
      <c r="AB815" s="1">
        <v>2</v>
      </c>
      <c r="AC815" s="1">
        <v>0.7</v>
      </c>
      <c r="AH815" s="1">
        <v>0</v>
      </c>
      <c r="AI815" s="1">
        <v>1</v>
      </c>
      <c r="AJ815" s="1" t="s">
        <v>3452</v>
      </c>
      <c r="AK815" s="1" t="s">
        <v>265</v>
      </c>
      <c r="AL815" s="1" t="s">
        <v>228</v>
      </c>
      <c r="AN815" s="22" t="s">
        <v>9767</v>
      </c>
      <c r="AX815" s="1">
        <v>1</v>
      </c>
      <c r="AZ815" s="1">
        <v>0.1</v>
      </c>
      <c r="BG815" s="1" t="s">
        <v>3450</v>
      </c>
      <c r="BM815" s="1" t="s">
        <v>936</v>
      </c>
      <c r="BQ815" s="1" t="s">
        <v>207</v>
      </c>
      <c r="BR815" s="1" t="s">
        <v>208</v>
      </c>
      <c r="BS815" s="1" t="s">
        <v>229</v>
      </c>
      <c r="BT815" s="1" t="s">
        <v>210</v>
      </c>
      <c r="BX815" s="1">
        <v>1</v>
      </c>
    </row>
    <row r="816" spans="1:76" x14ac:dyDescent="0.25">
      <c r="A816" s="1" t="s">
        <v>3453</v>
      </c>
      <c r="B816" s="1" t="s">
        <v>203</v>
      </c>
      <c r="C816" s="1">
        <v>1</v>
      </c>
      <c r="D816" s="1" t="s">
        <v>3454</v>
      </c>
      <c r="E816" s="1">
        <v>1290</v>
      </c>
      <c r="F816" s="1" t="s">
        <v>3453</v>
      </c>
      <c r="G816" s="1">
        <v>1</v>
      </c>
      <c r="L816" s="1">
        <v>9000</v>
      </c>
      <c r="N816" s="1">
        <v>400</v>
      </c>
      <c r="P816" s="1">
        <v>350</v>
      </c>
      <c r="R816" s="1">
        <v>50</v>
      </c>
      <c r="Z816" s="1">
        <v>0.05</v>
      </c>
      <c r="AA816" s="1">
        <v>3</v>
      </c>
      <c r="AB816" s="1">
        <v>2</v>
      </c>
      <c r="AC816" s="1">
        <v>0.7</v>
      </c>
      <c r="AH816" s="1">
        <v>0</v>
      </c>
      <c r="AI816" s="1">
        <v>1</v>
      </c>
      <c r="AJ816" s="1" t="s">
        <v>3455</v>
      </c>
      <c r="AK816" s="1" t="s">
        <v>265</v>
      </c>
      <c r="AL816" s="1" t="s">
        <v>228</v>
      </c>
      <c r="AN816" s="22" t="s">
        <v>9767</v>
      </c>
      <c r="AX816" s="1">
        <v>1</v>
      </c>
      <c r="AZ816" s="1">
        <v>0.1</v>
      </c>
      <c r="BG816" s="1" t="s">
        <v>3453</v>
      </c>
      <c r="BM816" s="1" t="s">
        <v>936</v>
      </c>
      <c r="BQ816" s="1" t="s">
        <v>207</v>
      </c>
      <c r="BR816" s="1" t="s">
        <v>208</v>
      </c>
      <c r="BS816" s="1" t="s">
        <v>229</v>
      </c>
      <c r="BT816" s="1" t="s">
        <v>210</v>
      </c>
      <c r="BX816" s="1">
        <v>1</v>
      </c>
    </row>
    <row r="817" spans="1:76" x14ac:dyDescent="0.25">
      <c r="A817" s="1" t="s">
        <v>3456</v>
      </c>
      <c r="B817" s="1" t="s">
        <v>203</v>
      </c>
      <c r="C817" s="1">
        <v>1</v>
      </c>
      <c r="D817" s="1" t="s">
        <v>3457</v>
      </c>
      <c r="E817" s="1">
        <v>1291</v>
      </c>
      <c r="F817" s="1" t="s">
        <v>3456</v>
      </c>
      <c r="G817" s="1">
        <v>1</v>
      </c>
      <c r="L817" s="1">
        <v>15000</v>
      </c>
      <c r="N817" s="1">
        <v>600</v>
      </c>
      <c r="P817" s="1">
        <v>1300</v>
      </c>
      <c r="R817" s="1">
        <v>0</v>
      </c>
      <c r="Z817" s="1">
        <v>0.05</v>
      </c>
      <c r="AA817" s="1">
        <v>4</v>
      </c>
      <c r="AB817" s="1">
        <v>5</v>
      </c>
      <c r="AC817" s="1">
        <v>0.8</v>
      </c>
      <c r="AH817" s="1">
        <v>0</v>
      </c>
      <c r="AI817" s="1">
        <v>1</v>
      </c>
      <c r="AJ817" s="1" t="s">
        <v>3458</v>
      </c>
      <c r="AK817" s="1" t="s">
        <v>265</v>
      </c>
      <c r="AL817" s="1" t="s">
        <v>228</v>
      </c>
      <c r="AN817" s="22" t="s">
        <v>9767</v>
      </c>
      <c r="AX817" s="1">
        <v>1</v>
      </c>
      <c r="AZ817" s="1">
        <v>0.1</v>
      </c>
      <c r="BG817" s="1" t="s">
        <v>3456</v>
      </c>
      <c r="BM817" s="1" t="s">
        <v>2382</v>
      </c>
      <c r="BQ817" s="1" t="s">
        <v>207</v>
      </c>
      <c r="BR817" s="1" t="s">
        <v>208</v>
      </c>
      <c r="BS817" s="1" t="s">
        <v>229</v>
      </c>
      <c r="BT817" s="1" t="s">
        <v>210</v>
      </c>
      <c r="BX817" s="1">
        <v>1</v>
      </c>
    </row>
    <row r="818" spans="1:76" x14ac:dyDescent="0.25">
      <c r="A818" s="1" t="s">
        <v>3459</v>
      </c>
      <c r="B818" s="1" t="s">
        <v>203</v>
      </c>
      <c r="C818" s="1">
        <v>1</v>
      </c>
      <c r="D818" s="1" t="s">
        <v>3460</v>
      </c>
      <c r="E818" s="1">
        <v>1291</v>
      </c>
      <c r="F818" s="1" t="s">
        <v>3459</v>
      </c>
      <c r="G818" s="1">
        <v>1</v>
      </c>
      <c r="L818" s="1">
        <v>20000</v>
      </c>
      <c r="N818" s="1">
        <v>800</v>
      </c>
      <c r="P818" s="1">
        <v>1500</v>
      </c>
      <c r="R818" s="1">
        <v>0</v>
      </c>
      <c r="Z818" s="1">
        <v>0.05</v>
      </c>
      <c r="AA818" s="1">
        <v>4</v>
      </c>
      <c r="AB818" s="1">
        <v>5</v>
      </c>
      <c r="AC818" s="1">
        <v>0.8</v>
      </c>
      <c r="AH818" s="1">
        <v>0</v>
      </c>
      <c r="AI818" s="1">
        <v>1</v>
      </c>
      <c r="AJ818" s="1" t="s">
        <v>3461</v>
      </c>
      <c r="AK818" s="1" t="s">
        <v>265</v>
      </c>
      <c r="AL818" s="1" t="s">
        <v>228</v>
      </c>
      <c r="AN818" s="22" t="s">
        <v>9767</v>
      </c>
      <c r="AX818" s="1">
        <v>1</v>
      </c>
      <c r="AZ818" s="1">
        <v>0.1</v>
      </c>
      <c r="BG818" s="1" t="s">
        <v>3459</v>
      </c>
      <c r="BM818" s="1" t="s">
        <v>2382</v>
      </c>
      <c r="BQ818" s="1" t="s">
        <v>207</v>
      </c>
      <c r="BR818" s="1" t="s">
        <v>208</v>
      </c>
      <c r="BS818" s="1" t="s">
        <v>229</v>
      </c>
      <c r="BT818" s="1" t="s">
        <v>210</v>
      </c>
      <c r="BX818" s="1">
        <v>1</v>
      </c>
    </row>
    <row r="819" spans="1:76" x14ac:dyDescent="0.25">
      <c r="A819" s="1" t="s">
        <v>3462</v>
      </c>
      <c r="B819" s="1" t="s">
        <v>203</v>
      </c>
      <c r="C819" s="1">
        <v>1</v>
      </c>
      <c r="D819" s="1" t="s">
        <v>3463</v>
      </c>
      <c r="E819" s="1">
        <v>1292</v>
      </c>
      <c r="F819" s="1" t="s">
        <v>3462</v>
      </c>
      <c r="G819" s="1">
        <v>1</v>
      </c>
      <c r="L819" s="1">
        <v>10000</v>
      </c>
      <c r="N819" s="1">
        <v>350</v>
      </c>
      <c r="P819" s="1">
        <v>550</v>
      </c>
      <c r="R819" s="1">
        <v>60</v>
      </c>
      <c r="Z819" s="1">
        <v>0.05</v>
      </c>
      <c r="AA819" s="1">
        <v>3.5</v>
      </c>
      <c r="AB819" s="1">
        <v>4</v>
      </c>
      <c r="AC819" s="1">
        <v>0.5</v>
      </c>
      <c r="AH819" s="1">
        <v>0</v>
      </c>
      <c r="AI819" s="1">
        <v>1</v>
      </c>
      <c r="AJ819" s="1" t="s">
        <v>3464</v>
      </c>
      <c r="AK819" s="1" t="s">
        <v>265</v>
      </c>
      <c r="AL819" s="1" t="s">
        <v>228</v>
      </c>
      <c r="AN819" s="22" t="s">
        <v>9767</v>
      </c>
      <c r="AX819" s="1">
        <v>1</v>
      </c>
      <c r="AZ819" s="1">
        <v>0.1</v>
      </c>
      <c r="BG819" s="1" t="s">
        <v>3462</v>
      </c>
      <c r="BM819" s="1" t="s">
        <v>3465</v>
      </c>
      <c r="BQ819" s="1" t="s">
        <v>207</v>
      </c>
      <c r="BR819" s="1" t="s">
        <v>208</v>
      </c>
      <c r="BS819" s="1" t="s">
        <v>229</v>
      </c>
      <c r="BT819" s="1" t="s">
        <v>3183</v>
      </c>
      <c r="BX819" s="1">
        <v>1</v>
      </c>
    </row>
    <row r="820" spans="1:76" x14ac:dyDescent="0.25">
      <c r="A820" s="1" t="s">
        <v>3466</v>
      </c>
      <c r="B820" s="1" t="s">
        <v>203</v>
      </c>
      <c r="C820" s="1">
        <v>1</v>
      </c>
      <c r="D820" s="1" t="s">
        <v>3467</v>
      </c>
      <c r="E820" s="1">
        <v>1292</v>
      </c>
      <c r="F820" s="1" t="s">
        <v>3466</v>
      </c>
      <c r="G820" s="1">
        <v>1</v>
      </c>
      <c r="L820" s="1">
        <v>15000</v>
      </c>
      <c r="N820" s="1">
        <v>450</v>
      </c>
      <c r="P820" s="1">
        <v>750</v>
      </c>
      <c r="R820" s="1">
        <v>60</v>
      </c>
      <c r="Z820" s="1">
        <v>0.05</v>
      </c>
      <c r="AA820" s="1">
        <v>3.5</v>
      </c>
      <c r="AB820" s="1">
        <v>4</v>
      </c>
      <c r="AC820" s="1">
        <v>0.5</v>
      </c>
      <c r="AH820" s="1">
        <v>0</v>
      </c>
      <c r="AI820" s="1">
        <v>1</v>
      </c>
      <c r="AJ820" s="1" t="s">
        <v>3468</v>
      </c>
      <c r="AK820" s="1" t="s">
        <v>265</v>
      </c>
      <c r="AL820" s="1" t="s">
        <v>228</v>
      </c>
      <c r="AN820" s="22" t="s">
        <v>9767</v>
      </c>
      <c r="AX820" s="1">
        <v>1</v>
      </c>
      <c r="AZ820" s="1">
        <v>0.1</v>
      </c>
      <c r="BG820" s="1" t="s">
        <v>3466</v>
      </c>
      <c r="BM820" s="1" t="s">
        <v>3465</v>
      </c>
      <c r="BQ820" s="1" t="s">
        <v>207</v>
      </c>
      <c r="BR820" s="1" t="s">
        <v>208</v>
      </c>
      <c r="BS820" s="1" t="s">
        <v>229</v>
      </c>
      <c r="BT820" s="1" t="s">
        <v>3183</v>
      </c>
      <c r="BX820" s="1">
        <v>1</v>
      </c>
    </row>
    <row r="821" spans="1:76" x14ac:dyDescent="0.25">
      <c r="A821" s="1" t="s">
        <v>3469</v>
      </c>
      <c r="B821" s="1" t="s">
        <v>203</v>
      </c>
      <c r="C821" s="1">
        <v>1</v>
      </c>
      <c r="D821" s="1" t="s">
        <v>3470</v>
      </c>
      <c r="E821" s="1">
        <v>1293</v>
      </c>
      <c r="F821" s="1" t="s">
        <v>3469</v>
      </c>
      <c r="G821" s="1">
        <v>1</v>
      </c>
      <c r="L821" s="1">
        <v>17000</v>
      </c>
      <c r="N821" s="1">
        <v>650</v>
      </c>
      <c r="P821" s="1">
        <v>500</v>
      </c>
      <c r="R821" s="1">
        <v>40</v>
      </c>
      <c r="Z821" s="1">
        <v>0.05</v>
      </c>
      <c r="AA821" s="1">
        <v>2.5</v>
      </c>
      <c r="AB821" s="1">
        <v>5</v>
      </c>
      <c r="AC821" s="1">
        <v>0.6</v>
      </c>
      <c r="AH821" s="1">
        <v>0</v>
      </c>
      <c r="AI821" s="1">
        <v>1</v>
      </c>
      <c r="AJ821" s="1" t="s">
        <v>3471</v>
      </c>
      <c r="AK821" s="1" t="s">
        <v>265</v>
      </c>
      <c r="AL821" s="1" t="s">
        <v>228</v>
      </c>
      <c r="AN821" s="22" t="s">
        <v>9767</v>
      </c>
      <c r="AX821" s="1">
        <v>1</v>
      </c>
      <c r="AZ821" s="1">
        <v>0.1</v>
      </c>
      <c r="BG821" s="1" t="s">
        <v>3469</v>
      </c>
      <c r="BM821" s="1" t="s">
        <v>989</v>
      </c>
      <c r="BQ821" s="1" t="s">
        <v>207</v>
      </c>
      <c r="BR821" s="1" t="s">
        <v>208</v>
      </c>
      <c r="BS821" s="1" t="s">
        <v>229</v>
      </c>
      <c r="BT821" s="1" t="s">
        <v>210</v>
      </c>
      <c r="BX821" s="1">
        <v>1</v>
      </c>
    </row>
    <row r="822" spans="1:76" x14ac:dyDescent="0.25">
      <c r="A822" s="1" t="s">
        <v>3472</v>
      </c>
      <c r="B822" s="1" t="s">
        <v>203</v>
      </c>
      <c r="C822" s="1">
        <v>1</v>
      </c>
      <c r="D822" s="1" t="s">
        <v>3473</v>
      </c>
      <c r="E822" s="1">
        <v>1293</v>
      </c>
      <c r="F822" s="1" t="s">
        <v>3472</v>
      </c>
      <c r="G822" s="1">
        <v>1</v>
      </c>
      <c r="L822" s="1">
        <v>22000</v>
      </c>
      <c r="N822" s="1">
        <v>750</v>
      </c>
      <c r="P822" s="1">
        <v>600</v>
      </c>
      <c r="R822" s="1">
        <v>40</v>
      </c>
      <c r="Z822" s="1">
        <v>0.05</v>
      </c>
      <c r="AA822" s="1">
        <v>2.5</v>
      </c>
      <c r="AB822" s="1">
        <v>5</v>
      </c>
      <c r="AC822" s="1">
        <v>0.6</v>
      </c>
      <c r="AH822" s="1">
        <v>0</v>
      </c>
      <c r="AI822" s="1">
        <v>1</v>
      </c>
      <c r="AJ822" s="1" t="s">
        <v>3474</v>
      </c>
      <c r="AK822" s="1" t="s">
        <v>265</v>
      </c>
      <c r="AL822" s="1" t="s">
        <v>228</v>
      </c>
      <c r="AN822" s="22" t="s">
        <v>9767</v>
      </c>
      <c r="AX822" s="1">
        <v>1</v>
      </c>
      <c r="AZ822" s="1">
        <v>0.1</v>
      </c>
      <c r="BG822" s="1" t="s">
        <v>3472</v>
      </c>
      <c r="BM822" s="1" t="s">
        <v>989</v>
      </c>
      <c r="BQ822" s="1" t="s">
        <v>207</v>
      </c>
      <c r="BR822" s="1" t="s">
        <v>208</v>
      </c>
      <c r="BS822" s="1" t="s">
        <v>229</v>
      </c>
      <c r="BT822" s="1" t="s">
        <v>210</v>
      </c>
      <c r="BX822" s="1">
        <v>1</v>
      </c>
    </row>
    <row r="823" spans="1:76" x14ac:dyDescent="0.25">
      <c r="A823" s="1" t="s">
        <v>3475</v>
      </c>
      <c r="B823" s="1" t="s">
        <v>203</v>
      </c>
      <c r="C823" s="1">
        <v>1</v>
      </c>
      <c r="D823" s="1" t="s">
        <v>3476</v>
      </c>
      <c r="E823" s="1">
        <v>1293</v>
      </c>
      <c r="F823" s="1" t="s">
        <v>3475</v>
      </c>
      <c r="G823" s="1">
        <v>1</v>
      </c>
      <c r="L823" s="1">
        <v>27000</v>
      </c>
      <c r="N823" s="1">
        <v>800</v>
      </c>
      <c r="P823" s="1">
        <v>700</v>
      </c>
      <c r="R823" s="1">
        <v>40</v>
      </c>
      <c r="Z823" s="1">
        <v>0.05</v>
      </c>
      <c r="AA823" s="1">
        <v>2.5</v>
      </c>
      <c r="AB823" s="1">
        <v>5</v>
      </c>
      <c r="AC823" s="1">
        <v>0.6</v>
      </c>
      <c r="AH823" s="1">
        <v>0</v>
      </c>
      <c r="AI823" s="1">
        <v>1</v>
      </c>
      <c r="AJ823" s="1" t="s">
        <v>3477</v>
      </c>
      <c r="AK823" s="1" t="s">
        <v>265</v>
      </c>
      <c r="AL823" s="1" t="s">
        <v>228</v>
      </c>
      <c r="AN823" s="22" t="s">
        <v>9767</v>
      </c>
      <c r="AX823" s="1">
        <v>1</v>
      </c>
      <c r="AZ823" s="1">
        <v>0.1</v>
      </c>
      <c r="BG823" s="1" t="s">
        <v>3475</v>
      </c>
      <c r="BM823" s="1" t="s">
        <v>989</v>
      </c>
      <c r="BQ823" s="1" t="s">
        <v>207</v>
      </c>
      <c r="BR823" s="1" t="s">
        <v>208</v>
      </c>
      <c r="BS823" s="1" t="s">
        <v>229</v>
      </c>
      <c r="BT823" s="1" t="s">
        <v>210</v>
      </c>
      <c r="BX823" s="1">
        <v>1</v>
      </c>
    </row>
    <row r="824" spans="1:76" x14ac:dyDescent="0.25">
      <c r="A824" s="1" t="s">
        <v>3478</v>
      </c>
      <c r="B824" s="1" t="s">
        <v>203</v>
      </c>
      <c r="C824" s="1">
        <v>1</v>
      </c>
      <c r="D824" s="1" t="s">
        <v>3479</v>
      </c>
      <c r="E824" s="1">
        <v>1536</v>
      </c>
      <c r="F824" s="1" t="s">
        <v>3478</v>
      </c>
      <c r="G824" s="1">
        <v>1</v>
      </c>
      <c r="L824" s="1">
        <v>30000</v>
      </c>
      <c r="N824" s="1">
        <v>800</v>
      </c>
      <c r="P824" s="1">
        <v>750</v>
      </c>
      <c r="R824" s="1">
        <v>60</v>
      </c>
      <c r="Z824" s="1">
        <v>0.05</v>
      </c>
      <c r="AA824" s="1">
        <v>4.5</v>
      </c>
      <c r="AB824" s="1">
        <v>7</v>
      </c>
      <c r="AC824" s="1">
        <v>0.5</v>
      </c>
      <c r="AH824" s="1">
        <v>0</v>
      </c>
      <c r="AI824" s="1">
        <v>1</v>
      </c>
      <c r="AJ824" s="1" t="s">
        <v>3480</v>
      </c>
      <c r="AK824" s="1" t="s">
        <v>265</v>
      </c>
      <c r="AL824" s="1" t="s">
        <v>228</v>
      </c>
      <c r="AN824" s="22" t="s">
        <v>9767</v>
      </c>
      <c r="AX824" s="1">
        <v>1</v>
      </c>
      <c r="AZ824" s="1">
        <v>0.1</v>
      </c>
      <c r="BG824" s="1" t="s">
        <v>3478</v>
      </c>
      <c r="BM824" s="1" t="s">
        <v>1328</v>
      </c>
      <c r="BQ824" s="1" t="s">
        <v>207</v>
      </c>
      <c r="BR824" s="1" t="s">
        <v>3481</v>
      </c>
      <c r="BS824" s="1" t="s">
        <v>3482</v>
      </c>
      <c r="BT824" s="1" t="s">
        <v>3183</v>
      </c>
      <c r="BX824" s="1">
        <v>1</v>
      </c>
    </row>
    <row r="825" spans="1:76" x14ac:dyDescent="0.25">
      <c r="A825" s="1" t="s">
        <v>3483</v>
      </c>
      <c r="B825" s="1" t="s">
        <v>203</v>
      </c>
      <c r="C825" s="1">
        <v>1</v>
      </c>
      <c r="D825" s="1" t="s">
        <v>3479</v>
      </c>
      <c r="E825" s="1">
        <v>1536</v>
      </c>
      <c r="F825" s="1" t="s">
        <v>3478</v>
      </c>
      <c r="G825" s="1">
        <v>1</v>
      </c>
      <c r="L825" s="1">
        <v>50000</v>
      </c>
      <c r="N825" s="1">
        <v>1000</v>
      </c>
      <c r="P825" s="1">
        <v>800</v>
      </c>
      <c r="R825" s="1">
        <v>60</v>
      </c>
      <c r="Z825" s="1">
        <v>0.05</v>
      </c>
      <c r="AA825" s="1">
        <v>4.5</v>
      </c>
      <c r="AB825" s="1">
        <v>7</v>
      </c>
      <c r="AC825" s="1">
        <v>0.5</v>
      </c>
      <c r="AH825" s="1">
        <v>0</v>
      </c>
      <c r="AI825" s="1">
        <v>1</v>
      </c>
      <c r="AJ825" s="1" t="s">
        <v>3484</v>
      </c>
      <c r="AK825" s="1" t="s">
        <v>265</v>
      </c>
      <c r="AL825" s="1" t="s">
        <v>228</v>
      </c>
      <c r="AN825" s="22" t="s">
        <v>9767</v>
      </c>
      <c r="AX825" s="1">
        <v>1</v>
      </c>
      <c r="AZ825" s="1">
        <v>0.1</v>
      </c>
      <c r="BG825" s="1" t="s">
        <v>3478</v>
      </c>
      <c r="BM825" s="1" t="s">
        <v>1328</v>
      </c>
      <c r="BQ825" s="1" t="s">
        <v>207</v>
      </c>
      <c r="BR825" s="1" t="s">
        <v>3481</v>
      </c>
      <c r="BS825" s="1" t="s">
        <v>3482</v>
      </c>
      <c r="BT825" s="1" t="s">
        <v>3183</v>
      </c>
      <c r="BX825" s="1">
        <v>1</v>
      </c>
    </row>
    <row r="826" spans="1:76" x14ac:dyDescent="0.25">
      <c r="A826" s="1" t="s">
        <v>3485</v>
      </c>
      <c r="B826" s="1" t="s">
        <v>203</v>
      </c>
      <c r="C826" s="1">
        <v>1</v>
      </c>
      <c r="D826" s="1" t="s">
        <v>3437</v>
      </c>
      <c r="E826" s="1">
        <v>1288</v>
      </c>
      <c r="F826" s="1" t="s">
        <v>3436</v>
      </c>
      <c r="G826" s="1">
        <v>1</v>
      </c>
      <c r="L826" s="1">
        <v>5000</v>
      </c>
      <c r="N826" s="1">
        <v>150</v>
      </c>
      <c r="P826" s="1">
        <v>50</v>
      </c>
      <c r="R826" s="1">
        <v>50</v>
      </c>
      <c r="Z826" s="1">
        <v>0.05</v>
      </c>
      <c r="AA826" s="1">
        <v>2</v>
      </c>
      <c r="AB826" s="1">
        <v>1</v>
      </c>
      <c r="AC826" s="1">
        <v>0.7</v>
      </c>
      <c r="AH826" s="1">
        <v>0</v>
      </c>
      <c r="AI826" s="1">
        <v>1</v>
      </c>
      <c r="AJ826" s="1" t="s">
        <v>3486</v>
      </c>
      <c r="AK826" s="1" t="s">
        <v>265</v>
      </c>
      <c r="AL826" s="1" t="s">
        <v>228</v>
      </c>
      <c r="AN826" s="22" t="s">
        <v>9767</v>
      </c>
      <c r="AX826" s="1">
        <v>1</v>
      </c>
      <c r="AZ826" s="1">
        <v>0.1</v>
      </c>
      <c r="BG826" s="1" t="s">
        <v>3436</v>
      </c>
      <c r="BM826" s="1" t="s">
        <v>3487</v>
      </c>
      <c r="BQ826" s="1" t="s">
        <v>207</v>
      </c>
      <c r="BR826" s="1" t="s">
        <v>208</v>
      </c>
      <c r="BS826" s="1" t="s">
        <v>229</v>
      </c>
      <c r="BT826" s="1" t="s">
        <v>3183</v>
      </c>
      <c r="BX826" s="1">
        <v>1</v>
      </c>
    </row>
    <row r="827" spans="1:76" x14ac:dyDescent="0.25">
      <c r="A827" s="1" t="s">
        <v>3488</v>
      </c>
      <c r="B827" s="1" t="s">
        <v>203</v>
      </c>
      <c r="C827" s="1">
        <v>1</v>
      </c>
      <c r="D827" s="1" t="s">
        <v>3441</v>
      </c>
      <c r="E827" s="1">
        <v>1288</v>
      </c>
      <c r="F827" s="1" t="s">
        <v>3440</v>
      </c>
      <c r="G827" s="1">
        <v>1</v>
      </c>
      <c r="L827" s="1">
        <v>6000</v>
      </c>
      <c r="N827" s="1">
        <v>180</v>
      </c>
      <c r="P827" s="1">
        <v>100</v>
      </c>
      <c r="R827" s="1">
        <v>50</v>
      </c>
      <c r="Z827" s="1">
        <v>0.05</v>
      </c>
      <c r="AA827" s="1">
        <v>2</v>
      </c>
      <c r="AB827" s="1">
        <v>1</v>
      </c>
      <c r="AC827" s="1">
        <v>0.7</v>
      </c>
      <c r="AH827" s="1">
        <v>0</v>
      </c>
      <c r="AI827" s="1">
        <v>1</v>
      </c>
      <c r="AJ827" s="1" t="s">
        <v>3489</v>
      </c>
      <c r="AK827" s="1" t="s">
        <v>265</v>
      </c>
      <c r="AL827" s="1" t="s">
        <v>228</v>
      </c>
      <c r="AN827" s="22" t="s">
        <v>9767</v>
      </c>
      <c r="AX827" s="1">
        <v>1</v>
      </c>
      <c r="AZ827" s="1">
        <v>0.1</v>
      </c>
      <c r="BG827" s="1" t="s">
        <v>3440</v>
      </c>
      <c r="BM827" s="1" t="s">
        <v>3490</v>
      </c>
      <c r="BQ827" s="1" t="s">
        <v>207</v>
      </c>
      <c r="BR827" s="1" t="s">
        <v>208</v>
      </c>
      <c r="BS827" s="1" t="s">
        <v>229</v>
      </c>
      <c r="BT827" s="1" t="s">
        <v>3183</v>
      </c>
      <c r="BX827" s="1">
        <v>1</v>
      </c>
    </row>
    <row r="828" spans="1:76" x14ac:dyDescent="0.25">
      <c r="A828" s="1" t="s">
        <v>3491</v>
      </c>
      <c r="B828" s="1" t="s">
        <v>203</v>
      </c>
      <c r="C828" s="1">
        <v>1</v>
      </c>
      <c r="D828" s="1" t="s">
        <v>3492</v>
      </c>
      <c r="E828" s="1">
        <v>1295</v>
      </c>
      <c r="F828" s="1" t="s">
        <v>3491</v>
      </c>
      <c r="G828" s="1">
        <v>1</v>
      </c>
      <c r="L828" s="1">
        <v>6500</v>
      </c>
      <c r="N828" s="1">
        <v>250</v>
      </c>
      <c r="P828" s="1">
        <v>50</v>
      </c>
      <c r="R828" s="1">
        <v>0</v>
      </c>
      <c r="Z828" s="1">
        <v>0.05</v>
      </c>
      <c r="AA828" s="1">
        <v>1.5</v>
      </c>
      <c r="AB828" s="1">
        <v>1</v>
      </c>
      <c r="AC828" s="1">
        <v>1.5</v>
      </c>
      <c r="AH828" s="1">
        <v>0</v>
      </c>
      <c r="AI828" s="1">
        <v>1</v>
      </c>
      <c r="AJ828" s="1" t="s">
        <v>3493</v>
      </c>
      <c r="AK828" s="1" t="s">
        <v>3494</v>
      </c>
      <c r="AL828" s="1" t="s">
        <v>228</v>
      </c>
      <c r="AN828" s="22" t="s">
        <v>9767</v>
      </c>
      <c r="AX828" s="1">
        <v>1</v>
      </c>
      <c r="AZ828" s="1">
        <v>0.1</v>
      </c>
      <c r="BG828" s="1" t="s">
        <v>3491</v>
      </c>
      <c r="BM828" s="1" t="s">
        <v>3289</v>
      </c>
      <c r="BQ828" s="1" t="s">
        <v>207</v>
      </c>
      <c r="BR828" s="1" t="s">
        <v>208</v>
      </c>
      <c r="BS828" s="1" t="s">
        <v>229</v>
      </c>
      <c r="BT828" s="1" t="s">
        <v>210</v>
      </c>
      <c r="BX828" s="1">
        <v>1</v>
      </c>
    </row>
    <row r="829" spans="1:76" x14ac:dyDescent="0.25">
      <c r="A829" s="1" t="s">
        <v>3495</v>
      </c>
      <c r="B829" s="1" t="s">
        <v>203</v>
      </c>
      <c r="C829" s="1">
        <v>1</v>
      </c>
      <c r="D829" s="1" t="s">
        <v>3496</v>
      </c>
      <c r="E829" s="1">
        <v>1295</v>
      </c>
      <c r="F829" s="1" t="s">
        <v>3495</v>
      </c>
      <c r="G829" s="1">
        <v>1</v>
      </c>
      <c r="L829" s="1">
        <v>8500</v>
      </c>
      <c r="N829" s="1">
        <v>280</v>
      </c>
      <c r="P829" s="1">
        <v>80</v>
      </c>
      <c r="R829" s="1">
        <v>0</v>
      </c>
      <c r="Z829" s="1">
        <v>0.05</v>
      </c>
      <c r="AA829" s="1">
        <v>1.5</v>
      </c>
      <c r="AB829" s="1">
        <v>1</v>
      </c>
      <c r="AC829" s="1">
        <v>1.5</v>
      </c>
      <c r="AH829" s="1">
        <v>0</v>
      </c>
      <c r="AI829" s="1">
        <v>1</v>
      </c>
      <c r="AJ829" s="1" t="s">
        <v>3497</v>
      </c>
      <c r="AK829" s="1" t="s">
        <v>3494</v>
      </c>
      <c r="AL829" s="1" t="s">
        <v>228</v>
      </c>
      <c r="AN829" s="22" t="s">
        <v>9767</v>
      </c>
      <c r="AX829" s="1">
        <v>1</v>
      </c>
      <c r="AZ829" s="1">
        <v>0.1</v>
      </c>
      <c r="BG829" s="1" t="s">
        <v>3495</v>
      </c>
      <c r="BM829" s="1" t="s">
        <v>3289</v>
      </c>
      <c r="BQ829" s="1" t="s">
        <v>207</v>
      </c>
      <c r="BR829" s="1" t="s">
        <v>208</v>
      </c>
      <c r="BS829" s="1" t="s">
        <v>229</v>
      </c>
      <c r="BT829" s="1" t="s">
        <v>210</v>
      </c>
      <c r="BX829" s="1">
        <v>1</v>
      </c>
    </row>
    <row r="830" spans="1:76" x14ac:dyDescent="0.25">
      <c r="A830" s="1" t="s">
        <v>3498</v>
      </c>
      <c r="B830" s="1" t="s">
        <v>203</v>
      </c>
      <c r="C830" s="1">
        <v>1</v>
      </c>
      <c r="D830" s="1" t="s">
        <v>3499</v>
      </c>
      <c r="E830" s="1">
        <v>1296</v>
      </c>
      <c r="F830" s="1" t="s">
        <v>3498</v>
      </c>
      <c r="G830" s="1">
        <v>1</v>
      </c>
      <c r="L830" s="1">
        <v>4500</v>
      </c>
      <c r="N830" s="1">
        <v>400</v>
      </c>
      <c r="P830" s="1">
        <v>200</v>
      </c>
      <c r="R830" s="1">
        <v>20</v>
      </c>
      <c r="Z830" s="1">
        <v>0.05</v>
      </c>
      <c r="AA830" s="1">
        <v>2.5</v>
      </c>
      <c r="AB830" s="1">
        <v>1</v>
      </c>
      <c r="AC830" s="1">
        <v>0.8</v>
      </c>
      <c r="AH830" s="1">
        <v>0</v>
      </c>
      <c r="AI830" s="1">
        <v>1</v>
      </c>
      <c r="AJ830" s="1" t="s">
        <v>3500</v>
      </c>
      <c r="AK830" s="1" t="s">
        <v>206</v>
      </c>
      <c r="AL830" s="1" t="s">
        <v>228</v>
      </c>
      <c r="AN830" s="22" t="s">
        <v>9767</v>
      </c>
      <c r="AX830" s="1">
        <v>1</v>
      </c>
      <c r="AZ830" s="1">
        <v>0.1</v>
      </c>
      <c r="BG830" s="1" t="s">
        <v>3498</v>
      </c>
      <c r="BM830" s="1" t="s">
        <v>936</v>
      </c>
      <c r="BQ830" s="1" t="s">
        <v>207</v>
      </c>
      <c r="BR830" s="1" t="s">
        <v>208</v>
      </c>
      <c r="BS830" s="1" t="s">
        <v>229</v>
      </c>
      <c r="BT830" s="1" t="s">
        <v>210</v>
      </c>
      <c r="BX830" s="1">
        <v>1</v>
      </c>
    </row>
    <row r="831" spans="1:76" x14ac:dyDescent="0.25">
      <c r="A831" s="1" t="s">
        <v>3501</v>
      </c>
      <c r="B831" s="1" t="s">
        <v>203</v>
      </c>
      <c r="C831" s="1">
        <v>1</v>
      </c>
      <c r="D831" s="1" t="s">
        <v>3502</v>
      </c>
      <c r="E831" s="1">
        <v>1296</v>
      </c>
      <c r="F831" s="1" t="s">
        <v>3501</v>
      </c>
      <c r="G831" s="1">
        <v>1</v>
      </c>
      <c r="L831" s="1">
        <v>6000</v>
      </c>
      <c r="N831" s="1">
        <v>480</v>
      </c>
      <c r="P831" s="1">
        <v>200</v>
      </c>
      <c r="R831" s="1">
        <v>20</v>
      </c>
      <c r="Z831" s="1">
        <v>0.05</v>
      </c>
      <c r="AA831" s="1">
        <v>2.5</v>
      </c>
      <c r="AB831" s="1">
        <v>1</v>
      </c>
      <c r="AC831" s="1">
        <v>0.8</v>
      </c>
      <c r="AH831" s="1">
        <v>0</v>
      </c>
      <c r="AI831" s="1">
        <v>1</v>
      </c>
      <c r="AJ831" s="1" t="s">
        <v>3503</v>
      </c>
      <c r="AK831" s="1" t="s">
        <v>206</v>
      </c>
      <c r="AL831" s="1" t="s">
        <v>228</v>
      </c>
      <c r="AN831" s="22" t="s">
        <v>9767</v>
      </c>
      <c r="AX831" s="1">
        <v>1</v>
      </c>
      <c r="AZ831" s="1">
        <v>0.1</v>
      </c>
      <c r="BG831" s="1" t="s">
        <v>3501</v>
      </c>
      <c r="BM831" s="1" t="s">
        <v>936</v>
      </c>
      <c r="BQ831" s="1" t="s">
        <v>207</v>
      </c>
      <c r="BR831" s="1" t="s">
        <v>208</v>
      </c>
      <c r="BS831" s="1" t="s">
        <v>229</v>
      </c>
      <c r="BT831" s="1" t="s">
        <v>210</v>
      </c>
      <c r="BX831" s="1">
        <v>1</v>
      </c>
    </row>
    <row r="832" spans="1:76" x14ac:dyDescent="0.25">
      <c r="A832" s="1" t="s">
        <v>3504</v>
      </c>
      <c r="B832" s="1" t="s">
        <v>203</v>
      </c>
      <c r="C832" s="1">
        <v>1</v>
      </c>
      <c r="D832" s="1" t="s">
        <v>3505</v>
      </c>
      <c r="E832" s="1">
        <v>1297</v>
      </c>
      <c r="F832" s="1" t="s">
        <v>3504</v>
      </c>
      <c r="G832" s="1">
        <v>1</v>
      </c>
      <c r="L832" s="1">
        <v>7500</v>
      </c>
      <c r="N832" s="1">
        <v>350</v>
      </c>
      <c r="P832" s="1">
        <v>150</v>
      </c>
      <c r="R832" s="1">
        <v>20</v>
      </c>
      <c r="Z832" s="1">
        <v>0.05</v>
      </c>
      <c r="AA832" s="1">
        <v>3</v>
      </c>
      <c r="AB832" s="1">
        <v>2</v>
      </c>
      <c r="AC832" s="1">
        <v>1.2</v>
      </c>
      <c r="AH832" s="1">
        <v>0</v>
      </c>
      <c r="AI832" s="1">
        <v>1</v>
      </c>
      <c r="AJ832" s="1" t="s">
        <v>3506</v>
      </c>
      <c r="AK832" s="1" t="s">
        <v>3507</v>
      </c>
      <c r="AL832" s="1" t="s">
        <v>228</v>
      </c>
      <c r="AN832" s="22" t="s">
        <v>9767</v>
      </c>
      <c r="AX832" s="1">
        <v>1</v>
      </c>
      <c r="AZ832" s="1">
        <v>0.1</v>
      </c>
      <c r="BG832" s="1" t="s">
        <v>3504</v>
      </c>
      <c r="BM832" s="1" t="s">
        <v>3508</v>
      </c>
      <c r="BQ832" s="1" t="s">
        <v>207</v>
      </c>
      <c r="BR832" s="1" t="s">
        <v>1935</v>
      </c>
      <c r="BS832" s="1" t="s">
        <v>1936</v>
      </c>
      <c r="BT832" s="1" t="s">
        <v>3296</v>
      </c>
      <c r="BX832" s="1">
        <v>1</v>
      </c>
    </row>
    <row r="833" spans="1:76" x14ac:dyDescent="0.25">
      <c r="A833" s="1" t="s">
        <v>3509</v>
      </c>
      <c r="B833" s="1" t="s">
        <v>203</v>
      </c>
      <c r="C833" s="1">
        <v>1</v>
      </c>
      <c r="D833" s="1" t="s">
        <v>3510</v>
      </c>
      <c r="E833" s="1">
        <v>1297</v>
      </c>
      <c r="F833" s="1" t="s">
        <v>3509</v>
      </c>
      <c r="G833" s="1">
        <v>1</v>
      </c>
      <c r="L833" s="1">
        <v>11000</v>
      </c>
      <c r="N833" s="1">
        <v>420</v>
      </c>
      <c r="P833" s="1">
        <v>250</v>
      </c>
      <c r="R833" s="1">
        <v>20</v>
      </c>
      <c r="Z833" s="1">
        <v>0.05</v>
      </c>
      <c r="AA833" s="1">
        <v>3</v>
      </c>
      <c r="AB833" s="1">
        <v>2</v>
      </c>
      <c r="AC833" s="1">
        <v>1.2</v>
      </c>
      <c r="AH833" s="1">
        <v>0</v>
      </c>
      <c r="AI833" s="1">
        <v>1</v>
      </c>
      <c r="AJ833" s="1" t="s">
        <v>3511</v>
      </c>
      <c r="AK833" s="1" t="s">
        <v>3507</v>
      </c>
      <c r="AL833" s="1" t="s">
        <v>228</v>
      </c>
      <c r="AN833" s="22" t="s">
        <v>9767</v>
      </c>
      <c r="AX833" s="1">
        <v>1</v>
      </c>
      <c r="AZ833" s="1">
        <v>0.1</v>
      </c>
      <c r="BG833" s="1" t="s">
        <v>3509</v>
      </c>
      <c r="BM833" s="1" t="s">
        <v>3508</v>
      </c>
      <c r="BQ833" s="1" t="s">
        <v>207</v>
      </c>
      <c r="BR833" s="1" t="s">
        <v>1935</v>
      </c>
      <c r="BS833" s="1" t="s">
        <v>1936</v>
      </c>
      <c r="BT833" s="1" t="s">
        <v>3296</v>
      </c>
      <c r="BX833" s="1">
        <v>1</v>
      </c>
    </row>
    <row r="834" spans="1:76" x14ac:dyDescent="0.25">
      <c r="A834" s="1" t="s">
        <v>3512</v>
      </c>
      <c r="B834" s="1" t="s">
        <v>203</v>
      </c>
      <c r="C834" s="1">
        <v>1</v>
      </c>
      <c r="D834" s="1" t="s">
        <v>3513</v>
      </c>
      <c r="E834" s="1">
        <v>1298</v>
      </c>
      <c r="F834" s="1" t="s">
        <v>3512</v>
      </c>
      <c r="G834" s="1">
        <v>1</v>
      </c>
      <c r="L834" s="1">
        <v>12000</v>
      </c>
      <c r="N834" s="1">
        <v>600</v>
      </c>
      <c r="P834" s="1">
        <v>800</v>
      </c>
      <c r="R834" s="1">
        <v>35</v>
      </c>
      <c r="Z834" s="1">
        <v>0.05</v>
      </c>
      <c r="AA834" s="1">
        <v>4</v>
      </c>
      <c r="AB834" s="1">
        <v>4</v>
      </c>
      <c r="AC834" s="1">
        <v>0.7</v>
      </c>
      <c r="AH834" s="1">
        <v>0</v>
      </c>
      <c r="AI834" s="1">
        <v>1</v>
      </c>
      <c r="AJ834" s="1" t="s">
        <v>3514</v>
      </c>
      <c r="AK834" s="1" t="s">
        <v>3515</v>
      </c>
      <c r="AL834" s="1" t="s">
        <v>228</v>
      </c>
      <c r="AN834" s="22" t="s">
        <v>9767</v>
      </c>
      <c r="AX834" s="1">
        <v>1</v>
      </c>
      <c r="AZ834" s="1">
        <v>0.1</v>
      </c>
      <c r="BG834" s="1" t="s">
        <v>3512</v>
      </c>
      <c r="BM834" s="1" t="s">
        <v>930</v>
      </c>
      <c r="BQ834" s="1" t="s">
        <v>207</v>
      </c>
      <c r="BR834" s="1" t="s">
        <v>208</v>
      </c>
      <c r="BS834" s="1" t="s">
        <v>229</v>
      </c>
      <c r="BT834" s="1" t="s">
        <v>210</v>
      </c>
      <c r="BX834" s="1">
        <v>1</v>
      </c>
    </row>
    <row r="835" spans="1:76" x14ac:dyDescent="0.25">
      <c r="A835" s="1" t="s">
        <v>3516</v>
      </c>
      <c r="B835" s="1" t="s">
        <v>203</v>
      </c>
      <c r="C835" s="1">
        <v>1</v>
      </c>
      <c r="D835" s="1" t="s">
        <v>3517</v>
      </c>
      <c r="E835" s="1">
        <v>1298</v>
      </c>
      <c r="F835" s="1" t="s">
        <v>3516</v>
      </c>
      <c r="G835" s="1">
        <v>1</v>
      </c>
      <c r="L835" s="1">
        <v>15000</v>
      </c>
      <c r="N835" s="1">
        <v>750</v>
      </c>
      <c r="P835" s="1">
        <v>1000</v>
      </c>
      <c r="R835" s="1">
        <v>35</v>
      </c>
      <c r="Z835" s="1">
        <v>0.05</v>
      </c>
      <c r="AA835" s="1">
        <v>4</v>
      </c>
      <c r="AB835" s="1">
        <v>4</v>
      </c>
      <c r="AC835" s="1">
        <v>0.7</v>
      </c>
      <c r="AH835" s="1">
        <v>0</v>
      </c>
      <c r="AI835" s="1">
        <v>1</v>
      </c>
      <c r="AJ835" s="1" t="s">
        <v>3518</v>
      </c>
      <c r="AK835" s="1" t="s">
        <v>3515</v>
      </c>
      <c r="AL835" s="1" t="s">
        <v>228</v>
      </c>
      <c r="AN835" s="22" t="s">
        <v>9767</v>
      </c>
      <c r="AX835" s="1">
        <v>1</v>
      </c>
      <c r="AZ835" s="1">
        <v>0.1</v>
      </c>
      <c r="BG835" s="1" t="s">
        <v>3516</v>
      </c>
      <c r="BM835" s="1" t="s">
        <v>930</v>
      </c>
      <c r="BQ835" s="1" t="s">
        <v>207</v>
      </c>
      <c r="BR835" s="1" t="s">
        <v>208</v>
      </c>
      <c r="BS835" s="1" t="s">
        <v>229</v>
      </c>
      <c r="BT835" s="1" t="s">
        <v>210</v>
      </c>
      <c r="BX835" s="1">
        <v>1</v>
      </c>
    </row>
    <row r="836" spans="1:76" x14ac:dyDescent="0.25">
      <c r="A836" s="1" t="s">
        <v>3519</v>
      </c>
      <c r="B836" s="1" t="s">
        <v>203</v>
      </c>
      <c r="C836" s="1">
        <v>1</v>
      </c>
      <c r="D836" s="1" t="s">
        <v>3520</v>
      </c>
      <c r="E836" s="1">
        <v>1299</v>
      </c>
      <c r="F836" s="1" t="s">
        <v>3519</v>
      </c>
      <c r="G836" s="1">
        <v>1</v>
      </c>
      <c r="L836" s="1">
        <v>8500</v>
      </c>
      <c r="N836" s="1">
        <v>800</v>
      </c>
      <c r="P836" s="1">
        <v>250</v>
      </c>
      <c r="R836" s="1">
        <v>20</v>
      </c>
      <c r="Z836" s="1">
        <v>0.05</v>
      </c>
      <c r="AA836" s="1">
        <v>2.5</v>
      </c>
      <c r="AB836" s="1">
        <v>3</v>
      </c>
      <c r="AC836" s="1">
        <v>1.1000000000000001</v>
      </c>
      <c r="AH836" s="1">
        <v>0</v>
      </c>
      <c r="AI836" s="1">
        <v>1</v>
      </c>
      <c r="AJ836" s="1" t="s">
        <v>3521</v>
      </c>
      <c r="AK836" s="1" t="s">
        <v>3515</v>
      </c>
      <c r="AL836" s="1" t="s">
        <v>228</v>
      </c>
      <c r="AN836" s="22" t="s">
        <v>9767</v>
      </c>
      <c r="AX836" s="1">
        <v>1</v>
      </c>
      <c r="AZ836" s="1">
        <v>0.1</v>
      </c>
      <c r="BG836" s="1" t="s">
        <v>3519</v>
      </c>
      <c r="BM836" s="1" t="s">
        <v>989</v>
      </c>
      <c r="BQ836" s="1" t="s">
        <v>207</v>
      </c>
      <c r="BR836" s="1" t="s">
        <v>208</v>
      </c>
      <c r="BS836" s="1" t="s">
        <v>229</v>
      </c>
      <c r="BT836" s="1" t="s">
        <v>210</v>
      </c>
      <c r="BX836" s="1">
        <v>1</v>
      </c>
    </row>
    <row r="837" spans="1:76" x14ac:dyDescent="0.25">
      <c r="A837" s="1" t="s">
        <v>3522</v>
      </c>
      <c r="B837" s="1" t="s">
        <v>203</v>
      </c>
      <c r="C837" s="1">
        <v>1</v>
      </c>
      <c r="D837" s="1" t="s">
        <v>3523</v>
      </c>
      <c r="E837" s="1">
        <v>1299</v>
      </c>
      <c r="F837" s="1" t="s">
        <v>3522</v>
      </c>
      <c r="G837" s="1">
        <v>1</v>
      </c>
      <c r="L837" s="1">
        <v>11000</v>
      </c>
      <c r="N837" s="1">
        <v>1000</v>
      </c>
      <c r="P837" s="1">
        <v>300</v>
      </c>
      <c r="R837" s="1">
        <v>20</v>
      </c>
      <c r="Z837" s="1">
        <v>0.05</v>
      </c>
      <c r="AA837" s="1">
        <v>2.5</v>
      </c>
      <c r="AB837" s="1">
        <v>3</v>
      </c>
      <c r="AC837" s="1">
        <v>1.1000000000000001</v>
      </c>
      <c r="AH837" s="1">
        <v>0</v>
      </c>
      <c r="AI837" s="1">
        <v>1</v>
      </c>
      <c r="AJ837" s="1" t="s">
        <v>3524</v>
      </c>
      <c r="AK837" s="1" t="s">
        <v>3515</v>
      </c>
      <c r="AL837" s="1" t="s">
        <v>228</v>
      </c>
      <c r="AN837" s="22" t="s">
        <v>9767</v>
      </c>
      <c r="AX837" s="1">
        <v>1</v>
      </c>
      <c r="AZ837" s="1">
        <v>0.1</v>
      </c>
      <c r="BG837" s="1" t="s">
        <v>3522</v>
      </c>
      <c r="BM837" s="1" t="s">
        <v>989</v>
      </c>
      <c r="BQ837" s="1" t="s">
        <v>207</v>
      </c>
      <c r="BR837" s="1" t="s">
        <v>208</v>
      </c>
      <c r="BS837" s="1" t="s">
        <v>229</v>
      </c>
      <c r="BT837" s="1" t="s">
        <v>210</v>
      </c>
      <c r="BX837" s="1">
        <v>1</v>
      </c>
    </row>
    <row r="838" spans="1:76" x14ac:dyDescent="0.25">
      <c r="A838" s="1" t="s">
        <v>3525</v>
      </c>
      <c r="B838" s="1" t="s">
        <v>203</v>
      </c>
      <c r="C838" s="1">
        <v>1</v>
      </c>
      <c r="D838" s="1" t="s">
        <v>3526</v>
      </c>
      <c r="E838" s="1">
        <v>1300</v>
      </c>
      <c r="F838" s="1" t="s">
        <v>3525</v>
      </c>
      <c r="G838" s="1">
        <v>1</v>
      </c>
      <c r="L838" s="1">
        <v>10000</v>
      </c>
      <c r="N838" s="1">
        <v>400</v>
      </c>
      <c r="P838" s="1">
        <v>200</v>
      </c>
      <c r="R838" s="1">
        <v>40</v>
      </c>
      <c r="Z838" s="1">
        <v>0.05</v>
      </c>
      <c r="AA838" s="1">
        <v>2.5</v>
      </c>
      <c r="AB838" s="1">
        <v>3</v>
      </c>
      <c r="AC838" s="1">
        <v>0.8</v>
      </c>
      <c r="AH838" s="1">
        <v>0</v>
      </c>
      <c r="AI838" s="1">
        <v>1</v>
      </c>
      <c r="AJ838" s="1" t="s">
        <v>3527</v>
      </c>
      <c r="AK838" s="1" t="s">
        <v>3507</v>
      </c>
      <c r="AL838" s="1" t="s">
        <v>228</v>
      </c>
      <c r="AN838" s="22" t="s">
        <v>9767</v>
      </c>
      <c r="AX838" s="1">
        <v>1</v>
      </c>
      <c r="AZ838" s="1">
        <v>0.1</v>
      </c>
      <c r="BG838" s="1" t="s">
        <v>3525</v>
      </c>
      <c r="BM838" s="1" t="s">
        <v>957</v>
      </c>
      <c r="BQ838" s="1" t="s">
        <v>207</v>
      </c>
      <c r="BR838" s="1" t="s">
        <v>208</v>
      </c>
      <c r="BS838" s="1" t="s">
        <v>229</v>
      </c>
      <c r="BT838" s="1" t="s">
        <v>210</v>
      </c>
      <c r="BX838" s="1">
        <v>1</v>
      </c>
    </row>
    <row r="839" spans="1:76" x14ac:dyDescent="0.25">
      <c r="A839" s="1" t="s">
        <v>3528</v>
      </c>
      <c r="B839" s="1" t="s">
        <v>203</v>
      </c>
      <c r="C839" s="1">
        <v>1</v>
      </c>
      <c r="D839" s="1" t="s">
        <v>3529</v>
      </c>
      <c r="E839" s="1">
        <v>1300</v>
      </c>
      <c r="F839" s="1" t="s">
        <v>3528</v>
      </c>
      <c r="G839" s="1">
        <v>1</v>
      </c>
      <c r="L839" s="1">
        <v>13000</v>
      </c>
      <c r="N839" s="1">
        <v>500</v>
      </c>
      <c r="P839" s="1">
        <v>250</v>
      </c>
      <c r="R839" s="1">
        <v>40</v>
      </c>
      <c r="Z839" s="1">
        <v>0.05</v>
      </c>
      <c r="AA839" s="1">
        <v>2.5</v>
      </c>
      <c r="AB839" s="1">
        <v>3</v>
      </c>
      <c r="AC839" s="1">
        <v>0.8</v>
      </c>
      <c r="AH839" s="1">
        <v>0</v>
      </c>
      <c r="AI839" s="1">
        <v>1</v>
      </c>
      <c r="AJ839" s="1" t="s">
        <v>3530</v>
      </c>
      <c r="AK839" s="1" t="s">
        <v>3507</v>
      </c>
      <c r="AL839" s="1" t="s">
        <v>228</v>
      </c>
      <c r="AN839" s="22" t="s">
        <v>9767</v>
      </c>
      <c r="AX839" s="1">
        <v>1</v>
      </c>
      <c r="AZ839" s="1">
        <v>0.1</v>
      </c>
      <c r="BG839" s="1" t="s">
        <v>3528</v>
      </c>
      <c r="BM839" s="1" t="s">
        <v>957</v>
      </c>
      <c r="BQ839" s="1" t="s">
        <v>207</v>
      </c>
      <c r="BR839" s="1" t="s">
        <v>208</v>
      </c>
      <c r="BS839" s="1" t="s">
        <v>229</v>
      </c>
      <c r="BT839" s="1" t="s">
        <v>210</v>
      </c>
      <c r="BX839" s="1">
        <v>1</v>
      </c>
    </row>
    <row r="840" spans="1:76" x14ac:dyDescent="0.25">
      <c r="A840" s="1" t="s">
        <v>3531</v>
      </c>
      <c r="B840" s="1" t="s">
        <v>203</v>
      </c>
      <c r="C840" s="1">
        <v>1</v>
      </c>
      <c r="D840" s="1" t="s">
        <v>3532</v>
      </c>
      <c r="E840" s="1">
        <v>1301</v>
      </c>
      <c r="F840" s="1" t="s">
        <v>3531</v>
      </c>
      <c r="G840" s="1">
        <v>1</v>
      </c>
      <c r="L840" s="1">
        <v>15000</v>
      </c>
      <c r="N840" s="1">
        <v>1000</v>
      </c>
      <c r="P840" s="1">
        <v>1200</v>
      </c>
      <c r="R840" s="1">
        <v>10</v>
      </c>
      <c r="Z840" s="1">
        <v>0.05</v>
      </c>
      <c r="AA840" s="1">
        <v>4.5</v>
      </c>
      <c r="AB840" s="1">
        <v>4</v>
      </c>
      <c r="AC840" s="1">
        <v>0.8</v>
      </c>
      <c r="AH840" s="1">
        <v>0</v>
      </c>
      <c r="AI840" s="1">
        <v>1</v>
      </c>
      <c r="AJ840" s="1" t="s">
        <v>3533</v>
      </c>
      <c r="AK840" s="1" t="s">
        <v>3534</v>
      </c>
      <c r="AL840" s="1" t="s">
        <v>228</v>
      </c>
      <c r="AN840" s="22" t="s">
        <v>9767</v>
      </c>
      <c r="AX840" s="1">
        <v>1</v>
      </c>
      <c r="AZ840" s="1">
        <v>0.1</v>
      </c>
      <c r="BG840" s="1" t="s">
        <v>3531</v>
      </c>
      <c r="BM840" s="1" t="s">
        <v>2373</v>
      </c>
      <c r="BQ840" s="1" t="s">
        <v>207</v>
      </c>
      <c r="BR840" s="1" t="s">
        <v>208</v>
      </c>
      <c r="BS840" s="1" t="s">
        <v>229</v>
      </c>
      <c r="BT840" s="1" t="s">
        <v>210</v>
      </c>
      <c r="BX840" s="1">
        <v>1</v>
      </c>
    </row>
    <row r="841" spans="1:76" x14ac:dyDescent="0.25">
      <c r="A841" s="1" t="s">
        <v>3535</v>
      </c>
      <c r="B841" s="1" t="s">
        <v>203</v>
      </c>
      <c r="C841" s="1">
        <v>1</v>
      </c>
      <c r="D841" s="1" t="s">
        <v>3536</v>
      </c>
      <c r="E841" s="1">
        <v>1301</v>
      </c>
      <c r="F841" s="1" t="s">
        <v>3535</v>
      </c>
      <c r="G841" s="1">
        <v>1</v>
      </c>
      <c r="L841" s="1">
        <v>18000</v>
      </c>
      <c r="N841" s="1">
        <v>1200</v>
      </c>
      <c r="P841" s="1">
        <v>1200</v>
      </c>
      <c r="R841" s="1">
        <v>10</v>
      </c>
      <c r="Z841" s="1">
        <v>0.05</v>
      </c>
      <c r="AA841" s="1">
        <v>4.5</v>
      </c>
      <c r="AB841" s="1">
        <v>4</v>
      </c>
      <c r="AC841" s="1">
        <v>0.8</v>
      </c>
      <c r="AH841" s="1">
        <v>0</v>
      </c>
      <c r="AI841" s="1">
        <v>1</v>
      </c>
      <c r="AJ841" s="1" t="s">
        <v>3537</v>
      </c>
      <c r="AK841" s="1" t="s">
        <v>3534</v>
      </c>
      <c r="AL841" s="1" t="s">
        <v>228</v>
      </c>
      <c r="AN841" s="22" t="s">
        <v>9767</v>
      </c>
      <c r="AX841" s="1">
        <v>1</v>
      </c>
      <c r="AZ841" s="1">
        <v>0.1</v>
      </c>
      <c r="BG841" s="1" t="s">
        <v>3535</v>
      </c>
      <c r="BM841" s="1" t="s">
        <v>2373</v>
      </c>
      <c r="BQ841" s="1" t="s">
        <v>207</v>
      </c>
      <c r="BR841" s="1" t="s">
        <v>208</v>
      </c>
      <c r="BS841" s="1" t="s">
        <v>229</v>
      </c>
      <c r="BT841" s="1" t="s">
        <v>210</v>
      </c>
      <c r="BX841" s="1">
        <v>1</v>
      </c>
    </row>
    <row r="842" spans="1:76" x14ac:dyDescent="0.25">
      <c r="A842" s="1" t="s">
        <v>3538</v>
      </c>
      <c r="B842" s="1" t="s">
        <v>203</v>
      </c>
      <c r="C842" s="1">
        <v>1</v>
      </c>
      <c r="D842" s="1" t="s">
        <v>3539</v>
      </c>
      <c r="E842" s="1">
        <v>1302</v>
      </c>
      <c r="F842" s="1" t="s">
        <v>3538</v>
      </c>
      <c r="G842" s="1">
        <v>1</v>
      </c>
      <c r="L842" s="1">
        <v>22500</v>
      </c>
      <c r="N842" s="1">
        <v>800</v>
      </c>
      <c r="P842" s="1">
        <v>1200</v>
      </c>
      <c r="R842" s="1">
        <v>10</v>
      </c>
      <c r="Z842" s="1">
        <v>0.05</v>
      </c>
      <c r="AA842" s="1">
        <v>4</v>
      </c>
      <c r="AB842" s="1">
        <v>4</v>
      </c>
      <c r="AC842" s="1">
        <v>0.3</v>
      </c>
      <c r="AH842" s="1">
        <v>0</v>
      </c>
      <c r="AI842" s="1">
        <v>1</v>
      </c>
      <c r="AJ842" s="1" t="s">
        <v>3540</v>
      </c>
      <c r="AK842" s="21" t="s">
        <v>3541</v>
      </c>
      <c r="AL842" s="1" t="s">
        <v>228</v>
      </c>
      <c r="AN842" s="22" t="s">
        <v>9767</v>
      </c>
      <c r="AR842" s="1">
        <v>4</v>
      </c>
      <c r="AX842" s="1">
        <v>1</v>
      </c>
      <c r="AZ842" s="1">
        <v>0.1</v>
      </c>
      <c r="BG842" s="1" t="s">
        <v>3538</v>
      </c>
      <c r="BM842" s="1" t="s">
        <v>2382</v>
      </c>
      <c r="BQ842" s="1" t="s">
        <v>207</v>
      </c>
      <c r="BR842" s="1" t="s">
        <v>208</v>
      </c>
      <c r="BS842" s="1" t="s">
        <v>229</v>
      </c>
      <c r="BT842" s="1" t="s">
        <v>210</v>
      </c>
      <c r="BX842" s="1">
        <v>1</v>
      </c>
    </row>
    <row r="843" spans="1:76" x14ac:dyDescent="0.25">
      <c r="A843" s="1" t="s">
        <v>3542</v>
      </c>
      <c r="B843" s="1" t="s">
        <v>203</v>
      </c>
      <c r="C843" s="1">
        <v>1</v>
      </c>
      <c r="D843" s="1" t="s">
        <v>3543</v>
      </c>
      <c r="E843" s="1">
        <v>1302</v>
      </c>
      <c r="F843" s="1" t="s">
        <v>3542</v>
      </c>
      <c r="G843" s="1">
        <v>1</v>
      </c>
      <c r="L843" s="1">
        <v>30000</v>
      </c>
      <c r="N843" s="1">
        <v>1000</v>
      </c>
      <c r="P843" s="1">
        <v>1500</v>
      </c>
      <c r="R843" s="1">
        <v>10</v>
      </c>
      <c r="Z843" s="1">
        <v>0.05</v>
      </c>
      <c r="AA843" s="1">
        <v>4</v>
      </c>
      <c r="AB843" s="1">
        <v>4</v>
      </c>
      <c r="AC843" s="1">
        <v>0.3</v>
      </c>
      <c r="AH843" s="1">
        <v>0</v>
      </c>
      <c r="AI843" s="1">
        <v>1</v>
      </c>
      <c r="AJ843" s="1" t="s">
        <v>3544</v>
      </c>
      <c r="AK843" s="21" t="s">
        <v>3541</v>
      </c>
      <c r="AL843" s="1" t="s">
        <v>228</v>
      </c>
      <c r="AN843" s="22" t="s">
        <v>9767</v>
      </c>
      <c r="AR843" s="1">
        <v>4</v>
      </c>
      <c r="AX843" s="1">
        <v>1</v>
      </c>
      <c r="AZ843" s="1">
        <v>0.1</v>
      </c>
      <c r="BG843" s="1" t="s">
        <v>3542</v>
      </c>
      <c r="BM843" s="1" t="s">
        <v>2382</v>
      </c>
      <c r="BQ843" s="1" t="s">
        <v>207</v>
      </c>
      <c r="BR843" s="1" t="s">
        <v>208</v>
      </c>
      <c r="BS843" s="1" t="s">
        <v>229</v>
      </c>
      <c r="BT843" s="1" t="s">
        <v>210</v>
      </c>
      <c r="BX843" s="1">
        <v>1</v>
      </c>
    </row>
    <row r="844" spans="1:76" x14ac:dyDescent="0.25">
      <c r="A844" s="1" t="s">
        <v>3545</v>
      </c>
      <c r="B844" s="1" t="s">
        <v>203</v>
      </c>
      <c r="C844" s="1">
        <v>1</v>
      </c>
      <c r="D844" s="1" t="s">
        <v>3546</v>
      </c>
      <c r="E844" s="1">
        <v>1538</v>
      </c>
      <c r="F844" s="1" t="s">
        <v>3545</v>
      </c>
      <c r="G844" s="1">
        <v>1</v>
      </c>
      <c r="L844" s="1">
        <v>60000</v>
      </c>
      <c r="N844" s="1">
        <v>600</v>
      </c>
      <c r="P844" s="1">
        <v>450</v>
      </c>
      <c r="R844" s="1">
        <v>50</v>
      </c>
      <c r="Z844" s="1">
        <v>0.05</v>
      </c>
      <c r="AA844" s="1">
        <v>5</v>
      </c>
      <c r="AB844" s="1">
        <v>7</v>
      </c>
      <c r="AC844" s="1">
        <v>0.3</v>
      </c>
      <c r="AH844" s="1">
        <v>0</v>
      </c>
      <c r="AI844" s="1">
        <v>1</v>
      </c>
      <c r="AJ844" s="1" t="s">
        <v>3547</v>
      </c>
      <c r="AK844" s="1" t="s">
        <v>3515</v>
      </c>
      <c r="AL844" s="1" t="s">
        <v>228</v>
      </c>
      <c r="AN844" s="22" t="s">
        <v>9767</v>
      </c>
      <c r="AX844" s="1">
        <v>1</v>
      </c>
      <c r="AZ844" s="1">
        <v>0.1</v>
      </c>
      <c r="BG844" s="1" t="s">
        <v>3545</v>
      </c>
      <c r="BM844" s="1" t="s">
        <v>3548</v>
      </c>
      <c r="BQ844" s="1" t="s">
        <v>2010</v>
      </c>
      <c r="BR844" s="1" t="s">
        <v>2011</v>
      </c>
      <c r="BS844" s="1" t="s">
        <v>2012</v>
      </c>
      <c r="BT844" s="1" t="s">
        <v>3549</v>
      </c>
      <c r="BX844" s="1">
        <v>1</v>
      </c>
    </row>
    <row r="845" spans="1:76" x14ac:dyDescent="0.25">
      <c r="A845" s="1" t="s">
        <v>3550</v>
      </c>
      <c r="B845" s="1" t="s">
        <v>203</v>
      </c>
      <c r="C845" s="1">
        <v>1</v>
      </c>
      <c r="D845" s="1" t="s">
        <v>3546</v>
      </c>
      <c r="E845" s="1">
        <v>1538</v>
      </c>
      <c r="F845" s="1" t="s">
        <v>3545</v>
      </c>
      <c r="G845" s="1">
        <v>1</v>
      </c>
      <c r="L845" s="1">
        <v>4000</v>
      </c>
      <c r="N845" s="1">
        <v>0</v>
      </c>
      <c r="P845" s="1">
        <v>0</v>
      </c>
      <c r="R845" s="1">
        <v>0</v>
      </c>
      <c r="Z845" s="1">
        <v>0.05</v>
      </c>
      <c r="AA845" s="1">
        <v>5</v>
      </c>
      <c r="AB845" s="1">
        <v>7</v>
      </c>
      <c r="AC845" s="1">
        <v>0.7</v>
      </c>
      <c r="AH845" s="1">
        <v>0</v>
      </c>
      <c r="AI845" s="1">
        <v>1</v>
      </c>
      <c r="AJ845" s="1" t="s">
        <v>3550</v>
      </c>
      <c r="AK845" s="1" t="s">
        <v>3515</v>
      </c>
      <c r="AL845" s="1" t="s">
        <v>228</v>
      </c>
      <c r="AN845" s="22" t="s">
        <v>9767</v>
      </c>
      <c r="AX845" s="1">
        <v>1</v>
      </c>
      <c r="AZ845" s="1">
        <v>0.1</v>
      </c>
      <c r="BG845" s="1" t="s">
        <v>3545</v>
      </c>
      <c r="BM845" s="1" t="s">
        <v>3548</v>
      </c>
      <c r="BQ845" s="1" t="s">
        <v>2010</v>
      </c>
      <c r="BR845" s="1" t="s">
        <v>3551</v>
      </c>
      <c r="BS845" s="1" t="s">
        <v>3552</v>
      </c>
      <c r="BT845" s="1" t="s">
        <v>3549</v>
      </c>
      <c r="BX845" s="1">
        <v>1</v>
      </c>
    </row>
    <row r="846" spans="1:76" x14ac:dyDescent="0.25">
      <c r="A846" s="1" t="s">
        <v>3553</v>
      </c>
      <c r="B846" s="1" t="s">
        <v>203</v>
      </c>
      <c r="C846" s="1">
        <v>1</v>
      </c>
      <c r="D846" s="1" t="s">
        <v>3546</v>
      </c>
      <c r="E846" s="1">
        <v>1538</v>
      </c>
      <c r="F846" s="1" t="s">
        <v>3545</v>
      </c>
      <c r="G846" s="1">
        <v>1</v>
      </c>
      <c r="L846" s="1">
        <v>50000</v>
      </c>
      <c r="N846" s="1">
        <v>400</v>
      </c>
      <c r="P846" s="1">
        <v>400</v>
      </c>
      <c r="R846" s="1">
        <v>40</v>
      </c>
      <c r="Z846" s="1">
        <v>0.05</v>
      </c>
      <c r="AA846" s="1">
        <v>5</v>
      </c>
      <c r="AB846" s="1">
        <v>7</v>
      </c>
      <c r="AC846" s="1">
        <v>0.3</v>
      </c>
      <c r="AH846" s="1">
        <v>0</v>
      </c>
      <c r="AI846" s="1">
        <v>1</v>
      </c>
      <c r="AJ846" s="1" t="s">
        <v>3553</v>
      </c>
      <c r="AK846" s="1" t="s">
        <v>3515</v>
      </c>
      <c r="AL846" s="1" t="s">
        <v>228</v>
      </c>
      <c r="AN846" s="22" t="s">
        <v>9767</v>
      </c>
      <c r="AX846" s="1">
        <v>1</v>
      </c>
      <c r="AZ846" s="1">
        <v>0.1</v>
      </c>
      <c r="BG846" s="1" t="s">
        <v>3545</v>
      </c>
      <c r="BM846" s="1" t="s">
        <v>3548</v>
      </c>
      <c r="BQ846" s="1" t="s">
        <v>2010</v>
      </c>
      <c r="BR846" s="1" t="s">
        <v>3551</v>
      </c>
      <c r="BS846" s="1" t="s">
        <v>3552</v>
      </c>
      <c r="BT846" s="1" t="s">
        <v>3549</v>
      </c>
      <c r="BX846" s="1">
        <v>1</v>
      </c>
    </row>
    <row r="847" spans="1:76" x14ac:dyDescent="0.25">
      <c r="A847" s="1" t="s">
        <v>3554</v>
      </c>
      <c r="B847" s="1" t="s">
        <v>203</v>
      </c>
      <c r="C847" s="1">
        <v>1</v>
      </c>
      <c r="D847" s="1" t="s">
        <v>3546</v>
      </c>
      <c r="E847" s="1">
        <v>1538</v>
      </c>
      <c r="F847" s="1" t="s">
        <v>3545</v>
      </c>
      <c r="G847" s="1">
        <v>1</v>
      </c>
      <c r="L847" s="1">
        <v>85000</v>
      </c>
      <c r="N847" s="1">
        <v>800</v>
      </c>
      <c r="P847" s="1">
        <v>550</v>
      </c>
      <c r="R847" s="1">
        <v>50</v>
      </c>
      <c r="Z847" s="1">
        <v>0.05</v>
      </c>
      <c r="AA847" s="1">
        <v>5</v>
      </c>
      <c r="AB847" s="1">
        <v>7</v>
      </c>
      <c r="AC847" s="1">
        <v>0.3</v>
      </c>
      <c r="AH847" s="1">
        <v>0</v>
      </c>
      <c r="AI847" s="1">
        <v>1</v>
      </c>
      <c r="AJ847" s="1" t="s">
        <v>3555</v>
      </c>
      <c r="AK847" s="1" t="s">
        <v>265</v>
      </c>
      <c r="AL847" s="1" t="s">
        <v>228</v>
      </c>
      <c r="AN847" s="22" t="s">
        <v>9767</v>
      </c>
      <c r="AX847" s="1">
        <v>1</v>
      </c>
      <c r="AZ847" s="1">
        <v>0.1</v>
      </c>
      <c r="BG847" s="1" t="s">
        <v>3545</v>
      </c>
      <c r="BM847" s="1" t="s">
        <v>3548</v>
      </c>
      <c r="BQ847" s="1" t="s">
        <v>2010</v>
      </c>
      <c r="BR847" s="1" t="s">
        <v>2011</v>
      </c>
      <c r="BS847" s="1" t="s">
        <v>2012</v>
      </c>
      <c r="BT847" s="1" t="s">
        <v>3549</v>
      </c>
      <c r="BX847" s="1">
        <v>1</v>
      </c>
    </row>
    <row r="848" spans="1:76" x14ac:dyDescent="0.25">
      <c r="A848" s="1" t="s">
        <v>3556</v>
      </c>
      <c r="B848" s="1" t="s">
        <v>203</v>
      </c>
      <c r="C848" s="1">
        <v>1</v>
      </c>
      <c r="D848" s="1" t="s">
        <v>3557</v>
      </c>
      <c r="E848" s="1">
        <v>1303</v>
      </c>
      <c r="F848" s="1" t="s">
        <v>3556</v>
      </c>
      <c r="G848" s="1">
        <v>1</v>
      </c>
      <c r="L848" s="1">
        <v>5000</v>
      </c>
      <c r="N848" s="1">
        <v>250</v>
      </c>
      <c r="P848" s="1">
        <v>0</v>
      </c>
      <c r="R848" s="1">
        <v>0</v>
      </c>
      <c r="Z848" s="1">
        <v>0.05</v>
      </c>
      <c r="AA848" s="1">
        <v>2.2999999999999998</v>
      </c>
      <c r="AB848" s="1">
        <v>1</v>
      </c>
      <c r="AC848" s="1">
        <v>0.8</v>
      </c>
      <c r="AH848" s="1">
        <v>0</v>
      </c>
      <c r="AI848" s="1">
        <v>1</v>
      </c>
      <c r="AJ848" s="1" t="s">
        <v>3558</v>
      </c>
      <c r="AK848" s="1" t="s">
        <v>265</v>
      </c>
      <c r="AL848" s="1" t="s">
        <v>228</v>
      </c>
      <c r="AN848" s="22" t="s">
        <v>9767</v>
      </c>
      <c r="AX848" s="1">
        <v>1</v>
      </c>
      <c r="AZ848" s="1">
        <v>0.1</v>
      </c>
      <c r="BG848" s="1" t="s">
        <v>3556</v>
      </c>
      <c r="BM848" s="1" t="s">
        <v>3559</v>
      </c>
      <c r="BQ848" s="1" t="s">
        <v>207</v>
      </c>
      <c r="BR848" s="1" t="s">
        <v>208</v>
      </c>
      <c r="BS848" s="1" t="s">
        <v>229</v>
      </c>
      <c r="BT848" s="1" t="s">
        <v>210</v>
      </c>
      <c r="BX848" s="1">
        <v>1</v>
      </c>
    </row>
    <row r="849" spans="1:76" x14ac:dyDescent="0.25">
      <c r="A849" s="1" t="s">
        <v>3560</v>
      </c>
      <c r="B849" s="1" t="s">
        <v>203</v>
      </c>
      <c r="C849" s="1">
        <v>1</v>
      </c>
      <c r="D849" s="1" t="s">
        <v>3561</v>
      </c>
      <c r="E849" s="1">
        <v>1303</v>
      </c>
      <c r="F849" s="1" t="s">
        <v>3560</v>
      </c>
      <c r="G849" s="1">
        <v>1</v>
      </c>
      <c r="L849" s="1">
        <v>6500</v>
      </c>
      <c r="N849" s="1">
        <v>320</v>
      </c>
      <c r="P849" s="1">
        <v>0</v>
      </c>
      <c r="R849" s="1">
        <v>0</v>
      </c>
      <c r="Z849" s="1">
        <v>0.05</v>
      </c>
      <c r="AA849" s="1">
        <v>2.2999999999999998</v>
      </c>
      <c r="AB849" s="1">
        <v>1</v>
      </c>
      <c r="AC849" s="1">
        <v>0.8</v>
      </c>
      <c r="AH849" s="1">
        <v>0</v>
      </c>
      <c r="AI849" s="1">
        <v>1</v>
      </c>
      <c r="AJ849" s="1" t="s">
        <v>3562</v>
      </c>
      <c r="AK849" s="1" t="s">
        <v>265</v>
      </c>
      <c r="AL849" s="1" t="s">
        <v>228</v>
      </c>
      <c r="AN849" s="22" t="s">
        <v>9767</v>
      </c>
      <c r="AX849" s="1">
        <v>1</v>
      </c>
      <c r="AZ849" s="1">
        <v>0.1</v>
      </c>
      <c r="BG849" s="1" t="s">
        <v>3560</v>
      </c>
      <c r="BM849" s="1" t="s">
        <v>3559</v>
      </c>
      <c r="BQ849" s="1" t="s">
        <v>207</v>
      </c>
      <c r="BR849" s="1" t="s">
        <v>208</v>
      </c>
      <c r="BS849" s="1" t="s">
        <v>229</v>
      </c>
      <c r="BT849" s="1" t="s">
        <v>210</v>
      </c>
      <c r="BX849" s="1">
        <v>1</v>
      </c>
    </row>
    <row r="850" spans="1:76" x14ac:dyDescent="0.25">
      <c r="A850" s="1" t="s">
        <v>3563</v>
      </c>
      <c r="B850" s="1" t="s">
        <v>203</v>
      </c>
      <c r="C850" s="1">
        <v>1</v>
      </c>
      <c r="D850" s="1" t="s">
        <v>3557</v>
      </c>
      <c r="E850" s="1">
        <v>1303</v>
      </c>
      <c r="F850" s="1" t="s">
        <v>3556</v>
      </c>
      <c r="G850" s="1">
        <v>1</v>
      </c>
      <c r="L850" s="1">
        <v>5000</v>
      </c>
      <c r="N850" s="1">
        <v>250</v>
      </c>
      <c r="P850" s="1">
        <v>0</v>
      </c>
      <c r="R850" s="1">
        <v>0</v>
      </c>
      <c r="Z850" s="1">
        <v>0.05</v>
      </c>
      <c r="AA850" s="1">
        <v>2.2999999999999998</v>
      </c>
      <c r="AB850" s="1">
        <v>1</v>
      </c>
      <c r="AC850" s="1">
        <v>0.8</v>
      </c>
      <c r="AH850" s="1">
        <v>0</v>
      </c>
      <c r="AI850" s="1">
        <v>1</v>
      </c>
      <c r="AJ850" s="1" t="s">
        <v>3564</v>
      </c>
      <c r="AK850" s="1" t="s">
        <v>265</v>
      </c>
      <c r="AL850" s="1" t="s">
        <v>228</v>
      </c>
      <c r="AN850" s="22" t="s">
        <v>9767</v>
      </c>
      <c r="AX850" s="1">
        <v>1</v>
      </c>
      <c r="AZ850" s="1">
        <v>0.1</v>
      </c>
      <c r="BG850" s="1" t="s">
        <v>3556</v>
      </c>
      <c r="BM850" s="1" t="s">
        <v>3559</v>
      </c>
      <c r="BQ850" s="1" t="s">
        <v>207</v>
      </c>
      <c r="BR850" s="1" t="s">
        <v>208</v>
      </c>
      <c r="BS850" s="1" t="s">
        <v>229</v>
      </c>
      <c r="BT850" s="1" t="s">
        <v>210</v>
      </c>
      <c r="BX850" s="1">
        <v>1</v>
      </c>
    </row>
    <row r="851" spans="1:76" x14ac:dyDescent="0.25">
      <c r="A851" s="1" t="s">
        <v>3565</v>
      </c>
      <c r="B851" s="1" t="s">
        <v>203</v>
      </c>
      <c r="C851" s="1">
        <v>1</v>
      </c>
      <c r="D851" s="1" t="s">
        <v>3561</v>
      </c>
      <c r="E851" s="1">
        <v>1303</v>
      </c>
      <c r="F851" s="1" t="s">
        <v>3560</v>
      </c>
      <c r="G851" s="1">
        <v>1</v>
      </c>
      <c r="L851" s="1">
        <v>6500</v>
      </c>
      <c r="N851" s="1">
        <v>320</v>
      </c>
      <c r="P851" s="1">
        <v>0</v>
      </c>
      <c r="R851" s="1">
        <v>0</v>
      </c>
      <c r="Z851" s="1">
        <v>0.05</v>
      </c>
      <c r="AA851" s="1">
        <v>2.2999999999999998</v>
      </c>
      <c r="AB851" s="1">
        <v>1</v>
      </c>
      <c r="AC851" s="1">
        <v>0.8</v>
      </c>
      <c r="AH851" s="1">
        <v>0</v>
      </c>
      <c r="AI851" s="1">
        <v>1</v>
      </c>
      <c r="AJ851" s="1" t="s">
        <v>3566</v>
      </c>
      <c r="AK851" s="1" t="s">
        <v>265</v>
      </c>
      <c r="AL851" s="1" t="s">
        <v>228</v>
      </c>
      <c r="AN851" s="22" t="s">
        <v>9767</v>
      </c>
      <c r="AX851" s="1">
        <v>1</v>
      </c>
      <c r="AZ851" s="1">
        <v>0.1</v>
      </c>
      <c r="BG851" s="1" t="s">
        <v>3560</v>
      </c>
      <c r="BM851" s="1" t="s">
        <v>3559</v>
      </c>
      <c r="BQ851" s="1" t="s">
        <v>207</v>
      </c>
      <c r="BR851" s="1" t="s">
        <v>208</v>
      </c>
      <c r="BS851" s="1" t="s">
        <v>229</v>
      </c>
      <c r="BT851" s="1" t="s">
        <v>210</v>
      </c>
      <c r="BX851" s="1">
        <v>1</v>
      </c>
    </row>
    <row r="852" spans="1:76" x14ac:dyDescent="0.25">
      <c r="A852" s="1" t="s">
        <v>3567</v>
      </c>
      <c r="B852" s="1" t="s">
        <v>203</v>
      </c>
      <c r="C852" s="1">
        <v>1</v>
      </c>
      <c r="D852" s="1" t="s">
        <v>3568</v>
      </c>
      <c r="E852" s="1">
        <v>1304</v>
      </c>
      <c r="F852" s="1" t="s">
        <v>3567</v>
      </c>
      <c r="G852" s="1">
        <v>1</v>
      </c>
      <c r="L852" s="1">
        <v>4500</v>
      </c>
      <c r="N852" s="1">
        <v>310</v>
      </c>
      <c r="P852" s="1">
        <v>0</v>
      </c>
      <c r="R852" s="1">
        <v>5</v>
      </c>
      <c r="Z852" s="1">
        <v>0.05</v>
      </c>
      <c r="AA852" s="1">
        <v>1.8</v>
      </c>
      <c r="AB852" s="1">
        <v>1</v>
      </c>
      <c r="AC852" s="1">
        <v>1.5</v>
      </c>
      <c r="AH852" s="1">
        <v>0</v>
      </c>
      <c r="AI852" s="1">
        <v>1</v>
      </c>
      <c r="AJ852" s="1" t="s">
        <v>3569</v>
      </c>
      <c r="AK852" s="1" t="s">
        <v>265</v>
      </c>
      <c r="AL852" s="1" t="s">
        <v>228</v>
      </c>
      <c r="AN852" s="22" t="s">
        <v>9767</v>
      </c>
      <c r="AX852" s="1">
        <v>1</v>
      </c>
      <c r="AZ852" s="1">
        <v>0.1</v>
      </c>
      <c r="BG852" s="1" t="s">
        <v>3567</v>
      </c>
      <c r="BM852" s="1" t="s">
        <v>930</v>
      </c>
      <c r="BQ852" s="1" t="s">
        <v>207</v>
      </c>
      <c r="BR852" s="1" t="s">
        <v>208</v>
      </c>
      <c r="BS852" s="1" t="s">
        <v>229</v>
      </c>
      <c r="BT852" s="1" t="s">
        <v>210</v>
      </c>
      <c r="BX852" s="1">
        <v>1</v>
      </c>
    </row>
    <row r="853" spans="1:76" x14ac:dyDescent="0.25">
      <c r="A853" s="1" t="s">
        <v>3570</v>
      </c>
      <c r="B853" s="1" t="s">
        <v>203</v>
      </c>
      <c r="C853" s="1">
        <v>1</v>
      </c>
      <c r="D853" s="1" t="s">
        <v>3571</v>
      </c>
      <c r="E853" s="1">
        <v>1304</v>
      </c>
      <c r="F853" s="1" t="s">
        <v>3570</v>
      </c>
      <c r="G853" s="1">
        <v>1</v>
      </c>
      <c r="L853" s="1">
        <v>6500</v>
      </c>
      <c r="N853" s="1">
        <v>380</v>
      </c>
      <c r="P853" s="1">
        <v>0</v>
      </c>
      <c r="R853" s="1">
        <v>5</v>
      </c>
      <c r="Z853" s="1">
        <v>0.05</v>
      </c>
      <c r="AA853" s="1">
        <v>1.8</v>
      </c>
      <c r="AB853" s="1">
        <v>1</v>
      </c>
      <c r="AC853" s="1">
        <v>1.5</v>
      </c>
      <c r="AH853" s="1">
        <v>0</v>
      </c>
      <c r="AI853" s="1">
        <v>1</v>
      </c>
      <c r="AJ853" s="1" t="s">
        <v>3572</v>
      </c>
      <c r="AK853" s="1" t="s">
        <v>265</v>
      </c>
      <c r="AL853" s="1" t="s">
        <v>228</v>
      </c>
      <c r="AN853" s="22" t="s">
        <v>9767</v>
      </c>
      <c r="AX853" s="1">
        <v>1</v>
      </c>
      <c r="AZ853" s="1">
        <v>0.1</v>
      </c>
      <c r="BG853" s="1" t="s">
        <v>3570</v>
      </c>
      <c r="BM853" s="1" t="s">
        <v>930</v>
      </c>
      <c r="BQ853" s="1" t="s">
        <v>207</v>
      </c>
      <c r="BR853" s="1" t="s">
        <v>208</v>
      </c>
      <c r="BS853" s="1" t="s">
        <v>229</v>
      </c>
      <c r="BT853" s="1" t="s">
        <v>210</v>
      </c>
      <c r="BX853" s="1">
        <v>1</v>
      </c>
    </row>
    <row r="854" spans="1:76" x14ac:dyDescent="0.25">
      <c r="A854" s="1" t="s">
        <v>3573</v>
      </c>
      <c r="B854" s="1" t="s">
        <v>203</v>
      </c>
      <c r="C854" s="1">
        <v>1</v>
      </c>
      <c r="D854" s="1" t="s">
        <v>3574</v>
      </c>
      <c r="E854" s="1">
        <v>1305</v>
      </c>
      <c r="F854" s="1" t="s">
        <v>3573</v>
      </c>
      <c r="G854" s="1">
        <v>1</v>
      </c>
      <c r="L854" s="1">
        <v>1200</v>
      </c>
      <c r="N854" s="1">
        <v>50</v>
      </c>
      <c r="P854" s="1">
        <v>0</v>
      </c>
      <c r="R854" s="1">
        <v>0</v>
      </c>
      <c r="Z854" s="1">
        <v>0.05</v>
      </c>
      <c r="AA854" s="1">
        <v>2</v>
      </c>
      <c r="AB854" s="1">
        <v>0</v>
      </c>
      <c r="AC854" s="1">
        <v>0.8</v>
      </c>
      <c r="AH854" s="1">
        <v>0</v>
      </c>
      <c r="AI854" s="1">
        <v>1</v>
      </c>
      <c r="AJ854" s="1" t="s">
        <v>3575</v>
      </c>
      <c r="AK854" s="1" t="s">
        <v>265</v>
      </c>
      <c r="AL854" s="1" t="s">
        <v>228</v>
      </c>
      <c r="AN854" s="22" t="s">
        <v>9767</v>
      </c>
      <c r="AX854" s="1">
        <v>1</v>
      </c>
      <c r="AZ854" s="1">
        <v>0.1</v>
      </c>
      <c r="BG854" s="1" t="s">
        <v>3573</v>
      </c>
      <c r="BM854" s="1" t="s">
        <v>901</v>
      </c>
      <c r="BQ854" s="1" t="s">
        <v>207</v>
      </c>
      <c r="BR854" s="1" t="s">
        <v>208</v>
      </c>
      <c r="BS854" s="1" t="s">
        <v>229</v>
      </c>
      <c r="BT854" s="1" t="s">
        <v>210</v>
      </c>
      <c r="BX854" s="1">
        <v>1</v>
      </c>
    </row>
    <row r="855" spans="1:76" x14ac:dyDescent="0.25">
      <c r="A855" s="1" t="s">
        <v>3576</v>
      </c>
      <c r="B855" s="1" t="s">
        <v>203</v>
      </c>
      <c r="C855" s="1">
        <v>1</v>
      </c>
      <c r="D855" s="1" t="s">
        <v>3577</v>
      </c>
      <c r="E855" s="1">
        <v>1305</v>
      </c>
      <c r="F855" s="1" t="s">
        <v>3576</v>
      </c>
      <c r="G855" s="1">
        <v>1</v>
      </c>
      <c r="L855" s="1">
        <v>1800</v>
      </c>
      <c r="N855" s="1">
        <v>80</v>
      </c>
      <c r="P855" s="1">
        <v>0</v>
      </c>
      <c r="R855" s="1">
        <v>0</v>
      </c>
      <c r="Z855" s="1">
        <v>0.05</v>
      </c>
      <c r="AA855" s="1">
        <v>2</v>
      </c>
      <c r="AB855" s="1">
        <v>0</v>
      </c>
      <c r="AC855" s="1">
        <v>0.8</v>
      </c>
      <c r="AH855" s="1">
        <v>0</v>
      </c>
      <c r="AI855" s="1">
        <v>1</v>
      </c>
      <c r="AJ855" s="1" t="s">
        <v>3578</v>
      </c>
      <c r="AK855" s="1" t="s">
        <v>265</v>
      </c>
      <c r="AL855" s="1" t="s">
        <v>228</v>
      </c>
      <c r="AN855" s="22" t="s">
        <v>9767</v>
      </c>
      <c r="AX855" s="1">
        <v>1</v>
      </c>
      <c r="AZ855" s="1">
        <v>0.1</v>
      </c>
      <c r="BG855" s="1" t="s">
        <v>3576</v>
      </c>
      <c r="BM855" s="1" t="s">
        <v>901</v>
      </c>
      <c r="BQ855" s="1" t="s">
        <v>207</v>
      </c>
      <c r="BR855" s="1" t="s">
        <v>208</v>
      </c>
      <c r="BS855" s="1" t="s">
        <v>229</v>
      </c>
      <c r="BT855" s="1" t="s">
        <v>210</v>
      </c>
      <c r="BX855" s="1">
        <v>1</v>
      </c>
    </row>
    <row r="856" spans="1:76" x14ac:dyDescent="0.25">
      <c r="A856" s="1" t="s">
        <v>3579</v>
      </c>
      <c r="B856" s="1" t="s">
        <v>203</v>
      </c>
      <c r="C856" s="1">
        <v>1</v>
      </c>
      <c r="D856" s="1" t="s">
        <v>3580</v>
      </c>
      <c r="E856" s="1">
        <v>1306</v>
      </c>
      <c r="F856" s="1" t="s">
        <v>3579</v>
      </c>
      <c r="G856" s="1">
        <v>1</v>
      </c>
      <c r="L856" s="1">
        <v>14000</v>
      </c>
      <c r="N856" s="1">
        <v>600</v>
      </c>
      <c r="P856" s="1">
        <v>120</v>
      </c>
      <c r="R856" s="1">
        <v>0</v>
      </c>
      <c r="Z856" s="1">
        <v>0.05</v>
      </c>
      <c r="AA856" s="1">
        <v>4</v>
      </c>
      <c r="AB856" s="1">
        <v>2</v>
      </c>
      <c r="AC856" s="1">
        <v>0.7</v>
      </c>
      <c r="AH856" s="1">
        <v>0</v>
      </c>
      <c r="AI856" s="1">
        <v>1</v>
      </c>
      <c r="AJ856" s="1" t="s">
        <v>3581</v>
      </c>
      <c r="AK856" s="1" t="s">
        <v>265</v>
      </c>
      <c r="AL856" s="1" t="s">
        <v>228</v>
      </c>
      <c r="AN856" s="22" t="s">
        <v>9767</v>
      </c>
      <c r="AX856" s="1">
        <v>1</v>
      </c>
      <c r="AZ856" s="1">
        <v>0.1</v>
      </c>
      <c r="BG856" s="1" t="s">
        <v>3579</v>
      </c>
      <c r="BM856" s="1" t="s">
        <v>3582</v>
      </c>
      <c r="BQ856" s="1" t="s">
        <v>207</v>
      </c>
      <c r="BR856" s="1" t="s">
        <v>208</v>
      </c>
      <c r="BS856" s="1" t="s">
        <v>229</v>
      </c>
      <c r="BT856" s="1" t="s">
        <v>210</v>
      </c>
      <c r="BX856" s="1">
        <v>1</v>
      </c>
    </row>
    <row r="857" spans="1:76" x14ac:dyDescent="0.25">
      <c r="A857" s="1" t="s">
        <v>3583</v>
      </c>
      <c r="B857" s="1" t="s">
        <v>203</v>
      </c>
      <c r="C857" s="1">
        <v>1</v>
      </c>
      <c r="D857" s="1" t="s">
        <v>3584</v>
      </c>
      <c r="E857" s="1">
        <v>1306</v>
      </c>
      <c r="F857" s="1" t="s">
        <v>3583</v>
      </c>
      <c r="G857" s="1">
        <v>1</v>
      </c>
      <c r="L857" s="1">
        <v>18000</v>
      </c>
      <c r="N857" s="1">
        <v>680</v>
      </c>
      <c r="P857" s="1">
        <v>130</v>
      </c>
      <c r="R857" s="1">
        <v>0</v>
      </c>
      <c r="Z857" s="1">
        <v>0.05</v>
      </c>
      <c r="AA857" s="1">
        <v>4</v>
      </c>
      <c r="AB857" s="1">
        <v>2</v>
      </c>
      <c r="AC857" s="1">
        <v>0.7</v>
      </c>
      <c r="AH857" s="1">
        <v>0</v>
      </c>
      <c r="AI857" s="1">
        <v>1</v>
      </c>
      <c r="AJ857" s="1" t="s">
        <v>3585</v>
      </c>
      <c r="AK857" s="1" t="s">
        <v>265</v>
      </c>
      <c r="AL857" s="1" t="s">
        <v>228</v>
      </c>
      <c r="AN857" s="22" t="s">
        <v>9767</v>
      </c>
      <c r="AX857" s="1">
        <v>1</v>
      </c>
      <c r="AZ857" s="1">
        <v>0.1</v>
      </c>
      <c r="BG857" s="1" t="s">
        <v>3583</v>
      </c>
      <c r="BM857" s="1" t="s">
        <v>3582</v>
      </c>
      <c r="BQ857" s="1" t="s">
        <v>207</v>
      </c>
      <c r="BR857" s="1" t="s">
        <v>208</v>
      </c>
      <c r="BS857" s="1" t="s">
        <v>229</v>
      </c>
      <c r="BT857" s="1" t="s">
        <v>210</v>
      </c>
      <c r="BX857" s="1">
        <v>1</v>
      </c>
    </row>
    <row r="858" spans="1:76" x14ac:dyDescent="0.25">
      <c r="A858" s="1" t="s">
        <v>3586</v>
      </c>
      <c r="B858" s="1" t="s">
        <v>203</v>
      </c>
      <c r="C858" s="1">
        <v>1</v>
      </c>
      <c r="D858" s="1" t="s">
        <v>3587</v>
      </c>
      <c r="E858" s="1">
        <v>1307</v>
      </c>
      <c r="F858" s="1" t="s">
        <v>3586</v>
      </c>
      <c r="G858" s="1">
        <v>1</v>
      </c>
      <c r="L858" s="1">
        <v>12000</v>
      </c>
      <c r="N858" s="1">
        <v>600</v>
      </c>
      <c r="P858" s="1">
        <v>140</v>
      </c>
      <c r="R858" s="1">
        <v>0</v>
      </c>
      <c r="Z858" s="1">
        <v>0.05</v>
      </c>
      <c r="AA858" s="1">
        <v>4</v>
      </c>
      <c r="AB858" s="1">
        <v>2</v>
      </c>
      <c r="AC858" s="1">
        <v>0.7</v>
      </c>
      <c r="AH858" s="1">
        <v>0</v>
      </c>
      <c r="AI858" s="1">
        <v>1</v>
      </c>
      <c r="AJ858" s="1" t="s">
        <v>3588</v>
      </c>
      <c r="AK858" s="1" t="s">
        <v>265</v>
      </c>
      <c r="AL858" s="1" t="s">
        <v>228</v>
      </c>
      <c r="AN858" s="22" t="s">
        <v>9767</v>
      </c>
      <c r="AX858" s="1">
        <v>1</v>
      </c>
      <c r="AZ858" s="1">
        <v>0.1</v>
      </c>
      <c r="BG858" s="1" t="s">
        <v>3586</v>
      </c>
      <c r="BM858" s="1" t="s">
        <v>3589</v>
      </c>
      <c r="BQ858" s="1" t="s">
        <v>207</v>
      </c>
      <c r="BR858" s="1" t="s">
        <v>208</v>
      </c>
      <c r="BS858" s="1" t="s">
        <v>229</v>
      </c>
      <c r="BT858" s="1" t="s">
        <v>210</v>
      </c>
      <c r="BX858" s="1">
        <v>1</v>
      </c>
    </row>
    <row r="859" spans="1:76" x14ac:dyDescent="0.25">
      <c r="A859" s="1" t="s">
        <v>3590</v>
      </c>
      <c r="B859" s="1" t="s">
        <v>203</v>
      </c>
      <c r="C859" s="1">
        <v>1</v>
      </c>
      <c r="D859" s="1" t="s">
        <v>3591</v>
      </c>
      <c r="E859" s="1">
        <v>1307</v>
      </c>
      <c r="F859" s="1" t="s">
        <v>3590</v>
      </c>
      <c r="G859" s="1">
        <v>1</v>
      </c>
      <c r="L859" s="1">
        <v>16000</v>
      </c>
      <c r="N859" s="1">
        <v>750</v>
      </c>
      <c r="P859" s="1">
        <v>160</v>
      </c>
      <c r="R859" s="1">
        <v>0</v>
      </c>
      <c r="Z859" s="1">
        <v>0.05</v>
      </c>
      <c r="AA859" s="1">
        <v>4</v>
      </c>
      <c r="AB859" s="1">
        <v>2</v>
      </c>
      <c r="AC859" s="1">
        <v>0.7</v>
      </c>
      <c r="AH859" s="1">
        <v>0</v>
      </c>
      <c r="AI859" s="1">
        <v>1</v>
      </c>
      <c r="AJ859" s="1" t="s">
        <v>3592</v>
      </c>
      <c r="AK859" s="1" t="s">
        <v>265</v>
      </c>
      <c r="AL859" s="1" t="s">
        <v>228</v>
      </c>
      <c r="AN859" s="22" t="s">
        <v>9767</v>
      </c>
      <c r="AX859" s="1">
        <v>1</v>
      </c>
      <c r="AZ859" s="1">
        <v>0.1</v>
      </c>
      <c r="BG859" s="1" t="s">
        <v>3590</v>
      </c>
      <c r="BM859" s="1" t="s">
        <v>3589</v>
      </c>
      <c r="BQ859" s="1" t="s">
        <v>207</v>
      </c>
      <c r="BR859" s="1" t="s">
        <v>208</v>
      </c>
      <c r="BS859" s="1" t="s">
        <v>229</v>
      </c>
      <c r="BT859" s="1" t="s">
        <v>210</v>
      </c>
      <c r="BX859" s="1">
        <v>1</v>
      </c>
    </row>
    <row r="860" spans="1:76" x14ac:dyDescent="0.25">
      <c r="A860" s="1" t="s">
        <v>3593</v>
      </c>
      <c r="B860" s="1" t="s">
        <v>203</v>
      </c>
      <c r="C860" s="1">
        <v>1</v>
      </c>
      <c r="D860" s="1" t="s">
        <v>3594</v>
      </c>
      <c r="E860" s="1">
        <v>1308</v>
      </c>
      <c r="F860" s="1" t="s">
        <v>3593</v>
      </c>
      <c r="G860" s="1">
        <v>1.1000000000000001</v>
      </c>
      <c r="L860" s="1">
        <v>9000</v>
      </c>
      <c r="N860" s="1">
        <v>450</v>
      </c>
      <c r="P860" s="1">
        <v>50</v>
      </c>
      <c r="R860" s="1">
        <v>5</v>
      </c>
      <c r="Z860" s="1">
        <v>0.05</v>
      </c>
      <c r="AA860" s="1">
        <v>2.5</v>
      </c>
      <c r="AB860" s="1">
        <v>0</v>
      </c>
      <c r="AC860" s="1">
        <v>0.65</v>
      </c>
      <c r="AH860" s="1">
        <v>0</v>
      </c>
      <c r="AI860" s="1">
        <v>1</v>
      </c>
      <c r="AJ860" s="1" t="s">
        <v>3595</v>
      </c>
      <c r="AK860" s="1" t="s">
        <v>265</v>
      </c>
      <c r="AL860" s="1" t="s">
        <v>228</v>
      </c>
      <c r="AN860" s="22" t="s">
        <v>9767</v>
      </c>
      <c r="AP860" s="1">
        <v>1</v>
      </c>
      <c r="AX860" s="1">
        <v>1</v>
      </c>
      <c r="AZ860" s="1">
        <v>0.1</v>
      </c>
      <c r="BG860" s="1" t="s">
        <v>3593</v>
      </c>
      <c r="BM860" s="1" t="s">
        <v>936</v>
      </c>
      <c r="BQ860" s="1" t="s">
        <v>3596</v>
      </c>
      <c r="BR860" s="1" t="s">
        <v>3597</v>
      </c>
      <c r="BS860" s="1" t="s">
        <v>3598</v>
      </c>
      <c r="BT860" s="1" t="s">
        <v>3329</v>
      </c>
      <c r="BU860" s="1" t="s">
        <v>3599</v>
      </c>
      <c r="BX860" s="1">
        <v>1</v>
      </c>
    </row>
    <row r="861" spans="1:76" x14ac:dyDescent="0.25">
      <c r="A861" s="1" t="s">
        <v>3600</v>
      </c>
      <c r="B861" s="1" t="s">
        <v>203</v>
      </c>
      <c r="C861" s="1">
        <v>1</v>
      </c>
      <c r="D861" s="1" t="s">
        <v>3601</v>
      </c>
      <c r="E861" s="1">
        <v>1308</v>
      </c>
      <c r="F861" s="1" t="s">
        <v>3600</v>
      </c>
      <c r="G861" s="1">
        <v>1.1000000000000001</v>
      </c>
      <c r="L861" s="1">
        <v>12000</v>
      </c>
      <c r="N861" s="1">
        <v>550</v>
      </c>
      <c r="P861" s="1">
        <v>80</v>
      </c>
      <c r="R861" s="1">
        <v>5</v>
      </c>
      <c r="Z861" s="1">
        <v>0.05</v>
      </c>
      <c r="AA861" s="1">
        <v>2.5</v>
      </c>
      <c r="AB861" s="1">
        <v>0</v>
      </c>
      <c r="AC861" s="1">
        <v>0.65</v>
      </c>
      <c r="AH861" s="1">
        <v>0</v>
      </c>
      <c r="AI861" s="1">
        <v>1</v>
      </c>
      <c r="AJ861" s="1" t="s">
        <v>3602</v>
      </c>
      <c r="AK861" s="1" t="s">
        <v>265</v>
      </c>
      <c r="AL861" s="1" t="s">
        <v>228</v>
      </c>
      <c r="AN861" s="22" t="s">
        <v>9767</v>
      </c>
      <c r="AP861" s="1">
        <v>1</v>
      </c>
      <c r="AX861" s="1">
        <v>1</v>
      </c>
      <c r="AZ861" s="1">
        <v>0.1</v>
      </c>
      <c r="BG861" s="1" t="s">
        <v>3600</v>
      </c>
      <c r="BM861" s="1" t="s">
        <v>936</v>
      </c>
      <c r="BQ861" s="1" t="s">
        <v>3596</v>
      </c>
      <c r="BR861" s="1" t="s">
        <v>3597</v>
      </c>
      <c r="BS861" s="1" t="s">
        <v>3598</v>
      </c>
      <c r="BT861" s="1" t="s">
        <v>3329</v>
      </c>
      <c r="BU861" s="1" t="s">
        <v>3599</v>
      </c>
      <c r="BX861" s="1">
        <v>1</v>
      </c>
    </row>
    <row r="862" spans="1:76" x14ac:dyDescent="0.25">
      <c r="A862" s="1" t="s">
        <v>3603</v>
      </c>
      <c r="B862" s="1" t="s">
        <v>203</v>
      </c>
      <c r="C862" s="1">
        <v>1</v>
      </c>
      <c r="D862" s="1" t="s">
        <v>3594</v>
      </c>
      <c r="E862" s="1">
        <v>1308</v>
      </c>
      <c r="F862" s="1" t="s">
        <v>3593</v>
      </c>
      <c r="G862" s="1">
        <v>1.1000000000000001</v>
      </c>
      <c r="L862" s="1">
        <v>9000</v>
      </c>
      <c r="N862" s="1">
        <v>450</v>
      </c>
      <c r="P862" s="1">
        <v>50</v>
      </c>
      <c r="R862" s="1">
        <v>5</v>
      </c>
      <c r="Z862" s="1">
        <v>0.05</v>
      </c>
      <c r="AA862" s="1">
        <v>2.5</v>
      </c>
      <c r="AB862" s="1">
        <v>0</v>
      </c>
      <c r="AC862" s="1">
        <v>0.65</v>
      </c>
      <c r="AH862" s="1">
        <v>0</v>
      </c>
      <c r="AI862" s="1">
        <v>1</v>
      </c>
      <c r="AJ862" s="1" t="s">
        <v>3604</v>
      </c>
      <c r="AK862" s="1" t="s">
        <v>265</v>
      </c>
      <c r="AL862" s="1" t="s">
        <v>228</v>
      </c>
      <c r="AN862" s="22" t="s">
        <v>9767</v>
      </c>
      <c r="AP862" s="1">
        <v>1</v>
      </c>
      <c r="AX862" s="1">
        <v>1</v>
      </c>
      <c r="AZ862" s="1">
        <v>0.1</v>
      </c>
      <c r="BG862" s="1" t="s">
        <v>3593</v>
      </c>
      <c r="BM862" s="1" t="s">
        <v>936</v>
      </c>
      <c r="BQ862" s="1" t="s">
        <v>3596</v>
      </c>
      <c r="BR862" s="1" t="s">
        <v>3597</v>
      </c>
      <c r="BS862" s="1" t="s">
        <v>3598</v>
      </c>
      <c r="BT862" s="1" t="s">
        <v>3329</v>
      </c>
      <c r="BU862" s="1" t="s">
        <v>3599</v>
      </c>
      <c r="BX862" s="1">
        <v>1</v>
      </c>
    </row>
    <row r="863" spans="1:76" x14ac:dyDescent="0.25">
      <c r="A863" s="1" t="s">
        <v>3605</v>
      </c>
      <c r="B863" s="1" t="s">
        <v>203</v>
      </c>
      <c r="C863" s="1">
        <v>1</v>
      </c>
      <c r="D863" s="1" t="s">
        <v>3601</v>
      </c>
      <c r="E863" s="1">
        <v>1308</v>
      </c>
      <c r="F863" s="1" t="s">
        <v>3600</v>
      </c>
      <c r="G863" s="1">
        <v>1.1000000000000001</v>
      </c>
      <c r="L863" s="1">
        <v>12000</v>
      </c>
      <c r="N863" s="1">
        <v>550</v>
      </c>
      <c r="P863" s="1">
        <v>80</v>
      </c>
      <c r="R863" s="1">
        <v>5</v>
      </c>
      <c r="Z863" s="1">
        <v>0.05</v>
      </c>
      <c r="AA863" s="1">
        <v>2.5</v>
      </c>
      <c r="AB863" s="1">
        <v>0</v>
      </c>
      <c r="AC863" s="1">
        <v>0.65</v>
      </c>
      <c r="AH863" s="1">
        <v>0</v>
      </c>
      <c r="AI863" s="1">
        <v>1</v>
      </c>
      <c r="AJ863" s="1" t="s">
        <v>3606</v>
      </c>
      <c r="AK863" s="1" t="s">
        <v>265</v>
      </c>
      <c r="AL863" s="1" t="s">
        <v>228</v>
      </c>
      <c r="AN863" s="22" t="s">
        <v>9767</v>
      </c>
      <c r="AP863" s="1">
        <v>1</v>
      </c>
      <c r="AX863" s="1">
        <v>1</v>
      </c>
      <c r="AZ863" s="1">
        <v>0.1</v>
      </c>
      <c r="BG863" s="1" t="s">
        <v>3600</v>
      </c>
      <c r="BM863" s="1" t="s">
        <v>936</v>
      </c>
      <c r="BQ863" s="1" t="s">
        <v>3596</v>
      </c>
      <c r="BR863" s="1" t="s">
        <v>3597</v>
      </c>
      <c r="BS863" s="1" t="s">
        <v>3598</v>
      </c>
      <c r="BT863" s="1" t="s">
        <v>3329</v>
      </c>
      <c r="BU863" s="1" t="s">
        <v>3599</v>
      </c>
      <c r="BX863" s="1">
        <v>1</v>
      </c>
    </row>
    <row r="864" spans="1:76" x14ac:dyDescent="0.25">
      <c r="A864" s="1" t="s">
        <v>3607</v>
      </c>
      <c r="B864" s="1" t="s">
        <v>203</v>
      </c>
      <c r="C864" s="1">
        <v>1</v>
      </c>
      <c r="D864" s="1" t="s">
        <v>3608</v>
      </c>
      <c r="E864" s="1">
        <v>1309</v>
      </c>
      <c r="F864" s="1" t="s">
        <v>3607</v>
      </c>
      <c r="G864" s="1">
        <v>1</v>
      </c>
      <c r="L864" s="1">
        <v>25000</v>
      </c>
      <c r="N864" s="1">
        <v>600</v>
      </c>
      <c r="P864" s="1">
        <v>20</v>
      </c>
      <c r="R864" s="1">
        <v>0</v>
      </c>
      <c r="Z864" s="1">
        <v>0.05</v>
      </c>
      <c r="AA864" s="1">
        <v>4</v>
      </c>
      <c r="AB864" s="1">
        <v>2</v>
      </c>
      <c r="AC864" s="1">
        <v>0.35</v>
      </c>
      <c r="AH864" s="1">
        <v>0</v>
      </c>
      <c r="AI864" s="1">
        <v>1</v>
      </c>
      <c r="AJ864" s="1" t="s">
        <v>3609</v>
      </c>
      <c r="AK864" s="1" t="s">
        <v>265</v>
      </c>
      <c r="AL864" s="1" t="s">
        <v>228</v>
      </c>
      <c r="AN864" s="22" t="s">
        <v>9767</v>
      </c>
      <c r="AR864" s="1">
        <v>2</v>
      </c>
      <c r="AX864" s="1">
        <v>1</v>
      </c>
      <c r="AZ864" s="1">
        <v>0.1</v>
      </c>
      <c r="BG864" s="1" t="s">
        <v>3607</v>
      </c>
      <c r="BM864" s="1" t="s">
        <v>989</v>
      </c>
      <c r="BQ864" s="1" t="s">
        <v>207</v>
      </c>
      <c r="BR864" s="1" t="s">
        <v>208</v>
      </c>
      <c r="BS864" s="1" t="s">
        <v>229</v>
      </c>
      <c r="BT864" s="1" t="s">
        <v>210</v>
      </c>
      <c r="BX864" s="1">
        <v>1</v>
      </c>
    </row>
    <row r="865" spans="1:76" x14ac:dyDescent="0.25">
      <c r="A865" s="1" t="s">
        <v>3610</v>
      </c>
      <c r="B865" s="1" t="s">
        <v>203</v>
      </c>
      <c r="C865" s="1">
        <v>1</v>
      </c>
      <c r="D865" s="1" t="s">
        <v>3611</v>
      </c>
      <c r="E865" s="1">
        <v>1309</v>
      </c>
      <c r="F865" s="1" t="s">
        <v>3610</v>
      </c>
      <c r="G865" s="1">
        <v>1</v>
      </c>
      <c r="L865" s="1">
        <v>32000</v>
      </c>
      <c r="N865" s="1">
        <v>700</v>
      </c>
      <c r="P865" s="1">
        <v>50</v>
      </c>
      <c r="R865" s="1">
        <v>0</v>
      </c>
      <c r="Z865" s="1">
        <v>0.05</v>
      </c>
      <c r="AA865" s="1">
        <v>4</v>
      </c>
      <c r="AB865" s="1">
        <v>2</v>
      </c>
      <c r="AC865" s="1">
        <v>0.4</v>
      </c>
      <c r="AH865" s="1">
        <v>0</v>
      </c>
      <c r="AI865" s="1">
        <v>1</v>
      </c>
      <c r="AJ865" s="1" t="s">
        <v>3612</v>
      </c>
      <c r="AK865" s="1" t="s">
        <v>265</v>
      </c>
      <c r="AL865" s="1" t="s">
        <v>228</v>
      </c>
      <c r="AN865" s="22" t="s">
        <v>9767</v>
      </c>
      <c r="AR865" s="1">
        <v>2</v>
      </c>
      <c r="AX865" s="1">
        <v>1</v>
      </c>
      <c r="AZ865" s="1">
        <v>0.1</v>
      </c>
      <c r="BG865" s="1" t="s">
        <v>3610</v>
      </c>
      <c r="BM865" s="1" t="s">
        <v>989</v>
      </c>
      <c r="BQ865" s="1" t="s">
        <v>207</v>
      </c>
      <c r="BR865" s="1" t="s">
        <v>208</v>
      </c>
      <c r="BS865" s="1" t="s">
        <v>229</v>
      </c>
      <c r="BT865" s="1" t="s">
        <v>210</v>
      </c>
      <c r="BX865" s="1">
        <v>1</v>
      </c>
    </row>
    <row r="866" spans="1:76" x14ac:dyDescent="0.25">
      <c r="A866" s="1" t="s">
        <v>3613</v>
      </c>
      <c r="B866" s="1" t="s">
        <v>203</v>
      </c>
      <c r="C866" s="1">
        <v>1</v>
      </c>
      <c r="D866" s="1" t="s">
        <v>3614</v>
      </c>
      <c r="E866" s="1">
        <v>1310</v>
      </c>
      <c r="F866" s="1" t="s">
        <v>3613</v>
      </c>
      <c r="G866" s="1">
        <v>1</v>
      </c>
      <c r="L866" s="1">
        <v>25000</v>
      </c>
      <c r="N866" s="1">
        <v>580</v>
      </c>
      <c r="P866" s="1">
        <v>130</v>
      </c>
      <c r="R866" s="1">
        <v>5</v>
      </c>
      <c r="Z866" s="1">
        <v>0.05</v>
      </c>
      <c r="AA866" s="1">
        <v>3.5</v>
      </c>
      <c r="AB866" s="1">
        <v>3</v>
      </c>
      <c r="AC866" s="1">
        <v>0.3</v>
      </c>
      <c r="AH866" s="1">
        <v>0</v>
      </c>
      <c r="AI866" s="1">
        <v>1</v>
      </c>
      <c r="AJ866" s="1" t="s">
        <v>3615</v>
      </c>
      <c r="AK866" s="1" t="s">
        <v>265</v>
      </c>
      <c r="AL866" s="1" t="s">
        <v>228</v>
      </c>
      <c r="AN866" s="22" t="s">
        <v>9767</v>
      </c>
      <c r="AX866" s="1">
        <v>1</v>
      </c>
      <c r="AZ866" s="1">
        <v>0.1</v>
      </c>
      <c r="BG866" s="1" t="s">
        <v>3613</v>
      </c>
      <c r="BM866" s="1" t="s">
        <v>989</v>
      </c>
      <c r="BQ866" s="1" t="s">
        <v>207</v>
      </c>
      <c r="BR866" s="1" t="s">
        <v>208</v>
      </c>
      <c r="BS866" s="1" t="s">
        <v>229</v>
      </c>
      <c r="BT866" s="1" t="s">
        <v>210</v>
      </c>
      <c r="BX866" s="1">
        <v>1</v>
      </c>
    </row>
    <row r="867" spans="1:76" x14ac:dyDescent="0.25">
      <c r="A867" s="1" t="s">
        <v>3616</v>
      </c>
      <c r="B867" s="1" t="s">
        <v>203</v>
      </c>
      <c r="C867" s="1">
        <v>1</v>
      </c>
      <c r="D867" s="1" t="s">
        <v>3617</v>
      </c>
      <c r="E867" s="1">
        <v>1310</v>
      </c>
      <c r="F867" s="1" t="s">
        <v>3616</v>
      </c>
      <c r="G867" s="1">
        <v>1</v>
      </c>
      <c r="L867" s="1">
        <v>35000</v>
      </c>
      <c r="N867" s="1">
        <v>720</v>
      </c>
      <c r="P867" s="1">
        <v>150</v>
      </c>
      <c r="R867" s="1">
        <v>8</v>
      </c>
      <c r="Z867" s="1">
        <v>0.05</v>
      </c>
      <c r="AA867" s="1">
        <v>3.5</v>
      </c>
      <c r="AB867" s="1">
        <v>3</v>
      </c>
      <c r="AC867" s="1">
        <v>0.3</v>
      </c>
      <c r="AH867" s="1">
        <v>0</v>
      </c>
      <c r="AI867" s="1">
        <v>1</v>
      </c>
      <c r="AJ867" s="1" t="s">
        <v>3618</v>
      </c>
      <c r="AK867" s="1" t="s">
        <v>265</v>
      </c>
      <c r="AL867" s="1" t="s">
        <v>228</v>
      </c>
      <c r="AN867" s="22" t="s">
        <v>9767</v>
      </c>
      <c r="AX867" s="1">
        <v>1</v>
      </c>
      <c r="AZ867" s="1">
        <v>0.1</v>
      </c>
      <c r="BG867" s="1" t="s">
        <v>3616</v>
      </c>
      <c r="BM867" s="1" t="s">
        <v>989</v>
      </c>
      <c r="BQ867" s="1" t="s">
        <v>207</v>
      </c>
      <c r="BR867" s="1" t="s">
        <v>208</v>
      </c>
      <c r="BS867" s="1" t="s">
        <v>229</v>
      </c>
      <c r="BT867" s="1" t="s">
        <v>210</v>
      </c>
      <c r="BX867" s="1">
        <v>1</v>
      </c>
    </row>
    <row r="868" spans="1:76" x14ac:dyDescent="0.25">
      <c r="A868" s="1" t="s">
        <v>3619</v>
      </c>
      <c r="B868" s="1" t="s">
        <v>203</v>
      </c>
      <c r="C868" s="1">
        <v>1</v>
      </c>
      <c r="D868" s="1" t="s">
        <v>3620</v>
      </c>
      <c r="E868" s="1">
        <v>1311</v>
      </c>
      <c r="F868" s="1" t="s">
        <v>3619</v>
      </c>
      <c r="G868" s="1">
        <v>1</v>
      </c>
      <c r="L868" s="1">
        <v>20000</v>
      </c>
      <c r="N868" s="1">
        <v>1090</v>
      </c>
      <c r="P868" s="1">
        <v>480</v>
      </c>
      <c r="R868" s="1">
        <v>0</v>
      </c>
      <c r="Z868" s="1">
        <v>0.05</v>
      </c>
      <c r="AA868" s="1">
        <v>1.8</v>
      </c>
      <c r="AB868" s="1">
        <v>3</v>
      </c>
      <c r="AC868" s="1">
        <v>0.7</v>
      </c>
      <c r="AH868" s="1">
        <v>0</v>
      </c>
      <c r="AI868" s="1">
        <v>1</v>
      </c>
      <c r="AJ868" s="1" t="s">
        <v>3621</v>
      </c>
      <c r="AK868" s="1" t="s">
        <v>265</v>
      </c>
      <c r="AL868" s="1" t="s">
        <v>228</v>
      </c>
      <c r="AN868" s="22" t="s">
        <v>9767</v>
      </c>
      <c r="AX868" s="1">
        <v>1</v>
      </c>
      <c r="AZ868" s="1">
        <v>0.1</v>
      </c>
      <c r="BG868" s="1" t="s">
        <v>3619</v>
      </c>
      <c r="BM868" s="1" t="s">
        <v>3622</v>
      </c>
      <c r="BQ868" s="1" t="s">
        <v>3328</v>
      </c>
      <c r="BR868" s="1" t="s">
        <v>1935</v>
      </c>
      <c r="BS868" s="1" t="s">
        <v>1936</v>
      </c>
      <c r="BT868" s="1" t="s">
        <v>3296</v>
      </c>
      <c r="BX868" s="1">
        <v>1</v>
      </c>
    </row>
    <row r="869" spans="1:76" x14ac:dyDescent="0.25">
      <c r="A869" s="1" t="s">
        <v>3623</v>
      </c>
      <c r="B869" s="1" t="s">
        <v>203</v>
      </c>
      <c r="C869" s="1">
        <v>1</v>
      </c>
      <c r="D869" s="1" t="s">
        <v>3624</v>
      </c>
      <c r="E869" s="1">
        <v>1311</v>
      </c>
      <c r="F869" s="1" t="s">
        <v>3623</v>
      </c>
      <c r="G869" s="1">
        <v>1</v>
      </c>
      <c r="L869" s="1">
        <v>27000</v>
      </c>
      <c r="N869" s="1">
        <v>1260</v>
      </c>
      <c r="P869" s="1">
        <v>550</v>
      </c>
      <c r="R869" s="1">
        <v>1</v>
      </c>
      <c r="Z869" s="1">
        <v>0.05</v>
      </c>
      <c r="AA869" s="1">
        <v>1.8</v>
      </c>
      <c r="AB869" s="1">
        <v>3</v>
      </c>
      <c r="AC869" s="1">
        <v>0.75</v>
      </c>
      <c r="AH869" s="1">
        <v>0</v>
      </c>
      <c r="AI869" s="1">
        <v>1</v>
      </c>
      <c r="AJ869" s="1" t="s">
        <v>3625</v>
      </c>
      <c r="AK869" s="1" t="s">
        <v>265</v>
      </c>
      <c r="AL869" s="1" t="s">
        <v>228</v>
      </c>
      <c r="AN869" s="22" t="s">
        <v>9767</v>
      </c>
      <c r="AX869" s="1">
        <v>1</v>
      </c>
      <c r="AZ869" s="1">
        <v>0.1</v>
      </c>
      <c r="BG869" s="1" t="s">
        <v>3623</v>
      </c>
      <c r="BM869" s="1" t="s">
        <v>3622</v>
      </c>
      <c r="BQ869" s="1" t="s">
        <v>3328</v>
      </c>
      <c r="BR869" s="1" t="s">
        <v>1935</v>
      </c>
      <c r="BS869" s="1" t="s">
        <v>1936</v>
      </c>
      <c r="BT869" s="1" t="s">
        <v>3296</v>
      </c>
      <c r="BX869" s="1">
        <v>1</v>
      </c>
    </row>
    <row r="870" spans="1:76" x14ac:dyDescent="0.25">
      <c r="A870" s="1" t="s">
        <v>3626</v>
      </c>
      <c r="B870" s="1" t="s">
        <v>203</v>
      </c>
      <c r="C870" s="1">
        <v>1</v>
      </c>
      <c r="D870" s="1" t="s">
        <v>3627</v>
      </c>
      <c r="E870" s="1">
        <v>1537</v>
      </c>
      <c r="F870" s="1" t="s">
        <v>3626</v>
      </c>
      <c r="G870" s="1">
        <v>1</v>
      </c>
      <c r="L870" s="1">
        <v>20000</v>
      </c>
      <c r="N870" s="1">
        <v>900</v>
      </c>
      <c r="P870" s="1">
        <v>200</v>
      </c>
      <c r="R870" s="1">
        <v>0</v>
      </c>
      <c r="Z870" s="1">
        <v>0.05</v>
      </c>
      <c r="AA870" s="1">
        <v>2.8</v>
      </c>
      <c r="AB870" s="1">
        <v>3</v>
      </c>
      <c r="AC870" s="1">
        <v>0.65</v>
      </c>
      <c r="AH870" s="1">
        <v>0</v>
      </c>
      <c r="AI870" s="1">
        <v>1</v>
      </c>
      <c r="AJ870" s="1" t="s">
        <v>3628</v>
      </c>
      <c r="AK870" s="1" t="s">
        <v>265</v>
      </c>
      <c r="AL870" s="1" t="s">
        <v>228</v>
      </c>
      <c r="AN870" s="22" t="s">
        <v>9767</v>
      </c>
      <c r="AX870" s="1">
        <v>1</v>
      </c>
      <c r="AZ870" s="1">
        <v>0.1</v>
      </c>
      <c r="BG870" s="1" t="s">
        <v>3626</v>
      </c>
      <c r="BM870" s="1" t="s">
        <v>1328</v>
      </c>
      <c r="BQ870" s="1" t="s">
        <v>207</v>
      </c>
      <c r="BR870" s="1" t="s">
        <v>208</v>
      </c>
      <c r="BS870" s="1" t="s">
        <v>229</v>
      </c>
      <c r="BT870" s="1" t="s">
        <v>210</v>
      </c>
      <c r="BX870" s="1">
        <v>1</v>
      </c>
    </row>
    <row r="871" spans="1:76" x14ac:dyDescent="0.25">
      <c r="A871" s="1" t="s">
        <v>3629</v>
      </c>
      <c r="B871" s="1" t="s">
        <v>203</v>
      </c>
      <c r="C871" s="1">
        <v>1</v>
      </c>
      <c r="D871" s="1" t="s">
        <v>3630</v>
      </c>
      <c r="E871" s="1">
        <v>1539</v>
      </c>
      <c r="F871" s="1" t="s">
        <v>3629</v>
      </c>
      <c r="G871" s="1">
        <v>1</v>
      </c>
      <c r="L871" s="1">
        <v>57500</v>
      </c>
      <c r="N871" s="1">
        <v>800</v>
      </c>
      <c r="P871" s="1">
        <v>650</v>
      </c>
      <c r="R871" s="1">
        <v>60</v>
      </c>
      <c r="Z871" s="1">
        <v>0.05</v>
      </c>
      <c r="AA871" s="1">
        <v>3</v>
      </c>
      <c r="AB871" s="1">
        <v>3</v>
      </c>
      <c r="AC871" s="1">
        <v>0.65</v>
      </c>
      <c r="AH871" s="1">
        <v>0</v>
      </c>
      <c r="AI871" s="1">
        <v>1</v>
      </c>
      <c r="AJ871" s="1" t="s">
        <v>3631</v>
      </c>
      <c r="AK871" s="1" t="s">
        <v>265</v>
      </c>
      <c r="AL871" s="1" t="s">
        <v>228</v>
      </c>
      <c r="AN871" s="22" t="s">
        <v>9767</v>
      </c>
      <c r="AX871" s="1">
        <v>1</v>
      </c>
      <c r="AZ871" s="1">
        <v>0.1</v>
      </c>
      <c r="BG871" s="1" t="s">
        <v>3629</v>
      </c>
      <c r="BM871" s="1" t="s">
        <v>3632</v>
      </c>
      <c r="BQ871" s="1" t="s">
        <v>207</v>
      </c>
      <c r="BR871" s="1" t="s">
        <v>208</v>
      </c>
      <c r="BS871" s="1" t="s">
        <v>229</v>
      </c>
      <c r="BT871" s="1" t="s">
        <v>210</v>
      </c>
      <c r="BX871" s="1">
        <v>1</v>
      </c>
    </row>
    <row r="872" spans="1:76" x14ac:dyDescent="0.25">
      <c r="A872" s="1" t="s">
        <v>3633</v>
      </c>
      <c r="B872" s="1" t="s">
        <v>203</v>
      </c>
      <c r="C872" s="1">
        <v>1</v>
      </c>
      <c r="D872" s="1" t="s">
        <v>3634</v>
      </c>
      <c r="E872" s="1">
        <v>1313</v>
      </c>
      <c r="F872" s="1" t="s">
        <v>3633</v>
      </c>
      <c r="G872" s="1">
        <v>1</v>
      </c>
      <c r="L872" s="1">
        <v>5000</v>
      </c>
      <c r="N872" s="1">
        <v>250</v>
      </c>
      <c r="P872" s="1">
        <v>50</v>
      </c>
      <c r="R872" s="1">
        <v>0</v>
      </c>
      <c r="Z872" s="1">
        <v>0.05</v>
      </c>
      <c r="AA872" s="1">
        <v>2.5</v>
      </c>
      <c r="AB872" s="1">
        <v>1</v>
      </c>
      <c r="AC872" s="1">
        <v>0.65</v>
      </c>
      <c r="AH872" s="1">
        <v>0</v>
      </c>
      <c r="AI872" s="1">
        <v>0</v>
      </c>
      <c r="AJ872" s="1" t="s">
        <v>3635</v>
      </c>
      <c r="AK872" s="1" t="s">
        <v>3374</v>
      </c>
      <c r="AL872" s="1" t="s">
        <v>228</v>
      </c>
      <c r="AN872" s="22" t="s">
        <v>9767</v>
      </c>
      <c r="AX872" s="1">
        <v>0</v>
      </c>
      <c r="AZ872" s="1">
        <v>0.1</v>
      </c>
      <c r="BG872" s="1" t="s">
        <v>3636</v>
      </c>
      <c r="BM872" s="1" t="s">
        <v>3421</v>
      </c>
      <c r="BQ872" s="1" t="s">
        <v>207</v>
      </c>
      <c r="BR872" s="1" t="s">
        <v>208</v>
      </c>
      <c r="BS872" s="1" t="s">
        <v>229</v>
      </c>
      <c r="BT872" s="1" t="s">
        <v>210</v>
      </c>
      <c r="BX872" s="1">
        <v>1</v>
      </c>
    </row>
    <row r="873" spans="1:76" x14ac:dyDescent="0.25">
      <c r="A873" s="1" t="s">
        <v>3636</v>
      </c>
      <c r="B873" s="1" t="s">
        <v>203</v>
      </c>
      <c r="C873" s="1">
        <v>1</v>
      </c>
      <c r="D873" s="1" t="s">
        <v>3634</v>
      </c>
      <c r="E873" s="1">
        <v>1313</v>
      </c>
      <c r="F873" s="1" t="s">
        <v>3633</v>
      </c>
      <c r="G873" s="1">
        <v>1</v>
      </c>
      <c r="L873" s="1">
        <v>5000</v>
      </c>
      <c r="N873" s="1">
        <v>250</v>
      </c>
      <c r="P873" s="1">
        <v>50</v>
      </c>
      <c r="R873" s="1">
        <v>0</v>
      </c>
      <c r="Z873" s="1">
        <v>0.05</v>
      </c>
      <c r="AA873" s="1">
        <v>2.5</v>
      </c>
      <c r="AB873" s="1">
        <v>1</v>
      </c>
      <c r="AC873" s="1">
        <v>0.65</v>
      </c>
      <c r="AH873" s="1">
        <v>0</v>
      </c>
      <c r="AI873" s="1">
        <v>0</v>
      </c>
      <c r="AJ873" s="1" t="s">
        <v>3637</v>
      </c>
      <c r="AK873" s="1" t="s">
        <v>3374</v>
      </c>
      <c r="AL873" s="1" t="s">
        <v>228</v>
      </c>
      <c r="AN873" s="22" t="s">
        <v>9767</v>
      </c>
      <c r="AX873" s="1">
        <v>0</v>
      </c>
      <c r="AZ873" s="1">
        <v>0.1</v>
      </c>
      <c r="BG873" s="1" t="s">
        <v>3636</v>
      </c>
      <c r="BM873" s="1" t="s">
        <v>3421</v>
      </c>
      <c r="BQ873" s="1" t="s">
        <v>207</v>
      </c>
      <c r="BR873" s="1" t="s">
        <v>208</v>
      </c>
      <c r="BS873" s="1" t="s">
        <v>229</v>
      </c>
      <c r="BT873" s="1" t="s">
        <v>210</v>
      </c>
      <c r="BX873" s="1">
        <v>1</v>
      </c>
    </row>
    <row r="874" spans="1:76" x14ac:dyDescent="0.25">
      <c r="A874" s="1" t="s">
        <v>3638</v>
      </c>
      <c r="B874" s="1" t="s">
        <v>203</v>
      </c>
      <c r="C874" s="1">
        <v>1</v>
      </c>
      <c r="D874" s="1" t="s">
        <v>3639</v>
      </c>
      <c r="E874" s="1">
        <v>1314</v>
      </c>
      <c r="F874" s="1" t="s">
        <v>3638</v>
      </c>
      <c r="G874" s="1">
        <v>1</v>
      </c>
      <c r="L874" s="1">
        <v>6500</v>
      </c>
      <c r="N874" s="1">
        <v>500</v>
      </c>
      <c r="P874" s="1">
        <v>300</v>
      </c>
      <c r="R874" s="1">
        <v>20</v>
      </c>
      <c r="Z874" s="1">
        <v>0.05</v>
      </c>
      <c r="AA874" s="1">
        <v>2.2999999999999998</v>
      </c>
      <c r="AB874" s="1">
        <v>2</v>
      </c>
      <c r="AC874" s="1">
        <v>0.65</v>
      </c>
      <c r="AH874" s="1">
        <v>0</v>
      </c>
      <c r="AI874" s="1">
        <v>1</v>
      </c>
      <c r="AJ874" s="1" t="s">
        <v>3640</v>
      </c>
      <c r="AK874" s="1" t="s">
        <v>3374</v>
      </c>
      <c r="AL874" s="1" t="s">
        <v>228</v>
      </c>
      <c r="AN874" s="22" t="s">
        <v>9767</v>
      </c>
      <c r="AX874" s="1">
        <v>1</v>
      </c>
      <c r="AZ874" s="1">
        <v>0.1</v>
      </c>
      <c r="BG874" s="1" t="s">
        <v>3638</v>
      </c>
      <c r="BM874" s="1" t="s">
        <v>930</v>
      </c>
      <c r="BQ874" s="1" t="s">
        <v>207</v>
      </c>
      <c r="BR874" s="1" t="s">
        <v>1935</v>
      </c>
      <c r="BS874" s="1" t="s">
        <v>1936</v>
      </c>
      <c r="BT874" s="1" t="s">
        <v>3329</v>
      </c>
      <c r="BX874" s="1">
        <v>1</v>
      </c>
    </row>
    <row r="875" spans="1:76" x14ac:dyDescent="0.25">
      <c r="A875" s="1" t="s">
        <v>3641</v>
      </c>
      <c r="B875" s="1" t="s">
        <v>203</v>
      </c>
      <c r="C875" s="1">
        <v>1</v>
      </c>
      <c r="D875" s="1" t="s">
        <v>3642</v>
      </c>
      <c r="E875" s="1">
        <v>1314</v>
      </c>
      <c r="F875" s="1" t="s">
        <v>3641</v>
      </c>
      <c r="G875" s="1">
        <v>1</v>
      </c>
      <c r="L875" s="1">
        <v>8000</v>
      </c>
      <c r="N875" s="1">
        <v>600</v>
      </c>
      <c r="P875" s="1">
        <v>350</v>
      </c>
      <c r="R875" s="1">
        <v>20</v>
      </c>
      <c r="Z875" s="1">
        <v>0.05</v>
      </c>
      <c r="AA875" s="1">
        <v>2.2999999999999998</v>
      </c>
      <c r="AB875" s="1">
        <v>2</v>
      </c>
      <c r="AC875" s="1">
        <v>0.65</v>
      </c>
      <c r="AH875" s="1">
        <v>0</v>
      </c>
      <c r="AI875" s="1">
        <v>1</v>
      </c>
      <c r="AJ875" s="1" t="s">
        <v>3643</v>
      </c>
      <c r="AK875" s="1" t="s">
        <v>3374</v>
      </c>
      <c r="AL875" s="1" t="s">
        <v>228</v>
      </c>
      <c r="AN875" s="22" t="s">
        <v>9767</v>
      </c>
      <c r="AX875" s="1">
        <v>1</v>
      </c>
      <c r="AZ875" s="1">
        <v>0.1</v>
      </c>
      <c r="BG875" s="1" t="s">
        <v>3641</v>
      </c>
      <c r="BM875" s="1" t="s">
        <v>930</v>
      </c>
      <c r="BQ875" s="1" t="s">
        <v>207</v>
      </c>
      <c r="BR875" s="1" t="s">
        <v>1935</v>
      </c>
      <c r="BS875" s="1" t="s">
        <v>1936</v>
      </c>
      <c r="BT875" s="1" t="s">
        <v>3329</v>
      </c>
      <c r="BX875" s="1">
        <v>1</v>
      </c>
    </row>
    <row r="876" spans="1:76" x14ac:dyDescent="0.25">
      <c r="A876" s="1" t="s">
        <v>3644</v>
      </c>
      <c r="B876" s="1" t="s">
        <v>203</v>
      </c>
      <c r="C876" s="1">
        <v>1</v>
      </c>
      <c r="D876" s="1" t="s">
        <v>3645</v>
      </c>
      <c r="E876" s="1">
        <v>1315</v>
      </c>
      <c r="F876" s="1" t="s">
        <v>3644</v>
      </c>
      <c r="G876" s="1">
        <v>1</v>
      </c>
      <c r="L876" s="1">
        <v>5500</v>
      </c>
      <c r="N876" s="1">
        <v>700</v>
      </c>
      <c r="P876" s="1">
        <v>150</v>
      </c>
      <c r="R876" s="1">
        <v>35</v>
      </c>
      <c r="Z876" s="1">
        <v>0.05</v>
      </c>
      <c r="AA876" s="1">
        <v>3.3</v>
      </c>
      <c r="AB876" s="1">
        <v>2</v>
      </c>
      <c r="AC876" s="1">
        <v>0.65</v>
      </c>
      <c r="AH876" s="1">
        <v>0</v>
      </c>
      <c r="AI876" s="1">
        <v>1</v>
      </c>
      <c r="AJ876" s="1" t="s">
        <v>3646</v>
      </c>
      <c r="AK876" s="1" t="s">
        <v>3374</v>
      </c>
      <c r="AL876" s="1" t="s">
        <v>228</v>
      </c>
      <c r="AN876" s="22" t="s">
        <v>9767</v>
      </c>
      <c r="AX876" s="1">
        <v>1</v>
      </c>
      <c r="AZ876" s="1">
        <v>0.1</v>
      </c>
      <c r="BG876" s="1" t="s">
        <v>3644</v>
      </c>
      <c r="BM876" s="1" t="s">
        <v>930</v>
      </c>
      <c r="BQ876" s="1" t="s">
        <v>207</v>
      </c>
      <c r="BR876" s="1" t="s">
        <v>1935</v>
      </c>
      <c r="BS876" s="1" t="s">
        <v>1936</v>
      </c>
      <c r="BT876" s="1" t="s">
        <v>3329</v>
      </c>
      <c r="BX876" s="1">
        <v>1</v>
      </c>
    </row>
    <row r="877" spans="1:76" x14ac:dyDescent="0.25">
      <c r="A877" s="1" t="s">
        <v>3647</v>
      </c>
      <c r="B877" s="1" t="s">
        <v>203</v>
      </c>
      <c r="C877" s="1">
        <v>1</v>
      </c>
      <c r="D877" s="1" t="s">
        <v>3648</v>
      </c>
      <c r="E877" s="1">
        <v>1315</v>
      </c>
      <c r="F877" s="1" t="s">
        <v>3647</v>
      </c>
      <c r="G877" s="1">
        <v>1</v>
      </c>
      <c r="L877" s="1">
        <v>6500</v>
      </c>
      <c r="N877" s="1">
        <v>800</v>
      </c>
      <c r="P877" s="1">
        <v>200</v>
      </c>
      <c r="R877" s="1">
        <v>35</v>
      </c>
      <c r="Z877" s="1">
        <v>0.05</v>
      </c>
      <c r="AA877" s="1">
        <v>3.3</v>
      </c>
      <c r="AB877" s="1">
        <v>2</v>
      </c>
      <c r="AC877" s="1">
        <v>0.65</v>
      </c>
      <c r="AH877" s="1">
        <v>0</v>
      </c>
      <c r="AI877" s="1">
        <v>1</v>
      </c>
      <c r="AJ877" s="1" t="s">
        <v>3649</v>
      </c>
      <c r="AK877" s="1" t="s">
        <v>3374</v>
      </c>
      <c r="AL877" s="1" t="s">
        <v>228</v>
      </c>
      <c r="AN877" s="22" t="s">
        <v>9767</v>
      </c>
      <c r="AX877" s="1">
        <v>1</v>
      </c>
      <c r="AZ877" s="1">
        <v>0.1</v>
      </c>
      <c r="BG877" s="1" t="s">
        <v>3647</v>
      </c>
      <c r="BM877" s="1" t="s">
        <v>930</v>
      </c>
      <c r="BQ877" s="1" t="s">
        <v>207</v>
      </c>
      <c r="BR877" s="1" t="s">
        <v>1935</v>
      </c>
      <c r="BS877" s="1" t="s">
        <v>1936</v>
      </c>
      <c r="BT877" s="1" t="s">
        <v>3329</v>
      </c>
      <c r="BX877" s="1">
        <v>1</v>
      </c>
    </row>
    <row r="878" spans="1:76" x14ac:dyDescent="0.25">
      <c r="A878" s="1" t="s">
        <v>3650</v>
      </c>
      <c r="B878" s="1" t="s">
        <v>203</v>
      </c>
      <c r="C878" s="1">
        <v>1</v>
      </c>
      <c r="D878" s="1" t="s">
        <v>3651</v>
      </c>
      <c r="E878" s="1">
        <v>1316</v>
      </c>
      <c r="F878" s="1" t="s">
        <v>3650</v>
      </c>
      <c r="G878" s="1">
        <v>1</v>
      </c>
      <c r="L878" s="1">
        <v>12000</v>
      </c>
      <c r="N878" s="1">
        <v>1000</v>
      </c>
      <c r="P878" s="1">
        <v>1200</v>
      </c>
      <c r="R878" s="1">
        <v>0</v>
      </c>
      <c r="Z878" s="1">
        <v>0.05</v>
      </c>
      <c r="AA878" s="1">
        <v>3.5</v>
      </c>
      <c r="AB878" s="1">
        <v>5</v>
      </c>
      <c r="AC878" s="1">
        <v>0.35</v>
      </c>
      <c r="AH878" s="1">
        <v>0</v>
      </c>
      <c r="AI878" s="1">
        <v>1</v>
      </c>
      <c r="AJ878" s="1" t="s">
        <v>3652</v>
      </c>
      <c r="AK878" s="1" t="s">
        <v>3374</v>
      </c>
      <c r="AL878" s="1" t="s">
        <v>228</v>
      </c>
      <c r="AN878" s="22" t="s">
        <v>9767</v>
      </c>
      <c r="AX878" s="1">
        <v>1</v>
      </c>
      <c r="AZ878" s="1">
        <v>0.1</v>
      </c>
      <c r="BG878" s="1" t="s">
        <v>3650</v>
      </c>
      <c r="BM878" s="1" t="s">
        <v>989</v>
      </c>
      <c r="BQ878" s="1" t="s">
        <v>207</v>
      </c>
      <c r="BR878" s="1" t="s">
        <v>1935</v>
      </c>
      <c r="BS878" s="1" t="s">
        <v>1936</v>
      </c>
      <c r="BT878" s="1" t="s">
        <v>3329</v>
      </c>
      <c r="BX878" s="1">
        <v>1</v>
      </c>
    </row>
    <row r="879" spans="1:76" x14ac:dyDescent="0.25">
      <c r="A879" s="1" t="s">
        <v>3653</v>
      </c>
      <c r="B879" s="1" t="s">
        <v>203</v>
      </c>
      <c r="C879" s="1">
        <v>1</v>
      </c>
      <c r="D879" s="1" t="s">
        <v>3654</v>
      </c>
      <c r="E879" s="1">
        <v>1316</v>
      </c>
      <c r="F879" s="1" t="s">
        <v>3653</v>
      </c>
      <c r="G879" s="1">
        <v>1</v>
      </c>
      <c r="L879" s="1">
        <v>15000</v>
      </c>
      <c r="N879" s="1">
        <v>1200</v>
      </c>
      <c r="P879" s="1">
        <v>1500</v>
      </c>
      <c r="R879" s="1">
        <v>0</v>
      </c>
      <c r="Z879" s="1">
        <v>0.05</v>
      </c>
      <c r="AA879" s="1">
        <v>3.5</v>
      </c>
      <c r="AB879" s="1">
        <v>5</v>
      </c>
      <c r="AC879" s="1">
        <v>0.35</v>
      </c>
      <c r="AH879" s="1">
        <v>0</v>
      </c>
      <c r="AI879" s="1">
        <v>1</v>
      </c>
      <c r="AJ879" s="1" t="s">
        <v>3655</v>
      </c>
      <c r="AK879" s="1" t="s">
        <v>3374</v>
      </c>
      <c r="AL879" s="1" t="s">
        <v>228</v>
      </c>
      <c r="AN879" s="22" t="s">
        <v>9767</v>
      </c>
      <c r="AX879" s="1">
        <v>1</v>
      </c>
      <c r="AZ879" s="1">
        <v>0.1</v>
      </c>
      <c r="BG879" s="1" t="s">
        <v>3653</v>
      </c>
      <c r="BM879" s="1" t="s">
        <v>989</v>
      </c>
      <c r="BQ879" s="1" t="s">
        <v>207</v>
      </c>
      <c r="BR879" s="1" t="s">
        <v>1935</v>
      </c>
      <c r="BS879" s="1" t="s">
        <v>1936</v>
      </c>
      <c r="BT879" s="1" t="s">
        <v>3329</v>
      </c>
      <c r="BX879" s="1">
        <v>1</v>
      </c>
    </row>
    <row r="880" spans="1:76" x14ac:dyDescent="0.25">
      <c r="A880" s="1" t="s">
        <v>3656</v>
      </c>
      <c r="B880" s="1" t="s">
        <v>203</v>
      </c>
      <c r="C880" s="1">
        <v>1</v>
      </c>
      <c r="D880" s="1" t="s">
        <v>3657</v>
      </c>
      <c r="E880" s="1">
        <v>1317</v>
      </c>
      <c r="F880" s="1" t="s">
        <v>3656</v>
      </c>
      <c r="G880" s="1">
        <v>1</v>
      </c>
      <c r="L880" s="1">
        <v>6000</v>
      </c>
      <c r="N880" s="1">
        <v>600</v>
      </c>
      <c r="P880" s="1">
        <v>300</v>
      </c>
      <c r="R880" s="1">
        <v>30</v>
      </c>
      <c r="Z880" s="1">
        <v>0.05</v>
      </c>
      <c r="AA880" s="1">
        <v>3.5</v>
      </c>
      <c r="AB880" s="1">
        <v>3</v>
      </c>
      <c r="AC880" s="1">
        <v>0.8</v>
      </c>
      <c r="AH880" s="1">
        <v>0</v>
      </c>
      <c r="AI880" s="1">
        <v>1</v>
      </c>
      <c r="AJ880" s="1" t="s">
        <v>3658</v>
      </c>
      <c r="AK880" s="1" t="s">
        <v>265</v>
      </c>
      <c r="AL880" s="1" t="s">
        <v>228</v>
      </c>
      <c r="AN880" s="22" t="s">
        <v>9767</v>
      </c>
      <c r="AO880" s="22" t="s">
        <v>9771</v>
      </c>
      <c r="AX880" s="1">
        <v>1</v>
      </c>
      <c r="AZ880" s="1">
        <v>0.1</v>
      </c>
      <c r="BG880" s="1" t="s">
        <v>3656</v>
      </c>
      <c r="BM880" s="1" t="s">
        <v>936</v>
      </c>
      <c r="BQ880" s="1" t="s">
        <v>207</v>
      </c>
      <c r="BR880" s="1" t="s">
        <v>208</v>
      </c>
      <c r="BS880" s="1" t="s">
        <v>229</v>
      </c>
      <c r="BT880" s="1" t="s">
        <v>210</v>
      </c>
      <c r="BX880" s="1">
        <v>1</v>
      </c>
    </row>
    <row r="881" spans="1:76" x14ac:dyDescent="0.25">
      <c r="A881" s="1" t="s">
        <v>3659</v>
      </c>
      <c r="B881" s="1" t="s">
        <v>203</v>
      </c>
      <c r="C881" s="1">
        <v>1</v>
      </c>
      <c r="D881" s="1" t="s">
        <v>3660</v>
      </c>
      <c r="E881" s="1">
        <v>1317</v>
      </c>
      <c r="F881" s="1" t="s">
        <v>3659</v>
      </c>
      <c r="G881" s="1">
        <v>1</v>
      </c>
      <c r="L881" s="1">
        <v>7500</v>
      </c>
      <c r="N881" s="1">
        <v>650</v>
      </c>
      <c r="P881" s="1">
        <v>350</v>
      </c>
      <c r="R881" s="1">
        <v>35</v>
      </c>
      <c r="Z881" s="1">
        <v>0.05</v>
      </c>
      <c r="AA881" s="1">
        <v>3.5</v>
      </c>
      <c r="AB881" s="1">
        <v>3</v>
      </c>
      <c r="AC881" s="1">
        <v>0.8</v>
      </c>
      <c r="AH881" s="1">
        <v>0</v>
      </c>
      <c r="AI881" s="1">
        <v>1</v>
      </c>
      <c r="AJ881" s="1" t="s">
        <v>3661</v>
      </c>
      <c r="AK881" s="1" t="s">
        <v>265</v>
      </c>
      <c r="AL881" s="1" t="s">
        <v>228</v>
      </c>
      <c r="AN881" s="22" t="s">
        <v>9767</v>
      </c>
      <c r="AO881" s="22" t="s">
        <v>9771</v>
      </c>
      <c r="AX881" s="1">
        <v>1</v>
      </c>
      <c r="AZ881" s="1">
        <v>0.1</v>
      </c>
      <c r="BG881" s="1" t="s">
        <v>3659</v>
      </c>
      <c r="BM881" s="1" t="s">
        <v>936</v>
      </c>
      <c r="BQ881" s="1" t="s">
        <v>207</v>
      </c>
      <c r="BR881" s="1" t="s">
        <v>208</v>
      </c>
      <c r="BS881" s="1" t="s">
        <v>229</v>
      </c>
      <c r="BT881" s="1" t="s">
        <v>210</v>
      </c>
      <c r="BX881" s="1">
        <v>1</v>
      </c>
    </row>
    <row r="882" spans="1:76" x14ac:dyDescent="0.25">
      <c r="A882" s="1" t="s">
        <v>3662</v>
      </c>
      <c r="B882" s="1" t="s">
        <v>203</v>
      </c>
      <c r="C882" s="1">
        <v>1</v>
      </c>
      <c r="D882" s="1" t="s">
        <v>3663</v>
      </c>
      <c r="E882" s="1">
        <v>1318</v>
      </c>
      <c r="F882" s="1" t="s">
        <v>3662</v>
      </c>
      <c r="G882" s="1">
        <v>1</v>
      </c>
      <c r="L882" s="1">
        <v>9000</v>
      </c>
      <c r="N882" s="1">
        <v>550</v>
      </c>
      <c r="P882" s="1">
        <v>200</v>
      </c>
      <c r="R882" s="1">
        <v>50</v>
      </c>
      <c r="Z882" s="1">
        <v>0.05</v>
      </c>
      <c r="AA882" s="1">
        <v>3.8</v>
      </c>
      <c r="AB882" s="1">
        <v>3</v>
      </c>
      <c r="AC882" s="1">
        <v>0.7</v>
      </c>
      <c r="AH882" s="1">
        <v>0</v>
      </c>
      <c r="AI882" s="1">
        <v>1</v>
      </c>
      <c r="AJ882" s="1" t="s">
        <v>3664</v>
      </c>
      <c r="AK882" s="1" t="s">
        <v>265</v>
      </c>
      <c r="AL882" s="1" t="s">
        <v>228</v>
      </c>
      <c r="AN882" s="22" t="s">
        <v>9767</v>
      </c>
      <c r="AX882" s="1">
        <v>1</v>
      </c>
      <c r="AZ882" s="1">
        <v>0.1</v>
      </c>
      <c r="BG882" s="1" t="s">
        <v>3662</v>
      </c>
      <c r="BM882" s="1" t="s">
        <v>936</v>
      </c>
      <c r="BQ882" s="1" t="s">
        <v>207</v>
      </c>
      <c r="BR882" s="1" t="s">
        <v>208</v>
      </c>
      <c r="BS882" s="1" t="s">
        <v>229</v>
      </c>
      <c r="BT882" s="1" t="s">
        <v>210</v>
      </c>
      <c r="BX882" s="1">
        <v>1</v>
      </c>
    </row>
    <row r="883" spans="1:76" x14ac:dyDescent="0.25">
      <c r="A883" s="1" t="s">
        <v>3665</v>
      </c>
      <c r="B883" s="1" t="s">
        <v>203</v>
      </c>
      <c r="C883" s="1">
        <v>1</v>
      </c>
      <c r="D883" s="1" t="s">
        <v>3666</v>
      </c>
      <c r="E883" s="1">
        <v>1318</v>
      </c>
      <c r="F883" s="1" t="s">
        <v>3665</v>
      </c>
      <c r="G883" s="1">
        <v>1</v>
      </c>
      <c r="L883" s="1">
        <v>12000</v>
      </c>
      <c r="N883" s="1">
        <v>650</v>
      </c>
      <c r="P883" s="1">
        <v>250</v>
      </c>
      <c r="R883" s="1">
        <v>60</v>
      </c>
      <c r="Z883" s="1">
        <v>0.05</v>
      </c>
      <c r="AA883" s="1">
        <v>3.8</v>
      </c>
      <c r="AB883" s="1">
        <v>3</v>
      </c>
      <c r="AC883" s="1">
        <v>0.7</v>
      </c>
      <c r="AH883" s="1">
        <v>0</v>
      </c>
      <c r="AI883" s="1">
        <v>1</v>
      </c>
      <c r="AJ883" s="1" t="s">
        <v>3667</v>
      </c>
      <c r="AK883" s="1" t="s">
        <v>265</v>
      </c>
      <c r="AL883" s="1" t="s">
        <v>228</v>
      </c>
      <c r="AN883" s="22" t="s">
        <v>9767</v>
      </c>
      <c r="AX883" s="1">
        <v>1</v>
      </c>
      <c r="AZ883" s="1">
        <v>0.1</v>
      </c>
      <c r="BG883" s="1" t="s">
        <v>3665</v>
      </c>
      <c r="BM883" s="1" t="s">
        <v>936</v>
      </c>
      <c r="BQ883" s="1" t="s">
        <v>207</v>
      </c>
      <c r="BR883" s="1" t="s">
        <v>208</v>
      </c>
      <c r="BS883" s="1" t="s">
        <v>229</v>
      </c>
      <c r="BT883" s="1" t="s">
        <v>210</v>
      </c>
      <c r="BX883" s="1">
        <v>1</v>
      </c>
    </row>
    <row r="884" spans="1:76" x14ac:dyDescent="0.25">
      <c r="A884" s="1" t="s">
        <v>3668</v>
      </c>
      <c r="B884" s="1" t="s">
        <v>203</v>
      </c>
      <c r="C884" s="1">
        <v>1</v>
      </c>
      <c r="D884" s="1" t="s">
        <v>3669</v>
      </c>
      <c r="E884" s="1">
        <v>1319</v>
      </c>
      <c r="F884" s="1" t="s">
        <v>3668</v>
      </c>
      <c r="G884" s="1">
        <v>1</v>
      </c>
      <c r="L884" s="1">
        <v>10000</v>
      </c>
      <c r="N884" s="1">
        <v>250</v>
      </c>
      <c r="P884" s="1">
        <v>100</v>
      </c>
      <c r="R884" s="1">
        <v>50</v>
      </c>
      <c r="Z884" s="1">
        <v>0.05</v>
      </c>
      <c r="AA884" s="1">
        <v>5</v>
      </c>
      <c r="AB884" s="1">
        <v>2</v>
      </c>
      <c r="AC884" s="1">
        <v>0.6</v>
      </c>
      <c r="AH884" s="1">
        <v>0</v>
      </c>
      <c r="AI884" s="1">
        <v>1</v>
      </c>
      <c r="AJ884" s="1" t="s">
        <v>3670</v>
      </c>
      <c r="AK884" s="1" t="s">
        <v>265</v>
      </c>
      <c r="AL884" s="1" t="s">
        <v>228</v>
      </c>
      <c r="AN884" s="22" t="s">
        <v>9767</v>
      </c>
      <c r="AX884" s="1">
        <v>1</v>
      </c>
      <c r="AZ884" s="1">
        <v>0.1</v>
      </c>
      <c r="BG884" s="1" t="s">
        <v>3668</v>
      </c>
      <c r="BM884" s="1" t="s">
        <v>989</v>
      </c>
      <c r="BQ884" s="1" t="s">
        <v>207</v>
      </c>
      <c r="BR884" s="1" t="s">
        <v>208</v>
      </c>
      <c r="BS884" s="1" t="s">
        <v>229</v>
      </c>
      <c r="BT884" s="1" t="s">
        <v>210</v>
      </c>
      <c r="BX884" s="1">
        <v>1</v>
      </c>
    </row>
    <row r="885" spans="1:76" x14ac:dyDescent="0.25">
      <c r="A885" s="1" t="s">
        <v>3671</v>
      </c>
      <c r="B885" s="1" t="s">
        <v>203</v>
      </c>
      <c r="C885" s="1">
        <v>1</v>
      </c>
      <c r="D885" s="1" t="s">
        <v>3672</v>
      </c>
      <c r="E885" s="1">
        <v>1319</v>
      </c>
      <c r="F885" s="1" t="s">
        <v>3671</v>
      </c>
      <c r="G885" s="1">
        <v>1</v>
      </c>
      <c r="L885" s="1">
        <v>12000</v>
      </c>
      <c r="N885" s="1">
        <v>300</v>
      </c>
      <c r="P885" s="1">
        <v>150</v>
      </c>
      <c r="R885" s="1">
        <v>50</v>
      </c>
      <c r="Z885" s="1">
        <v>0.05</v>
      </c>
      <c r="AA885" s="1">
        <v>5</v>
      </c>
      <c r="AB885" s="1">
        <v>2</v>
      </c>
      <c r="AC885" s="1">
        <v>0.6</v>
      </c>
      <c r="AH885" s="1">
        <v>0</v>
      </c>
      <c r="AI885" s="1">
        <v>1</v>
      </c>
      <c r="AJ885" s="1" t="s">
        <v>3673</v>
      </c>
      <c r="AK885" s="1" t="s">
        <v>265</v>
      </c>
      <c r="AL885" s="1" t="s">
        <v>228</v>
      </c>
      <c r="AN885" s="22" t="s">
        <v>9767</v>
      </c>
      <c r="AX885" s="1">
        <v>1</v>
      </c>
      <c r="AZ885" s="1">
        <v>0.1</v>
      </c>
      <c r="BG885" s="1" t="s">
        <v>3671</v>
      </c>
      <c r="BM885" s="1" t="s">
        <v>989</v>
      </c>
      <c r="BQ885" s="1" t="s">
        <v>207</v>
      </c>
      <c r="BR885" s="1" t="s">
        <v>208</v>
      </c>
      <c r="BS885" s="1" t="s">
        <v>229</v>
      </c>
      <c r="BT885" s="1" t="s">
        <v>210</v>
      </c>
      <c r="BX885" s="1">
        <v>1</v>
      </c>
    </row>
    <row r="886" spans="1:76" x14ac:dyDescent="0.25">
      <c r="A886" s="1" t="s">
        <v>3674</v>
      </c>
      <c r="B886" s="1" t="s">
        <v>203</v>
      </c>
      <c r="C886" s="1">
        <v>1</v>
      </c>
      <c r="D886" s="1" t="s">
        <v>3675</v>
      </c>
      <c r="E886" s="1">
        <v>1320</v>
      </c>
      <c r="F886" s="1" t="s">
        <v>3674</v>
      </c>
      <c r="G886" s="1">
        <v>1</v>
      </c>
      <c r="L886" s="1">
        <v>20000</v>
      </c>
      <c r="N886" s="1">
        <v>800</v>
      </c>
      <c r="P886" s="1">
        <v>700</v>
      </c>
      <c r="R886" s="1">
        <v>20</v>
      </c>
      <c r="Z886" s="1">
        <v>0.05</v>
      </c>
      <c r="AA886" s="1">
        <v>2.9</v>
      </c>
      <c r="AB886" s="1">
        <v>5</v>
      </c>
      <c r="AC886" s="1">
        <v>0.8</v>
      </c>
      <c r="AH886" s="1">
        <v>0</v>
      </c>
      <c r="AI886" s="1">
        <v>1</v>
      </c>
      <c r="AJ886" s="1" t="s">
        <v>3676</v>
      </c>
      <c r="AK886" s="1" t="s">
        <v>265</v>
      </c>
      <c r="AL886" s="1" t="s">
        <v>228</v>
      </c>
      <c r="AN886" s="22" t="s">
        <v>9767</v>
      </c>
      <c r="AR886" s="1">
        <v>3</v>
      </c>
      <c r="AX886" s="1">
        <v>1</v>
      </c>
      <c r="AZ886" s="1">
        <v>0.1</v>
      </c>
      <c r="BG886" s="1" t="s">
        <v>3674</v>
      </c>
      <c r="BM886" s="1" t="s">
        <v>989</v>
      </c>
      <c r="BQ886" s="1" t="s">
        <v>207</v>
      </c>
      <c r="BR886" s="1" t="s">
        <v>208</v>
      </c>
      <c r="BS886" s="1" t="s">
        <v>229</v>
      </c>
      <c r="BT886" s="1" t="s">
        <v>210</v>
      </c>
      <c r="BX886" s="1">
        <v>1</v>
      </c>
    </row>
    <row r="887" spans="1:76" x14ac:dyDescent="0.25">
      <c r="A887" s="1" t="s">
        <v>3677</v>
      </c>
      <c r="B887" s="1" t="s">
        <v>203</v>
      </c>
      <c r="C887" s="1">
        <v>1</v>
      </c>
      <c r="D887" s="1" t="s">
        <v>3678</v>
      </c>
      <c r="E887" s="1">
        <v>1320</v>
      </c>
      <c r="F887" s="1" t="s">
        <v>3677</v>
      </c>
      <c r="G887" s="1">
        <v>1</v>
      </c>
      <c r="L887" s="1">
        <v>25000</v>
      </c>
      <c r="N887" s="1">
        <v>1200</v>
      </c>
      <c r="P887" s="1">
        <v>800</v>
      </c>
      <c r="R887" s="1">
        <v>20</v>
      </c>
      <c r="Z887" s="1">
        <v>0.05</v>
      </c>
      <c r="AA887" s="1">
        <v>2.9</v>
      </c>
      <c r="AB887" s="1">
        <v>5</v>
      </c>
      <c r="AC887" s="1">
        <v>0.8</v>
      </c>
      <c r="AH887" s="1">
        <v>0</v>
      </c>
      <c r="AI887" s="1">
        <v>1</v>
      </c>
      <c r="AJ887" s="1" t="s">
        <v>3679</v>
      </c>
      <c r="AK887" s="1" t="s">
        <v>265</v>
      </c>
      <c r="AL887" s="1" t="s">
        <v>228</v>
      </c>
      <c r="AN887" s="22" t="s">
        <v>9767</v>
      </c>
      <c r="AR887" s="1">
        <v>3</v>
      </c>
      <c r="AX887" s="1">
        <v>1</v>
      </c>
      <c r="AZ887" s="1">
        <v>0.1</v>
      </c>
      <c r="BG887" s="1" t="s">
        <v>3677</v>
      </c>
      <c r="BM887" s="1" t="s">
        <v>989</v>
      </c>
      <c r="BQ887" s="1" t="s">
        <v>207</v>
      </c>
      <c r="BR887" s="1" t="s">
        <v>208</v>
      </c>
      <c r="BS887" s="1" t="s">
        <v>229</v>
      </c>
      <c r="BT887" s="1" t="s">
        <v>210</v>
      </c>
      <c r="BX887" s="1">
        <v>1</v>
      </c>
    </row>
    <row r="888" spans="1:76" x14ac:dyDescent="0.25">
      <c r="A888" s="1" t="s">
        <v>3680</v>
      </c>
      <c r="B888" s="1" t="s">
        <v>203</v>
      </c>
      <c r="C888" s="1">
        <v>1</v>
      </c>
      <c r="D888" s="1" t="s">
        <v>3681</v>
      </c>
      <c r="E888" s="1">
        <v>1321</v>
      </c>
      <c r="F888" s="1" t="s">
        <v>3680</v>
      </c>
      <c r="G888" s="1">
        <v>1</v>
      </c>
      <c r="L888" s="1">
        <v>30000</v>
      </c>
      <c r="N888" s="1">
        <v>500</v>
      </c>
      <c r="P888" s="1">
        <v>250</v>
      </c>
      <c r="R888" s="1">
        <v>30</v>
      </c>
      <c r="Z888" s="1">
        <v>0.05</v>
      </c>
      <c r="AA888" s="1">
        <v>5</v>
      </c>
      <c r="AB888" s="1">
        <v>5</v>
      </c>
      <c r="AC888" s="1">
        <v>0.3</v>
      </c>
      <c r="AH888" s="1">
        <v>0</v>
      </c>
      <c r="AI888" s="1">
        <v>1</v>
      </c>
      <c r="AJ888" s="1" t="s">
        <v>3682</v>
      </c>
      <c r="AK888" s="1" t="s">
        <v>265</v>
      </c>
      <c r="AL888" s="1" t="s">
        <v>228</v>
      </c>
      <c r="AN888" s="22" t="s">
        <v>9767</v>
      </c>
      <c r="AP888" s="1">
        <v>1</v>
      </c>
      <c r="AX888" s="1">
        <v>1</v>
      </c>
      <c r="AZ888" s="1">
        <v>0.1</v>
      </c>
      <c r="BG888" s="1" t="s">
        <v>3680</v>
      </c>
      <c r="BM888" s="1" t="s">
        <v>3114</v>
      </c>
      <c r="BQ888" s="1" t="s">
        <v>207</v>
      </c>
      <c r="BR888" s="1" t="s">
        <v>208</v>
      </c>
      <c r="BS888" s="1" t="s">
        <v>229</v>
      </c>
      <c r="BT888" s="1" t="s">
        <v>210</v>
      </c>
      <c r="BX888" s="1">
        <v>1</v>
      </c>
    </row>
    <row r="889" spans="1:76" x14ac:dyDescent="0.25">
      <c r="A889" s="1" t="s">
        <v>3683</v>
      </c>
      <c r="B889" s="1" t="s">
        <v>203</v>
      </c>
      <c r="C889" s="1">
        <v>1</v>
      </c>
      <c r="D889" s="1" t="s">
        <v>3684</v>
      </c>
      <c r="E889" s="1">
        <v>1321</v>
      </c>
      <c r="F889" s="1" t="s">
        <v>3683</v>
      </c>
      <c r="G889" s="1">
        <v>1</v>
      </c>
      <c r="L889" s="1">
        <v>35000</v>
      </c>
      <c r="N889" s="1">
        <v>500</v>
      </c>
      <c r="P889" s="1">
        <v>300</v>
      </c>
      <c r="R889" s="1">
        <v>35</v>
      </c>
      <c r="Z889" s="1">
        <v>0.05</v>
      </c>
      <c r="AA889" s="1">
        <v>5</v>
      </c>
      <c r="AB889" s="1">
        <v>5</v>
      </c>
      <c r="AC889" s="1">
        <v>0.3</v>
      </c>
      <c r="AH889" s="1">
        <v>0</v>
      </c>
      <c r="AI889" s="1">
        <v>1</v>
      </c>
      <c r="AJ889" s="1" t="s">
        <v>3685</v>
      </c>
      <c r="AK889" s="1" t="s">
        <v>265</v>
      </c>
      <c r="AL889" s="1" t="s">
        <v>228</v>
      </c>
      <c r="AN889" s="22" t="s">
        <v>9767</v>
      </c>
      <c r="AP889" s="1">
        <v>1</v>
      </c>
      <c r="AX889" s="1">
        <v>1</v>
      </c>
      <c r="AZ889" s="1">
        <v>0.1</v>
      </c>
      <c r="BG889" s="1" t="s">
        <v>3683</v>
      </c>
      <c r="BM889" s="1" t="s">
        <v>3114</v>
      </c>
      <c r="BQ889" s="1" t="s">
        <v>207</v>
      </c>
      <c r="BR889" s="1" t="s">
        <v>208</v>
      </c>
      <c r="BS889" s="1" t="s">
        <v>229</v>
      </c>
      <c r="BT889" s="1" t="s">
        <v>210</v>
      </c>
      <c r="BX889" s="1">
        <v>1</v>
      </c>
    </row>
    <row r="890" spans="1:76" x14ac:dyDescent="0.25">
      <c r="A890" s="1" t="s">
        <v>3686</v>
      </c>
      <c r="B890" s="1" t="s">
        <v>203</v>
      </c>
      <c r="C890" s="1">
        <v>1</v>
      </c>
      <c r="D890" s="1" t="s">
        <v>3687</v>
      </c>
      <c r="E890" s="1">
        <v>1322</v>
      </c>
      <c r="F890" s="1" t="s">
        <v>3686</v>
      </c>
      <c r="G890" s="1">
        <v>1</v>
      </c>
      <c r="L890" s="1">
        <v>36000</v>
      </c>
      <c r="N890" s="1">
        <v>2250</v>
      </c>
      <c r="P890" s="1">
        <v>500</v>
      </c>
      <c r="R890" s="1">
        <v>35</v>
      </c>
      <c r="Z890" s="1">
        <v>0.05</v>
      </c>
      <c r="AA890" s="1">
        <v>6</v>
      </c>
      <c r="AB890" s="1">
        <v>10</v>
      </c>
      <c r="AC890" s="1">
        <v>0.7</v>
      </c>
      <c r="AH890" s="1">
        <v>0</v>
      </c>
      <c r="AI890" s="1">
        <v>1</v>
      </c>
      <c r="AJ890" s="1" t="s">
        <v>3688</v>
      </c>
      <c r="AK890" s="1" t="s">
        <v>265</v>
      </c>
      <c r="AL890" s="1" t="s">
        <v>228</v>
      </c>
      <c r="AN890" s="22" t="s">
        <v>9767</v>
      </c>
      <c r="AX890" s="1">
        <v>1</v>
      </c>
      <c r="AZ890" s="1">
        <v>0.1</v>
      </c>
      <c r="BG890" s="1" t="s">
        <v>3686</v>
      </c>
      <c r="BM890" s="1" t="s">
        <v>989</v>
      </c>
      <c r="BQ890" s="1" t="s">
        <v>207</v>
      </c>
      <c r="BR890" s="1" t="s">
        <v>208</v>
      </c>
      <c r="BS890" s="1" t="s">
        <v>229</v>
      </c>
      <c r="BT890" s="1" t="s">
        <v>210</v>
      </c>
      <c r="BX890" s="1">
        <v>1</v>
      </c>
    </row>
    <row r="891" spans="1:76" x14ac:dyDescent="0.25">
      <c r="A891" s="1" t="s">
        <v>3689</v>
      </c>
      <c r="B891" s="1" t="s">
        <v>203</v>
      </c>
      <c r="C891" s="1">
        <v>1</v>
      </c>
      <c r="D891" s="1" t="s">
        <v>3690</v>
      </c>
      <c r="E891" s="1">
        <v>1322</v>
      </c>
      <c r="F891" s="1" t="s">
        <v>3689</v>
      </c>
      <c r="G891" s="1">
        <v>1</v>
      </c>
      <c r="L891" s="1">
        <v>15000</v>
      </c>
      <c r="N891" s="1">
        <v>1800</v>
      </c>
      <c r="P891" s="1">
        <v>375</v>
      </c>
      <c r="R891" s="1">
        <v>30</v>
      </c>
      <c r="Z891" s="1">
        <v>0.05</v>
      </c>
      <c r="AA891" s="1">
        <v>6</v>
      </c>
      <c r="AB891" s="1">
        <v>10</v>
      </c>
      <c r="AC891" s="1">
        <v>0.7</v>
      </c>
      <c r="AH891" s="1">
        <v>0</v>
      </c>
      <c r="AI891" s="1">
        <v>1</v>
      </c>
      <c r="AJ891" s="1" t="s">
        <v>3691</v>
      </c>
      <c r="AK891" s="1" t="s">
        <v>265</v>
      </c>
      <c r="AL891" s="1" t="s">
        <v>228</v>
      </c>
      <c r="AN891" s="22" t="s">
        <v>9767</v>
      </c>
      <c r="AX891" s="1">
        <v>1</v>
      </c>
      <c r="AZ891" s="1">
        <v>0.1</v>
      </c>
      <c r="BG891" s="1" t="s">
        <v>3689</v>
      </c>
      <c r="BM891" s="1" t="s">
        <v>989</v>
      </c>
      <c r="BQ891" s="1" t="s">
        <v>207</v>
      </c>
      <c r="BR891" s="1" t="s">
        <v>208</v>
      </c>
      <c r="BS891" s="1" t="s">
        <v>229</v>
      </c>
      <c r="BT891" s="1" t="s">
        <v>210</v>
      </c>
      <c r="BX891" s="1">
        <v>1</v>
      </c>
    </row>
    <row r="892" spans="1:76" x14ac:dyDescent="0.25">
      <c r="A892" s="1" t="s">
        <v>3692</v>
      </c>
      <c r="B892" s="1" t="s">
        <v>203</v>
      </c>
      <c r="C892" s="1">
        <v>1</v>
      </c>
      <c r="D892" s="1" t="s">
        <v>3693</v>
      </c>
      <c r="E892" s="1">
        <v>1323</v>
      </c>
      <c r="F892" s="1" t="s">
        <v>3692</v>
      </c>
      <c r="G892" s="1">
        <v>1</v>
      </c>
      <c r="L892" s="1">
        <v>3500</v>
      </c>
      <c r="N892" s="1">
        <v>250</v>
      </c>
      <c r="P892" s="1">
        <v>300</v>
      </c>
      <c r="R892" s="1">
        <v>50</v>
      </c>
      <c r="Z892" s="1">
        <v>0.05</v>
      </c>
      <c r="AA892" s="1">
        <v>1.9</v>
      </c>
      <c r="AB892" s="1">
        <v>5</v>
      </c>
      <c r="AC892" s="1">
        <v>0.2</v>
      </c>
      <c r="AH892" s="1">
        <v>0</v>
      </c>
      <c r="AI892" s="1">
        <v>1</v>
      </c>
      <c r="AJ892" s="1" t="s">
        <v>3694</v>
      </c>
      <c r="AK892" s="1" t="s">
        <v>265</v>
      </c>
      <c r="AL892" s="1" t="s">
        <v>228</v>
      </c>
      <c r="AN892" s="22" t="s">
        <v>9767</v>
      </c>
      <c r="AP892" s="1">
        <v>1</v>
      </c>
      <c r="AV892" s="1">
        <v>-250</v>
      </c>
      <c r="AX892" s="1">
        <v>1</v>
      </c>
      <c r="AZ892" s="1">
        <v>0.1</v>
      </c>
      <c r="BG892" s="1" t="s">
        <v>3692</v>
      </c>
      <c r="BM892" s="1" t="s">
        <v>3695</v>
      </c>
      <c r="BQ892" s="1" t="s">
        <v>207</v>
      </c>
      <c r="BR892" s="1" t="s">
        <v>208</v>
      </c>
      <c r="BS892" s="1" t="s">
        <v>229</v>
      </c>
      <c r="BT892" s="1" t="s">
        <v>210</v>
      </c>
      <c r="BX892" s="1">
        <v>1</v>
      </c>
    </row>
    <row r="893" spans="1:76" x14ac:dyDescent="0.25">
      <c r="A893" s="1" t="s">
        <v>3696</v>
      </c>
      <c r="B893" s="1" t="s">
        <v>203</v>
      </c>
      <c r="C893" s="1">
        <v>1</v>
      </c>
      <c r="D893" s="1" t="s">
        <v>3697</v>
      </c>
      <c r="E893" s="1">
        <v>1324</v>
      </c>
      <c r="F893" s="1" t="s">
        <v>3696</v>
      </c>
      <c r="G893" s="1">
        <v>1</v>
      </c>
      <c r="L893" s="1">
        <v>9000</v>
      </c>
      <c r="N893" s="1">
        <v>550</v>
      </c>
      <c r="P893" s="1">
        <v>200</v>
      </c>
      <c r="R893" s="1">
        <v>50</v>
      </c>
      <c r="Z893" s="1">
        <v>0.05</v>
      </c>
      <c r="AA893" s="1">
        <v>1</v>
      </c>
      <c r="AB893" s="1">
        <v>3</v>
      </c>
      <c r="AC893" s="1">
        <v>0</v>
      </c>
      <c r="AH893" s="1">
        <v>1</v>
      </c>
      <c r="AI893" s="1">
        <v>1</v>
      </c>
      <c r="AJ893" s="1" t="s">
        <v>3698</v>
      </c>
      <c r="AK893" s="1" t="s">
        <v>265</v>
      </c>
      <c r="AL893" s="1" t="s">
        <v>228</v>
      </c>
      <c r="AN893" s="22" t="s">
        <v>9767</v>
      </c>
      <c r="AX893" s="1">
        <v>1</v>
      </c>
      <c r="AZ893" s="1">
        <v>0.1</v>
      </c>
      <c r="BG893" s="1" t="s">
        <v>3696</v>
      </c>
      <c r="BM893" s="1" t="s">
        <v>3410</v>
      </c>
      <c r="BQ893" s="1" t="s">
        <v>207</v>
      </c>
      <c r="BR893" s="1" t="s">
        <v>208</v>
      </c>
      <c r="BS893" s="1" t="s">
        <v>208</v>
      </c>
      <c r="BT893" s="1" t="s">
        <v>210</v>
      </c>
      <c r="BX893" s="1">
        <v>1</v>
      </c>
    </row>
    <row r="894" spans="1:76" x14ac:dyDescent="0.25">
      <c r="A894" s="1" t="s">
        <v>3699</v>
      </c>
      <c r="B894" s="1" t="s">
        <v>203</v>
      </c>
      <c r="C894" s="1">
        <v>1</v>
      </c>
      <c r="D894" s="1" t="s">
        <v>3700</v>
      </c>
      <c r="E894" s="1">
        <v>1324</v>
      </c>
      <c r="F894" s="1" t="s">
        <v>3699</v>
      </c>
      <c r="G894" s="1">
        <v>1</v>
      </c>
      <c r="L894" s="1">
        <v>12000</v>
      </c>
      <c r="N894" s="1">
        <v>650</v>
      </c>
      <c r="P894" s="1">
        <v>250</v>
      </c>
      <c r="R894" s="1">
        <v>60</v>
      </c>
      <c r="Z894" s="1">
        <v>0.05</v>
      </c>
      <c r="AA894" s="1">
        <v>1</v>
      </c>
      <c r="AB894" s="1">
        <v>3</v>
      </c>
      <c r="AC894" s="1">
        <v>0</v>
      </c>
      <c r="AH894" s="1">
        <v>1</v>
      </c>
      <c r="AI894" s="1">
        <v>1</v>
      </c>
      <c r="AJ894" s="1" t="s">
        <v>3701</v>
      </c>
      <c r="AK894" s="1" t="s">
        <v>265</v>
      </c>
      <c r="AL894" s="1" t="s">
        <v>228</v>
      </c>
      <c r="AN894" s="22" t="s">
        <v>9767</v>
      </c>
      <c r="AX894" s="1">
        <v>1</v>
      </c>
      <c r="AZ894" s="1">
        <v>0.1</v>
      </c>
      <c r="BG894" s="1" t="s">
        <v>3699</v>
      </c>
      <c r="BM894" s="1" t="s">
        <v>3410</v>
      </c>
      <c r="BQ894" s="1" t="s">
        <v>207</v>
      </c>
      <c r="BR894" s="1" t="s">
        <v>208</v>
      </c>
      <c r="BS894" s="1" t="s">
        <v>208</v>
      </c>
      <c r="BT894" s="1" t="s">
        <v>210</v>
      </c>
      <c r="BX894" s="1">
        <v>1</v>
      </c>
    </row>
    <row r="895" spans="1:76" x14ac:dyDescent="0.25">
      <c r="A895" s="1" t="s">
        <v>3702</v>
      </c>
      <c r="B895" s="1" t="s">
        <v>203</v>
      </c>
      <c r="C895" s="1">
        <v>1</v>
      </c>
      <c r="D895" s="1" t="s">
        <v>3703</v>
      </c>
      <c r="E895" s="1">
        <v>1542</v>
      </c>
      <c r="F895" s="1" t="s">
        <v>3702</v>
      </c>
      <c r="G895" s="1">
        <v>1</v>
      </c>
      <c r="L895" s="1">
        <v>100000</v>
      </c>
      <c r="N895" s="1">
        <v>550</v>
      </c>
      <c r="P895" s="1">
        <v>750</v>
      </c>
      <c r="R895" s="1">
        <v>50</v>
      </c>
      <c r="Z895" s="1">
        <v>0.05</v>
      </c>
      <c r="AA895" s="1">
        <v>2.5</v>
      </c>
      <c r="AB895" s="1">
        <v>3</v>
      </c>
      <c r="AC895" s="1">
        <v>0.5</v>
      </c>
      <c r="AH895" s="1">
        <v>0</v>
      </c>
      <c r="AI895" s="1">
        <v>1</v>
      </c>
      <c r="AJ895" s="1" t="s">
        <v>3704</v>
      </c>
      <c r="AK895" s="1" t="s">
        <v>265</v>
      </c>
      <c r="AL895" s="1" t="s">
        <v>228</v>
      </c>
      <c r="AN895" s="22" t="s">
        <v>9770</v>
      </c>
      <c r="AX895" s="1">
        <v>2</v>
      </c>
      <c r="AZ895" s="1">
        <v>0.1</v>
      </c>
      <c r="BG895" s="1" t="s">
        <v>3702</v>
      </c>
      <c r="BM895" s="1" t="s">
        <v>3705</v>
      </c>
      <c r="BQ895" s="1" t="s">
        <v>207</v>
      </c>
      <c r="BR895" s="1" t="s">
        <v>208</v>
      </c>
      <c r="BS895" s="1" t="s">
        <v>229</v>
      </c>
      <c r="BT895" s="1" t="s">
        <v>3706</v>
      </c>
      <c r="BX895" s="1">
        <v>1</v>
      </c>
    </row>
    <row r="896" spans="1:76" x14ac:dyDescent="0.25">
      <c r="A896" s="1" t="s">
        <v>3707</v>
      </c>
      <c r="B896" s="1" t="s">
        <v>203</v>
      </c>
      <c r="C896" s="1">
        <v>1</v>
      </c>
      <c r="D896" s="1" t="s">
        <v>3703</v>
      </c>
      <c r="E896" s="1">
        <v>1542</v>
      </c>
      <c r="F896" s="1" t="s">
        <v>3702</v>
      </c>
      <c r="G896" s="1">
        <v>1</v>
      </c>
      <c r="L896" s="1">
        <v>100000</v>
      </c>
      <c r="N896" s="1">
        <v>550</v>
      </c>
      <c r="P896" s="1">
        <v>750</v>
      </c>
      <c r="R896" s="1">
        <v>50</v>
      </c>
      <c r="Z896" s="1">
        <v>0.05</v>
      </c>
      <c r="AA896" s="1">
        <v>2.5</v>
      </c>
      <c r="AB896" s="1">
        <v>3</v>
      </c>
      <c r="AC896" s="1">
        <v>0.5</v>
      </c>
      <c r="AH896" s="1">
        <v>0</v>
      </c>
      <c r="AI896" s="1">
        <v>1</v>
      </c>
      <c r="AJ896" s="1" t="s">
        <v>3708</v>
      </c>
      <c r="AK896" s="1" t="s">
        <v>265</v>
      </c>
      <c r="AL896" s="1" t="s">
        <v>228</v>
      </c>
      <c r="AN896" s="22" t="s">
        <v>9770</v>
      </c>
      <c r="AX896" s="1">
        <v>2</v>
      </c>
      <c r="AZ896" s="1">
        <v>0.1</v>
      </c>
      <c r="BG896" s="1" t="s">
        <v>3702</v>
      </c>
      <c r="BM896" s="1" t="s">
        <v>3705</v>
      </c>
      <c r="BQ896" s="1" t="s">
        <v>207</v>
      </c>
      <c r="BR896" s="1" t="s">
        <v>208</v>
      </c>
      <c r="BS896" s="1" t="s">
        <v>229</v>
      </c>
      <c r="BT896" s="1" t="s">
        <v>3706</v>
      </c>
      <c r="BX896" s="1">
        <v>1</v>
      </c>
    </row>
    <row r="897" spans="1:76" x14ac:dyDescent="0.25">
      <c r="A897" s="1" t="s">
        <v>3709</v>
      </c>
      <c r="B897" s="1" t="s">
        <v>203</v>
      </c>
      <c r="C897" s="1">
        <v>1</v>
      </c>
      <c r="D897" s="1" t="s">
        <v>3703</v>
      </c>
      <c r="E897" s="1">
        <v>1542</v>
      </c>
      <c r="F897" s="1" t="s">
        <v>3702</v>
      </c>
      <c r="G897" s="1">
        <v>1</v>
      </c>
      <c r="L897" s="1">
        <v>100000</v>
      </c>
      <c r="N897" s="1">
        <v>550</v>
      </c>
      <c r="P897" s="1">
        <v>750</v>
      </c>
      <c r="R897" s="1">
        <v>50</v>
      </c>
      <c r="Z897" s="1">
        <v>0.05</v>
      </c>
      <c r="AA897" s="1">
        <v>2.5</v>
      </c>
      <c r="AB897" s="1">
        <v>3</v>
      </c>
      <c r="AC897" s="1">
        <v>0.5</v>
      </c>
      <c r="AH897" s="1">
        <v>0</v>
      </c>
      <c r="AI897" s="1">
        <v>1</v>
      </c>
      <c r="AJ897" s="1" t="s">
        <v>3710</v>
      </c>
      <c r="AK897" s="1" t="s">
        <v>265</v>
      </c>
      <c r="AL897" s="1" t="s">
        <v>228</v>
      </c>
      <c r="AN897" s="22" t="s">
        <v>9770</v>
      </c>
      <c r="AX897" s="1">
        <v>2</v>
      </c>
      <c r="AZ897" s="1">
        <v>0.1</v>
      </c>
      <c r="BG897" s="1" t="s">
        <v>3702</v>
      </c>
      <c r="BM897" s="1" t="s">
        <v>3705</v>
      </c>
      <c r="BQ897" s="1" t="s">
        <v>207</v>
      </c>
      <c r="BR897" s="1" t="s">
        <v>208</v>
      </c>
      <c r="BS897" s="1" t="s">
        <v>229</v>
      </c>
      <c r="BT897" s="1" t="s">
        <v>3706</v>
      </c>
      <c r="BX897" s="1">
        <v>1</v>
      </c>
    </row>
    <row r="898" spans="1:76" x14ac:dyDescent="0.25">
      <c r="A898" s="1" t="s">
        <v>3711</v>
      </c>
      <c r="B898" s="1" t="s">
        <v>203</v>
      </c>
      <c r="C898" s="1">
        <v>1</v>
      </c>
      <c r="D898" s="1" t="s">
        <v>3703</v>
      </c>
      <c r="E898" s="1">
        <v>1542</v>
      </c>
      <c r="F898" s="1" t="s">
        <v>3702</v>
      </c>
      <c r="G898" s="1">
        <v>1</v>
      </c>
      <c r="L898" s="1">
        <v>100000</v>
      </c>
      <c r="N898" s="1">
        <v>550</v>
      </c>
      <c r="P898" s="1">
        <v>750</v>
      </c>
      <c r="R898" s="1">
        <v>50</v>
      </c>
      <c r="Z898" s="1">
        <v>0.05</v>
      </c>
      <c r="AA898" s="1">
        <v>2.5</v>
      </c>
      <c r="AB898" s="1">
        <v>3</v>
      </c>
      <c r="AC898" s="1">
        <v>0.5</v>
      </c>
      <c r="AH898" s="1">
        <v>0</v>
      </c>
      <c r="AI898" s="1">
        <v>1</v>
      </c>
      <c r="AJ898" s="1" t="s">
        <v>3712</v>
      </c>
      <c r="AK898" s="1" t="s">
        <v>265</v>
      </c>
      <c r="AL898" s="1" t="s">
        <v>228</v>
      </c>
      <c r="AN898" s="22" t="s">
        <v>9770</v>
      </c>
      <c r="AX898" s="1">
        <v>2</v>
      </c>
      <c r="AZ898" s="1">
        <v>0.1</v>
      </c>
      <c r="BG898" s="1" t="s">
        <v>3702</v>
      </c>
      <c r="BM898" s="1" t="s">
        <v>3713</v>
      </c>
      <c r="BQ898" s="1" t="s">
        <v>207</v>
      </c>
      <c r="BR898" s="1" t="s">
        <v>208</v>
      </c>
      <c r="BS898" s="1" t="s">
        <v>229</v>
      </c>
      <c r="BT898" s="1" t="s">
        <v>3706</v>
      </c>
      <c r="BX898" s="1">
        <v>1</v>
      </c>
    </row>
    <row r="899" spans="1:76" x14ac:dyDescent="0.25">
      <c r="A899" s="1" t="s">
        <v>3714</v>
      </c>
      <c r="B899" s="1" t="s">
        <v>203</v>
      </c>
      <c r="C899" s="1">
        <v>1</v>
      </c>
      <c r="D899" s="1" t="s">
        <v>3703</v>
      </c>
      <c r="E899" s="1">
        <v>1542</v>
      </c>
      <c r="F899" s="1" t="s">
        <v>3702</v>
      </c>
      <c r="G899" s="1">
        <v>1</v>
      </c>
      <c r="L899" s="1">
        <v>100000</v>
      </c>
      <c r="N899" s="1">
        <v>550</v>
      </c>
      <c r="P899" s="1">
        <v>750</v>
      </c>
      <c r="R899" s="1">
        <v>50</v>
      </c>
      <c r="Z899" s="1">
        <v>0.05</v>
      </c>
      <c r="AA899" s="1">
        <v>2.5</v>
      </c>
      <c r="AB899" s="1">
        <v>3</v>
      </c>
      <c r="AC899" s="1">
        <v>0.5</v>
      </c>
      <c r="AH899" s="1">
        <v>0</v>
      </c>
      <c r="AI899" s="1">
        <v>1</v>
      </c>
      <c r="AJ899" s="1" t="s">
        <v>3715</v>
      </c>
      <c r="AK899" s="1" t="s">
        <v>265</v>
      </c>
      <c r="AL899" s="1" t="s">
        <v>228</v>
      </c>
      <c r="AN899" s="22" t="s">
        <v>9770</v>
      </c>
      <c r="AX899" s="1">
        <v>2</v>
      </c>
      <c r="AZ899" s="1">
        <v>0.1</v>
      </c>
      <c r="BG899" s="1" t="s">
        <v>3702</v>
      </c>
      <c r="BM899" s="1" t="s">
        <v>3713</v>
      </c>
      <c r="BQ899" s="1" t="s">
        <v>207</v>
      </c>
      <c r="BR899" s="1" t="s">
        <v>208</v>
      </c>
      <c r="BS899" s="1" t="s">
        <v>229</v>
      </c>
      <c r="BT899" s="1" t="s">
        <v>3706</v>
      </c>
      <c r="BX899" s="1">
        <v>1</v>
      </c>
    </row>
    <row r="900" spans="1:76" x14ac:dyDescent="0.25">
      <c r="A900" s="1" t="s">
        <v>3716</v>
      </c>
      <c r="B900" s="1" t="s">
        <v>203</v>
      </c>
      <c r="C900" s="1">
        <v>1</v>
      </c>
      <c r="D900" s="1" t="s">
        <v>3703</v>
      </c>
      <c r="E900" s="1">
        <v>1542</v>
      </c>
      <c r="F900" s="1" t="s">
        <v>3702</v>
      </c>
      <c r="G900" s="1">
        <v>1</v>
      </c>
      <c r="L900" s="1">
        <v>100000</v>
      </c>
      <c r="N900" s="1">
        <v>550</v>
      </c>
      <c r="P900" s="1">
        <v>750</v>
      </c>
      <c r="R900" s="1">
        <v>50</v>
      </c>
      <c r="Z900" s="1">
        <v>0.05</v>
      </c>
      <c r="AA900" s="1">
        <v>2.5</v>
      </c>
      <c r="AB900" s="1">
        <v>3</v>
      </c>
      <c r="AC900" s="1">
        <v>0.5</v>
      </c>
      <c r="AH900" s="1">
        <v>0</v>
      </c>
      <c r="AI900" s="1">
        <v>1</v>
      </c>
      <c r="AJ900" s="1" t="s">
        <v>3717</v>
      </c>
      <c r="AK900" s="1" t="s">
        <v>265</v>
      </c>
      <c r="AL900" s="1" t="s">
        <v>228</v>
      </c>
      <c r="AN900" s="22" t="s">
        <v>9767</v>
      </c>
      <c r="AP900" s="1">
        <v>1</v>
      </c>
      <c r="AX900" s="1">
        <v>2</v>
      </c>
      <c r="AZ900" s="1">
        <v>0.1</v>
      </c>
      <c r="BG900" s="1" t="s">
        <v>3702</v>
      </c>
      <c r="BQ900" s="1" t="s">
        <v>207</v>
      </c>
      <c r="BR900" s="1" t="s">
        <v>3718</v>
      </c>
      <c r="BS900" s="1" t="s">
        <v>3719</v>
      </c>
      <c r="BT900" s="1" t="s">
        <v>3720</v>
      </c>
      <c r="BX900" s="1">
        <v>1</v>
      </c>
    </row>
    <row r="901" spans="1:76" x14ac:dyDescent="0.25">
      <c r="A901" s="1" t="s">
        <v>3721</v>
      </c>
      <c r="B901" s="1" t="s">
        <v>203</v>
      </c>
      <c r="C901" s="1">
        <v>1</v>
      </c>
      <c r="D901" s="1" t="s">
        <v>3703</v>
      </c>
      <c r="E901" s="1">
        <v>1542</v>
      </c>
      <c r="F901" s="1" t="s">
        <v>3702</v>
      </c>
      <c r="G901" s="1">
        <v>1</v>
      </c>
      <c r="L901" s="1">
        <v>100000</v>
      </c>
      <c r="N901" s="1">
        <v>550</v>
      </c>
      <c r="P901" s="1">
        <v>750</v>
      </c>
      <c r="R901" s="1">
        <v>50</v>
      </c>
      <c r="Z901" s="1">
        <v>0.05</v>
      </c>
      <c r="AA901" s="1">
        <v>2.5</v>
      </c>
      <c r="AB901" s="1">
        <v>3</v>
      </c>
      <c r="AC901" s="1">
        <v>0.5</v>
      </c>
      <c r="AH901" s="1">
        <v>0</v>
      </c>
      <c r="AI901" s="1">
        <v>1</v>
      </c>
      <c r="AJ901" s="1" t="s">
        <v>3722</v>
      </c>
      <c r="AK901" s="1" t="s">
        <v>265</v>
      </c>
      <c r="AL901" s="1" t="s">
        <v>228</v>
      </c>
      <c r="AN901" s="22" t="s">
        <v>9767</v>
      </c>
      <c r="AX901" s="1">
        <v>2</v>
      </c>
      <c r="AZ901" s="1">
        <v>0.1</v>
      </c>
      <c r="BG901" s="1" t="s">
        <v>3702</v>
      </c>
      <c r="BM901" s="1" t="s">
        <v>3713</v>
      </c>
      <c r="BQ901" s="1" t="s">
        <v>207</v>
      </c>
      <c r="BR901" s="1" t="s">
        <v>208</v>
      </c>
      <c r="BS901" s="1" t="s">
        <v>229</v>
      </c>
      <c r="BT901" s="1" t="s">
        <v>3706</v>
      </c>
      <c r="BX901" s="1">
        <v>1</v>
      </c>
    </row>
    <row r="902" spans="1:76" x14ac:dyDescent="0.25">
      <c r="A902" s="1" t="s">
        <v>3723</v>
      </c>
      <c r="B902" s="1" t="s">
        <v>203</v>
      </c>
      <c r="C902" s="1">
        <v>1</v>
      </c>
      <c r="D902" s="1" t="s">
        <v>3724</v>
      </c>
      <c r="E902" s="1">
        <v>1325</v>
      </c>
      <c r="F902" s="1" t="s">
        <v>3723</v>
      </c>
      <c r="G902" s="1">
        <v>1</v>
      </c>
      <c r="L902" s="1">
        <v>3800</v>
      </c>
      <c r="N902" s="1">
        <v>290</v>
      </c>
      <c r="P902" s="1">
        <v>0</v>
      </c>
      <c r="R902" s="1">
        <v>30</v>
      </c>
      <c r="Z902" s="1">
        <v>0.05</v>
      </c>
      <c r="AA902" s="1">
        <v>1.5</v>
      </c>
      <c r="AB902" s="1">
        <v>1</v>
      </c>
      <c r="AC902" s="1">
        <v>1.7</v>
      </c>
      <c r="AH902" s="1">
        <v>0</v>
      </c>
      <c r="AI902" s="1">
        <v>1</v>
      </c>
      <c r="AJ902" s="1" t="s">
        <v>3725</v>
      </c>
      <c r="AK902" s="1" t="s">
        <v>265</v>
      </c>
      <c r="AL902" s="1" t="s">
        <v>228</v>
      </c>
      <c r="AN902" s="22" t="s">
        <v>9767</v>
      </c>
      <c r="AX902" s="1">
        <v>1</v>
      </c>
      <c r="AZ902" s="1">
        <v>0.1</v>
      </c>
      <c r="BG902" s="1" t="s">
        <v>3723</v>
      </c>
      <c r="BM902" s="1" t="s">
        <v>888</v>
      </c>
      <c r="BQ902" s="1" t="s">
        <v>207</v>
      </c>
      <c r="BR902" s="1" t="s">
        <v>208</v>
      </c>
      <c r="BS902" s="1" t="s">
        <v>229</v>
      </c>
      <c r="BT902" s="1" t="s">
        <v>210</v>
      </c>
      <c r="BX902" s="1">
        <v>1</v>
      </c>
    </row>
    <row r="903" spans="1:76" x14ac:dyDescent="0.25">
      <c r="A903" s="1" t="s">
        <v>3726</v>
      </c>
      <c r="B903" s="1" t="s">
        <v>203</v>
      </c>
      <c r="C903" s="1">
        <v>1</v>
      </c>
      <c r="D903" s="1" t="s">
        <v>3727</v>
      </c>
      <c r="E903" s="1">
        <v>1325</v>
      </c>
      <c r="F903" s="1" t="s">
        <v>3726</v>
      </c>
      <c r="G903" s="1">
        <v>1</v>
      </c>
      <c r="L903" s="1">
        <v>4600</v>
      </c>
      <c r="N903" s="1">
        <v>380</v>
      </c>
      <c r="P903" s="1">
        <v>0</v>
      </c>
      <c r="R903" s="1">
        <v>30</v>
      </c>
      <c r="Z903" s="1">
        <v>0.05</v>
      </c>
      <c r="AA903" s="1">
        <v>1.5</v>
      </c>
      <c r="AB903" s="1">
        <v>1</v>
      </c>
      <c r="AC903" s="1">
        <v>1.7</v>
      </c>
      <c r="AH903" s="1">
        <v>0</v>
      </c>
      <c r="AI903" s="1">
        <v>1</v>
      </c>
      <c r="AJ903" s="1" t="s">
        <v>3728</v>
      </c>
      <c r="AK903" s="1" t="s">
        <v>265</v>
      </c>
      <c r="AL903" s="1" t="s">
        <v>228</v>
      </c>
      <c r="AN903" s="22" t="s">
        <v>9767</v>
      </c>
      <c r="AX903" s="1">
        <v>1</v>
      </c>
      <c r="AZ903" s="1">
        <v>0.1</v>
      </c>
      <c r="BG903" s="1" t="s">
        <v>3726</v>
      </c>
      <c r="BM903" s="1" t="s">
        <v>888</v>
      </c>
      <c r="BQ903" s="1" t="s">
        <v>207</v>
      </c>
      <c r="BR903" s="1" t="s">
        <v>208</v>
      </c>
      <c r="BS903" s="1" t="s">
        <v>229</v>
      </c>
      <c r="BT903" s="1" t="s">
        <v>210</v>
      </c>
      <c r="BX903" s="1">
        <v>1</v>
      </c>
    </row>
    <row r="904" spans="1:76" x14ac:dyDescent="0.25">
      <c r="A904" s="1" t="s">
        <v>3729</v>
      </c>
      <c r="B904" s="1" t="s">
        <v>203</v>
      </c>
      <c r="C904" s="1">
        <v>1</v>
      </c>
      <c r="D904" s="1" t="s">
        <v>3730</v>
      </c>
      <c r="E904" s="1">
        <v>1326</v>
      </c>
      <c r="F904" s="1" t="s">
        <v>3729</v>
      </c>
      <c r="G904" s="1">
        <v>1</v>
      </c>
      <c r="L904" s="1">
        <v>5800</v>
      </c>
      <c r="N904" s="1">
        <v>400</v>
      </c>
      <c r="P904" s="1">
        <v>150</v>
      </c>
      <c r="R904" s="1">
        <v>40</v>
      </c>
      <c r="Z904" s="1">
        <v>0.05</v>
      </c>
      <c r="AA904" s="1">
        <v>1.5</v>
      </c>
      <c r="AB904" s="1">
        <v>1</v>
      </c>
      <c r="AC904" s="1">
        <v>1.2</v>
      </c>
      <c r="AH904" s="1">
        <v>0</v>
      </c>
      <c r="AI904" s="1">
        <v>1</v>
      </c>
      <c r="AJ904" s="1" t="s">
        <v>3731</v>
      </c>
      <c r="AK904" s="1" t="s">
        <v>3732</v>
      </c>
      <c r="AL904" s="1" t="s">
        <v>228</v>
      </c>
      <c r="AN904" s="22" t="s">
        <v>9767</v>
      </c>
      <c r="AX904" s="1">
        <v>1</v>
      </c>
      <c r="AZ904" s="1">
        <v>0.1</v>
      </c>
      <c r="BG904" s="1" t="s">
        <v>3729</v>
      </c>
      <c r="BM904" s="1" t="s">
        <v>930</v>
      </c>
      <c r="BQ904" s="1" t="s">
        <v>207</v>
      </c>
      <c r="BR904" s="1" t="s">
        <v>208</v>
      </c>
      <c r="BS904" s="1" t="s">
        <v>229</v>
      </c>
      <c r="BT904" s="1" t="s">
        <v>210</v>
      </c>
      <c r="BX904" s="1">
        <v>1</v>
      </c>
    </row>
    <row r="905" spans="1:76" x14ac:dyDescent="0.25">
      <c r="A905" s="1" t="s">
        <v>3733</v>
      </c>
      <c r="B905" s="1" t="s">
        <v>203</v>
      </c>
      <c r="C905" s="1">
        <v>1</v>
      </c>
      <c r="D905" s="1" t="s">
        <v>3734</v>
      </c>
      <c r="E905" s="1">
        <v>1326</v>
      </c>
      <c r="F905" s="1" t="s">
        <v>3733</v>
      </c>
      <c r="G905" s="1">
        <v>1</v>
      </c>
      <c r="L905" s="1">
        <v>7800</v>
      </c>
      <c r="N905" s="1">
        <v>500</v>
      </c>
      <c r="P905" s="1">
        <v>170</v>
      </c>
      <c r="R905" s="1">
        <v>40</v>
      </c>
      <c r="Z905" s="1">
        <v>0.05</v>
      </c>
      <c r="AA905" s="1">
        <v>1.5</v>
      </c>
      <c r="AB905" s="1">
        <v>1</v>
      </c>
      <c r="AC905" s="1">
        <v>1.2</v>
      </c>
      <c r="AH905" s="1">
        <v>0</v>
      </c>
      <c r="AI905" s="1">
        <v>1</v>
      </c>
      <c r="AJ905" s="1" t="s">
        <v>3735</v>
      </c>
      <c r="AK905" s="1" t="s">
        <v>3732</v>
      </c>
      <c r="AL905" s="1" t="s">
        <v>228</v>
      </c>
      <c r="AN905" s="22" t="s">
        <v>9767</v>
      </c>
      <c r="AX905" s="1">
        <v>1</v>
      </c>
      <c r="AZ905" s="1">
        <v>0.1</v>
      </c>
      <c r="BG905" s="1" t="s">
        <v>3733</v>
      </c>
      <c r="BM905" s="1" t="s">
        <v>930</v>
      </c>
      <c r="BQ905" s="1" t="s">
        <v>207</v>
      </c>
      <c r="BR905" s="1" t="s">
        <v>208</v>
      </c>
      <c r="BS905" s="1" t="s">
        <v>229</v>
      </c>
      <c r="BT905" s="1" t="s">
        <v>210</v>
      </c>
      <c r="BX905" s="1">
        <v>1</v>
      </c>
    </row>
    <row r="906" spans="1:76" x14ac:dyDescent="0.25">
      <c r="A906" s="1" t="s">
        <v>3736</v>
      </c>
      <c r="B906" s="1" t="s">
        <v>203</v>
      </c>
      <c r="C906" s="1">
        <v>1</v>
      </c>
      <c r="D906" s="1" t="s">
        <v>3737</v>
      </c>
      <c r="E906" s="1">
        <v>1327</v>
      </c>
      <c r="F906" s="1" t="s">
        <v>3736</v>
      </c>
      <c r="G906" s="1">
        <v>1</v>
      </c>
      <c r="L906" s="1">
        <v>5750</v>
      </c>
      <c r="N906" s="1">
        <v>350</v>
      </c>
      <c r="P906" s="1">
        <v>170</v>
      </c>
      <c r="R906" s="1">
        <v>40</v>
      </c>
      <c r="Z906" s="1">
        <v>0.05</v>
      </c>
      <c r="AA906" s="1">
        <v>3</v>
      </c>
      <c r="AB906" s="1">
        <v>1</v>
      </c>
      <c r="AC906" s="1">
        <v>0.8</v>
      </c>
      <c r="AH906" s="1">
        <v>0</v>
      </c>
      <c r="AI906" s="1">
        <v>1</v>
      </c>
      <c r="AJ906" s="1" t="s">
        <v>3738</v>
      </c>
      <c r="AK906" s="1" t="s">
        <v>3732</v>
      </c>
      <c r="AL906" s="1" t="s">
        <v>228</v>
      </c>
      <c r="AN906" s="22" t="s">
        <v>9767</v>
      </c>
      <c r="AX906" s="1">
        <v>1</v>
      </c>
      <c r="AZ906" s="1">
        <v>0.1</v>
      </c>
      <c r="BG906" s="1" t="s">
        <v>3736</v>
      </c>
      <c r="BM906" s="1" t="s">
        <v>936</v>
      </c>
      <c r="BQ906" s="1" t="s">
        <v>3739</v>
      </c>
      <c r="BR906" s="1" t="s">
        <v>271</v>
      </c>
      <c r="BS906" s="1" t="s">
        <v>1612</v>
      </c>
      <c r="BT906" s="1" t="s">
        <v>3196</v>
      </c>
      <c r="BX906" s="1">
        <v>1</v>
      </c>
    </row>
    <row r="907" spans="1:76" x14ac:dyDescent="0.25">
      <c r="A907" s="1" t="s">
        <v>3740</v>
      </c>
      <c r="B907" s="1" t="s">
        <v>203</v>
      </c>
      <c r="C907" s="1">
        <v>1</v>
      </c>
      <c r="D907" s="1" t="s">
        <v>3741</v>
      </c>
      <c r="E907" s="1">
        <v>1327</v>
      </c>
      <c r="F907" s="1" t="s">
        <v>3740</v>
      </c>
      <c r="G907" s="1">
        <v>1</v>
      </c>
      <c r="L907" s="1">
        <v>8000</v>
      </c>
      <c r="N907" s="1">
        <v>500</v>
      </c>
      <c r="P907" s="1">
        <v>200</v>
      </c>
      <c r="R907" s="1">
        <v>40</v>
      </c>
      <c r="Z907" s="1">
        <v>0.05</v>
      </c>
      <c r="AA907" s="1">
        <v>3</v>
      </c>
      <c r="AB907" s="1">
        <v>1</v>
      </c>
      <c r="AC907" s="1">
        <v>0.8</v>
      </c>
      <c r="AH907" s="1">
        <v>0</v>
      </c>
      <c r="AI907" s="1">
        <v>1</v>
      </c>
      <c r="AJ907" s="1" t="s">
        <v>3742</v>
      </c>
      <c r="AK907" s="1" t="s">
        <v>3732</v>
      </c>
      <c r="AL907" s="1" t="s">
        <v>228</v>
      </c>
      <c r="AN907" s="22" t="s">
        <v>9767</v>
      </c>
      <c r="AX907" s="1">
        <v>1</v>
      </c>
      <c r="AZ907" s="1">
        <v>0.1</v>
      </c>
      <c r="BG907" s="1" t="s">
        <v>3740</v>
      </c>
      <c r="BM907" s="1" t="s">
        <v>936</v>
      </c>
      <c r="BQ907" s="1" t="s">
        <v>3739</v>
      </c>
      <c r="BR907" s="1" t="s">
        <v>271</v>
      </c>
      <c r="BS907" s="1" t="s">
        <v>1612</v>
      </c>
      <c r="BT907" s="1" t="s">
        <v>3196</v>
      </c>
      <c r="BX907" s="1">
        <v>1</v>
      </c>
    </row>
    <row r="908" spans="1:76" x14ac:dyDescent="0.25">
      <c r="A908" s="1" t="s">
        <v>3743</v>
      </c>
      <c r="B908" s="1" t="s">
        <v>203</v>
      </c>
      <c r="C908" s="1">
        <v>1</v>
      </c>
      <c r="D908" s="1" t="s">
        <v>3744</v>
      </c>
      <c r="E908" s="1">
        <v>1328</v>
      </c>
      <c r="F908" s="1" t="s">
        <v>3743</v>
      </c>
      <c r="G908" s="1">
        <v>1</v>
      </c>
      <c r="L908" s="1">
        <v>10000</v>
      </c>
      <c r="N908" s="1">
        <v>700</v>
      </c>
      <c r="P908" s="1">
        <v>550</v>
      </c>
      <c r="R908" s="1">
        <v>50</v>
      </c>
      <c r="Z908" s="1">
        <v>0.05</v>
      </c>
      <c r="AA908" s="1">
        <v>3</v>
      </c>
      <c r="AB908" s="1">
        <v>1</v>
      </c>
      <c r="AC908" s="1">
        <v>0.75</v>
      </c>
      <c r="AH908" s="1">
        <v>0</v>
      </c>
      <c r="AI908" s="1">
        <v>1</v>
      </c>
      <c r="AJ908" s="1" t="s">
        <v>3745</v>
      </c>
      <c r="AK908" s="1" t="s">
        <v>3732</v>
      </c>
      <c r="AL908" s="1" t="s">
        <v>228</v>
      </c>
      <c r="AN908" s="22" t="s">
        <v>9767</v>
      </c>
      <c r="AX908" s="1">
        <v>1</v>
      </c>
      <c r="AZ908" s="1">
        <v>0.1</v>
      </c>
      <c r="BG908" s="1" t="s">
        <v>3743</v>
      </c>
      <c r="BM908" s="1" t="s">
        <v>989</v>
      </c>
      <c r="BQ908" s="1" t="s">
        <v>207</v>
      </c>
      <c r="BR908" s="1" t="s">
        <v>208</v>
      </c>
      <c r="BS908" s="1" t="s">
        <v>229</v>
      </c>
      <c r="BT908" s="1" t="s">
        <v>210</v>
      </c>
      <c r="BX908" s="1">
        <v>1</v>
      </c>
    </row>
    <row r="909" spans="1:76" x14ac:dyDescent="0.25">
      <c r="A909" s="1" t="s">
        <v>3746</v>
      </c>
      <c r="B909" s="1" t="s">
        <v>203</v>
      </c>
      <c r="C909" s="1">
        <v>1</v>
      </c>
      <c r="D909" s="1" t="s">
        <v>3747</v>
      </c>
      <c r="E909" s="1">
        <v>1328</v>
      </c>
      <c r="F909" s="1" t="s">
        <v>3746</v>
      </c>
      <c r="G909" s="1">
        <v>1</v>
      </c>
      <c r="L909" s="1">
        <v>14000</v>
      </c>
      <c r="N909" s="1">
        <v>800</v>
      </c>
      <c r="P909" s="1">
        <v>650</v>
      </c>
      <c r="R909" s="1">
        <v>50</v>
      </c>
      <c r="Z909" s="1">
        <v>0.05</v>
      </c>
      <c r="AA909" s="1">
        <v>3</v>
      </c>
      <c r="AB909" s="1">
        <v>1</v>
      </c>
      <c r="AC909" s="1">
        <v>0.75</v>
      </c>
      <c r="AH909" s="1">
        <v>0</v>
      </c>
      <c r="AI909" s="1">
        <v>1</v>
      </c>
      <c r="AJ909" s="1" t="s">
        <v>3748</v>
      </c>
      <c r="AK909" s="1" t="s">
        <v>3732</v>
      </c>
      <c r="AL909" s="1" t="s">
        <v>228</v>
      </c>
      <c r="AN909" s="22" t="s">
        <v>9767</v>
      </c>
      <c r="AX909" s="1">
        <v>1</v>
      </c>
      <c r="AZ909" s="1">
        <v>0.1</v>
      </c>
      <c r="BG909" s="1" t="s">
        <v>3746</v>
      </c>
      <c r="BM909" s="1" t="s">
        <v>989</v>
      </c>
      <c r="BQ909" s="1" t="s">
        <v>207</v>
      </c>
      <c r="BR909" s="1" t="s">
        <v>208</v>
      </c>
      <c r="BS909" s="1" t="s">
        <v>229</v>
      </c>
      <c r="BT909" s="1" t="s">
        <v>210</v>
      </c>
      <c r="BX909" s="1">
        <v>1</v>
      </c>
    </row>
    <row r="910" spans="1:76" x14ac:dyDescent="0.25">
      <c r="A910" s="1" t="s">
        <v>3749</v>
      </c>
      <c r="B910" s="1" t="s">
        <v>203</v>
      </c>
      <c r="C910" s="1">
        <v>1</v>
      </c>
      <c r="D910" s="1" t="s">
        <v>3750</v>
      </c>
      <c r="E910" s="1">
        <v>1329</v>
      </c>
      <c r="F910" s="1" t="s">
        <v>3749</v>
      </c>
      <c r="G910" s="1">
        <v>1</v>
      </c>
      <c r="L910" s="1">
        <v>10000</v>
      </c>
      <c r="N910" s="1">
        <v>700</v>
      </c>
      <c r="P910" s="1">
        <v>3300</v>
      </c>
      <c r="R910" s="1">
        <v>60</v>
      </c>
      <c r="Z910" s="1">
        <v>0.05</v>
      </c>
      <c r="AA910" s="1">
        <v>3</v>
      </c>
      <c r="AB910" s="1">
        <v>3</v>
      </c>
      <c r="AC910" s="1">
        <v>0.75</v>
      </c>
      <c r="AH910" s="1">
        <v>0</v>
      </c>
      <c r="AI910" s="1">
        <v>1</v>
      </c>
      <c r="AJ910" s="1" t="s">
        <v>3751</v>
      </c>
      <c r="AK910" s="1" t="s">
        <v>3367</v>
      </c>
      <c r="AL910" s="1" t="s">
        <v>228</v>
      </c>
      <c r="AN910" s="22" t="s">
        <v>9767</v>
      </c>
      <c r="AX910" s="1">
        <v>1</v>
      </c>
      <c r="AZ910" s="1">
        <v>0.1</v>
      </c>
      <c r="BG910" s="1" t="s">
        <v>3749</v>
      </c>
      <c r="BM910" s="1" t="s">
        <v>930</v>
      </c>
      <c r="BQ910" s="1" t="s">
        <v>207</v>
      </c>
      <c r="BR910" s="1" t="s">
        <v>208</v>
      </c>
      <c r="BS910" s="1" t="s">
        <v>229</v>
      </c>
      <c r="BT910" s="1" t="s">
        <v>210</v>
      </c>
      <c r="BX910" s="1">
        <v>1</v>
      </c>
    </row>
    <row r="911" spans="1:76" x14ac:dyDescent="0.25">
      <c r="A911" s="1" t="s">
        <v>3752</v>
      </c>
      <c r="B911" s="1" t="s">
        <v>203</v>
      </c>
      <c r="C911" s="1">
        <v>1</v>
      </c>
      <c r="D911" s="1" t="s">
        <v>3753</v>
      </c>
      <c r="E911" s="1">
        <v>1329</v>
      </c>
      <c r="F911" s="1" t="s">
        <v>3752</v>
      </c>
      <c r="G911" s="1">
        <v>1</v>
      </c>
      <c r="L911" s="1">
        <v>13000</v>
      </c>
      <c r="N911" s="1">
        <v>900</v>
      </c>
      <c r="P911" s="1">
        <v>3500</v>
      </c>
      <c r="R911" s="1">
        <v>60</v>
      </c>
      <c r="Z911" s="1">
        <v>0.05</v>
      </c>
      <c r="AA911" s="1">
        <v>3</v>
      </c>
      <c r="AB911" s="1">
        <v>3</v>
      </c>
      <c r="AC911" s="1">
        <v>0.75</v>
      </c>
      <c r="AH911" s="1">
        <v>0</v>
      </c>
      <c r="AI911" s="1">
        <v>1</v>
      </c>
      <c r="AJ911" s="1" t="s">
        <v>3754</v>
      </c>
      <c r="AK911" s="1" t="s">
        <v>3367</v>
      </c>
      <c r="AL911" s="1" t="s">
        <v>228</v>
      </c>
      <c r="AN911" s="22" t="s">
        <v>9767</v>
      </c>
      <c r="AX911" s="1">
        <v>1</v>
      </c>
      <c r="AZ911" s="1">
        <v>0.1</v>
      </c>
      <c r="BG911" s="1" t="s">
        <v>3752</v>
      </c>
      <c r="BM911" s="1" t="s">
        <v>930</v>
      </c>
      <c r="BQ911" s="1" t="s">
        <v>207</v>
      </c>
      <c r="BR911" s="1" t="s">
        <v>208</v>
      </c>
      <c r="BS911" s="1" t="s">
        <v>229</v>
      </c>
      <c r="BT911" s="1" t="s">
        <v>210</v>
      </c>
      <c r="BX911" s="1">
        <v>1</v>
      </c>
    </row>
    <row r="912" spans="1:76" x14ac:dyDescent="0.25">
      <c r="A912" s="1" t="s">
        <v>3755</v>
      </c>
      <c r="B912" s="1" t="s">
        <v>203</v>
      </c>
      <c r="C912" s="1">
        <v>1</v>
      </c>
      <c r="D912" s="1" t="s">
        <v>3756</v>
      </c>
      <c r="E912" s="1">
        <v>1330</v>
      </c>
      <c r="F912" s="1" t="s">
        <v>3755</v>
      </c>
      <c r="G912" s="1">
        <v>1</v>
      </c>
      <c r="L912" s="1">
        <v>12000</v>
      </c>
      <c r="N912" s="1">
        <v>1000</v>
      </c>
      <c r="P912" s="1">
        <v>1100</v>
      </c>
      <c r="R912" s="1">
        <v>0</v>
      </c>
      <c r="Z912" s="1">
        <v>0.05</v>
      </c>
      <c r="AA912" s="1">
        <v>5</v>
      </c>
      <c r="AB912" s="1">
        <v>3</v>
      </c>
      <c r="AC912" s="1">
        <v>1.1000000000000001</v>
      </c>
      <c r="AH912" s="1">
        <v>0</v>
      </c>
      <c r="AI912" s="1">
        <v>1</v>
      </c>
      <c r="AJ912" s="1" t="s">
        <v>3757</v>
      </c>
      <c r="AK912" s="1" t="s">
        <v>3494</v>
      </c>
      <c r="AL912" s="1" t="s">
        <v>228</v>
      </c>
      <c r="AN912" s="22" t="s">
        <v>9767</v>
      </c>
      <c r="AR912" s="1">
        <v>3</v>
      </c>
      <c r="AX912" s="1">
        <v>1</v>
      </c>
      <c r="AZ912" s="1">
        <v>0.1</v>
      </c>
      <c r="BG912" s="1" t="s">
        <v>3755</v>
      </c>
      <c r="BM912" s="1" t="s">
        <v>2382</v>
      </c>
      <c r="BQ912" s="1" t="s">
        <v>207</v>
      </c>
      <c r="BR912" s="1" t="s">
        <v>208</v>
      </c>
      <c r="BS912" s="1" t="s">
        <v>229</v>
      </c>
      <c r="BT912" s="1" t="s">
        <v>210</v>
      </c>
      <c r="BX912" s="1">
        <v>1</v>
      </c>
    </row>
    <row r="913" spans="1:76" x14ac:dyDescent="0.25">
      <c r="A913" s="1" t="s">
        <v>3758</v>
      </c>
      <c r="B913" s="1" t="s">
        <v>203</v>
      </c>
      <c r="C913" s="1">
        <v>1</v>
      </c>
      <c r="D913" s="1" t="s">
        <v>3759</v>
      </c>
      <c r="E913" s="1">
        <v>1330</v>
      </c>
      <c r="F913" s="1" t="s">
        <v>3758</v>
      </c>
      <c r="G913" s="1">
        <v>1</v>
      </c>
      <c r="L913" s="1">
        <v>14000</v>
      </c>
      <c r="N913" s="1">
        <v>1200</v>
      </c>
      <c r="P913" s="1">
        <v>1300</v>
      </c>
      <c r="R913" s="1">
        <v>0</v>
      </c>
      <c r="Z913" s="1">
        <v>0.05</v>
      </c>
      <c r="AA913" s="1">
        <v>5</v>
      </c>
      <c r="AB913" s="1">
        <v>3</v>
      </c>
      <c r="AC913" s="1">
        <v>1.1000000000000001</v>
      </c>
      <c r="AH913" s="1">
        <v>0</v>
      </c>
      <c r="AI913" s="1">
        <v>1</v>
      </c>
      <c r="AJ913" s="1" t="s">
        <v>3760</v>
      </c>
      <c r="AK913" s="1" t="s">
        <v>3494</v>
      </c>
      <c r="AL913" s="1" t="s">
        <v>228</v>
      </c>
      <c r="AN913" s="22" t="s">
        <v>9767</v>
      </c>
      <c r="AR913" s="1">
        <v>3</v>
      </c>
      <c r="AX913" s="1">
        <v>1</v>
      </c>
      <c r="AZ913" s="1">
        <v>0.1</v>
      </c>
      <c r="BG913" s="1" t="s">
        <v>3758</v>
      </c>
      <c r="BM913" s="1" t="s">
        <v>2382</v>
      </c>
      <c r="BQ913" s="1" t="s">
        <v>207</v>
      </c>
      <c r="BR913" s="1" t="s">
        <v>208</v>
      </c>
      <c r="BS913" s="1" t="s">
        <v>229</v>
      </c>
      <c r="BT913" s="1" t="s">
        <v>210</v>
      </c>
      <c r="BX913" s="1">
        <v>1</v>
      </c>
    </row>
    <row r="914" spans="1:76" x14ac:dyDescent="0.25">
      <c r="A914" s="1" t="s">
        <v>3761</v>
      </c>
      <c r="B914" s="1" t="s">
        <v>203</v>
      </c>
      <c r="C914" s="1">
        <v>1</v>
      </c>
      <c r="D914" s="1" t="s">
        <v>3762</v>
      </c>
      <c r="E914" s="1">
        <v>1331</v>
      </c>
      <c r="F914" s="1" t="s">
        <v>3761</v>
      </c>
      <c r="G914" s="1">
        <v>1</v>
      </c>
      <c r="L914" s="1">
        <v>15000</v>
      </c>
      <c r="N914" s="1">
        <v>190</v>
      </c>
      <c r="P914" s="1">
        <v>800</v>
      </c>
      <c r="R914" s="1">
        <v>10</v>
      </c>
      <c r="Z914" s="1">
        <v>0.05</v>
      </c>
      <c r="AA914" s="1">
        <v>0.6</v>
      </c>
      <c r="AB914" s="1">
        <v>4</v>
      </c>
      <c r="AC914" s="1">
        <v>0.8</v>
      </c>
      <c r="AH914" s="1">
        <v>0</v>
      </c>
      <c r="AI914" s="1">
        <v>1</v>
      </c>
      <c r="AJ914" s="1" t="s">
        <v>3763</v>
      </c>
      <c r="AK914" s="1" t="s">
        <v>3764</v>
      </c>
      <c r="AL914" s="1" t="s">
        <v>228</v>
      </c>
      <c r="AN914" s="22" t="s">
        <v>9767</v>
      </c>
      <c r="AX914" s="1">
        <v>1</v>
      </c>
      <c r="AZ914" s="1">
        <v>0.1</v>
      </c>
      <c r="BG914" s="1" t="s">
        <v>3761</v>
      </c>
      <c r="BM914" s="1" t="s">
        <v>2373</v>
      </c>
      <c r="BQ914" s="1" t="s">
        <v>207</v>
      </c>
      <c r="BR914" s="1" t="s">
        <v>208</v>
      </c>
      <c r="BS914" s="1" t="s">
        <v>229</v>
      </c>
      <c r="BT914" s="1" t="s">
        <v>210</v>
      </c>
      <c r="BX914" s="1">
        <v>1</v>
      </c>
    </row>
    <row r="915" spans="1:76" x14ac:dyDescent="0.25">
      <c r="A915" s="1" t="s">
        <v>3765</v>
      </c>
      <c r="B915" s="1" t="s">
        <v>203</v>
      </c>
      <c r="C915" s="1">
        <v>1</v>
      </c>
      <c r="D915" s="1" t="s">
        <v>3766</v>
      </c>
      <c r="E915" s="1">
        <v>1331</v>
      </c>
      <c r="F915" s="1" t="s">
        <v>3765</v>
      </c>
      <c r="G915" s="1">
        <v>1</v>
      </c>
      <c r="L915" s="1">
        <v>20000</v>
      </c>
      <c r="N915" s="1">
        <v>250</v>
      </c>
      <c r="P915" s="1">
        <v>900</v>
      </c>
      <c r="R915" s="1">
        <v>10</v>
      </c>
      <c r="Z915" s="1">
        <v>0.05</v>
      </c>
      <c r="AA915" s="1">
        <v>0.6</v>
      </c>
      <c r="AB915" s="1">
        <v>4</v>
      </c>
      <c r="AC915" s="1">
        <v>0.8</v>
      </c>
      <c r="AH915" s="1">
        <v>0</v>
      </c>
      <c r="AI915" s="1">
        <v>1</v>
      </c>
      <c r="AJ915" s="1" t="s">
        <v>3767</v>
      </c>
      <c r="AK915" s="1" t="s">
        <v>3764</v>
      </c>
      <c r="AL915" s="1" t="s">
        <v>228</v>
      </c>
      <c r="AN915" s="22" t="s">
        <v>9767</v>
      </c>
      <c r="AX915" s="1">
        <v>1</v>
      </c>
      <c r="AZ915" s="1">
        <v>0.1</v>
      </c>
      <c r="BG915" s="1" t="s">
        <v>3765</v>
      </c>
      <c r="BM915" s="1" t="s">
        <v>2373</v>
      </c>
      <c r="BQ915" s="1" t="s">
        <v>207</v>
      </c>
      <c r="BR915" s="1" t="s">
        <v>208</v>
      </c>
      <c r="BS915" s="1" t="s">
        <v>229</v>
      </c>
      <c r="BT915" s="1" t="s">
        <v>210</v>
      </c>
      <c r="BX915" s="1">
        <v>1</v>
      </c>
    </row>
    <row r="916" spans="1:76" x14ac:dyDescent="0.25">
      <c r="A916" s="1" t="s">
        <v>3768</v>
      </c>
      <c r="B916" s="1" t="s">
        <v>203</v>
      </c>
      <c r="C916" s="1">
        <v>1</v>
      </c>
      <c r="D916" s="1" t="s">
        <v>3769</v>
      </c>
      <c r="E916" s="1">
        <v>1332</v>
      </c>
      <c r="F916" s="1" t="s">
        <v>3768</v>
      </c>
      <c r="G916" s="1">
        <v>1</v>
      </c>
      <c r="L916" s="1">
        <v>20000</v>
      </c>
      <c r="N916" s="1">
        <v>1200</v>
      </c>
      <c r="P916" s="1">
        <v>4500</v>
      </c>
      <c r="R916" s="1">
        <v>75</v>
      </c>
      <c r="Z916" s="1">
        <v>0.05</v>
      </c>
      <c r="AA916" s="1">
        <v>5</v>
      </c>
      <c r="AB916" s="1">
        <v>5</v>
      </c>
      <c r="AC916" s="1">
        <v>0.8</v>
      </c>
      <c r="AH916" s="1">
        <v>0</v>
      </c>
      <c r="AI916" s="1">
        <v>1</v>
      </c>
      <c r="AJ916" s="1" t="s">
        <v>3770</v>
      </c>
      <c r="AK916" s="1" t="s">
        <v>3507</v>
      </c>
      <c r="AL916" s="1" t="s">
        <v>228</v>
      </c>
      <c r="AN916" s="22" t="s">
        <v>9767</v>
      </c>
      <c r="AR916" s="1">
        <v>4</v>
      </c>
      <c r="AX916" s="1">
        <v>1</v>
      </c>
      <c r="AZ916" s="1">
        <v>0.1</v>
      </c>
      <c r="BG916" s="1" t="s">
        <v>3768</v>
      </c>
      <c r="BM916" s="1" t="s">
        <v>2373</v>
      </c>
      <c r="BQ916" s="1" t="s">
        <v>207</v>
      </c>
      <c r="BR916" s="1" t="s">
        <v>208</v>
      </c>
      <c r="BS916" s="1" t="s">
        <v>229</v>
      </c>
      <c r="BT916" s="1" t="s">
        <v>210</v>
      </c>
      <c r="BX916" s="1">
        <v>1</v>
      </c>
    </row>
    <row r="917" spans="1:76" x14ac:dyDescent="0.25">
      <c r="A917" s="1" t="s">
        <v>3771</v>
      </c>
      <c r="B917" s="1" t="s">
        <v>203</v>
      </c>
      <c r="C917" s="1">
        <v>1</v>
      </c>
      <c r="D917" s="1" t="s">
        <v>3772</v>
      </c>
      <c r="E917" s="1">
        <v>1332</v>
      </c>
      <c r="F917" s="1" t="s">
        <v>3771</v>
      </c>
      <c r="G917" s="1">
        <v>1</v>
      </c>
      <c r="L917" s="1">
        <v>22000</v>
      </c>
      <c r="N917" s="1">
        <v>1500</v>
      </c>
      <c r="P917" s="1">
        <v>4800</v>
      </c>
      <c r="R917" s="1">
        <v>90</v>
      </c>
      <c r="Z917" s="1">
        <v>0.05</v>
      </c>
      <c r="AA917" s="1">
        <v>5</v>
      </c>
      <c r="AB917" s="1">
        <v>5</v>
      </c>
      <c r="AC917" s="1">
        <v>0.8</v>
      </c>
      <c r="AH917" s="1">
        <v>0</v>
      </c>
      <c r="AI917" s="1">
        <v>1</v>
      </c>
      <c r="AJ917" s="1" t="s">
        <v>3773</v>
      </c>
      <c r="AK917" s="1" t="s">
        <v>3507</v>
      </c>
      <c r="AL917" s="1" t="s">
        <v>228</v>
      </c>
      <c r="AN917" s="22" t="s">
        <v>9767</v>
      </c>
      <c r="AR917" s="1">
        <v>4</v>
      </c>
      <c r="AX917" s="1">
        <v>1</v>
      </c>
      <c r="AZ917" s="1">
        <v>0.1</v>
      </c>
      <c r="BG917" s="1" t="s">
        <v>3771</v>
      </c>
      <c r="BM917" s="1" t="s">
        <v>2373</v>
      </c>
      <c r="BQ917" s="1" t="s">
        <v>207</v>
      </c>
      <c r="BR917" s="1" t="s">
        <v>208</v>
      </c>
      <c r="BS917" s="1" t="s">
        <v>229</v>
      </c>
      <c r="BT917" s="1" t="s">
        <v>210</v>
      </c>
      <c r="BX917" s="1">
        <v>1</v>
      </c>
    </row>
    <row r="918" spans="1:76" x14ac:dyDescent="0.25">
      <c r="A918" s="1" t="s">
        <v>3774</v>
      </c>
      <c r="B918" s="1" t="s">
        <v>203</v>
      </c>
      <c r="C918" s="1">
        <v>1</v>
      </c>
      <c r="D918" s="1" t="s">
        <v>3769</v>
      </c>
      <c r="E918" s="1">
        <v>1332</v>
      </c>
      <c r="F918" s="1" t="s">
        <v>3768</v>
      </c>
      <c r="G918" s="1">
        <v>1</v>
      </c>
      <c r="L918" s="1">
        <v>32000</v>
      </c>
      <c r="N918" s="1">
        <v>1200</v>
      </c>
      <c r="P918" s="1">
        <v>0</v>
      </c>
      <c r="R918" s="1">
        <v>0</v>
      </c>
      <c r="Z918" s="1">
        <v>0.05</v>
      </c>
      <c r="AA918" s="1">
        <v>5</v>
      </c>
      <c r="AB918" s="1">
        <v>5</v>
      </c>
      <c r="AC918" s="1">
        <v>0.8</v>
      </c>
      <c r="AH918" s="1">
        <v>0</v>
      </c>
      <c r="AI918" s="1">
        <v>1</v>
      </c>
      <c r="AJ918" s="1" t="s">
        <v>3775</v>
      </c>
      <c r="AK918" s="1" t="s">
        <v>3507</v>
      </c>
      <c r="AL918" s="1" t="s">
        <v>228</v>
      </c>
      <c r="AN918" s="22" t="s">
        <v>9767</v>
      </c>
      <c r="AR918" s="1">
        <v>4</v>
      </c>
      <c r="AX918" s="1">
        <v>1</v>
      </c>
      <c r="AZ918" s="1">
        <v>0.1</v>
      </c>
      <c r="BG918" s="1" t="s">
        <v>3768</v>
      </c>
      <c r="BM918" s="1" t="s">
        <v>2373</v>
      </c>
      <c r="BQ918" s="1" t="s">
        <v>207</v>
      </c>
      <c r="BR918" s="1" t="s">
        <v>208</v>
      </c>
      <c r="BS918" s="1" t="s">
        <v>229</v>
      </c>
      <c r="BT918" s="1" t="s">
        <v>210</v>
      </c>
      <c r="BX918" s="1">
        <v>1</v>
      </c>
    </row>
    <row r="919" spans="1:76" x14ac:dyDescent="0.25">
      <c r="A919" s="1" t="s">
        <v>3776</v>
      </c>
      <c r="B919" s="1" t="s">
        <v>203</v>
      </c>
      <c r="C919" s="1">
        <v>1</v>
      </c>
      <c r="D919" s="1" t="s">
        <v>3772</v>
      </c>
      <c r="E919" s="1">
        <v>1332</v>
      </c>
      <c r="F919" s="1" t="s">
        <v>3771</v>
      </c>
      <c r="G919" s="1">
        <v>1</v>
      </c>
      <c r="L919" s="1">
        <v>40000</v>
      </c>
      <c r="N919" s="1">
        <v>1500</v>
      </c>
      <c r="P919" s="1">
        <v>0</v>
      </c>
      <c r="R919" s="1">
        <v>0</v>
      </c>
      <c r="Z919" s="1">
        <v>0.05</v>
      </c>
      <c r="AA919" s="1">
        <v>5</v>
      </c>
      <c r="AB919" s="1">
        <v>5</v>
      </c>
      <c r="AC919" s="1">
        <v>0.8</v>
      </c>
      <c r="AH919" s="1">
        <v>0</v>
      </c>
      <c r="AI919" s="1">
        <v>1</v>
      </c>
      <c r="AJ919" s="1" t="s">
        <v>3777</v>
      </c>
      <c r="AK919" s="1" t="s">
        <v>3507</v>
      </c>
      <c r="AL919" s="1" t="s">
        <v>228</v>
      </c>
      <c r="AN919" s="22" t="s">
        <v>9767</v>
      </c>
      <c r="AR919" s="1">
        <v>4</v>
      </c>
      <c r="AX919" s="1">
        <v>1</v>
      </c>
      <c r="AZ919" s="1">
        <v>0.1</v>
      </c>
      <c r="BG919" s="1" t="s">
        <v>3771</v>
      </c>
      <c r="BM919" s="1" t="s">
        <v>2373</v>
      </c>
      <c r="BQ919" s="1" t="s">
        <v>207</v>
      </c>
      <c r="BR919" s="1" t="s">
        <v>208</v>
      </c>
      <c r="BS919" s="1" t="s">
        <v>229</v>
      </c>
      <c r="BT919" s="1" t="s">
        <v>210</v>
      </c>
      <c r="BX919" s="1">
        <v>1</v>
      </c>
    </row>
    <row r="920" spans="1:76" x14ac:dyDescent="0.25">
      <c r="A920" s="1" t="s">
        <v>3778</v>
      </c>
      <c r="B920" s="1" t="s">
        <v>203</v>
      </c>
      <c r="C920" s="1">
        <v>1</v>
      </c>
      <c r="D920" s="1" t="s">
        <v>3779</v>
      </c>
      <c r="E920" s="1">
        <v>1333</v>
      </c>
      <c r="F920" s="1" t="s">
        <v>3778</v>
      </c>
      <c r="G920" s="1">
        <v>1</v>
      </c>
      <c r="L920" s="1">
        <v>5500</v>
      </c>
      <c r="N920" s="1">
        <v>600</v>
      </c>
      <c r="P920" s="1">
        <v>300</v>
      </c>
      <c r="R920" s="1">
        <v>40</v>
      </c>
      <c r="Z920" s="1">
        <v>0.05</v>
      </c>
      <c r="AA920" s="1">
        <v>1.5</v>
      </c>
      <c r="AB920" s="1">
        <v>1</v>
      </c>
      <c r="AC920" s="1">
        <v>1.2</v>
      </c>
      <c r="AH920" s="1">
        <v>0</v>
      </c>
      <c r="AI920" s="1">
        <v>1</v>
      </c>
      <c r="AJ920" s="1" t="s">
        <v>3780</v>
      </c>
      <c r="AK920" s="1" t="s">
        <v>3507</v>
      </c>
      <c r="AL920" s="1" t="s">
        <v>228</v>
      </c>
      <c r="AN920" s="22" t="s">
        <v>9767</v>
      </c>
      <c r="AX920" s="1">
        <v>1</v>
      </c>
      <c r="AZ920" s="1">
        <v>0.1</v>
      </c>
      <c r="BG920" s="1" t="s">
        <v>3778</v>
      </c>
      <c r="BM920" s="1" t="s">
        <v>989</v>
      </c>
      <c r="BQ920" s="1" t="s">
        <v>207</v>
      </c>
      <c r="BR920" s="1" t="s">
        <v>208</v>
      </c>
      <c r="BS920" s="1" t="s">
        <v>229</v>
      </c>
      <c r="BT920" s="1" t="s">
        <v>210</v>
      </c>
      <c r="BX920" s="1">
        <v>1</v>
      </c>
    </row>
    <row r="921" spans="1:76" x14ac:dyDescent="0.25">
      <c r="A921" s="1" t="s">
        <v>3781</v>
      </c>
      <c r="B921" s="1" t="s">
        <v>203</v>
      </c>
      <c r="C921" s="1">
        <v>1</v>
      </c>
      <c r="D921" s="1" t="s">
        <v>3782</v>
      </c>
      <c r="E921" s="1">
        <v>1333</v>
      </c>
      <c r="F921" s="1" t="s">
        <v>3781</v>
      </c>
      <c r="G921" s="1">
        <v>1</v>
      </c>
      <c r="L921" s="1">
        <v>8500</v>
      </c>
      <c r="N921" s="1">
        <v>600</v>
      </c>
      <c r="P921" s="1">
        <v>400</v>
      </c>
      <c r="R921" s="1">
        <v>40</v>
      </c>
      <c r="Z921" s="1">
        <v>0.05</v>
      </c>
      <c r="AA921" s="1">
        <v>1.5</v>
      </c>
      <c r="AB921" s="1">
        <v>1</v>
      </c>
      <c r="AC921" s="1">
        <v>1.2</v>
      </c>
      <c r="AH921" s="1">
        <v>0</v>
      </c>
      <c r="AI921" s="1">
        <v>1</v>
      </c>
      <c r="AJ921" s="1" t="s">
        <v>3783</v>
      </c>
      <c r="AK921" s="1" t="s">
        <v>3507</v>
      </c>
      <c r="AL921" s="1" t="s">
        <v>228</v>
      </c>
      <c r="AN921" s="22" t="s">
        <v>9767</v>
      </c>
      <c r="AX921" s="1">
        <v>1</v>
      </c>
      <c r="AZ921" s="1">
        <v>0.1</v>
      </c>
      <c r="BG921" s="1" t="s">
        <v>3781</v>
      </c>
      <c r="BM921" s="1" t="s">
        <v>989</v>
      </c>
      <c r="BQ921" s="1" t="s">
        <v>207</v>
      </c>
      <c r="BR921" s="1" t="s">
        <v>208</v>
      </c>
      <c r="BS921" s="1" t="s">
        <v>229</v>
      </c>
      <c r="BT921" s="1" t="s">
        <v>210</v>
      </c>
      <c r="BX921" s="1">
        <v>1</v>
      </c>
    </row>
    <row r="922" spans="1:76" x14ac:dyDescent="0.25">
      <c r="A922" s="1" t="s">
        <v>3784</v>
      </c>
      <c r="B922" s="1" t="s">
        <v>203</v>
      </c>
      <c r="C922" s="1">
        <v>1</v>
      </c>
      <c r="D922" s="1" t="s">
        <v>3785</v>
      </c>
      <c r="E922" s="1">
        <v>1543</v>
      </c>
      <c r="F922" s="1" t="s">
        <v>3784</v>
      </c>
      <c r="G922" s="1">
        <v>1</v>
      </c>
      <c r="L922" s="1">
        <v>35000</v>
      </c>
      <c r="N922" s="1">
        <v>600</v>
      </c>
      <c r="P922" s="1">
        <v>600</v>
      </c>
      <c r="R922" s="1">
        <v>50</v>
      </c>
      <c r="Z922" s="1">
        <v>0.05</v>
      </c>
      <c r="AA922" s="1">
        <v>5</v>
      </c>
      <c r="AB922" s="1">
        <v>10</v>
      </c>
      <c r="AC922" s="1">
        <v>0.4</v>
      </c>
      <c r="AH922" s="1">
        <v>0</v>
      </c>
      <c r="AI922" s="1">
        <v>1</v>
      </c>
      <c r="AJ922" s="1" t="s">
        <v>3786</v>
      </c>
      <c r="AK922" s="1" t="s">
        <v>3374</v>
      </c>
      <c r="AL922" s="1" t="s">
        <v>228</v>
      </c>
      <c r="AN922" s="22" t="s">
        <v>9767</v>
      </c>
      <c r="AX922" s="1">
        <v>2</v>
      </c>
      <c r="AZ922" s="1">
        <v>0.1</v>
      </c>
      <c r="BG922" s="1" t="s">
        <v>3784</v>
      </c>
      <c r="BM922" s="1" t="s">
        <v>3787</v>
      </c>
      <c r="BQ922" s="1" t="s">
        <v>3328</v>
      </c>
      <c r="BR922" s="1" t="s">
        <v>1935</v>
      </c>
      <c r="BS922" s="1" t="s">
        <v>1936</v>
      </c>
      <c r="BT922" s="1" t="s">
        <v>210</v>
      </c>
      <c r="BX922" s="1">
        <v>1</v>
      </c>
    </row>
    <row r="923" spans="1:76" x14ac:dyDescent="0.25">
      <c r="A923" s="1" t="s">
        <v>3788</v>
      </c>
      <c r="B923" s="1" t="s">
        <v>203</v>
      </c>
      <c r="C923" s="1">
        <v>1</v>
      </c>
      <c r="D923" s="1" t="s">
        <v>3789</v>
      </c>
      <c r="E923" s="1">
        <v>1335</v>
      </c>
      <c r="F923" s="1" t="s">
        <v>3788</v>
      </c>
      <c r="G923" s="1">
        <v>1</v>
      </c>
      <c r="L923" s="1">
        <v>2200</v>
      </c>
      <c r="N923" s="1">
        <v>300</v>
      </c>
      <c r="P923" s="1">
        <v>100</v>
      </c>
      <c r="R923" s="1">
        <v>0</v>
      </c>
      <c r="Z923" s="1">
        <v>0.05</v>
      </c>
      <c r="AA923" s="1">
        <v>1.4</v>
      </c>
      <c r="AB923" s="1">
        <v>1</v>
      </c>
      <c r="AC923" s="1">
        <v>1.7</v>
      </c>
      <c r="AH923" s="1">
        <v>0</v>
      </c>
      <c r="AI923" s="1">
        <v>1</v>
      </c>
      <c r="AJ923" s="1" t="s">
        <v>3790</v>
      </c>
      <c r="AK923" s="1" t="s">
        <v>3494</v>
      </c>
      <c r="AL923" s="1" t="s">
        <v>228</v>
      </c>
      <c r="AN923" s="22" t="s">
        <v>9767</v>
      </c>
      <c r="AX923" s="1">
        <v>1</v>
      </c>
      <c r="AZ923" s="1">
        <v>0.1</v>
      </c>
      <c r="BG923" s="1" t="s">
        <v>3788</v>
      </c>
      <c r="BM923" s="1" t="s">
        <v>888</v>
      </c>
      <c r="BQ923" s="1" t="s">
        <v>207</v>
      </c>
      <c r="BR923" s="1" t="s">
        <v>208</v>
      </c>
      <c r="BS923" s="1" t="s">
        <v>229</v>
      </c>
      <c r="BT923" s="1" t="s">
        <v>210</v>
      </c>
      <c r="BX923" s="1">
        <v>1</v>
      </c>
    </row>
    <row r="924" spans="1:76" x14ac:dyDescent="0.25">
      <c r="A924" s="1" t="s">
        <v>3791</v>
      </c>
      <c r="B924" s="1" t="s">
        <v>203</v>
      </c>
      <c r="C924" s="1">
        <v>1</v>
      </c>
      <c r="D924" s="1" t="s">
        <v>3792</v>
      </c>
      <c r="E924" s="1">
        <v>1335</v>
      </c>
      <c r="F924" s="1" t="s">
        <v>3791</v>
      </c>
      <c r="G924" s="1">
        <v>1</v>
      </c>
      <c r="L924" s="1">
        <v>3500</v>
      </c>
      <c r="N924" s="1">
        <v>350</v>
      </c>
      <c r="P924" s="1">
        <v>120</v>
      </c>
      <c r="R924" s="1">
        <v>0</v>
      </c>
      <c r="Z924" s="1">
        <v>0.05</v>
      </c>
      <c r="AA924" s="1">
        <v>1.4</v>
      </c>
      <c r="AB924" s="1">
        <v>1</v>
      </c>
      <c r="AC924" s="1">
        <v>1.7</v>
      </c>
      <c r="AH924" s="1">
        <v>0</v>
      </c>
      <c r="AI924" s="1">
        <v>1</v>
      </c>
      <c r="AJ924" s="1" t="s">
        <v>3793</v>
      </c>
      <c r="AK924" s="1" t="s">
        <v>3494</v>
      </c>
      <c r="AL924" s="1" t="s">
        <v>228</v>
      </c>
      <c r="AN924" s="22" t="s">
        <v>9767</v>
      </c>
      <c r="AX924" s="1">
        <v>1</v>
      </c>
      <c r="AZ924" s="1">
        <v>0.1</v>
      </c>
      <c r="BG924" s="1" t="s">
        <v>3791</v>
      </c>
      <c r="BM924" s="1" t="s">
        <v>888</v>
      </c>
      <c r="BQ924" s="1" t="s">
        <v>207</v>
      </c>
      <c r="BR924" s="1" t="s">
        <v>208</v>
      </c>
      <c r="BS924" s="1" t="s">
        <v>229</v>
      </c>
      <c r="BT924" s="1" t="s">
        <v>210</v>
      </c>
      <c r="BX924" s="1">
        <v>1</v>
      </c>
    </row>
    <row r="925" spans="1:76" x14ac:dyDescent="0.25">
      <c r="A925" s="1" t="s">
        <v>3794</v>
      </c>
      <c r="B925" s="1" t="s">
        <v>203</v>
      </c>
      <c r="C925" s="1">
        <v>1</v>
      </c>
      <c r="D925" s="1" t="s">
        <v>3795</v>
      </c>
      <c r="E925" s="1">
        <v>1336</v>
      </c>
      <c r="F925" s="1" t="s">
        <v>3794</v>
      </c>
      <c r="G925" s="1">
        <v>1</v>
      </c>
      <c r="L925" s="1">
        <v>3500</v>
      </c>
      <c r="N925" s="1">
        <v>150</v>
      </c>
      <c r="P925" s="1">
        <v>120</v>
      </c>
      <c r="R925" s="1">
        <v>20</v>
      </c>
      <c r="Z925" s="1">
        <v>0.05</v>
      </c>
      <c r="AA925" s="1">
        <v>3</v>
      </c>
      <c r="AB925" s="1">
        <v>1</v>
      </c>
      <c r="AC925" s="1">
        <v>0.7</v>
      </c>
      <c r="AH925" s="1">
        <v>0</v>
      </c>
      <c r="AI925" s="1">
        <v>1</v>
      </c>
      <c r="AJ925" s="1" t="s">
        <v>3796</v>
      </c>
      <c r="AK925" s="1" t="s">
        <v>3797</v>
      </c>
      <c r="AL925" s="1" t="s">
        <v>228</v>
      </c>
      <c r="AN925" s="22" t="s">
        <v>9767</v>
      </c>
      <c r="AP925" s="1">
        <v>1</v>
      </c>
      <c r="AX925" s="1">
        <v>1</v>
      </c>
      <c r="AZ925" s="1">
        <v>0.1</v>
      </c>
      <c r="BG925" s="1" t="s">
        <v>3794</v>
      </c>
      <c r="BM925" s="1" t="s">
        <v>901</v>
      </c>
      <c r="BQ925" s="1" t="s">
        <v>207</v>
      </c>
      <c r="BR925" s="1" t="s">
        <v>208</v>
      </c>
      <c r="BS925" s="1" t="s">
        <v>229</v>
      </c>
      <c r="BT925" s="1" t="s">
        <v>210</v>
      </c>
      <c r="BX925" s="1">
        <v>1</v>
      </c>
    </row>
    <row r="926" spans="1:76" x14ac:dyDescent="0.25">
      <c r="A926" s="1" t="s">
        <v>3798</v>
      </c>
      <c r="B926" s="1" t="s">
        <v>203</v>
      </c>
      <c r="C926" s="1">
        <v>1</v>
      </c>
      <c r="D926" s="1" t="s">
        <v>3799</v>
      </c>
      <c r="E926" s="1">
        <v>1336</v>
      </c>
      <c r="F926" s="1" t="s">
        <v>3798</v>
      </c>
      <c r="G926" s="1">
        <v>1</v>
      </c>
      <c r="L926" s="1">
        <v>4500</v>
      </c>
      <c r="N926" s="1">
        <v>200</v>
      </c>
      <c r="P926" s="1">
        <v>150</v>
      </c>
      <c r="R926" s="1">
        <v>20</v>
      </c>
      <c r="Z926" s="1">
        <v>0.05</v>
      </c>
      <c r="AA926" s="1">
        <v>3</v>
      </c>
      <c r="AB926" s="1">
        <v>1</v>
      </c>
      <c r="AC926" s="1">
        <v>0.7</v>
      </c>
      <c r="AH926" s="1">
        <v>0</v>
      </c>
      <c r="AI926" s="1">
        <v>1</v>
      </c>
      <c r="AJ926" s="1" t="s">
        <v>3800</v>
      </c>
      <c r="AK926" s="1" t="s">
        <v>3797</v>
      </c>
      <c r="AL926" s="1" t="s">
        <v>228</v>
      </c>
      <c r="AN926" s="22" t="s">
        <v>9767</v>
      </c>
      <c r="AP926" s="1">
        <v>1</v>
      </c>
      <c r="AX926" s="1">
        <v>1</v>
      </c>
      <c r="AZ926" s="1">
        <v>0.1</v>
      </c>
      <c r="BG926" s="1" t="s">
        <v>3798</v>
      </c>
      <c r="BM926" s="1" t="s">
        <v>901</v>
      </c>
      <c r="BQ926" s="1" t="s">
        <v>207</v>
      </c>
      <c r="BR926" s="1" t="s">
        <v>208</v>
      </c>
      <c r="BS926" s="1" t="s">
        <v>229</v>
      </c>
      <c r="BT926" s="1" t="s">
        <v>210</v>
      </c>
      <c r="BX926" s="1">
        <v>1</v>
      </c>
    </row>
    <row r="927" spans="1:76" x14ac:dyDescent="0.25">
      <c r="A927" s="1" t="s">
        <v>3801</v>
      </c>
      <c r="B927" s="1" t="s">
        <v>203</v>
      </c>
      <c r="C927" s="1">
        <v>1</v>
      </c>
      <c r="D927" s="1" t="s">
        <v>3802</v>
      </c>
      <c r="E927" s="1">
        <v>1337</v>
      </c>
      <c r="F927" s="1" t="s">
        <v>3801</v>
      </c>
      <c r="G927" s="1">
        <v>1</v>
      </c>
      <c r="L927" s="1">
        <v>5500</v>
      </c>
      <c r="N927" s="1">
        <v>350</v>
      </c>
      <c r="P927" s="1">
        <v>400</v>
      </c>
      <c r="R927" s="1">
        <v>0</v>
      </c>
      <c r="Z927" s="1">
        <v>0.05</v>
      </c>
      <c r="AA927" s="1">
        <v>2</v>
      </c>
      <c r="AB927" s="1">
        <v>2</v>
      </c>
      <c r="AC927" s="1">
        <v>0.8</v>
      </c>
      <c r="AH927" s="1">
        <v>0</v>
      </c>
      <c r="AI927" s="1">
        <v>1</v>
      </c>
      <c r="AJ927" s="1" t="s">
        <v>3803</v>
      </c>
      <c r="AK927" s="1" t="s">
        <v>233</v>
      </c>
      <c r="AL927" s="1" t="s">
        <v>228</v>
      </c>
      <c r="AN927" s="22" t="s">
        <v>9767</v>
      </c>
      <c r="AX927" s="1">
        <v>1</v>
      </c>
      <c r="AZ927" s="1">
        <v>0.1</v>
      </c>
      <c r="BG927" s="1" t="s">
        <v>3801</v>
      </c>
      <c r="BM927" s="1" t="s">
        <v>936</v>
      </c>
      <c r="BQ927" s="1" t="s">
        <v>207</v>
      </c>
      <c r="BR927" s="1" t="s">
        <v>208</v>
      </c>
      <c r="BS927" s="1" t="s">
        <v>229</v>
      </c>
      <c r="BT927" s="1" t="s">
        <v>210</v>
      </c>
      <c r="BX927" s="1">
        <v>1</v>
      </c>
    </row>
    <row r="928" spans="1:76" x14ac:dyDescent="0.25">
      <c r="A928" s="1" t="s">
        <v>3804</v>
      </c>
      <c r="B928" s="1" t="s">
        <v>203</v>
      </c>
      <c r="C928" s="1">
        <v>1</v>
      </c>
      <c r="D928" s="1" t="s">
        <v>3805</v>
      </c>
      <c r="E928" s="1">
        <v>1337</v>
      </c>
      <c r="F928" s="1" t="s">
        <v>3804</v>
      </c>
      <c r="G928" s="1">
        <v>1</v>
      </c>
      <c r="L928" s="1">
        <v>7000</v>
      </c>
      <c r="N928" s="1">
        <v>450</v>
      </c>
      <c r="P928" s="1">
        <v>450</v>
      </c>
      <c r="R928" s="1">
        <v>0</v>
      </c>
      <c r="Z928" s="1">
        <v>0.05</v>
      </c>
      <c r="AA928" s="1">
        <v>2</v>
      </c>
      <c r="AB928" s="1">
        <v>2</v>
      </c>
      <c r="AC928" s="1">
        <v>0.8</v>
      </c>
      <c r="AH928" s="1">
        <v>0</v>
      </c>
      <c r="AI928" s="1">
        <v>1</v>
      </c>
      <c r="AJ928" s="1" t="s">
        <v>3806</v>
      </c>
      <c r="AK928" s="1" t="s">
        <v>233</v>
      </c>
      <c r="AL928" s="1" t="s">
        <v>228</v>
      </c>
      <c r="AN928" s="22" t="s">
        <v>9767</v>
      </c>
      <c r="AX928" s="1">
        <v>1</v>
      </c>
      <c r="AZ928" s="1">
        <v>0.1</v>
      </c>
      <c r="BG928" s="1" t="s">
        <v>3804</v>
      </c>
      <c r="BM928" s="1" t="s">
        <v>936</v>
      </c>
      <c r="BQ928" s="1" t="s">
        <v>207</v>
      </c>
      <c r="BR928" s="1" t="s">
        <v>208</v>
      </c>
      <c r="BS928" s="1" t="s">
        <v>229</v>
      </c>
      <c r="BT928" s="1" t="s">
        <v>210</v>
      </c>
      <c r="BX928" s="1">
        <v>1</v>
      </c>
    </row>
    <row r="929" spans="1:76" x14ac:dyDescent="0.25">
      <c r="A929" s="1" t="s">
        <v>3807</v>
      </c>
      <c r="B929" s="1" t="s">
        <v>203</v>
      </c>
      <c r="C929" s="1">
        <v>1</v>
      </c>
      <c r="D929" s="1" t="s">
        <v>3808</v>
      </c>
      <c r="E929" s="1">
        <v>1338</v>
      </c>
      <c r="F929" s="1" t="s">
        <v>3807</v>
      </c>
      <c r="G929" s="1">
        <v>1</v>
      </c>
      <c r="L929" s="1">
        <v>5300</v>
      </c>
      <c r="N929" s="1">
        <v>500</v>
      </c>
      <c r="P929" s="1">
        <v>330</v>
      </c>
      <c r="R929" s="1">
        <v>0</v>
      </c>
      <c r="Z929" s="1">
        <v>0.05</v>
      </c>
      <c r="AA929" s="1">
        <v>2</v>
      </c>
      <c r="AB929" s="1">
        <v>2</v>
      </c>
      <c r="AC929" s="1">
        <v>0.9</v>
      </c>
      <c r="AH929" s="1">
        <v>0</v>
      </c>
      <c r="AI929" s="1">
        <v>1</v>
      </c>
      <c r="AJ929" s="1" t="s">
        <v>3809</v>
      </c>
      <c r="AK929" s="1" t="s">
        <v>233</v>
      </c>
      <c r="AL929" s="1" t="s">
        <v>228</v>
      </c>
      <c r="AN929" s="22" t="s">
        <v>9767</v>
      </c>
      <c r="AX929" s="1">
        <v>1</v>
      </c>
      <c r="AZ929" s="1">
        <v>0.1</v>
      </c>
      <c r="BG929" s="1" t="s">
        <v>3807</v>
      </c>
      <c r="BM929" s="1" t="s">
        <v>930</v>
      </c>
      <c r="BQ929" s="1" t="s">
        <v>207</v>
      </c>
      <c r="BR929" s="1" t="s">
        <v>208</v>
      </c>
      <c r="BS929" s="1" t="s">
        <v>229</v>
      </c>
      <c r="BT929" s="1" t="s">
        <v>210</v>
      </c>
      <c r="BX929" s="1">
        <v>1</v>
      </c>
    </row>
    <row r="930" spans="1:76" x14ac:dyDescent="0.25">
      <c r="A930" s="1" t="s">
        <v>3810</v>
      </c>
      <c r="B930" s="1" t="s">
        <v>203</v>
      </c>
      <c r="C930" s="1">
        <v>1</v>
      </c>
      <c r="D930" s="1" t="s">
        <v>3811</v>
      </c>
      <c r="E930" s="1">
        <v>1338</v>
      </c>
      <c r="F930" s="1" t="s">
        <v>3810</v>
      </c>
      <c r="G930" s="1">
        <v>1</v>
      </c>
      <c r="L930" s="1">
        <v>7300</v>
      </c>
      <c r="N930" s="1">
        <v>600</v>
      </c>
      <c r="P930" s="1">
        <v>350</v>
      </c>
      <c r="R930" s="1">
        <v>0</v>
      </c>
      <c r="Z930" s="1">
        <v>0.05</v>
      </c>
      <c r="AA930" s="1">
        <v>2</v>
      </c>
      <c r="AB930" s="1">
        <v>2</v>
      </c>
      <c r="AC930" s="1">
        <v>0.9</v>
      </c>
      <c r="AH930" s="1">
        <v>0</v>
      </c>
      <c r="AI930" s="1">
        <v>1</v>
      </c>
      <c r="AJ930" s="1" t="s">
        <v>3812</v>
      </c>
      <c r="AK930" s="1" t="s">
        <v>233</v>
      </c>
      <c r="AL930" s="1" t="s">
        <v>228</v>
      </c>
      <c r="AN930" s="22" t="s">
        <v>9767</v>
      </c>
      <c r="AX930" s="1">
        <v>1</v>
      </c>
      <c r="AZ930" s="1">
        <v>0.1</v>
      </c>
      <c r="BG930" s="1" t="s">
        <v>3810</v>
      </c>
      <c r="BM930" s="1" t="s">
        <v>930</v>
      </c>
      <c r="BQ930" s="1" t="s">
        <v>207</v>
      </c>
      <c r="BR930" s="1" t="s">
        <v>208</v>
      </c>
      <c r="BS930" s="1" t="s">
        <v>229</v>
      </c>
      <c r="BT930" s="1" t="s">
        <v>210</v>
      </c>
      <c r="BX930" s="1">
        <v>1</v>
      </c>
    </row>
    <row r="931" spans="1:76" x14ac:dyDescent="0.25">
      <c r="A931" s="1" t="s">
        <v>3813</v>
      </c>
      <c r="B931" s="1" t="s">
        <v>203</v>
      </c>
      <c r="C931" s="1">
        <v>1</v>
      </c>
      <c r="D931" s="1" t="s">
        <v>3814</v>
      </c>
      <c r="E931" s="1">
        <v>1339</v>
      </c>
      <c r="F931" s="1" t="s">
        <v>3813</v>
      </c>
      <c r="G931" s="1">
        <v>1</v>
      </c>
      <c r="L931" s="1">
        <v>20000</v>
      </c>
      <c r="N931" s="1">
        <v>500</v>
      </c>
      <c r="P931" s="1">
        <v>800</v>
      </c>
      <c r="R931" s="1">
        <v>0</v>
      </c>
      <c r="Z931" s="1">
        <v>0.05</v>
      </c>
      <c r="AA931" s="1">
        <v>4</v>
      </c>
      <c r="AB931" s="1">
        <v>6</v>
      </c>
      <c r="AC931" s="1">
        <v>0.6</v>
      </c>
      <c r="AH931" s="1">
        <v>0</v>
      </c>
      <c r="AI931" s="1">
        <v>1</v>
      </c>
      <c r="AJ931" s="1" t="s">
        <v>3815</v>
      </c>
      <c r="AK931" s="1" t="s">
        <v>3494</v>
      </c>
      <c r="AL931" s="1" t="s">
        <v>228</v>
      </c>
      <c r="AN931" s="22" t="s">
        <v>9767</v>
      </c>
      <c r="AX931" s="1">
        <v>1</v>
      </c>
      <c r="AZ931" s="1">
        <v>0.1</v>
      </c>
      <c r="BG931" s="1" t="s">
        <v>3813</v>
      </c>
      <c r="BM931" s="1" t="s">
        <v>989</v>
      </c>
      <c r="BQ931" s="1" t="s">
        <v>207</v>
      </c>
      <c r="BR931" s="1" t="s">
        <v>208</v>
      </c>
      <c r="BS931" s="1" t="s">
        <v>229</v>
      </c>
      <c r="BT931" s="1" t="s">
        <v>210</v>
      </c>
      <c r="BX931" s="1">
        <v>1</v>
      </c>
    </row>
    <row r="932" spans="1:76" x14ac:dyDescent="0.25">
      <c r="A932" s="1" t="s">
        <v>3816</v>
      </c>
      <c r="B932" s="1" t="s">
        <v>203</v>
      </c>
      <c r="C932" s="1">
        <v>1</v>
      </c>
      <c r="D932" s="1" t="s">
        <v>3817</v>
      </c>
      <c r="E932" s="1">
        <v>1339</v>
      </c>
      <c r="F932" s="1" t="s">
        <v>3816</v>
      </c>
      <c r="G932" s="1">
        <v>1</v>
      </c>
      <c r="L932" s="1">
        <v>25000</v>
      </c>
      <c r="N932" s="1">
        <v>500</v>
      </c>
      <c r="P932" s="1">
        <v>1000</v>
      </c>
      <c r="R932" s="1">
        <v>0</v>
      </c>
      <c r="Z932" s="1">
        <v>0.05</v>
      </c>
      <c r="AA932" s="1">
        <v>4</v>
      </c>
      <c r="AB932" s="1">
        <v>6</v>
      </c>
      <c r="AC932" s="1">
        <v>0.6</v>
      </c>
      <c r="AH932" s="1">
        <v>0</v>
      </c>
      <c r="AI932" s="1">
        <v>1</v>
      </c>
      <c r="AJ932" s="1" t="s">
        <v>3818</v>
      </c>
      <c r="AK932" s="1" t="s">
        <v>3494</v>
      </c>
      <c r="AL932" s="1" t="s">
        <v>228</v>
      </c>
      <c r="AN932" s="22" t="s">
        <v>9767</v>
      </c>
      <c r="AX932" s="1">
        <v>1</v>
      </c>
      <c r="AZ932" s="1">
        <v>0.1</v>
      </c>
      <c r="BG932" s="1" t="s">
        <v>3816</v>
      </c>
      <c r="BM932" s="1" t="s">
        <v>989</v>
      </c>
      <c r="BQ932" s="1" t="s">
        <v>207</v>
      </c>
      <c r="BR932" s="1" t="s">
        <v>208</v>
      </c>
      <c r="BS932" s="1" t="s">
        <v>229</v>
      </c>
      <c r="BT932" s="1" t="s">
        <v>210</v>
      </c>
      <c r="BX932" s="1">
        <v>1</v>
      </c>
    </row>
    <row r="933" spans="1:76" x14ac:dyDescent="0.25">
      <c r="A933" s="1" t="s">
        <v>3819</v>
      </c>
      <c r="B933" s="1" t="s">
        <v>203</v>
      </c>
      <c r="C933" s="1">
        <v>1</v>
      </c>
      <c r="D933" s="1" t="s">
        <v>3820</v>
      </c>
      <c r="E933" s="1">
        <v>1340</v>
      </c>
      <c r="F933" s="1" t="s">
        <v>3819</v>
      </c>
      <c r="G933" s="1">
        <v>1</v>
      </c>
      <c r="L933" s="1">
        <v>15000</v>
      </c>
      <c r="N933" s="1">
        <v>500</v>
      </c>
      <c r="P933" s="1">
        <v>500</v>
      </c>
      <c r="R933" s="1">
        <v>30</v>
      </c>
      <c r="Z933" s="1">
        <v>0.05</v>
      </c>
      <c r="AA933" s="1">
        <v>3</v>
      </c>
      <c r="AB933" s="1">
        <v>2</v>
      </c>
      <c r="AC933" s="1">
        <v>0.7</v>
      </c>
      <c r="AH933" s="1">
        <v>0</v>
      </c>
      <c r="AI933" s="1">
        <v>1</v>
      </c>
      <c r="AJ933" s="1" t="s">
        <v>3821</v>
      </c>
      <c r="AK933" s="1" t="s">
        <v>206</v>
      </c>
      <c r="AL933" s="1" t="s">
        <v>228</v>
      </c>
      <c r="AN933" s="22" t="s">
        <v>9767</v>
      </c>
      <c r="AX933" s="1">
        <v>1</v>
      </c>
      <c r="AZ933" s="1">
        <v>0.1</v>
      </c>
      <c r="BG933" s="1" t="s">
        <v>3819</v>
      </c>
      <c r="BM933" s="1" t="s">
        <v>957</v>
      </c>
      <c r="BQ933" s="1" t="s">
        <v>207</v>
      </c>
      <c r="BR933" s="1" t="s">
        <v>208</v>
      </c>
      <c r="BS933" s="1" t="s">
        <v>229</v>
      </c>
      <c r="BT933" s="1" t="s">
        <v>210</v>
      </c>
      <c r="BX933" s="1">
        <v>1</v>
      </c>
    </row>
    <row r="934" spans="1:76" x14ac:dyDescent="0.25">
      <c r="A934" s="1" t="s">
        <v>3822</v>
      </c>
      <c r="B934" s="1" t="s">
        <v>203</v>
      </c>
      <c r="C934" s="1">
        <v>1</v>
      </c>
      <c r="D934" s="1" t="s">
        <v>3823</v>
      </c>
      <c r="E934" s="1">
        <v>1340</v>
      </c>
      <c r="F934" s="1" t="s">
        <v>3822</v>
      </c>
      <c r="G934" s="1">
        <v>1</v>
      </c>
      <c r="L934" s="1">
        <v>20000</v>
      </c>
      <c r="N934" s="1">
        <v>600</v>
      </c>
      <c r="P934" s="1">
        <v>600</v>
      </c>
      <c r="R934" s="1">
        <v>30</v>
      </c>
      <c r="Z934" s="1">
        <v>0.05</v>
      </c>
      <c r="AA934" s="1">
        <v>3</v>
      </c>
      <c r="AB934" s="1">
        <v>2</v>
      </c>
      <c r="AC934" s="1">
        <v>0.7</v>
      </c>
      <c r="AH934" s="1">
        <v>0</v>
      </c>
      <c r="AI934" s="1">
        <v>1</v>
      </c>
      <c r="AJ934" s="1" t="s">
        <v>3824</v>
      </c>
      <c r="AK934" s="1" t="s">
        <v>206</v>
      </c>
      <c r="AL934" s="1" t="s">
        <v>228</v>
      </c>
      <c r="AN934" s="22" t="s">
        <v>9767</v>
      </c>
      <c r="AX934" s="1">
        <v>1</v>
      </c>
      <c r="AZ934" s="1">
        <v>0.1</v>
      </c>
      <c r="BG934" s="1" t="s">
        <v>3822</v>
      </c>
      <c r="BM934" s="1" t="s">
        <v>957</v>
      </c>
      <c r="BQ934" s="1" t="s">
        <v>207</v>
      </c>
      <c r="BR934" s="1" t="s">
        <v>208</v>
      </c>
      <c r="BS934" s="1" t="s">
        <v>229</v>
      </c>
      <c r="BT934" s="1" t="s">
        <v>210</v>
      </c>
      <c r="BX934" s="1">
        <v>1</v>
      </c>
    </row>
    <row r="935" spans="1:76" x14ac:dyDescent="0.25">
      <c r="A935" s="1" t="s">
        <v>3825</v>
      </c>
      <c r="B935" s="1" t="s">
        <v>203</v>
      </c>
      <c r="C935" s="1">
        <v>1</v>
      </c>
      <c r="D935" s="1" t="s">
        <v>3826</v>
      </c>
      <c r="E935" s="1">
        <v>1341</v>
      </c>
      <c r="F935" s="1" t="s">
        <v>3825</v>
      </c>
      <c r="G935" s="1">
        <v>1</v>
      </c>
      <c r="L935" s="1">
        <v>15000</v>
      </c>
      <c r="N935" s="1">
        <v>600</v>
      </c>
      <c r="P935" s="1">
        <v>500</v>
      </c>
      <c r="R935" s="1">
        <v>50</v>
      </c>
      <c r="Z935" s="1">
        <v>0.05</v>
      </c>
      <c r="AA935" s="1">
        <v>2.5</v>
      </c>
      <c r="AB935" s="1">
        <v>5</v>
      </c>
      <c r="AC935" s="1">
        <v>0.8</v>
      </c>
      <c r="AH935" s="1">
        <v>0</v>
      </c>
      <c r="AI935" s="1">
        <v>1</v>
      </c>
      <c r="AJ935" s="1" t="s">
        <v>3827</v>
      </c>
      <c r="AK935" s="1" t="s">
        <v>206</v>
      </c>
      <c r="AL935" s="1" t="s">
        <v>228</v>
      </c>
      <c r="AN935" s="22" t="s">
        <v>9767</v>
      </c>
      <c r="AX935" s="1">
        <v>1</v>
      </c>
      <c r="AZ935" s="1">
        <v>0.1</v>
      </c>
      <c r="BG935" s="1" t="s">
        <v>3825</v>
      </c>
      <c r="BM935" s="1" t="s">
        <v>989</v>
      </c>
      <c r="BQ935" s="1" t="s">
        <v>207</v>
      </c>
      <c r="BR935" s="1" t="s">
        <v>208</v>
      </c>
      <c r="BS935" s="1" t="s">
        <v>229</v>
      </c>
      <c r="BT935" s="1" t="s">
        <v>210</v>
      </c>
      <c r="BX935" s="1">
        <v>1</v>
      </c>
    </row>
    <row r="936" spans="1:76" x14ac:dyDescent="0.25">
      <c r="A936" s="1" t="s">
        <v>3828</v>
      </c>
      <c r="B936" s="1" t="s">
        <v>203</v>
      </c>
      <c r="C936" s="1">
        <v>1</v>
      </c>
      <c r="D936" s="1" t="s">
        <v>3829</v>
      </c>
      <c r="E936" s="1">
        <v>1341</v>
      </c>
      <c r="F936" s="1" t="s">
        <v>3828</v>
      </c>
      <c r="G936" s="1">
        <v>1</v>
      </c>
      <c r="L936" s="1">
        <v>20000</v>
      </c>
      <c r="N936" s="1">
        <v>750</v>
      </c>
      <c r="P936" s="1">
        <v>600</v>
      </c>
      <c r="R936" s="1">
        <v>50</v>
      </c>
      <c r="Z936" s="1">
        <v>0.05</v>
      </c>
      <c r="AA936" s="1">
        <v>2.5</v>
      </c>
      <c r="AB936" s="1">
        <v>5</v>
      </c>
      <c r="AC936" s="1">
        <v>0.8</v>
      </c>
      <c r="AH936" s="1">
        <v>0</v>
      </c>
      <c r="AI936" s="1">
        <v>1</v>
      </c>
      <c r="AJ936" s="1" t="s">
        <v>3830</v>
      </c>
      <c r="AK936" s="1" t="s">
        <v>206</v>
      </c>
      <c r="AL936" s="1" t="s">
        <v>228</v>
      </c>
      <c r="AN936" s="22" t="s">
        <v>9767</v>
      </c>
      <c r="AX936" s="1">
        <v>1</v>
      </c>
      <c r="AZ936" s="1">
        <v>0.1</v>
      </c>
      <c r="BG936" s="1" t="s">
        <v>3828</v>
      </c>
      <c r="BM936" s="1" t="s">
        <v>989</v>
      </c>
      <c r="BQ936" s="1" t="s">
        <v>207</v>
      </c>
      <c r="BR936" s="1" t="s">
        <v>208</v>
      </c>
      <c r="BS936" s="1" t="s">
        <v>229</v>
      </c>
      <c r="BT936" s="1" t="s">
        <v>210</v>
      </c>
      <c r="BX936" s="1">
        <v>1</v>
      </c>
    </row>
    <row r="937" spans="1:76" x14ac:dyDescent="0.25">
      <c r="A937" s="1" t="s">
        <v>3831</v>
      </c>
      <c r="B937" s="1" t="s">
        <v>203</v>
      </c>
      <c r="C937" s="1">
        <v>1</v>
      </c>
      <c r="D937" s="1" t="s">
        <v>3832</v>
      </c>
      <c r="E937" s="1">
        <v>1342</v>
      </c>
      <c r="F937" s="1" t="s">
        <v>3831</v>
      </c>
      <c r="G937" s="1">
        <v>1</v>
      </c>
      <c r="L937" s="1">
        <v>35000</v>
      </c>
      <c r="N937" s="1">
        <v>700</v>
      </c>
      <c r="P937" s="1">
        <v>400</v>
      </c>
      <c r="R937" s="1">
        <v>50</v>
      </c>
      <c r="Z937" s="1">
        <v>0.05</v>
      </c>
      <c r="AA937" s="1">
        <v>3</v>
      </c>
      <c r="AB937" s="1">
        <v>6</v>
      </c>
      <c r="AC937" s="1">
        <v>0.7</v>
      </c>
      <c r="AH937" s="1">
        <v>0</v>
      </c>
      <c r="AI937" s="1">
        <v>1</v>
      </c>
      <c r="AJ937" s="1" t="s">
        <v>3833</v>
      </c>
      <c r="AK937" s="1" t="s">
        <v>233</v>
      </c>
      <c r="AL937" s="1" t="s">
        <v>228</v>
      </c>
      <c r="AN937" s="22" t="s">
        <v>9767</v>
      </c>
      <c r="AO937" s="22" t="s">
        <v>9771</v>
      </c>
      <c r="AX937" s="1">
        <v>1</v>
      </c>
      <c r="AZ937" s="1">
        <v>0.1</v>
      </c>
      <c r="BG937" s="1" t="s">
        <v>3831</v>
      </c>
      <c r="BM937" s="1" t="s">
        <v>957</v>
      </c>
      <c r="BQ937" s="1" t="s">
        <v>207</v>
      </c>
      <c r="BR937" s="1" t="s">
        <v>208</v>
      </c>
      <c r="BS937" s="1" t="s">
        <v>229</v>
      </c>
      <c r="BT937" s="1" t="s">
        <v>210</v>
      </c>
      <c r="BX937" s="1">
        <v>2</v>
      </c>
    </row>
    <row r="938" spans="1:76" x14ac:dyDescent="0.25">
      <c r="A938" s="1" t="s">
        <v>3834</v>
      </c>
      <c r="B938" s="1" t="s">
        <v>203</v>
      </c>
      <c r="C938" s="1">
        <v>1</v>
      </c>
      <c r="D938" s="1" t="s">
        <v>3835</v>
      </c>
      <c r="E938" s="1">
        <v>3005</v>
      </c>
      <c r="F938" s="1" t="s">
        <v>3836</v>
      </c>
      <c r="G938" s="1">
        <v>1</v>
      </c>
      <c r="L938" s="1">
        <v>5000</v>
      </c>
      <c r="N938" s="1">
        <v>0</v>
      </c>
      <c r="P938" s="1">
        <v>50</v>
      </c>
      <c r="R938" s="1">
        <v>0</v>
      </c>
      <c r="Z938" s="1">
        <v>0.05</v>
      </c>
      <c r="AA938" s="1">
        <v>0</v>
      </c>
      <c r="AB938" s="1">
        <v>1</v>
      </c>
      <c r="AC938" s="1">
        <v>0.65</v>
      </c>
      <c r="AH938" s="1">
        <v>0</v>
      </c>
      <c r="AI938" s="1">
        <v>1</v>
      </c>
      <c r="AJ938" s="1" t="s">
        <v>3837</v>
      </c>
      <c r="AK938" s="1" t="s">
        <v>3507</v>
      </c>
      <c r="AL938" s="1" t="s">
        <v>228</v>
      </c>
      <c r="AN938" s="22" t="s">
        <v>9767</v>
      </c>
      <c r="AX938" s="1">
        <v>0</v>
      </c>
      <c r="AZ938" s="1">
        <v>0.1</v>
      </c>
      <c r="BC938" s="1">
        <v>1</v>
      </c>
      <c r="BG938" s="1" t="s">
        <v>3836</v>
      </c>
      <c r="BM938" s="1" t="s">
        <v>3838</v>
      </c>
      <c r="BQ938" s="1" t="s">
        <v>207</v>
      </c>
      <c r="BR938" s="1" t="s">
        <v>208</v>
      </c>
      <c r="BS938" s="1" t="s">
        <v>229</v>
      </c>
      <c r="BT938" s="1" t="s">
        <v>210</v>
      </c>
      <c r="BX938" s="1">
        <v>1</v>
      </c>
    </row>
    <row r="939" spans="1:76" x14ac:dyDescent="0.25">
      <c r="A939" s="1" t="s">
        <v>3839</v>
      </c>
      <c r="B939" s="1" t="s">
        <v>203</v>
      </c>
      <c r="C939" s="1">
        <v>1</v>
      </c>
      <c r="D939" s="1" t="s">
        <v>3835</v>
      </c>
      <c r="E939" s="1">
        <v>3005</v>
      </c>
      <c r="F939" s="1" t="s">
        <v>3836</v>
      </c>
      <c r="G939" s="1">
        <v>1</v>
      </c>
      <c r="L939" s="1">
        <v>5000</v>
      </c>
      <c r="N939" s="1">
        <v>0</v>
      </c>
      <c r="P939" s="1">
        <v>50</v>
      </c>
      <c r="R939" s="1">
        <v>0</v>
      </c>
      <c r="Z939" s="1">
        <v>0.05</v>
      </c>
      <c r="AA939" s="1">
        <v>0</v>
      </c>
      <c r="AB939" s="1">
        <v>1</v>
      </c>
      <c r="AC939" s="1">
        <v>0.65</v>
      </c>
      <c r="AH939" s="1">
        <v>0</v>
      </c>
      <c r="AI939" s="1">
        <v>1</v>
      </c>
      <c r="AJ939" s="1" t="s">
        <v>3840</v>
      </c>
      <c r="AK939" s="1" t="s">
        <v>3507</v>
      </c>
      <c r="AL939" s="1" t="s">
        <v>228</v>
      </c>
      <c r="AN939" s="22" t="s">
        <v>9767</v>
      </c>
      <c r="AP939" s="1">
        <v>1</v>
      </c>
      <c r="AX939" s="1">
        <v>0</v>
      </c>
      <c r="AZ939" s="1">
        <v>0.1</v>
      </c>
      <c r="BC939" s="1">
        <v>1</v>
      </c>
      <c r="BG939" s="1" t="s">
        <v>3836</v>
      </c>
      <c r="BM939" s="1" t="s">
        <v>3838</v>
      </c>
      <c r="BQ939" s="1" t="s">
        <v>207</v>
      </c>
      <c r="BR939" s="1" t="s">
        <v>208</v>
      </c>
      <c r="BS939" s="1" t="s">
        <v>229</v>
      </c>
      <c r="BT939" s="1" t="s">
        <v>210</v>
      </c>
      <c r="BX939" s="1">
        <v>1</v>
      </c>
    </row>
    <row r="940" spans="1:76" x14ac:dyDescent="0.25">
      <c r="A940" s="1" t="s">
        <v>3841</v>
      </c>
      <c r="B940" s="1" t="s">
        <v>203</v>
      </c>
      <c r="C940" s="1">
        <v>1</v>
      </c>
      <c r="D940" s="1" t="s">
        <v>3842</v>
      </c>
      <c r="E940" s="1">
        <v>1544</v>
      </c>
      <c r="F940" s="1" t="s">
        <v>3843</v>
      </c>
      <c r="G940" s="1">
        <v>1</v>
      </c>
      <c r="L940" s="1">
        <v>800</v>
      </c>
      <c r="N940" s="1">
        <v>100</v>
      </c>
      <c r="P940" s="1">
        <v>0</v>
      </c>
      <c r="R940" s="1">
        <v>0</v>
      </c>
      <c r="Z940" s="1">
        <v>0.05</v>
      </c>
      <c r="AA940" s="1">
        <v>0</v>
      </c>
      <c r="AB940" s="1">
        <v>6</v>
      </c>
      <c r="AC940" s="1">
        <v>0.5</v>
      </c>
      <c r="AH940" s="1">
        <v>0</v>
      </c>
      <c r="AI940" s="1">
        <v>1</v>
      </c>
      <c r="AJ940" s="1" t="s">
        <v>3844</v>
      </c>
      <c r="AK940" s="1" t="s">
        <v>3374</v>
      </c>
      <c r="AL940" s="1" t="s">
        <v>228</v>
      </c>
      <c r="AN940" s="22" t="s">
        <v>9767</v>
      </c>
      <c r="AX940" s="1">
        <v>0</v>
      </c>
      <c r="AZ940" s="1">
        <v>0.1</v>
      </c>
      <c r="BG940" s="1" t="s">
        <v>3843</v>
      </c>
      <c r="BM940" s="1" t="s">
        <v>3845</v>
      </c>
      <c r="BQ940" s="1" t="s">
        <v>207</v>
      </c>
      <c r="BR940" s="1" t="s">
        <v>208</v>
      </c>
      <c r="BS940" s="1" t="s">
        <v>229</v>
      </c>
      <c r="BT940" s="1" t="s">
        <v>210</v>
      </c>
      <c r="BX940" s="1">
        <v>1</v>
      </c>
    </row>
    <row r="941" spans="1:76" x14ac:dyDescent="0.25">
      <c r="A941" s="1" t="s">
        <v>3846</v>
      </c>
      <c r="B941" s="1" t="s">
        <v>203</v>
      </c>
      <c r="C941" s="1">
        <v>1</v>
      </c>
      <c r="D941" s="1" t="s">
        <v>3847</v>
      </c>
      <c r="E941" s="1">
        <v>1344</v>
      </c>
      <c r="F941" s="1" t="s">
        <v>3846</v>
      </c>
      <c r="G941" s="1">
        <v>1</v>
      </c>
      <c r="L941" s="1">
        <v>5000</v>
      </c>
      <c r="N941" s="1">
        <v>500</v>
      </c>
      <c r="P941" s="1">
        <v>150</v>
      </c>
      <c r="R941" s="1">
        <v>0</v>
      </c>
      <c r="Z941" s="1">
        <v>0.05</v>
      </c>
      <c r="AA941" s="1">
        <v>3.2</v>
      </c>
      <c r="AB941" s="1">
        <v>1</v>
      </c>
      <c r="AC941" s="1">
        <v>0.8</v>
      </c>
      <c r="AH941" s="1">
        <v>0</v>
      </c>
      <c r="AI941" s="1">
        <v>1</v>
      </c>
      <c r="AJ941" s="1" t="s">
        <v>3848</v>
      </c>
      <c r="AK941" s="1" t="s">
        <v>265</v>
      </c>
      <c r="AL941" s="1" t="s">
        <v>228</v>
      </c>
      <c r="AN941" s="22" t="s">
        <v>9767</v>
      </c>
      <c r="AX941" s="1">
        <v>1</v>
      </c>
      <c r="AZ941" s="1">
        <v>0.1</v>
      </c>
      <c r="BG941" s="1" t="s">
        <v>3846</v>
      </c>
      <c r="BM941" s="1" t="s">
        <v>3849</v>
      </c>
      <c r="BQ941" s="1" t="s">
        <v>207</v>
      </c>
      <c r="BR941" s="1" t="s">
        <v>208</v>
      </c>
      <c r="BS941" s="1" t="s">
        <v>229</v>
      </c>
      <c r="BT941" s="1" t="s">
        <v>210</v>
      </c>
      <c r="BX941" s="1">
        <v>1</v>
      </c>
    </row>
    <row r="942" spans="1:76" x14ac:dyDescent="0.25">
      <c r="A942" s="1" t="s">
        <v>3850</v>
      </c>
      <c r="B942" s="1" t="s">
        <v>203</v>
      </c>
      <c r="C942" s="1">
        <v>1</v>
      </c>
      <c r="D942" s="1" t="s">
        <v>3851</v>
      </c>
      <c r="E942" s="1">
        <v>1344</v>
      </c>
      <c r="F942" s="1" t="s">
        <v>3850</v>
      </c>
      <c r="G942" s="1">
        <v>1</v>
      </c>
      <c r="L942" s="1">
        <v>6500</v>
      </c>
      <c r="N942" s="1">
        <v>600</v>
      </c>
      <c r="P942" s="1">
        <v>200</v>
      </c>
      <c r="R942" s="1">
        <v>0</v>
      </c>
      <c r="Z942" s="1">
        <v>0.05</v>
      </c>
      <c r="AA942" s="1">
        <v>3.2</v>
      </c>
      <c r="AB942" s="1">
        <v>1</v>
      </c>
      <c r="AC942" s="1">
        <v>0.8</v>
      </c>
      <c r="AH942" s="1">
        <v>0</v>
      </c>
      <c r="AI942" s="1">
        <v>1</v>
      </c>
      <c r="AJ942" s="1" t="s">
        <v>3852</v>
      </c>
      <c r="AK942" s="1" t="s">
        <v>265</v>
      </c>
      <c r="AL942" s="1" t="s">
        <v>228</v>
      </c>
      <c r="AN942" s="22" t="s">
        <v>9767</v>
      </c>
      <c r="AX942" s="1">
        <v>1</v>
      </c>
      <c r="AZ942" s="1">
        <v>0.1</v>
      </c>
      <c r="BG942" s="1" t="s">
        <v>3850</v>
      </c>
      <c r="BM942" s="1" t="s">
        <v>3853</v>
      </c>
      <c r="BQ942" s="1" t="s">
        <v>207</v>
      </c>
      <c r="BR942" s="1" t="s">
        <v>208</v>
      </c>
      <c r="BS942" s="1" t="s">
        <v>229</v>
      </c>
      <c r="BT942" s="1" t="s">
        <v>210</v>
      </c>
      <c r="BX942" s="1">
        <v>1</v>
      </c>
    </row>
    <row r="943" spans="1:76" x14ac:dyDescent="0.25">
      <c r="A943" s="1" t="s">
        <v>3854</v>
      </c>
      <c r="B943" s="1" t="s">
        <v>203</v>
      </c>
      <c r="C943" s="1">
        <v>1</v>
      </c>
      <c r="D943" s="1" t="s">
        <v>3855</v>
      </c>
      <c r="E943" s="1">
        <v>1345</v>
      </c>
      <c r="F943" s="1" t="s">
        <v>3854</v>
      </c>
      <c r="G943" s="1">
        <v>1</v>
      </c>
      <c r="L943" s="1">
        <v>5000</v>
      </c>
      <c r="N943" s="1">
        <v>300</v>
      </c>
      <c r="P943" s="1">
        <v>100</v>
      </c>
      <c r="R943" s="1">
        <v>0</v>
      </c>
      <c r="Z943" s="1">
        <v>0.05</v>
      </c>
      <c r="AA943" s="1">
        <v>3.5</v>
      </c>
      <c r="AB943" s="1">
        <v>1</v>
      </c>
      <c r="AC943" s="1">
        <v>0.8</v>
      </c>
      <c r="AH943" s="1">
        <v>0</v>
      </c>
      <c r="AI943" s="1">
        <v>1</v>
      </c>
      <c r="AJ943" s="1" t="s">
        <v>3856</v>
      </c>
      <c r="AK943" s="1" t="s">
        <v>265</v>
      </c>
      <c r="AL943" s="1" t="s">
        <v>228</v>
      </c>
      <c r="AN943" s="22" t="s">
        <v>9767</v>
      </c>
      <c r="AX943" s="1">
        <v>1</v>
      </c>
      <c r="AZ943" s="1">
        <v>0.1</v>
      </c>
      <c r="BG943" s="1" t="s">
        <v>3854</v>
      </c>
      <c r="BM943" s="1" t="s">
        <v>3857</v>
      </c>
      <c r="BQ943" s="1" t="s">
        <v>207</v>
      </c>
      <c r="BR943" s="1" t="s">
        <v>208</v>
      </c>
      <c r="BS943" s="1" t="s">
        <v>229</v>
      </c>
      <c r="BT943" s="1" t="s">
        <v>210</v>
      </c>
      <c r="BX943" s="1">
        <v>1</v>
      </c>
    </row>
    <row r="944" spans="1:76" x14ac:dyDescent="0.25">
      <c r="A944" s="1" t="s">
        <v>3858</v>
      </c>
      <c r="B944" s="1" t="s">
        <v>203</v>
      </c>
      <c r="C944" s="1">
        <v>1</v>
      </c>
      <c r="D944" s="1" t="s">
        <v>3859</v>
      </c>
      <c r="E944" s="1">
        <v>1345</v>
      </c>
      <c r="F944" s="1" t="s">
        <v>3858</v>
      </c>
      <c r="G944" s="1">
        <v>1</v>
      </c>
      <c r="L944" s="1">
        <v>6000</v>
      </c>
      <c r="N944" s="1">
        <v>380</v>
      </c>
      <c r="P944" s="1">
        <v>150</v>
      </c>
      <c r="R944" s="1">
        <v>0</v>
      </c>
      <c r="Z944" s="1">
        <v>0.05</v>
      </c>
      <c r="AA944" s="1">
        <v>3.5</v>
      </c>
      <c r="AB944" s="1">
        <v>1</v>
      </c>
      <c r="AC944" s="1">
        <v>0.8</v>
      </c>
      <c r="AH944" s="1">
        <v>0</v>
      </c>
      <c r="AI944" s="1">
        <v>1</v>
      </c>
      <c r="AJ944" s="1" t="s">
        <v>3860</v>
      </c>
      <c r="AK944" s="1" t="s">
        <v>265</v>
      </c>
      <c r="AL944" s="1" t="s">
        <v>228</v>
      </c>
      <c r="AN944" s="22" t="s">
        <v>9767</v>
      </c>
      <c r="AX944" s="1">
        <v>1</v>
      </c>
      <c r="AZ944" s="1">
        <v>0.1</v>
      </c>
      <c r="BG944" s="1" t="s">
        <v>3858</v>
      </c>
      <c r="BM944" s="1" t="s">
        <v>3861</v>
      </c>
      <c r="BQ944" s="1" t="s">
        <v>207</v>
      </c>
      <c r="BR944" s="1" t="s">
        <v>208</v>
      </c>
      <c r="BS944" s="1" t="s">
        <v>229</v>
      </c>
      <c r="BT944" s="1" t="s">
        <v>210</v>
      </c>
      <c r="BX944" s="1">
        <v>1</v>
      </c>
    </row>
    <row r="945" spans="1:76" x14ac:dyDescent="0.25">
      <c r="A945" s="1" t="s">
        <v>3862</v>
      </c>
      <c r="B945" s="1" t="s">
        <v>203</v>
      </c>
      <c r="C945" s="1">
        <v>1</v>
      </c>
      <c r="D945" s="1" t="s">
        <v>3863</v>
      </c>
      <c r="E945" s="1">
        <v>1346</v>
      </c>
      <c r="F945" s="1" t="s">
        <v>3862</v>
      </c>
      <c r="G945" s="1">
        <v>1</v>
      </c>
      <c r="L945" s="1">
        <v>8000</v>
      </c>
      <c r="N945" s="1">
        <v>750</v>
      </c>
      <c r="P945" s="1">
        <v>250</v>
      </c>
      <c r="R945" s="1">
        <v>20</v>
      </c>
      <c r="Z945" s="1">
        <v>0.05</v>
      </c>
      <c r="AA945" s="1">
        <v>3.2</v>
      </c>
      <c r="AB945" s="1">
        <v>3</v>
      </c>
      <c r="AC945" s="1">
        <v>1.1000000000000001</v>
      </c>
      <c r="AH945" s="1">
        <v>0</v>
      </c>
      <c r="AI945" s="1">
        <v>1</v>
      </c>
      <c r="AJ945" s="1" t="s">
        <v>3864</v>
      </c>
      <c r="AK945" s="1" t="s">
        <v>265</v>
      </c>
      <c r="AL945" s="1" t="s">
        <v>228</v>
      </c>
      <c r="AN945" s="22" t="s">
        <v>9767</v>
      </c>
      <c r="AX945" s="1">
        <v>1</v>
      </c>
      <c r="AZ945" s="1">
        <v>0.1</v>
      </c>
      <c r="BG945" s="1" t="s">
        <v>3862</v>
      </c>
      <c r="BM945" s="1" t="s">
        <v>930</v>
      </c>
      <c r="BQ945" s="1" t="s">
        <v>207</v>
      </c>
      <c r="BR945" s="1" t="s">
        <v>208</v>
      </c>
      <c r="BS945" s="1" t="s">
        <v>229</v>
      </c>
      <c r="BT945" s="1" t="s">
        <v>210</v>
      </c>
      <c r="BX945" s="1">
        <v>1</v>
      </c>
    </row>
    <row r="946" spans="1:76" x14ac:dyDescent="0.25">
      <c r="A946" s="1" t="s">
        <v>3865</v>
      </c>
      <c r="B946" s="1" t="s">
        <v>203</v>
      </c>
      <c r="C946" s="1">
        <v>1</v>
      </c>
      <c r="D946" s="1" t="s">
        <v>3866</v>
      </c>
      <c r="E946" s="1">
        <v>1346</v>
      </c>
      <c r="F946" s="1" t="s">
        <v>3865</v>
      </c>
      <c r="G946" s="1">
        <v>1</v>
      </c>
      <c r="L946" s="1">
        <v>10000</v>
      </c>
      <c r="N946" s="1">
        <v>900</v>
      </c>
      <c r="P946" s="1">
        <v>300</v>
      </c>
      <c r="R946" s="1">
        <v>20</v>
      </c>
      <c r="Z946" s="1">
        <v>0.05</v>
      </c>
      <c r="AA946" s="1">
        <v>3.2</v>
      </c>
      <c r="AB946" s="1">
        <v>3</v>
      </c>
      <c r="AC946" s="1">
        <v>1.1000000000000001</v>
      </c>
      <c r="AH946" s="1">
        <v>0</v>
      </c>
      <c r="AI946" s="1">
        <v>1</v>
      </c>
      <c r="AJ946" s="1" t="s">
        <v>3867</v>
      </c>
      <c r="AK946" s="1" t="s">
        <v>265</v>
      </c>
      <c r="AL946" s="1" t="s">
        <v>228</v>
      </c>
      <c r="AN946" s="22" t="s">
        <v>9767</v>
      </c>
      <c r="AX946" s="1">
        <v>1</v>
      </c>
      <c r="AZ946" s="1">
        <v>0.1</v>
      </c>
      <c r="BG946" s="1" t="s">
        <v>3865</v>
      </c>
      <c r="BM946" s="1" t="s">
        <v>930</v>
      </c>
      <c r="BQ946" s="1" t="s">
        <v>207</v>
      </c>
      <c r="BR946" s="1" t="s">
        <v>208</v>
      </c>
      <c r="BS946" s="1" t="s">
        <v>229</v>
      </c>
      <c r="BT946" s="1" t="s">
        <v>210</v>
      </c>
      <c r="BX946" s="1">
        <v>1</v>
      </c>
    </row>
    <row r="947" spans="1:76" x14ac:dyDescent="0.25">
      <c r="A947" s="1" t="s">
        <v>3868</v>
      </c>
      <c r="B947" s="1" t="s">
        <v>203</v>
      </c>
      <c r="C947" s="1">
        <v>1</v>
      </c>
      <c r="D947" s="1" t="s">
        <v>3869</v>
      </c>
      <c r="E947" s="1">
        <v>1347</v>
      </c>
      <c r="F947" s="1" t="s">
        <v>3868</v>
      </c>
      <c r="G947" s="1">
        <v>1</v>
      </c>
      <c r="L947" s="1">
        <v>18000</v>
      </c>
      <c r="N947" s="1">
        <v>550</v>
      </c>
      <c r="P947" s="1">
        <v>50</v>
      </c>
      <c r="R947" s="1">
        <v>20</v>
      </c>
      <c r="Z947" s="1">
        <v>0.05</v>
      </c>
      <c r="AA947" s="1">
        <v>3.5</v>
      </c>
      <c r="AB947" s="1">
        <v>1</v>
      </c>
      <c r="AC947" s="1">
        <v>0.35</v>
      </c>
      <c r="AH947" s="1">
        <v>0</v>
      </c>
      <c r="AI947" s="1">
        <v>1</v>
      </c>
      <c r="AJ947" s="1" t="s">
        <v>3870</v>
      </c>
      <c r="AK947" s="1" t="s">
        <v>265</v>
      </c>
      <c r="AL947" s="1" t="s">
        <v>228</v>
      </c>
      <c r="AN947" s="22" t="s">
        <v>9767</v>
      </c>
      <c r="AX947" s="1">
        <v>1</v>
      </c>
      <c r="AZ947" s="1">
        <v>0.1</v>
      </c>
      <c r="BG947" s="1" t="s">
        <v>3868</v>
      </c>
      <c r="BM947" s="1" t="s">
        <v>936</v>
      </c>
      <c r="BQ947" s="1" t="s">
        <v>207</v>
      </c>
      <c r="BR947" s="1" t="s">
        <v>208</v>
      </c>
      <c r="BS947" s="1" t="s">
        <v>229</v>
      </c>
      <c r="BT947" s="1" t="s">
        <v>210</v>
      </c>
      <c r="BX947" s="1">
        <v>1</v>
      </c>
    </row>
    <row r="948" spans="1:76" x14ac:dyDescent="0.25">
      <c r="A948" s="1" t="s">
        <v>3871</v>
      </c>
      <c r="B948" s="1" t="s">
        <v>203</v>
      </c>
      <c r="C948" s="1">
        <v>1</v>
      </c>
      <c r="D948" s="1" t="s">
        <v>3872</v>
      </c>
      <c r="E948" s="1">
        <v>1347</v>
      </c>
      <c r="F948" s="1" t="s">
        <v>3871</v>
      </c>
      <c r="G948" s="1">
        <v>1</v>
      </c>
      <c r="L948" s="1">
        <v>25000</v>
      </c>
      <c r="N948" s="1">
        <v>650</v>
      </c>
      <c r="P948" s="1">
        <v>100</v>
      </c>
      <c r="R948" s="1">
        <v>25</v>
      </c>
      <c r="Z948" s="1">
        <v>0.05</v>
      </c>
      <c r="AA948" s="1">
        <v>3.5</v>
      </c>
      <c r="AB948" s="1">
        <v>1</v>
      </c>
      <c r="AC948" s="1">
        <v>0.35</v>
      </c>
      <c r="AH948" s="1">
        <v>0</v>
      </c>
      <c r="AI948" s="1">
        <v>1</v>
      </c>
      <c r="AJ948" s="1" t="s">
        <v>3873</v>
      </c>
      <c r="AK948" s="1" t="s">
        <v>265</v>
      </c>
      <c r="AL948" s="1" t="s">
        <v>228</v>
      </c>
      <c r="AN948" s="22" t="s">
        <v>9767</v>
      </c>
      <c r="AX948" s="1">
        <v>1</v>
      </c>
      <c r="AZ948" s="1">
        <v>0.1</v>
      </c>
      <c r="BG948" s="1" t="s">
        <v>3871</v>
      </c>
      <c r="BM948" s="1" t="s">
        <v>936</v>
      </c>
      <c r="BQ948" s="1" t="s">
        <v>207</v>
      </c>
      <c r="BR948" s="1" t="s">
        <v>208</v>
      </c>
      <c r="BS948" s="1" t="s">
        <v>229</v>
      </c>
      <c r="BT948" s="1" t="s">
        <v>210</v>
      </c>
      <c r="BX948" s="1">
        <v>1</v>
      </c>
    </row>
    <row r="949" spans="1:76" x14ac:dyDescent="0.25">
      <c r="A949" s="1" t="s">
        <v>3874</v>
      </c>
      <c r="B949" s="1" t="s">
        <v>203</v>
      </c>
      <c r="C949" s="1">
        <v>1</v>
      </c>
      <c r="D949" s="1" t="s">
        <v>3875</v>
      </c>
      <c r="E949" s="1">
        <v>1348</v>
      </c>
      <c r="F949" s="1" t="s">
        <v>3874</v>
      </c>
      <c r="G949" s="1">
        <v>1</v>
      </c>
      <c r="L949" s="1">
        <v>5000</v>
      </c>
      <c r="N949" s="1">
        <v>1000</v>
      </c>
      <c r="P949" s="1">
        <v>250</v>
      </c>
      <c r="R949" s="1">
        <v>0</v>
      </c>
      <c r="Z949" s="1">
        <v>0.05</v>
      </c>
      <c r="AA949" s="1">
        <v>2</v>
      </c>
      <c r="AB949" s="1">
        <v>2</v>
      </c>
      <c r="AC949" s="1">
        <v>1.5</v>
      </c>
      <c r="AH949" s="1">
        <v>0</v>
      </c>
      <c r="AI949" s="1">
        <v>1</v>
      </c>
      <c r="AJ949" s="1" t="s">
        <v>3876</v>
      </c>
      <c r="AK949" s="1" t="s">
        <v>265</v>
      </c>
      <c r="AL949" s="1" t="s">
        <v>228</v>
      </c>
      <c r="AN949" s="22" t="s">
        <v>9767</v>
      </c>
      <c r="AX949" s="1">
        <v>2</v>
      </c>
      <c r="AZ949" s="1">
        <v>0.1</v>
      </c>
      <c r="BG949" s="1" t="s">
        <v>3874</v>
      </c>
      <c r="BM949" s="1" t="s">
        <v>930</v>
      </c>
      <c r="BQ949" s="1" t="s">
        <v>207</v>
      </c>
      <c r="BR949" s="1" t="s">
        <v>208</v>
      </c>
      <c r="BS949" s="1" t="s">
        <v>229</v>
      </c>
      <c r="BT949" s="1" t="s">
        <v>210</v>
      </c>
      <c r="BX949" s="1">
        <v>1</v>
      </c>
    </row>
    <row r="950" spans="1:76" x14ac:dyDescent="0.25">
      <c r="A950" s="1" t="s">
        <v>3877</v>
      </c>
      <c r="B950" s="1" t="s">
        <v>203</v>
      </c>
      <c r="C950" s="1">
        <v>1</v>
      </c>
      <c r="D950" s="1" t="s">
        <v>3878</v>
      </c>
      <c r="E950" s="1">
        <v>1348</v>
      </c>
      <c r="F950" s="1" t="s">
        <v>3877</v>
      </c>
      <c r="G950" s="1">
        <v>1</v>
      </c>
      <c r="L950" s="1">
        <v>6000</v>
      </c>
      <c r="N950" s="1">
        <v>1250</v>
      </c>
      <c r="P950" s="1">
        <v>300</v>
      </c>
      <c r="R950" s="1">
        <v>0</v>
      </c>
      <c r="Z950" s="1">
        <v>0.05</v>
      </c>
      <c r="AA950" s="1">
        <v>2</v>
      </c>
      <c r="AB950" s="1">
        <v>2</v>
      </c>
      <c r="AC950" s="1">
        <v>1.5</v>
      </c>
      <c r="AH950" s="1">
        <v>0</v>
      </c>
      <c r="AI950" s="1">
        <v>1</v>
      </c>
      <c r="AJ950" s="1" t="s">
        <v>3879</v>
      </c>
      <c r="AK950" s="1" t="s">
        <v>265</v>
      </c>
      <c r="AL950" s="1" t="s">
        <v>228</v>
      </c>
      <c r="AN950" s="22" t="s">
        <v>9767</v>
      </c>
      <c r="AX950" s="1">
        <v>2</v>
      </c>
      <c r="AZ950" s="1">
        <v>0.1</v>
      </c>
      <c r="BG950" s="1" t="s">
        <v>3877</v>
      </c>
      <c r="BM950" s="1" t="s">
        <v>930</v>
      </c>
      <c r="BQ950" s="1" t="s">
        <v>207</v>
      </c>
      <c r="BR950" s="1" t="s">
        <v>208</v>
      </c>
      <c r="BS950" s="1" t="s">
        <v>229</v>
      </c>
      <c r="BT950" s="1" t="s">
        <v>210</v>
      </c>
      <c r="BX950" s="1">
        <v>1</v>
      </c>
    </row>
    <row r="951" spans="1:76" x14ac:dyDescent="0.25">
      <c r="A951" s="1" t="s">
        <v>3880</v>
      </c>
      <c r="B951" s="1" t="s">
        <v>203</v>
      </c>
      <c r="C951" s="1">
        <v>1</v>
      </c>
      <c r="D951" s="1" t="s">
        <v>3881</v>
      </c>
      <c r="E951" s="1">
        <v>1349</v>
      </c>
      <c r="F951" s="1" t="s">
        <v>3880</v>
      </c>
      <c r="G951" s="1">
        <v>1</v>
      </c>
      <c r="L951" s="1">
        <v>15000</v>
      </c>
      <c r="N951" s="1">
        <v>1200</v>
      </c>
      <c r="P951" s="1">
        <v>1200</v>
      </c>
      <c r="R951" s="1">
        <v>20</v>
      </c>
      <c r="Z951" s="1">
        <v>0.05</v>
      </c>
      <c r="AA951" s="1">
        <v>5</v>
      </c>
      <c r="AB951" s="1">
        <v>5</v>
      </c>
      <c r="AC951" s="1">
        <v>0.5</v>
      </c>
      <c r="AH951" s="1">
        <v>0</v>
      </c>
      <c r="AI951" s="1">
        <v>1</v>
      </c>
      <c r="AJ951" s="1" t="s">
        <v>3882</v>
      </c>
      <c r="AK951" s="1" t="s">
        <v>265</v>
      </c>
      <c r="AL951" s="1" t="s">
        <v>228</v>
      </c>
      <c r="AN951" s="22" t="s">
        <v>9767</v>
      </c>
      <c r="AX951" s="1">
        <v>1</v>
      </c>
      <c r="AZ951" s="1">
        <v>0.1</v>
      </c>
      <c r="BG951" s="1" t="s">
        <v>3880</v>
      </c>
      <c r="BM951" s="1" t="s">
        <v>989</v>
      </c>
      <c r="BQ951" s="1" t="s">
        <v>207</v>
      </c>
      <c r="BR951" s="1" t="s">
        <v>208</v>
      </c>
      <c r="BS951" s="1" t="s">
        <v>229</v>
      </c>
      <c r="BT951" s="1" t="s">
        <v>210</v>
      </c>
      <c r="BX951" s="1">
        <v>1</v>
      </c>
    </row>
    <row r="952" spans="1:76" x14ac:dyDescent="0.25">
      <c r="A952" s="1" t="s">
        <v>3883</v>
      </c>
      <c r="B952" s="1" t="s">
        <v>203</v>
      </c>
      <c r="C952" s="1">
        <v>1</v>
      </c>
      <c r="D952" s="1" t="s">
        <v>3884</v>
      </c>
      <c r="E952" s="1">
        <v>1349</v>
      </c>
      <c r="F952" s="1" t="s">
        <v>3883</v>
      </c>
      <c r="G952" s="1">
        <v>1</v>
      </c>
      <c r="L952" s="1">
        <v>18000</v>
      </c>
      <c r="N952" s="1">
        <v>1500</v>
      </c>
      <c r="P952" s="1">
        <v>1500</v>
      </c>
      <c r="R952" s="1">
        <v>25</v>
      </c>
      <c r="Z952" s="1">
        <v>0.05</v>
      </c>
      <c r="AA952" s="1">
        <v>5</v>
      </c>
      <c r="AB952" s="1">
        <v>5</v>
      </c>
      <c r="AC952" s="1">
        <v>0.5</v>
      </c>
      <c r="AH952" s="1">
        <v>0</v>
      </c>
      <c r="AI952" s="1">
        <v>1</v>
      </c>
      <c r="AJ952" s="1" t="s">
        <v>3885</v>
      </c>
      <c r="AK952" s="1" t="s">
        <v>265</v>
      </c>
      <c r="AL952" s="1" t="s">
        <v>228</v>
      </c>
      <c r="AN952" s="22" t="s">
        <v>9767</v>
      </c>
      <c r="AX952" s="1">
        <v>1</v>
      </c>
      <c r="AZ952" s="1">
        <v>0.1</v>
      </c>
      <c r="BG952" s="1" t="s">
        <v>3883</v>
      </c>
      <c r="BM952" s="1" t="s">
        <v>989</v>
      </c>
      <c r="BQ952" s="1" t="s">
        <v>207</v>
      </c>
      <c r="BR952" s="1" t="s">
        <v>208</v>
      </c>
      <c r="BS952" s="1" t="s">
        <v>229</v>
      </c>
      <c r="BT952" s="1" t="s">
        <v>210</v>
      </c>
      <c r="BX952" s="1">
        <v>1</v>
      </c>
    </row>
    <row r="953" spans="1:76" x14ac:dyDescent="0.25">
      <c r="A953" s="1" t="s">
        <v>3886</v>
      </c>
      <c r="B953" s="1" t="s">
        <v>203</v>
      </c>
      <c r="C953" s="1">
        <v>1</v>
      </c>
      <c r="D953" s="1" t="s">
        <v>3887</v>
      </c>
      <c r="E953" s="1">
        <v>1350</v>
      </c>
      <c r="F953" s="1" t="s">
        <v>3886</v>
      </c>
      <c r="G953" s="1">
        <v>1</v>
      </c>
      <c r="L953" s="1">
        <v>7000</v>
      </c>
      <c r="N953" s="1">
        <v>380</v>
      </c>
      <c r="P953" s="1">
        <v>250</v>
      </c>
      <c r="R953" s="1">
        <v>50</v>
      </c>
      <c r="Z953" s="1">
        <v>0.05</v>
      </c>
      <c r="AA953" s="1">
        <v>3.2</v>
      </c>
      <c r="AB953" s="1">
        <v>2</v>
      </c>
      <c r="AC953" s="1">
        <v>0.7</v>
      </c>
      <c r="AH953" s="1">
        <v>0</v>
      </c>
      <c r="AI953" s="1">
        <v>1</v>
      </c>
      <c r="AJ953" s="1" t="s">
        <v>3888</v>
      </c>
      <c r="AK953" s="1" t="s">
        <v>3494</v>
      </c>
      <c r="AL953" s="1" t="s">
        <v>228</v>
      </c>
      <c r="AN953" s="22" t="s">
        <v>9767</v>
      </c>
      <c r="AX953" s="1">
        <v>1</v>
      </c>
      <c r="AZ953" s="1">
        <v>0.1</v>
      </c>
      <c r="BG953" s="1" t="s">
        <v>3886</v>
      </c>
      <c r="BM953" s="1" t="s">
        <v>957</v>
      </c>
      <c r="BQ953" s="1" t="s">
        <v>207</v>
      </c>
      <c r="BR953" s="1" t="s">
        <v>208</v>
      </c>
      <c r="BS953" s="1" t="s">
        <v>229</v>
      </c>
      <c r="BT953" s="1" t="s">
        <v>210</v>
      </c>
      <c r="BX953" s="1">
        <v>1</v>
      </c>
    </row>
    <row r="954" spans="1:76" x14ac:dyDescent="0.25">
      <c r="A954" s="1" t="s">
        <v>3889</v>
      </c>
      <c r="B954" s="1" t="s">
        <v>203</v>
      </c>
      <c r="C954" s="1">
        <v>1</v>
      </c>
      <c r="D954" s="1" t="s">
        <v>3890</v>
      </c>
      <c r="E954" s="1">
        <v>1350</v>
      </c>
      <c r="F954" s="1" t="s">
        <v>3889</v>
      </c>
      <c r="G954" s="1">
        <v>1</v>
      </c>
      <c r="L954" s="1">
        <v>9000</v>
      </c>
      <c r="N954" s="1">
        <v>550</v>
      </c>
      <c r="P954" s="1">
        <v>280</v>
      </c>
      <c r="R954" s="1">
        <v>60</v>
      </c>
      <c r="Z954" s="1">
        <v>0.05</v>
      </c>
      <c r="AA954" s="1">
        <v>3.2</v>
      </c>
      <c r="AB954" s="1">
        <v>2</v>
      </c>
      <c r="AC954" s="1">
        <v>0.7</v>
      </c>
      <c r="AH954" s="1">
        <v>0</v>
      </c>
      <c r="AI954" s="1">
        <v>1</v>
      </c>
      <c r="AJ954" s="1" t="s">
        <v>3891</v>
      </c>
      <c r="AK954" s="1" t="s">
        <v>3494</v>
      </c>
      <c r="AL954" s="1" t="s">
        <v>228</v>
      </c>
      <c r="AN954" s="22" t="s">
        <v>9767</v>
      </c>
      <c r="AX954" s="1">
        <v>1</v>
      </c>
      <c r="AZ954" s="1">
        <v>0.1</v>
      </c>
      <c r="BG954" s="1" t="s">
        <v>3889</v>
      </c>
      <c r="BM954" s="1" t="s">
        <v>957</v>
      </c>
      <c r="BQ954" s="1" t="s">
        <v>207</v>
      </c>
      <c r="BR954" s="1" t="s">
        <v>208</v>
      </c>
      <c r="BS954" s="1" t="s">
        <v>229</v>
      </c>
      <c r="BT954" s="1" t="s">
        <v>210</v>
      </c>
      <c r="BX954" s="1">
        <v>1</v>
      </c>
    </row>
    <row r="955" spans="1:76" x14ac:dyDescent="0.25">
      <c r="A955" s="1" t="s">
        <v>3892</v>
      </c>
      <c r="B955" s="1" t="s">
        <v>203</v>
      </c>
      <c r="C955" s="1">
        <v>1</v>
      </c>
      <c r="D955" s="1" t="s">
        <v>3893</v>
      </c>
      <c r="E955" s="1">
        <v>1351</v>
      </c>
      <c r="F955" s="1" t="s">
        <v>3892</v>
      </c>
      <c r="G955" s="1">
        <v>1</v>
      </c>
      <c r="L955" s="1">
        <v>500</v>
      </c>
      <c r="N955" s="1">
        <v>500</v>
      </c>
      <c r="P955" s="1">
        <v>50</v>
      </c>
      <c r="R955" s="1">
        <v>50</v>
      </c>
      <c r="Z955" s="1">
        <v>0.05</v>
      </c>
      <c r="AA955" s="1">
        <v>5</v>
      </c>
      <c r="AB955" s="1">
        <v>1</v>
      </c>
      <c r="AC955" s="1">
        <v>0</v>
      </c>
      <c r="AH955" s="1">
        <v>0</v>
      </c>
      <c r="AI955" s="1">
        <v>1</v>
      </c>
      <c r="AJ955" s="1" t="s">
        <v>3894</v>
      </c>
      <c r="AK955" s="1" t="s">
        <v>265</v>
      </c>
      <c r="AL955" s="1" t="s">
        <v>228</v>
      </c>
      <c r="AN955" s="22" t="s">
        <v>9767</v>
      </c>
      <c r="AX955" s="1">
        <v>0</v>
      </c>
      <c r="AZ955" s="1">
        <v>0.1</v>
      </c>
      <c r="BG955" s="1" t="s">
        <v>3892</v>
      </c>
      <c r="BM955" s="1" t="s">
        <v>3114</v>
      </c>
      <c r="BQ955" s="1" t="s">
        <v>207</v>
      </c>
      <c r="BR955" s="1" t="s">
        <v>208</v>
      </c>
      <c r="BS955" s="1" t="s">
        <v>208</v>
      </c>
      <c r="BT955" s="1" t="s">
        <v>208</v>
      </c>
      <c r="BX955" s="1">
        <v>1</v>
      </c>
    </row>
    <row r="956" spans="1:76" x14ac:dyDescent="0.25">
      <c r="A956" s="1" t="s">
        <v>3895</v>
      </c>
      <c r="B956" s="1" t="s">
        <v>203</v>
      </c>
      <c r="C956" s="1">
        <v>1</v>
      </c>
      <c r="D956" s="1" t="s">
        <v>3896</v>
      </c>
      <c r="E956" s="1">
        <v>1545</v>
      </c>
      <c r="F956" s="1" t="s">
        <v>3895</v>
      </c>
      <c r="G956" s="1">
        <v>1</v>
      </c>
      <c r="L956" s="1">
        <v>60000</v>
      </c>
      <c r="N956" s="1">
        <v>750</v>
      </c>
      <c r="P956" s="1">
        <v>800</v>
      </c>
      <c r="R956" s="1">
        <v>60</v>
      </c>
      <c r="Z956" s="1">
        <v>0.05</v>
      </c>
      <c r="AA956" s="1">
        <v>7</v>
      </c>
      <c r="AB956" s="1">
        <v>3</v>
      </c>
      <c r="AC956" s="1">
        <v>0.35</v>
      </c>
      <c r="AH956" s="1">
        <v>0</v>
      </c>
      <c r="AI956" s="1">
        <v>1</v>
      </c>
      <c r="AJ956" s="1" t="s">
        <v>3897</v>
      </c>
      <c r="AK956" s="1" t="s">
        <v>265</v>
      </c>
      <c r="AL956" s="1" t="s">
        <v>228</v>
      </c>
      <c r="AN956" s="22" t="s">
        <v>9767</v>
      </c>
      <c r="AX956" s="1">
        <v>2</v>
      </c>
      <c r="AZ956" s="1">
        <v>0.1</v>
      </c>
      <c r="BG956" s="1" t="s">
        <v>3895</v>
      </c>
      <c r="BM956" s="1" t="s">
        <v>3898</v>
      </c>
      <c r="BQ956" s="1" t="s">
        <v>3328</v>
      </c>
      <c r="BR956" s="1" t="s">
        <v>1935</v>
      </c>
      <c r="BS956" s="1" t="s">
        <v>1936</v>
      </c>
      <c r="BT956" s="1" t="s">
        <v>3329</v>
      </c>
      <c r="BX956" s="1">
        <v>1</v>
      </c>
    </row>
    <row r="957" spans="1:76" x14ac:dyDescent="0.25">
      <c r="A957" s="1" t="s">
        <v>3899</v>
      </c>
      <c r="B957" s="1" t="s">
        <v>203</v>
      </c>
      <c r="C957" s="1">
        <v>1</v>
      </c>
      <c r="D957" s="1" t="s">
        <v>3900</v>
      </c>
      <c r="E957" s="1">
        <v>1352</v>
      </c>
      <c r="F957" s="1" t="s">
        <v>3899</v>
      </c>
      <c r="G957" s="1">
        <v>1</v>
      </c>
      <c r="L957" s="1">
        <v>2000</v>
      </c>
      <c r="N957" s="1">
        <v>90</v>
      </c>
      <c r="P957" s="1">
        <v>50</v>
      </c>
      <c r="R957" s="1">
        <v>10</v>
      </c>
      <c r="Z957" s="1">
        <v>0.05</v>
      </c>
      <c r="AA957" s="1">
        <v>1.7</v>
      </c>
      <c r="AB957" s="1">
        <v>0</v>
      </c>
      <c r="AC957" s="1">
        <v>1</v>
      </c>
      <c r="AH957" s="1">
        <v>0</v>
      </c>
      <c r="AI957" s="1">
        <v>1</v>
      </c>
      <c r="AJ957" s="1" t="s">
        <v>3901</v>
      </c>
      <c r="AK957" s="1" t="s">
        <v>265</v>
      </c>
      <c r="AL957" s="1" t="s">
        <v>228</v>
      </c>
      <c r="AN957" s="22" t="s">
        <v>9767</v>
      </c>
      <c r="AX957" s="1">
        <v>1</v>
      </c>
      <c r="AZ957" s="1">
        <v>0.1</v>
      </c>
      <c r="BG957" s="1" t="s">
        <v>3899</v>
      </c>
      <c r="BM957" s="1" t="s">
        <v>888</v>
      </c>
      <c r="BQ957" s="1" t="s">
        <v>207</v>
      </c>
      <c r="BR957" s="1" t="s">
        <v>208</v>
      </c>
      <c r="BS957" s="1" t="s">
        <v>229</v>
      </c>
      <c r="BT957" s="1" t="s">
        <v>210</v>
      </c>
      <c r="BX957" s="1">
        <v>1</v>
      </c>
    </row>
    <row r="958" spans="1:76" x14ac:dyDescent="0.25">
      <c r="A958" s="1" t="s">
        <v>3902</v>
      </c>
      <c r="B958" s="1" t="s">
        <v>203</v>
      </c>
      <c r="C958" s="1">
        <v>1</v>
      </c>
      <c r="D958" s="1" t="s">
        <v>3903</v>
      </c>
      <c r="E958" s="1">
        <v>1352</v>
      </c>
      <c r="F958" s="1" t="s">
        <v>3902</v>
      </c>
      <c r="G958" s="1">
        <v>1</v>
      </c>
      <c r="L958" s="1">
        <v>3500</v>
      </c>
      <c r="N958" s="1">
        <v>150</v>
      </c>
      <c r="P958" s="1">
        <v>50</v>
      </c>
      <c r="R958" s="1">
        <v>15</v>
      </c>
      <c r="Z958" s="1">
        <v>0.05</v>
      </c>
      <c r="AA958" s="1">
        <v>1.7</v>
      </c>
      <c r="AB958" s="1">
        <v>0</v>
      </c>
      <c r="AC958" s="1">
        <v>1</v>
      </c>
      <c r="AH958" s="1">
        <v>0</v>
      </c>
      <c r="AI958" s="1">
        <v>1</v>
      </c>
      <c r="AJ958" s="1" t="s">
        <v>9705</v>
      </c>
      <c r="AK958" s="1" t="s">
        <v>265</v>
      </c>
      <c r="AL958" s="1" t="s">
        <v>228</v>
      </c>
      <c r="AN958" s="22" t="s">
        <v>9767</v>
      </c>
      <c r="AX958" s="1">
        <v>1</v>
      </c>
      <c r="AZ958" s="1">
        <v>0.1</v>
      </c>
      <c r="BG958" s="1" t="s">
        <v>3902</v>
      </c>
      <c r="BM958" s="1" t="s">
        <v>888</v>
      </c>
      <c r="BQ958" s="1" t="s">
        <v>207</v>
      </c>
      <c r="BR958" s="1" t="s">
        <v>208</v>
      </c>
      <c r="BS958" s="1" t="s">
        <v>229</v>
      </c>
      <c r="BT958" s="1" t="s">
        <v>210</v>
      </c>
      <c r="BX958" s="1">
        <v>1</v>
      </c>
    </row>
    <row r="959" spans="1:76" x14ac:dyDescent="0.25">
      <c r="A959" s="1" t="s">
        <v>3904</v>
      </c>
      <c r="B959" s="1" t="s">
        <v>203</v>
      </c>
      <c r="C959" s="1">
        <v>1</v>
      </c>
      <c r="D959" s="1" t="s">
        <v>3905</v>
      </c>
      <c r="E959" s="1">
        <v>1353</v>
      </c>
      <c r="F959" s="1" t="s">
        <v>3904</v>
      </c>
      <c r="G959" s="1">
        <v>1</v>
      </c>
      <c r="L959" s="1">
        <v>5000</v>
      </c>
      <c r="N959" s="1">
        <v>250</v>
      </c>
      <c r="P959" s="1">
        <v>100</v>
      </c>
      <c r="R959" s="1">
        <v>0</v>
      </c>
      <c r="Z959" s="1">
        <v>0.05</v>
      </c>
      <c r="AA959" s="1">
        <v>2</v>
      </c>
      <c r="AB959" s="1">
        <v>1</v>
      </c>
      <c r="AC959" s="1">
        <v>0.9</v>
      </c>
      <c r="AH959" s="1">
        <v>0</v>
      </c>
      <c r="AI959" s="1">
        <v>1</v>
      </c>
      <c r="AJ959" s="1" t="s">
        <v>3906</v>
      </c>
      <c r="AK959" s="1" t="s">
        <v>3507</v>
      </c>
      <c r="AL959" s="1" t="s">
        <v>228</v>
      </c>
      <c r="AN959" s="22" t="s">
        <v>9772</v>
      </c>
      <c r="AX959" s="1">
        <v>1</v>
      </c>
      <c r="AZ959" s="1">
        <v>0.1</v>
      </c>
      <c r="BG959" s="1" t="s">
        <v>3904</v>
      </c>
      <c r="BM959" s="1" t="s">
        <v>3907</v>
      </c>
      <c r="BQ959" s="1" t="s">
        <v>207</v>
      </c>
      <c r="BR959" s="1" t="s">
        <v>208</v>
      </c>
      <c r="BS959" s="1" t="s">
        <v>229</v>
      </c>
      <c r="BT959" s="1" t="s">
        <v>210</v>
      </c>
      <c r="BX959" s="1">
        <v>1</v>
      </c>
    </row>
    <row r="960" spans="1:76" x14ac:dyDescent="0.25">
      <c r="A960" s="1" t="s">
        <v>3908</v>
      </c>
      <c r="B960" s="1" t="s">
        <v>203</v>
      </c>
      <c r="C960" s="1">
        <v>1</v>
      </c>
      <c r="D960" s="1" t="s">
        <v>3909</v>
      </c>
      <c r="E960" s="1">
        <v>1353</v>
      </c>
      <c r="F960" s="1" t="s">
        <v>3908</v>
      </c>
      <c r="G960" s="1">
        <v>1</v>
      </c>
      <c r="L960" s="1">
        <v>6000</v>
      </c>
      <c r="N960" s="1">
        <v>300</v>
      </c>
      <c r="P960" s="1">
        <v>150</v>
      </c>
      <c r="R960" s="1">
        <v>0</v>
      </c>
      <c r="Z960" s="1">
        <v>0.05</v>
      </c>
      <c r="AA960" s="1">
        <v>2</v>
      </c>
      <c r="AB960" s="1">
        <v>1</v>
      </c>
      <c r="AC960" s="1">
        <v>0.9</v>
      </c>
      <c r="AH960" s="1">
        <v>0</v>
      </c>
      <c r="AI960" s="1">
        <v>1</v>
      </c>
      <c r="AJ960" s="1" t="s">
        <v>3910</v>
      </c>
      <c r="AK960" s="1" t="s">
        <v>3507</v>
      </c>
      <c r="AL960" s="1" t="s">
        <v>228</v>
      </c>
      <c r="AN960" s="22" t="s">
        <v>9772</v>
      </c>
      <c r="AX960" s="1">
        <v>1</v>
      </c>
      <c r="AZ960" s="1">
        <v>0.1</v>
      </c>
      <c r="BG960" s="1" t="s">
        <v>3908</v>
      </c>
      <c r="BM960" s="1" t="s">
        <v>3907</v>
      </c>
      <c r="BQ960" s="1" t="s">
        <v>207</v>
      </c>
      <c r="BR960" s="1" t="s">
        <v>208</v>
      </c>
      <c r="BS960" s="1" t="s">
        <v>229</v>
      </c>
      <c r="BT960" s="1" t="s">
        <v>210</v>
      </c>
      <c r="BX960" s="1">
        <v>1</v>
      </c>
    </row>
    <row r="961" spans="1:76" x14ac:dyDescent="0.25">
      <c r="A961" s="1" t="s">
        <v>3911</v>
      </c>
      <c r="B961" s="1" t="s">
        <v>203</v>
      </c>
      <c r="C961" s="1">
        <v>1</v>
      </c>
      <c r="D961" s="1" t="s">
        <v>3912</v>
      </c>
      <c r="E961" s="1">
        <v>1354</v>
      </c>
      <c r="F961" s="1" t="s">
        <v>3911</v>
      </c>
      <c r="G961" s="1">
        <v>1</v>
      </c>
      <c r="L961" s="1">
        <v>5000</v>
      </c>
      <c r="N961" s="1">
        <v>100</v>
      </c>
      <c r="P961" s="1">
        <v>120</v>
      </c>
      <c r="R961" s="1">
        <v>10</v>
      </c>
      <c r="Z961" s="1">
        <v>0.05</v>
      </c>
      <c r="AA961" s="1">
        <v>2</v>
      </c>
      <c r="AB961" s="1">
        <v>1</v>
      </c>
      <c r="AC961" s="1">
        <v>1.2</v>
      </c>
      <c r="AH961" s="1">
        <v>0</v>
      </c>
      <c r="AI961" s="1">
        <v>1</v>
      </c>
      <c r="AJ961" s="1" t="s">
        <v>3913</v>
      </c>
      <c r="AK961" s="1" t="s">
        <v>3507</v>
      </c>
      <c r="AL961" s="1" t="s">
        <v>228</v>
      </c>
      <c r="AN961" s="22" t="s">
        <v>9772</v>
      </c>
      <c r="AX961" s="1">
        <v>1</v>
      </c>
      <c r="AZ961" s="1">
        <v>0.1</v>
      </c>
      <c r="BG961" s="1" t="s">
        <v>3911</v>
      </c>
      <c r="BM961" s="1" t="s">
        <v>3914</v>
      </c>
      <c r="BQ961" s="1" t="s">
        <v>207</v>
      </c>
      <c r="BR961" s="1" t="s">
        <v>208</v>
      </c>
      <c r="BS961" s="1" t="s">
        <v>229</v>
      </c>
      <c r="BT961" s="1" t="s">
        <v>210</v>
      </c>
      <c r="BX961" s="1">
        <v>1</v>
      </c>
    </row>
    <row r="962" spans="1:76" x14ac:dyDescent="0.25">
      <c r="A962" s="1" t="s">
        <v>3915</v>
      </c>
      <c r="B962" s="1" t="s">
        <v>203</v>
      </c>
      <c r="C962" s="1">
        <v>1</v>
      </c>
      <c r="D962" s="1" t="s">
        <v>3916</v>
      </c>
      <c r="E962" s="1">
        <v>1354</v>
      </c>
      <c r="F962" s="1" t="s">
        <v>3915</v>
      </c>
      <c r="G962" s="1">
        <v>1</v>
      </c>
      <c r="L962" s="1">
        <v>7000</v>
      </c>
      <c r="N962" s="1">
        <v>100</v>
      </c>
      <c r="P962" s="1">
        <v>180</v>
      </c>
      <c r="R962" s="1">
        <v>10</v>
      </c>
      <c r="Z962" s="1">
        <v>0.05</v>
      </c>
      <c r="AA962" s="1">
        <v>2</v>
      </c>
      <c r="AB962" s="1">
        <v>1</v>
      </c>
      <c r="AC962" s="1">
        <v>1.2</v>
      </c>
      <c r="AH962" s="1">
        <v>0</v>
      </c>
      <c r="AI962" s="1">
        <v>1</v>
      </c>
      <c r="AJ962" s="1" t="s">
        <v>3917</v>
      </c>
      <c r="AK962" s="1" t="s">
        <v>3507</v>
      </c>
      <c r="AL962" s="1" t="s">
        <v>228</v>
      </c>
      <c r="AN962" s="22" t="s">
        <v>9772</v>
      </c>
      <c r="AX962" s="1">
        <v>1</v>
      </c>
      <c r="AZ962" s="1">
        <v>0.1</v>
      </c>
      <c r="BG962" s="1" t="s">
        <v>3915</v>
      </c>
      <c r="BM962" s="1" t="s">
        <v>3914</v>
      </c>
      <c r="BQ962" s="1" t="s">
        <v>207</v>
      </c>
      <c r="BR962" s="1" t="s">
        <v>208</v>
      </c>
      <c r="BS962" s="1" t="s">
        <v>229</v>
      </c>
      <c r="BT962" s="1" t="s">
        <v>210</v>
      </c>
      <c r="BX962" s="1">
        <v>1</v>
      </c>
    </row>
    <row r="963" spans="1:76" x14ac:dyDescent="0.25">
      <c r="A963" s="1" t="s">
        <v>3918</v>
      </c>
      <c r="B963" s="1" t="s">
        <v>203</v>
      </c>
      <c r="C963" s="1">
        <v>1</v>
      </c>
      <c r="D963" s="1" t="s">
        <v>3919</v>
      </c>
      <c r="E963" s="1">
        <v>1355</v>
      </c>
      <c r="F963" s="1" t="s">
        <v>3918</v>
      </c>
      <c r="G963" s="1">
        <v>1</v>
      </c>
      <c r="L963" s="1">
        <v>6000</v>
      </c>
      <c r="N963" s="1">
        <v>0</v>
      </c>
      <c r="P963" s="1">
        <v>80</v>
      </c>
      <c r="R963" s="1">
        <v>40</v>
      </c>
      <c r="Z963" s="1">
        <v>0.05</v>
      </c>
      <c r="AA963" s="1">
        <v>2</v>
      </c>
      <c r="AB963" s="1">
        <v>0</v>
      </c>
      <c r="AC963" s="1">
        <v>1.2</v>
      </c>
      <c r="AH963" s="1">
        <v>0</v>
      </c>
      <c r="AI963" s="1">
        <v>1</v>
      </c>
      <c r="AJ963" s="1" t="s">
        <v>3920</v>
      </c>
      <c r="AK963" s="1" t="s">
        <v>3921</v>
      </c>
      <c r="AL963" s="1" t="s">
        <v>228</v>
      </c>
      <c r="AN963" s="22" t="s">
        <v>9767</v>
      </c>
      <c r="AP963" s="1">
        <v>1</v>
      </c>
      <c r="AX963" s="1">
        <v>1</v>
      </c>
      <c r="AZ963" s="1">
        <v>0.1</v>
      </c>
      <c r="BG963" s="1" t="s">
        <v>3918</v>
      </c>
      <c r="BM963" s="1" t="s">
        <v>3922</v>
      </c>
      <c r="BQ963" s="1" t="s">
        <v>207</v>
      </c>
      <c r="BR963" s="1" t="s">
        <v>208</v>
      </c>
      <c r="BS963" s="1" t="s">
        <v>229</v>
      </c>
      <c r="BT963" s="1" t="s">
        <v>210</v>
      </c>
      <c r="BX963" s="1">
        <v>1</v>
      </c>
    </row>
    <row r="964" spans="1:76" x14ac:dyDescent="0.25">
      <c r="A964" s="1" t="s">
        <v>3923</v>
      </c>
      <c r="B964" s="1" t="s">
        <v>203</v>
      </c>
      <c r="C964" s="1">
        <v>1</v>
      </c>
      <c r="D964" s="1" t="s">
        <v>3924</v>
      </c>
      <c r="E964" s="1">
        <v>1355</v>
      </c>
      <c r="F964" s="1" t="s">
        <v>3923</v>
      </c>
      <c r="G964" s="1">
        <v>1</v>
      </c>
      <c r="L964" s="1">
        <v>10000</v>
      </c>
      <c r="N964" s="1">
        <v>0</v>
      </c>
      <c r="P964" s="1">
        <v>80</v>
      </c>
      <c r="R964" s="1">
        <v>50</v>
      </c>
      <c r="Z964" s="1">
        <v>0.05</v>
      </c>
      <c r="AA964" s="1">
        <v>2</v>
      </c>
      <c r="AB964" s="1">
        <v>0</v>
      </c>
      <c r="AC964" s="1">
        <v>1.2</v>
      </c>
      <c r="AH964" s="1">
        <v>0</v>
      </c>
      <c r="AI964" s="1">
        <v>1</v>
      </c>
      <c r="AJ964" s="1" t="s">
        <v>3925</v>
      </c>
      <c r="AK964" s="1" t="s">
        <v>3921</v>
      </c>
      <c r="AL964" s="1" t="s">
        <v>228</v>
      </c>
      <c r="AN964" s="22" t="s">
        <v>9767</v>
      </c>
      <c r="AP964" s="1">
        <v>1</v>
      </c>
      <c r="AX964" s="1">
        <v>1</v>
      </c>
      <c r="AZ964" s="1">
        <v>0.1</v>
      </c>
      <c r="BG964" s="1" t="s">
        <v>3923</v>
      </c>
      <c r="BM964" s="1" t="s">
        <v>3922</v>
      </c>
      <c r="BQ964" s="1" t="s">
        <v>207</v>
      </c>
      <c r="BR964" s="1" t="s">
        <v>208</v>
      </c>
      <c r="BS964" s="1" t="s">
        <v>229</v>
      </c>
      <c r="BT964" s="1" t="s">
        <v>210</v>
      </c>
      <c r="BX964" s="1">
        <v>1</v>
      </c>
    </row>
    <row r="965" spans="1:76" x14ac:dyDescent="0.25">
      <c r="A965" s="1" t="s">
        <v>3926</v>
      </c>
      <c r="B965" s="1" t="s">
        <v>203</v>
      </c>
      <c r="C965" s="1">
        <v>1</v>
      </c>
      <c r="D965" s="1" t="s">
        <v>3927</v>
      </c>
      <c r="E965" s="1">
        <v>1356</v>
      </c>
      <c r="F965" s="1" t="s">
        <v>3926</v>
      </c>
      <c r="G965" s="1">
        <v>1</v>
      </c>
      <c r="L965" s="1">
        <v>9000</v>
      </c>
      <c r="N965" s="1">
        <v>200</v>
      </c>
      <c r="P965" s="1">
        <v>80</v>
      </c>
      <c r="R965" s="1">
        <v>10</v>
      </c>
      <c r="Z965" s="1">
        <v>0.05</v>
      </c>
      <c r="AA965" s="1">
        <v>3</v>
      </c>
      <c r="AB965" s="1">
        <v>2</v>
      </c>
      <c r="AC965" s="1">
        <v>0.7</v>
      </c>
      <c r="AH965" s="1">
        <v>0</v>
      </c>
      <c r="AI965" s="1">
        <v>1</v>
      </c>
      <c r="AJ965" s="1" t="s">
        <v>3928</v>
      </c>
      <c r="AK965" s="1" t="s">
        <v>3732</v>
      </c>
      <c r="AL965" s="1" t="s">
        <v>228</v>
      </c>
      <c r="AN965" s="22" t="s">
        <v>9772</v>
      </c>
      <c r="AX965" s="1">
        <v>1</v>
      </c>
      <c r="AZ965" s="1">
        <v>0.1</v>
      </c>
      <c r="BG965" s="1" t="s">
        <v>3926</v>
      </c>
      <c r="BM965" s="1" t="s">
        <v>3929</v>
      </c>
      <c r="BQ965" s="1" t="s">
        <v>207</v>
      </c>
      <c r="BR965" s="1" t="s">
        <v>208</v>
      </c>
      <c r="BS965" s="1" t="s">
        <v>229</v>
      </c>
      <c r="BT965" s="1" t="s">
        <v>210</v>
      </c>
      <c r="BX965" s="1">
        <v>1</v>
      </c>
    </row>
    <row r="966" spans="1:76" x14ac:dyDescent="0.25">
      <c r="A966" s="1" t="s">
        <v>3930</v>
      </c>
      <c r="B966" s="1" t="s">
        <v>203</v>
      </c>
      <c r="C966" s="1">
        <v>1</v>
      </c>
      <c r="D966" s="1" t="s">
        <v>3931</v>
      </c>
      <c r="E966" s="1">
        <v>1356</v>
      </c>
      <c r="F966" s="1" t="s">
        <v>3930</v>
      </c>
      <c r="G966" s="1">
        <v>1</v>
      </c>
      <c r="L966" s="1">
        <v>12000</v>
      </c>
      <c r="N966" s="1">
        <v>250</v>
      </c>
      <c r="P966" s="1">
        <v>120</v>
      </c>
      <c r="R966" s="1">
        <v>10</v>
      </c>
      <c r="Z966" s="1">
        <v>0.05</v>
      </c>
      <c r="AA966" s="1">
        <v>3</v>
      </c>
      <c r="AB966" s="1">
        <v>2</v>
      </c>
      <c r="AC966" s="1">
        <v>0.7</v>
      </c>
      <c r="AH966" s="1">
        <v>0</v>
      </c>
      <c r="AI966" s="1">
        <v>1</v>
      </c>
      <c r="AJ966" s="1" t="s">
        <v>3932</v>
      </c>
      <c r="AK966" s="1" t="s">
        <v>3732</v>
      </c>
      <c r="AL966" s="1" t="s">
        <v>228</v>
      </c>
      <c r="AN966" s="22" t="s">
        <v>9772</v>
      </c>
      <c r="AX966" s="1">
        <v>1</v>
      </c>
      <c r="AZ966" s="1">
        <v>0.1</v>
      </c>
      <c r="BG966" s="1" t="s">
        <v>3930</v>
      </c>
      <c r="BM966" s="1" t="s">
        <v>3929</v>
      </c>
      <c r="BQ966" s="1" t="s">
        <v>207</v>
      </c>
      <c r="BR966" s="1" t="s">
        <v>208</v>
      </c>
      <c r="BS966" s="1" t="s">
        <v>229</v>
      </c>
      <c r="BT966" s="1" t="s">
        <v>210</v>
      </c>
      <c r="BX966" s="1">
        <v>1</v>
      </c>
    </row>
    <row r="967" spans="1:76" x14ac:dyDescent="0.25">
      <c r="A967" s="1" t="s">
        <v>3933</v>
      </c>
      <c r="B967" s="1" t="s">
        <v>203</v>
      </c>
      <c r="C967" s="1">
        <v>1</v>
      </c>
      <c r="D967" s="1" t="s">
        <v>3934</v>
      </c>
      <c r="E967" s="1">
        <v>1357</v>
      </c>
      <c r="F967" s="1" t="s">
        <v>3933</v>
      </c>
      <c r="G967" s="1">
        <v>1</v>
      </c>
      <c r="L967" s="1">
        <v>16000</v>
      </c>
      <c r="N967" s="1">
        <v>500</v>
      </c>
      <c r="P967" s="1">
        <v>250</v>
      </c>
      <c r="R967" s="1">
        <v>20</v>
      </c>
      <c r="Z967" s="1">
        <v>0.05</v>
      </c>
      <c r="AA967" s="1">
        <v>2.8</v>
      </c>
      <c r="AB967" s="1">
        <v>3</v>
      </c>
      <c r="AC967" s="1">
        <v>0.6</v>
      </c>
      <c r="AH967" s="1">
        <v>0</v>
      </c>
      <c r="AI967" s="1">
        <v>1</v>
      </c>
      <c r="AJ967" s="1" t="s">
        <v>3935</v>
      </c>
      <c r="AK967" s="1" t="s">
        <v>265</v>
      </c>
      <c r="AL967" s="1" t="s">
        <v>228</v>
      </c>
      <c r="AN967" s="22" t="s">
        <v>9772</v>
      </c>
      <c r="AX967" s="1">
        <v>1</v>
      </c>
      <c r="AZ967" s="1">
        <v>0.1</v>
      </c>
      <c r="BG967" s="1" t="s">
        <v>3933</v>
      </c>
      <c r="BM967" s="1" t="s">
        <v>3936</v>
      </c>
      <c r="BQ967" s="1" t="s">
        <v>207</v>
      </c>
      <c r="BR967" s="1" t="s">
        <v>208</v>
      </c>
      <c r="BS967" s="1" t="s">
        <v>229</v>
      </c>
      <c r="BT967" s="1" t="s">
        <v>210</v>
      </c>
      <c r="BX967" s="1">
        <v>1</v>
      </c>
    </row>
    <row r="968" spans="1:76" x14ac:dyDescent="0.25">
      <c r="A968" s="1" t="s">
        <v>3937</v>
      </c>
      <c r="B968" s="1" t="s">
        <v>203</v>
      </c>
      <c r="C968" s="1">
        <v>1</v>
      </c>
      <c r="D968" s="1" t="s">
        <v>3938</v>
      </c>
      <c r="E968" s="1">
        <v>1357</v>
      </c>
      <c r="F968" s="1" t="s">
        <v>3937</v>
      </c>
      <c r="G968" s="1">
        <v>1</v>
      </c>
      <c r="L968" s="1">
        <v>20000</v>
      </c>
      <c r="N968" s="1">
        <v>600</v>
      </c>
      <c r="P968" s="1">
        <v>350</v>
      </c>
      <c r="R968" s="1">
        <v>20</v>
      </c>
      <c r="Z968" s="1">
        <v>0.05</v>
      </c>
      <c r="AA968" s="1">
        <v>2.8</v>
      </c>
      <c r="AB968" s="1">
        <v>3</v>
      </c>
      <c r="AC968" s="1">
        <v>0.6</v>
      </c>
      <c r="AH968" s="1">
        <v>0</v>
      </c>
      <c r="AI968" s="1">
        <v>1</v>
      </c>
      <c r="AJ968" s="1" t="s">
        <v>3939</v>
      </c>
      <c r="AK968" s="1" t="s">
        <v>265</v>
      </c>
      <c r="AL968" s="1" t="s">
        <v>228</v>
      </c>
      <c r="AN968" s="22" t="s">
        <v>9772</v>
      </c>
      <c r="AX968" s="1">
        <v>1</v>
      </c>
      <c r="AZ968" s="1">
        <v>0.1</v>
      </c>
      <c r="BG968" s="1" t="s">
        <v>3937</v>
      </c>
      <c r="BM968" s="1" t="s">
        <v>3936</v>
      </c>
      <c r="BQ968" s="1" t="s">
        <v>207</v>
      </c>
      <c r="BR968" s="1" t="s">
        <v>208</v>
      </c>
      <c r="BS968" s="1" t="s">
        <v>229</v>
      </c>
      <c r="BT968" s="1" t="s">
        <v>210</v>
      </c>
      <c r="BX968" s="1">
        <v>1</v>
      </c>
    </row>
    <row r="969" spans="1:76" x14ac:dyDescent="0.25">
      <c r="A969" s="1" t="s">
        <v>3940</v>
      </c>
      <c r="B969" s="1" t="s">
        <v>203</v>
      </c>
      <c r="C969" s="1">
        <v>1</v>
      </c>
      <c r="D969" s="1" t="s">
        <v>3941</v>
      </c>
      <c r="E969" s="1">
        <v>1358</v>
      </c>
      <c r="F969" s="1" t="s">
        <v>3940</v>
      </c>
      <c r="G969" s="1">
        <v>1</v>
      </c>
      <c r="L969" s="1">
        <v>12000</v>
      </c>
      <c r="N969" s="1">
        <v>300</v>
      </c>
      <c r="P969" s="1">
        <v>600</v>
      </c>
      <c r="R969" s="1">
        <v>0</v>
      </c>
      <c r="Z969" s="1">
        <v>0.05</v>
      </c>
      <c r="AA969" s="1">
        <v>3</v>
      </c>
      <c r="AB969" s="1">
        <v>4</v>
      </c>
      <c r="AC969" s="1">
        <v>0.5</v>
      </c>
      <c r="AH969" s="1">
        <v>0</v>
      </c>
      <c r="AI969" s="1">
        <v>1</v>
      </c>
      <c r="AJ969" s="1" t="s">
        <v>3942</v>
      </c>
      <c r="AK969" s="1" t="s">
        <v>3732</v>
      </c>
      <c r="AL969" s="1" t="s">
        <v>228</v>
      </c>
      <c r="AN969" s="22" t="s">
        <v>9772</v>
      </c>
      <c r="AX969" s="1">
        <v>1</v>
      </c>
      <c r="AZ969" s="1">
        <v>0.1</v>
      </c>
      <c r="BG969" s="1" t="s">
        <v>3940</v>
      </c>
      <c r="BM969" s="1" t="s">
        <v>3936</v>
      </c>
      <c r="BQ969" s="1" t="s">
        <v>207</v>
      </c>
      <c r="BR969" s="1" t="s">
        <v>208</v>
      </c>
      <c r="BS969" s="1" t="s">
        <v>229</v>
      </c>
      <c r="BT969" s="1" t="s">
        <v>210</v>
      </c>
      <c r="BX969" s="1">
        <v>1</v>
      </c>
    </row>
    <row r="970" spans="1:76" x14ac:dyDescent="0.25">
      <c r="A970" s="1" t="s">
        <v>3943</v>
      </c>
      <c r="B970" s="1" t="s">
        <v>203</v>
      </c>
      <c r="C970" s="1">
        <v>1</v>
      </c>
      <c r="D970" s="1" t="s">
        <v>3944</v>
      </c>
      <c r="E970" s="1">
        <v>1358</v>
      </c>
      <c r="F970" s="1" t="s">
        <v>3943</v>
      </c>
      <c r="G970" s="1">
        <v>1</v>
      </c>
      <c r="L970" s="1">
        <v>15000</v>
      </c>
      <c r="N970" s="1">
        <v>400</v>
      </c>
      <c r="P970" s="1">
        <v>700</v>
      </c>
      <c r="R970" s="1">
        <v>0</v>
      </c>
      <c r="Z970" s="1">
        <v>0.05</v>
      </c>
      <c r="AA970" s="1">
        <v>3</v>
      </c>
      <c r="AB970" s="1">
        <v>4</v>
      </c>
      <c r="AC970" s="1">
        <v>0.5</v>
      </c>
      <c r="AH970" s="1">
        <v>0</v>
      </c>
      <c r="AI970" s="1">
        <v>1</v>
      </c>
      <c r="AJ970" s="1" t="s">
        <v>3945</v>
      </c>
      <c r="AK970" s="1" t="s">
        <v>3732</v>
      </c>
      <c r="AL970" s="1" t="s">
        <v>228</v>
      </c>
      <c r="AN970" s="22" t="s">
        <v>9772</v>
      </c>
      <c r="AX970" s="1">
        <v>1</v>
      </c>
      <c r="AZ970" s="1">
        <v>0.1</v>
      </c>
      <c r="BG970" s="1" t="s">
        <v>3943</v>
      </c>
      <c r="BM970" s="1" t="s">
        <v>3936</v>
      </c>
      <c r="BQ970" s="1" t="s">
        <v>207</v>
      </c>
      <c r="BR970" s="1" t="s">
        <v>208</v>
      </c>
      <c r="BS970" s="1" t="s">
        <v>229</v>
      </c>
      <c r="BT970" s="1" t="s">
        <v>210</v>
      </c>
      <c r="BX970" s="1">
        <v>1</v>
      </c>
    </row>
    <row r="971" spans="1:76" x14ac:dyDescent="0.25">
      <c r="A971" s="1" t="s">
        <v>3946</v>
      </c>
      <c r="B971" s="1" t="s">
        <v>203</v>
      </c>
      <c r="C971" s="1">
        <v>1</v>
      </c>
      <c r="D971" s="1" t="s">
        <v>3947</v>
      </c>
      <c r="E971" s="1">
        <v>1359</v>
      </c>
      <c r="F971" s="1" t="s">
        <v>3946</v>
      </c>
      <c r="G971" s="1">
        <v>1</v>
      </c>
      <c r="L971" s="1">
        <v>20000</v>
      </c>
      <c r="N971" s="1">
        <v>400</v>
      </c>
      <c r="P971" s="1">
        <v>200</v>
      </c>
      <c r="R971" s="1">
        <v>20</v>
      </c>
      <c r="Z971" s="1">
        <v>0.05</v>
      </c>
      <c r="AA971" s="1">
        <v>4.5</v>
      </c>
      <c r="AB971" s="1">
        <v>3</v>
      </c>
      <c r="AC971" s="1">
        <v>0.6</v>
      </c>
      <c r="AH971" s="1">
        <v>0</v>
      </c>
      <c r="AI971" s="1">
        <v>1</v>
      </c>
      <c r="AJ971" s="1" t="s">
        <v>3948</v>
      </c>
      <c r="AK971" s="1" t="s">
        <v>3507</v>
      </c>
      <c r="AL971" s="1" t="s">
        <v>228</v>
      </c>
      <c r="AN971" s="22" t="s">
        <v>9772</v>
      </c>
      <c r="AX971" s="1">
        <v>1</v>
      </c>
      <c r="AZ971" s="1">
        <v>0.1</v>
      </c>
      <c r="BG971" s="1" t="s">
        <v>3946</v>
      </c>
      <c r="BM971" s="1" t="s">
        <v>3929</v>
      </c>
      <c r="BQ971" s="1" t="s">
        <v>207</v>
      </c>
      <c r="BR971" s="1" t="s">
        <v>208</v>
      </c>
      <c r="BS971" s="1" t="s">
        <v>229</v>
      </c>
      <c r="BT971" s="1" t="s">
        <v>210</v>
      </c>
      <c r="BX971" s="1">
        <v>1</v>
      </c>
    </row>
    <row r="972" spans="1:76" x14ac:dyDescent="0.25">
      <c r="A972" s="1" t="s">
        <v>3949</v>
      </c>
      <c r="B972" s="1" t="s">
        <v>203</v>
      </c>
      <c r="C972" s="1">
        <v>1</v>
      </c>
      <c r="D972" s="1" t="s">
        <v>3950</v>
      </c>
      <c r="E972" s="1">
        <v>1359</v>
      </c>
      <c r="F972" s="1" t="s">
        <v>3949</v>
      </c>
      <c r="G972" s="1">
        <v>1</v>
      </c>
      <c r="L972" s="1">
        <v>25000</v>
      </c>
      <c r="N972" s="1">
        <v>550</v>
      </c>
      <c r="P972" s="1">
        <v>300</v>
      </c>
      <c r="R972" s="1">
        <v>20</v>
      </c>
      <c r="Z972" s="1">
        <v>0.05</v>
      </c>
      <c r="AA972" s="1">
        <v>4.5</v>
      </c>
      <c r="AB972" s="1">
        <v>3</v>
      </c>
      <c r="AC972" s="1">
        <v>0.6</v>
      </c>
      <c r="AH972" s="1">
        <v>0</v>
      </c>
      <c r="AI972" s="1">
        <v>1</v>
      </c>
      <c r="AJ972" s="1" t="s">
        <v>3951</v>
      </c>
      <c r="AK972" s="1" t="s">
        <v>3507</v>
      </c>
      <c r="AL972" s="1" t="s">
        <v>228</v>
      </c>
      <c r="AN972" s="22" t="s">
        <v>9772</v>
      </c>
      <c r="AX972" s="1">
        <v>1</v>
      </c>
      <c r="AZ972" s="1">
        <v>0.1</v>
      </c>
      <c r="BG972" s="1" t="s">
        <v>3949</v>
      </c>
      <c r="BM972" s="1" t="s">
        <v>3929</v>
      </c>
      <c r="BQ972" s="1" t="s">
        <v>207</v>
      </c>
      <c r="BR972" s="1" t="s">
        <v>208</v>
      </c>
      <c r="BS972" s="1" t="s">
        <v>229</v>
      </c>
      <c r="BT972" s="1" t="s">
        <v>210</v>
      </c>
      <c r="BX972" s="1">
        <v>1</v>
      </c>
    </row>
    <row r="973" spans="1:76" x14ac:dyDescent="0.25">
      <c r="A973" s="1" t="s">
        <v>3952</v>
      </c>
      <c r="B973" s="1" t="s">
        <v>203</v>
      </c>
      <c r="C973" s="1">
        <v>1</v>
      </c>
      <c r="D973" s="1" t="s">
        <v>3953</v>
      </c>
      <c r="E973" s="1">
        <v>1546</v>
      </c>
      <c r="F973" s="1" t="s">
        <v>3952</v>
      </c>
      <c r="G973" s="1">
        <v>1</v>
      </c>
      <c r="L973" s="1">
        <v>45000</v>
      </c>
      <c r="N973" s="1">
        <v>1100</v>
      </c>
      <c r="P973" s="1">
        <v>2500</v>
      </c>
      <c r="R973" s="1">
        <v>60</v>
      </c>
      <c r="Z973" s="1">
        <v>0.05</v>
      </c>
      <c r="AA973" s="1">
        <v>4</v>
      </c>
      <c r="AB973" s="1">
        <v>6</v>
      </c>
      <c r="AC973" s="1">
        <v>0.45</v>
      </c>
      <c r="AH973" s="1">
        <v>0</v>
      </c>
      <c r="AI973" s="1">
        <v>1</v>
      </c>
      <c r="AJ973" s="1" t="s">
        <v>3954</v>
      </c>
      <c r="AK973" s="1" t="s">
        <v>3955</v>
      </c>
      <c r="AL973" s="1" t="s">
        <v>228</v>
      </c>
      <c r="AN973" s="22" t="s">
        <v>9767</v>
      </c>
      <c r="AX973" s="1">
        <v>2</v>
      </c>
      <c r="AZ973" s="1">
        <v>0.1</v>
      </c>
      <c r="BG973" s="1" t="s">
        <v>3952</v>
      </c>
      <c r="BM973" s="1" t="s">
        <v>1328</v>
      </c>
      <c r="BQ973" s="1" t="s">
        <v>207</v>
      </c>
      <c r="BR973" s="1" t="s">
        <v>208</v>
      </c>
      <c r="BS973" s="1" t="s">
        <v>229</v>
      </c>
      <c r="BT973" s="1" t="s">
        <v>210</v>
      </c>
      <c r="BX973" s="1">
        <v>1</v>
      </c>
    </row>
    <row r="974" spans="1:76" x14ac:dyDescent="0.25">
      <c r="A974" s="1" t="s">
        <v>3956</v>
      </c>
      <c r="B974" s="1" t="s">
        <v>203</v>
      </c>
      <c r="C974" s="1">
        <v>1</v>
      </c>
      <c r="D974" s="1" t="s">
        <v>3957</v>
      </c>
      <c r="E974" s="1">
        <v>1360</v>
      </c>
      <c r="F974" s="1" t="s">
        <v>3956</v>
      </c>
      <c r="G974" s="1">
        <v>1</v>
      </c>
      <c r="L974" s="1">
        <v>4000</v>
      </c>
      <c r="N974" s="1">
        <v>100</v>
      </c>
      <c r="P974" s="1">
        <v>200</v>
      </c>
      <c r="R974" s="1">
        <v>20</v>
      </c>
      <c r="Z974" s="1">
        <v>0.05</v>
      </c>
      <c r="AA974" s="1">
        <v>2</v>
      </c>
      <c r="AB974" s="1">
        <v>1</v>
      </c>
      <c r="AC974" s="1">
        <v>0.8</v>
      </c>
      <c r="AH974" s="1">
        <v>0</v>
      </c>
      <c r="AI974" s="1">
        <v>1</v>
      </c>
      <c r="AJ974" s="1" t="s">
        <v>3958</v>
      </c>
      <c r="AK974" s="1" t="s">
        <v>3391</v>
      </c>
      <c r="AL974" s="1" t="s">
        <v>228</v>
      </c>
      <c r="AN974" s="22" t="s">
        <v>9767</v>
      </c>
      <c r="AX974" s="1">
        <v>1</v>
      </c>
      <c r="AZ974" s="1">
        <v>0.1</v>
      </c>
      <c r="BG974" s="1" t="s">
        <v>3956</v>
      </c>
      <c r="BM974" s="1" t="s">
        <v>930</v>
      </c>
      <c r="BQ974" s="1" t="s">
        <v>207</v>
      </c>
      <c r="BR974" s="1" t="s">
        <v>208</v>
      </c>
      <c r="BS974" s="1" t="s">
        <v>229</v>
      </c>
      <c r="BT974" s="1" t="s">
        <v>210</v>
      </c>
      <c r="BX974" s="1">
        <v>1</v>
      </c>
    </row>
    <row r="975" spans="1:76" x14ac:dyDescent="0.25">
      <c r="A975" s="1" t="s">
        <v>3959</v>
      </c>
      <c r="B975" s="1" t="s">
        <v>203</v>
      </c>
      <c r="C975" s="1">
        <v>1</v>
      </c>
      <c r="D975" s="1" t="s">
        <v>3957</v>
      </c>
      <c r="E975" s="1">
        <v>1360</v>
      </c>
      <c r="F975" s="1" t="s">
        <v>3956</v>
      </c>
      <c r="G975" s="1">
        <v>1</v>
      </c>
      <c r="L975" s="1">
        <v>4000</v>
      </c>
      <c r="N975" s="1">
        <v>100</v>
      </c>
      <c r="P975" s="1">
        <v>200</v>
      </c>
      <c r="R975" s="1">
        <v>20</v>
      </c>
      <c r="Z975" s="1">
        <v>0.05</v>
      </c>
      <c r="AA975" s="1">
        <v>2</v>
      </c>
      <c r="AB975" s="1">
        <v>1</v>
      </c>
      <c r="AC975" s="1">
        <v>0.8</v>
      </c>
      <c r="AH975" s="1">
        <v>0</v>
      </c>
      <c r="AI975" s="1">
        <v>1</v>
      </c>
      <c r="AJ975" s="1" t="s">
        <v>3958</v>
      </c>
      <c r="AK975" s="1" t="s">
        <v>3391</v>
      </c>
      <c r="AL975" s="1" t="s">
        <v>228</v>
      </c>
      <c r="AN975" s="22" t="s">
        <v>9767</v>
      </c>
      <c r="AX975" s="1">
        <v>1</v>
      </c>
      <c r="AZ975" s="1">
        <v>0.1</v>
      </c>
      <c r="BG975" s="1" t="s">
        <v>3956</v>
      </c>
      <c r="BM975" s="1" t="s">
        <v>930</v>
      </c>
      <c r="BQ975" s="1" t="s">
        <v>207</v>
      </c>
      <c r="BR975" s="1" t="s">
        <v>208</v>
      </c>
      <c r="BS975" s="1" t="s">
        <v>229</v>
      </c>
      <c r="BT975" s="1" t="s">
        <v>210</v>
      </c>
      <c r="BX975" s="1">
        <v>1</v>
      </c>
    </row>
    <row r="976" spans="1:76" x14ac:dyDescent="0.25">
      <c r="A976" s="1" t="s">
        <v>3960</v>
      </c>
      <c r="B976" s="1" t="s">
        <v>203</v>
      </c>
      <c r="C976" s="1">
        <v>1</v>
      </c>
      <c r="D976" s="1" t="s">
        <v>3961</v>
      </c>
      <c r="E976" s="1">
        <v>1361</v>
      </c>
      <c r="F976" s="1" t="s">
        <v>3960</v>
      </c>
      <c r="G976" s="1">
        <v>1</v>
      </c>
      <c r="L976" s="1">
        <v>6000</v>
      </c>
      <c r="N976" s="1">
        <v>450</v>
      </c>
      <c r="P976" s="1">
        <v>150</v>
      </c>
      <c r="R976" s="1">
        <v>40</v>
      </c>
      <c r="Z976" s="1">
        <v>0.05</v>
      </c>
      <c r="AA976" s="1">
        <v>3</v>
      </c>
      <c r="AB976" s="1">
        <v>1</v>
      </c>
      <c r="AC976" s="1">
        <v>0.8</v>
      </c>
      <c r="AH976" s="1">
        <v>0</v>
      </c>
      <c r="AI976" s="1">
        <v>1</v>
      </c>
      <c r="AJ976" s="1" t="s">
        <v>3962</v>
      </c>
      <c r="AK976" s="1" t="s">
        <v>265</v>
      </c>
      <c r="AL976" s="1" t="s">
        <v>228</v>
      </c>
      <c r="AN976" s="22" t="s">
        <v>9767</v>
      </c>
      <c r="AX976" s="1">
        <v>1</v>
      </c>
      <c r="AZ976" s="1">
        <v>0.1</v>
      </c>
      <c r="BG976" s="1" t="s">
        <v>3960</v>
      </c>
      <c r="BM976" s="1" t="s">
        <v>3963</v>
      </c>
      <c r="BQ976" s="1" t="s">
        <v>207</v>
      </c>
      <c r="BR976" s="1" t="s">
        <v>208</v>
      </c>
      <c r="BS976" s="1" t="s">
        <v>229</v>
      </c>
      <c r="BT976" s="1" t="s">
        <v>210</v>
      </c>
      <c r="BX976" s="1">
        <v>1</v>
      </c>
    </row>
    <row r="977" spans="1:76" x14ac:dyDescent="0.25">
      <c r="A977" s="1" t="s">
        <v>3964</v>
      </c>
      <c r="B977" s="1" t="s">
        <v>203</v>
      </c>
      <c r="C977" s="1">
        <v>1</v>
      </c>
      <c r="D977" s="1" t="s">
        <v>3965</v>
      </c>
      <c r="E977" s="1">
        <v>1361</v>
      </c>
      <c r="F977" s="1" t="s">
        <v>3964</v>
      </c>
      <c r="G977" s="1">
        <v>1</v>
      </c>
      <c r="L977" s="1">
        <v>8000</v>
      </c>
      <c r="N977" s="1">
        <v>550</v>
      </c>
      <c r="P977" s="1">
        <v>150</v>
      </c>
      <c r="R977" s="1">
        <v>40</v>
      </c>
      <c r="Z977" s="1">
        <v>0.05</v>
      </c>
      <c r="AA977" s="1">
        <v>3</v>
      </c>
      <c r="AB977" s="1">
        <v>1</v>
      </c>
      <c r="AC977" s="1">
        <v>0.8</v>
      </c>
      <c r="AH977" s="1">
        <v>0</v>
      </c>
      <c r="AI977" s="1">
        <v>1</v>
      </c>
      <c r="AJ977" s="1" t="s">
        <v>3966</v>
      </c>
      <c r="AK977" s="1" t="s">
        <v>265</v>
      </c>
      <c r="AL977" s="1" t="s">
        <v>228</v>
      </c>
      <c r="AN977" s="22" t="s">
        <v>9767</v>
      </c>
      <c r="AX977" s="1">
        <v>1</v>
      </c>
      <c r="AZ977" s="1">
        <v>0.1</v>
      </c>
      <c r="BG977" s="1" t="s">
        <v>3964</v>
      </c>
      <c r="BM977" s="1" t="s">
        <v>3963</v>
      </c>
      <c r="BQ977" s="1" t="s">
        <v>207</v>
      </c>
      <c r="BR977" s="1" t="s">
        <v>208</v>
      </c>
      <c r="BS977" s="1" t="s">
        <v>229</v>
      </c>
      <c r="BT977" s="1" t="s">
        <v>210</v>
      </c>
      <c r="BX977" s="1">
        <v>1</v>
      </c>
    </row>
    <row r="978" spans="1:76" x14ac:dyDescent="0.25">
      <c r="A978" s="1" t="s">
        <v>3967</v>
      </c>
      <c r="B978" s="1" t="s">
        <v>203</v>
      </c>
      <c r="C978" s="1">
        <v>1</v>
      </c>
      <c r="D978" s="1" t="s">
        <v>3968</v>
      </c>
      <c r="E978" s="1">
        <v>1362</v>
      </c>
      <c r="F978" s="1" t="s">
        <v>3967</v>
      </c>
      <c r="G978" s="1">
        <v>1</v>
      </c>
      <c r="L978" s="1">
        <v>25000</v>
      </c>
      <c r="N978" s="1">
        <v>1200</v>
      </c>
      <c r="P978" s="1">
        <v>100</v>
      </c>
      <c r="R978" s="1">
        <v>40</v>
      </c>
      <c r="Z978" s="1">
        <v>0.05</v>
      </c>
      <c r="AA978" s="1">
        <v>4</v>
      </c>
      <c r="AB978" s="1">
        <v>5</v>
      </c>
      <c r="AC978" s="1">
        <v>0.7</v>
      </c>
      <c r="AH978" s="1">
        <v>0</v>
      </c>
      <c r="AI978" s="1">
        <v>1</v>
      </c>
      <c r="AJ978" s="1" t="s">
        <v>3969</v>
      </c>
      <c r="AK978" s="1" t="s">
        <v>3955</v>
      </c>
      <c r="AL978" s="1" t="s">
        <v>228</v>
      </c>
      <c r="AN978" s="22" t="s">
        <v>9767</v>
      </c>
      <c r="AX978" s="1">
        <v>1</v>
      </c>
      <c r="AZ978" s="1">
        <v>0.1</v>
      </c>
      <c r="BG978" s="1" t="s">
        <v>3967</v>
      </c>
      <c r="BM978" s="1" t="s">
        <v>3970</v>
      </c>
      <c r="BQ978" s="1" t="s">
        <v>207</v>
      </c>
      <c r="BR978" s="1" t="s">
        <v>208</v>
      </c>
      <c r="BS978" s="1" t="s">
        <v>229</v>
      </c>
      <c r="BT978" s="1" t="s">
        <v>210</v>
      </c>
      <c r="BX978" s="1">
        <v>1</v>
      </c>
    </row>
    <row r="979" spans="1:76" x14ac:dyDescent="0.25">
      <c r="A979" s="1" t="s">
        <v>3971</v>
      </c>
      <c r="B979" s="1" t="s">
        <v>203</v>
      </c>
      <c r="C979" s="1">
        <v>1</v>
      </c>
      <c r="D979" s="1" t="s">
        <v>3972</v>
      </c>
      <c r="E979" s="1">
        <v>1362</v>
      </c>
      <c r="F979" s="1" t="s">
        <v>3971</v>
      </c>
      <c r="G979" s="1">
        <v>1</v>
      </c>
      <c r="L979" s="1">
        <v>35000</v>
      </c>
      <c r="N979" s="1">
        <v>1500</v>
      </c>
      <c r="P979" s="1">
        <v>100</v>
      </c>
      <c r="R979" s="1">
        <v>40</v>
      </c>
      <c r="Z979" s="1">
        <v>0.05</v>
      </c>
      <c r="AA979" s="1">
        <v>4</v>
      </c>
      <c r="AB979" s="1">
        <v>5</v>
      </c>
      <c r="AC979" s="1">
        <v>0.7</v>
      </c>
      <c r="AH979" s="1">
        <v>0</v>
      </c>
      <c r="AI979" s="1">
        <v>1</v>
      </c>
      <c r="AJ979" s="1" t="s">
        <v>3973</v>
      </c>
      <c r="AK979" s="1" t="s">
        <v>3955</v>
      </c>
      <c r="AL979" s="1" t="s">
        <v>228</v>
      </c>
      <c r="AN979" s="22" t="s">
        <v>9767</v>
      </c>
      <c r="AX979" s="1">
        <v>1</v>
      </c>
      <c r="AZ979" s="1">
        <v>0.1</v>
      </c>
      <c r="BG979" s="1" t="s">
        <v>3971</v>
      </c>
      <c r="BM979" s="1" t="s">
        <v>3970</v>
      </c>
      <c r="BQ979" s="1" t="s">
        <v>207</v>
      </c>
      <c r="BR979" s="1" t="s">
        <v>208</v>
      </c>
      <c r="BS979" s="1" t="s">
        <v>229</v>
      </c>
      <c r="BT979" s="1" t="s">
        <v>210</v>
      </c>
      <c r="BX979" s="1">
        <v>1</v>
      </c>
    </row>
    <row r="980" spans="1:76" x14ac:dyDescent="0.25">
      <c r="A980" s="1" t="s">
        <v>3974</v>
      </c>
      <c r="B980" s="1" t="s">
        <v>203</v>
      </c>
      <c r="C980" s="1">
        <v>1</v>
      </c>
      <c r="D980" s="1" t="s">
        <v>3975</v>
      </c>
      <c r="E980" s="1">
        <v>1363</v>
      </c>
      <c r="F980" s="1" t="s">
        <v>3974</v>
      </c>
      <c r="G980" s="1">
        <v>1</v>
      </c>
      <c r="L980" s="1">
        <v>12000</v>
      </c>
      <c r="N980" s="1">
        <v>900</v>
      </c>
      <c r="P980" s="1">
        <v>1200</v>
      </c>
      <c r="R980" s="1">
        <v>0</v>
      </c>
      <c r="Z980" s="1">
        <v>0.05</v>
      </c>
      <c r="AA980" s="1">
        <v>3.8</v>
      </c>
      <c r="AB980" s="1">
        <v>4</v>
      </c>
      <c r="AC980" s="1">
        <v>0.5</v>
      </c>
      <c r="AH980" s="1">
        <v>1</v>
      </c>
      <c r="AI980" s="1">
        <v>1</v>
      </c>
      <c r="AJ980" s="1" t="s">
        <v>3976</v>
      </c>
      <c r="AK980" s="1" t="s">
        <v>3977</v>
      </c>
      <c r="AL980" s="1" t="s">
        <v>228</v>
      </c>
      <c r="AN980" s="22" t="s">
        <v>9767</v>
      </c>
      <c r="AX980" s="1">
        <v>1</v>
      </c>
      <c r="AZ980" s="1">
        <v>0.1</v>
      </c>
      <c r="BG980" s="1" t="s">
        <v>3974</v>
      </c>
      <c r="BM980" s="1" t="s">
        <v>1063</v>
      </c>
      <c r="BQ980" s="1" t="s">
        <v>207</v>
      </c>
      <c r="BR980" s="1" t="s">
        <v>208</v>
      </c>
      <c r="BS980" s="1" t="s">
        <v>229</v>
      </c>
      <c r="BT980" s="1" t="s">
        <v>210</v>
      </c>
      <c r="BX980" s="1">
        <v>1</v>
      </c>
    </row>
    <row r="981" spans="1:76" x14ac:dyDescent="0.25">
      <c r="A981" s="1" t="s">
        <v>3978</v>
      </c>
      <c r="B981" s="1" t="s">
        <v>203</v>
      </c>
      <c r="C981" s="1">
        <v>1</v>
      </c>
      <c r="D981" s="1" t="s">
        <v>3979</v>
      </c>
      <c r="E981" s="1">
        <v>1363</v>
      </c>
      <c r="F981" s="1" t="s">
        <v>3978</v>
      </c>
      <c r="G981" s="1">
        <v>1</v>
      </c>
      <c r="L981" s="1">
        <v>15000</v>
      </c>
      <c r="N981" s="1">
        <v>1100</v>
      </c>
      <c r="P981" s="1">
        <v>1500</v>
      </c>
      <c r="R981" s="1">
        <v>0</v>
      </c>
      <c r="Z981" s="1">
        <v>0.05</v>
      </c>
      <c r="AA981" s="1">
        <v>3.8</v>
      </c>
      <c r="AB981" s="1">
        <v>4</v>
      </c>
      <c r="AC981" s="1">
        <v>0.5</v>
      </c>
      <c r="AH981" s="1">
        <v>1</v>
      </c>
      <c r="AI981" s="1">
        <v>1</v>
      </c>
      <c r="AJ981" s="1" t="s">
        <v>3980</v>
      </c>
      <c r="AK981" s="1" t="s">
        <v>3977</v>
      </c>
      <c r="AL981" s="1" t="s">
        <v>228</v>
      </c>
      <c r="AN981" s="22" t="s">
        <v>9767</v>
      </c>
      <c r="AX981" s="1">
        <v>1</v>
      </c>
      <c r="AZ981" s="1">
        <v>0.1</v>
      </c>
      <c r="BG981" s="1" t="s">
        <v>3978</v>
      </c>
      <c r="BM981" s="1" t="s">
        <v>1063</v>
      </c>
      <c r="BQ981" s="1" t="s">
        <v>207</v>
      </c>
      <c r="BR981" s="1" t="s">
        <v>208</v>
      </c>
      <c r="BS981" s="1" t="s">
        <v>229</v>
      </c>
      <c r="BT981" s="1" t="s">
        <v>210</v>
      </c>
      <c r="BX981" s="1">
        <v>1</v>
      </c>
    </row>
    <row r="982" spans="1:76" x14ac:dyDescent="0.25">
      <c r="A982" s="1" t="s">
        <v>3981</v>
      </c>
      <c r="B982" s="1" t="s">
        <v>203</v>
      </c>
      <c r="C982" s="1">
        <v>1</v>
      </c>
      <c r="D982" s="1" t="s">
        <v>3982</v>
      </c>
      <c r="E982" s="1">
        <v>1364</v>
      </c>
      <c r="F982" s="1" t="s">
        <v>3981</v>
      </c>
      <c r="G982" s="1">
        <v>1</v>
      </c>
      <c r="L982" s="1">
        <v>20000</v>
      </c>
      <c r="N982" s="1">
        <v>900</v>
      </c>
      <c r="P982" s="1">
        <v>900</v>
      </c>
      <c r="R982" s="1">
        <v>20</v>
      </c>
      <c r="Z982" s="1">
        <v>0.05</v>
      </c>
      <c r="AA982" s="1">
        <v>3</v>
      </c>
      <c r="AB982" s="1">
        <v>4</v>
      </c>
      <c r="AC982" s="1">
        <v>0.75</v>
      </c>
      <c r="AH982" s="1">
        <v>0</v>
      </c>
      <c r="AI982" s="1">
        <v>1</v>
      </c>
      <c r="AJ982" s="1" t="s">
        <v>3983</v>
      </c>
      <c r="AK982" s="1" t="s">
        <v>3984</v>
      </c>
      <c r="AL982" s="1" t="s">
        <v>228</v>
      </c>
      <c r="AN982" s="22" t="s">
        <v>9767</v>
      </c>
      <c r="AX982" s="1">
        <v>1</v>
      </c>
      <c r="AZ982" s="1">
        <v>0.1</v>
      </c>
      <c r="BG982" s="1" t="s">
        <v>3981</v>
      </c>
      <c r="BM982" s="1" t="s">
        <v>1073</v>
      </c>
      <c r="BQ982" s="1" t="s">
        <v>207</v>
      </c>
      <c r="BR982" s="1" t="s">
        <v>208</v>
      </c>
      <c r="BS982" s="1" t="s">
        <v>229</v>
      </c>
      <c r="BT982" s="1" t="s">
        <v>210</v>
      </c>
      <c r="BX982" s="1">
        <v>1</v>
      </c>
    </row>
    <row r="983" spans="1:76" x14ac:dyDescent="0.25">
      <c r="A983" s="1" t="s">
        <v>3985</v>
      </c>
      <c r="B983" s="1" t="s">
        <v>203</v>
      </c>
      <c r="C983" s="1">
        <v>1</v>
      </c>
      <c r="D983" s="1" t="s">
        <v>3986</v>
      </c>
      <c r="E983" s="1">
        <v>1364</v>
      </c>
      <c r="F983" s="1" t="s">
        <v>3985</v>
      </c>
      <c r="G983" s="1">
        <v>1</v>
      </c>
      <c r="L983" s="1">
        <v>25000</v>
      </c>
      <c r="N983" s="1">
        <v>1200</v>
      </c>
      <c r="P983" s="1">
        <v>1200</v>
      </c>
      <c r="R983" s="1">
        <v>20</v>
      </c>
      <c r="Z983" s="1">
        <v>0.05</v>
      </c>
      <c r="AA983" s="1">
        <v>3</v>
      </c>
      <c r="AB983" s="1">
        <v>4</v>
      </c>
      <c r="AC983" s="1">
        <v>0.75</v>
      </c>
      <c r="AH983" s="1">
        <v>0</v>
      </c>
      <c r="AI983" s="1">
        <v>1</v>
      </c>
      <c r="AJ983" s="1" t="s">
        <v>3987</v>
      </c>
      <c r="AK983" s="1" t="s">
        <v>3984</v>
      </c>
      <c r="AL983" s="1" t="s">
        <v>228</v>
      </c>
      <c r="AN983" s="22" t="s">
        <v>9767</v>
      </c>
      <c r="AX983" s="1">
        <v>1</v>
      </c>
      <c r="AZ983" s="1">
        <v>0.1</v>
      </c>
      <c r="BG983" s="1" t="s">
        <v>3985</v>
      </c>
      <c r="BM983" s="1" t="s">
        <v>1073</v>
      </c>
      <c r="BQ983" s="1" t="s">
        <v>207</v>
      </c>
      <c r="BR983" s="1" t="s">
        <v>208</v>
      </c>
      <c r="BS983" s="1" t="s">
        <v>229</v>
      </c>
      <c r="BT983" s="1" t="s">
        <v>210</v>
      </c>
      <c r="BX983" s="1">
        <v>1</v>
      </c>
    </row>
    <row r="984" spans="1:76" x14ac:dyDescent="0.25">
      <c r="A984" s="1" t="s">
        <v>3988</v>
      </c>
      <c r="B984" s="1" t="s">
        <v>203</v>
      </c>
      <c r="C984" s="1">
        <v>1</v>
      </c>
      <c r="D984" s="1" t="s">
        <v>3989</v>
      </c>
      <c r="E984" s="1">
        <v>1365</v>
      </c>
      <c r="F984" s="1" t="s">
        <v>3988</v>
      </c>
      <c r="G984" s="1">
        <v>1</v>
      </c>
      <c r="L984" s="1">
        <v>5000</v>
      </c>
      <c r="N984" s="1">
        <v>350</v>
      </c>
      <c r="P984" s="1">
        <v>200</v>
      </c>
      <c r="R984" s="1">
        <v>60</v>
      </c>
      <c r="Z984" s="1">
        <v>0.05</v>
      </c>
      <c r="AA984" s="1">
        <v>3</v>
      </c>
      <c r="AB984" s="1">
        <v>2</v>
      </c>
      <c r="AC984" s="1">
        <v>0.7</v>
      </c>
      <c r="AH984" s="1">
        <v>0</v>
      </c>
      <c r="AI984" s="1">
        <v>1</v>
      </c>
      <c r="AJ984" s="1" t="s">
        <v>3990</v>
      </c>
      <c r="AK984" s="1" t="s">
        <v>3991</v>
      </c>
      <c r="AL984" s="1" t="s">
        <v>228</v>
      </c>
      <c r="AN984" s="22" t="s">
        <v>9767</v>
      </c>
      <c r="AX984" s="1">
        <v>1</v>
      </c>
      <c r="AZ984" s="1">
        <v>0.1</v>
      </c>
      <c r="BG984" s="1" t="s">
        <v>3988</v>
      </c>
      <c r="BM984" s="1" t="s">
        <v>3272</v>
      </c>
      <c r="BQ984" s="1" t="s">
        <v>207</v>
      </c>
      <c r="BR984" s="1" t="s">
        <v>208</v>
      </c>
      <c r="BS984" s="1" t="s">
        <v>229</v>
      </c>
      <c r="BT984" s="1" t="s">
        <v>210</v>
      </c>
      <c r="BX984" s="1">
        <v>1</v>
      </c>
    </row>
    <row r="985" spans="1:76" x14ac:dyDescent="0.25">
      <c r="A985" s="1" t="s">
        <v>3992</v>
      </c>
      <c r="B985" s="1" t="s">
        <v>203</v>
      </c>
      <c r="C985" s="1">
        <v>1</v>
      </c>
      <c r="D985" s="1" t="s">
        <v>3993</v>
      </c>
      <c r="E985" s="1">
        <v>1365</v>
      </c>
      <c r="F985" s="1" t="s">
        <v>3992</v>
      </c>
      <c r="G985" s="1">
        <v>1</v>
      </c>
      <c r="L985" s="1">
        <v>7000</v>
      </c>
      <c r="N985" s="1">
        <v>420</v>
      </c>
      <c r="P985" s="1">
        <v>300</v>
      </c>
      <c r="R985" s="1">
        <v>60</v>
      </c>
      <c r="Z985" s="1">
        <v>0.05</v>
      </c>
      <c r="AA985" s="1">
        <v>3</v>
      </c>
      <c r="AB985" s="1">
        <v>2</v>
      </c>
      <c r="AC985" s="1">
        <v>0.7</v>
      </c>
      <c r="AH985" s="1">
        <v>0</v>
      </c>
      <c r="AI985" s="1">
        <v>1</v>
      </c>
      <c r="AJ985" s="1" t="s">
        <v>3994</v>
      </c>
      <c r="AK985" s="1" t="s">
        <v>3991</v>
      </c>
      <c r="AL985" s="1" t="s">
        <v>228</v>
      </c>
      <c r="AN985" s="22" t="s">
        <v>9767</v>
      </c>
      <c r="AX985" s="1">
        <v>1</v>
      </c>
      <c r="AZ985" s="1">
        <v>0.1</v>
      </c>
      <c r="BG985" s="1" t="s">
        <v>3992</v>
      </c>
      <c r="BM985" s="1" t="s">
        <v>3272</v>
      </c>
      <c r="BQ985" s="1" t="s">
        <v>207</v>
      </c>
      <c r="BR985" s="1" t="s">
        <v>208</v>
      </c>
      <c r="BS985" s="1" t="s">
        <v>229</v>
      </c>
      <c r="BT985" s="1" t="s">
        <v>210</v>
      </c>
      <c r="BX985" s="1">
        <v>1</v>
      </c>
    </row>
    <row r="986" spans="1:76" x14ac:dyDescent="0.25">
      <c r="A986" s="1" t="s">
        <v>3995</v>
      </c>
      <c r="B986" s="1" t="s">
        <v>203</v>
      </c>
      <c r="C986" s="1">
        <v>1</v>
      </c>
      <c r="D986" s="1" t="s">
        <v>3996</v>
      </c>
      <c r="E986" s="1">
        <v>1366</v>
      </c>
      <c r="F986" s="1" t="s">
        <v>3995</v>
      </c>
      <c r="G986" s="1">
        <v>1</v>
      </c>
      <c r="L986" s="1">
        <v>10000</v>
      </c>
      <c r="N986" s="1">
        <v>100</v>
      </c>
      <c r="P986" s="1">
        <v>200</v>
      </c>
      <c r="R986" s="1">
        <v>20</v>
      </c>
      <c r="Z986" s="1">
        <v>0.05</v>
      </c>
      <c r="AA986" s="1">
        <v>1</v>
      </c>
      <c r="AB986" s="1">
        <v>2</v>
      </c>
      <c r="AC986" s="1">
        <v>0.8</v>
      </c>
      <c r="AH986" s="1">
        <v>-2</v>
      </c>
      <c r="AI986" s="1">
        <v>1</v>
      </c>
      <c r="AJ986" s="1" t="s">
        <v>3997</v>
      </c>
      <c r="AK986" s="1" t="s">
        <v>206</v>
      </c>
      <c r="AL986" s="1" t="s">
        <v>228</v>
      </c>
      <c r="AN986" s="22" t="s">
        <v>9767</v>
      </c>
      <c r="AX986" s="1">
        <v>1</v>
      </c>
      <c r="AZ986" s="1">
        <v>0.1</v>
      </c>
      <c r="BG986" s="1" t="s">
        <v>3995</v>
      </c>
      <c r="BM986" s="1" t="s">
        <v>1073</v>
      </c>
      <c r="BQ986" s="1" t="s">
        <v>207</v>
      </c>
      <c r="BR986" s="1" t="s">
        <v>208</v>
      </c>
      <c r="BS986" s="1" t="s">
        <v>229</v>
      </c>
      <c r="BT986" s="1" t="s">
        <v>210</v>
      </c>
      <c r="BX986" s="1">
        <v>1</v>
      </c>
    </row>
    <row r="987" spans="1:76" x14ac:dyDescent="0.25">
      <c r="A987" s="1" t="s">
        <v>3998</v>
      </c>
      <c r="B987" s="1" t="s">
        <v>203</v>
      </c>
      <c r="C987" s="1">
        <v>1</v>
      </c>
      <c r="D987" s="1" t="s">
        <v>3999</v>
      </c>
      <c r="E987" s="1">
        <v>1366</v>
      </c>
      <c r="F987" s="1" t="s">
        <v>3998</v>
      </c>
      <c r="G987" s="1">
        <v>1</v>
      </c>
      <c r="L987" s="1">
        <v>15000</v>
      </c>
      <c r="N987" s="1">
        <v>150</v>
      </c>
      <c r="P987" s="1">
        <v>300</v>
      </c>
      <c r="R987" s="1">
        <v>20</v>
      </c>
      <c r="Z987" s="1">
        <v>0.05</v>
      </c>
      <c r="AA987" s="1">
        <v>1</v>
      </c>
      <c r="AB987" s="1">
        <v>2</v>
      </c>
      <c r="AC987" s="1">
        <v>0.8</v>
      </c>
      <c r="AH987" s="1">
        <v>-2</v>
      </c>
      <c r="AI987" s="1">
        <v>1</v>
      </c>
      <c r="AJ987" s="1" t="s">
        <v>4000</v>
      </c>
      <c r="AK987" s="1" t="s">
        <v>206</v>
      </c>
      <c r="AL987" s="1" t="s">
        <v>228</v>
      </c>
      <c r="AN987" s="22" t="s">
        <v>9767</v>
      </c>
      <c r="AX987" s="1">
        <v>1</v>
      </c>
      <c r="AZ987" s="1">
        <v>0.1</v>
      </c>
      <c r="BG987" s="1" t="s">
        <v>3998</v>
      </c>
      <c r="BM987" s="1" t="s">
        <v>1073</v>
      </c>
      <c r="BQ987" s="1" t="s">
        <v>207</v>
      </c>
      <c r="BR987" s="1" t="s">
        <v>208</v>
      </c>
      <c r="BS987" s="1" t="s">
        <v>229</v>
      </c>
      <c r="BT987" s="1" t="s">
        <v>210</v>
      </c>
      <c r="BX987" s="1">
        <v>1</v>
      </c>
    </row>
    <row r="988" spans="1:76" x14ac:dyDescent="0.25">
      <c r="A988" s="1" t="s">
        <v>4001</v>
      </c>
      <c r="B988" s="1" t="s">
        <v>203</v>
      </c>
      <c r="C988" s="1">
        <v>1</v>
      </c>
      <c r="D988" s="1" t="s">
        <v>4002</v>
      </c>
      <c r="E988" s="1">
        <v>1367</v>
      </c>
      <c r="F988" s="1" t="s">
        <v>4001</v>
      </c>
      <c r="G988" s="1">
        <v>1</v>
      </c>
      <c r="L988" s="1">
        <v>3000</v>
      </c>
      <c r="N988" s="1">
        <v>100</v>
      </c>
      <c r="P988" s="1">
        <v>3000</v>
      </c>
      <c r="R988" s="1">
        <v>90</v>
      </c>
      <c r="Z988" s="1">
        <v>0.05</v>
      </c>
      <c r="AA988" s="1">
        <v>1.5</v>
      </c>
      <c r="AB988" s="1">
        <v>2</v>
      </c>
      <c r="AC988" s="1">
        <v>0.1</v>
      </c>
      <c r="AH988" s="1">
        <v>-1</v>
      </c>
      <c r="AI988" s="1">
        <v>1</v>
      </c>
      <c r="AJ988" s="1" t="s">
        <v>4003</v>
      </c>
      <c r="AK988" s="1" t="s">
        <v>4004</v>
      </c>
      <c r="AL988" s="1" t="s">
        <v>228</v>
      </c>
      <c r="AN988" s="22" t="s">
        <v>9767</v>
      </c>
      <c r="AX988" s="1">
        <v>1</v>
      </c>
      <c r="AZ988" s="1">
        <v>0.1</v>
      </c>
      <c r="BG988" s="1" t="s">
        <v>4001</v>
      </c>
      <c r="BM988" s="1" t="s">
        <v>4005</v>
      </c>
      <c r="BQ988" s="1" t="s">
        <v>207</v>
      </c>
      <c r="BR988" s="1" t="s">
        <v>208</v>
      </c>
      <c r="BS988" s="1" t="s">
        <v>208</v>
      </c>
      <c r="BT988" s="1" t="s">
        <v>210</v>
      </c>
      <c r="BX988" s="1">
        <v>1</v>
      </c>
    </row>
    <row r="989" spans="1:76" x14ac:dyDescent="0.25">
      <c r="A989" s="1" t="s">
        <v>4006</v>
      </c>
      <c r="B989" s="1" t="s">
        <v>203</v>
      </c>
      <c r="C989" s="1">
        <v>1</v>
      </c>
      <c r="D989" s="1" t="s">
        <v>4002</v>
      </c>
      <c r="E989" s="1">
        <v>1367</v>
      </c>
      <c r="F989" s="1" t="s">
        <v>4001</v>
      </c>
      <c r="G989" s="1">
        <v>1</v>
      </c>
      <c r="L989" s="1">
        <v>3000</v>
      </c>
      <c r="N989" s="1">
        <v>0</v>
      </c>
      <c r="P989" s="1">
        <v>3000</v>
      </c>
      <c r="R989" s="1">
        <v>90</v>
      </c>
      <c r="Z989" s="1">
        <v>0.05</v>
      </c>
      <c r="AA989" s="1">
        <v>1.5</v>
      </c>
      <c r="AB989" s="1">
        <v>2</v>
      </c>
      <c r="AC989" s="1">
        <v>0.1</v>
      </c>
      <c r="AH989" s="1">
        <v>-1</v>
      </c>
      <c r="AI989" s="1">
        <v>1</v>
      </c>
      <c r="AJ989" s="1" t="s">
        <v>4003</v>
      </c>
      <c r="AK989" s="1" t="s">
        <v>4004</v>
      </c>
      <c r="AL989" s="1" t="s">
        <v>228</v>
      </c>
      <c r="AN989" s="22" t="s">
        <v>9767</v>
      </c>
      <c r="AX989" s="1">
        <v>1</v>
      </c>
      <c r="AZ989" s="1">
        <v>0.1</v>
      </c>
      <c r="BG989" s="1" t="s">
        <v>4001</v>
      </c>
      <c r="BM989" s="1" t="s">
        <v>4005</v>
      </c>
      <c r="BQ989" s="1" t="s">
        <v>207</v>
      </c>
      <c r="BR989" s="1" t="s">
        <v>208</v>
      </c>
      <c r="BS989" s="1" t="s">
        <v>208</v>
      </c>
      <c r="BT989" s="1" t="s">
        <v>210</v>
      </c>
      <c r="BX989" s="1">
        <v>1</v>
      </c>
    </row>
    <row r="990" spans="1:76" x14ac:dyDescent="0.25">
      <c r="A990" s="1" t="s">
        <v>4007</v>
      </c>
      <c r="B990" s="1" t="s">
        <v>203</v>
      </c>
      <c r="C990" s="1">
        <v>1</v>
      </c>
      <c r="D990" s="1" t="s">
        <v>4008</v>
      </c>
      <c r="E990" s="1">
        <v>1368</v>
      </c>
      <c r="F990" s="1" t="s">
        <v>4007</v>
      </c>
      <c r="G990" s="1">
        <v>1.05</v>
      </c>
      <c r="L990" s="1">
        <v>30000</v>
      </c>
      <c r="N990" s="1">
        <v>800</v>
      </c>
      <c r="P990" s="1">
        <v>800</v>
      </c>
      <c r="R990" s="1">
        <v>50</v>
      </c>
      <c r="Z990" s="1">
        <v>0.05</v>
      </c>
      <c r="AA990" s="1">
        <v>3.7</v>
      </c>
      <c r="AB990" s="1">
        <v>7</v>
      </c>
      <c r="AC990" s="1">
        <v>0.3</v>
      </c>
      <c r="AH990" s="1">
        <v>0</v>
      </c>
      <c r="AI990" s="1">
        <v>1</v>
      </c>
      <c r="AJ990" s="1" t="s">
        <v>4009</v>
      </c>
      <c r="AK990" s="1" t="s">
        <v>3406</v>
      </c>
      <c r="AL990" s="1" t="s">
        <v>228</v>
      </c>
      <c r="AN990" s="22" t="s">
        <v>9767</v>
      </c>
      <c r="AX990" s="1">
        <v>1</v>
      </c>
      <c r="AZ990" s="1">
        <v>0.1</v>
      </c>
      <c r="BG990" s="1" t="s">
        <v>4007</v>
      </c>
      <c r="BM990" s="1" t="s">
        <v>1073</v>
      </c>
      <c r="BQ990" s="1" t="s">
        <v>207</v>
      </c>
      <c r="BR990" s="1" t="s">
        <v>208</v>
      </c>
      <c r="BS990" s="1" t="s">
        <v>229</v>
      </c>
      <c r="BT990" s="1" t="s">
        <v>210</v>
      </c>
      <c r="BX990" s="1">
        <v>1</v>
      </c>
    </row>
    <row r="991" spans="1:76" x14ac:dyDescent="0.25">
      <c r="A991" s="1" t="s">
        <v>4010</v>
      </c>
      <c r="B991" s="1" t="s">
        <v>203</v>
      </c>
      <c r="C991" s="1">
        <v>1</v>
      </c>
      <c r="D991" s="1" t="s">
        <v>4011</v>
      </c>
      <c r="E991" s="1">
        <v>1369</v>
      </c>
      <c r="F991" s="1" t="s">
        <v>4010</v>
      </c>
      <c r="G991" s="1">
        <v>1</v>
      </c>
      <c r="L991" s="1">
        <v>10000</v>
      </c>
      <c r="N991" s="1">
        <v>750</v>
      </c>
      <c r="P991" s="1">
        <v>0</v>
      </c>
      <c r="R991" s="1">
        <v>0</v>
      </c>
      <c r="Z991" s="1">
        <v>0.05</v>
      </c>
      <c r="AA991" s="1">
        <v>1</v>
      </c>
      <c r="AB991" s="1">
        <v>3</v>
      </c>
      <c r="AC991" s="1">
        <v>0.2</v>
      </c>
      <c r="AH991" s="1">
        <v>0</v>
      </c>
      <c r="AI991" s="1">
        <v>1</v>
      </c>
      <c r="AJ991" s="1" t="s">
        <v>4012</v>
      </c>
      <c r="AK991" s="1" t="s">
        <v>4004</v>
      </c>
      <c r="AL991" s="1" t="s">
        <v>228</v>
      </c>
      <c r="AN991" s="22" t="s">
        <v>9767</v>
      </c>
      <c r="AX991" s="1">
        <v>0</v>
      </c>
      <c r="AZ991" s="1">
        <v>0.1</v>
      </c>
      <c r="BG991" s="1" t="s">
        <v>4010</v>
      </c>
      <c r="BM991" s="1" t="s">
        <v>4013</v>
      </c>
      <c r="BQ991" s="1" t="s">
        <v>207</v>
      </c>
      <c r="BR991" s="1" t="s">
        <v>208</v>
      </c>
      <c r="BS991" s="1" t="s">
        <v>229</v>
      </c>
      <c r="BT991" s="1" t="s">
        <v>210</v>
      </c>
      <c r="BX991" s="1">
        <v>1</v>
      </c>
    </row>
    <row r="992" spans="1:76" x14ac:dyDescent="0.25">
      <c r="A992" s="1" t="s">
        <v>4014</v>
      </c>
      <c r="B992" s="1" t="s">
        <v>203</v>
      </c>
      <c r="C992" s="1">
        <v>1</v>
      </c>
      <c r="D992" s="1" t="s">
        <v>4015</v>
      </c>
      <c r="E992" s="1">
        <v>1547</v>
      </c>
      <c r="F992" s="1" t="s">
        <v>4016</v>
      </c>
      <c r="G992" s="1">
        <v>0.9</v>
      </c>
      <c r="L992" s="1">
        <v>40000</v>
      </c>
      <c r="N992" s="1">
        <v>1000</v>
      </c>
      <c r="P992" s="1">
        <v>1000</v>
      </c>
      <c r="R992" s="1">
        <v>50</v>
      </c>
      <c r="Z992" s="1">
        <v>0.05</v>
      </c>
      <c r="AA992" s="1">
        <v>6</v>
      </c>
      <c r="AB992" s="1">
        <v>10</v>
      </c>
      <c r="AC992" s="1">
        <v>0.2</v>
      </c>
      <c r="AH992" s="1">
        <v>0</v>
      </c>
      <c r="AI992" s="1">
        <v>1</v>
      </c>
      <c r="AJ992" s="1" t="s">
        <v>4017</v>
      </c>
      <c r="AK992" s="1" t="s">
        <v>3367</v>
      </c>
      <c r="AL992" s="1" t="s">
        <v>228</v>
      </c>
      <c r="AN992" s="22" t="s">
        <v>9767</v>
      </c>
      <c r="AX992" s="1">
        <v>2</v>
      </c>
      <c r="AZ992" s="1">
        <v>0.1</v>
      </c>
      <c r="BG992" s="1" t="s">
        <v>4016</v>
      </c>
      <c r="BM992" s="1" t="s">
        <v>4018</v>
      </c>
      <c r="BQ992" s="1" t="s">
        <v>4019</v>
      </c>
      <c r="BR992" s="1" t="s">
        <v>4020</v>
      </c>
      <c r="BS992" s="1" t="s">
        <v>4021</v>
      </c>
      <c r="BT992" s="1" t="s">
        <v>2595</v>
      </c>
      <c r="BX992" s="1">
        <v>1</v>
      </c>
    </row>
    <row r="993" spans="1:76" x14ac:dyDescent="0.25">
      <c r="A993" s="1" t="s">
        <v>4022</v>
      </c>
      <c r="B993" s="1" t="s">
        <v>203</v>
      </c>
      <c r="C993" s="1">
        <v>1</v>
      </c>
      <c r="D993" s="1" t="s">
        <v>4015</v>
      </c>
      <c r="E993" s="1">
        <v>1547</v>
      </c>
      <c r="F993" s="1" t="s">
        <v>4016</v>
      </c>
      <c r="G993" s="1">
        <v>0.9</v>
      </c>
      <c r="L993" s="1">
        <v>30000</v>
      </c>
      <c r="N993" s="1">
        <v>700</v>
      </c>
      <c r="P993" s="1">
        <v>300</v>
      </c>
      <c r="R993" s="1">
        <v>50</v>
      </c>
      <c r="Z993" s="1">
        <v>0.05</v>
      </c>
      <c r="AA993" s="1">
        <v>4</v>
      </c>
      <c r="AB993" s="1">
        <v>10</v>
      </c>
      <c r="AC993" s="1">
        <v>0.3</v>
      </c>
      <c r="AH993" s="1">
        <v>0</v>
      </c>
      <c r="AI993" s="1">
        <v>1</v>
      </c>
      <c r="AJ993" s="1" t="s">
        <v>4023</v>
      </c>
      <c r="AK993" s="1" t="s">
        <v>3367</v>
      </c>
      <c r="AL993" s="1" t="s">
        <v>228</v>
      </c>
      <c r="AN993" s="22" t="s">
        <v>9767</v>
      </c>
      <c r="AX993" s="1">
        <v>2</v>
      </c>
      <c r="AZ993" s="1">
        <v>0.1</v>
      </c>
      <c r="BG993" s="1" t="s">
        <v>4016</v>
      </c>
      <c r="BM993" s="1" t="s">
        <v>4024</v>
      </c>
      <c r="BQ993" s="1" t="s">
        <v>4025</v>
      </c>
      <c r="BR993" s="1" t="s">
        <v>2593</v>
      </c>
      <c r="BS993" s="1" t="s">
        <v>2594</v>
      </c>
      <c r="BT993" s="1" t="s">
        <v>3131</v>
      </c>
      <c r="BX993" s="1">
        <v>1</v>
      </c>
    </row>
    <row r="994" spans="1:76" x14ac:dyDescent="0.25">
      <c r="A994" s="1" t="s">
        <v>4026</v>
      </c>
      <c r="B994" s="1" t="s">
        <v>203</v>
      </c>
      <c r="C994" s="1">
        <v>1</v>
      </c>
      <c r="D994" s="1" t="s">
        <v>4015</v>
      </c>
      <c r="E994" s="1">
        <v>1547</v>
      </c>
      <c r="F994" s="1" t="s">
        <v>4016</v>
      </c>
      <c r="G994" s="1">
        <v>0.9</v>
      </c>
      <c r="L994" s="1">
        <v>200000</v>
      </c>
      <c r="N994" s="1">
        <v>2000</v>
      </c>
      <c r="P994" s="1">
        <v>1000</v>
      </c>
      <c r="R994" s="1">
        <v>50</v>
      </c>
      <c r="Z994" s="1">
        <v>0.05</v>
      </c>
      <c r="AA994" s="1">
        <v>6</v>
      </c>
      <c r="AB994" s="1">
        <v>10</v>
      </c>
      <c r="AC994" s="1">
        <v>0.2</v>
      </c>
      <c r="AH994" s="1">
        <v>0</v>
      </c>
      <c r="AI994" s="1">
        <v>1</v>
      </c>
      <c r="AJ994" s="1" t="s">
        <v>4027</v>
      </c>
      <c r="AK994" s="1" t="s">
        <v>3367</v>
      </c>
      <c r="AL994" s="1" t="s">
        <v>228</v>
      </c>
      <c r="AN994" s="22" t="s">
        <v>9767</v>
      </c>
      <c r="AX994" s="1">
        <v>2</v>
      </c>
      <c r="AZ994" s="1">
        <v>0.1</v>
      </c>
      <c r="BG994" s="1" t="s">
        <v>4016</v>
      </c>
      <c r="BM994" s="1" t="s">
        <v>4018</v>
      </c>
      <c r="BQ994" s="1" t="s">
        <v>4019</v>
      </c>
      <c r="BR994" s="1" t="s">
        <v>4020</v>
      </c>
      <c r="BS994" s="1" t="s">
        <v>4021</v>
      </c>
      <c r="BT994" s="1" t="s">
        <v>2595</v>
      </c>
      <c r="BX994" s="1">
        <v>1</v>
      </c>
    </row>
    <row r="995" spans="1:76" x14ac:dyDescent="0.25">
      <c r="A995" s="1" t="s">
        <v>4028</v>
      </c>
      <c r="B995" s="1" t="s">
        <v>203</v>
      </c>
      <c r="C995" s="1">
        <v>1</v>
      </c>
      <c r="D995" s="1" t="s">
        <v>4015</v>
      </c>
      <c r="E995" s="1">
        <v>1547</v>
      </c>
      <c r="F995" s="1" t="s">
        <v>4016</v>
      </c>
      <c r="G995" s="1">
        <v>0.9</v>
      </c>
      <c r="L995" s="1">
        <v>40000</v>
      </c>
      <c r="N995" s="1">
        <v>850</v>
      </c>
      <c r="P995" s="1">
        <v>450</v>
      </c>
      <c r="R995" s="1">
        <v>50</v>
      </c>
      <c r="Z995" s="1">
        <v>0.05</v>
      </c>
      <c r="AA995" s="1">
        <v>4</v>
      </c>
      <c r="AB995" s="1">
        <v>10</v>
      </c>
      <c r="AC995" s="1">
        <v>0.3</v>
      </c>
      <c r="AH995" s="1">
        <v>0</v>
      </c>
      <c r="AI995" s="1">
        <v>1</v>
      </c>
      <c r="AJ995" s="1" t="s">
        <v>4029</v>
      </c>
      <c r="AK995" s="1" t="s">
        <v>3367</v>
      </c>
      <c r="AL995" s="1" t="s">
        <v>228</v>
      </c>
      <c r="AN995" s="22" t="s">
        <v>9767</v>
      </c>
      <c r="AX995" s="1">
        <v>2</v>
      </c>
      <c r="AZ995" s="1">
        <v>0.1</v>
      </c>
      <c r="BG995" s="1" t="s">
        <v>4016</v>
      </c>
      <c r="BM995" s="1" t="s">
        <v>4024</v>
      </c>
      <c r="BQ995" s="1" t="s">
        <v>4025</v>
      </c>
      <c r="BR995" s="1" t="s">
        <v>2593</v>
      </c>
      <c r="BS995" s="1" t="s">
        <v>2594</v>
      </c>
      <c r="BT995" s="1" t="s">
        <v>3131</v>
      </c>
      <c r="BX995" s="1">
        <v>1</v>
      </c>
    </row>
    <row r="996" spans="1:76" x14ac:dyDescent="0.25">
      <c r="A996" s="1" t="s">
        <v>4030</v>
      </c>
      <c r="B996" s="1" t="s">
        <v>203</v>
      </c>
      <c r="C996" s="1">
        <v>1</v>
      </c>
      <c r="D996" s="1" t="s">
        <v>4015</v>
      </c>
      <c r="E996" s="1">
        <v>1547</v>
      </c>
      <c r="F996" s="1" t="s">
        <v>4016</v>
      </c>
      <c r="G996" s="1">
        <v>0.9</v>
      </c>
      <c r="L996" s="1">
        <v>240000</v>
      </c>
      <c r="N996" s="1">
        <v>2400</v>
      </c>
      <c r="P996" s="1">
        <v>1200</v>
      </c>
      <c r="R996" s="1">
        <v>50</v>
      </c>
      <c r="Z996" s="1">
        <v>0.05</v>
      </c>
      <c r="AA996" s="1">
        <v>6</v>
      </c>
      <c r="AB996" s="1">
        <v>10</v>
      </c>
      <c r="AC996" s="1">
        <v>0.2</v>
      </c>
      <c r="AH996" s="1">
        <v>0</v>
      </c>
      <c r="AI996" s="1">
        <v>1</v>
      </c>
      <c r="AJ996" s="1" t="s">
        <v>4031</v>
      </c>
      <c r="AK996" s="1" t="s">
        <v>3367</v>
      </c>
      <c r="AL996" s="1" t="s">
        <v>228</v>
      </c>
      <c r="AN996" s="22" t="s">
        <v>9767</v>
      </c>
      <c r="AX996" s="1">
        <v>2</v>
      </c>
      <c r="AZ996" s="1">
        <v>0.1</v>
      </c>
      <c r="BG996" s="1" t="s">
        <v>4016</v>
      </c>
      <c r="BM996" s="1" t="s">
        <v>4018</v>
      </c>
      <c r="BQ996" s="1" t="s">
        <v>4019</v>
      </c>
      <c r="BR996" s="1" t="s">
        <v>4020</v>
      </c>
      <c r="BS996" s="1" t="s">
        <v>4021</v>
      </c>
      <c r="BT996" s="1" t="s">
        <v>2595</v>
      </c>
      <c r="BX996" s="1">
        <v>1</v>
      </c>
    </row>
    <row r="997" spans="1:76" x14ac:dyDescent="0.25">
      <c r="A997" s="1" t="s">
        <v>4032</v>
      </c>
      <c r="B997" s="1" t="s">
        <v>203</v>
      </c>
      <c r="C997" s="1">
        <v>1</v>
      </c>
      <c r="D997" s="1" t="s">
        <v>4033</v>
      </c>
      <c r="E997" s="1">
        <v>1371</v>
      </c>
      <c r="F997" s="1" t="s">
        <v>4032</v>
      </c>
      <c r="G997" s="1">
        <v>1</v>
      </c>
      <c r="L997" s="1">
        <v>4000</v>
      </c>
      <c r="N997" s="1">
        <v>280</v>
      </c>
      <c r="P997" s="1">
        <v>150</v>
      </c>
      <c r="R997" s="1">
        <v>10</v>
      </c>
      <c r="Z997" s="1">
        <v>0.05</v>
      </c>
      <c r="AA997" s="1">
        <v>2</v>
      </c>
      <c r="AB997" s="1">
        <v>1</v>
      </c>
      <c r="AC997" s="1">
        <v>0.8</v>
      </c>
      <c r="AH997" s="1">
        <v>0</v>
      </c>
      <c r="AI997" s="1">
        <v>1</v>
      </c>
      <c r="AJ997" s="1" t="s">
        <v>4034</v>
      </c>
      <c r="AK997" s="1" t="s">
        <v>3367</v>
      </c>
      <c r="AL997" s="1" t="s">
        <v>228</v>
      </c>
      <c r="AN997" s="22" t="s">
        <v>9767</v>
      </c>
      <c r="AX997" s="1">
        <v>1</v>
      </c>
      <c r="AZ997" s="1">
        <v>0.1</v>
      </c>
      <c r="BG997" s="1" t="s">
        <v>4032</v>
      </c>
      <c r="BM997" s="1" t="s">
        <v>4035</v>
      </c>
      <c r="BQ997" s="1" t="s">
        <v>207</v>
      </c>
      <c r="BR997" s="1" t="s">
        <v>208</v>
      </c>
      <c r="BS997" s="1" t="s">
        <v>229</v>
      </c>
      <c r="BT997" s="1" t="s">
        <v>210</v>
      </c>
      <c r="BX997" s="1">
        <v>1</v>
      </c>
    </row>
    <row r="998" spans="1:76" x14ac:dyDescent="0.25">
      <c r="A998" s="1" t="s">
        <v>4036</v>
      </c>
      <c r="B998" s="1" t="s">
        <v>203</v>
      </c>
      <c r="C998" s="1">
        <v>1</v>
      </c>
      <c r="D998" s="1" t="s">
        <v>4037</v>
      </c>
      <c r="E998" s="1">
        <v>1371</v>
      </c>
      <c r="F998" s="1" t="s">
        <v>4036</v>
      </c>
      <c r="G998" s="1">
        <v>1</v>
      </c>
      <c r="L998" s="1">
        <v>5000</v>
      </c>
      <c r="N998" s="1">
        <v>320</v>
      </c>
      <c r="P998" s="1">
        <v>150</v>
      </c>
      <c r="R998" s="1">
        <v>10</v>
      </c>
      <c r="Z998" s="1">
        <v>0.05</v>
      </c>
      <c r="AA998" s="1">
        <v>2</v>
      </c>
      <c r="AB998" s="1">
        <v>1</v>
      </c>
      <c r="AC998" s="1">
        <v>0.8</v>
      </c>
      <c r="AH998" s="1">
        <v>0</v>
      </c>
      <c r="AI998" s="1">
        <v>1</v>
      </c>
      <c r="AJ998" s="1" t="s">
        <v>4038</v>
      </c>
      <c r="AK998" s="1" t="s">
        <v>3367</v>
      </c>
      <c r="AL998" s="1" t="s">
        <v>228</v>
      </c>
      <c r="AN998" s="22" t="s">
        <v>9767</v>
      </c>
      <c r="AX998" s="1">
        <v>1</v>
      </c>
      <c r="AZ998" s="1">
        <v>0.1</v>
      </c>
      <c r="BG998" s="1" t="s">
        <v>4036</v>
      </c>
      <c r="BM998" s="1" t="s">
        <v>4035</v>
      </c>
      <c r="BQ998" s="1" t="s">
        <v>207</v>
      </c>
      <c r="BR998" s="1" t="s">
        <v>208</v>
      </c>
      <c r="BS998" s="1" t="s">
        <v>229</v>
      </c>
      <c r="BT998" s="1" t="s">
        <v>210</v>
      </c>
      <c r="BX998" s="1">
        <v>1</v>
      </c>
    </row>
    <row r="999" spans="1:76" x14ac:dyDescent="0.25">
      <c r="A999" s="1" t="s">
        <v>4039</v>
      </c>
      <c r="B999" s="1" t="s">
        <v>203</v>
      </c>
      <c r="C999" s="1">
        <v>1</v>
      </c>
      <c r="D999" s="1" t="s">
        <v>4040</v>
      </c>
      <c r="E999" s="1">
        <v>1372</v>
      </c>
      <c r="F999" s="1" t="s">
        <v>4039</v>
      </c>
      <c r="G999" s="1">
        <v>1</v>
      </c>
      <c r="L999" s="1">
        <v>6000</v>
      </c>
      <c r="N999" s="1">
        <v>200</v>
      </c>
      <c r="P999" s="1">
        <v>200</v>
      </c>
      <c r="R999" s="1">
        <v>15</v>
      </c>
      <c r="Z999" s="1">
        <v>0.05</v>
      </c>
      <c r="AA999" s="1">
        <v>2</v>
      </c>
      <c r="AB999" s="1">
        <v>1</v>
      </c>
      <c r="AC999" s="1">
        <v>0.8</v>
      </c>
      <c r="AH999" s="1">
        <v>0</v>
      </c>
      <c r="AI999" s="1">
        <v>1</v>
      </c>
      <c r="AJ999" s="1" t="s">
        <v>4041</v>
      </c>
      <c r="AK999" s="1" t="s">
        <v>3367</v>
      </c>
      <c r="AL999" s="1" t="s">
        <v>228</v>
      </c>
      <c r="AN999" s="22" t="s">
        <v>9767</v>
      </c>
      <c r="AX999" s="1">
        <v>1</v>
      </c>
      <c r="AZ999" s="1">
        <v>0.1</v>
      </c>
      <c r="BG999" s="1" t="s">
        <v>4039</v>
      </c>
      <c r="BM999" s="1" t="s">
        <v>4035</v>
      </c>
      <c r="BQ999" s="1" t="s">
        <v>207</v>
      </c>
      <c r="BR999" s="1" t="s">
        <v>208</v>
      </c>
      <c r="BS999" s="1" t="s">
        <v>229</v>
      </c>
      <c r="BT999" s="1" t="s">
        <v>210</v>
      </c>
      <c r="BX999" s="1">
        <v>1</v>
      </c>
    </row>
    <row r="1000" spans="1:76" x14ac:dyDescent="0.25">
      <c r="A1000" s="1" t="s">
        <v>4042</v>
      </c>
      <c r="B1000" s="1" t="s">
        <v>203</v>
      </c>
      <c r="C1000" s="1">
        <v>1</v>
      </c>
      <c r="D1000" s="1" t="s">
        <v>4043</v>
      </c>
      <c r="E1000" s="1">
        <v>1372</v>
      </c>
      <c r="F1000" s="1" t="s">
        <v>4042</v>
      </c>
      <c r="G1000" s="1">
        <v>1</v>
      </c>
      <c r="L1000" s="1">
        <v>7000</v>
      </c>
      <c r="N1000" s="1">
        <v>250</v>
      </c>
      <c r="P1000" s="1">
        <v>250</v>
      </c>
      <c r="R1000" s="1">
        <v>15</v>
      </c>
      <c r="Z1000" s="1">
        <v>0.05</v>
      </c>
      <c r="AA1000" s="1">
        <v>2</v>
      </c>
      <c r="AB1000" s="1">
        <v>1</v>
      </c>
      <c r="AC1000" s="1">
        <v>0.8</v>
      </c>
      <c r="AH1000" s="1">
        <v>0</v>
      </c>
      <c r="AI1000" s="1">
        <v>1</v>
      </c>
      <c r="AJ1000" s="1" t="s">
        <v>4044</v>
      </c>
      <c r="AK1000" s="1" t="s">
        <v>3367</v>
      </c>
      <c r="AL1000" s="1" t="s">
        <v>228</v>
      </c>
      <c r="AN1000" s="22" t="s">
        <v>9767</v>
      </c>
      <c r="AX1000" s="1">
        <v>1</v>
      </c>
      <c r="AZ1000" s="1">
        <v>0.1</v>
      </c>
      <c r="BG1000" s="1" t="s">
        <v>4042</v>
      </c>
      <c r="BM1000" s="1" t="s">
        <v>4035</v>
      </c>
      <c r="BQ1000" s="1" t="s">
        <v>207</v>
      </c>
      <c r="BR1000" s="1" t="s">
        <v>208</v>
      </c>
      <c r="BS1000" s="1" t="s">
        <v>229</v>
      </c>
      <c r="BT1000" s="1" t="s">
        <v>210</v>
      </c>
      <c r="BX1000" s="1">
        <v>1</v>
      </c>
    </row>
    <row r="1001" spans="1:76" x14ac:dyDescent="0.25">
      <c r="A1001" s="1" t="s">
        <v>4045</v>
      </c>
      <c r="B1001" s="1" t="s">
        <v>203</v>
      </c>
      <c r="C1001" s="1">
        <v>1</v>
      </c>
      <c r="D1001" s="1" t="s">
        <v>4046</v>
      </c>
      <c r="E1001" s="1">
        <v>1373</v>
      </c>
      <c r="F1001" s="1" t="s">
        <v>4045</v>
      </c>
      <c r="G1001" s="1">
        <v>1</v>
      </c>
      <c r="L1001" s="1">
        <v>8000</v>
      </c>
      <c r="N1001" s="1">
        <v>150</v>
      </c>
      <c r="P1001" s="1">
        <v>200</v>
      </c>
      <c r="R1001" s="1">
        <v>15</v>
      </c>
      <c r="Z1001" s="1">
        <v>0.05</v>
      </c>
      <c r="AA1001" s="1">
        <v>3</v>
      </c>
      <c r="AB1001" s="1">
        <v>1</v>
      </c>
      <c r="AC1001" s="1">
        <v>0.8</v>
      </c>
      <c r="AH1001" s="1">
        <v>1</v>
      </c>
      <c r="AI1001" s="1">
        <v>1</v>
      </c>
      <c r="AJ1001" s="1" t="s">
        <v>4047</v>
      </c>
      <c r="AK1001" s="1" t="s">
        <v>3494</v>
      </c>
      <c r="AL1001" s="1" t="s">
        <v>228</v>
      </c>
      <c r="AN1001" s="22" t="s">
        <v>9767</v>
      </c>
      <c r="AX1001" s="1">
        <v>1</v>
      </c>
      <c r="AZ1001" s="1">
        <v>0.1</v>
      </c>
      <c r="BG1001" s="1" t="s">
        <v>4045</v>
      </c>
      <c r="BM1001" s="1" t="s">
        <v>4048</v>
      </c>
      <c r="BQ1001" s="1" t="s">
        <v>207</v>
      </c>
      <c r="BR1001" s="1" t="s">
        <v>208</v>
      </c>
      <c r="BS1001" s="1" t="s">
        <v>229</v>
      </c>
      <c r="BT1001" s="1" t="s">
        <v>210</v>
      </c>
      <c r="BX1001" s="1">
        <v>1</v>
      </c>
    </row>
    <row r="1002" spans="1:76" x14ac:dyDescent="0.25">
      <c r="A1002" s="1" t="s">
        <v>4049</v>
      </c>
      <c r="B1002" s="1" t="s">
        <v>203</v>
      </c>
      <c r="C1002" s="1">
        <v>1</v>
      </c>
      <c r="D1002" s="1" t="s">
        <v>4050</v>
      </c>
      <c r="E1002" s="1">
        <v>1373</v>
      </c>
      <c r="F1002" s="1" t="s">
        <v>4049</v>
      </c>
      <c r="G1002" s="1">
        <v>1</v>
      </c>
      <c r="L1002" s="1">
        <v>9000</v>
      </c>
      <c r="N1002" s="1">
        <v>200</v>
      </c>
      <c r="P1002" s="1">
        <v>250</v>
      </c>
      <c r="R1002" s="1">
        <v>15</v>
      </c>
      <c r="Z1002" s="1">
        <v>0.05</v>
      </c>
      <c r="AA1002" s="1">
        <v>3</v>
      </c>
      <c r="AB1002" s="1">
        <v>1</v>
      </c>
      <c r="AC1002" s="1">
        <v>0.8</v>
      </c>
      <c r="AH1002" s="1">
        <v>1</v>
      </c>
      <c r="AI1002" s="1">
        <v>1</v>
      </c>
      <c r="AJ1002" s="1" t="s">
        <v>4051</v>
      </c>
      <c r="AK1002" s="1" t="s">
        <v>3494</v>
      </c>
      <c r="AL1002" s="1" t="s">
        <v>228</v>
      </c>
      <c r="AN1002" s="22" t="s">
        <v>9767</v>
      </c>
      <c r="AX1002" s="1">
        <v>1</v>
      </c>
      <c r="AZ1002" s="1">
        <v>0.1</v>
      </c>
      <c r="BG1002" s="1" t="s">
        <v>4049</v>
      </c>
      <c r="BM1002" s="1" t="s">
        <v>4048</v>
      </c>
      <c r="BQ1002" s="1" t="s">
        <v>207</v>
      </c>
      <c r="BR1002" s="1" t="s">
        <v>208</v>
      </c>
      <c r="BS1002" s="1" t="s">
        <v>229</v>
      </c>
      <c r="BT1002" s="1" t="s">
        <v>210</v>
      </c>
      <c r="BX1002" s="1">
        <v>1</v>
      </c>
    </row>
    <row r="1003" spans="1:76" x14ac:dyDescent="0.25">
      <c r="A1003" s="1" t="s">
        <v>4052</v>
      </c>
      <c r="B1003" s="1" t="s">
        <v>203</v>
      </c>
      <c r="C1003" s="1">
        <v>1</v>
      </c>
      <c r="D1003" s="1" t="s">
        <v>4053</v>
      </c>
      <c r="E1003" s="1">
        <v>1374</v>
      </c>
      <c r="F1003" s="1" t="s">
        <v>4052</v>
      </c>
      <c r="G1003" s="1">
        <v>1</v>
      </c>
      <c r="L1003" s="1">
        <v>13000</v>
      </c>
      <c r="N1003" s="1">
        <v>250</v>
      </c>
      <c r="P1003" s="1">
        <v>250</v>
      </c>
      <c r="R1003" s="1">
        <v>50</v>
      </c>
      <c r="Z1003" s="1">
        <v>0.05</v>
      </c>
      <c r="AA1003" s="1">
        <v>3</v>
      </c>
      <c r="AB1003" s="1">
        <v>1</v>
      </c>
      <c r="AC1003" s="1">
        <v>0.7</v>
      </c>
      <c r="AH1003" s="1">
        <v>0</v>
      </c>
      <c r="AI1003" s="1">
        <v>1</v>
      </c>
      <c r="AJ1003" s="1" t="s">
        <v>4054</v>
      </c>
      <c r="AK1003" s="1" t="s">
        <v>3494</v>
      </c>
      <c r="AL1003" s="1" t="s">
        <v>228</v>
      </c>
      <c r="AN1003" s="22" t="s">
        <v>9767</v>
      </c>
      <c r="AX1003" s="1">
        <v>1</v>
      </c>
      <c r="AZ1003" s="1">
        <v>0.1</v>
      </c>
      <c r="BG1003" s="1" t="s">
        <v>4052</v>
      </c>
      <c r="BM1003" s="1" t="s">
        <v>4048</v>
      </c>
      <c r="BQ1003" s="1" t="s">
        <v>207</v>
      </c>
      <c r="BR1003" s="1" t="s">
        <v>208</v>
      </c>
      <c r="BS1003" s="1" t="s">
        <v>229</v>
      </c>
      <c r="BT1003" s="1" t="s">
        <v>210</v>
      </c>
      <c r="BX1003" s="1">
        <v>1</v>
      </c>
    </row>
    <row r="1004" spans="1:76" x14ac:dyDescent="0.25">
      <c r="A1004" s="1" t="s">
        <v>4055</v>
      </c>
      <c r="B1004" s="1" t="s">
        <v>203</v>
      </c>
      <c r="C1004" s="1">
        <v>1</v>
      </c>
      <c r="D1004" s="1" t="s">
        <v>4056</v>
      </c>
      <c r="E1004" s="1">
        <v>1374</v>
      </c>
      <c r="F1004" s="1" t="s">
        <v>4055</v>
      </c>
      <c r="G1004" s="1">
        <v>1</v>
      </c>
      <c r="L1004" s="1">
        <v>15000</v>
      </c>
      <c r="N1004" s="1">
        <v>300</v>
      </c>
      <c r="P1004" s="1">
        <v>300</v>
      </c>
      <c r="R1004" s="1">
        <v>50</v>
      </c>
      <c r="Z1004" s="1">
        <v>0.05</v>
      </c>
      <c r="AA1004" s="1">
        <v>3</v>
      </c>
      <c r="AB1004" s="1">
        <v>1</v>
      </c>
      <c r="AC1004" s="1">
        <v>0.7</v>
      </c>
      <c r="AH1004" s="1">
        <v>0</v>
      </c>
      <c r="AI1004" s="1">
        <v>1</v>
      </c>
      <c r="AJ1004" s="1" t="s">
        <v>4057</v>
      </c>
      <c r="AK1004" s="1" t="s">
        <v>3494</v>
      </c>
      <c r="AL1004" s="1" t="s">
        <v>228</v>
      </c>
      <c r="AN1004" s="22" t="s">
        <v>9767</v>
      </c>
      <c r="AX1004" s="1">
        <v>1</v>
      </c>
      <c r="AZ1004" s="1">
        <v>0.1</v>
      </c>
      <c r="BG1004" s="1" t="s">
        <v>4055</v>
      </c>
      <c r="BM1004" s="1" t="s">
        <v>4048</v>
      </c>
      <c r="BQ1004" s="1" t="s">
        <v>207</v>
      </c>
      <c r="BR1004" s="1" t="s">
        <v>208</v>
      </c>
      <c r="BS1004" s="1" t="s">
        <v>229</v>
      </c>
      <c r="BT1004" s="1" t="s">
        <v>210</v>
      </c>
      <c r="BX1004" s="1">
        <v>1</v>
      </c>
    </row>
    <row r="1005" spans="1:76" x14ac:dyDescent="0.25">
      <c r="A1005" s="1" t="s">
        <v>4058</v>
      </c>
      <c r="B1005" s="1" t="s">
        <v>203</v>
      </c>
      <c r="C1005" s="1">
        <v>1</v>
      </c>
      <c r="D1005" s="1" t="s">
        <v>4059</v>
      </c>
      <c r="E1005" s="1">
        <v>1375</v>
      </c>
      <c r="F1005" s="1" t="s">
        <v>4058</v>
      </c>
      <c r="G1005" s="1">
        <v>1</v>
      </c>
      <c r="L1005" s="1">
        <v>13000</v>
      </c>
      <c r="N1005" s="1">
        <v>500</v>
      </c>
      <c r="P1005" s="1">
        <v>700</v>
      </c>
      <c r="R1005" s="1">
        <v>60</v>
      </c>
      <c r="Z1005" s="1">
        <v>0.05</v>
      </c>
      <c r="AA1005" s="1">
        <v>6</v>
      </c>
      <c r="AB1005" s="1">
        <v>2</v>
      </c>
      <c r="AC1005" s="1">
        <v>0.8</v>
      </c>
      <c r="AH1005" s="1">
        <v>0</v>
      </c>
      <c r="AI1005" s="1">
        <v>1</v>
      </c>
      <c r="AJ1005" s="1" t="s">
        <v>4060</v>
      </c>
      <c r="AK1005" s="1" t="s">
        <v>3494</v>
      </c>
      <c r="AL1005" s="1" t="s">
        <v>228</v>
      </c>
      <c r="AN1005" s="22" t="s">
        <v>9767</v>
      </c>
      <c r="AX1005" s="1">
        <v>1</v>
      </c>
      <c r="AZ1005" s="1">
        <v>0.1</v>
      </c>
      <c r="BG1005" s="1" t="s">
        <v>4058</v>
      </c>
      <c r="BM1005" s="1" t="s">
        <v>4035</v>
      </c>
      <c r="BQ1005" s="1" t="s">
        <v>207</v>
      </c>
      <c r="BR1005" s="1" t="s">
        <v>208</v>
      </c>
      <c r="BS1005" s="1" t="s">
        <v>229</v>
      </c>
      <c r="BT1005" s="1" t="s">
        <v>210</v>
      </c>
      <c r="BX1005" s="1">
        <v>1</v>
      </c>
    </row>
    <row r="1006" spans="1:76" x14ac:dyDescent="0.25">
      <c r="A1006" s="1" t="s">
        <v>4061</v>
      </c>
      <c r="B1006" s="1" t="s">
        <v>203</v>
      </c>
      <c r="C1006" s="1">
        <v>1</v>
      </c>
      <c r="D1006" s="1" t="s">
        <v>4062</v>
      </c>
      <c r="E1006" s="1">
        <v>1375</v>
      </c>
      <c r="F1006" s="1" t="s">
        <v>4061</v>
      </c>
      <c r="G1006" s="1">
        <v>1</v>
      </c>
      <c r="L1006" s="1">
        <v>15000</v>
      </c>
      <c r="N1006" s="1">
        <v>600</v>
      </c>
      <c r="P1006" s="1">
        <v>700</v>
      </c>
      <c r="R1006" s="1">
        <v>60</v>
      </c>
      <c r="Z1006" s="1">
        <v>0.05</v>
      </c>
      <c r="AA1006" s="1">
        <v>6</v>
      </c>
      <c r="AB1006" s="1">
        <v>2</v>
      </c>
      <c r="AC1006" s="1">
        <v>0.8</v>
      </c>
      <c r="AH1006" s="1">
        <v>0</v>
      </c>
      <c r="AI1006" s="1">
        <v>1</v>
      </c>
      <c r="AJ1006" s="1" t="s">
        <v>4063</v>
      </c>
      <c r="AK1006" s="1" t="s">
        <v>3494</v>
      </c>
      <c r="AL1006" s="1" t="s">
        <v>228</v>
      </c>
      <c r="AN1006" s="22" t="s">
        <v>9767</v>
      </c>
      <c r="AX1006" s="1">
        <v>1</v>
      </c>
      <c r="AZ1006" s="1">
        <v>0.1</v>
      </c>
      <c r="BG1006" s="1" t="s">
        <v>4061</v>
      </c>
      <c r="BM1006" s="1" t="s">
        <v>4035</v>
      </c>
      <c r="BQ1006" s="1" t="s">
        <v>207</v>
      </c>
      <c r="BR1006" s="1" t="s">
        <v>208</v>
      </c>
      <c r="BS1006" s="1" t="s">
        <v>229</v>
      </c>
      <c r="BT1006" s="1" t="s">
        <v>210</v>
      </c>
      <c r="BX1006" s="1">
        <v>1</v>
      </c>
    </row>
    <row r="1007" spans="1:76" x14ac:dyDescent="0.25">
      <c r="A1007" s="1" t="s">
        <v>4064</v>
      </c>
      <c r="B1007" s="1" t="s">
        <v>203</v>
      </c>
      <c r="C1007" s="1">
        <v>1</v>
      </c>
      <c r="D1007" s="1" t="s">
        <v>4065</v>
      </c>
      <c r="E1007" s="1">
        <v>1376</v>
      </c>
      <c r="F1007" s="1" t="s">
        <v>4064</v>
      </c>
      <c r="G1007" s="1">
        <v>2</v>
      </c>
      <c r="L1007" s="1">
        <v>10000</v>
      </c>
      <c r="N1007" s="1">
        <v>250</v>
      </c>
      <c r="P1007" s="1">
        <v>250</v>
      </c>
      <c r="R1007" s="1">
        <v>50</v>
      </c>
      <c r="Z1007" s="1">
        <v>0.05</v>
      </c>
      <c r="AA1007" s="1">
        <v>1.8</v>
      </c>
      <c r="AB1007" s="1">
        <v>2</v>
      </c>
      <c r="AC1007" s="1">
        <v>0.7</v>
      </c>
      <c r="AH1007" s="1">
        <v>0</v>
      </c>
      <c r="AI1007" s="1">
        <v>1</v>
      </c>
      <c r="AJ1007" s="1" t="s">
        <v>4066</v>
      </c>
      <c r="AK1007" s="1" t="s">
        <v>3374</v>
      </c>
      <c r="AL1007" s="1" t="s">
        <v>228</v>
      </c>
      <c r="AN1007" s="22" t="s">
        <v>9767</v>
      </c>
      <c r="AX1007" s="1">
        <v>1</v>
      </c>
      <c r="AZ1007" s="1">
        <v>0.1</v>
      </c>
      <c r="BG1007" s="1" t="s">
        <v>4064</v>
      </c>
      <c r="BM1007" s="1" t="s">
        <v>4048</v>
      </c>
      <c r="BQ1007" s="1" t="s">
        <v>207</v>
      </c>
      <c r="BR1007" s="1" t="s">
        <v>208</v>
      </c>
      <c r="BS1007" s="1" t="s">
        <v>229</v>
      </c>
      <c r="BT1007" s="1" t="s">
        <v>210</v>
      </c>
      <c r="BX1007" s="1">
        <v>1</v>
      </c>
    </row>
    <row r="1008" spans="1:76" x14ac:dyDescent="0.25">
      <c r="A1008" s="1" t="s">
        <v>4067</v>
      </c>
      <c r="B1008" s="1" t="s">
        <v>203</v>
      </c>
      <c r="C1008" s="1">
        <v>1</v>
      </c>
      <c r="D1008" s="1" t="s">
        <v>4068</v>
      </c>
      <c r="E1008" s="1">
        <v>1376</v>
      </c>
      <c r="F1008" s="1" t="s">
        <v>4067</v>
      </c>
      <c r="G1008" s="1">
        <v>2</v>
      </c>
      <c r="L1008" s="1">
        <v>12000</v>
      </c>
      <c r="N1008" s="1">
        <v>350</v>
      </c>
      <c r="P1008" s="1">
        <v>300</v>
      </c>
      <c r="R1008" s="1">
        <v>50</v>
      </c>
      <c r="Z1008" s="1">
        <v>0.05</v>
      </c>
      <c r="AA1008" s="1">
        <v>1.8</v>
      </c>
      <c r="AB1008" s="1">
        <v>2</v>
      </c>
      <c r="AC1008" s="1">
        <v>0.7</v>
      </c>
      <c r="AH1008" s="1">
        <v>0</v>
      </c>
      <c r="AI1008" s="1">
        <v>1</v>
      </c>
      <c r="AJ1008" s="1" t="s">
        <v>4069</v>
      </c>
      <c r="AK1008" s="1" t="s">
        <v>3374</v>
      </c>
      <c r="AL1008" s="1" t="s">
        <v>228</v>
      </c>
      <c r="AN1008" s="22" t="s">
        <v>9767</v>
      </c>
      <c r="AX1008" s="1">
        <v>1</v>
      </c>
      <c r="AZ1008" s="1">
        <v>0.1</v>
      </c>
      <c r="BG1008" s="1" t="s">
        <v>4067</v>
      </c>
      <c r="BM1008" s="1" t="s">
        <v>4048</v>
      </c>
      <c r="BQ1008" s="1" t="s">
        <v>207</v>
      </c>
      <c r="BR1008" s="1" t="s">
        <v>208</v>
      </c>
      <c r="BS1008" s="1" t="s">
        <v>229</v>
      </c>
      <c r="BT1008" s="1" t="s">
        <v>210</v>
      </c>
      <c r="BX1008" s="1">
        <v>1</v>
      </c>
    </row>
    <row r="1009" spans="1:76" x14ac:dyDescent="0.25">
      <c r="A1009" s="1" t="s">
        <v>4070</v>
      </c>
      <c r="B1009" s="1" t="s">
        <v>203</v>
      </c>
      <c r="C1009" s="1">
        <v>1</v>
      </c>
      <c r="D1009" s="1" t="s">
        <v>4071</v>
      </c>
      <c r="E1009" s="1">
        <v>1377</v>
      </c>
      <c r="F1009" s="1" t="s">
        <v>4070</v>
      </c>
      <c r="G1009" s="1">
        <v>1</v>
      </c>
      <c r="L1009" s="1">
        <v>15000</v>
      </c>
      <c r="N1009" s="1">
        <v>600</v>
      </c>
      <c r="P1009" s="1">
        <v>900</v>
      </c>
      <c r="R1009" s="1">
        <v>60</v>
      </c>
      <c r="Z1009" s="1">
        <v>0.05</v>
      </c>
      <c r="AA1009" s="1">
        <v>4</v>
      </c>
      <c r="AB1009" s="1">
        <v>4</v>
      </c>
      <c r="AC1009" s="1">
        <v>0.6</v>
      </c>
      <c r="AH1009" s="1">
        <v>1</v>
      </c>
      <c r="AI1009" s="1">
        <v>1</v>
      </c>
      <c r="AJ1009" s="1" t="s">
        <v>4072</v>
      </c>
      <c r="AK1009" s="1" t="s">
        <v>265</v>
      </c>
      <c r="AL1009" s="1" t="s">
        <v>228</v>
      </c>
      <c r="AN1009" s="22" t="s">
        <v>9767</v>
      </c>
      <c r="AX1009" s="1">
        <v>1</v>
      </c>
      <c r="AZ1009" s="1">
        <v>0.1</v>
      </c>
      <c r="BG1009" s="1" t="s">
        <v>4070</v>
      </c>
      <c r="BM1009" s="1" t="s">
        <v>4073</v>
      </c>
      <c r="BQ1009" s="1" t="s">
        <v>207</v>
      </c>
      <c r="BR1009" s="1" t="s">
        <v>208</v>
      </c>
      <c r="BS1009" s="1" t="s">
        <v>229</v>
      </c>
      <c r="BT1009" s="1" t="s">
        <v>210</v>
      </c>
      <c r="BX1009" s="1">
        <v>1</v>
      </c>
    </row>
    <row r="1010" spans="1:76" x14ac:dyDescent="0.25">
      <c r="A1010" s="1" t="s">
        <v>4074</v>
      </c>
      <c r="B1010" s="1" t="s">
        <v>203</v>
      </c>
      <c r="C1010" s="1">
        <v>1</v>
      </c>
      <c r="D1010" s="1" t="s">
        <v>4075</v>
      </c>
      <c r="E1010" s="1">
        <v>1377</v>
      </c>
      <c r="F1010" s="1" t="s">
        <v>4074</v>
      </c>
      <c r="G1010" s="1">
        <v>1</v>
      </c>
      <c r="L1010" s="1">
        <v>20000</v>
      </c>
      <c r="N1010" s="1">
        <v>700</v>
      </c>
      <c r="P1010" s="1">
        <v>1000</v>
      </c>
      <c r="R1010" s="1">
        <v>60</v>
      </c>
      <c r="Z1010" s="1">
        <v>0.05</v>
      </c>
      <c r="AA1010" s="1">
        <v>4</v>
      </c>
      <c r="AB1010" s="1">
        <v>4</v>
      </c>
      <c r="AC1010" s="1">
        <v>0.6</v>
      </c>
      <c r="AH1010" s="1">
        <v>1</v>
      </c>
      <c r="AI1010" s="1">
        <v>1</v>
      </c>
      <c r="AJ1010" s="1" t="s">
        <v>4076</v>
      </c>
      <c r="AK1010" s="1" t="s">
        <v>265</v>
      </c>
      <c r="AL1010" s="1" t="s">
        <v>228</v>
      </c>
      <c r="AN1010" s="22" t="s">
        <v>9767</v>
      </c>
      <c r="AX1010" s="1">
        <v>1</v>
      </c>
      <c r="AZ1010" s="1">
        <v>0.1</v>
      </c>
      <c r="BG1010" s="1" t="s">
        <v>4074</v>
      </c>
      <c r="BM1010" s="1" t="s">
        <v>4073</v>
      </c>
      <c r="BQ1010" s="1" t="s">
        <v>207</v>
      </c>
      <c r="BR1010" s="1" t="s">
        <v>208</v>
      </c>
      <c r="BS1010" s="1" t="s">
        <v>229</v>
      </c>
      <c r="BT1010" s="1" t="s">
        <v>210</v>
      </c>
      <c r="BX1010" s="1">
        <v>1</v>
      </c>
    </row>
    <row r="1011" spans="1:76" x14ac:dyDescent="0.25">
      <c r="A1011" s="1" t="s">
        <v>4077</v>
      </c>
      <c r="B1011" s="1" t="s">
        <v>203</v>
      </c>
      <c r="C1011" s="1">
        <v>1</v>
      </c>
      <c r="D1011" s="1" t="s">
        <v>4078</v>
      </c>
      <c r="E1011" s="1">
        <v>1378</v>
      </c>
      <c r="F1011" s="1" t="s">
        <v>4079</v>
      </c>
      <c r="G1011" s="1">
        <v>1</v>
      </c>
      <c r="L1011" s="1">
        <v>12000</v>
      </c>
      <c r="N1011" s="1">
        <v>450</v>
      </c>
      <c r="P1011" s="1">
        <v>300</v>
      </c>
      <c r="R1011" s="1">
        <v>50</v>
      </c>
      <c r="Z1011" s="1">
        <v>0.05</v>
      </c>
      <c r="AA1011" s="1">
        <v>3</v>
      </c>
      <c r="AB1011" s="1">
        <v>3</v>
      </c>
      <c r="AC1011" s="1">
        <v>0.65</v>
      </c>
      <c r="AH1011" s="1">
        <v>0</v>
      </c>
      <c r="AI1011" s="1">
        <v>1</v>
      </c>
      <c r="AJ1011" s="1" t="s">
        <v>4080</v>
      </c>
      <c r="AK1011" s="1" t="s">
        <v>265</v>
      </c>
      <c r="AL1011" s="1" t="s">
        <v>228</v>
      </c>
      <c r="AN1011" s="22" t="s">
        <v>9767</v>
      </c>
      <c r="AX1011" s="1">
        <v>1</v>
      </c>
      <c r="AZ1011" s="1">
        <v>0.1</v>
      </c>
      <c r="BG1011" s="1" t="s">
        <v>4079</v>
      </c>
      <c r="BM1011" s="1" t="s">
        <v>4081</v>
      </c>
      <c r="BQ1011" s="1" t="s">
        <v>207</v>
      </c>
      <c r="BR1011" s="1" t="s">
        <v>208</v>
      </c>
      <c r="BS1011" s="1" t="s">
        <v>229</v>
      </c>
      <c r="BT1011" s="1" t="s">
        <v>210</v>
      </c>
      <c r="BX1011" s="1">
        <v>1</v>
      </c>
    </row>
    <row r="1012" spans="1:76" x14ac:dyDescent="0.25">
      <c r="A1012" s="1" t="s">
        <v>4082</v>
      </c>
      <c r="B1012" s="1" t="s">
        <v>203</v>
      </c>
      <c r="C1012" s="1">
        <v>1</v>
      </c>
      <c r="D1012" s="1" t="s">
        <v>4078</v>
      </c>
      <c r="E1012" s="1">
        <v>1378</v>
      </c>
      <c r="F1012" s="1" t="s">
        <v>4079</v>
      </c>
      <c r="G1012" s="1">
        <v>1</v>
      </c>
      <c r="L1012" s="1">
        <v>12000</v>
      </c>
      <c r="N1012" s="1">
        <v>450</v>
      </c>
      <c r="P1012" s="1">
        <v>300</v>
      </c>
      <c r="R1012" s="1">
        <v>50</v>
      </c>
      <c r="Z1012" s="1">
        <v>0.05</v>
      </c>
      <c r="AA1012" s="1">
        <v>3</v>
      </c>
      <c r="AB1012" s="1">
        <v>3</v>
      </c>
      <c r="AC1012" s="1">
        <v>0.65</v>
      </c>
      <c r="AH1012" s="1">
        <v>0</v>
      </c>
      <c r="AI1012" s="1">
        <v>1</v>
      </c>
      <c r="AJ1012" s="1" t="s">
        <v>4083</v>
      </c>
      <c r="AK1012" s="1" t="s">
        <v>265</v>
      </c>
      <c r="AL1012" s="1" t="s">
        <v>228</v>
      </c>
      <c r="AN1012" s="22" t="s">
        <v>9767</v>
      </c>
      <c r="AX1012" s="1">
        <v>1</v>
      </c>
      <c r="AZ1012" s="1">
        <v>0.1</v>
      </c>
      <c r="BG1012" s="1" t="s">
        <v>4079</v>
      </c>
      <c r="BM1012" s="1" t="s">
        <v>4081</v>
      </c>
      <c r="BQ1012" s="1" t="s">
        <v>207</v>
      </c>
      <c r="BR1012" s="1" t="s">
        <v>208</v>
      </c>
      <c r="BS1012" s="1" t="s">
        <v>229</v>
      </c>
      <c r="BT1012" s="1" t="s">
        <v>210</v>
      </c>
      <c r="BX1012" s="1">
        <v>1</v>
      </c>
    </row>
    <row r="1013" spans="1:76" x14ac:dyDescent="0.25">
      <c r="A1013" s="1" t="s">
        <v>4084</v>
      </c>
      <c r="B1013" s="1" t="s">
        <v>203</v>
      </c>
      <c r="C1013" s="1">
        <v>1</v>
      </c>
      <c r="D1013" s="1" t="s">
        <v>4085</v>
      </c>
      <c r="E1013" s="1">
        <v>1378</v>
      </c>
      <c r="F1013" s="1" t="s">
        <v>4086</v>
      </c>
      <c r="G1013" s="1">
        <v>1</v>
      </c>
      <c r="L1013" s="1">
        <v>15000</v>
      </c>
      <c r="N1013" s="1">
        <v>550</v>
      </c>
      <c r="P1013" s="1">
        <v>350</v>
      </c>
      <c r="R1013" s="1">
        <v>50</v>
      </c>
      <c r="Z1013" s="1">
        <v>0.05</v>
      </c>
      <c r="AA1013" s="1">
        <v>3</v>
      </c>
      <c r="AB1013" s="1">
        <v>3</v>
      </c>
      <c r="AC1013" s="1">
        <v>0.65</v>
      </c>
      <c r="AH1013" s="1">
        <v>0</v>
      </c>
      <c r="AI1013" s="1">
        <v>1</v>
      </c>
      <c r="AJ1013" s="1" t="s">
        <v>4087</v>
      </c>
      <c r="AK1013" s="1" t="s">
        <v>265</v>
      </c>
      <c r="AL1013" s="1" t="s">
        <v>228</v>
      </c>
      <c r="AN1013" s="22" t="s">
        <v>9767</v>
      </c>
      <c r="AX1013" s="1">
        <v>1</v>
      </c>
      <c r="AZ1013" s="1">
        <v>0.1</v>
      </c>
      <c r="BG1013" s="1" t="s">
        <v>4086</v>
      </c>
      <c r="BM1013" s="1" t="s">
        <v>4081</v>
      </c>
      <c r="BQ1013" s="1" t="s">
        <v>207</v>
      </c>
      <c r="BR1013" s="1" t="s">
        <v>208</v>
      </c>
      <c r="BS1013" s="1" t="s">
        <v>229</v>
      </c>
      <c r="BT1013" s="1" t="s">
        <v>210</v>
      </c>
      <c r="BX1013" s="1">
        <v>1</v>
      </c>
    </row>
    <row r="1014" spans="1:76" x14ac:dyDescent="0.25">
      <c r="A1014" s="1" t="s">
        <v>4088</v>
      </c>
      <c r="B1014" s="1" t="s">
        <v>203</v>
      </c>
      <c r="C1014" s="1">
        <v>1</v>
      </c>
      <c r="D1014" s="1" t="s">
        <v>4085</v>
      </c>
      <c r="E1014" s="1">
        <v>1378</v>
      </c>
      <c r="F1014" s="1" t="s">
        <v>4086</v>
      </c>
      <c r="G1014" s="1">
        <v>1</v>
      </c>
      <c r="L1014" s="1">
        <v>15000</v>
      </c>
      <c r="N1014" s="1">
        <v>550</v>
      </c>
      <c r="P1014" s="1">
        <v>350</v>
      </c>
      <c r="R1014" s="1">
        <v>50</v>
      </c>
      <c r="Z1014" s="1">
        <v>0.05</v>
      </c>
      <c r="AA1014" s="1">
        <v>3</v>
      </c>
      <c r="AB1014" s="1">
        <v>3</v>
      </c>
      <c r="AC1014" s="1">
        <v>0.65</v>
      </c>
      <c r="AH1014" s="1">
        <v>0</v>
      </c>
      <c r="AI1014" s="1">
        <v>1</v>
      </c>
      <c r="AJ1014" s="1" t="s">
        <v>4089</v>
      </c>
      <c r="AK1014" s="1" t="s">
        <v>265</v>
      </c>
      <c r="AL1014" s="1" t="s">
        <v>228</v>
      </c>
      <c r="AN1014" s="22" t="s">
        <v>9767</v>
      </c>
      <c r="AX1014" s="1">
        <v>1</v>
      </c>
      <c r="AZ1014" s="1">
        <v>0.1</v>
      </c>
      <c r="BG1014" s="1" t="s">
        <v>4086</v>
      </c>
      <c r="BM1014" s="1" t="s">
        <v>4081</v>
      </c>
      <c r="BQ1014" s="1" t="s">
        <v>207</v>
      </c>
      <c r="BR1014" s="1" t="s">
        <v>208</v>
      </c>
      <c r="BS1014" s="1" t="s">
        <v>229</v>
      </c>
      <c r="BT1014" s="1" t="s">
        <v>210</v>
      </c>
      <c r="BX1014" s="1">
        <v>1</v>
      </c>
    </row>
    <row r="1015" spans="1:76" x14ac:dyDescent="0.25">
      <c r="A1015" s="1" t="s">
        <v>4090</v>
      </c>
      <c r="B1015" s="1" t="s">
        <v>203</v>
      </c>
      <c r="C1015" s="1">
        <v>1</v>
      </c>
      <c r="D1015" s="1" t="s">
        <v>4091</v>
      </c>
      <c r="E1015" s="1">
        <v>1379</v>
      </c>
      <c r="F1015" s="1" t="s">
        <v>4092</v>
      </c>
      <c r="G1015" s="1">
        <v>1</v>
      </c>
      <c r="L1015" s="1">
        <v>23000</v>
      </c>
      <c r="N1015" s="1">
        <v>350</v>
      </c>
      <c r="P1015" s="1">
        <v>550</v>
      </c>
      <c r="R1015" s="1">
        <v>60</v>
      </c>
      <c r="Z1015" s="1">
        <v>0.05</v>
      </c>
      <c r="AA1015" s="1">
        <v>3</v>
      </c>
      <c r="AB1015" s="1">
        <v>3</v>
      </c>
      <c r="AC1015" s="1">
        <v>0.65</v>
      </c>
      <c r="AH1015" s="1">
        <v>0</v>
      </c>
      <c r="AI1015" s="1">
        <v>1</v>
      </c>
      <c r="AJ1015" s="1" t="s">
        <v>4093</v>
      </c>
      <c r="AK1015" s="1" t="s">
        <v>265</v>
      </c>
      <c r="AL1015" s="1" t="s">
        <v>228</v>
      </c>
      <c r="AN1015" s="22" t="s">
        <v>9767</v>
      </c>
      <c r="AX1015" s="1">
        <v>1</v>
      </c>
      <c r="AZ1015" s="1">
        <v>0.1</v>
      </c>
      <c r="BG1015" s="1" t="s">
        <v>4092</v>
      </c>
      <c r="BM1015" s="1" t="s">
        <v>4081</v>
      </c>
      <c r="BQ1015" s="1" t="s">
        <v>207</v>
      </c>
      <c r="BR1015" s="1" t="s">
        <v>208</v>
      </c>
      <c r="BS1015" s="1" t="s">
        <v>229</v>
      </c>
      <c r="BT1015" s="1" t="s">
        <v>210</v>
      </c>
      <c r="BX1015" s="1">
        <v>1</v>
      </c>
    </row>
    <row r="1016" spans="1:76" x14ac:dyDescent="0.25">
      <c r="A1016" s="1" t="s">
        <v>4094</v>
      </c>
      <c r="B1016" s="1" t="s">
        <v>203</v>
      </c>
      <c r="C1016" s="1">
        <v>1</v>
      </c>
      <c r="D1016" s="1" t="s">
        <v>4091</v>
      </c>
      <c r="E1016" s="1">
        <v>1379</v>
      </c>
      <c r="F1016" s="1" t="s">
        <v>4092</v>
      </c>
      <c r="G1016" s="1">
        <v>1</v>
      </c>
      <c r="L1016" s="1">
        <v>23000</v>
      </c>
      <c r="N1016" s="1">
        <v>350</v>
      </c>
      <c r="P1016" s="1">
        <v>550</v>
      </c>
      <c r="R1016" s="1">
        <v>60</v>
      </c>
      <c r="Z1016" s="1">
        <v>0.05</v>
      </c>
      <c r="AA1016" s="1">
        <v>3</v>
      </c>
      <c r="AB1016" s="1">
        <v>3</v>
      </c>
      <c r="AC1016" s="1">
        <v>0.65</v>
      </c>
      <c r="AH1016" s="1">
        <v>0</v>
      </c>
      <c r="AI1016" s="1">
        <v>1</v>
      </c>
      <c r="AJ1016" s="1" t="s">
        <v>4095</v>
      </c>
      <c r="AK1016" s="1" t="s">
        <v>265</v>
      </c>
      <c r="AL1016" s="1" t="s">
        <v>228</v>
      </c>
      <c r="AN1016" s="22" t="s">
        <v>9767</v>
      </c>
      <c r="AX1016" s="1">
        <v>1</v>
      </c>
      <c r="AZ1016" s="1">
        <v>0.1</v>
      </c>
      <c r="BG1016" s="1" t="s">
        <v>4092</v>
      </c>
      <c r="BM1016" s="1" t="s">
        <v>4081</v>
      </c>
      <c r="BQ1016" s="1" t="s">
        <v>207</v>
      </c>
      <c r="BR1016" s="1" t="s">
        <v>208</v>
      </c>
      <c r="BS1016" s="1" t="s">
        <v>229</v>
      </c>
      <c r="BT1016" s="1" t="s">
        <v>210</v>
      </c>
      <c r="BX1016" s="1">
        <v>1</v>
      </c>
    </row>
    <row r="1017" spans="1:76" x14ac:dyDescent="0.25">
      <c r="A1017" s="1" t="s">
        <v>4096</v>
      </c>
      <c r="B1017" s="1" t="s">
        <v>203</v>
      </c>
      <c r="C1017" s="1">
        <v>1</v>
      </c>
      <c r="D1017" s="1" t="s">
        <v>4097</v>
      </c>
      <c r="E1017" s="1">
        <v>1379</v>
      </c>
      <c r="F1017" s="1" t="s">
        <v>4098</v>
      </c>
      <c r="G1017" s="1">
        <v>1</v>
      </c>
      <c r="L1017" s="1">
        <v>25000</v>
      </c>
      <c r="N1017" s="1">
        <v>450</v>
      </c>
      <c r="P1017" s="1">
        <v>600</v>
      </c>
      <c r="R1017" s="1">
        <v>60</v>
      </c>
      <c r="Z1017" s="1">
        <v>0.05</v>
      </c>
      <c r="AA1017" s="1">
        <v>3</v>
      </c>
      <c r="AB1017" s="1">
        <v>3</v>
      </c>
      <c r="AC1017" s="1">
        <v>0.65</v>
      </c>
      <c r="AH1017" s="1">
        <v>0</v>
      </c>
      <c r="AI1017" s="1">
        <v>1</v>
      </c>
      <c r="AJ1017" s="1" t="s">
        <v>4099</v>
      </c>
      <c r="AK1017" s="1" t="s">
        <v>265</v>
      </c>
      <c r="AL1017" s="1" t="s">
        <v>228</v>
      </c>
      <c r="AN1017" s="22" t="s">
        <v>9767</v>
      </c>
      <c r="AX1017" s="1">
        <v>1</v>
      </c>
      <c r="AZ1017" s="1">
        <v>0.1</v>
      </c>
      <c r="BG1017" s="1" t="s">
        <v>4098</v>
      </c>
      <c r="BM1017" s="1" t="s">
        <v>4081</v>
      </c>
      <c r="BQ1017" s="1" t="s">
        <v>207</v>
      </c>
      <c r="BR1017" s="1" t="s">
        <v>208</v>
      </c>
      <c r="BS1017" s="1" t="s">
        <v>229</v>
      </c>
      <c r="BT1017" s="1" t="s">
        <v>210</v>
      </c>
      <c r="BX1017" s="1">
        <v>1</v>
      </c>
    </row>
    <row r="1018" spans="1:76" x14ac:dyDescent="0.25">
      <c r="A1018" s="1" t="s">
        <v>4100</v>
      </c>
      <c r="B1018" s="1" t="s">
        <v>203</v>
      </c>
      <c r="C1018" s="1">
        <v>1</v>
      </c>
      <c r="D1018" s="1" t="s">
        <v>4097</v>
      </c>
      <c r="E1018" s="1">
        <v>1379</v>
      </c>
      <c r="F1018" s="1" t="s">
        <v>4098</v>
      </c>
      <c r="G1018" s="1">
        <v>1</v>
      </c>
      <c r="L1018" s="1">
        <v>25000</v>
      </c>
      <c r="N1018" s="1">
        <v>450</v>
      </c>
      <c r="P1018" s="1">
        <v>600</v>
      </c>
      <c r="R1018" s="1">
        <v>60</v>
      </c>
      <c r="Z1018" s="1">
        <v>0.05</v>
      </c>
      <c r="AA1018" s="1">
        <v>3</v>
      </c>
      <c r="AB1018" s="1">
        <v>3</v>
      </c>
      <c r="AC1018" s="1">
        <v>0.65</v>
      </c>
      <c r="AH1018" s="1">
        <v>0</v>
      </c>
      <c r="AI1018" s="1">
        <v>1</v>
      </c>
      <c r="AJ1018" s="1" t="s">
        <v>4101</v>
      </c>
      <c r="AK1018" s="1" t="s">
        <v>265</v>
      </c>
      <c r="AL1018" s="1" t="s">
        <v>228</v>
      </c>
      <c r="AN1018" s="22" t="s">
        <v>9767</v>
      </c>
      <c r="AX1018" s="1">
        <v>1</v>
      </c>
      <c r="AZ1018" s="1">
        <v>0.1</v>
      </c>
      <c r="BG1018" s="1" t="s">
        <v>4098</v>
      </c>
      <c r="BM1018" s="1" t="s">
        <v>4081</v>
      </c>
      <c r="BQ1018" s="1" t="s">
        <v>207</v>
      </c>
      <c r="BR1018" s="1" t="s">
        <v>208</v>
      </c>
      <c r="BS1018" s="1" t="s">
        <v>229</v>
      </c>
      <c r="BT1018" s="1" t="s">
        <v>210</v>
      </c>
      <c r="BX1018" s="1">
        <v>1</v>
      </c>
    </row>
    <row r="1019" spans="1:76" x14ac:dyDescent="0.25">
      <c r="A1019" s="1" t="s">
        <v>4102</v>
      </c>
      <c r="B1019" s="1" t="s">
        <v>203</v>
      </c>
      <c r="C1019" s="1">
        <v>1</v>
      </c>
      <c r="D1019" s="1" t="s">
        <v>4103</v>
      </c>
      <c r="E1019" s="1">
        <v>1548</v>
      </c>
      <c r="F1019" s="1" t="s">
        <v>4104</v>
      </c>
      <c r="G1019" s="1">
        <v>1</v>
      </c>
      <c r="L1019" s="1">
        <v>80000</v>
      </c>
      <c r="N1019" s="1">
        <v>750</v>
      </c>
      <c r="P1019" s="1">
        <v>600</v>
      </c>
      <c r="R1019" s="1">
        <v>80</v>
      </c>
      <c r="Z1019" s="1">
        <v>0.05</v>
      </c>
      <c r="AA1019" s="1">
        <v>4</v>
      </c>
      <c r="AB1019" s="1">
        <v>10</v>
      </c>
      <c r="AC1019" s="1">
        <v>0</v>
      </c>
      <c r="AH1019" s="1">
        <v>0</v>
      </c>
      <c r="AI1019" s="1">
        <v>1</v>
      </c>
      <c r="AJ1019" s="1" t="s">
        <v>4105</v>
      </c>
      <c r="AK1019" s="1" t="s">
        <v>265</v>
      </c>
      <c r="AL1019" s="1" t="s">
        <v>228</v>
      </c>
      <c r="AN1019" s="22" t="s">
        <v>9767</v>
      </c>
      <c r="AX1019" s="1">
        <v>2</v>
      </c>
      <c r="AZ1019" s="1">
        <v>0.1</v>
      </c>
      <c r="BG1019" s="1" t="s">
        <v>4104</v>
      </c>
      <c r="BM1019" s="1" t="s">
        <v>1328</v>
      </c>
      <c r="BQ1019" s="1" t="s">
        <v>3416</v>
      </c>
      <c r="BR1019" s="1" t="s">
        <v>2593</v>
      </c>
      <c r="BS1019" s="1" t="s">
        <v>2593</v>
      </c>
      <c r="BT1019" s="1" t="s">
        <v>4106</v>
      </c>
      <c r="BX1019" s="1">
        <v>1</v>
      </c>
    </row>
    <row r="1020" spans="1:76" x14ac:dyDescent="0.25">
      <c r="A1020" s="1" t="s">
        <v>4107</v>
      </c>
      <c r="B1020" s="1" t="s">
        <v>203</v>
      </c>
      <c r="C1020" s="1">
        <v>1</v>
      </c>
      <c r="D1020" s="1" t="s">
        <v>4103</v>
      </c>
      <c r="E1020" s="1">
        <v>1548</v>
      </c>
      <c r="F1020" s="1" t="s">
        <v>4104</v>
      </c>
      <c r="G1020" s="1">
        <v>1</v>
      </c>
      <c r="L1020" s="1">
        <v>80000</v>
      </c>
      <c r="N1020" s="1">
        <v>375</v>
      </c>
      <c r="P1020" s="1">
        <v>900</v>
      </c>
      <c r="R1020" s="1">
        <v>80</v>
      </c>
      <c r="Z1020" s="1">
        <v>0.05</v>
      </c>
      <c r="AA1020" s="1">
        <v>4</v>
      </c>
      <c r="AB1020" s="1">
        <v>10</v>
      </c>
      <c r="AC1020" s="1">
        <v>0</v>
      </c>
      <c r="AH1020" s="1">
        <v>0</v>
      </c>
      <c r="AI1020" s="1">
        <v>1</v>
      </c>
      <c r="AJ1020" s="1" t="s">
        <v>4108</v>
      </c>
      <c r="AK1020" s="1" t="s">
        <v>265</v>
      </c>
      <c r="AL1020" s="1" t="s">
        <v>228</v>
      </c>
      <c r="AN1020" s="22" t="s">
        <v>9767</v>
      </c>
      <c r="AX1020" s="1">
        <v>2</v>
      </c>
      <c r="AZ1020" s="1">
        <v>0.1</v>
      </c>
      <c r="BG1020" s="1" t="s">
        <v>4104</v>
      </c>
      <c r="BM1020" s="1" t="s">
        <v>1328</v>
      </c>
      <c r="BQ1020" s="1" t="s">
        <v>4109</v>
      </c>
      <c r="BR1020" s="1" t="s">
        <v>4020</v>
      </c>
      <c r="BS1020" s="1" t="s">
        <v>4020</v>
      </c>
      <c r="BT1020" s="1" t="s">
        <v>2595</v>
      </c>
      <c r="BX1020" s="1">
        <v>1</v>
      </c>
    </row>
    <row r="1021" spans="1:76" x14ac:dyDescent="0.25">
      <c r="A1021" s="1" t="s">
        <v>4110</v>
      </c>
      <c r="B1021" s="1" t="s">
        <v>203</v>
      </c>
      <c r="C1021" s="1">
        <v>1</v>
      </c>
      <c r="D1021" s="1" t="s">
        <v>4111</v>
      </c>
      <c r="E1021" s="1">
        <v>1381</v>
      </c>
      <c r="F1021" s="1" t="s">
        <v>4110</v>
      </c>
      <c r="G1021" s="1">
        <v>1</v>
      </c>
      <c r="L1021" s="1">
        <v>5800</v>
      </c>
      <c r="N1021" s="1">
        <v>300</v>
      </c>
      <c r="P1021" s="1">
        <v>100</v>
      </c>
      <c r="R1021" s="1">
        <v>0</v>
      </c>
      <c r="Z1021" s="1">
        <v>0.05</v>
      </c>
      <c r="AA1021" s="1">
        <v>1.7</v>
      </c>
      <c r="AB1021" s="1">
        <v>1</v>
      </c>
      <c r="AC1021" s="1">
        <v>0.9</v>
      </c>
      <c r="AH1021" s="1">
        <v>0</v>
      </c>
      <c r="AI1021" s="1">
        <v>1</v>
      </c>
      <c r="AJ1021" s="1" t="s">
        <v>4112</v>
      </c>
      <c r="AK1021" s="1" t="s">
        <v>3367</v>
      </c>
      <c r="AL1021" s="1" t="s">
        <v>228</v>
      </c>
      <c r="AN1021" s="22" t="s">
        <v>9767</v>
      </c>
      <c r="AX1021" s="1">
        <v>1</v>
      </c>
      <c r="AZ1021" s="1">
        <v>0.1</v>
      </c>
      <c r="BG1021" s="1" t="s">
        <v>4110</v>
      </c>
      <c r="BM1021" s="1" t="s">
        <v>930</v>
      </c>
      <c r="BQ1021" s="1" t="s">
        <v>207</v>
      </c>
      <c r="BR1021" s="1" t="s">
        <v>208</v>
      </c>
      <c r="BS1021" s="1" t="s">
        <v>229</v>
      </c>
      <c r="BT1021" s="1" t="s">
        <v>210</v>
      </c>
      <c r="BX1021" s="1">
        <v>1</v>
      </c>
    </row>
    <row r="1022" spans="1:76" x14ac:dyDescent="0.25">
      <c r="A1022" s="1" t="s">
        <v>4113</v>
      </c>
      <c r="B1022" s="1" t="s">
        <v>203</v>
      </c>
      <c r="C1022" s="1">
        <v>1</v>
      </c>
      <c r="D1022" s="1" t="s">
        <v>4114</v>
      </c>
      <c r="E1022" s="1">
        <v>1381</v>
      </c>
      <c r="F1022" s="1" t="s">
        <v>4113</v>
      </c>
      <c r="G1022" s="1">
        <v>1</v>
      </c>
      <c r="L1022" s="1">
        <v>7800</v>
      </c>
      <c r="N1022" s="1">
        <v>400</v>
      </c>
      <c r="P1022" s="1">
        <v>200</v>
      </c>
      <c r="R1022" s="1">
        <v>0</v>
      </c>
      <c r="Z1022" s="1">
        <v>0.05</v>
      </c>
      <c r="AA1022" s="1">
        <v>1.7</v>
      </c>
      <c r="AB1022" s="1">
        <v>1</v>
      </c>
      <c r="AC1022" s="1">
        <v>0.9</v>
      </c>
      <c r="AH1022" s="1">
        <v>0</v>
      </c>
      <c r="AI1022" s="1">
        <v>1</v>
      </c>
      <c r="AJ1022" s="1" t="s">
        <v>4115</v>
      </c>
      <c r="AK1022" s="1" t="s">
        <v>3367</v>
      </c>
      <c r="AL1022" s="1" t="s">
        <v>228</v>
      </c>
      <c r="AN1022" s="22" t="s">
        <v>9767</v>
      </c>
      <c r="AX1022" s="1">
        <v>1</v>
      </c>
      <c r="AZ1022" s="1">
        <v>0.1</v>
      </c>
      <c r="BG1022" s="1" t="s">
        <v>4113</v>
      </c>
      <c r="BM1022" s="1" t="s">
        <v>930</v>
      </c>
      <c r="BQ1022" s="1" t="s">
        <v>207</v>
      </c>
      <c r="BR1022" s="1" t="s">
        <v>208</v>
      </c>
      <c r="BS1022" s="1" t="s">
        <v>229</v>
      </c>
      <c r="BT1022" s="1" t="s">
        <v>210</v>
      </c>
      <c r="BX1022" s="1">
        <v>1</v>
      </c>
    </row>
    <row r="1023" spans="1:76" x14ac:dyDescent="0.25">
      <c r="A1023" s="1" t="s">
        <v>4116</v>
      </c>
      <c r="B1023" s="1" t="s">
        <v>203</v>
      </c>
      <c r="C1023" s="1">
        <v>1</v>
      </c>
      <c r="D1023" s="1" t="s">
        <v>4117</v>
      </c>
      <c r="E1023" s="1">
        <v>1382</v>
      </c>
      <c r="F1023" s="1" t="s">
        <v>4116</v>
      </c>
      <c r="G1023" s="1">
        <v>1</v>
      </c>
      <c r="L1023" s="1">
        <v>5500</v>
      </c>
      <c r="N1023" s="1">
        <v>400</v>
      </c>
      <c r="P1023" s="1">
        <v>100</v>
      </c>
      <c r="R1023" s="1">
        <v>10</v>
      </c>
      <c r="Z1023" s="1">
        <v>0.05</v>
      </c>
      <c r="AA1023" s="1">
        <v>3</v>
      </c>
      <c r="AB1023" s="1">
        <v>1</v>
      </c>
      <c r="AC1023" s="1">
        <v>0.7</v>
      </c>
      <c r="AH1023" s="1">
        <v>0</v>
      </c>
      <c r="AI1023" s="1">
        <v>1</v>
      </c>
      <c r="AJ1023" s="1" t="s">
        <v>4118</v>
      </c>
      <c r="AK1023" s="1" t="s">
        <v>3367</v>
      </c>
      <c r="AL1023" s="1" t="s">
        <v>228</v>
      </c>
      <c r="AN1023" s="22" t="s">
        <v>9767</v>
      </c>
      <c r="AX1023" s="1">
        <v>1</v>
      </c>
      <c r="AZ1023" s="1">
        <v>0.1</v>
      </c>
      <c r="BG1023" s="1" t="s">
        <v>4116</v>
      </c>
      <c r="BM1023" s="1" t="s">
        <v>936</v>
      </c>
      <c r="BQ1023" s="1" t="s">
        <v>207</v>
      </c>
      <c r="BR1023" s="1" t="s">
        <v>208</v>
      </c>
      <c r="BS1023" s="1" t="s">
        <v>229</v>
      </c>
      <c r="BT1023" s="1" t="s">
        <v>210</v>
      </c>
      <c r="BX1023" s="1">
        <v>1</v>
      </c>
    </row>
    <row r="1024" spans="1:76" x14ac:dyDescent="0.25">
      <c r="A1024" s="1" t="s">
        <v>4119</v>
      </c>
      <c r="B1024" s="1" t="s">
        <v>203</v>
      </c>
      <c r="C1024" s="1">
        <v>1</v>
      </c>
      <c r="D1024" s="1" t="s">
        <v>4120</v>
      </c>
      <c r="E1024" s="1">
        <v>1382</v>
      </c>
      <c r="F1024" s="1" t="s">
        <v>4119</v>
      </c>
      <c r="G1024" s="1">
        <v>1</v>
      </c>
      <c r="L1024" s="1">
        <v>7000</v>
      </c>
      <c r="N1024" s="1">
        <v>500</v>
      </c>
      <c r="P1024" s="1">
        <v>200</v>
      </c>
      <c r="R1024" s="1">
        <v>10</v>
      </c>
      <c r="Z1024" s="1">
        <v>0.05</v>
      </c>
      <c r="AA1024" s="1">
        <v>3</v>
      </c>
      <c r="AB1024" s="1">
        <v>1</v>
      </c>
      <c r="AC1024" s="1">
        <v>0.7</v>
      </c>
      <c r="AH1024" s="1">
        <v>0</v>
      </c>
      <c r="AI1024" s="1">
        <v>1</v>
      </c>
      <c r="AJ1024" s="1" t="s">
        <v>4121</v>
      </c>
      <c r="AK1024" s="1" t="s">
        <v>3367</v>
      </c>
      <c r="AL1024" s="1" t="s">
        <v>228</v>
      </c>
      <c r="AN1024" s="22" t="s">
        <v>9767</v>
      </c>
      <c r="AX1024" s="1">
        <v>1</v>
      </c>
      <c r="AZ1024" s="1">
        <v>0.1</v>
      </c>
      <c r="BG1024" s="1" t="s">
        <v>4119</v>
      </c>
      <c r="BM1024" s="1" t="s">
        <v>936</v>
      </c>
      <c r="BQ1024" s="1" t="s">
        <v>207</v>
      </c>
      <c r="BR1024" s="1" t="s">
        <v>208</v>
      </c>
      <c r="BS1024" s="1" t="s">
        <v>229</v>
      </c>
      <c r="BT1024" s="1" t="s">
        <v>210</v>
      </c>
      <c r="BX1024" s="1">
        <v>1</v>
      </c>
    </row>
    <row r="1025" spans="1:76" x14ac:dyDescent="0.25">
      <c r="A1025" s="1" t="s">
        <v>4122</v>
      </c>
      <c r="B1025" s="1" t="s">
        <v>203</v>
      </c>
      <c r="C1025" s="1">
        <v>1</v>
      </c>
      <c r="D1025" s="1" t="s">
        <v>4123</v>
      </c>
      <c r="E1025" s="1">
        <v>1383</v>
      </c>
      <c r="F1025" s="1" t="s">
        <v>4122</v>
      </c>
      <c r="G1025" s="1">
        <v>1</v>
      </c>
      <c r="L1025" s="1">
        <v>5000</v>
      </c>
      <c r="N1025" s="1">
        <v>300</v>
      </c>
      <c r="P1025" s="1">
        <v>450</v>
      </c>
      <c r="R1025" s="1">
        <v>0</v>
      </c>
      <c r="Z1025" s="1">
        <v>0.05</v>
      </c>
      <c r="AA1025" s="1">
        <v>2</v>
      </c>
      <c r="AB1025" s="1">
        <v>1</v>
      </c>
      <c r="AC1025" s="1">
        <v>2</v>
      </c>
      <c r="AH1025" s="1">
        <v>1</v>
      </c>
      <c r="AI1025" s="1">
        <v>1</v>
      </c>
      <c r="AJ1025" s="1" t="s">
        <v>4124</v>
      </c>
      <c r="AK1025" s="1" t="s">
        <v>3494</v>
      </c>
      <c r="AL1025" s="1" t="s">
        <v>228</v>
      </c>
      <c r="AN1025" s="22" t="s">
        <v>9767</v>
      </c>
      <c r="AX1025" s="1">
        <v>1</v>
      </c>
      <c r="AZ1025" s="1">
        <v>0.1</v>
      </c>
      <c r="BG1025" s="1" t="s">
        <v>4122</v>
      </c>
      <c r="BM1025" s="1" t="s">
        <v>4125</v>
      </c>
      <c r="BQ1025" s="1" t="s">
        <v>207</v>
      </c>
      <c r="BR1025" s="1" t="s">
        <v>208</v>
      </c>
      <c r="BS1025" s="1" t="s">
        <v>1612</v>
      </c>
      <c r="BT1025" s="1" t="s">
        <v>210</v>
      </c>
      <c r="BX1025" s="1">
        <v>1</v>
      </c>
    </row>
    <row r="1026" spans="1:76" x14ac:dyDescent="0.25">
      <c r="A1026" s="1" t="s">
        <v>4126</v>
      </c>
      <c r="B1026" s="1" t="s">
        <v>203</v>
      </c>
      <c r="C1026" s="1">
        <v>1</v>
      </c>
      <c r="D1026" s="1" t="s">
        <v>4127</v>
      </c>
      <c r="E1026" s="1">
        <v>1383</v>
      </c>
      <c r="F1026" s="1" t="s">
        <v>4126</v>
      </c>
      <c r="G1026" s="1">
        <v>1</v>
      </c>
      <c r="L1026" s="1">
        <v>6000</v>
      </c>
      <c r="N1026" s="1">
        <v>350</v>
      </c>
      <c r="P1026" s="1">
        <v>550</v>
      </c>
      <c r="R1026" s="1">
        <v>0</v>
      </c>
      <c r="Z1026" s="1">
        <v>0.05</v>
      </c>
      <c r="AA1026" s="1">
        <v>2</v>
      </c>
      <c r="AB1026" s="1">
        <v>1</v>
      </c>
      <c r="AC1026" s="1">
        <v>2</v>
      </c>
      <c r="AH1026" s="1">
        <v>1</v>
      </c>
      <c r="AI1026" s="1">
        <v>1</v>
      </c>
      <c r="AJ1026" s="1" t="s">
        <v>4128</v>
      </c>
      <c r="AK1026" s="1" t="s">
        <v>3494</v>
      </c>
      <c r="AL1026" s="1" t="s">
        <v>228</v>
      </c>
      <c r="AN1026" s="22" t="s">
        <v>9767</v>
      </c>
      <c r="AX1026" s="1">
        <v>1</v>
      </c>
      <c r="AZ1026" s="1">
        <v>0.1</v>
      </c>
      <c r="BG1026" s="1" t="s">
        <v>4126</v>
      </c>
      <c r="BM1026" s="1" t="s">
        <v>4125</v>
      </c>
      <c r="BQ1026" s="1" t="s">
        <v>207</v>
      </c>
      <c r="BR1026" s="1" t="s">
        <v>208</v>
      </c>
      <c r="BS1026" s="1" t="s">
        <v>1612</v>
      </c>
      <c r="BT1026" s="1" t="s">
        <v>210</v>
      </c>
      <c r="BX1026" s="1">
        <v>1</v>
      </c>
    </row>
    <row r="1027" spans="1:76" x14ac:dyDescent="0.25">
      <c r="A1027" s="1" t="s">
        <v>4129</v>
      </c>
      <c r="B1027" s="1" t="s">
        <v>203</v>
      </c>
      <c r="C1027" s="1">
        <v>1</v>
      </c>
      <c r="D1027" s="1" t="s">
        <v>4130</v>
      </c>
      <c r="E1027" s="1">
        <v>1384</v>
      </c>
      <c r="F1027" s="1" t="s">
        <v>4129</v>
      </c>
      <c r="G1027" s="1">
        <v>1</v>
      </c>
      <c r="L1027" s="1">
        <v>20000</v>
      </c>
      <c r="N1027" s="1">
        <v>800</v>
      </c>
      <c r="P1027" s="1">
        <v>400</v>
      </c>
      <c r="R1027" s="1">
        <v>20</v>
      </c>
      <c r="Z1027" s="1">
        <v>0.05</v>
      </c>
      <c r="AA1027" s="1">
        <v>3</v>
      </c>
      <c r="AB1027" s="1">
        <v>4</v>
      </c>
      <c r="AC1027" s="1">
        <v>0.6</v>
      </c>
      <c r="AH1027" s="1">
        <v>0</v>
      </c>
      <c r="AI1027" s="1">
        <v>1</v>
      </c>
      <c r="AJ1027" s="1" t="s">
        <v>4131</v>
      </c>
      <c r="AK1027" s="1" t="s">
        <v>3494</v>
      </c>
      <c r="AL1027" s="1" t="s">
        <v>228</v>
      </c>
      <c r="AN1027" s="22" t="s">
        <v>9767</v>
      </c>
      <c r="AX1027" s="1">
        <v>1</v>
      </c>
      <c r="AZ1027" s="1">
        <v>0.1</v>
      </c>
      <c r="BG1027" s="1" t="s">
        <v>4129</v>
      </c>
      <c r="BM1027" s="1" t="s">
        <v>4132</v>
      </c>
      <c r="BQ1027" s="1" t="s">
        <v>2010</v>
      </c>
      <c r="BR1027" s="1" t="s">
        <v>2011</v>
      </c>
      <c r="BS1027" s="1" t="s">
        <v>3552</v>
      </c>
      <c r="BT1027" s="1" t="s">
        <v>3549</v>
      </c>
      <c r="BX1027" s="1">
        <v>1</v>
      </c>
    </row>
    <row r="1028" spans="1:76" x14ac:dyDescent="0.25">
      <c r="A1028" s="1" t="s">
        <v>4133</v>
      </c>
      <c r="B1028" s="1" t="s">
        <v>203</v>
      </c>
      <c r="C1028" s="1">
        <v>1</v>
      </c>
      <c r="D1028" s="1" t="s">
        <v>4134</v>
      </c>
      <c r="E1028" s="1">
        <v>1384</v>
      </c>
      <c r="F1028" s="1" t="s">
        <v>4133</v>
      </c>
      <c r="G1028" s="1">
        <v>1</v>
      </c>
      <c r="L1028" s="1">
        <v>25000</v>
      </c>
      <c r="N1028" s="1">
        <v>1000</v>
      </c>
      <c r="P1028" s="1">
        <v>500</v>
      </c>
      <c r="R1028" s="1">
        <v>20</v>
      </c>
      <c r="Z1028" s="1">
        <v>0.05</v>
      </c>
      <c r="AA1028" s="1">
        <v>3</v>
      </c>
      <c r="AB1028" s="1">
        <v>4</v>
      </c>
      <c r="AC1028" s="1">
        <v>0.6</v>
      </c>
      <c r="AH1028" s="1">
        <v>0</v>
      </c>
      <c r="AI1028" s="1">
        <v>1</v>
      </c>
      <c r="AJ1028" s="1" t="s">
        <v>4135</v>
      </c>
      <c r="AK1028" s="1" t="s">
        <v>3494</v>
      </c>
      <c r="AL1028" s="1" t="s">
        <v>228</v>
      </c>
      <c r="AN1028" s="22" t="s">
        <v>9767</v>
      </c>
      <c r="AX1028" s="1">
        <v>1</v>
      </c>
      <c r="AZ1028" s="1">
        <v>0.1</v>
      </c>
      <c r="BG1028" s="1" t="s">
        <v>4133</v>
      </c>
      <c r="BM1028" s="1" t="s">
        <v>4132</v>
      </c>
      <c r="BQ1028" s="1" t="s">
        <v>2010</v>
      </c>
      <c r="BR1028" s="1" t="s">
        <v>2011</v>
      </c>
      <c r="BS1028" s="1" t="s">
        <v>3552</v>
      </c>
      <c r="BT1028" s="1" t="s">
        <v>3549</v>
      </c>
      <c r="BX1028" s="1">
        <v>1</v>
      </c>
    </row>
    <row r="1029" spans="1:76" x14ac:dyDescent="0.25">
      <c r="A1029" s="1" t="s">
        <v>4136</v>
      </c>
      <c r="B1029" s="1" t="s">
        <v>203</v>
      </c>
      <c r="C1029" s="1">
        <v>1</v>
      </c>
      <c r="D1029" s="1" t="s">
        <v>4137</v>
      </c>
      <c r="E1029" s="1">
        <v>1385</v>
      </c>
      <c r="F1029" s="1" t="s">
        <v>4136</v>
      </c>
      <c r="G1029" s="1">
        <v>1</v>
      </c>
      <c r="L1029" s="1">
        <v>10000</v>
      </c>
      <c r="N1029" s="1">
        <v>400</v>
      </c>
      <c r="P1029" s="1">
        <v>350</v>
      </c>
      <c r="R1029" s="1">
        <v>50</v>
      </c>
      <c r="Z1029" s="1">
        <v>0.05</v>
      </c>
      <c r="AA1029" s="1">
        <v>3</v>
      </c>
      <c r="AB1029" s="1">
        <v>3</v>
      </c>
      <c r="AC1029" s="1">
        <v>0.9</v>
      </c>
      <c r="AH1029" s="1">
        <v>0</v>
      </c>
      <c r="AI1029" s="1">
        <v>1</v>
      </c>
      <c r="AJ1029" s="1" t="s">
        <v>4138</v>
      </c>
      <c r="AK1029" s="1" t="s">
        <v>3494</v>
      </c>
      <c r="AL1029" s="1" t="s">
        <v>228</v>
      </c>
      <c r="AN1029" s="22" t="s">
        <v>9767</v>
      </c>
      <c r="AX1029" s="1">
        <v>1</v>
      </c>
      <c r="AZ1029" s="1">
        <v>0.1</v>
      </c>
      <c r="BG1029" s="1" t="s">
        <v>4136</v>
      </c>
      <c r="BM1029" s="1" t="s">
        <v>957</v>
      </c>
      <c r="BQ1029" s="1" t="s">
        <v>207</v>
      </c>
      <c r="BR1029" s="1" t="s">
        <v>208</v>
      </c>
      <c r="BS1029" s="1" t="s">
        <v>229</v>
      </c>
      <c r="BT1029" s="1" t="s">
        <v>210</v>
      </c>
      <c r="BX1029" s="1">
        <v>1</v>
      </c>
    </row>
    <row r="1030" spans="1:76" x14ac:dyDescent="0.25">
      <c r="A1030" s="1" t="s">
        <v>4139</v>
      </c>
      <c r="B1030" s="1" t="s">
        <v>203</v>
      </c>
      <c r="C1030" s="1">
        <v>1</v>
      </c>
      <c r="D1030" s="1" t="s">
        <v>4140</v>
      </c>
      <c r="E1030" s="1">
        <v>1385</v>
      </c>
      <c r="F1030" s="1" t="s">
        <v>4139</v>
      </c>
      <c r="G1030" s="1">
        <v>1</v>
      </c>
      <c r="L1030" s="1">
        <v>14000</v>
      </c>
      <c r="N1030" s="1">
        <v>550</v>
      </c>
      <c r="P1030" s="1">
        <v>400</v>
      </c>
      <c r="R1030" s="1">
        <v>50</v>
      </c>
      <c r="Z1030" s="1">
        <v>0.05</v>
      </c>
      <c r="AA1030" s="1">
        <v>3</v>
      </c>
      <c r="AB1030" s="1">
        <v>3</v>
      </c>
      <c r="AC1030" s="1">
        <v>0.9</v>
      </c>
      <c r="AH1030" s="1">
        <v>0</v>
      </c>
      <c r="AI1030" s="1">
        <v>1</v>
      </c>
      <c r="AJ1030" s="1" t="s">
        <v>4141</v>
      </c>
      <c r="AK1030" s="1" t="s">
        <v>3494</v>
      </c>
      <c r="AL1030" s="1" t="s">
        <v>228</v>
      </c>
      <c r="AN1030" s="22" t="s">
        <v>9767</v>
      </c>
      <c r="AX1030" s="1">
        <v>1</v>
      </c>
      <c r="AZ1030" s="1">
        <v>0.1</v>
      </c>
      <c r="BG1030" s="1" t="s">
        <v>4139</v>
      </c>
      <c r="BM1030" s="1" t="s">
        <v>957</v>
      </c>
      <c r="BQ1030" s="1" t="s">
        <v>207</v>
      </c>
      <c r="BR1030" s="1" t="s">
        <v>208</v>
      </c>
      <c r="BS1030" s="1" t="s">
        <v>229</v>
      </c>
      <c r="BT1030" s="1" t="s">
        <v>210</v>
      </c>
      <c r="BX1030" s="1">
        <v>1</v>
      </c>
    </row>
    <row r="1031" spans="1:76" x14ac:dyDescent="0.25">
      <c r="A1031" s="1" t="s">
        <v>4142</v>
      </c>
      <c r="B1031" s="1" t="s">
        <v>203</v>
      </c>
      <c r="C1031" s="1">
        <v>1</v>
      </c>
      <c r="D1031" s="1" t="s">
        <v>4143</v>
      </c>
      <c r="E1031" s="1">
        <v>1386</v>
      </c>
      <c r="F1031" s="1" t="s">
        <v>4142</v>
      </c>
      <c r="G1031" s="1">
        <v>1</v>
      </c>
      <c r="L1031" s="1">
        <v>7000</v>
      </c>
      <c r="N1031" s="1">
        <v>500</v>
      </c>
      <c r="P1031" s="1">
        <v>250</v>
      </c>
      <c r="R1031" s="1">
        <v>60</v>
      </c>
      <c r="Z1031" s="1">
        <v>0.05</v>
      </c>
      <c r="AA1031" s="1">
        <v>4</v>
      </c>
      <c r="AB1031" s="1">
        <v>2</v>
      </c>
      <c r="AC1031" s="1">
        <v>0.7</v>
      </c>
      <c r="AH1031" s="1">
        <v>0</v>
      </c>
      <c r="AI1031" s="1">
        <v>1</v>
      </c>
      <c r="AJ1031" s="1" t="s">
        <v>4144</v>
      </c>
      <c r="AK1031" s="1" t="s">
        <v>3374</v>
      </c>
      <c r="AL1031" s="1" t="s">
        <v>228</v>
      </c>
      <c r="AN1031" s="22" t="s">
        <v>9767</v>
      </c>
      <c r="AX1031" s="1">
        <v>1</v>
      </c>
      <c r="AZ1031" s="1">
        <v>0.1</v>
      </c>
      <c r="BG1031" s="1" t="s">
        <v>4142</v>
      </c>
      <c r="BM1031" s="1" t="s">
        <v>936</v>
      </c>
      <c r="BQ1031" s="1" t="s">
        <v>207</v>
      </c>
      <c r="BR1031" s="1" t="s">
        <v>208</v>
      </c>
      <c r="BS1031" s="1" t="s">
        <v>229</v>
      </c>
      <c r="BT1031" s="1" t="s">
        <v>210</v>
      </c>
      <c r="BX1031" s="1">
        <v>1</v>
      </c>
    </row>
    <row r="1032" spans="1:76" x14ac:dyDescent="0.25">
      <c r="A1032" s="1" t="s">
        <v>4145</v>
      </c>
      <c r="B1032" s="1" t="s">
        <v>203</v>
      </c>
      <c r="C1032" s="1">
        <v>1</v>
      </c>
      <c r="D1032" s="1" t="s">
        <v>4146</v>
      </c>
      <c r="E1032" s="1">
        <v>1386</v>
      </c>
      <c r="F1032" s="1" t="s">
        <v>4145</v>
      </c>
      <c r="G1032" s="1">
        <v>1</v>
      </c>
      <c r="L1032" s="1">
        <v>8000</v>
      </c>
      <c r="N1032" s="1">
        <v>600</v>
      </c>
      <c r="P1032" s="1">
        <v>350</v>
      </c>
      <c r="R1032" s="1">
        <v>70</v>
      </c>
      <c r="Z1032" s="1">
        <v>0.05</v>
      </c>
      <c r="AA1032" s="1">
        <v>4</v>
      </c>
      <c r="AB1032" s="1">
        <v>2</v>
      </c>
      <c r="AC1032" s="1">
        <v>0.7</v>
      </c>
      <c r="AH1032" s="1">
        <v>0</v>
      </c>
      <c r="AI1032" s="1">
        <v>1</v>
      </c>
      <c r="AJ1032" s="1" t="s">
        <v>4147</v>
      </c>
      <c r="AK1032" s="1" t="s">
        <v>3374</v>
      </c>
      <c r="AL1032" s="1" t="s">
        <v>228</v>
      </c>
      <c r="AN1032" s="22" t="s">
        <v>9767</v>
      </c>
      <c r="AX1032" s="1">
        <v>1</v>
      </c>
      <c r="AZ1032" s="1">
        <v>0.1</v>
      </c>
      <c r="BG1032" s="1" t="s">
        <v>4145</v>
      </c>
      <c r="BM1032" s="1" t="s">
        <v>936</v>
      </c>
      <c r="BQ1032" s="1" t="s">
        <v>207</v>
      </c>
      <c r="BR1032" s="1" t="s">
        <v>208</v>
      </c>
      <c r="BS1032" s="1" t="s">
        <v>229</v>
      </c>
      <c r="BT1032" s="1" t="s">
        <v>210</v>
      </c>
      <c r="BX1032" s="1">
        <v>1</v>
      </c>
    </row>
    <row r="1033" spans="1:76" x14ac:dyDescent="0.25">
      <c r="A1033" s="1" t="s">
        <v>4148</v>
      </c>
      <c r="B1033" s="1" t="s">
        <v>203</v>
      </c>
      <c r="C1033" s="1">
        <v>1</v>
      </c>
      <c r="D1033" s="1" t="s">
        <v>4149</v>
      </c>
      <c r="E1033" s="1">
        <v>1387</v>
      </c>
      <c r="F1033" s="1" t="s">
        <v>4148</v>
      </c>
      <c r="G1033" s="1">
        <v>1</v>
      </c>
      <c r="L1033" s="1">
        <v>12000</v>
      </c>
      <c r="N1033" s="1">
        <v>500</v>
      </c>
      <c r="P1033" s="1">
        <v>1200</v>
      </c>
      <c r="R1033" s="1">
        <v>20</v>
      </c>
      <c r="Z1033" s="1">
        <v>0.05</v>
      </c>
      <c r="AA1033" s="1">
        <v>3</v>
      </c>
      <c r="AB1033" s="1">
        <v>4</v>
      </c>
      <c r="AC1033" s="1">
        <v>0.5</v>
      </c>
      <c r="AH1033" s="1">
        <v>1</v>
      </c>
      <c r="AI1033" s="1">
        <v>1</v>
      </c>
      <c r="AJ1033" s="1" t="s">
        <v>4150</v>
      </c>
      <c r="AK1033" s="1" t="s">
        <v>265</v>
      </c>
      <c r="AL1033" s="1" t="s">
        <v>228</v>
      </c>
      <c r="AN1033" s="22" t="s">
        <v>9767</v>
      </c>
      <c r="AX1033" s="1">
        <v>1</v>
      </c>
      <c r="AZ1033" s="1">
        <v>0.1</v>
      </c>
      <c r="BG1033" s="1" t="s">
        <v>4148</v>
      </c>
      <c r="BM1033" s="1" t="s">
        <v>989</v>
      </c>
      <c r="BQ1033" s="1" t="s">
        <v>207</v>
      </c>
      <c r="BR1033" s="1" t="s">
        <v>208</v>
      </c>
      <c r="BS1033" s="1" t="s">
        <v>229</v>
      </c>
      <c r="BT1033" s="1" t="s">
        <v>210</v>
      </c>
      <c r="BX1033" s="1">
        <v>1</v>
      </c>
    </row>
    <row r="1034" spans="1:76" x14ac:dyDescent="0.25">
      <c r="A1034" s="1" t="s">
        <v>4151</v>
      </c>
      <c r="B1034" s="1" t="s">
        <v>203</v>
      </c>
      <c r="C1034" s="1">
        <v>1</v>
      </c>
      <c r="D1034" s="1" t="s">
        <v>4152</v>
      </c>
      <c r="E1034" s="1">
        <v>1387</v>
      </c>
      <c r="F1034" s="1" t="s">
        <v>4151</v>
      </c>
      <c r="G1034" s="1">
        <v>1</v>
      </c>
      <c r="L1034" s="1">
        <v>14000</v>
      </c>
      <c r="N1034" s="1">
        <v>700</v>
      </c>
      <c r="P1034" s="1">
        <v>1500</v>
      </c>
      <c r="R1034" s="1">
        <v>20</v>
      </c>
      <c r="Z1034" s="1">
        <v>0.05</v>
      </c>
      <c r="AA1034" s="1">
        <v>3</v>
      </c>
      <c r="AB1034" s="1">
        <v>4</v>
      </c>
      <c r="AC1034" s="1">
        <v>0.5</v>
      </c>
      <c r="AH1034" s="1">
        <v>1</v>
      </c>
      <c r="AI1034" s="1">
        <v>1</v>
      </c>
      <c r="AJ1034" s="1" t="s">
        <v>4153</v>
      </c>
      <c r="AK1034" s="1" t="s">
        <v>265</v>
      </c>
      <c r="AL1034" s="1" t="s">
        <v>228</v>
      </c>
      <c r="AN1034" s="22" t="s">
        <v>9767</v>
      </c>
      <c r="AX1034" s="1">
        <v>1</v>
      </c>
      <c r="AZ1034" s="1">
        <v>0.1</v>
      </c>
      <c r="BG1034" s="1" t="s">
        <v>4151</v>
      </c>
      <c r="BM1034" s="1" t="s">
        <v>989</v>
      </c>
      <c r="BQ1034" s="1" t="s">
        <v>207</v>
      </c>
      <c r="BR1034" s="1" t="s">
        <v>208</v>
      </c>
      <c r="BS1034" s="1" t="s">
        <v>229</v>
      </c>
      <c r="BT1034" s="1" t="s">
        <v>210</v>
      </c>
      <c r="BX1034" s="1">
        <v>1</v>
      </c>
    </row>
    <row r="1035" spans="1:76" x14ac:dyDescent="0.25">
      <c r="A1035" s="1" t="s">
        <v>4154</v>
      </c>
      <c r="B1035" s="1" t="s">
        <v>203</v>
      </c>
      <c r="C1035" s="1">
        <v>1</v>
      </c>
      <c r="D1035" s="1" t="s">
        <v>4155</v>
      </c>
      <c r="E1035" s="1">
        <v>1388</v>
      </c>
      <c r="F1035" s="1" t="s">
        <v>4154</v>
      </c>
      <c r="G1035" s="1">
        <v>1</v>
      </c>
      <c r="L1035" s="1">
        <v>10000</v>
      </c>
      <c r="N1035" s="1">
        <v>800</v>
      </c>
      <c r="P1035" s="1">
        <v>700</v>
      </c>
      <c r="R1035" s="1">
        <v>20</v>
      </c>
      <c r="Z1035" s="1">
        <v>0.05</v>
      </c>
      <c r="AA1035" s="1">
        <v>3</v>
      </c>
      <c r="AB1035" s="1">
        <v>4</v>
      </c>
      <c r="AC1035" s="1">
        <v>0.7</v>
      </c>
      <c r="AH1035" s="1">
        <v>0</v>
      </c>
      <c r="AI1035" s="1">
        <v>1</v>
      </c>
      <c r="AJ1035" s="1" t="s">
        <v>4156</v>
      </c>
      <c r="AK1035" s="1" t="s">
        <v>4157</v>
      </c>
      <c r="AL1035" s="1" t="s">
        <v>228</v>
      </c>
      <c r="AN1035" s="22" t="s">
        <v>9767</v>
      </c>
      <c r="AX1035" s="1">
        <v>1</v>
      </c>
      <c r="AZ1035" s="1">
        <v>0.1</v>
      </c>
      <c r="BG1035" s="1" t="s">
        <v>4154</v>
      </c>
      <c r="BM1035" s="1" t="s">
        <v>989</v>
      </c>
      <c r="BQ1035" s="1" t="s">
        <v>3416</v>
      </c>
      <c r="BR1035" s="1" t="s">
        <v>2593</v>
      </c>
      <c r="BS1035" s="1" t="s">
        <v>2594</v>
      </c>
      <c r="BT1035" s="1" t="s">
        <v>3131</v>
      </c>
      <c r="BX1035" s="1">
        <v>1</v>
      </c>
    </row>
    <row r="1036" spans="1:76" x14ac:dyDescent="0.25">
      <c r="A1036" s="1" t="s">
        <v>4158</v>
      </c>
      <c r="B1036" s="1" t="s">
        <v>203</v>
      </c>
      <c r="C1036" s="1">
        <v>1</v>
      </c>
      <c r="D1036" s="1" t="s">
        <v>4159</v>
      </c>
      <c r="E1036" s="1">
        <v>1388</v>
      </c>
      <c r="F1036" s="1" t="s">
        <v>4158</v>
      </c>
      <c r="G1036" s="1">
        <v>1</v>
      </c>
      <c r="L1036" s="1">
        <v>12000</v>
      </c>
      <c r="N1036" s="1">
        <v>950</v>
      </c>
      <c r="P1036" s="1">
        <v>800</v>
      </c>
      <c r="R1036" s="1">
        <v>20</v>
      </c>
      <c r="Z1036" s="1">
        <v>0.05</v>
      </c>
      <c r="AA1036" s="1">
        <v>3</v>
      </c>
      <c r="AB1036" s="1">
        <v>4</v>
      </c>
      <c r="AC1036" s="1">
        <v>0.7</v>
      </c>
      <c r="AH1036" s="1">
        <v>0</v>
      </c>
      <c r="AI1036" s="1">
        <v>1</v>
      </c>
      <c r="AJ1036" s="1" t="s">
        <v>4160</v>
      </c>
      <c r="AK1036" s="1" t="s">
        <v>4157</v>
      </c>
      <c r="AL1036" s="1" t="s">
        <v>228</v>
      </c>
      <c r="AN1036" s="22" t="s">
        <v>9767</v>
      </c>
      <c r="AX1036" s="1">
        <v>1</v>
      </c>
      <c r="AZ1036" s="1">
        <v>0.1</v>
      </c>
      <c r="BG1036" s="1" t="s">
        <v>4158</v>
      </c>
      <c r="BM1036" s="1" t="s">
        <v>989</v>
      </c>
      <c r="BQ1036" s="1" t="s">
        <v>3416</v>
      </c>
      <c r="BR1036" s="1" t="s">
        <v>2593</v>
      </c>
      <c r="BS1036" s="1" t="s">
        <v>2594</v>
      </c>
      <c r="BT1036" s="1" t="s">
        <v>3131</v>
      </c>
      <c r="BX1036" s="1">
        <v>1</v>
      </c>
    </row>
    <row r="1037" spans="1:76" x14ac:dyDescent="0.25">
      <c r="A1037" s="1" t="s">
        <v>4161</v>
      </c>
      <c r="B1037" s="1" t="s">
        <v>203</v>
      </c>
      <c r="C1037" s="1">
        <v>1</v>
      </c>
      <c r="D1037" s="1" t="s">
        <v>4162</v>
      </c>
      <c r="E1037" s="1">
        <v>1389</v>
      </c>
      <c r="F1037" s="1" t="s">
        <v>4161</v>
      </c>
      <c r="G1037" s="1">
        <v>1.05</v>
      </c>
      <c r="L1037" s="1">
        <v>6000</v>
      </c>
      <c r="N1037" s="1">
        <v>550</v>
      </c>
      <c r="P1037" s="1">
        <v>300</v>
      </c>
      <c r="R1037" s="1">
        <v>10</v>
      </c>
      <c r="Z1037" s="1">
        <v>0.05</v>
      </c>
      <c r="AA1037" s="1">
        <v>3</v>
      </c>
      <c r="AB1037" s="1">
        <v>2</v>
      </c>
      <c r="AC1037" s="1">
        <v>0.6</v>
      </c>
      <c r="AH1037" s="1">
        <v>0</v>
      </c>
      <c r="AI1037" s="1">
        <v>1</v>
      </c>
      <c r="AJ1037" s="1" t="s">
        <v>4163</v>
      </c>
      <c r="AK1037" s="1" t="s">
        <v>3367</v>
      </c>
      <c r="AL1037" s="1" t="s">
        <v>228</v>
      </c>
      <c r="AN1037" s="22" t="s">
        <v>9767</v>
      </c>
      <c r="AX1037" s="1">
        <v>1</v>
      </c>
      <c r="AZ1037" s="1">
        <v>0.1</v>
      </c>
      <c r="BG1037" s="1" t="s">
        <v>4161</v>
      </c>
      <c r="BM1037" s="1" t="s">
        <v>936</v>
      </c>
      <c r="BQ1037" s="1" t="s">
        <v>207</v>
      </c>
      <c r="BR1037" s="1" t="s">
        <v>208</v>
      </c>
      <c r="BS1037" s="1" t="s">
        <v>229</v>
      </c>
      <c r="BT1037" s="1" t="s">
        <v>210</v>
      </c>
      <c r="BX1037" s="1">
        <v>1</v>
      </c>
    </row>
    <row r="1038" spans="1:76" x14ac:dyDescent="0.25">
      <c r="A1038" s="1" t="s">
        <v>4164</v>
      </c>
      <c r="B1038" s="1" t="s">
        <v>203</v>
      </c>
      <c r="C1038" s="1">
        <v>1</v>
      </c>
      <c r="D1038" s="1" t="s">
        <v>4165</v>
      </c>
      <c r="E1038" s="1">
        <v>1389</v>
      </c>
      <c r="F1038" s="1" t="s">
        <v>4164</v>
      </c>
      <c r="G1038" s="1">
        <v>1.05</v>
      </c>
      <c r="L1038" s="1">
        <v>7000</v>
      </c>
      <c r="N1038" s="1">
        <v>650</v>
      </c>
      <c r="P1038" s="1">
        <v>400</v>
      </c>
      <c r="R1038" s="1">
        <v>10</v>
      </c>
      <c r="Z1038" s="1">
        <v>0.05</v>
      </c>
      <c r="AA1038" s="1">
        <v>3</v>
      </c>
      <c r="AB1038" s="1">
        <v>2</v>
      </c>
      <c r="AC1038" s="1">
        <v>0.6</v>
      </c>
      <c r="AH1038" s="1">
        <v>0</v>
      </c>
      <c r="AI1038" s="1">
        <v>1</v>
      </c>
      <c r="AJ1038" s="1" t="s">
        <v>4166</v>
      </c>
      <c r="AK1038" s="1" t="s">
        <v>3367</v>
      </c>
      <c r="AL1038" s="1" t="s">
        <v>228</v>
      </c>
      <c r="AN1038" s="22" t="s">
        <v>9767</v>
      </c>
      <c r="AX1038" s="1">
        <v>1</v>
      </c>
      <c r="AZ1038" s="1">
        <v>0.1</v>
      </c>
      <c r="BG1038" s="1" t="s">
        <v>4164</v>
      </c>
      <c r="BM1038" s="1" t="s">
        <v>936</v>
      </c>
      <c r="BQ1038" s="1" t="s">
        <v>207</v>
      </c>
      <c r="BR1038" s="1" t="s">
        <v>208</v>
      </c>
      <c r="BS1038" s="1" t="s">
        <v>229</v>
      </c>
      <c r="BT1038" s="1" t="s">
        <v>210</v>
      </c>
      <c r="BX1038" s="1">
        <v>1</v>
      </c>
    </row>
    <row r="1039" spans="1:76" x14ac:dyDescent="0.25">
      <c r="A1039" s="1" t="s">
        <v>4167</v>
      </c>
      <c r="B1039" s="1" t="s">
        <v>203</v>
      </c>
      <c r="C1039" s="1">
        <v>1</v>
      </c>
      <c r="D1039" s="1" t="s">
        <v>4168</v>
      </c>
      <c r="E1039" s="1">
        <v>1549</v>
      </c>
      <c r="F1039" s="1" t="s">
        <v>4167</v>
      </c>
      <c r="G1039" s="1">
        <v>1</v>
      </c>
      <c r="L1039" s="1">
        <v>40000</v>
      </c>
      <c r="N1039" s="1">
        <v>800</v>
      </c>
      <c r="P1039" s="1">
        <v>500</v>
      </c>
      <c r="R1039" s="1">
        <v>50</v>
      </c>
      <c r="Z1039" s="1">
        <v>0.05</v>
      </c>
      <c r="AA1039" s="1">
        <v>6</v>
      </c>
      <c r="AB1039" s="1">
        <v>10</v>
      </c>
      <c r="AC1039" s="1">
        <v>0.3</v>
      </c>
      <c r="AH1039" s="1">
        <v>0</v>
      </c>
      <c r="AI1039" s="1">
        <v>1</v>
      </c>
      <c r="AJ1039" s="1" t="s">
        <v>4169</v>
      </c>
      <c r="AK1039" s="1" t="s">
        <v>265</v>
      </c>
      <c r="AL1039" s="1" t="s">
        <v>228</v>
      </c>
      <c r="AN1039" s="22" t="s">
        <v>9767</v>
      </c>
      <c r="AX1039" s="1">
        <v>2</v>
      </c>
      <c r="AZ1039" s="1">
        <v>0.1</v>
      </c>
      <c r="BG1039" s="1" t="s">
        <v>4167</v>
      </c>
      <c r="BM1039" s="1" t="s">
        <v>1328</v>
      </c>
      <c r="BQ1039" s="1" t="s">
        <v>3416</v>
      </c>
      <c r="BR1039" s="1" t="s">
        <v>2593</v>
      </c>
      <c r="BS1039" s="1" t="s">
        <v>2594</v>
      </c>
      <c r="BT1039" s="1" t="s">
        <v>2595</v>
      </c>
      <c r="BX1039" s="1">
        <v>1</v>
      </c>
    </row>
    <row r="1040" spans="1:76" x14ac:dyDescent="0.25">
      <c r="A1040" s="1" t="s">
        <v>4170</v>
      </c>
      <c r="B1040" s="1" t="s">
        <v>203</v>
      </c>
      <c r="C1040" s="1">
        <v>1</v>
      </c>
      <c r="D1040" s="1" t="s">
        <v>4168</v>
      </c>
      <c r="E1040" s="1">
        <v>1549</v>
      </c>
      <c r="F1040" s="1" t="s">
        <v>4167</v>
      </c>
      <c r="G1040" s="1">
        <v>1</v>
      </c>
      <c r="L1040" s="1">
        <v>40000</v>
      </c>
      <c r="N1040" s="1">
        <v>800</v>
      </c>
      <c r="P1040" s="1">
        <v>500</v>
      </c>
      <c r="R1040" s="1">
        <v>50</v>
      </c>
      <c r="Z1040" s="1">
        <v>0.05</v>
      </c>
      <c r="AA1040" s="1">
        <v>6</v>
      </c>
      <c r="AB1040" s="1">
        <v>10</v>
      </c>
      <c r="AC1040" s="1">
        <v>0.3</v>
      </c>
      <c r="AH1040" s="1">
        <v>0</v>
      </c>
      <c r="AI1040" s="1">
        <v>1</v>
      </c>
      <c r="AJ1040" s="1" t="s">
        <v>4171</v>
      </c>
      <c r="AK1040" s="1" t="s">
        <v>265</v>
      </c>
      <c r="AL1040" s="1" t="s">
        <v>228</v>
      </c>
      <c r="AN1040" s="22" t="s">
        <v>9767</v>
      </c>
      <c r="AX1040" s="1">
        <v>2</v>
      </c>
      <c r="AZ1040" s="1">
        <v>0.1</v>
      </c>
      <c r="BG1040" s="1" t="s">
        <v>4167</v>
      </c>
      <c r="BM1040" s="1" t="s">
        <v>1328</v>
      </c>
      <c r="BQ1040" s="1" t="s">
        <v>3416</v>
      </c>
      <c r="BR1040" s="1" t="s">
        <v>2593</v>
      </c>
      <c r="BS1040" s="1" t="s">
        <v>2594</v>
      </c>
      <c r="BT1040" s="1" t="s">
        <v>2595</v>
      </c>
      <c r="BX1040" s="1">
        <v>1</v>
      </c>
    </row>
    <row r="1041" spans="1:76" x14ac:dyDescent="0.25">
      <c r="A1041" s="1" t="s">
        <v>4172</v>
      </c>
      <c r="B1041" s="1" t="s">
        <v>203</v>
      </c>
      <c r="C1041" s="1">
        <v>1</v>
      </c>
      <c r="D1041" s="1" t="s">
        <v>4173</v>
      </c>
      <c r="E1041" s="1" t="s">
        <v>4174</v>
      </c>
      <c r="F1041" s="1" t="s">
        <v>4172</v>
      </c>
      <c r="G1041" s="1">
        <v>1</v>
      </c>
      <c r="L1041" s="1">
        <v>50000</v>
      </c>
      <c r="N1041" s="1">
        <v>6000</v>
      </c>
      <c r="P1041" s="1">
        <v>8000</v>
      </c>
      <c r="R1041" s="1">
        <v>200</v>
      </c>
      <c r="Z1041" s="1">
        <v>0.05</v>
      </c>
      <c r="AA1041" s="1">
        <v>5</v>
      </c>
      <c r="AB1041" s="1">
        <v>10</v>
      </c>
      <c r="AC1041" s="1">
        <v>0.2</v>
      </c>
      <c r="AH1041" s="1">
        <v>0</v>
      </c>
      <c r="AI1041" s="1">
        <v>1</v>
      </c>
      <c r="AJ1041" s="1" t="s">
        <v>4175</v>
      </c>
      <c r="AK1041" s="1" t="s">
        <v>206</v>
      </c>
      <c r="AL1041" s="1" t="s">
        <v>228</v>
      </c>
      <c r="AN1041" s="22" t="s">
        <v>9767</v>
      </c>
      <c r="AX1041" s="1">
        <v>2</v>
      </c>
      <c r="AZ1041" s="1">
        <v>0.1</v>
      </c>
      <c r="BG1041" s="1" t="s">
        <v>4172</v>
      </c>
      <c r="BM1041" s="1" t="s">
        <v>4176</v>
      </c>
      <c r="BQ1041" s="1" t="s">
        <v>3416</v>
      </c>
      <c r="BR1041" s="1" t="s">
        <v>2593</v>
      </c>
      <c r="BS1041" s="1" t="s">
        <v>2594</v>
      </c>
      <c r="BT1041" s="1" t="s">
        <v>2151</v>
      </c>
      <c r="BX1041" s="1">
        <v>1</v>
      </c>
    </row>
    <row r="1042" spans="1:76" x14ac:dyDescent="0.25">
      <c r="A1042" s="1" t="s">
        <v>4177</v>
      </c>
      <c r="B1042" s="1" t="s">
        <v>203</v>
      </c>
      <c r="C1042" s="1">
        <v>1</v>
      </c>
      <c r="D1042" s="1" t="s">
        <v>4178</v>
      </c>
      <c r="E1042" s="1">
        <v>1390</v>
      </c>
      <c r="F1042" s="1" t="s">
        <v>4177</v>
      </c>
      <c r="G1042" s="1">
        <v>1</v>
      </c>
      <c r="L1042" s="1">
        <v>3000</v>
      </c>
      <c r="N1042" s="1">
        <v>290</v>
      </c>
      <c r="P1042" s="1">
        <v>100</v>
      </c>
      <c r="R1042" s="1">
        <v>10</v>
      </c>
      <c r="Z1042" s="1">
        <v>0.05</v>
      </c>
      <c r="AA1042" s="1">
        <v>2</v>
      </c>
      <c r="AB1042" s="1">
        <v>1</v>
      </c>
      <c r="AC1042" s="1">
        <v>0.7</v>
      </c>
      <c r="AH1042" s="1">
        <v>0</v>
      </c>
      <c r="AI1042" s="1">
        <v>1</v>
      </c>
      <c r="AJ1042" s="1" t="s">
        <v>4179</v>
      </c>
      <c r="AK1042" s="1" t="s">
        <v>3367</v>
      </c>
      <c r="AL1042" s="1" t="s">
        <v>228</v>
      </c>
      <c r="AN1042" s="22" t="s">
        <v>9767</v>
      </c>
      <c r="AX1042" s="1">
        <v>1</v>
      </c>
      <c r="AZ1042" s="1">
        <v>0.1</v>
      </c>
      <c r="BG1042" s="1" t="s">
        <v>4177</v>
      </c>
      <c r="BM1042" s="1" t="s">
        <v>2017</v>
      </c>
      <c r="BQ1042" s="1" t="s">
        <v>207</v>
      </c>
      <c r="BR1042" s="1" t="s">
        <v>208</v>
      </c>
      <c r="BS1042" s="1" t="s">
        <v>229</v>
      </c>
      <c r="BT1042" s="1" t="s">
        <v>210</v>
      </c>
      <c r="BX1042" s="1">
        <v>1</v>
      </c>
    </row>
    <row r="1043" spans="1:76" x14ac:dyDescent="0.25">
      <c r="A1043" s="1" t="s">
        <v>4180</v>
      </c>
      <c r="B1043" s="1" t="s">
        <v>203</v>
      </c>
      <c r="C1043" s="1">
        <v>1</v>
      </c>
      <c r="D1043" s="1" t="s">
        <v>4181</v>
      </c>
      <c r="E1043" s="1">
        <v>1390</v>
      </c>
      <c r="F1043" s="1" t="s">
        <v>4180</v>
      </c>
      <c r="G1043" s="1">
        <v>1</v>
      </c>
      <c r="L1043" s="1">
        <v>3700</v>
      </c>
      <c r="N1043" s="1">
        <v>330</v>
      </c>
      <c r="P1043" s="1">
        <v>150</v>
      </c>
      <c r="R1043" s="1">
        <v>10</v>
      </c>
      <c r="Z1043" s="1">
        <v>0.05</v>
      </c>
      <c r="AA1043" s="1">
        <v>2</v>
      </c>
      <c r="AB1043" s="1">
        <v>1</v>
      </c>
      <c r="AC1043" s="1">
        <v>0.7</v>
      </c>
      <c r="AH1043" s="1">
        <v>0</v>
      </c>
      <c r="AI1043" s="1">
        <v>1</v>
      </c>
      <c r="AJ1043" s="1" t="s">
        <v>4182</v>
      </c>
      <c r="AK1043" s="1" t="s">
        <v>3367</v>
      </c>
      <c r="AL1043" s="1" t="s">
        <v>228</v>
      </c>
      <c r="AN1043" s="22" t="s">
        <v>9767</v>
      </c>
      <c r="AX1043" s="1">
        <v>1</v>
      </c>
      <c r="AZ1043" s="1">
        <v>0.1</v>
      </c>
      <c r="BG1043" s="1" t="s">
        <v>4180</v>
      </c>
      <c r="BM1043" s="1" t="s">
        <v>2017</v>
      </c>
      <c r="BQ1043" s="1" t="s">
        <v>207</v>
      </c>
      <c r="BR1043" s="1" t="s">
        <v>208</v>
      </c>
      <c r="BS1043" s="1" t="s">
        <v>229</v>
      </c>
      <c r="BT1043" s="1" t="s">
        <v>210</v>
      </c>
      <c r="BX1043" s="1">
        <v>1</v>
      </c>
    </row>
    <row r="1044" spans="1:76" x14ac:dyDescent="0.25">
      <c r="A1044" s="1" t="s">
        <v>4183</v>
      </c>
      <c r="B1044" s="1" t="s">
        <v>203</v>
      </c>
      <c r="C1044" s="1">
        <v>1</v>
      </c>
      <c r="D1044" s="1" t="s">
        <v>4184</v>
      </c>
      <c r="E1044" s="1">
        <v>1391</v>
      </c>
      <c r="F1044" s="1" t="s">
        <v>4183</v>
      </c>
      <c r="G1044" s="1">
        <v>1</v>
      </c>
      <c r="L1044" s="1">
        <v>3500</v>
      </c>
      <c r="N1044" s="1">
        <v>300</v>
      </c>
      <c r="P1044" s="1">
        <v>100</v>
      </c>
      <c r="R1044" s="1">
        <v>10</v>
      </c>
      <c r="Z1044" s="1">
        <v>0.05</v>
      </c>
      <c r="AA1044" s="1">
        <v>2.8</v>
      </c>
      <c r="AB1044" s="1">
        <v>1</v>
      </c>
      <c r="AC1044" s="1">
        <v>0.8</v>
      </c>
      <c r="AH1044" s="1">
        <v>0</v>
      </c>
      <c r="AI1044" s="1">
        <v>1</v>
      </c>
      <c r="AJ1044" s="1" t="s">
        <v>4185</v>
      </c>
      <c r="AK1044" s="1" t="s">
        <v>3367</v>
      </c>
      <c r="AL1044" s="1" t="s">
        <v>228</v>
      </c>
      <c r="AN1044" s="22" t="s">
        <v>9767</v>
      </c>
      <c r="AX1044" s="1">
        <v>1</v>
      </c>
      <c r="AZ1044" s="1">
        <v>0.1</v>
      </c>
      <c r="BG1044" s="1" t="s">
        <v>4183</v>
      </c>
      <c r="BM1044" s="1" t="s">
        <v>2032</v>
      </c>
      <c r="BQ1044" s="1" t="s">
        <v>207</v>
      </c>
      <c r="BR1044" s="1" t="s">
        <v>208</v>
      </c>
      <c r="BS1044" s="1" t="s">
        <v>229</v>
      </c>
      <c r="BT1044" s="1" t="s">
        <v>210</v>
      </c>
      <c r="BX1044" s="1">
        <v>1</v>
      </c>
    </row>
    <row r="1045" spans="1:76" x14ac:dyDescent="0.25">
      <c r="A1045" s="1" t="s">
        <v>4186</v>
      </c>
      <c r="B1045" s="1" t="s">
        <v>203</v>
      </c>
      <c r="C1045" s="1">
        <v>1</v>
      </c>
      <c r="D1045" s="1" t="s">
        <v>4187</v>
      </c>
      <c r="E1045" s="1">
        <v>1391</v>
      </c>
      <c r="F1045" s="1" t="s">
        <v>4186</v>
      </c>
      <c r="G1045" s="1">
        <v>1</v>
      </c>
      <c r="L1045" s="1">
        <v>3500</v>
      </c>
      <c r="N1045" s="1">
        <v>350</v>
      </c>
      <c r="P1045" s="1">
        <v>150</v>
      </c>
      <c r="R1045" s="1">
        <v>10</v>
      </c>
      <c r="Z1045" s="1">
        <v>0.05</v>
      </c>
      <c r="AA1045" s="1">
        <v>2.8</v>
      </c>
      <c r="AB1045" s="1">
        <v>1</v>
      </c>
      <c r="AC1045" s="1">
        <v>0.8</v>
      </c>
      <c r="AH1045" s="1">
        <v>0</v>
      </c>
      <c r="AI1045" s="1">
        <v>1</v>
      </c>
      <c r="AJ1045" s="1" t="s">
        <v>4188</v>
      </c>
      <c r="AK1045" s="1" t="s">
        <v>3367</v>
      </c>
      <c r="AL1045" s="1" t="s">
        <v>228</v>
      </c>
      <c r="AN1045" s="22" t="s">
        <v>9767</v>
      </c>
      <c r="AX1045" s="1">
        <v>1</v>
      </c>
      <c r="AZ1045" s="1">
        <v>0.1</v>
      </c>
      <c r="BG1045" s="1" t="s">
        <v>4186</v>
      </c>
      <c r="BM1045" s="1" t="s">
        <v>2032</v>
      </c>
      <c r="BQ1045" s="1" t="s">
        <v>207</v>
      </c>
      <c r="BR1045" s="1" t="s">
        <v>208</v>
      </c>
      <c r="BS1045" s="1" t="s">
        <v>229</v>
      </c>
      <c r="BT1045" s="1" t="s">
        <v>210</v>
      </c>
      <c r="BX1045" s="1">
        <v>1</v>
      </c>
    </row>
    <row r="1046" spans="1:76" x14ac:dyDescent="0.25">
      <c r="A1046" s="1" t="s">
        <v>4189</v>
      </c>
      <c r="B1046" s="1" t="s">
        <v>203</v>
      </c>
      <c r="C1046" s="1">
        <v>1</v>
      </c>
      <c r="D1046" s="1" t="s">
        <v>4190</v>
      </c>
      <c r="E1046" s="1">
        <v>1392</v>
      </c>
      <c r="F1046" s="1" t="s">
        <v>4189</v>
      </c>
      <c r="G1046" s="1">
        <v>1</v>
      </c>
      <c r="L1046" s="1">
        <v>10000</v>
      </c>
      <c r="N1046" s="1">
        <v>700</v>
      </c>
      <c r="P1046" s="1">
        <v>1000</v>
      </c>
      <c r="R1046" s="1">
        <v>20</v>
      </c>
      <c r="Z1046" s="1">
        <v>0.05</v>
      </c>
      <c r="AA1046" s="1">
        <v>3.8</v>
      </c>
      <c r="AB1046" s="1">
        <v>3</v>
      </c>
      <c r="AC1046" s="1">
        <v>0.6</v>
      </c>
      <c r="AH1046" s="1">
        <v>1</v>
      </c>
      <c r="AI1046" s="1">
        <v>1</v>
      </c>
      <c r="AJ1046" s="1" t="s">
        <v>4191</v>
      </c>
      <c r="AK1046" s="1" t="s">
        <v>3494</v>
      </c>
      <c r="AL1046" s="1" t="s">
        <v>228</v>
      </c>
      <c r="AN1046" s="22" t="s">
        <v>9767</v>
      </c>
      <c r="AX1046" s="1">
        <v>1</v>
      </c>
      <c r="AZ1046" s="1">
        <v>0.1</v>
      </c>
      <c r="BG1046" s="1" t="s">
        <v>4189</v>
      </c>
      <c r="BM1046" s="1" t="s">
        <v>2040</v>
      </c>
      <c r="BQ1046" s="1" t="s">
        <v>207</v>
      </c>
      <c r="BR1046" s="1" t="s">
        <v>208</v>
      </c>
      <c r="BS1046" s="1" t="s">
        <v>229</v>
      </c>
      <c r="BT1046" s="1" t="s">
        <v>210</v>
      </c>
      <c r="BX1046" s="1">
        <v>1</v>
      </c>
    </row>
    <row r="1047" spans="1:76" x14ac:dyDescent="0.25">
      <c r="A1047" s="1" t="s">
        <v>4192</v>
      </c>
      <c r="B1047" s="1" t="s">
        <v>203</v>
      </c>
      <c r="C1047" s="1">
        <v>1</v>
      </c>
      <c r="D1047" s="1" t="s">
        <v>4193</v>
      </c>
      <c r="E1047" s="1">
        <v>1392</v>
      </c>
      <c r="F1047" s="1" t="s">
        <v>4192</v>
      </c>
      <c r="G1047" s="1">
        <v>1</v>
      </c>
      <c r="L1047" s="1">
        <v>12000</v>
      </c>
      <c r="N1047" s="1">
        <v>800</v>
      </c>
      <c r="P1047" s="1">
        <v>1500</v>
      </c>
      <c r="R1047" s="1">
        <v>20</v>
      </c>
      <c r="Z1047" s="1">
        <v>0.05</v>
      </c>
      <c r="AA1047" s="1">
        <v>3.8</v>
      </c>
      <c r="AB1047" s="1">
        <v>3</v>
      </c>
      <c r="AC1047" s="1">
        <v>0.6</v>
      </c>
      <c r="AH1047" s="1">
        <v>1</v>
      </c>
      <c r="AI1047" s="1">
        <v>1</v>
      </c>
      <c r="AJ1047" s="1" t="s">
        <v>4194</v>
      </c>
      <c r="AK1047" s="1" t="s">
        <v>3494</v>
      </c>
      <c r="AL1047" s="1" t="s">
        <v>228</v>
      </c>
      <c r="AN1047" s="22" t="s">
        <v>9767</v>
      </c>
      <c r="AX1047" s="1">
        <v>1</v>
      </c>
      <c r="AZ1047" s="1">
        <v>0.1</v>
      </c>
      <c r="BG1047" s="1" t="s">
        <v>4192</v>
      </c>
      <c r="BM1047" s="1" t="s">
        <v>2040</v>
      </c>
      <c r="BQ1047" s="1" t="s">
        <v>207</v>
      </c>
      <c r="BR1047" s="1" t="s">
        <v>208</v>
      </c>
      <c r="BS1047" s="1" t="s">
        <v>229</v>
      </c>
      <c r="BT1047" s="1" t="s">
        <v>210</v>
      </c>
      <c r="BX1047" s="1">
        <v>1</v>
      </c>
    </row>
    <row r="1048" spans="1:76" x14ac:dyDescent="0.25">
      <c r="A1048" s="1" t="s">
        <v>4195</v>
      </c>
      <c r="B1048" s="1" t="s">
        <v>203</v>
      </c>
      <c r="C1048" s="1">
        <v>1</v>
      </c>
      <c r="D1048" s="1" t="s">
        <v>4196</v>
      </c>
      <c r="E1048" s="1">
        <v>1393</v>
      </c>
      <c r="F1048" s="1" t="s">
        <v>4195</v>
      </c>
      <c r="G1048" s="1">
        <v>1</v>
      </c>
      <c r="L1048" s="1">
        <v>9000</v>
      </c>
      <c r="N1048" s="1">
        <v>500</v>
      </c>
      <c r="P1048" s="1">
        <v>400</v>
      </c>
      <c r="R1048" s="1">
        <v>20</v>
      </c>
      <c r="Z1048" s="1">
        <v>0.05</v>
      </c>
      <c r="AA1048" s="1">
        <v>7</v>
      </c>
      <c r="AB1048" s="1">
        <v>2</v>
      </c>
      <c r="AC1048" s="1">
        <v>0.6</v>
      </c>
      <c r="AH1048" s="1">
        <v>0</v>
      </c>
      <c r="AI1048" s="1">
        <v>1</v>
      </c>
      <c r="AJ1048" s="1" t="s">
        <v>4197</v>
      </c>
      <c r="AK1048" s="1" t="s">
        <v>3494</v>
      </c>
      <c r="AL1048" s="1" t="s">
        <v>228</v>
      </c>
      <c r="AN1048" s="22" t="s">
        <v>9767</v>
      </c>
      <c r="AX1048" s="1">
        <v>1</v>
      </c>
      <c r="AZ1048" s="1">
        <v>0.1</v>
      </c>
      <c r="BG1048" s="1" t="s">
        <v>4195</v>
      </c>
      <c r="BM1048" s="1" t="s">
        <v>2063</v>
      </c>
      <c r="BQ1048" s="1" t="s">
        <v>207</v>
      </c>
      <c r="BR1048" s="1" t="s">
        <v>208</v>
      </c>
      <c r="BS1048" s="1" t="s">
        <v>229</v>
      </c>
      <c r="BT1048" s="1" t="s">
        <v>210</v>
      </c>
      <c r="BX1048" s="1">
        <v>1</v>
      </c>
    </row>
    <row r="1049" spans="1:76" x14ac:dyDescent="0.25">
      <c r="A1049" s="1" t="s">
        <v>4198</v>
      </c>
      <c r="B1049" s="1" t="s">
        <v>203</v>
      </c>
      <c r="C1049" s="1">
        <v>1</v>
      </c>
      <c r="D1049" s="1" t="s">
        <v>4199</v>
      </c>
      <c r="E1049" s="1">
        <v>1393</v>
      </c>
      <c r="F1049" s="1" t="s">
        <v>4198</v>
      </c>
      <c r="G1049" s="1">
        <v>1</v>
      </c>
      <c r="L1049" s="1">
        <v>12000</v>
      </c>
      <c r="N1049" s="1">
        <v>600</v>
      </c>
      <c r="P1049" s="1">
        <v>500</v>
      </c>
      <c r="R1049" s="1">
        <v>20</v>
      </c>
      <c r="Z1049" s="1">
        <v>0.05</v>
      </c>
      <c r="AA1049" s="1">
        <v>7</v>
      </c>
      <c r="AB1049" s="1">
        <v>2</v>
      </c>
      <c r="AC1049" s="1">
        <v>0.6</v>
      </c>
      <c r="AH1049" s="1">
        <v>0</v>
      </c>
      <c r="AI1049" s="1">
        <v>1</v>
      </c>
      <c r="AJ1049" s="1" t="s">
        <v>4200</v>
      </c>
      <c r="AK1049" s="1" t="s">
        <v>3494</v>
      </c>
      <c r="AL1049" s="1" t="s">
        <v>228</v>
      </c>
      <c r="AN1049" s="22" t="s">
        <v>9767</v>
      </c>
      <c r="AX1049" s="1">
        <v>1</v>
      </c>
      <c r="AZ1049" s="1">
        <v>0.1</v>
      </c>
      <c r="BG1049" s="1" t="s">
        <v>4198</v>
      </c>
      <c r="BM1049" s="1" t="s">
        <v>2063</v>
      </c>
      <c r="BQ1049" s="1" t="s">
        <v>207</v>
      </c>
      <c r="BR1049" s="1" t="s">
        <v>208</v>
      </c>
      <c r="BS1049" s="1" t="s">
        <v>229</v>
      </c>
      <c r="BT1049" s="1" t="s">
        <v>210</v>
      </c>
      <c r="BX1049" s="1">
        <v>1</v>
      </c>
    </row>
    <row r="1050" spans="1:76" x14ac:dyDescent="0.25">
      <c r="A1050" s="1" t="s">
        <v>4201</v>
      </c>
      <c r="B1050" s="1" t="s">
        <v>203</v>
      </c>
      <c r="C1050" s="1">
        <v>1</v>
      </c>
      <c r="D1050" s="1" t="s">
        <v>4202</v>
      </c>
      <c r="E1050" s="1">
        <v>1394</v>
      </c>
      <c r="F1050" s="1" t="s">
        <v>4201</v>
      </c>
      <c r="G1050" s="1">
        <v>1</v>
      </c>
      <c r="L1050" s="1">
        <v>15000</v>
      </c>
      <c r="N1050" s="1">
        <v>700</v>
      </c>
      <c r="P1050" s="1">
        <v>400</v>
      </c>
      <c r="R1050" s="1">
        <v>30</v>
      </c>
      <c r="Z1050" s="1">
        <v>0.05</v>
      </c>
      <c r="AA1050" s="1">
        <v>2.5</v>
      </c>
      <c r="AB1050" s="1">
        <v>3</v>
      </c>
      <c r="AC1050" s="1">
        <v>0.5</v>
      </c>
      <c r="AH1050" s="1">
        <v>0</v>
      </c>
      <c r="AI1050" s="1">
        <v>1</v>
      </c>
      <c r="AJ1050" s="1" t="s">
        <v>4203</v>
      </c>
      <c r="AK1050" s="1" t="s">
        <v>3494</v>
      </c>
      <c r="AL1050" s="1" t="s">
        <v>228</v>
      </c>
      <c r="AN1050" s="22" t="s">
        <v>9767</v>
      </c>
      <c r="AX1050" s="1">
        <v>1</v>
      </c>
      <c r="AZ1050" s="1">
        <v>0.1</v>
      </c>
      <c r="BG1050" s="1" t="s">
        <v>4201</v>
      </c>
      <c r="BM1050" s="1" t="s">
        <v>2063</v>
      </c>
      <c r="BQ1050" s="1" t="s">
        <v>207</v>
      </c>
      <c r="BR1050" s="1" t="s">
        <v>208</v>
      </c>
      <c r="BS1050" s="1" t="s">
        <v>229</v>
      </c>
      <c r="BT1050" s="1" t="s">
        <v>210</v>
      </c>
      <c r="BX1050" s="1">
        <v>1</v>
      </c>
    </row>
    <row r="1051" spans="1:76" x14ac:dyDescent="0.25">
      <c r="A1051" s="1" t="s">
        <v>4204</v>
      </c>
      <c r="B1051" s="1" t="s">
        <v>203</v>
      </c>
      <c r="C1051" s="1">
        <v>1</v>
      </c>
      <c r="D1051" s="1" t="s">
        <v>4205</v>
      </c>
      <c r="E1051" s="1">
        <v>1394</v>
      </c>
      <c r="F1051" s="1" t="s">
        <v>4204</v>
      </c>
      <c r="G1051" s="1">
        <v>1</v>
      </c>
      <c r="L1051" s="1">
        <v>18000</v>
      </c>
      <c r="N1051" s="1">
        <v>900</v>
      </c>
      <c r="P1051" s="1">
        <v>500</v>
      </c>
      <c r="R1051" s="1">
        <v>30</v>
      </c>
      <c r="Z1051" s="1">
        <v>0.05</v>
      </c>
      <c r="AA1051" s="1">
        <v>2.5</v>
      </c>
      <c r="AB1051" s="1">
        <v>3</v>
      </c>
      <c r="AC1051" s="1">
        <v>0.5</v>
      </c>
      <c r="AH1051" s="1">
        <v>0</v>
      </c>
      <c r="AI1051" s="1">
        <v>1</v>
      </c>
      <c r="AJ1051" s="1" t="s">
        <v>4206</v>
      </c>
      <c r="AK1051" s="1" t="s">
        <v>3494</v>
      </c>
      <c r="AL1051" s="1" t="s">
        <v>228</v>
      </c>
      <c r="AN1051" s="22" t="s">
        <v>9767</v>
      </c>
      <c r="AX1051" s="1">
        <v>1</v>
      </c>
      <c r="AZ1051" s="1">
        <v>0.1</v>
      </c>
      <c r="BG1051" s="1" t="s">
        <v>4204</v>
      </c>
      <c r="BM1051" s="1" t="s">
        <v>2063</v>
      </c>
      <c r="BQ1051" s="1" t="s">
        <v>207</v>
      </c>
      <c r="BR1051" s="1" t="s">
        <v>208</v>
      </c>
      <c r="BS1051" s="1" t="s">
        <v>229</v>
      </c>
      <c r="BT1051" s="1" t="s">
        <v>210</v>
      </c>
      <c r="BX1051" s="1">
        <v>1</v>
      </c>
    </row>
    <row r="1052" spans="1:76" x14ac:dyDescent="0.25">
      <c r="A1052" s="1" t="s">
        <v>4207</v>
      </c>
      <c r="B1052" s="1" t="s">
        <v>203</v>
      </c>
      <c r="C1052" s="1">
        <v>1</v>
      </c>
      <c r="D1052" s="1" t="s">
        <v>4208</v>
      </c>
      <c r="E1052" s="1">
        <v>1395</v>
      </c>
      <c r="F1052" s="1" t="s">
        <v>4207</v>
      </c>
      <c r="G1052" s="1">
        <v>1</v>
      </c>
      <c r="L1052" s="1">
        <v>1700</v>
      </c>
      <c r="N1052" s="1">
        <v>200</v>
      </c>
      <c r="P1052" s="1">
        <v>0</v>
      </c>
      <c r="R1052" s="1">
        <v>0</v>
      </c>
      <c r="Z1052" s="1">
        <v>0.05</v>
      </c>
      <c r="AA1052" s="1">
        <v>1.3</v>
      </c>
      <c r="AB1052" s="1">
        <v>1</v>
      </c>
      <c r="AC1052" s="1">
        <v>1.9</v>
      </c>
      <c r="AH1052" s="1">
        <v>0</v>
      </c>
      <c r="AI1052" s="1">
        <v>1</v>
      </c>
      <c r="AJ1052" s="1" t="s">
        <v>4209</v>
      </c>
      <c r="AK1052" s="1" t="s">
        <v>3374</v>
      </c>
      <c r="AL1052" s="1" t="s">
        <v>228</v>
      </c>
      <c r="AN1052" s="22" t="s">
        <v>9767</v>
      </c>
      <c r="AX1052" s="1">
        <v>1</v>
      </c>
      <c r="AZ1052" s="1">
        <v>0.1</v>
      </c>
      <c r="BG1052" s="1" t="s">
        <v>4207</v>
      </c>
      <c r="BM1052" s="1" t="s">
        <v>4210</v>
      </c>
      <c r="BQ1052" s="1" t="s">
        <v>207</v>
      </c>
      <c r="BR1052" s="1" t="s">
        <v>208</v>
      </c>
      <c r="BS1052" s="1" t="s">
        <v>229</v>
      </c>
      <c r="BT1052" s="1" t="s">
        <v>210</v>
      </c>
      <c r="BX1052" s="1">
        <v>1</v>
      </c>
    </row>
    <row r="1053" spans="1:76" x14ac:dyDescent="0.25">
      <c r="A1053" s="1" t="s">
        <v>4211</v>
      </c>
      <c r="B1053" s="1" t="s">
        <v>203</v>
      </c>
      <c r="C1053" s="1">
        <v>1</v>
      </c>
      <c r="D1053" s="1" t="s">
        <v>4212</v>
      </c>
      <c r="E1053" s="1">
        <v>1395</v>
      </c>
      <c r="F1053" s="1" t="s">
        <v>4211</v>
      </c>
      <c r="G1053" s="1">
        <v>1</v>
      </c>
      <c r="L1053" s="1">
        <v>2200</v>
      </c>
      <c r="N1053" s="1">
        <v>250</v>
      </c>
      <c r="P1053" s="1">
        <v>0</v>
      </c>
      <c r="R1053" s="1">
        <v>0</v>
      </c>
      <c r="Z1053" s="1">
        <v>0.05</v>
      </c>
      <c r="AA1053" s="1">
        <v>1.3</v>
      </c>
      <c r="AB1053" s="1">
        <v>1</v>
      </c>
      <c r="AC1053" s="1">
        <v>1.9</v>
      </c>
      <c r="AH1053" s="1">
        <v>0</v>
      </c>
      <c r="AI1053" s="1">
        <v>1</v>
      </c>
      <c r="AJ1053" s="1" t="s">
        <v>4213</v>
      </c>
      <c r="AK1053" s="1" t="s">
        <v>3374</v>
      </c>
      <c r="AL1053" s="1" t="s">
        <v>228</v>
      </c>
      <c r="AN1053" s="22" t="s">
        <v>9767</v>
      </c>
      <c r="AX1053" s="1">
        <v>1</v>
      </c>
      <c r="AZ1053" s="1">
        <v>0.1</v>
      </c>
      <c r="BG1053" s="1" t="s">
        <v>4211</v>
      </c>
      <c r="BM1053" s="1" t="s">
        <v>4210</v>
      </c>
      <c r="BQ1053" s="1" t="s">
        <v>207</v>
      </c>
      <c r="BR1053" s="1" t="s">
        <v>208</v>
      </c>
      <c r="BS1053" s="1" t="s">
        <v>229</v>
      </c>
      <c r="BT1053" s="1" t="s">
        <v>210</v>
      </c>
      <c r="BX1053" s="1">
        <v>1</v>
      </c>
    </row>
    <row r="1054" spans="1:76" x14ac:dyDescent="0.25">
      <c r="A1054" s="1" t="s">
        <v>4214</v>
      </c>
      <c r="B1054" s="1" t="s">
        <v>203</v>
      </c>
      <c r="C1054" s="1">
        <v>1</v>
      </c>
      <c r="D1054" s="1" t="s">
        <v>4215</v>
      </c>
      <c r="E1054" s="1">
        <v>1396</v>
      </c>
      <c r="F1054" s="1" t="s">
        <v>4214</v>
      </c>
      <c r="G1054" s="1">
        <v>1</v>
      </c>
      <c r="L1054" s="1">
        <v>19000</v>
      </c>
      <c r="N1054" s="1">
        <v>700</v>
      </c>
      <c r="P1054" s="1">
        <v>200</v>
      </c>
      <c r="R1054" s="1">
        <v>20</v>
      </c>
      <c r="Z1054" s="1">
        <v>0.05</v>
      </c>
      <c r="AA1054" s="1">
        <v>3</v>
      </c>
      <c r="AB1054" s="1">
        <v>3</v>
      </c>
      <c r="AC1054" s="1">
        <v>0.3</v>
      </c>
      <c r="AH1054" s="1">
        <v>0</v>
      </c>
      <c r="AI1054" s="1">
        <v>1</v>
      </c>
      <c r="AJ1054" s="1" t="s">
        <v>4216</v>
      </c>
      <c r="AK1054" s="1" t="s">
        <v>265</v>
      </c>
      <c r="AL1054" s="1" t="s">
        <v>228</v>
      </c>
      <c r="AN1054" s="22" t="s">
        <v>9767</v>
      </c>
      <c r="AR1054" s="1">
        <v>3</v>
      </c>
      <c r="AX1054" s="1">
        <v>1</v>
      </c>
      <c r="AZ1054" s="1">
        <v>0.1</v>
      </c>
      <c r="BG1054" s="1" t="s">
        <v>4214</v>
      </c>
      <c r="BM1054" s="1" t="s">
        <v>4132</v>
      </c>
      <c r="BQ1054" s="1" t="s">
        <v>207</v>
      </c>
      <c r="BR1054" s="1" t="s">
        <v>208</v>
      </c>
      <c r="BS1054" s="1" t="s">
        <v>229</v>
      </c>
      <c r="BT1054" s="1" t="s">
        <v>210</v>
      </c>
      <c r="BX1054" s="1">
        <v>1</v>
      </c>
    </row>
    <row r="1055" spans="1:76" x14ac:dyDescent="0.25">
      <c r="A1055" s="1" t="s">
        <v>4217</v>
      </c>
      <c r="B1055" s="1" t="s">
        <v>203</v>
      </c>
      <c r="C1055" s="1">
        <v>1</v>
      </c>
      <c r="D1055" s="1" t="s">
        <v>4218</v>
      </c>
      <c r="E1055" s="1">
        <v>1396</v>
      </c>
      <c r="F1055" s="1" t="s">
        <v>4217</v>
      </c>
      <c r="G1055" s="1">
        <v>1</v>
      </c>
      <c r="L1055" s="1">
        <v>25000</v>
      </c>
      <c r="N1055" s="1">
        <v>900</v>
      </c>
      <c r="P1055" s="1">
        <v>300</v>
      </c>
      <c r="R1055" s="1">
        <v>20</v>
      </c>
      <c r="Z1055" s="1">
        <v>0.05</v>
      </c>
      <c r="AA1055" s="1">
        <v>3</v>
      </c>
      <c r="AB1055" s="1">
        <v>3</v>
      </c>
      <c r="AC1055" s="1">
        <v>0.3</v>
      </c>
      <c r="AH1055" s="1">
        <v>0</v>
      </c>
      <c r="AI1055" s="1">
        <v>1</v>
      </c>
      <c r="AJ1055" s="1" t="s">
        <v>4219</v>
      </c>
      <c r="AK1055" s="1" t="s">
        <v>265</v>
      </c>
      <c r="AL1055" s="1" t="s">
        <v>228</v>
      </c>
      <c r="AN1055" s="22" t="s">
        <v>9767</v>
      </c>
      <c r="AR1055" s="1">
        <v>3</v>
      </c>
      <c r="AX1055" s="1">
        <v>1</v>
      </c>
      <c r="AZ1055" s="1">
        <v>0.1</v>
      </c>
      <c r="BG1055" s="1" t="s">
        <v>4217</v>
      </c>
      <c r="BM1055" s="1" t="s">
        <v>4132</v>
      </c>
      <c r="BQ1055" s="1" t="s">
        <v>207</v>
      </c>
      <c r="BR1055" s="1" t="s">
        <v>208</v>
      </c>
      <c r="BS1055" s="1" t="s">
        <v>229</v>
      </c>
      <c r="BT1055" s="1" t="s">
        <v>210</v>
      </c>
      <c r="BX1055" s="1">
        <v>1</v>
      </c>
    </row>
    <row r="1056" spans="1:76" x14ac:dyDescent="0.25">
      <c r="A1056" s="1" t="s">
        <v>4220</v>
      </c>
      <c r="B1056" s="1" t="s">
        <v>203</v>
      </c>
      <c r="C1056" s="1">
        <v>1</v>
      </c>
      <c r="D1056" s="1" t="s">
        <v>4221</v>
      </c>
      <c r="E1056" s="1">
        <v>1397</v>
      </c>
      <c r="F1056" s="1" t="s">
        <v>4220</v>
      </c>
      <c r="G1056" s="1">
        <v>1</v>
      </c>
      <c r="L1056" s="1">
        <v>19000</v>
      </c>
      <c r="N1056" s="1">
        <v>700</v>
      </c>
      <c r="P1056" s="1">
        <v>200</v>
      </c>
      <c r="R1056" s="1">
        <v>20</v>
      </c>
      <c r="Z1056" s="1">
        <v>0.05</v>
      </c>
      <c r="AA1056" s="1">
        <v>3</v>
      </c>
      <c r="AB1056" s="1">
        <v>3</v>
      </c>
      <c r="AC1056" s="1">
        <v>0.9</v>
      </c>
      <c r="AH1056" s="1">
        <v>0</v>
      </c>
      <c r="AI1056" s="1">
        <v>1</v>
      </c>
      <c r="AJ1056" s="1" t="s">
        <v>4222</v>
      </c>
      <c r="AK1056" s="1" t="s">
        <v>4157</v>
      </c>
      <c r="AL1056" s="1" t="s">
        <v>228</v>
      </c>
      <c r="AN1056" s="22" t="s">
        <v>9767</v>
      </c>
      <c r="AX1056" s="1">
        <v>1</v>
      </c>
      <c r="AZ1056" s="1">
        <v>0.1</v>
      </c>
      <c r="BG1056" s="1" t="s">
        <v>4220</v>
      </c>
      <c r="BM1056" s="1" t="s">
        <v>4132</v>
      </c>
      <c r="BQ1056" s="1" t="s">
        <v>207</v>
      </c>
      <c r="BR1056" s="1" t="s">
        <v>208</v>
      </c>
      <c r="BS1056" s="1" t="s">
        <v>229</v>
      </c>
      <c r="BT1056" s="1" t="s">
        <v>210</v>
      </c>
      <c r="BX1056" s="1">
        <v>1</v>
      </c>
    </row>
    <row r="1057" spans="1:76" x14ac:dyDescent="0.25">
      <c r="A1057" s="1" t="s">
        <v>4223</v>
      </c>
      <c r="B1057" s="1" t="s">
        <v>203</v>
      </c>
      <c r="C1057" s="1">
        <v>1</v>
      </c>
      <c r="D1057" s="1" t="s">
        <v>4224</v>
      </c>
      <c r="E1057" s="1">
        <v>1397</v>
      </c>
      <c r="F1057" s="1" t="s">
        <v>4223</v>
      </c>
      <c r="G1057" s="1">
        <v>1</v>
      </c>
      <c r="L1057" s="1">
        <v>25000</v>
      </c>
      <c r="N1057" s="1">
        <v>900</v>
      </c>
      <c r="P1057" s="1">
        <v>300</v>
      </c>
      <c r="R1057" s="1">
        <v>20</v>
      </c>
      <c r="Z1057" s="1">
        <v>0.05</v>
      </c>
      <c r="AA1057" s="1">
        <v>3</v>
      </c>
      <c r="AB1057" s="1">
        <v>3</v>
      </c>
      <c r="AC1057" s="1">
        <v>0.9</v>
      </c>
      <c r="AH1057" s="1">
        <v>0</v>
      </c>
      <c r="AI1057" s="1">
        <v>1</v>
      </c>
      <c r="AJ1057" s="1" t="s">
        <v>4225</v>
      </c>
      <c r="AK1057" s="1" t="s">
        <v>4157</v>
      </c>
      <c r="AL1057" s="1" t="s">
        <v>228</v>
      </c>
      <c r="AN1057" s="22" t="s">
        <v>9767</v>
      </c>
      <c r="AX1057" s="1">
        <v>1</v>
      </c>
      <c r="AZ1057" s="1">
        <v>0.1</v>
      </c>
      <c r="BG1057" s="1" t="s">
        <v>4223</v>
      </c>
      <c r="BM1057" s="1" t="s">
        <v>4132</v>
      </c>
      <c r="BQ1057" s="1" t="s">
        <v>207</v>
      </c>
      <c r="BR1057" s="1" t="s">
        <v>208</v>
      </c>
      <c r="BS1057" s="1" t="s">
        <v>229</v>
      </c>
      <c r="BT1057" s="1" t="s">
        <v>210</v>
      </c>
      <c r="BX1057" s="1">
        <v>1</v>
      </c>
    </row>
    <row r="1058" spans="1:76" x14ac:dyDescent="0.25">
      <c r="A1058" s="1" t="s">
        <v>4226</v>
      </c>
      <c r="B1058" s="1" t="s">
        <v>203</v>
      </c>
      <c r="C1058" s="1">
        <v>1</v>
      </c>
      <c r="D1058" s="1" t="s">
        <v>4227</v>
      </c>
      <c r="E1058" s="1">
        <v>1398</v>
      </c>
      <c r="F1058" s="1" t="s">
        <v>4226</v>
      </c>
      <c r="G1058" s="1">
        <v>1</v>
      </c>
      <c r="L1058" s="1">
        <v>25000</v>
      </c>
      <c r="N1058" s="1">
        <v>0</v>
      </c>
      <c r="P1058" s="1">
        <v>0</v>
      </c>
      <c r="R1058" s="1">
        <v>0</v>
      </c>
      <c r="Z1058" s="1">
        <v>0.05</v>
      </c>
      <c r="AA1058" s="1">
        <v>1</v>
      </c>
      <c r="AB1058" s="1">
        <v>0</v>
      </c>
      <c r="AC1058" s="1">
        <v>1</v>
      </c>
      <c r="AH1058" s="1">
        <v>-1</v>
      </c>
      <c r="AI1058" s="1">
        <v>0</v>
      </c>
      <c r="AJ1058" s="1" t="s">
        <v>4228</v>
      </c>
      <c r="AK1058" s="1" t="s">
        <v>3367</v>
      </c>
      <c r="AL1058" s="1" t="s">
        <v>228</v>
      </c>
      <c r="AN1058" s="22" t="s">
        <v>9767</v>
      </c>
      <c r="AX1058" s="1">
        <v>0</v>
      </c>
      <c r="AZ1058" s="1">
        <v>0.1</v>
      </c>
      <c r="BG1058" s="1" t="s">
        <v>4226</v>
      </c>
      <c r="BM1058" s="1" t="s">
        <v>3114</v>
      </c>
      <c r="BQ1058" s="1" t="s">
        <v>2010</v>
      </c>
      <c r="BR1058" s="1" t="s">
        <v>3551</v>
      </c>
      <c r="BS1058" s="1" t="s">
        <v>3551</v>
      </c>
      <c r="BT1058" s="1" t="s">
        <v>3549</v>
      </c>
      <c r="BX1058" s="1">
        <v>1</v>
      </c>
    </row>
    <row r="1059" spans="1:76" x14ac:dyDescent="0.25">
      <c r="A1059" s="1" t="s">
        <v>4229</v>
      </c>
      <c r="B1059" s="1" t="s">
        <v>203</v>
      </c>
      <c r="C1059" s="1">
        <v>1</v>
      </c>
      <c r="D1059" s="1" t="s">
        <v>4230</v>
      </c>
      <c r="E1059" s="1">
        <v>1398</v>
      </c>
      <c r="F1059" s="1" t="s">
        <v>4229</v>
      </c>
      <c r="G1059" s="1">
        <v>1</v>
      </c>
      <c r="L1059" s="1">
        <v>40000</v>
      </c>
      <c r="N1059" s="1">
        <v>0</v>
      </c>
      <c r="P1059" s="1">
        <v>0</v>
      </c>
      <c r="R1059" s="1">
        <v>0</v>
      </c>
      <c r="Z1059" s="1">
        <v>0.05</v>
      </c>
      <c r="AA1059" s="1">
        <v>1</v>
      </c>
      <c r="AB1059" s="1">
        <v>0</v>
      </c>
      <c r="AC1059" s="1">
        <v>1</v>
      </c>
      <c r="AH1059" s="1">
        <v>-1</v>
      </c>
      <c r="AI1059" s="1">
        <v>1</v>
      </c>
      <c r="AJ1059" s="1" t="s">
        <v>4231</v>
      </c>
      <c r="AK1059" s="1" t="s">
        <v>3367</v>
      </c>
      <c r="AL1059" s="1" t="s">
        <v>228</v>
      </c>
      <c r="AN1059" s="22" t="s">
        <v>9767</v>
      </c>
      <c r="AX1059" s="1">
        <v>0</v>
      </c>
      <c r="AZ1059" s="1">
        <v>0.1</v>
      </c>
      <c r="BG1059" s="1" t="s">
        <v>4229</v>
      </c>
      <c r="BM1059" s="1" t="s">
        <v>3114</v>
      </c>
      <c r="BQ1059" s="1" t="s">
        <v>2010</v>
      </c>
      <c r="BR1059" s="1" t="s">
        <v>3551</v>
      </c>
      <c r="BS1059" s="1" t="s">
        <v>3551</v>
      </c>
      <c r="BT1059" s="1" t="s">
        <v>3549</v>
      </c>
      <c r="BX1059" s="1">
        <v>1</v>
      </c>
    </row>
    <row r="1060" spans="1:76" x14ac:dyDescent="0.25">
      <c r="A1060" s="1" t="s">
        <v>4232</v>
      </c>
      <c r="B1060" s="1" t="s">
        <v>203</v>
      </c>
      <c r="C1060" s="1">
        <v>1</v>
      </c>
      <c r="D1060" s="1" t="s">
        <v>4233</v>
      </c>
      <c r="E1060" s="1">
        <v>1399</v>
      </c>
      <c r="F1060" s="1" t="s">
        <v>4232</v>
      </c>
      <c r="G1060" s="1">
        <v>1</v>
      </c>
      <c r="L1060" s="1">
        <v>1</v>
      </c>
      <c r="N1060" s="1">
        <v>1</v>
      </c>
      <c r="P1060" s="1">
        <v>0</v>
      </c>
      <c r="R1060" s="1">
        <v>0</v>
      </c>
      <c r="Z1060" s="1">
        <v>0.05</v>
      </c>
      <c r="AA1060" s="1">
        <v>1</v>
      </c>
      <c r="AB1060" s="1">
        <v>0</v>
      </c>
      <c r="AC1060" s="1">
        <v>1</v>
      </c>
      <c r="AH1060" s="1">
        <v>0</v>
      </c>
      <c r="AI1060" s="1">
        <v>0</v>
      </c>
      <c r="AJ1060" s="1" t="s">
        <v>4234</v>
      </c>
      <c r="AK1060" s="1" t="s">
        <v>3367</v>
      </c>
      <c r="AL1060" s="1" t="s">
        <v>228</v>
      </c>
      <c r="AN1060" s="22" t="s">
        <v>9767</v>
      </c>
      <c r="AP1060" s="1">
        <v>1</v>
      </c>
      <c r="AX1060" s="1">
        <v>0</v>
      </c>
      <c r="AZ1060" s="1">
        <v>0.1</v>
      </c>
      <c r="BG1060" s="1" t="s">
        <v>4232</v>
      </c>
      <c r="BM1060" s="1" t="s">
        <v>1027</v>
      </c>
      <c r="BQ1060" s="1" t="s">
        <v>207</v>
      </c>
      <c r="BR1060" s="1" t="s">
        <v>208</v>
      </c>
      <c r="BS1060" s="1" t="s">
        <v>229</v>
      </c>
      <c r="BT1060" s="1" t="s">
        <v>210</v>
      </c>
      <c r="BX1060" s="1">
        <v>1</v>
      </c>
    </row>
    <row r="1061" spans="1:76" x14ac:dyDescent="0.25">
      <c r="A1061" s="1" t="s">
        <v>4235</v>
      </c>
      <c r="B1061" s="1" t="s">
        <v>203</v>
      </c>
      <c r="C1061" s="1">
        <v>1</v>
      </c>
      <c r="D1061" s="1" t="s">
        <v>4236</v>
      </c>
      <c r="E1061" s="1">
        <v>1399</v>
      </c>
      <c r="F1061" s="1" t="s">
        <v>4235</v>
      </c>
      <c r="G1061" s="1">
        <v>1</v>
      </c>
      <c r="L1061" s="1">
        <v>1</v>
      </c>
      <c r="N1061" s="1">
        <v>1</v>
      </c>
      <c r="P1061" s="1">
        <v>0</v>
      </c>
      <c r="R1061" s="1">
        <v>0</v>
      </c>
      <c r="Z1061" s="1">
        <v>0.05</v>
      </c>
      <c r="AA1061" s="1">
        <v>1</v>
      </c>
      <c r="AB1061" s="1">
        <v>0</v>
      </c>
      <c r="AC1061" s="1">
        <v>1</v>
      </c>
      <c r="AH1061" s="1">
        <v>0</v>
      </c>
      <c r="AI1061" s="1">
        <v>1</v>
      </c>
      <c r="AJ1061" s="1" t="s">
        <v>4237</v>
      </c>
      <c r="AK1061" s="1" t="s">
        <v>3367</v>
      </c>
      <c r="AL1061" s="1" t="s">
        <v>228</v>
      </c>
      <c r="AN1061" s="22" t="s">
        <v>9767</v>
      </c>
      <c r="AP1061" s="1">
        <v>1</v>
      </c>
      <c r="AX1061" s="1">
        <v>1</v>
      </c>
      <c r="AZ1061" s="1">
        <v>0.1</v>
      </c>
      <c r="BG1061" s="1" t="s">
        <v>4235</v>
      </c>
      <c r="BM1061" s="1" t="s">
        <v>1027</v>
      </c>
      <c r="BQ1061" s="1" t="s">
        <v>207</v>
      </c>
      <c r="BR1061" s="1" t="s">
        <v>208</v>
      </c>
      <c r="BS1061" s="1" t="s">
        <v>229</v>
      </c>
      <c r="BT1061" s="1" t="s">
        <v>210</v>
      </c>
      <c r="BX1061" s="1">
        <v>1</v>
      </c>
    </row>
    <row r="1062" spans="1:76" x14ac:dyDescent="0.25">
      <c r="A1062" s="1" t="s">
        <v>4238</v>
      </c>
      <c r="B1062" s="1" t="s">
        <v>203</v>
      </c>
      <c r="C1062" s="1">
        <v>1</v>
      </c>
      <c r="D1062" s="1" t="s">
        <v>4236</v>
      </c>
      <c r="E1062" s="1">
        <v>1399</v>
      </c>
      <c r="F1062" s="1" t="s">
        <v>4235</v>
      </c>
      <c r="G1062" s="1">
        <v>0.01</v>
      </c>
      <c r="L1062" s="1">
        <v>1</v>
      </c>
      <c r="N1062" s="1">
        <v>1</v>
      </c>
      <c r="P1062" s="1">
        <v>0</v>
      </c>
      <c r="R1062" s="1">
        <v>0</v>
      </c>
      <c r="Z1062" s="1">
        <v>0.05</v>
      </c>
      <c r="AA1062" s="1">
        <v>1</v>
      </c>
      <c r="AB1062" s="1">
        <v>0</v>
      </c>
      <c r="AC1062" s="1">
        <v>1</v>
      </c>
      <c r="AH1062" s="1">
        <v>0</v>
      </c>
      <c r="AI1062" s="1">
        <v>1</v>
      </c>
      <c r="AJ1062" s="1" t="s">
        <v>4239</v>
      </c>
      <c r="AK1062" s="1" t="s">
        <v>3367</v>
      </c>
      <c r="AL1062" s="1" t="s">
        <v>228</v>
      </c>
      <c r="AN1062" s="22" t="s">
        <v>9767</v>
      </c>
      <c r="AX1062" s="1">
        <v>1</v>
      </c>
      <c r="AZ1062" s="1">
        <v>0.1</v>
      </c>
      <c r="BG1062" s="1" t="s">
        <v>4235</v>
      </c>
      <c r="BM1062" s="1" t="s">
        <v>1027</v>
      </c>
      <c r="BQ1062" s="1" t="s">
        <v>207</v>
      </c>
      <c r="BR1062" s="1" t="s">
        <v>208</v>
      </c>
      <c r="BS1062" s="1" t="s">
        <v>229</v>
      </c>
      <c r="BT1062" s="1" t="s">
        <v>210</v>
      </c>
      <c r="BX1062" s="1">
        <v>1</v>
      </c>
    </row>
    <row r="1063" spans="1:76" x14ac:dyDescent="0.25">
      <c r="A1063" s="1" t="s">
        <v>4240</v>
      </c>
      <c r="B1063" s="1" t="s">
        <v>203</v>
      </c>
      <c r="C1063" s="1">
        <v>1</v>
      </c>
      <c r="D1063" s="1" t="s">
        <v>4241</v>
      </c>
      <c r="E1063" s="1">
        <v>1401</v>
      </c>
      <c r="F1063" s="1" t="s">
        <v>4240</v>
      </c>
      <c r="G1063" s="1">
        <v>1</v>
      </c>
      <c r="L1063" s="1">
        <v>2500</v>
      </c>
      <c r="N1063" s="1">
        <v>320</v>
      </c>
      <c r="P1063" s="1">
        <v>100</v>
      </c>
      <c r="R1063" s="1">
        <v>20</v>
      </c>
      <c r="Z1063" s="1">
        <v>0.05</v>
      </c>
      <c r="AA1063" s="1">
        <v>1.4</v>
      </c>
      <c r="AB1063" s="1">
        <v>0</v>
      </c>
      <c r="AC1063" s="1">
        <v>1.9</v>
      </c>
      <c r="AH1063" s="1">
        <v>0</v>
      </c>
      <c r="AI1063" s="1">
        <v>1</v>
      </c>
      <c r="AJ1063" s="1" t="s">
        <v>4242</v>
      </c>
      <c r="AK1063" s="1" t="s">
        <v>265</v>
      </c>
      <c r="AL1063" s="1" t="s">
        <v>228</v>
      </c>
      <c r="AN1063" s="22" t="s">
        <v>9767</v>
      </c>
      <c r="AX1063" s="1">
        <v>1</v>
      </c>
      <c r="AZ1063" s="1">
        <v>0.1</v>
      </c>
      <c r="BG1063" s="1" t="s">
        <v>4240</v>
      </c>
      <c r="BM1063" s="1" t="s">
        <v>888</v>
      </c>
      <c r="BQ1063" s="1" t="s">
        <v>207</v>
      </c>
      <c r="BR1063" s="1" t="s">
        <v>208</v>
      </c>
      <c r="BS1063" s="1" t="s">
        <v>229</v>
      </c>
      <c r="BT1063" s="1" t="s">
        <v>210</v>
      </c>
      <c r="BX1063" s="1">
        <v>1</v>
      </c>
    </row>
    <row r="1064" spans="1:76" x14ac:dyDescent="0.25">
      <c r="A1064" s="1" t="s">
        <v>4243</v>
      </c>
      <c r="B1064" s="1" t="s">
        <v>203</v>
      </c>
      <c r="C1064" s="1">
        <v>1</v>
      </c>
      <c r="D1064" s="1" t="s">
        <v>4244</v>
      </c>
      <c r="E1064" s="1">
        <v>1401</v>
      </c>
      <c r="F1064" s="1" t="s">
        <v>4243</v>
      </c>
      <c r="G1064" s="1">
        <v>1</v>
      </c>
      <c r="L1064" s="1">
        <v>3500</v>
      </c>
      <c r="N1064" s="1">
        <v>380</v>
      </c>
      <c r="P1064" s="1">
        <v>100</v>
      </c>
      <c r="R1064" s="1">
        <v>20</v>
      </c>
      <c r="Z1064" s="1">
        <v>0.05</v>
      </c>
      <c r="AA1064" s="1">
        <v>1.4</v>
      </c>
      <c r="AB1064" s="1">
        <v>0</v>
      </c>
      <c r="AC1064" s="1">
        <v>1.9</v>
      </c>
      <c r="AH1064" s="1">
        <v>0</v>
      </c>
      <c r="AI1064" s="1">
        <v>1</v>
      </c>
      <c r="AJ1064" s="1" t="s">
        <v>4245</v>
      </c>
      <c r="AK1064" s="1" t="s">
        <v>265</v>
      </c>
      <c r="AL1064" s="1" t="s">
        <v>228</v>
      </c>
      <c r="AN1064" s="22" t="s">
        <v>9767</v>
      </c>
      <c r="AX1064" s="1">
        <v>1</v>
      </c>
      <c r="AZ1064" s="1">
        <v>0.1</v>
      </c>
      <c r="BG1064" s="1" t="s">
        <v>4243</v>
      </c>
      <c r="BM1064" s="1" t="s">
        <v>888</v>
      </c>
      <c r="BQ1064" s="1" t="s">
        <v>207</v>
      </c>
      <c r="BR1064" s="1" t="s">
        <v>208</v>
      </c>
      <c r="BS1064" s="1" t="s">
        <v>229</v>
      </c>
      <c r="BT1064" s="1" t="s">
        <v>210</v>
      </c>
      <c r="BX1064" s="1">
        <v>1</v>
      </c>
    </row>
    <row r="1065" spans="1:76" x14ac:dyDescent="0.25">
      <c r="A1065" s="1" t="s">
        <v>4246</v>
      </c>
      <c r="B1065" s="1" t="s">
        <v>203</v>
      </c>
      <c r="C1065" s="1">
        <v>1</v>
      </c>
      <c r="D1065" s="1" t="s">
        <v>4247</v>
      </c>
      <c r="E1065" s="1">
        <v>1402</v>
      </c>
      <c r="F1065" s="1" t="s">
        <v>4246</v>
      </c>
      <c r="G1065" s="1">
        <v>1</v>
      </c>
      <c r="L1065" s="1">
        <v>11000</v>
      </c>
      <c r="N1065" s="1">
        <v>600</v>
      </c>
      <c r="P1065" s="1">
        <v>1200</v>
      </c>
      <c r="R1065" s="1">
        <v>0</v>
      </c>
      <c r="Z1065" s="1">
        <v>0.05</v>
      </c>
      <c r="AA1065" s="1">
        <v>3</v>
      </c>
      <c r="AB1065" s="1">
        <v>4</v>
      </c>
      <c r="AC1065" s="1">
        <v>0.7</v>
      </c>
      <c r="AH1065" s="1">
        <v>0</v>
      </c>
      <c r="AI1065" s="1">
        <v>1</v>
      </c>
      <c r="AJ1065" s="1" t="s">
        <v>4248</v>
      </c>
      <c r="AK1065" s="1" t="s">
        <v>4249</v>
      </c>
      <c r="AL1065" s="1" t="s">
        <v>228</v>
      </c>
      <c r="AN1065" s="22" t="s">
        <v>9767</v>
      </c>
      <c r="AX1065" s="1">
        <v>1</v>
      </c>
      <c r="AZ1065" s="1">
        <v>0.1</v>
      </c>
      <c r="BG1065" s="1" t="s">
        <v>4246</v>
      </c>
      <c r="BM1065" s="1" t="s">
        <v>989</v>
      </c>
      <c r="BQ1065" s="1" t="s">
        <v>207</v>
      </c>
      <c r="BR1065" s="1" t="s">
        <v>208</v>
      </c>
      <c r="BS1065" s="1" t="s">
        <v>229</v>
      </c>
      <c r="BT1065" s="1" t="s">
        <v>210</v>
      </c>
      <c r="BX1065" s="1">
        <v>1</v>
      </c>
    </row>
    <row r="1066" spans="1:76" x14ac:dyDescent="0.25">
      <c r="A1066" s="1" t="s">
        <v>4250</v>
      </c>
      <c r="B1066" s="1" t="s">
        <v>203</v>
      </c>
      <c r="C1066" s="1">
        <v>1</v>
      </c>
      <c r="D1066" s="1" t="s">
        <v>4251</v>
      </c>
      <c r="E1066" s="1">
        <v>1402</v>
      </c>
      <c r="F1066" s="1" t="s">
        <v>4250</v>
      </c>
      <c r="G1066" s="1">
        <v>1</v>
      </c>
      <c r="L1066" s="1">
        <v>13000</v>
      </c>
      <c r="N1066" s="1">
        <v>700</v>
      </c>
      <c r="P1066" s="1">
        <v>1500</v>
      </c>
      <c r="R1066" s="1">
        <v>0</v>
      </c>
      <c r="Z1066" s="1">
        <v>0.05</v>
      </c>
      <c r="AA1066" s="1">
        <v>3</v>
      </c>
      <c r="AB1066" s="1">
        <v>4</v>
      </c>
      <c r="AC1066" s="1">
        <v>0.7</v>
      </c>
      <c r="AH1066" s="1">
        <v>0</v>
      </c>
      <c r="AI1066" s="1">
        <v>1</v>
      </c>
      <c r="AJ1066" s="1" t="s">
        <v>4252</v>
      </c>
      <c r="AK1066" s="1" t="s">
        <v>4249</v>
      </c>
      <c r="AL1066" s="1" t="s">
        <v>228</v>
      </c>
      <c r="AN1066" s="22" t="s">
        <v>9767</v>
      </c>
      <c r="AX1066" s="1">
        <v>1</v>
      </c>
      <c r="AZ1066" s="1">
        <v>0.1</v>
      </c>
      <c r="BG1066" s="1" t="s">
        <v>4250</v>
      </c>
      <c r="BM1066" s="1" t="s">
        <v>989</v>
      </c>
      <c r="BQ1066" s="1" t="s">
        <v>207</v>
      </c>
      <c r="BR1066" s="1" t="s">
        <v>208</v>
      </c>
      <c r="BS1066" s="1" t="s">
        <v>229</v>
      </c>
      <c r="BT1066" s="1" t="s">
        <v>210</v>
      </c>
      <c r="BX1066" s="1">
        <v>1</v>
      </c>
    </row>
    <row r="1067" spans="1:76" x14ac:dyDescent="0.25">
      <c r="A1067" s="1" t="s">
        <v>4253</v>
      </c>
      <c r="B1067" s="1" t="s">
        <v>203</v>
      </c>
      <c r="C1067" s="1">
        <v>1</v>
      </c>
      <c r="D1067" s="1" t="s">
        <v>4254</v>
      </c>
      <c r="E1067" s="1">
        <v>1403</v>
      </c>
      <c r="F1067" s="1" t="s">
        <v>4253</v>
      </c>
      <c r="G1067" s="1">
        <v>1</v>
      </c>
      <c r="L1067" s="1">
        <v>4500</v>
      </c>
      <c r="N1067" s="1">
        <v>300</v>
      </c>
      <c r="P1067" s="1">
        <v>180</v>
      </c>
      <c r="R1067" s="1">
        <v>10</v>
      </c>
      <c r="Z1067" s="1">
        <v>0.05</v>
      </c>
      <c r="AA1067" s="1">
        <v>2</v>
      </c>
      <c r="AB1067" s="1">
        <v>1</v>
      </c>
      <c r="AC1067" s="1">
        <v>0.9</v>
      </c>
      <c r="AH1067" s="1">
        <v>0</v>
      </c>
      <c r="AI1067" s="1">
        <v>1</v>
      </c>
      <c r="AJ1067" s="1" t="s">
        <v>4255</v>
      </c>
      <c r="AK1067" s="1" t="s">
        <v>3374</v>
      </c>
      <c r="AL1067" s="1" t="s">
        <v>228</v>
      </c>
      <c r="AN1067" s="22" t="s">
        <v>9767</v>
      </c>
      <c r="AX1067" s="1">
        <v>1</v>
      </c>
      <c r="AZ1067" s="1">
        <v>0.1</v>
      </c>
      <c r="BG1067" s="1" t="s">
        <v>4253</v>
      </c>
      <c r="BM1067" s="1" t="s">
        <v>936</v>
      </c>
      <c r="BQ1067" s="1" t="s">
        <v>207</v>
      </c>
      <c r="BR1067" s="1" t="s">
        <v>208</v>
      </c>
      <c r="BS1067" s="1" t="s">
        <v>229</v>
      </c>
      <c r="BT1067" s="1" t="s">
        <v>210</v>
      </c>
      <c r="BX1067" s="1">
        <v>1</v>
      </c>
    </row>
    <row r="1068" spans="1:76" x14ac:dyDescent="0.25">
      <c r="A1068" s="1" t="s">
        <v>4256</v>
      </c>
      <c r="B1068" s="1" t="s">
        <v>203</v>
      </c>
      <c r="C1068" s="1">
        <v>1</v>
      </c>
      <c r="D1068" s="1" t="s">
        <v>4257</v>
      </c>
      <c r="E1068" s="1">
        <v>1403</v>
      </c>
      <c r="F1068" s="1" t="s">
        <v>4256</v>
      </c>
      <c r="G1068" s="1">
        <v>1</v>
      </c>
      <c r="L1068" s="1">
        <v>5500</v>
      </c>
      <c r="N1068" s="1">
        <v>400</v>
      </c>
      <c r="P1068" s="1">
        <v>250</v>
      </c>
      <c r="R1068" s="1">
        <v>10</v>
      </c>
      <c r="Z1068" s="1">
        <v>0.05</v>
      </c>
      <c r="AA1068" s="1">
        <v>2</v>
      </c>
      <c r="AB1068" s="1">
        <v>1</v>
      </c>
      <c r="AC1068" s="1">
        <v>0.9</v>
      </c>
      <c r="AH1068" s="1">
        <v>0</v>
      </c>
      <c r="AI1068" s="1">
        <v>1</v>
      </c>
      <c r="AJ1068" s="1" t="s">
        <v>4258</v>
      </c>
      <c r="AK1068" s="1" t="s">
        <v>3374</v>
      </c>
      <c r="AL1068" s="1" t="s">
        <v>228</v>
      </c>
      <c r="AN1068" s="22" t="s">
        <v>9767</v>
      </c>
      <c r="AX1068" s="1">
        <v>1</v>
      </c>
      <c r="AZ1068" s="1">
        <v>0.1</v>
      </c>
      <c r="BG1068" s="1" t="s">
        <v>4256</v>
      </c>
      <c r="BM1068" s="1" t="s">
        <v>936</v>
      </c>
      <c r="BQ1068" s="1" t="s">
        <v>207</v>
      </c>
      <c r="BR1068" s="1" t="s">
        <v>208</v>
      </c>
      <c r="BS1068" s="1" t="s">
        <v>229</v>
      </c>
      <c r="BT1068" s="1" t="s">
        <v>210</v>
      </c>
      <c r="BX1068" s="1">
        <v>1</v>
      </c>
    </row>
    <row r="1069" spans="1:76" x14ac:dyDescent="0.25">
      <c r="A1069" s="1" t="s">
        <v>4259</v>
      </c>
      <c r="B1069" s="1" t="s">
        <v>203</v>
      </c>
      <c r="C1069" s="1">
        <v>1</v>
      </c>
      <c r="D1069" s="1" t="s">
        <v>4260</v>
      </c>
      <c r="E1069" s="1">
        <v>1404</v>
      </c>
      <c r="F1069" s="1" t="s">
        <v>4259</v>
      </c>
      <c r="G1069" s="1">
        <v>1</v>
      </c>
      <c r="L1069" s="1">
        <v>6000</v>
      </c>
      <c r="N1069" s="1">
        <v>400</v>
      </c>
      <c r="P1069" s="1">
        <v>180</v>
      </c>
      <c r="R1069" s="1">
        <v>60</v>
      </c>
      <c r="Z1069" s="1">
        <v>0.05</v>
      </c>
      <c r="AA1069" s="1">
        <v>3.5</v>
      </c>
      <c r="AB1069" s="1">
        <v>1</v>
      </c>
      <c r="AC1069" s="1">
        <v>0.7</v>
      </c>
      <c r="AH1069" s="1">
        <v>0</v>
      </c>
      <c r="AI1069" s="1">
        <v>1</v>
      </c>
      <c r="AJ1069" s="1" t="s">
        <v>4261</v>
      </c>
      <c r="AK1069" s="1" t="s">
        <v>3374</v>
      </c>
      <c r="AL1069" s="1" t="s">
        <v>228</v>
      </c>
      <c r="AN1069" s="22" t="s">
        <v>9767</v>
      </c>
      <c r="AX1069" s="1">
        <v>1</v>
      </c>
      <c r="AZ1069" s="1">
        <v>0.1</v>
      </c>
      <c r="BG1069" s="1" t="s">
        <v>4259</v>
      </c>
      <c r="BM1069" s="1" t="s">
        <v>936</v>
      </c>
      <c r="BQ1069" s="1" t="s">
        <v>207</v>
      </c>
      <c r="BR1069" s="1" t="s">
        <v>208</v>
      </c>
      <c r="BS1069" s="1" t="s">
        <v>229</v>
      </c>
      <c r="BT1069" s="1" t="s">
        <v>210</v>
      </c>
      <c r="BX1069" s="1">
        <v>1</v>
      </c>
    </row>
    <row r="1070" spans="1:76" x14ac:dyDescent="0.25">
      <c r="A1070" s="1" t="s">
        <v>4262</v>
      </c>
      <c r="B1070" s="1" t="s">
        <v>203</v>
      </c>
      <c r="C1070" s="1">
        <v>1</v>
      </c>
      <c r="D1070" s="1" t="s">
        <v>4263</v>
      </c>
      <c r="E1070" s="1">
        <v>1404</v>
      </c>
      <c r="F1070" s="1" t="s">
        <v>4262</v>
      </c>
      <c r="G1070" s="1">
        <v>1</v>
      </c>
      <c r="L1070" s="1">
        <v>7000</v>
      </c>
      <c r="N1070" s="1">
        <v>500</v>
      </c>
      <c r="P1070" s="1">
        <v>250</v>
      </c>
      <c r="R1070" s="1">
        <v>60</v>
      </c>
      <c r="Z1070" s="1">
        <v>0.05</v>
      </c>
      <c r="AA1070" s="1">
        <v>3.5</v>
      </c>
      <c r="AB1070" s="1">
        <v>1</v>
      </c>
      <c r="AC1070" s="1">
        <v>0.7</v>
      </c>
      <c r="AH1070" s="1">
        <v>0</v>
      </c>
      <c r="AI1070" s="1">
        <v>1</v>
      </c>
      <c r="AJ1070" s="1" t="s">
        <v>4264</v>
      </c>
      <c r="AK1070" s="1" t="s">
        <v>3374</v>
      </c>
      <c r="AL1070" s="1" t="s">
        <v>228</v>
      </c>
      <c r="AN1070" s="22" t="s">
        <v>9767</v>
      </c>
      <c r="AX1070" s="1">
        <v>1</v>
      </c>
      <c r="AZ1070" s="1">
        <v>0.1</v>
      </c>
      <c r="BG1070" s="1" t="s">
        <v>4262</v>
      </c>
      <c r="BM1070" s="1" t="s">
        <v>936</v>
      </c>
      <c r="BQ1070" s="1" t="s">
        <v>207</v>
      </c>
      <c r="BR1070" s="1" t="s">
        <v>208</v>
      </c>
      <c r="BS1070" s="1" t="s">
        <v>229</v>
      </c>
      <c r="BT1070" s="1" t="s">
        <v>210</v>
      </c>
      <c r="BX1070" s="1">
        <v>1</v>
      </c>
    </row>
    <row r="1071" spans="1:76" x14ac:dyDescent="0.25">
      <c r="A1071" s="1" t="s">
        <v>4265</v>
      </c>
      <c r="B1071" s="1" t="s">
        <v>203</v>
      </c>
      <c r="C1071" s="1">
        <v>1</v>
      </c>
      <c r="D1071" s="1" t="s">
        <v>4266</v>
      </c>
      <c r="E1071" s="1">
        <v>1405</v>
      </c>
      <c r="F1071" s="1" t="s">
        <v>4265</v>
      </c>
      <c r="G1071" s="1">
        <v>1</v>
      </c>
      <c r="L1071" s="1">
        <v>4000</v>
      </c>
      <c r="N1071" s="1">
        <v>450</v>
      </c>
      <c r="P1071" s="1">
        <v>700</v>
      </c>
      <c r="R1071" s="1">
        <v>60</v>
      </c>
      <c r="Z1071" s="1">
        <v>0.05</v>
      </c>
      <c r="AA1071" s="1">
        <v>2.8</v>
      </c>
      <c r="AB1071" s="1">
        <v>1</v>
      </c>
      <c r="AC1071" s="1">
        <v>0.65</v>
      </c>
      <c r="AH1071" s="1">
        <v>0</v>
      </c>
      <c r="AI1071" s="1">
        <v>1</v>
      </c>
      <c r="AJ1071" s="1" t="s">
        <v>4267</v>
      </c>
      <c r="AK1071" s="1" t="s">
        <v>265</v>
      </c>
      <c r="AL1071" s="1" t="s">
        <v>228</v>
      </c>
      <c r="AN1071" s="22" t="s">
        <v>9767</v>
      </c>
      <c r="AX1071" s="1">
        <v>1</v>
      </c>
      <c r="AZ1071" s="1">
        <v>0.1</v>
      </c>
      <c r="BG1071" s="1" t="s">
        <v>4265</v>
      </c>
      <c r="BM1071" s="1" t="s">
        <v>930</v>
      </c>
      <c r="BQ1071" s="1" t="s">
        <v>207</v>
      </c>
      <c r="BR1071" s="1" t="s">
        <v>271</v>
      </c>
      <c r="BS1071" s="1" t="s">
        <v>1612</v>
      </c>
      <c r="BT1071" s="1" t="s">
        <v>3196</v>
      </c>
      <c r="BX1071" s="1">
        <v>1</v>
      </c>
    </row>
    <row r="1072" spans="1:76" x14ac:dyDescent="0.25">
      <c r="A1072" s="1" t="s">
        <v>4268</v>
      </c>
      <c r="B1072" s="1" t="s">
        <v>203</v>
      </c>
      <c r="C1072" s="1">
        <v>1</v>
      </c>
      <c r="D1072" s="1" t="s">
        <v>4269</v>
      </c>
      <c r="E1072" s="1">
        <v>1405</v>
      </c>
      <c r="F1072" s="1" t="s">
        <v>4268</v>
      </c>
      <c r="G1072" s="1">
        <v>1</v>
      </c>
      <c r="L1072" s="1">
        <v>5000</v>
      </c>
      <c r="N1072" s="1">
        <v>550</v>
      </c>
      <c r="P1072" s="1">
        <v>900</v>
      </c>
      <c r="R1072" s="1">
        <v>60</v>
      </c>
      <c r="Z1072" s="1">
        <v>0.05</v>
      </c>
      <c r="AA1072" s="1">
        <v>2.8</v>
      </c>
      <c r="AB1072" s="1">
        <v>1</v>
      </c>
      <c r="AC1072" s="1">
        <v>0.65</v>
      </c>
      <c r="AH1072" s="1">
        <v>0</v>
      </c>
      <c r="AI1072" s="1">
        <v>1</v>
      </c>
      <c r="AJ1072" s="1" t="s">
        <v>4270</v>
      </c>
      <c r="AK1072" s="1" t="s">
        <v>265</v>
      </c>
      <c r="AL1072" s="1" t="s">
        <v>228</v>
      </c>
      <c r="AN1072" s="22" t="s">
        <v>9767</v>
      </c>
      <c r="AX1072" s="1">
        <v>1</v>
      </c>
      <c r="AZ1072" s="1">
        <v>0.1</v>
      </c>
      <c r="BG1072" s="1" t="s">
        <v>4268</v>
      </c>
      <c r="BM1072" s="1" t="s">
        <v>930</v>
      </c>
      <c r="BQ1072" s="1" t="s">
        <v>207</v>
      </c>
      <c r="BR1072" s="1" t="s">
        <v>271</v>
      </c>
      <c r="BS1072" s="1" t="s">
        <v>1612</v>
      </c>
      <c r="BT1072" s="1" t="s">
        <v>3196</v>
      </c>
      <c r="BX1072" s="1">
        <v>1</v>
      </c>
    </row>
    <row r="1073" spans="1:76" x14ac:dyDescent="0.25">
      <c r="A1073" s="1" t="s">
        <v>4271</v>
      </c>
      <c r="B1073" s="1" t="s">
        <v>203</v>
      </c>
      <c r="C1073" s="1">
        <v>1</v>
      </c>
      <c r="D1073" s="1" t="s">
        <v>4272</v>
      </c>
      <c r="E1073" s="1">
        <v>1406</v>
      </c>
      <c r="F1073" s="1" t="s">
        <v>4271</v>
      </c>
      <c r="G1073" s="1">
        <v>1</v>
      </c>
      <c r="L1073" s="1">
        <v>15000</v>
      </c>
      <c r="N1073" s="1">
        <v>1350</v>
      </c>
      <c r="P1073" s="1">
        <v>1000</v>
      </c>
      <c r="R1073" s="1">
        <v>0</v>
      </c>
      <c r="Z1073" s="1">
        <v>0.05</v>
      </c>
      <c r="AA1073" s="1">
        <v>5</v>
      </c>
      <c r="AB1073" s="1">
        <v>4</v>
      </c>
      <c r="AC1073" s="1">
        <v>0.8</v>
      </c>
      <c r="AH1073" s="1">
        <v>0</v>
      </c>
      <c r="AI1073" s="1">
        <v>1</v>
      </c>
      <c r="AJ1073" s="1" t="s">
        <v>4273</v>
      </c>
      <c r="AK1073" s="1" t="s">
        <v>265</v>
      </c>
      <c r="AL1073" s="1" t="s">
        <v>228</v>
      </c>
      <c r="AN1073" s="22" t="s">
        <v>9767</v>
      </c>
      <c r="AX1073" s="1">
        <v>1</v>
      </c>
      <c r="AZ1073" s="1">
        <v>0.1</v>
      </c>
      <c r="BG1073" s="1" t="s">
        <v>4271</v>
      </c>
      <c r="BM1073" s="1" t="s">
        <v>989</v>
      </c>
      <c r="BQ1073" s="1" t="s">
        <v>207</v>
      </c>
      <c r="BR1073" s="1" t="s">
        <v>208</v>
      </c>
      <c r="BS1073" s="1" t="s">
        <v>229</v>
      </c>
      <c r="BT1073" s="1" t="s">
        <v>210</v>
      </c>
      <c r="BX1073" s="1">
        <v>1</v>
      </c>
    </row>
    <row r="1074" spans="1:76" x14ac:dyDescent="0.25">
      <c r="A1074" s="1" t="s">
        <v>4274</v>
      </c>
      <c r="B1074" s="1" t="s">
        <v>203</v>
      </c>
      <c r="C1074" s="1">
        <v>1</v>
      </c>
      <c r="D1074" s="1" t="s">
        <v>4275</v>
      </c>
      <c r="E1074" s="1">
        <v>1406</v>
      </c>
      <c r="F1074" s="1" t="s">
        <v>4274</v>
      </c>
      <c r="G1074" s="1">
        <v>1</v>
      </c>
      <c r="L1074" s="1">
        <v>20000</v>
      </c>
      <c r="N1074" s="1">
        <v>1750</v>
      </c>
      <c r="P1074" s="1">
        <v>1000</v>
      </c>
      <c r="R1074" s="1">
        <v>0</v>
      </c>
      <c r="Z1074" s="1">
        <v>0.05</v>
      </c>
      <c r="AA1074" s="1">
        <v>5</v>
      </c>
      <c r="AB1074" s="1">
        <v>4</v>
      </c>
      <c r="AC1074" s="1">
        <v>0.8</v>
      </c>
      <c r="AH1074" s="1">
        <v>0</v>
      </c>
      <c r="AI1074" s="1">
        <v>1</v>
      </c>
      <c r="AJ1074" s="1" t="s">
        <v>4276</v>
      </c>
      <c r="AK1074" s="1" t="s">
        <v>265</v>
      </c>
      <c r="AL1074" s="1" t="s">
        <v>228</v>
      </c>
      <c r="AN1074" s="22" t="s">
        <v>9767</v>
      </c>
      <c r="AX1074" s="1">
        <v>1</v>
      </c>
      <c r="AZ1074" s="1">
        <v>0.1</v>
      </c>
      <c r="BG1074" s="1" t="s">
        <v>4274</v>
      </c>
      <c r="BM1074" s="1" t="s">
        <v>989</v>
      </c>
      <c r="BQ1074" s="1" t="s">
        <v>207</v>
      </c>
      <c r="BR1074" s="1" t="s">
        <v>208</v>
      </c>
      <c r="BS1074" s="1" t="s">
        <v>229</v>
      </c>
      <c r="BT1074" s="1" t="s">
        <v>210</v>
      </c>
      <c r="BX1074" s="1">
        <v>1</v>
      </c>
    </row>
    <row r="1075" spans="1:76" x14ac:dyDescent="0.25">
      <c r="A1075" s="1" t="s">
        <v>4277</v>
      </c>
      <c r="B1075" s="1" t="s">
        <v>203</v>
      </c>
      <c r="C1075" s="1">
        <v>1</v>
      </c>
      <c r="D1075" s="1" t="s">
        <v>4278</v>
      </c>
      <c r="E1075" s="1" t="s">
        <v>4279</v>
      </c>
      <c r="F1075" s="1" t="s">
        <v>4277</v>
      </c>
      <c r="G1075" s="1">
        <v>1</v>
      </c>
      <c r="L1075" s="1">
        <v>4500</v>
      </c>
      <c r="N1075" s="1">
        <v>250</v>
      </c>
      <c r="P1075" s="1">
        <v>120</v>
      </c>
      <c r="R1075" s="1">
        <v>20</v>
      </c>
      <c r="Z1075" s="1">
        <v>0.05</v>
      </c>
      <c r="AA1075" s="1">
        <v>3</v>
      </c>
      <c r="AB1075" s="1">
        <v>1</v>
      </c>
      <c r="AC1075" s="1">
        <v>0.7</v>
      </c>
      <c r="AH1075" s="1">
        <v>0</v>
      </c>
      <c r="AI1075" s="1">
        <v>1</v>
      </c>
      <c r="AJ1075" s="1" t="s">
        <v>4280</v>
      </c>
      <c r="AK1075" s="1" t="s">
        <v>206</v>
      </c>
      <c r="AL1075" s="1" t="s">
        <v>228</v>
      </c>
      <c r="AN1075" s="22" t="s">
        <v>9767</v>
      </c>
      <c r="AP1075" s="1">
        <v>1</v>
      </c>
      <c r="AX1075" s="1">
        <v>1</v>
      </c>
      <c r="AZ1075" s="1">
        <v>0.1</v>
      </c>
      <c r="BG1075" s="1" t="s">
        <v>4277</v>
      </c>
      <c r="BM1075" s="1" t="s">
        <v>1027</v>
      </c>
      <c r="BN1075" s="1" t="s">
        <v>4281</v>
      </c>
      <c r="BQ1075" s="1" t="s">
        <v>207</v>
      </c>
      <c r="BR1075" s="1" t="s">
        <v>208</v>
      </c>
      <c r="BS1075" s="1" t="s">
        <v>229</v>
      </c>
      <c r="BT1075" s="1" t="s">
        <v>210</v>
      </c>
      <c r="BX1075" s="1">
        <v>1</v>
      </c>
    </row>
    <row r="1076" spans="1:76" x14ac:dyDescent="0.25">
      <c r="A1076" s="1" t="s">
        <v>4282</v>
      </c>
      <c r="B1076" s="1" t="s">
        <v>203</v>
      </c>
      <c r="C1076" s="1">
        <v>1</v>
      </c>
      <c r="D1076" s="1" t="s">
        <v>4283</v>
      </c>
      <c r="E1076" s="1" t="s">
        <v>4279</v>
      </c>
      <c r="F1076" s="1" t="s">
        <v>4282</v>
      </c>
      <c r="G1076" s="1">
        <v>1</v>
      </c>
      <c r="L1076" s="1">
        <v>5500</v>
      </c>
      <c r="N1076" s="1">
        <v>350</v>
      </c>
      <c r="P1076" s="1">
        <v>180</v>
      </c>
      <c r="R1076" s="1">
        <v>20</v>
      </c>
      <c r="Z1076" s="1">
        <v>0.05</v>
      </c>
      <c r="AA1076" s="1">
        <v>3</v>
      </c>
      <c r="AB1076" s="1">
        <v>1</v>
      </c>
      <c r="AC1076" s="1">
        <v>0.7</v>
      </c>
      <c r="AH1076" s="1">
        <v>0</v>
      </c>
      <c r="AI1076" s="1">
        <v>1</v>
      </c>
      <c r="AJ1076" s="1" t="s">
        <v>4284</v>
      </c>
      <c r="AK1076" s="1" t="s">
        <v>206</v>
      </c>
      <c r="AL1076" s="1" t="s">
        <v>228</v>
      </c>
      <c r="AN1076" s="22" t="s">
        <v>9767</v>
      </c>
      <c r="AP1076" s="1">
        <v>1</v>
      </c>
      <c r="AX1076" s="1">
        <v>1</v>
      </c>
      <c r="AZ1076" s="1">
        <v>0.1</v>
      </c>
      <c r="BG1076" s="1" t="s">
        <v>4282</v>
      </c>
      <c r="BM1076" s="1" t="s">
        <v>1027</v>
      </c>
      <c r="BN1076" s="1" t="s">
        <v>4281</v>
      </c>
      <c r="BQ1076" s="1" t="s">
        <v>207</v>
      </c>
      <c r="BR1076" s="1" t="s">
        <v>208</v>
      </c>
      <c r="BS1076" s="1" t="s">
        <v>229</v>
      </c>
      <c r="BT1076" s="1" t="s">
        <v>210</v>
      </c>
      <c r="BX1076" s="1">
        <v>1</v>
      </c>
    </row>
    <row r="1077" spans="1:76" x14ac:dyDescent="0.25">
      <c r="A1077" s="1" t="s">
        <v>4285</v>
      </c>
      <c r="B1077" s="1" t="s">
        <v>203</v>
      </c>
      <c r="C1077" s="1">
        <v>1</v>
      </c>
      <c r="D1077" s="1" t="s">
        <v>4286</v>
      </c>
      <c r="E1077" s="1" t="s">
        <v>4287</v>
      </c>
      <c r="F1077" s="1" t="s">
        <v>4285</v>
      </c>
      <c r="G1077" s="1">
        <v>1</v>
      </c>
      <c r="L1077" s="1">
        <v>8000</v>
      </c>
      <c r="N1077" s="1">
        <v>400</v>
      </c>
      <c r="P1077" s="1">
        <v>450</v>
      </c>
      <c r="R1077" s="1">
        <v>20</v>
      </c>
      <c r="Z1077" s="1">
        <v>0.05</v>
      </c>
      <c r="AA1077" s="1">
        <v>4.5</v>
      </c>
      <c r="AB1077" s="1">
        <v>2</v>
      </c>
      <c r="AC1077" s="1">
        <v>0.6</v>
      </c>
      <c r="AH1077" s="1">
        <v>0</v>
      </c>
      <c r="AI1077" s="1">
        <v>1</v>
      </c>
      <c r="AJ1077" s="1" t="s">
        <v>4288</v>
      </c>
      <c r="AK1077" s="1" t="s">
        <v>4289</v>
      </c>
      <c r="AL1077" s="1" t="s">
        <v>228</v>
      </c>
      <c r="AN1077" s="22" t="s">
        <v>9767</v>
      </c>
      <c r="AX1077" s="1">
        <v>1</v>
      </c>
      <c r="AZ1077" s="1">
        <v>0.1</v>
      </c>
      <c r="BG1077" s="1" t="s">
        <v>4285</v>
      </c>
      <c r="BM1077" s="1" t="s">
        <v>936</v>
      </c>
      <c r="BN1077" s="1" t="s">
        <v>975</v>
      </c>
      <c r="BQ1077" s="1" t="s">
        <v>207</v>
      </c>
      <c r="BR1077" s="1" t="s">
        <v>271</v>
      </c>
      <c r="BS1077" s="1" t="s">
        <v>229</v>
      </c>
      <c r="BT1077" s="1" t="s">
        <v>210</v>
      </c>
      <c r="BX1077" s="1">
        <v>1</v>
      </c>
    </row>
    <row r="1078" spans="1:76" x14ac:dyDescent="0.25">
      <c r="A1078" s="1" t="s">
        <v>4290</v>
      </c>
      <c r="B1078" s="1" t="s">
        <v>203</v>
      </c>
      <c r="C1078" s="1">
        <v>1</v>
      </c>
      <c r="D1078" s="1" t="s">
        <v>4291</v>
      </c>
      <c r="E1078" s="1" t="s">
        <v>4287</v>
      </c>
      <c r="F1078" s="1" t="s">
        <v>4290</v>
      </c>
      <c r="G1078" s="1">
        <v>1</v>
      </c>
      <c r="L1078" s="1">
        <v>9000</v>
      </c>
      <c r="N1078" s="1">
        <v>500</v>
      </c>
      <c r="P1078" s="1">
        <v>450</v>
      </c>
      <c r="R1078" s="1">
        <v>20</v>
      </c>
      <c r="Z1078" s="1">
        <v>0.05</v>
      </c>
      <c r="AA1078" s="1">
        <v>4.5</v>
      </c>
      <c r="AB1078" s="1">
        <v>2</v>
      </c>
      <c r="AC1078" s="1">
        <v>0.6</v>
      </c>
      <c r="AH1078" s="1">
        <v>0</v>
      </c>
      <c r="AI1078" s="1">
        <v>1</v>
      </c>
      <c r="AJ1078" s="1" t="s">
        <v>4292</v>
      </c>
      <c r="AK1078" s="1" t="s">
        <v>4289</v>
      </c>
      <c r="AL1078" s="1" t="s">
        <v>228</v>
      </c>
      <c r="AN1078" s="22" t="s">
        <v>9767</v>
      </c>
      <c r="AX1078" s="1">
        <v>1</v>
      </c>
      <c r="AZ1078" s="1">
        <v>0.1</v>
      </c>
      <c r="BG1078" s="1" t="s">
        <v>4290</v>
      </c>
      <c r="BM1078" s="1" t="s">
        <v>936</v>
      </c>
      <c r="BN1078" s="1" t="s">
        <v>975</v>
      </c>
      <c r="BQ1078" s="1" t="s">
        <v>207</v>
      </c>
      <c r="BR1078" s="1" t="s">
        <v>271</v>
      </c>
      <c r="BS1078" s="1" t="s">
        <v>229</v>
      </c>
      <c r="BT1078" s="1" t="s">
        <v>210</v>
      </c>
      <c r="BX1078" s="1">
        <v>1</v>
      </c>
    </row>
    <row r="1079" spans="1:76" x14ac:dyDescent="0.25">
      <c r="A1079" s="1" t="s">
        <v>4293</v>
      </c>
      <c r="B1079" s="1" t="s">
        <v>203</v>
      </c>
      <c r="C1079" s="1">
        <v>1</v>
      </c>
      <c r="D1079" s="1" t="s">
        <v>4294</v>
      </c>
      <c r="E1079" s="1">
        <v>1409</v>
      </c>
      <c r="F1079" s="1" t="s">
        <v>4293</v>
      </c>
      <c r="G1079" s="1">
        <v>1</v>
      </c>
      <c r="L1079" s="1">
        <v>18000</v>
      </c>
      <c r="N1079" s="1">
        <v>1100</v>
      </c>
      <c r="P1079" s="1">
        <v>1000</v>
      </c>
      <c r="R1079" s="1">
        <v>30</v>
      </c>
      <c r="Z1079" s="1">
        <v>0.05</v>
      </c>
      <c r="AA1079" s="1">
        <v>4</v>
      </c>
      <c r="AB1079" s="1">
        <v>3</v>
      </c>
      <c r="AC1079" s="1">
        <v>0.8</v>
      </c>
      <c r="AH1079" s="1">
        <v>0</v>
      </c>
      <c r="AI1079" s="1">
        <v>1</v>
      </c>
      <c r="AJ1079" s="1" t="s">
        <v>4295</v>
      </c>
      <c r="AK1079" s="1" t="s">
        <v>265</v>
      </c>
      <c r="AL1079" s="1" t="s">
        <v>228</v>
      </c>
      <c r="AN1079" s="22" t="s">
        <v>9767</v>
      </c>
      <c r="AX1079" s="1">
        <v>1</v>
      </c>
      <c r="AZ1079" s="1">
        <v>0.1</v>
      </c>
      <c r="BG1079" s="1" t="s">
        <v>4293</v>
      </c>
      <c r="BM1079" s="1" t="s">
        <v>989</v>
      </c>
      <c r="BQ1079" s="1" t="s">
        <v>207</v>
      </c>
      <c r="BR1079" s="1" t="s">
        <v>208</v>
      </c>
      <c r="BS1079" s="1" t="s">
        <v>229</v>
      </c>
      <c r="BT1079" s="1" t="s">
        <v>210</v>
      </c>
      <c r="BX1079" s="1">
        <v>1</v>
      </c>
    </row>
    <row r="1080" spans="1:76" x14ac:dyDescent="0.25">
      <c r="A1080" s="1" t="s">
        <v>4296</v>
      </c>
      <c r="B1080" s="1" t="s">
        <v>203</v>
      </c>
      <c r="C1080" s="1">
        <v>1</v>
      </c>
      <c r="D1080" s="1" t="s">
        <v>4297</v>
      </c>
      <c r="E1080" s="1">
        <v>1409</v>
      </c>
      <c r="F1080" s="1" t="s">
        <v>4296</v>
      </c>
      <c r="G1080" s="1">
        <v>1</v>
      </c>
      <c r="L1080" s="1">
        <v>25000</v>
      </c>
      <c r="N1080" s="1">
        <v>1300</v>
      </c>
      <c r="P1080" s="1">
        <v>1200</v>
      </c>
      <c r="R1080" s="1">
        <v>30</v>
      </c>
      <c r="Z1080" s="1">
        <v>0.05</v>
      </c>
      <c r="AA1080" s="1">
        <v>4</v>
      </c>
      <c r="AB1080" s="1">
        <v>3</v>
      </c>
      <c r="AC1080" s="1">
        <v>0.8</v>
      </c>
      <c r="AH1080" s="1">
        <v>0</v>
      </c>
      <c r="AI1080" s="1">
        <v>1</v>
      </c>
      <c r="AJ1080" s="1" t="s">
        <v>4298</v>
      </c>
      <c r="AK1080" s="1" t="s">
        <v>265</v>
      </c>
      <c r="AL1080" s="1" t="s">
        <v>228</v>
      </c>
      <c r="AN1080" s="22" t="s">
        <v>9767</v>
      </c>
      <c r="AX1080" s="1">
        <v>1</v>
      </c>
      <c r="AZ1080" s="1">
        <v>0.1</v>
      </c>
      <c r="BG1080" s="1" t="s">
        <v>4296</v>
      </c>
      <c r="BM1080" s="1" t="s">
        <v>989</v>
      </c>
      <c r="BQ1080" s="1" t="s">
        <v>207</v>
      </c>
      <c r="BR1080" s="1" t="s">
        <v>208</v>
      </c>
      <c r="BS1080" s="1" t="s">
        <v>229</v>
      </c>
      <c r="BT1080" s="1" t="s">
        <v>210</v>
      </c>
      <c r="BX1080" s="1">
        <v>1</v>
      </c>
    </row>
    <row r="1081" spans="1:76" x14ac:dyDescent="0.25">
      <c r="A1081" s="1" t="s">
        <v>4299</v>
      </c>
      <c r="B1081" s="1" t="s">
        <v>203</v>
      </c>
      <c r="C1081" s="1">
        <v>1</v>
      </c>
      <c r="D1081" s="1" t="s">
        <v>4300</v>
      </c>
      <c r="E1081" s="1">
        <v>1409</v>
      </c>
      <c r="F1081" s="1" t="s">
        <v>4299</v>
      </c>
      <c r="G1081" s="1">
        <v>1</v>
      </c>
      <c r="L1081" s="1">
        <v>18000</v>
      </c>
      <c r="N1081" s="1">
        <v>1100</v>
      </c>
      <c r="P1081" s="1">
        <v>1000</v>
      </c>
      <c r="R1081" s="1">
        <v>30</v>
      </c>
      <c r="Z1081" s="1">
        <v>0.05</v>
      </c>
      <c r="AA1081" s="1">
        <v>4</v>
      </c>
      <c r="AB1081" s="1">
        <v>3</v>
      </c>
      <c r="AC1081" s="1">
        <v>0.8</v>
      </c>
      <c r="AH1081" s="1">
        <v>0</v>
      </c>
      <c r="AI1081" s="1">
        <v>1</v>
      </c>
      <c r="AJ1081" s="1" t="s">
        <v>4301</v>
      </c>
      <c r="AK1081" s="1" t="s">
        <v>265</v>
      </c>
      <c r="AL1081" s="1" t="s">
        <v>228</v>
      </c>
      <c r="AN1081" s="22" t="s">
        <v>9767</v>
      </c>
      <c r="AX1081" s="1">
        <v>1</v>
      </c>
      <c r="AZ1081" s="1">
        <v>0.1</v>
      </c>
      <c r="BG1081" s="1" t="s">
        <v>4299</v>
      </c>
      <c r="BM1081" s="1" t="s">
        <v>989</v>
      </c>
      <c r="BQ1081" s="1" t="s">
        <v>207</v>
      </c>
      <c r="BR1081" s="1" t="s">
        <v>208</v>
      </c>
      <c r="BS1081" s="1" t="s">
        <v>229</v>
      </c>
      <c r="BT1081" s="1" t="s">
        <v>210</v>
      </c>
      <c r="BX1081" s="1">
        <v>1</v>
      </c>
    </row>
    <row r="1082" spans="1:76" x14ac:dyDescent="0.25">
      <c r="A1082" s="1" t="s">
        <v>4302</v>
      </c>
      <c r="B1082" s="1" t="s">
        <v>203</v>
      </c>
      <c r="C1082" s="1">
        <v>1</v>
      </c>
      <c r="D1082" s="1" t="s">
        <v>4300</v>
      </c>
      <c r="E1082" s="1">
        <v>1409</v>
      </c>
      <c r="F1082" s="1" t="s">
        <v>4299</v>
      </c>
      <c r="G1082" s="1">
        <v>1</v>
      </c>
      <c r="L1082" s="1">
        <v>25000</v>
      </c>
      <c r="N1082" s="1">
        <v>1300</v>
      </c>
      <c r="P1082" s="1">
        <v>1200</v>
      </c>
      <c r="R1082" s="1">
        <v>30</v>
      </c>
      <c r="Z1082" s="1">
        <v>0.05</v>
      </c>
      <c r="AA1082" s="1">
        <v>4</v>
      </c>
      <c r="AB1082" s="1">
        <v>3</v>
      </c>
      <c r="AC1082" s="1">
        <v>0.8</v>
      </c>
      <c r="AH1082" s="1">
        <v>0</v>
      </c>
      <c r="AI1082" s="1">
        <v>1</v>
      </c>
      <c r="AJ1082" s="1" t="s">
        <v>4303</v>
      </c>
      <c r="AK1082" s="1" t="s">
        <v>265</v>
      </c>
      <c r="AL1082" s="1" t="s">
        <v>228</v>
      </c>
      <c r="AN1082" s="22" t="s">
        <v>9767</v>
      </c>
      <c r="AX1082" s="1">
        <v>1</v>
      </c>
      <c r="AZ1082" s="1">
        <v>0.1</v>
      </c>
      <c r="BG1082" s="1" t="s">
        <v>4299</v>
      </c>
      <c r="BM1082" s="1" t="s">
        <v>989</v>
      </c>
      <c r="BQ1082" s="1" t="s">
        <v>207</v>
      </c>
      <c r="BR1082" s="1" t="s">
        <v>208</v>
      </c>
      <c r="BS1082" s="1" t="s">
        <v>229</v>
      </c>
      <c r="BT1082" s="1" t="s">
        <v>210</v>
      </c>
      <c r="BX1082" s="1">
        <v>1</v>
      </c>
    </row>
    <row r="1083" spans="1:76" x14ac:dyDescent="0.25">
      <c r="A1083" s="1" t="s">
        <v>4304</v>
      </c>
      <c r="B1083" s="1" t="s">
        <v>203</v>
      </c>
      <c r="C1083" s="1">
        <v>1</v>
      </c>
      <c r="D1083" s="1" t="s">
        <v>4305</v>
      </c>
      <c r="E1083" s="1">
        <v>1551</v>
      </c>
      <c r="F1083" s="1" t="s">
        <v>4304</v>
      </c>
      <c r="G1083" s="1">
        <v>1</v>
      </c>
      <c r="L1083" s="1">
        <v>40000</v>
      </c>
      <c r="N1083" s="1">
        <v>550</v>
      </c>
      <c r="P1083" s="1">
        <v>1000</v>
      </c>
      <c r="R1083" s="1">
        <v>50</v>
      </c>
      <c r="Z1083" s="1">
        <v>0.05</v>
      </c>
      <c r="AA1083" s="1">
        <v>3</v>
      </c>
      <c r="AB1083" s="1">
        <v>8</v>
      </c>
      <c r="AC1083" s="1">
        <v>0.6</v>
      </c>
      <c r="AH1083" s="1">
        <v>0</v>
      </c>
      <c r="AI1083" s="1">
        <v>1</v>
      </c>
      <c r="AJ1083" s="1" t="s">
        <v>4306</v>
      </c>
      <c r="AK1083" s="1" t="s">
        <v>265</v>
      </c>
      <c r="AL1083" s="1" t="s">
        <v>228</v>
      </c>
      <c r="AN1083" s="22" t="s">
        <v>9767</v>
      </c>
      <c r="AX1083" s="1">
        <v>1</v>
      </c>
      <c r="AZ1083" s="1">
        <v>0.1</v>
      </c>
      <c r="BG1083" s="1" t="s">
        <v>4304</v>
      </c>
      <c r="BM1083" s="1" t="s">
        <v>1319</v>
      </c>
      <c r="BQ1083" s="1" t="s">
        <v>4307</v>
      </c>
      <c r="BR1083" s="1" t="s">
        <v>208</v>
      </c>
      <c r="BS1083" s="1" t="s">
        <v>229</v>
      </c>
      <c r="BT1083" s="1" t="s">
        <v>210</v>
      </c>
      <c r="BX1083" s="1">
        <v>1</v>
      </c>
    </row>
    <row r="1084" spans="1:76" x14ac:dyDescent="0.25">
      <c r="A1084" s="1" t="s">
        <v>4308</v>
      </c>
      <c r="B1084" s="1" t="s">
        <v>203</v>
      </c>
      <c r="C1084" s="1">
        <v>1</v>
      </c>
      <c r="D1084" s="1" t="s">
        <v>4309</v>
      </c>
      <c r="E1084" s="1">
        <v>1410</v>
      </c>
      <c r="F1084" s="1" t="s">
        <v>4308</v>
      </c>
      <c r="G1084" s="1">
        <v>1</v>
      </c>
      <c r="L1084" s="1">
        <v>4000</v>
      </c>
      <c r="N1084" s="1">
        <v>300</v>
      </c>
      <c r="P1084" s="1">
        <v>100</v>
      </c>
      <c r="R1084" s="1">
        <v>40</v>
      </c>
      <c r="Z1084" s="1">
        <v>0.05</v>
      </c>
      <c r="AA1084" s="1">
        <v>2</v>
      </c>
      <c r="AB1084" s="1">
        <v>1</v>
      </c>
      <c r="AC1084" s="1">
        <v>2</v>
      </c>
      <c r="AH1084" s="1">
        <v>0</v>
      </c>
      <c r="AI1084" s="1">
        <v>1</v>
      </c>
      <c r="AJ1084" s="1" t="s">
        <v>4310</v>
      </c>
      <c r="AK1084" s="1" t="s">
        <v>3367</v>
      </c>
      <c r="AL1084" s="1" t="s">
        <v>228</v>
      </c>
      <c r="AN1084" s="22" t="s">
        <v>9767</v>
      </c>
      <c r="AX1084" s="1">
        <v>1</v>
      </c>
      <c r="AZ1084" s="1">
        <v>0.1</v>
      </c>
      <c r="BG1084" s="1" t="s">
        <v>4308</v>
      </c>
      <c r="BM1084" s="1" t="s">
        <v>1473</v>
      </c>
      <c r="BQ1084" s="1" t="s">
        <v>207</v>
      </c>
      <c r="BR1084" s="1" t="s">
        <v>208</v>
      </c>
      <c r="BS1084" s="1" t="s">
        <v>229</v>
      </c>
      <c r="BT1084" s="1" t="s">
        <v>210</v>
      </c>
      <c r="BX1084" s="1">
        <v>1</v>
      </c>
    </row>
    <row r="1085" spans="1:76" x14ac:dyDescent="0.25">
      <c r="A1085" s="1" t="s">
        <v>4311</v>
      </c>
      <c r="B1085" s="1" t="s">
        <v>203</v>
      </c>
      <c r="C1085" s="1">
        <v>1</v>
      </c>
      <c r="D1085" s="1" t="s">
        <v>4312</v>
      </c>
      <c r="E1085" s="1">
        <v>1410</v>
      </c>
      <c r="F1085" s="1" t="s">
        <v>4311</v>
      </c>
      <c r="G1085" s="1">
        <v>1</v>
      </c>
      <c r="L1085" s="1">
        <v>5200</v>
      </c>
      <c r="N1085" s="1">
        <v>360</v>
      </c>
      <c r="P1085" s="1">
        <v>120</v>
      </c>
      <c r="R1085" s="1">
        <v>40</v>
      </c>
      <c r="Z1085" s="1">
        <v>0.05</v>
      </c>
      <c r="AA1085" s="1">
        <v>2</v>
      </c>
      <c r="AB1085" s="1">
        <v>1</v>
      </c>
      <c r="AC1085" s="1">
        <v>2</v>
      </c>
      <c r="AH1085" s="1">
        <v>0</v>
      </c>
      <c r="AI1085" s="1">
        <v>1</v>
      </c>
      <c r="AJ1085" s="1" t="s">
        <v>4313</v>
      </c>
      <c r="AK1085" s="1" t="s">
        <v>3367</v>
      </c>
      <c r="AL1085" s="1" t="s">
        <v>228</v>
      </c>
      <c r="AN1085" s="22" t="s">
        <v>9767</v>
      </c>
      <c r="AX1085" s="1">
        <v>1</v>
      </c>
      <c r="AZ1085" s="1">
        <v>0.1</v>
      </c>
      <c r="BG1085" s="1" t="s">
        <v>4311</v>
      </c>
      <c r="BM1085" s="1" t="s">
        <v>1473</v>
      </c>
      <c r="BQ1085" s="1" t="s">
        <v>207</v>
      </c>
      <c r="BR1085" s="1" t="s">
        <v>208</v>
      </c>
      <c r="BS1085" s="1" t="s">
        <v>229</v>
      </c>
      <c r="BT1085" s="1" t="s">
        <v>210</v>
      </c>
      <c r="BX1085" s="1">
        <v>1</v>
      </c>
    </row>
    <row r="1086" spans="1:76" x14ac:dyDescent="0.25">
      <c r="A1086" s="1" t="s">
        <v>4314</v>
      </c>
      <c r="B1086" s="1" t="s">
        <v>203</v>
      </c>
      <c r="C1086" s="1">
        <v>1</v>
      </c>
      <c r="D1086" s="1" t="s">
        <v>4315</v>
      </c>
      <c r="E1086" s="1">
        <v>1411</v>
      </c>
      <c r="F1086" s="1" t="s">
        <v>4314</v>
      </c>
      <c r="G1086" s="1">
        <v>1</v>
      </c>
      <c r="L1086" s="1">
        <v>4000</v>
      </c>
      <c r="N1086" s="1">
        <v>350</v>
      </c>
      <c r="P1086" s="1">
        <v>200</v>
      </c>
      <c r="R1086" s="1">
        <v>60</v>
      </c>
      <c r="Z1086" s="1">
        <v>0.05</v>
      </c>
      <c r="AA1086" s="1">
        <v>3</v>
      </c>
      <c r="AB1086" s="1">
        <v>1</v>
      </c>
      <c r="AC1086" s="1">
        <v>0.8</v>
      </c>
      <c r="AH1086" s="1">
        <v>0</v>
      </c>
      <c r="AI1086" s="1">
        <v>1</v>
      </c>
      <c r="AJ1086" s="1" t="s">
        <v>4316</v>
      </c>
      <c r="AK1086" s="1" t="s">
        <v>3367</v>
      </c>
      <c r="AL1086" s="1" t="s">
        <v>228</v>
      </c>
      <c r="AN1086" s="22" t="s">
        <v>9767</v>
      </c>
      <c r="AX1086" s="1">
        <v>1</v>
      </c>
      <c r="AZ1086" s="1">
        <v>0.1</v>
      </c>
      <c r="BG1086" s="1" t="s">
        <v>4314</v>
      </c>
      <c r="BM1086" s="1" t="s">
        <v>3272</v>
      </c>
      <c r="BQ1086" s="1" t="s">
        <v>207</v>
      </c>
      <c r="BR1086" s="1" t="s">
        <v>208</v>
      </c>
      <c r="BS1086" s="1" t="s">
        <v>229</v>
      </c>
      <c r="BT1086" s="1" t="s">
        <v>210</v>
      </c>
      <c r="BX1086" s="1">
        <v>1</v>
      </c>
    </row>
    <row r="1087" spans="1:76" x14ac:dyDescent="0.25">
      <c r="A1087" s="1" t="s">
        <v>4317</v>
      </c>
      <c r="B1087" s="1" t="s">
        <v>203</v>
      </c>
      <c r="C1087" s="1">
        <v>1</v>
      </c>
      <c r="D1087" s="1" t="s">
        <v>4318</v>
      </c>
      <c r="E1087" s="1">
        <v>1411</v>
      </c>
      <c r="F1087" s="1" t="s">
        <v>4317</v>
      </c>
      <c r="G1087" s="1">
        <v>1</v>
      </c>
      <c r="L1087" s="1">
        <v>4800</v>
      </c>
      <c r="N1087" s="1">
        <v>420</v>
      </c>
      <c r="P1087" s="1">
        <v>240</v>
      </c>
      <c r="R1087" s="1">
        <v>60</v>
      </c>
      <c r="Z1087" s="1">
        <v>0.05</v>
      </c>
      <c r="AA1087" s="1">
        <v>3</v>
      </c>
      <c r="AB1087" s="1">
        <v>1</v>
      </c>
      <c r="AC1087" s="1">
        <v>0.8</v>
      </c>
      <c r="AH1087" s="1">
        <v>0</v>
      </c>
      <c r="AI1087" s="1">
        <v>1</v>
      </c>
      <c r="AJ1087" s="1" t="s">
        <v>4319</v>
      </c>
      <c r="AK1087" s="1" t="s">
        <v>3367</v>
      </c>
      <c r="AL1087" s="1" t="s">
        <v>228</v>
      </c>
      <c r="AN1087" s="22" t="s">
        <v>9767</v>
      </c>
      <c r="AX1087" s="1">
        <v>1</v>
      </c>
      <c r="AZ1087" s="1">
        <v>0.1</v>
      </c>
      <c r="BG1087" s="1" t="s">
        <v>4317</v>
      </c>
      <c r="BM1087" s="1" t="s">
        <v>3272</v>
      </c>
      <c r="BQ1087" s="1" t="s">
        <v>207</v>
      </c>
      <c r="BR1087" s="1" t="s">
        <v>208</v>
      </c>
      <c r="BS1087" s="1" t="s">
        <v>229</v>
      </c>
      <c r="BT1087" s="1" t="s">
        <v>210</v>
      </c>
      <c r="BX1087" s="1">
        <v>1</v>
      </c>
    </row>
    <row r="1088" spans="1:76" x14ac:dyDescent="0.25">
      <c r="A1088" s="1" t="s">
        <v>4320</v>
      </c>
      <c r="B1088" s="1" t="s">
        <v>203</v>
      </c>
      <c r="C1088" s="1">
        <v>1</v>
      </c>
      <c r="D1088" s="1" t="s">
        <v>4321</v>
      </c>
      <c r="E1088" s="1">
        <v>1412</v>
      </c>
      <c r="F1088" s="1" t="s">
        <v>4320</v>
      </c>
      <c r="G1088" s="1">
        <v>1</v>
      </c>
      <c r="L1088" s="1">
        <v>6000</v>
      </c>
      <c r="N1088" s="1">
        <v>600</v>
      </c>
      <c r="P1088" s="1">
        <v>1200</v>
      </c>
      <c r="R1088" s="1">
        <v>60</v>
      </c>
      <c r="Z1088" s="1">
        <v>0.05</v>
      </c>
      <c r="AA1088" s="1">
        <v>1.2</v>
      </c>
      <c r="AB1088" s="1">
        <v>2</v>
      </c>
      <c r="AC1088" s="1">
        <v>1.6</v>
      </c>
      <c r="AH1088" s="1">
        <v>0</v>
      </c>
      <c r="AI1088" s="1">
        <v>1</v>
      </c>
      <c r="AJ1088" s="1" t="s">
        <v>4322</v>
      </c>
      <c r="AK1088" s="1" t="s">
        <v>3494</v>
      </c>
      <c r="AL1088" s="1" t="s">
        <v>228</v>
      </c>
      <c r="AN1088" s="22" t="s">
        <v>9767</v>
      </c>
      <c r="AX1088" s="1">
        <v>1</v>
      </c>
      <c r="AZ1088" s="1">
        <v>0.1</v>
      </c>
      <c r="BG1088" s="1" t="s">
        <v>4320</v>
      </c>
      <c r="BM1088" s="1" t="s">
        <v>1473</v>
      </c>
      <c r="BQ1088" s="1" t="s">
        <v>3739</v>
      </c>
      <c r="BR1088" s="1" t="s">
        <v>271</v>
      </c>
      <c r="BS1088" s="1" t="s">
        <v>1612</v>
      </c>
      <c r="BT1088" s="1" t="s">
        <v>3196</v>
      </c>
      <c r="BX1088" s="1">
        <v>1</v>
      </c>
    </row>
    <row r="1089" spans="1:76" x14ac:dyDescent="0.25">
      <c r="A1089" s="1" t="s">
        <v>4323</v>
      </c>
      <c r="B1089" s="1" t="s">
        <v>203</v>
      </c>
      <c r="C1089" s="1">
        <v>1</v>
      </c>
      <c r="D1089" s="1" t="s">
        <v>4324</v>
      </c>
      <c r="E1089" s="1">
        <v>1412</v>
      </c>
      <c r="F1089" s="1" t="s">
        <v>4323</v>
      </c>
      <c r="G1089" s="1">
        <v>1</v>
      </c>
      <c r="L1089" s="1">
        <v>7200</v>
      </c>
      <c r="N1089" s="1">
        <v>660</v>
      </c>
      <c r="P1089" s="1">
        <v>1400</v>
      </c>
      <c r="R1089" s="1">
        <v>60</v>
      </c>
      <c r="Z1089" s="1">
        <v>0.05</v>
      </c>
      <c r="AA1089" s="1">
        <v>1.2</v>
      </c>
      <c r="AB1089" s="1">
        <v>2</v>
      </c>
      <c r="AC1089" s="1">
        <v>1.6</v>
      </c>
      <c r="AH1089" s="1">
        <v>0</v>
      </c>
      <c r="AI1089" s="1">
        <v>1</v>
      </c>
      <c r="AJ1089" s="1" t="s">
        <v>4325</v>
      </c>
      <c r="AK1089" s="1" t="s">
        <v>3494</v>
      </c>
      <c r="AL1089" s="1" t="s">
        <v>228</v>
      </c>
      <c r="AN1089" s="22" t="s">
        <v>9767</v>
      </c>
      <c r="AX1089" s="1">
        <v>1</v>
      </c>
      <c r="AZ1089" s="1">
        <v>0.1</v>
      </c>
      <c r="BG1089" s="1" t="s">
        <v>4323</v>
      </c>
      <c r="BM1089" s="1" t="s">
        <v>1473</v>
      </c>
      <c r="BQ1089" s="1" t="s">
        <v>3739</v>
      </c>
      <c r="BR1089" s="1" t="s">
        <v>271</v>
      </c>
      <c r="BS1089" s="1" t="s">
        <v>1612</v>
      </c>
      <c r="BT1089" s="1" t="s">
        <v>3196</v>
      </c>
      <c r="BX1089" s="1">
        <v>1</v>
      </c>
    </row>
    <row r="1090" spans="1:76" x14ac:dyDescent="0.25">
      <c r="A1090" s="1" t="s">
        <v>4326</v>
      </c>
      <c r="B1090" s="1" t="s">
        <v>203</v>
      </c>
      <c r="C1090" s="1">
        <v>1</v>
      </c>
      <c r="D1090" s="1" t="s">
        <v>4327</v>
      </c>
      <c r="E1090" s="1">
        <v>1413</v>
      </c>
      <c r="F1090" s="1" t="s">
        <v>4326</v>
      </c>
      <c r="G1090" s="1">
        <v>1</v>
      </c>
      <c r="L1090" s="1">
        <v>9000</v>
      </c>
      <c r="N1090" s="1">
        <v>400</v>
      </c>
      <c r="P1090" s="1">
        <v>200</v>
      </c>
      <c r="R1090" s="1">
        <v>60</v>
      </c>
      <c r="Z1090" s="1">
        <v>0.05</v>
      </c>
      <c r="AA1090" s="1">
        <v>4</v>
      </c>
      <c r="AB1090" s="1">
        <v>3</v>
      </c>
      <c r="AC1090" s="1">
        <v>0.25</v>
      </c>
      <c r="AH1090" s="1">
        <v>0</v>
      </c>
      <c r="AI1090" s="1">
        <v>1</v>
      </c>
      <c r="AJ1090" s="1" t="s">
        <v>4328</v>
      </c>
      <c r="AK1090" s="1" t="s">
        <v>3494</v>
      </c>
      <c r="AL1090" s="1" t="s">
        <v>228</v>
      </c>
      <c r="AN1090" s="22" t="s">
        <v>9767</v>
      </c>
      <c r="AX1090" s="1">
        <v>1</v>
      </c>
      <c r="AZ1090" s="1">
        <v>0.1</v>
      </c>
      <c r="BG1090" s="1" t="s">
        <v>4326</v>
      </c>
      <c r="BM1090" s="1" t="s">
        <v>1063</v>
      </c>
      <c r="BQ1090" s="1" t="s">
        <v>207</v>
      </c>
      <c r="BR1090" s="1" t="s">
        <v>208</v>
      </c>
      <c r="BS1090" s="1" t="s">
        <v>229</v>
      </c>
      <c r="BT1090" s="1" t="s">
        <v>210</v>
      </c>
      <c r="BX1090" s="1">
        <v>1</v>
      </c>
    </row>
    <row r="1091" spans="1:76" x14ac:dyDescent="0.25">
      <c r="A1091" s="1" t="s">
        <v>4329</v>
      </c>
      <c r="B1091" s="1" t="s">
        <v>203</v>
      </c>
      <c r="C1091" s="1">
        <v>1</v>
      </c>
      <c r="D1091" s="1" t="s">
        <v>4330</v>
      </c>
      <c r="E1091" s="1">
        <v>1413</v>
      </c>
      <c r="F1091" s="1" t="s">
        <v>4329</v>
      </c>
      <c r="G1091" s="1">
        <v>1</v>
      </c>
      <c r="L1091" s="1">
        <v>10000</v>
      </c>
      <c r="N1091" s="1">
        <v>500</v>
      </c>
      <c r="P1091" s="1">
        <v>240</v>
      </c>
      <c r="R1091" s="1">
        <v>60</v>
      </c>
      <c r="Z1091" s="1">
        <v>0.05</v>
      </c>
      <c r="AA1091" s="1">
        <v>4</v>
      </c>
      <c r="AB1091" s="1">
        <v>3</v>
      </c>
      <c r="AC1091" s="1">
        <v>0.25</v>
      </c>
      <c r="AH1091" s="1">
        <v>0</v>
      </c>
      <c r="AI1091" s="1">
        <v>1</v>
      </c>
      <c r="AJ1091" s="1" t="s">
        <v>4331</v>
      </c>
      <c r="AK1091" s="1" t="s">
        <v>3494</v>
      </c>
      <c r="AL1091" s="1" t="s">
        <v>228</v>
      </c>
      <c r="AN1091" s="22" t="s">
        <v>9767</v>
      </c>
      <c r="AX1091" s="1">
        <v>1</v>
      </c>
      <c r="AZ1091" s="1">
        <v>0.1</v>
      </c>
      <c r="BG1091" s="1" t="s">
        <v>4329</v>
      </c>
      <c r="BM1091" s="1" t="s">
        <v>1063</v>
      </c>
      <c r="BQ1091" s="1" t="s">
        <v>207</v>
      </c>
      <c r="BR1091" s="1" t="s">
        <v>208</v>
      </c>
      <c r="BS1091" s="1" t="s">
        <v>229</v>
      </c>
      <c r="BT1091" s="1" t="s">
        <v>210</v>
      </c>
      <c r="BX1091" s="1">
        <v>1</v>
      </c>
    </row>
    <row r="1092" spans="1:76" x14ac:dyDescent="0.25">
      <c r="A1092" s="1" t="s">
        <v>4332</v>
      </c>
      <c r="B1092" s="1" t="s">
        <v>203</v>
      </c>
      <c r="C1092" s="1">
        <v>1</v>
      </c>
      <c r="D1092" s="1" t="s">
        <v>4333</v>
      </c>
      <c r="E1092" s="1">
        <v>1414</v>
      </c>
      <c r="F1092" s="1" t="s">
        <v>4332</v>
      </c>
      <c r="G1092" s="1">
        <v>1</v>
      </c>
      <c r="L1092" s="1">
        <v>10000</v>
      </c>
      <c r="N1092" s="1">
        <v>600</v>
      </c>
      <c r="P1092" s="1">
        <v>2600</v>
      </c>
      <c r="R1092" s="1">
        <v>80</v>
      </c>
      <c r="Z1092" s="1">
        <v>0.05</v>
      </c>
      <c r="AA1092" s="1">
        <v>6</v>
      </c>
      <c r="AB1092" s="1">
        <v>5</v>
      </c>
      <c r="AC1092" s="1">
        <v>0.8</v>
      </c>
      <c r="AH1092" s="1">
        <v>0</v>
      </c>
      <c r="AI1092" s="1">
        <v>1</v>
      </c>
      <c r="AJ1092" s="1" t="s">
        <v>4334</v>
      </c>
      <c r="AK1092" s="1" t="s">
        <v>3494</v>
      </c>
      <c r="AL1092" s="1" t="s">
        <v>228</v>
      </c>
      <c r="AN1092" s="22" t="s">
        <v>9767</v>
      </c>
      <c r="AX1092" s="1">
        <v>1</v>
      </c>
      <c r="AZ1092" s="1">
        <v>0.1</v>
      </c>
      <c r="BG1092" s="1" t="s">
        <v>4332</v>
      </c>
      <c r="BM1092" s="1" t="s">
        <v>1073</v>
      </c>
      <c r="BQ1092" s="1" t="s">
        <v>207</v>
      </c>
      <c r="BR1092" s="1" t="s">
        <v>208</v>
      </c>
      <c r="BS1092" s="1" t="s">
        <v>229</v>
      </c>
      <c r="BT1092" s="1" t="s">
        <v>210</v>
      </c>
      <c r="BX1092" s="1">
        <v>1</v>
      </c>
    </row>
    <row r="1093" spans="1:76" x14ac:dyDescent="0.25">
      <c r="A1093" s="1" t="s">
        <v>4335</v>
      </c>
      <c r="B1093" s="1" t="s">
        <v>203</v>
      </c>
      <c r="C1093" s="1">
        <v>1</v>
      </c>
      <c r="D1093" s="1" t="s">
        <v>4336</v>
      </c>
      <c r="E1093" s="1">
        <v>1414</v>
      </c>
      <c r="F1093" s="1" t="s">
        <v>4335</v>
      </c>
      <c r="G1093" s="1">
        <v>1</v>
      </c>
      <c r="L1093" s="1">
        <v>12000</v>
      </c>
      <c r="N1093" s="1">
        <v>700</v>
      </c>
      <c r="P1093" s="1">
        <v>3200</v>
      </c>
      <c r="R1093" s="1">
        <v>80</v>
      </c>
      <c r="Z1093" s="1">
        <v>0.05</v>
      </c>
      <c r="AA1093" s="1">
        <v>6</v>
      </c>
      <c r="AB1093" s="1">
        <v>5</v>
      </c>
      <c r="AC1093" s="1">
        <v>0.8</v>
      </c>
      <c r="AH1093" s="1">
        <v>0</v>
      </c>
      <c r="AI1093" s="1">
        <v>1</v>
      </c>
      <c r="AJ1093" s="1" t="s">
        <v>4337</v>
      </c>
      <c r="AK1093" s="1" t="s">
        <v>3494</v>
      </c>
      <c r="AL1093" s="1" t="s">
        <v>228</v>
      </c>
      <c r="AN1093" s="22" t="s">
        <v>9767</v>
      </c>
      <c r="AX1093" s="1">
        <v>1</v>
      </c>
      <c r="AZ1093" s="1">
        <v>0.1</v>
      </c>
      <c r="BG1093" s="1" t="s">
        <v>4335</v>
      </c>
      <c r="BM1093" s="1" t="s">
        <v>1073</v>
      </c>
      <c r="BQ1093" s="1" t="s">
        <v>207</v>
      </c>
      <c r="BR1093" s="1" t="s">
        <v>208</v>
      </c>
      <c r="BS1093" s="1" t="s">
        <v>229</v>
      </c>
      <c r="BT1093" s="1" t="s">
        <v>210</v>
      </c>
      <c r="BX1093" s="1">
        <v>1</v>
      </c>
    </row>
    <row r="1094" spans="1:76" x14ac:dyDescent="0.25">
      <c r="A1094" s="1" t="s">
        <v>4338</v>
      </c>
      <c r="B1094" s="1" t="s">
        <v>203</v>
      </c>
      <c r="C1094" s="1">
        <v>1</v>
      </c>
      <c r="D1094" s="1" t="s">
        <v>4339</v>
      </c>
      <c r="E1094" s="1">
        <v>1415</v>
      </c>
      <c r="F1094" s="1" t="s">
        <v>4338</v>
      </c>
      <c r="G1094" s="1">
        <v>1</v>
      </c>
      <c r="L1094" s="1">
        <v>65000</v>
      </c>
      <c r="N1094" s="1">
        <v>1800</v>
      </c>
      <c r="P1094" s="1">
        <v>50</v>
      </c>
      <c r="R1094" s="1">
        <v>50</v>
      </c>
      <c r="Z1094" s="1">
        <v>0.05</v>
      </c>
      <c r="AA1094" s="1">
        <v>5</v>
      </c>
      <c r="AB1094" s="1">
        <v>5</v>
      </c>
      <c r="AC1094" s="1">
        <v>0.6</v>
      </c>
      <c r="AH1094" s="1">
        <v>0</v>
      </c>
      <c r="AI1094" s="1">
        <v>1</v>
      </c>
      <c r="AJ1094" s="1" t="s">
        <v>4340</v>
      </c>
      <c r="AK1094" s="1" t="s">
        <v>3374</v>
      </c>
      <c r="AL1094" s="1" t="s">
        <v>228</v>
      </c>
      <c r="AN1094" s="22" t="s">
        <v>9772</v>
      </c>
      <c r="AX1094" s="1">
        <v>1</v>
      </c>
      <c r="AZ1094" s="1">
        <v>0.1</v>
      </c>
      <c r="BG1094" s="1" t="s">
        <v>4338</v>
      </c>
      <c r="BM1094" s="1" t="s">
        <v>1063</v>
      </c>
      <c r="BQ1094" s="1" t="s">
        <v>207</v>
      </c>
      <c r="BR1094" s="1" t="s">
        <v>208</v>
      </c>
      <c r="BS1094" s="1" t="s">
        <v>229</v>
      </c>
      <c r="BT1094" s="1" t="s">
        <v>210</v>
      </c>
      <c r="BX1094" s="1">
        <v>1</v>
      </c>
    </row>
    <row r="1095" spans="1:76" x14ac:dyDescent="0.25">
      <c r="A1095" s="1" t="s">
        <v>4341</v>
      </c>
      <c r="B1095" s="1" t="s">
        <v>203</v>
      </c>
      <c r="C1095" s="1">
        <v>1</v>
      </c>
      <c r="D1095" s="1" t="s">
        <v>4342</v>
      </c>
      <c r="E1095" s="1">
        <v>1415</v>
      </c>
      <c r="F1095" s="1" t="s">
        <v>4341</v>
      </c>
      <c r="G1095" s="1">
        <v>1</v>
      </c>
      <c r="L1095" s="1">
        <v>75000</v>
      </c>
      <c r="N1095" s="1">
        <v>2200</v>
      </c>
      <c r="P1095" s="1">
        <v>50</v>
      </c>
      <c r="R1095" s="1">
        <v>50</v>
      </c>
      <c r="Z1095" s="1">
        <v>0.05</v>
      </c>
      <c r="AA1095" s="1">
        <v>5</v>
      </c>
      <c r="AB1095" s="1">
        <v>5</v>
      </c>
      <c r="AC1095" s="1">
        <v>0.6</v>
      </c>
      <c r="AH1095" s="1">
        <v>0</v>
      </c>
      <c r="AI1095" s="1">
        <v>1</v>
      </c>
      <c r="AJ1095" s="1" t="s">
        <v>4343</v>
      </c>
      <c r="AK1095" s="1" t="s">
        <v>3374</v>
      </c>
      <c r="AL1095" s="1" t="s">
        <v>228</v>
      </c>
      <c r="AN1095" s="22" t="s">
        <v>9772</v>
      </c>
      <c r="AX1095" s="1">
        <v>1</v>
      </c>
      <c r="AZ1095" s="1">
        <v>0.1</v>
      </c>
      <c r="BG1095" s="1" t="s">
        <v>4341</v>
      </c>
      <c r="BM1095" s="1" t="s">
        <v>1063</v>
      </c>
      <c r="BQ1095" s="1" t="s">
        <v>207</v>
      </c>
      <c r="BR1095" s="1" t="s">
        <v>208</v>
      </c>
      <c r="BS1095" s="1" t="s">
        <v>229</v>
      </c>
      <c r="BT1095" s="1" t="s">
        <v>210</v>
      </c>
      <c r="BX1095" s="1">
        <v>1</v>
      </c>
    </row>
    <row r="1096" spans="1:76" x14ac:dyDescent="0.25">
      <c r="A1096" s="1" t="s">
        <v>4344</v>
      </c>
      <c r="B1096" s="1" t="s">
        <v>203</v>
      </c>
      <c r="C1096" s="1">
        <v>1</v>
      </c>
      <c r="D1096" s="1" t="s">
        <v>4345</v>
      </c>
      <c r="E1096" s="1">
        <v>1416</v>
      </c>
      <c r="F1096" s="1" t="s">
        <v>4344</v>
      </c>
      <c r="G1096" s="1">
        <v>1</v>
      </c>
      <c r="L1096" s="1">
        <v>13000</v>
      </c>
      <c r="N1096" s="1">
        <v>700</v>
      </c>
      <c r="P1096" s="1">
        <v>700</v>
      </c>
      <c r="R1096" s="1">
        <v>20</v>
      </c>
      <c r="Z1096" s="1">
        <v>0.05</v>
      </c>
      <c r="AA1096" s="1">
        <v>4</v>
      </c>
      <c r="AB1096" s="1">
        <v>3</v>
      </c>
      <c r="AC1096" s="1">
        <v>0.8</v>
      </c>
      <c r="AH1096" s="1">
        <v>0</v>
      </c>
      <c r="AI1096" s="1">
        <v>1</v>
      </c>
      <c r="AJ1096" s="1" t="s">
        <v>4346</v>
      </c>
      <c r="AK1096" s="1" t="s">
        <v>265</v>
      </c>
      <c r="AL1096" s="1" t="s">
        <v>228</v>
      </c>
      <c r="AN1096" s="22" t="s">
        <v>9767</v>
      </c>
      <c r="AX1096" s="1">
        <v>1</v>
      </c>
      <c r="AZ1096" s="1">
        <v>0.1</v>
      </c>
      <c r="BG1096" s="1" t="s">
        <v>4344</v>
      </c>
      <c r="BM1096" s="1" t="s">
        <v>1063</v>
      </c>
      <c r="BQ1096" s="1" t="s">
        <v>207</v>
      </c>
      <c r="BR1096" s="1" t="s">
        <v>208</v>
      </c>
      <c r="BS1096" s="1" t="s">
        <v>229</v>
      </c>
      <c r="BT1096" s="1" t="s">
        <v>210</v>
      </c>
      <c r="BX1096" s="1">
        <v>1</v>
      </c>
    </row>
    <row r="1097" spans="1:76" x14ac:dyDescent="0.25">
      <c r="A1097" s="1" t="s">
        <v>4347</v>
      </c>
      <c r="B1097" s="1" t="s">
        <v>203</v>
      </c>
      <c r="C1097" s="1">
        <v>1</v>
      </c>
      <c r="D1097" s="1" t="s">
        <v>4348</v>
      </c>
      <c r="E1097" s="1">
        <v>1416</v>
      </c>
      <c r="F1097" s="1" t="s">
        <v>4347</v>
      </c>
      <c r="G1097" s="1">
        <v>1</v>
      </c>
      <c r="L1097" s="1">
        <v>18000</v>
      </c>
      <c r="N1097" s="1">
        <v>820</v>
      </c>
      <c r="P1097" s="1">
        <v>900</v>
      </c>
      <c r="R1097" s="1">
        <v>20</v>
      </c>
      <c r="Z1097" s="1">
        <v>0.05</v>
      </c>
      <c r="AA1097" s="1">
        <v>4</v>
      </c>
      <c r="AB1097" s="1">
        <v>3</v>
      </c>
      <c r="AC1097" s="1">
        <v>0.8</v>
      </c>
      <c r="AH1097" s="1">
        <v>0</v>
      </c>
      <c r="AI1097" s="1">
        <v>1</v>
      </c>
      <c r="AJ1097" s="1" t="s">
        <v>4349</v>
      </c>
      <c r="AK1097" s="1" t="s">
        <v>265</v>
      </c>
      <c r="AL1097" s="1" t="s">
        <v>228</v>
      </c>
      <c r="AN1097" s="22" t="s">
        <v>9767</v>
      </c>
      <c r="AX1097" s="1">
        <v>1</v>
      </c>
      <c r="AZ1097" s="1">
        <v>0.1</v>
      </c>
      <c r="BG1097" s="1" t="s">
        <v>4347</v>
      </c>
      <c r="BM1097" s="1" t="s">
        <v>1063</v>
      </c>
      <c r="BQ1097" s="1" t="s">
        <v>207</v>
      </c>
      <c r="BR1097" s="1" t="s">
        <v>208</v>
      </c>
      <c r="BS1097" s="1" t="s">
        <v>229</v>
      </c>
      <c r="BT1097" s="1" t="s">
        <v>210</v>
      </c>
      <c r="BX1097" s="1">
        <v>1</v>
      </c>
    </row>
    <row r="1098" spans="1:76" x14ac:dyDescent="0.25">
      <c r="A1098" s="1" t="s">
        <v>4350</v>
      </c>
      <c r="B1098" s="1" t="s">
        <v>203</v>
      </c>
      <c r="C1098" s="1">
        <v>1</v>
      </c>
      <c r="D1098" s="1" t="s">
        <v>4351</v>
      </c>
      <c r="E1098" s="1">
        <v>1417</v>
      </c>
      <c r="F1098" s="1" t="s">
        <v>4350</v>
      </c>
      <c r="G1098" s="1">
        <v>1</v>
      </c>
      <c r="L1098" s="1">
        <v>12000</v>
      </c>
      <c r="N1098" s="1">
        <v>600</v>
      </c>
      <c r="P1098" s="1">
        <v>300</v>
      </c>
      <c r="R1098" s="1">
        <v>60</v>
      </c>
      <c r="Z1098" s="1">
        <v>0.05</v>
      </c>
      <c r="AA1098" s="1">
        <v>5</v>
      </c>
      <c r="AB1098" s="1">
        <v>4</v>
      </c>
      <c r="AC1098" s="1">
        <v>0.8</v>
      </c>
      <c r="AH1098" s="1">
        <v>0</v>
      </c>
      <c r="AI1098" s="1">
        <v>1</v>
      </c>
      <c r="AJ1098" s="1" t="s">
        <v>4352</v>
      </c>
      <c r="AK1098" s="1" t="s">
        <v>4157</v>
      </c>
      <c r="AL1098" s="1" t="s">
        <v>228</v>
      </c>
      <c r="AN1098" s="22" t="s">
        <v>9767</v>
      </c>
      <c r="AX1098" s="1">
        <v>1</v>
      </c>
      <c r="AZ1098" s="1">
        <v>0.1</v>
      </c>
      <c r="BG1098" s="1" t="s">
        <v>4350</v>
      </c>
      <c r="BM1098" s="1" t="s">
        <v>1073</v>
      </c>
      <c r="BQ1098" s="1" t="s">
        <v>207</v>
      </c>
      <c r="BR1098" s="1" t="s">
        <v>208</v>
      </c>
      <c r="BS1098" s="1" t="s">
        <v>229</v>
      </c>
      <c r="BT1098" s="1" t="s">
        <v>210</v>
      </c>
      <c r="BX1098" s="1">
        <v>1</v>
      </c>
    </row>
    <row r="1099" spans="1:76" x14ac:dyDescent="0.25">
      <c r="A1099" s="1" t="s">
        <v>4353</v>
      </c>
      <c r="B1099" s="1" t="s">
        <v>203</v>
      </c>
      <c r="C1099" s="1">
        <v>1</v>
      </c>
      <c r="D1099" s="1" t="s">
        <v>4354</v>
      </c>
      <c r="E1099" s="1">
        <v>1417</v>
      </c>
      <c r="F1099" s="1" t="s">
        <v>4353</v>
      </c>
      <c r="G1099" s="1">
        <v>1</v>
      </c>
      <c r="L1099" s="1">
        <v>15000</v>
      </c>
      <c r="N1099" s="1">
        <v>800</v>
      </c>
      <c r="P1099" s="1">
        <v>360</v>
      </c>
      <c r="R1099" s="1">
        <v>70</v>
      </c>
      <c r="Z1099" s="1">
        <v>0.05</v>
      </c>
      <c r="AA1099" s="1">
        <v>5</v>
      </c>
      <c r="AB1099" s="1">
        <v>4</v>
      </c>
      <c r="AC1099" s="1">
        <v>0.8</v>
      </c>
      <c r="AH1099" s="1">
        <v>0</v>
      </c>
      <c r="AI1099" s="1">
        <v>1</v>
      </c>
      <c r="AJ1099" s="1" t="s">
        <v>4355</v>
      </c>
      <c r="AK1099" s="1" t="s">
        <v>4157</v>
      </c>
      <c r="AL1099" s="1" t="s">
        <v>228</v>
      </c>
      <c r="AN1099" s="22" t="s">
        <v>9767</v>
      </c>
      <c r="AX1099" s="1">
        <v>1</v>
      </c>
      <c r="AZ1099" s="1">
        <v>0.1</v>
      </c>
      <c r="BG1099" s="1" t="s">
        <v>4353</v>
      </c>
      <c r="BM1099" s="1" t="s">
        <v>1073</v>
      </c>
      <c r="BQ1099" s="1" t="s">
        <v>207</v>
      </c>
      <c r="BR1099" s="1" t="s">
        <v>208</v>
      </c>
      <c r="BS1099" s="1" t="s">
        <v>229</v>
      </c>
      <c r="BT1099" s="1" t="s">
        <v>210</v>
      </c>
      <c r="BX1099" s="1">
        <v>1</v>
      </c>
    </row>
    <row r="1100" spans="1:76" x14ac:dyDescent="0.25">
      <c r="A1100" s="1" t="s">
        <v>4356</v>
      </c>
      <c r="B1100" s="1" t="s">
        <v>203</v>
      </c>
      <c r="C1100" s="1">
        <v>1</v>
      </c>
      <c r="D1100" s="1" t="s">
        <v>4357</v>
      </c>
      <c r="E1100" s="1">
        <v>1418</v>
      </c>
      <c r="F1100" s="1" t="s">
        <v>4356</v>
      </c>
      <c r="G1100" s="1">
        <v>1</v>
      </c>
      <c r="L1100" s="1">
        <v>5000</v>
      </c>
      <c r="N1100" s="1">
        <v>150</v>
      </c>
      <c r="P1100" s="1">
        <v>200</v>
      </c>
      <c r="R1100" s="1">
        <v>60</v>
      </c>
      <c r="Z1100" s="1">
        <v>0.05</v>
      </c>
      <c r="AA1100" s="1">
        <v>3.5</v>
      </c>
      <c r="AB1100" s="1">
        <v>5</v>
      </c>
      <c r="AC1100" s="1">
        <v>0.6</v>
      </c>
      <c r="AH1100" s="1">
        <v>0</v>
      </c>
      <c r="AI1100" s="1">
        <v>1</v>
      </c>
      <c r="AJ1100" s="1" t="s">
        <v>4358</v>
      </c>
      <c r="AK1100" s="1" t="s">
        <v>3367</v>
      </c>
      <c r="AL1100" s="1" t="s">
        <v>228</v>
      </c>
      <c r="AN1100" s="22" t="s">
        <v>9767</v>
      </c>
      <c r="AX1100" s="1">
        <v>1</v>
      </c>
      <c r="AZ1100" s="1">
        <v>0.1</v>
      </c>
      <c r="BG1100" s="1" t="s">
        <v>4356</v>
      </c>
      <c r="BM1100" s="1" t="s">
        <v>3272</v>
      </c>
      <c r="BQ1100" s="1" t="s">
        <v>4359</v>
      </c>
      <c r="BR1100" s="1" t="s">
        <v>4360</v>
      </c>
      <c r="BS1100" s="1" t="s">
        <v>4361</v>
      </c>
      <c r="BT1100" s="1" t="s">
        <v>4362</v>
      </c>
      <c r="BX1100" s="1">
        <v>1</v>
      </c>
    </row>
    <row r="1101" spans="1:76" x14ac:dyDescent="0.25">
      <c r="A1101" s="1" t="s">
        <v>4363</v>
      </c>
      <c r="B1101" s="1" t="s">
        <v>203</v>
      </c>
      <c r="C1101" s="1">
        <v>1</v>
      </c>
      <c r="D1101" s="1" t="s">
        <v>4364</v>
      </c>
      <c r="E1101" s="1">
        <v>1418</v>
      </c>
      <c r="F1101" s="1" t="s">
        <v>4363</v>
      </c>
      <c r="G1101" s="1">
        <v>2</v>
      </c>
      <c r="L1101" s="1">
        <v>6000</v>
      </c>
      <c r="N1101" s="1">
        <v>180</v>
      </c>
      <c r="P1101" s="1">
        <v>240</v>
      </c>
      <c r="R1101" s="1">
        <v>60</v>
      </c>
      <c r="Z1101" s="1">
        <v>0.05</v>
      </c>
      <c r="AA1101" s="1">
        <v>3.5</v>
      </c>
      <c r="AB1101" s="1">
        <v>5</v>
      </c>
      <c r="AC1101" s="1">
        <v>0.6</v>
      </c>
      <c r="AH1101" s="1">
        <v>0</v>
      </c>
      <c r="AI1101" s="1">
        <v>1</v>
      </c>
      <c r="AJ1101" s="1" t="s">
        <v>4365</v>
      </c>
      <c r="AK1101" s="1" t="s">
        <v>3367</v>
      </c>
      <c r="AL1101" s="1" t="s">
        <v>228</v>
      </c>
      <c r="AN1101" s="22" t="s">
        <v>9767</v>
      </c>
      <c r="AX1101" s="1">
        <v>1</v>
      </c>
      <c r="AZ1101" s="1">
        <v>0.1</v>
      </c>
      <c r="BG1101" s="1" t="s">
        <v>4363</v>
      </c>
      <c r="BM1101" s="1" t="s">
        <v>3272</v>
      </c>
      <c r="BQ1101" s="1" t="s">
        <v>4359</v>
      </c>
      <c r="BR1101" s="1" t="s">
        <v>4360</v>
      </c>
      <c r="BS1101" s="1" t="s">
        <v>4361</v>
      </c>
      <c r="BT1101" s="1" t="s">
        <v>4362</v>
      </c>
      <c r="BX1101" s="1">
        <v>1</v>
      </c>
    </row>
    <row r="1102" spans="1:76" x14ac:dyDescent="0.25">
      <c r="A1102" s="1" t="s">
        <v>4366</v>
      </c>
      <c r="B1102" s="1" t="s">
        <v>203</v>
      </c>
      <c r="C1102" s="1">
        <v>1</v>
      </c>
      <c r="D1102" s="1" t="s">
        <v>4367</v>
      </c>
      <c r="E1102" s="1">
        <v>1419</v>
      </c>
      <c r="F1102" s="1" t="s">
        <v>4366</v>
      </c>
      <c r="G1102" s="1">
        <v>1</v>
      </c>
      <c r="L1102" s="1">
        <v>24000</v>
      </c>
      <c r="N1102" s="1">
        <v>1500</v>
      </c>
      <c r="P1102" s="1">
        <v>800</v>
      </c>
      <c r="R1102" s="1">
        <v>60</v>
      </c>
      <c r="Z1102" s="1">
        <v>0.05</v>
      </c>
      <c r="AA1102" s="1">
        <v>3</v>
      </c>
      <c r="AB1102" s="1">
        <v>4</v>
      </c>
      <c r="AC1102" s="1">
        <v>0.8</v>
      </c>
      <c r="AH1102" s="1">
        <v>0</v>
      </c>
      <c r="AI1102" s="1">
        <v>1</v>
      </c>
      <c r="AJ1102" s="1" t="s">
        <v>4368</v>
      </c>
      <c r="AK1102" s="1" t="s">
        <v>3367</v>
      </c>
      <c r="AL1102" s="1" t="s">
        <v>228</v>
      </c>
      <c r="AN1102" s="22" t="s">
        <v>9767</v>
      </c>
      <c r="AX1102" s="1">
        <v>1</v>
      </c>
      <c r="AZ1102" s="1">
        <v>0.1</v>
      </c>
      <c r="BG1102" s="1" t="s">
        <v>4366</v>
      </c>
      <c r="BM1102" s="1" t="s">
        <v>1063</v>
      </c>
      <c r="BQ1102" s="1" t="s">
        <v>207</v>
      </c>
      <c r="BR1102" s="1" t="s">
        <v>208</v>
      </c>
      <c r="BS1102" s="1" t="s">
        <v>229</v>
      </c>
      <c r="BT1102" s="1" t="s">
        <v>210</v>
      </c>
      <c r="BX1102" s="1">
        <v>1</v>
      </c>
    </row>
    <row r="1103" spans="1:76" x14ac:dyDescent="0.25">
      <c r="A1103" s="1" t="s">
        <v>4369</v>
      </c>
      <c r="B1103" s="1" t="s">
        <v>203</v>
      </c>
      <c r="C1103" s="1">
        <v>1</v>
      </c>
      <c r="D1103" s="1" t="s">
        <v>4370</v>
      </c>
      <c r="E1103" s="1">
        <v>1419</v>
      </c>
      <c r="F1103" s="1" t="s">
        <v>4369</v>
      </c>
      <c r="G1103" s="1">
        <v>1</v>
      </c>
      <c r="L1103" s="1">
        <v>30000</v>
      </c>
      <c r="N1103" s="1">
        <v>2000</v>
      </c>
      <c r="P1103" s="1">
        <v>1000</v>
      </c>
      <c r="R1103" s="1">
        <v>60</v>
      </c>
      <c r="Z1103" s="1">
        <v>0.05</v>
      </c>
      <c r="AA1103" s="1">
        <v>3</v>
      </c>
      <c r="AB1103" s="1">
        <v>4</v>
      </c>
      <c r="AC1103" s="1">
        <v>0.8</v>
      </c>
      <c r="AH1103" s="1">
        <v>0</v>
      </c>
      <c r="AI1103" s="1">
        <v>1</v>
      </c>
      <c r="AJ1103" s="1" t="s">
        <v>4371</v>
      </c>
      <c r="AK1103" s="1" t="s">
        <v>3367</v>
      </c>
      <c r="AL1103" s="1" t="s">
        <v>228</v>
      </c>
      <c r="AN1103" s="22" t="s">
        <v>9767</v>
      </c>
      <c r="AX1103" s="1">
        <v>1</v>
      </c>
      <c r="AZ1103" s="1">
        <v>0.1</v>
      </c>
      <c r="BG1103" s="1" t="s">
        <v>4366</v>
      </c>
      <c r="BM1103" s="1" t="s">
        <v>1063</v>
      </c>
      <c r="BQ1103" s="1" t="s">
        <v>207</v>
      </c>
      <c r="BR1103" s="1" t="s">
        <v>208</v>
      </c>
      <c r="BS1103" s="1" t="s">
        <v>229</v>
      </c>
      <c r="BT1103" s="1" t="s">
        <v>210</v>
      </c>
      <c r="BX1103" s="1">
        <v>1</v>
      </c>
    </row>
    <row r="1104" spans="1:76" x14ac:dyDescent="0.25">
      <c r="A1104" s="1" t="s">
        <v>4372</v>
      </c>
      <c r="B1104" s="1" t="s">
        <v>203</v>
      </c>
      <c r="C1104" s="1">
        <v>1</v>
      </c>
      <c r="D1104" s="1" t="s">
        <v>4373</v>
      </c>
      <c r="E1104" s="1">
        <v>1552</v>
      </c>
      <c r="F1104" s="1" t="s">
        <v>4372</v>
      </c>
      <c r="G1104" s="1">
        <v>1</v>
      </c>
      <c r="L1104" s="1">
        <v>10000</v>
      </c>
      <c r="N1104" s="1">
        <v>0</v>
      </c>
      <c r="P1104" s="1">
        <v>0</v>
      </c>
      <c r="R1104" s="1">
        <v>0</v>
      </c>
      <c r="Z1104" s="1">
        <v>0.05</v>
      </c>
      <c r="AA1104" s="1">
        <v>5</v>
      </c>
      <c r="AB1104" s="1">
        <v>10</v>
      </c>
      <c r="AC1104" s="1">
        <v>0.2</v>
      </c>
      <c r="AH1104" s="1">
        <v>0</v>
      </c>
      <c r="AI1104" s="1">
        <v>1</v>
      </c>
      <c r="AJ1104" s="1" t="s">
        <v>54</v>
      </c>
      <c r="AK1104" s="1" t="s">
        <v>3367</v>
      </c>
      <c r="AL1104" s="1" t="s">
        <v>228</v>
      </c>
      <c r="AN1104" s="22" t="s">
        <v>9767</v>
      </c>
      <c r="AX1104" s="1">
        <v>1</v>
      </c>
      <c r="AZ1104" s="1">
        <v>0.1</v>
      </c>
      <c r="BC1104" s="1">
        <v>1</v>
      </c>
      <c r="BG1104" s="1" t="s">
        <v>4372</v>
      </c>
      <c r="BQ1104" s="1" t="s">
        <v>3328</v>
      </c>
      <c r="BR1104" s="1" t="s">
        <v>1935</v>
      </c>
      <c r="BS1104" s="1" t="s">
        <v>1936</v>
      </c>
      <c r="BT1104" s="1" t="s">
        <v>4374</v>
      </c>
      <c r="BX1104" s="1">
        <v>1</v>
      </c>
    </row>
    <row r="1105" spans="1:76" x14ac:dyDescent="0.25">
      <c r="A1105" s="1" t="s">
        <v>4375</v>
      </c>
      <c r="B1105" s="1" t="s">
        <v>203</v>
      </c>
      <c r="C1105" s="1">
        <v>1</v>
      </c>
      <c r="D1105" s="1" t="s">
        <v>4376</v>
      </c>
      <c r="E1105" s="1">
        <v>1421</v>
      </c>
      <c r="F1105" s="1" t="s">
        <v>4375</v>
      </c>
      <c r="G1105" s="1">
        <v>1</v>
      </c>
      <c r="L1105" s="1">
        <v>25000</v>
      </c>
      <c r="N1105" s="1">
        <v>0</v>
      </c>
      <c r="P1105" s="1">
        <v>300</v>
      </c>
      <c r="R1105" s="1">
        <v>20</v>
      </c>
      <c r="Z1105" s="1">
        <v>0.05</v>
      </c>
      <c r="AA1105" s="1">
        <v>1</v>
      </c>
      <c r="AB1105" s="1">
        <v>2</v>
      </c>
      <c r="AC1105" s="1">
        <v>0</v>
      </c>
      <c r="AH1105" s="1">
        <v>0</v>
      </c>
      <c r="AI1105" s="1">
        <v>1</v>
      </c>
      <c r="AJ1105" s="1" t="s">
        <v>4377</v>
      </c>
      <c r="AK1105" s="1" t="s">
        <v>3367</v>
      </c>
      <c r="AL1105" s="1" t="s">
        <v>228</v>
      </c>
      <c r="AN1105" s="22" t="s">
        <v>9767</v>
      </c>
      <c r="AX1105" s="1">
        <v>0</v>
      </c>
      <c r="AZ1105" s="1">
        <v>0.1</v>
      </c>
      <c r="BG1105" s="1" t="s">
        <v>4375</v>
      </c>
      <c r="BM1105" s="1" t="s">
        <v>4378</v>
      </c>
      <c r="BQ1105" s="1" t="s">
        <v>207</v>
      </c>
      <c r="BR1105" s="1" t="s">
        <v>208</v>
      </c>
      <c r="BS1105" s="1" t="s">
        <v>208</v>
      </c>
      <c r="BT1105" s="1" t="s">
        <v>208</v>
      </c>
      <c r="BX1105" s="1">
        <v>1</v>
      </c>
    </row>
    <row r="1106" spans="1:76" x14ac:dyDescent="0.25">
      <c r="A1106" s="1" t="s">
        <v>4379</v>
      </c>
      <c r="B1106" s="1" t="s">
        <v>203</v>
      </c>
      <c r="C1106" s="1">
        <v>1</v>
      </c>
      <c r="D1106" s="1" t="s">
        <v>4376</v>
      </c>
      <c r="E1106" s="1">
        <v>1421</v>
      </c>
      <c r="F1106" s="1" t="s">
        <v>4375</v>
      </c>
      <c r="G1106" s="1">
        <v>1</v>
      </c>
      <c r="L1106" s="1">
        <v>25000</v>
      </c>
      <c r="N1106" s="1">
        <v>0</v>
      </c>
      <c r="P1106" s="1">
        <v>300</v>
      </c>
      <c r="R1106" s="1">
        <v>20</v>
      </c>
      <c r="Z1106" s="1">
        <v>0.05</v>
      </c>
      <c r="AA1106" s="1">
        <v>1</v>
      </c>
      <c r="AB1106" s="1">
        <v>2</v>
      </c>
      <c r="AC1106" s="1">
        <v>0</v>
      </c>
      <c r="AH1106" s="1">
        <v>0</v>
      </c>
      <c r="AI1106" s="1">
        <v>1</v>
      </c>
      <c r="AJ1106" s="1" t="s">
        <v>4380</v>
      </c>
      <c r="AK1106" s="1" t="s">
        <v>3367</v>
      </c>
      <c r="AL1106" s="1" t="s">
        <v>228</v>
      </c>
      <c r="AN1106" s="22" t="s">
        <v>9767</v>
      </c>
      <c r="AX1106" s="1">
        <v>0</v>
      </c>
      <c r="AZ1106" s="1">
        <v>0.1</v>
      </c>
      <c r="BG1106" s="1" t="s">
        <v>4375</v>
      </c>
      <c r="BM1106" s="1" t="s">
        <v>4378</v>
      </c>
      <c r="BQ1106" s="1" t="s">
        <v>207</v>
      </c>
      <c r="BR1106" s="1" t="s">
        <v>208</v>
      </c>
      <c r="BS1106" s="1" t="s">
        <v>208</v>
      </c>
      <c r="BT1106" s="1" t="s">
        <v>208</v>
      </c>
      <c r="BX1106" s="1">
        <v>1</v>
      </c>
    </row>
    <row r="1107" spans="1:76" x14ac:dyDescent="0.25">
      <c r="A1107" s="1" t="s">
        <v>4381</v>
      </c>
      <c r="B1107" s="1" t="s">
        <v>203</v>
      </c>
      <c r="C1107" s="1">
        <v>1</v>
      </c>
      <c r="D1107" s="1" t="s">
        <v>4382</v>
      </c>
      <c r="E1107" s="1">
        <v>1422</v>
      </c>
      <c r="F1107" s="1" t="s">
        <v>4381</v>
      </c>
      <c r="G1107" s="1">
        <v>1</v>
      </c>
      <c r="L1107" s="1">
        <v>4700</v>
      </c>
      <c r="N1107" s="1">
        <v>300</v>
      </c>
      <c r="P1107" s="1">
        <v>100</v>
      </c>
      <c r="R1107" s="1">
        <v>40</v>
      </c>
      <c r="Z1107" s="1">
        <v>0.05</v>
      </c>
      <c r="AA1107" s="1">
        <v>3</v>
      </c>
      <c r="AB1107" s="1">
        <v>1</v>
      </c>
      <c r="AC1107" s="1">
        <v>0.8</v>
      </c>
      <c r="AH1107" s="1">
        <v>0</v>
      </c>
      <c r="AI1107" s="1">
        <v>1</v>
      </c>
      <c r="AJ1107" s="1" t="s">
        <v>4383</v>
      </c>
      <c r="AK1107" s="1" t="s">
        <v>4384</v>
      </c>
      <c r="AL1107" s="1" t="s">
        <v>228</v>
      </c>
      <c r="AN1107" s="22" t="s">
        <v>9767</v>
      </c>
      <c r="AX1107" s="1">
        <v>1</v>
      </c>
      <c r="AZ1107" s="1">
        <v>0.1</v>
      </c>
      <c r="BG1107" s="1" t="s">
        <v>4381</v>
      </c>
      <c r="BM1107" s="1" t="s">
        <v>1473</v>
      </c>
      <c r="BQ1107" s="1" t="s">
        <v>207</v>
      </c>
      <c r="BR1107" s="1" t="s">
        <v>208</v>
      </c>
      <c r="BS1107" s="1" t="s">
        <v>229</v>
      </c>
      <c r="BT1107" s="1" t="s">
        <v>210</v>
      </c>
      <c r="BX1107" s="1">
        <v>1</v>
      </c>
    </row>
    <row r="1108" spans="1:76" x14ac:dyDescent="0.25">
      <c r="A1108" s="1" t="s">
        <v>4385</v>
      </c>
      <c r="B1108" s="1" t="s">
        <v>203</v>
      </c>
      <c r="C1108" s="1">
        <v>1</v>
      </c>
      <c r="D1108" s="1" t="s">
        <v>4386</v>
      </c>
      <c r="E1108" s="1">
        <v>1422</v>
      </c>
      <c r="F1108" s="1" t="s">
        <v>4385</v>
      </c>
      <c r="G1108" s="1">
        <v>1</v>
      </c>
      <c r="L1108" s="1">
        <v>5500</v>
      </c>
      <c r="N1108" s="1">
        <v>350</v>
      </c>
      <c r="P1108" s="1">
        <v>100</v>
      </c>
      <c r="R1108" s="1">
        <v>40</v>
      </c>
      <c r="Z1108" s="1">
        <v>0.05</v>
      </c>
      <c r="AA1108" s="1">
        <v>3</v>
      </c>
      <c r="AB1108" s="1">
        <v>1</v>
      </c>
      <c r="AC1108" s="1">
        <v>0.8</v>
      </c>
      <c r="AH1108" s="1">
        <v>0</v>
      </c>
      <c r="AI1108" s="1">
        <v>1</v>
      </c>
      <c r="AJ1108" s="1" t="s">
        <v>4387</v>
      </c>
      <c r="AK1108" s="1" t="s">
        <v>4384</v>
      </c>
      <c r="AL1108" s="1" t="s">
        <v>228</v>
      </c>
      <c r="AN1108" s="22" t="s">
        <v>9767</v>
      </c>
      <c r="AX1108" s="1">
        <v>1</v>
      </c>
      <c r="AZ1108" s="1">
        <v>0.1</v>
      </c>
      <c r="BG1108" s="1" t="s">
        <v>4385</v>
      </c>
      <c r="BM1108" s="1" t="s">
        <v>1473</v>
      </c>
      <c r="BQ1108" s="1" t="s">
        <v>207</v>
      </c>
      <c r="BR1108" s="1" t="s">
        <v>208</v>
      </c>
      <c r="BS1108" s="1" t="s">
        <v>229</v>
      </c>
      <c r="BT1108" s="1" t="s">
        <v>210</v>
      </c>
      <c r="BX1108" s="1">
        <v>1</v>
      </c>
    </row>
    <row r="1109" spans="1:76" x14ac:dyDescent="0.25">
      <c r="A1109" s="1" t="s">
        <v>4388</v>
      </c>
      <c r="B1109" s="1" t="s">
        <v>203</v>
      </c>
      <c r="C1109" s="1">
        <v>1</v>
      </c>
      <c r="D1109" s="1" t="s">
        <v>4389</v>
      </c>
      <c r="E1109" s="1">
        <v>1423</v>
      </c>
      <c r="F1109" s="1" t="s">
        <v>4388</v>
      </c>
      <c r="G1109" s="1">
        <v>1</v>
      </c>
      <c r="L1109" s="1">
        <v>6500</v>
      </c>
      <c r="N1109" s="1">
        <v>650</v>
      </c>
      <c r="P1109" s="1">
        <v>4000</v>
      </c>
      <c r="R1109" s="1">
        <v>90</v>
      </c>
      <c r="Z1109" s="1">
        <v>0.05</v>
      </c>
      <c r="AA1109" s="1">
        <v>5</v>
      </c>
      <c r="AB1109" s="1">
        <v>4</v>
      </c>
      <c r="AC1109" s="1">
        <v>0.6</v>
      </c>
      <c r="AH1109" s="1">
        <v>0</v>
      </c>
      <c r="AI1109" s="1">
        <v>1</v>
      </c>
      <c r="AJ1109" s="1" t="s">
        <v>4390</v>
      </c>
      <c r="AK1109" s="1" t="s">
        <v>4391</v>
      </c>
      <c r="AL1109" s="1" t="s">
        <v>228</v>
      </c>
      <c r="AN1109" s="22" t="s">
        <v>9767</v>
      </c>
      <c r="AX1109" s="1">
        <v>1</v>
      </c>
      <c r="AZ1109" s="1">
        <v>0.1</v>
      </c>
      <c r="BG1109" s="1" t="s">
        <v>4388</v>
      </c>
      <c r="BM1109" s="1" t="s">
        <v>1473</v>
      </c>
      <c r="BQ1109" s="1" t="s">
        <v>207</v>
      </c>
      <c r="BR1109" s="1" t="s">
        <v>208</v>
      </c>
      <c r="BS1109" s="1" t="s">
        <v>229</v>
      </c>
      <c r="BT1109" s="1" t="s">
        <v>210</v>
      </c>
      <c r="BX1109" s="1">
        <v>1</v>
      </c>
    </row>
    <row r="1110" spans="1:76" x14ac:dyDescent="0.25">
      <c r="A1110" s="1" t="s">
        <v>4392</v>
      </c>
      <c r="B1110" s="1" t="s">
        <v>203</v>
      </c>
      <c r="C1110" s="1">
        <v>1</v>
      </c>
      <c r="D1110" s="1" t="s">
        <v>4393</v>
      </c>
      <c r="E1110" s="1">
        <v>1423</v>
      </c>
      <c r="F1110" s="1" t="s">
        <v>4392</v>
      </c>
      <c r="G1110" s="1">
        <v>1</v>
      </c>
      <c r="L1110" s="1">
        <v>8000</v>
      </c>
      <c r="N1110" s="1">
        <v>700</v>
      </c>
      <c r="P1110" s="1">
        <v>4000</v>
      </c>
      <c r="R1110" s="1">
        <v>90</v>
      </c>
      <c r="Z1110" s="1">
        <v>0.05</v>
      </c>
      <c r="AA1110" s="1">
        <v>5</v>
      </c>
      <c r="AB1110" s="1">
        <v>4</v>
      </c>
      <c r="AC1110" s="1">
        <v>0.6</v>
      </c>
      <c r="AH1110" s="1">
        <v>0</v>
      </c>
      <c r="AI1110" s="1">
        <v>1</v>
      </c>
      <c r="AJ1110" s="1" t="s">
        <v>4394</v>
      </c>
      <c r="AK1110" s="1" t="s">
        <v>4391</v>
      </c>
      <c r="AL1110" s="1" t="s">
        <v>228</v>
      </c>
      <c r="AN1110" s="22" t="s">
        <v>9767</v>
      </c>
      <c r="AX1110" s="1">
        <v>1</v>
      </c>
      <c r="AZ1110" s="1">
        <v>0.1</v>
      </c>
      <c r="BG1110" s="1" t="s">
        <v>4392</v>
      </c>
      <c r="BM1110" s="1" t="s">
        <v>1473</v>
      </c>
      <c r="BQ1110" s="1" t="s">
        <v>207</v>
      </c>
      <c r="BR1110" s="1" t="s">
        <v>208</v>
      </c>
      <c r="BS1110" s="1" t="s">
        <v>229</v>
      </c>
      <c r="BT1110" s="1" t="s">
        <v>210</v>
      </c>
      <c r="BX1110" s="1">
        <v>1</v>
      </c>
    </row>
    <row r="1111" spans="1:76" x14ac:dyDescent="0.25">
      <c r="A1111" s="1" t="s">
        <v>4395</v>
      </c>
      <c r="B1111" s="1" t="s">
        <v>203</v>
      </c>
      <c r="C1111" s="1">
        <v>1</v>
      </c>
      <c r="D1111" s="1" t="s">
        <v>4396</v>
      </c>
      <c r="E1111" s="1">
        <v>1424</v>
      </c>
      <c r="F1111" s="1" t="s">
        <v>4395</v>
      </c>
      <c r="G1111" s="1">
        <v>1</v>
      </c>
      <c r="L1111" s="1">
        <v>6000</v>
      </c>
      <c r="N1111" s="1">
        <v>300</v>
      </c>
      <c r="P1111" s="1">
        <v>100</v>
      </c>
      <c r="R1111" s="1">
        <v>10</v>
      </c>
      <c r="Z1111" s="1">
        <v>0.05</v>
      </c>
      <c r="AA1111" s="1">
        <v>4</v>
      </c>
      <c r="AB1111" s="1">
        <v>2</v>
      </c>
      <c r="AC1111" s="1">
        <v>1</v>
      </c>
      <c r="AH1111" s="1">
        <v>0</v>
      </c>
      <c r="AI1111" s="1">
        <v>1</v>
      </c>
      <c r="AJ1111" s="1" t="s">
        <v>4397</v>
      </c>
      <c r="AK1111" s="1" t="s">
        <v>4398</v>
      </c>
      <c r="AL1111" s="1" t="s">
        <v>228</v>
      </c>
      <c r="AN1111" s="22" t="s">
        <v>9767</v>
      </c>
      <c r="AX1111" s="1">
        <v>1</v>
      </c>
      <c r="AZ1111" s="1">
        <v>0.1</v>
      </c>
      <c r="BG1111" s="1" t="s">
        <v>4395</v>
      </c>
      <c r="BM1111" s="1" t="s">
        <v>4399</v>
      </c>
      <c r="BQ1111" s="1" t="s">
        <v>207</v>
      </c>
      <c r="BR1111" s="1" t="s">
        <v>208</v>
      </c>
      <c r="BS1111" s="1" t="s">
        <v>229</v>
      </c>
      <c r="BT1111" s="1" t="s">
        <v>210</v>
      </c>
      <c r="BX1111" s="1">
        <v>1</v>
      </c>
    </row>
    <row r="1112" spans="1:76" x14ac:dyDescent="0.25">
      <c r="A1112" s="1" t="s">
        <v>4400</v>
      </c>
      <c r="B1112" s="1" t="s">
        <v>203</v>
      </c>
      <c r="C1112" s="1">
        <v>1</v>
      </c>
      <c r="D1112" s="1" t="s">
        <v>4401</v>
      </c>
      <c r="E1112" s="1">
        <v>1424</v>
      </c>
      <c r="F1112" s="1" t="s">
        <v>4400</v>
      </c>
      <c r="G1112" s="1">
        <v>1</v>
      </c>
      <c r="L1112" s="1">
        <v>6500</v>
      </c>
      <c r="N1112" s="1">
        <v>400</v>
      </c>
      <c r="P1112" s="1">
        <v>130</v>
      </c>
      <c r="R1112" s="1">
        <v>10</v>
      </c>
      <c r="Z1112" s="1">
        <v>0.05</v>
      </c>
      <c r="AA1112" s="1">
        <v>4</v>
      </c>
      <c r="AB1112" s="1">
        <v>2</v>
      </c>
      <c r="AC1112" s="1">
        <v>1</v>
      </c>
      <c r="AH1112" s="1">
        <v>0</v>
      </c>
      <c r="AI1112" s="1">
        <v>1</v>
      </c>
      <c r="AJ1112" s="1" t="s">
        <v>4402</v>
      </c>
      <c r="AK1112" s="1" t="s">
        <v>4398</v>
      </c>
      <c r="AL1112" s="1" t="s">
        <v>228</v>
      </c>
      <c r="AN1112" s="22" t="s">
        <v>9767</v>
      </c>
      <c r="AX1112" s="1">
        <v>1</v>
      </c>
      <c r="AZ1112" s="1">
        <v>0.1</v>
      </c>
      <c r="BG1112" s="1" t="s">
        <v>4400</v>
      </c>
      <c r="BM1112" s="1" t="s">
        <v>4399</v>
      </c>
      <c r="BQ1112" s="1" t="s">
        <v>207</v>
      </c>
      <c r="BR1112" s="1" t="s">
        <v>208</v>
      </c>
      <c r="BS1112" s="1" t="s">
        <v>229</v>
      </c>
      <c r="BT1112" s="1" t="s">
        <v>210</v>
      </c>
      <c r="BX1112" s="1">
        <v>1</v>
      </c>
    </row>
    <row r="1113" spans="1:76" x14ac:dyDescent="0.25">
      <c r="A1113" s="1" t="s">
        <v>4403</v>
      </c>
      <c r="B1113" s="1" t="s">
        <v>203</v>
      </c>
      <c r="C1113" s="1">
        <v>1</v>
      </c>
      <c r="D1113" s="1" t="s">
        <v>4404</v>
      </c>
      <c r="E1113" s="1">
        <v>1425</v>
      </c>
      <c r="F1113" s="1" t="s">
        <v>4403</v>
      </c>
      <c r="G1113" s="1">
        <v>1</v>
      </c>
      <c r="L1113" s="1">
        <v>20000</v>
      </c>
      <c r="N1113" s="1">
        <v>800</v>
      </c>
      <c r="P1113" s="1">
        <v>1000</v>
      </c>
      <c r="R1113" s="1">
        <v>50</v>
      </c>
      <c r="Z1113" s="1">
        <v>0.05</v>
      </c>
      <c r="AA1113" s="1">
        <v>5</v>
      </c>
      <c r="AB1113" s="1">
        <v>4</v>
      </c>
      <c r="AC1113" s="1">
        <v>0.6</v>
      </c>
      <c r="AH1113" s="1">
        <v>0</v>
      </c>
      <c r="AI1113" s="1">
        <v>1</v>
      </c>
      <c r="AJ1113" s="1" t="s">
        <v>4405</v>
      </c>
      <c r="AK1113" s="1" t="s">
        <v>4406</v>
      </c>
      <c r="AL1113" s="1" t="s">
        <v>228</v>
      </c>
      <c r="AN1113" s="22" t="s">
        <v>9767</v>
      </c>
      <c r="AX1113" s="1">
        <v>1</v>
      </c>
      <c r="AZ1113" s="1">
        <v>0.1</v>
      </c>
      <c r="BG1113" s="1" t="s">
        <v>4403</v>
      </c>
      <c r="BM1113" s="1" t="s">
        <v>1063</v>
      </c>
      <c r="BQ1113" s="1" t="s">
        <v>3739</v>
      </c>
      <c r="BR1113" s="1" t="s">
        <v>271</v>
      </c>
      <c r="BS1113" s="1" t="s">
        <v>1612</v>
      </c>
      <c r="BT1113" s="1" t="s">
        <v>3196</v>
      </c>
      <c r="BX1113" s="1">
        <v>1</v>
      </c>
    </row>
    <row r="1114" spans="1:76" x14ac:dyDescent="0.25">
      <c r="A1114" s="1" t="s">
        <v>4407</v>
      </c>
      <c r="B1114" s="1" t="s">
        <v>203</v>
      </c>
      <c r="C1114" s="1">
        <v>1</v>
      </c>
      <c r="D1114" s="1" t="s">
        <v>4408</v>
      </c>
      <c r="E1114" s="1">
        <v>1425</v>
      </c>
      <c r="F1114" s="1" t="s">
        <v>4407</v>
      </c>
      <c r="G1114" s="1">
        <v>1</v>
      </c>
      <c r="L1114" s="1">
        <v>25000</v>
      </c>
      <c r="N1114" s="1">
        <v>1200</v>
      </c>
      <c r="P1114" s="1">
        <v>1200</v>
      </c>
      <c r="R1114" s="1">
        <v>50</v>
      </c>
      <c r="Z1114" s="1">
        <v>0.05</v>
      </c>
      <c r="AA1114" s="1">
        <v>5</v>
      </c>
      <c r="AB1114" s="1">
        <v>4</v>
      </c>
      <c r="AC1114" s="1">
        <v>0.6</v>
      </c>
      <c r="AH1114" s="1">
        <v>0</v>
      </c>
      <c r="AI1114" s="1">
        <v>1</v>
      </c>
      <c r="AJ1114" s="1" t="s">
        <v>4409</v>
      </c>
      <c r="AK1114" s="1" t="s">
        <v>4406</v>
      </c>
      <c r="AL1114" s="1" t="s">
        <v>228</v>
      </c>
      <c r="AN1114" s="22" t="s">
        <v>9767</v>
      </c>
      <c r="AX1114" s="1">
        <v>1</v>
      </c>
      <c r="AZ1114" s="1">
        <v>0.1</v>
      </c>
      <c r="BG1114" s="1" t="s">
        <v>4407</v>
      </c>
      <c r="BM1114" s="1" t="s">
        <v>1063</v>
      </c>
      <c r="BQ1114" s="1" t="s">
        <v>3739</v>
      </c>
      <c r="BR1114" s="1" t="s">
        <v>271</v>
      </c>
      <c r="BS1114" s="1" t="s">
        <v>1612</v>
      </c>
      <c r="BT1114" s="1" t="s">
        <v>3196</v>
      </c>
      <c r="BX1114" s="1">
        <v>1</v>
      </c>
    </row>
    <row r="1115" spans="1:76" x14ac:dyDescent="0.25">
      <c r="A1115" s="1" t="s">
        <v>4410</v>
      </c>
      <c r="B1115" s="1" t="s">
        <v>203</v>
      </c>
      <c r="C1115" s="1">
        <v>1</v>
      </c>
      <c r="D1115" s="1" t="s">
        <v>4404</v>
      </c>
      <c r="E1115" s="1">
        <v>1425</v>
      </c>
      <c r="F1115" s="1" t="s">
        <v>4403</v>
      </c>
      <c r="G1115" s="1">
        <v>1</v>
      </c>
      <c r="L1115" s="1">
        <v>20000</v>
      </c>
      <c r="N1115" s="1">
        <v>800</v>
      </c>
      <c r="P1115" s="1">
        <v>1000</v>
      </c>
      <c r="R1115" s="1">
        <v>50</v>
      </c>
      <c r="Z1115" s="1">
        <v>0.05</v>
      </c>
      <c r="AA1115" s="1">
        <v>5</v>
      </c>
      <c r="AB1115" s="1">
        <v>4</v>
      </c>
      <c r="AC1115" s="1">
        <v>0.6</v>
      </c>
      <c r="AH1115" s="1">
        <v>0</v>
      </c>
      <c r="AI1115" s="1">
        <v>1</v>
      </c>
      <c r="AJ1115" s="1" t="s">
        <v>4411</v>
      </c>
      <c r="AK1115" s="1" t="s">
        <v>4406</v>
      </c>
      <c r="AL1115" s="1" t="s">
        <v>228</v>
      </c>
      <c r="AN1115" s="22" t="s">
        <v>9767</v>
      </c>
      <c r="AX1115" s="1">
        <v>1</v>
      </c>
      <c r="AZ1115" s="1">
        <v>0.1</v>
      </c>
      <c r="BG1115" s="1" t="s">
        <v>4403</v>
      </c>
      <c r="BM1115" s="1" t="s">
        <v>1063</v>
      </c>
      <c r="BQ1115" s="1" t="s">
        <v>4412</v>
      </c>
      <c r="BR1115" s="1" t="s">
        <v>4413</v>
      </c>
      <c r="BS1115" s="1" t="s">
        <v>4414</v>
      </c>
      <c r="BT1115" s="1" t="s">
        <v>3183</v>
      </c>
      <c r="BX1115" s="1">
        <v>1</v>
      </c>
    </row>
    <row r="1116" spans="1:76" x14ac:dyDescent="0.25">
      <c r="A1116" s="1" t="s">
        <v>4415</v>
      </c>
      <c r="B1116" s="1" t="s">
        <v>203</v>
      </c>
      <c r="C1116" s="1">
        <v>1</v>
      </c>
      <c r="D1116" s="1" t="s">
        <v>4408</v>
      </c>
      <c r="E1116" s="1">
        <v>1425</v>
      </c>
      <c r="F1116" s="1" t="s">
        <v>4407</v>
      </c>
      <c r="G1116" s="1">
        <v>1</v>
      </c>
      <c r="L1116" s="1">
        <v>25000</v>
      </c>
      <c r="N1116" s="1">
        <v>1200</v>
      </c>
      <c r="P1116" s="1">
        <v>1200</v>
      </c>
      <c r="R1116" s="1">
        <v>50</v>
      </c>
      <c r="Z1116" s="1">
        <v>0.05</v>
      </c>
      <c r="AA1116" s="1">
        <v>5</v>
      </c>
      <c r="AB1116" s="1">
        <v>4</v>
      </c>
      <c r="AC1116" s="1">
        <v>0.6</v>
      </c>
      <c r="AH1116" s="1">
        <v>0</v>
      </c>
      <c r="AI1116" s="1">
        <v>1</v>
      </c>
      <c r="AJ1116" s="1" t="s">
        <v>4416</v>
      </c>
      <c r="AK1116" s="1" t="s">
        <v>4406</v>
      </c>
      <c r="AL1116" s="1" t="s">
        <v>228</v>
      </c>
      <c r="AN1116" s="22" t="s">
        <v>9767</v>
      </c>
      <c r="AX1116" s="1">
        <v>1</v>
      </c>
      <c r="AZ1116" s="1">
        <v>0.1</v>
      </c>
      <c r="BG1116" s="1" t="s">
        <v>4407</v>
      </c>
      <c r="BM1116" s="1" t="s">
        <v>1063</v>
      </c>
      <c r="BQ1116" s="1" t="s">
        <v>4412</v>
      </c>
      <c r="BR1116" s="1" t="s">
        <v>4413</v>
      </c>
      <c r="BS1116" s="1" t="s">
        <v>4414</v>
      </c>
      <c r="BT1116" s="1" t="s">
        <v>3183</v>
      </c>
      <c r="BX1116" s="1">
        <v>1</v>
      </c>
    </row>
    <row r="1117" spans="1:76" x14ac:dyDescent="0.25">
      <c r="A1117" s="1" t="s">
        <v>4417</v>
      </c>
      <c r="B1117" s="1" t="s">
        <v>203</v>
      </c>
      <c r="C1117" s="1">
        <v>1</v>
      </c>
      <c r="D1117" s="1" t="s">
        <v>4418</v>
      </c>
      <c r="E1117" s="1">
        <v>1426</v>
      </c>
      <c r="F1117" s="1" t="s">
        <v>4417</v>
      </c>
      <c r="G1117" s="1">
        <v>1</v>
      </c>
      <c r="L1117" s="1">
        <v>12000</v>
      </c>
      <c r="N1117" s="1">
        <v>0</v>
      </c>
      <c r="P1117" s="1">
        <v>200</v>
      </c>
      <c r="R1117" s="1">
        <v>10</v>
      </c>
      <c r="Z1117" s="1">
        <v>0.05</v>
      </c>
      <c r="AA1117" s="1">
        <v>4</v>
      </c>
      <c r="AB1117" s="1">
        <v>3</v>
      </c>
      <c r="AC1117" s="1">
        <v>1.3</v>
      </c>
      <c r="AH1117" s="1">
        <v>0</v>
      </c>
      <c r="AI1117" s="1">
        <v>1</v>
      </c>
      <c r="AJ1117" s="1" t="s">
        <v>4419</v>
      </c>
      <c r="AK1117" s="1" t="s">
        <v>4420</v>
      </c>
      <c r="AL1117" s="1" t="s">
        <v>228</v>
      </c>
      <c r="AN1117" s="22" t="s">
        <v>9767</v>
      </c>
      <c r="AX1117" s="1">
        <v>1</v>
      </c>
      <c r="AZ1117" s="1">
        <v>0.1</v>
      </c>
      <c r="BG1117" s="1" t="s">
        <v>4417</v>
      </c>
      <c r="BM1117" s="1" t="s">
        <v>4421</v>
      </c>
      <c r="BQ1117" s="1" t="s">
        <v>4422</v>
      </c>
      <c r="BR1117" s="1" t="s">
        <v>4423</v>
      </c>
      <c r="BS1117" s="1" t="s">
        <v>4424</v>
      </c>
      <c r="BT1117" s="1" t="s">
        <v>4425</v>
      </c>
      <c r="BX1117" s="1">
        <v>1</v>
      </c>
    </row>
    <row r="1118" spans="1:76" x14ac:dyDescent="0.25">
      <c r="A1118" s="1" t="s">
        <v>4426</v>
      </c>
      <c r="B1118" s="1" t="s">
        <v>203</v>
      </c>
      <c r="C1118" s="1">
        <v>1</v>
      </c>
      <c r="D1118" s="1" t="s">
        <v>4427</v>
      </c>
      <c r="E1118" s="1">
        <v>1426</v>
      </c>
      <c r="F1118" s="1" t="s">
        <v>4426</v>
      </c>
      <c r="G1118" s="1">
        <v>1</v>
      </c>
      <c r="L1118" s="1">
        <v>15000</v>
      </c>
      <c r="N1118" s="1">
        <v>0</v>
      </c>
      <c r="P1118" s="1">
        <v>250</v>
      </c>
      <c r="R1118" s="1">
        <v>10</v>
      </c>
      <c r="Z1118" s="1">
        <v>0.05</v>
      </c>
      <c r="AA1118" s="1">
        <v>4</v>
      </c>
      <c r="AB1118" s="1">
        <v>3</v>
      </c>
      <c r="AC1118" s="1">
        <v>1.3</v>
      </c>
      <c r="AH1118" s="1">
        <v>0</v>
      </c>
      <c r="AI1118" s="1">
        <v>1</v>
      </c>
      <c r="AJ1118" s="1" t="s">
        <v>4428</v>
      </c>
      <c r="AK1118" s="1" t="s">
        <v>4420</v>
      </c>
      <c r="AL1118" s="1" t="s">
        <v>228</v>
      </c>
      <c r="AN1118" s="22" t="s">
        <v>9767</v>
      </c>
      <c r="AX1118" s="1">
        <v>1</v>
      </c>
      <c r="AZ1118" s="1">
        <v>0.1</v>
      </c>
      <c r="BG1118" s="1" t="s">
        <v>4426</v>
      </c>
      <c r="BM1118" s="1" t="s">
        <v>4421</v>
      </c>
      <c r="BQ1118" s="1" t="s">
        <v>4422</v>
      </c>
      <c r="BR1118" s="1" t="s">
        <v>4423</v>
      </c>
      <c r="BS1118" s="1" t="s">
        <v>4424</v>
      </c>
      <c r="BT1118" s="1" t="s">
        <v>4425</v>
      </c>
      <c r="BX1118" s="1">
        <v>1</v>
      </c>
    </row>
    <row r="1119" spans="1:76" x14ac:dyDescent="0.25">
      <c r="A1119" s="1" t="s">
        <v>4429</v>
      </c>
      <c r="B1119" s="1" t="s">
        <v>203</v>
      </c>
      <c r="C1119" s="1">
        <v>1</v>
      </c>
      <c r="D1119" s="1" t="s">
        <v>4418</v>
      </c>
      <c r="E1119" s="1">
        <v>1426</v>
      </c>
      <c r="F1119" s="1" t="s">
        <v>4417</v>
      </c>
      <c r="G1119" s="1">
        <v>1</v>
      </c>
      <c r="L1119" s="1">
        <v>12000</v>
      </c>
      <c r="N1119" s="1">
        <v>0</v>
      </c>
      <c r="P1119" s="1">
        <v>200</v>
      </c>
      <c r="R1119" s="1">
        <v>10</v>
      </c>
      <c r="Z1119" s="1">
        <v>0.05</v>
      </c>
      <c r="AA1119" s="1">
        <v>4</v>
      </c>
      <c r="AB1119" s="1">
        <v>3</v>
      </c>
      <c r="AC1119" s="1">
        <v>1.3</v>
      </c>
      <c r="AH1119" s="1">
        <v>0</v>
      </c>
      <c r="AI1119" s="1">
        <v>1</v>
      </c>
      <c r="AJ1119" s="1" t="s">
        <v>4430</v>
      </c>
      <c r="AK1119" s="1" t="s">
        <v>4420</v>
      </c>
      <c r="AL1119" s="1" t="s">
        <v>228</v>
      </c>
      <c r="AN1119" s="22" t="s">
        <v>9767</v>
      </c>
      <c r="AX1119" s="1">
        <v>1</v>
      </c>
      <c r="AZ1119" s="1">
        <v>0.1</v>
      </c>
      <c r="BG1119" s="1" t="s">
        <v>4417</v>
      </c>
      <c r="BM1119" s="1" t="s">
        <v>4421</v>
      </c>
      <c r="BQ1119" s="1" t="s">
        <v>207</v>
      </c>
      <c r="BR1119" s="1" t="s">
        <v>208</v>
      </c>
      <c r="BS1119" s="1" t="s">
        <v>229</v>
      </c>
      <c r="BT1119" s="1" t="s">
        <v>210</v>
      </c>
      <c r="BX1119" s="1">
        <v>1</v>
      </c>
    </row>
    <row r="1120" spans="1:76" x14ac:dyDescent="0.25">
      <c r="A1120" s="1" t="s">
        <v>4431</v>
      </c>
      <c r="B1120" s="1" t="s">
        <v>203</v>
      </c>
      <c r="C1120" s="1">
        <v>1</v>
      </c>
      <c r="D1120" s="1" t="s">
        <v>4427</v>
      </c>
      <c r="E1120" s="1">
        <v>1426</v>
      </c>
      <c r="F1120" s="1" t="s">
        <v>4426</v>
      </c>
      <c r="G1120" s="1">
        <v>1</v>
      </c>
      <c r="L1120" s="1">
        <v>15000</v>
      </c>
      <c r="N1120" s="1">
        <v>0</v>
      </c>
      <c r="P1120" s="1">
        <v>250</v>
      </c>
      <c r="R1120" s="1">
        <v>10</v>
      </c>
      <c r="Z1120" s="1">
        <v>0.05</v>
      </c>
      <c r="AA1120" s="1">
        <v>4</v>
      </c>
      <c r="AB1120" s="1">
        <v>3</v>
      </c>
      <c r="AC1120" s="1">
        <v>1.3</v>
      </c>
      <c r="AH1120" s="1">
        <v>0</v>
      </c>
      <c r="AI1120" s="1">
        <v>1</v>
      </c>
      <c r="AJ1120" s="1" t="s">
        <v>4432</v>
      </c>
      <c r="AK1120" s="1" t="s">
        <v>4420</v>
      </c>
      <c r="AL1120" s="1" t="s">
        <v>228</v>
      </c>
      <c r="AN1120" s="22" t="s">
        <v>9767</v>
      </c>
      <c r="AX1120" s="1">
        <v>1</v>
      </c>
      <c r="AZ1120" s="1">
        <v>0.1</v>
      </c>
      <c r="BG1120" s="1" t="s">
        <v>4426</v>
      </c>
      <c r="BM1120" s="1" t="s">
        <v>4421</v>
      </c>
      <c r="BQ1120" s="1" t="s">
        <v>207</v>
      </c>
      <c r="BR1120" s="1" t="s">
        <v>208</v>
      </c>
      <c r="BS1120" s="1" t="s">
        <v>229</v>
      </c>
      <c r="BT1120" s="1" t="s">
        <v>210</v>
      </c>
      <c r="BX1120" s="1">
        <v>1</v>
      </c>
    </row>
    <row r="1121" spans="1:76" x14ac:dyDescent="0.25">
      <c r="A1121" s="1" t="s">
        <v>4433</v>
      </c>
      <c r="B1121" s="1" t="s">
        <v>203</v>
      </c>
      <c r="C1121" s="1">
        <v>1</v>
      </c>
      <c r="D1121" s="1" t="s">
        <v>4434</v>
      </c>
      <c r="E1121" s="1">
        <v>1427</v>
      </c>
      <c r="F1121" s="1" t="s">
        <v>4433</v>
      </c>
      <c r="G1121" s="1">
        <v>1</v>
      </c>
      <c r="L1121" s="1">
        <v>15000</v>
      </c>
      <c r="N1121" s="1">
        <v>900</v>
      </c>
      <c r="P1121" s="1">
        <v>500</v>
      </c>
      <c r="R1121" s="1">
        <v>50</v>
      </c>
      <c r="Z1121" s="1">
        <v>0.05</v>
      </c>
      <c r="AA1121" s="1">
        <v>5</v>
      </c>
      <c r="AB1121" s="1">
        <v>4</v>
      </c>
      <c r="AC1121" s="1">
        <v>0.7</v>
      </c>
      <c r="AH1121" s="1">
        <v>0</v>
      </c>
      <c r="AI1121" s="1">
        <v>1</v>
      </c>
      <c r="AJ1121" s="1" t="s">
        <v>4435</v>
      </c>
      <c r="AK1121" s="1" t="s">
        <v>4436</v>
      </c>
      <c r="AL1121" s="1" t="s">
        <v>228</v>
      </c>
      <c r="AN1121" s="22" t="s">
        <v>9767</v>
      </c>
      <c r="AX1121" s="1">
        <v>1</v>
      </c>
      <c r="AZ1121" s="1">
        <v>0.1</v>
      </c>
      <c r="BG1121" s="1" t="s">
        <v>4433</v>
      </c>
      <c r="BM1121" s="1" t="s">
        <v>1073</v>
      </c>
      <c r="BQ1121" s="1" t="s">
        <v>207</v>
      </c>
      <c r="BR1121" s="1" t="s">
        <v>208</v>
      </c>
      <c r="BS1121" s="1" t="s">
        <v>229</v>
      </c>
      <c r="BT1121" s="1" t="s">
        <v>210</v>
      </c>
      <c r="BX1121" s="1">
        <v>1</v>
      </c>
    </row>
    <row r="1122" spans="1:76" x14ac:dyDescent="0.25">
      <c r="A1122" s="1" t="s">
        <v>4437</v>
      </c>
      <c r="B1122" s="1" t="s">
        <v>203</v>
      </c>
      <c r="C1122" s="1">
        <v>1</v>
      </c>
      <c r="D1122" s="1" t="s">
        <v>4438</v>
      </c>
      <c r="E1122" s="1">
        <v>1427</v>
      </c>
      <c r="F1122" s="1" t="s">
        <v>4437</v>
      </c>
      <c r="G1122" s="1">
        <v>1</v>
      </c>
      <c r="L1122" s="1">
        <v>18000</v>
      </c>
      <c r="N1122" s="1">
        <v>1200</v>
      </c>
      <c r="P1122" s="1">
        <v>500</v>
      </c>
      <c r="R1122" s="1">
        <v>50</v>
      </c>
      <c r="Z1122" s="1">
        <v>0.05</v>
      </c>
      <c r="AA1122" s="1">
        <v>5</v>
      </c>
      <c r="AB1122" s="1">
        <v>4</v>
      </c>
      <c r="AC1122" s="1">
        <v>0.7</v>
      </c>
      <c r="AH1122" s="1">
        <v>0</v>
      </c>
      <c r="AI1122" s="1">
        <v>1</v>
      </c>
      <c r="AJ1122" s="1" t="s">
        <v>4439</v>
      </c>
      <c r="AK1122" s="1" t="s">
        <v>4436</v>
      </c>
      <c r="AL1122" s="1" t="s">
        <v>228</v>
      </c>
      <c r="AN1122" s="22" t="s">
        <v>9767</v>
      </c>
      <c r="AX1122" s="1">
        <v>1</v>
      </c>
      <c r="AZ1122" s="1">
        <v>0.1</v>
      </c>
      <c r="BG1122" s="1" t="s">
        <v>4437</v>
      </c>
      <c r="BM1122" s="1" t="s">
        <v>1073</v>
      </c>
      <c r="BQ1122" s="1" t="s">
        <v>207</v>
      </c>
      <c r="BR1122" s="1" t="s">
        <v>208</v>
      </c>
      <c r="BS1122" s="1" t="s">
        <v>229</v>
      </c>
      <c r="BT1122" s="1" t="s">
        <v>210</v>
      </c>
      <c r="BX1122" s="1">
        <v>1</v>
      </c>
    </row>
    <row r="1123" spans="1:76" x14ac:dyDescent="0.25">
      <c r="A1123" s="1" t="s">
        <v>4440</v>
      </c>
      <c r="B1123" s="1" t="s">
        <v>203</v>
      </c>
      <c r="C1123" s="1">
        <v>1</v>
      </c>
      <c r="D1123" s="1" t="s">
        <v>4441</v>
      </c>
      <c r="E1123" s="1">
        <v>1428</v>
      </c>
      <c r="F1123" s="1" t="s">
        <v>4440</v>
      </c>
      <c r="G1123" s="1">
        <v>1</v>
      </c>
      <c r="L1123" s="1">
        <v>3500</v>
      </c>
      <c r="N1123" s="1">
        <v>300</v>
      </c>
      <c r="P1123" s="1">
        <v>100</v>
      </c>
      <c r="R1123" s="1">
        <v>50</v>
      </c>
      <c r="Z1123" s="1">
        <v>0.05</v>
      </c>
      <c r="AA1123" s="1">
        <v>3</v>
      </c>
      <c r="AB1123" s="1">
        <v>1</v>
      </c>
      <c r="AC1123" s="1">
        <v>1</v>
      </c>
      <c r="AH1123" s="1">
        <v>0</v>
      </c>
      <c r="AI1123" s="1">
        <v>1</v>
      </c>
      <c r="AJ1123" s="1" t="s">
        <v>4442</v>
      </c>
      <c r="AK1123" s="1" t="s">
        <v>4443</v>
      </c>
      <c r="AL1123" s="1" t="s">
        <v>228</v>
      </c>
      <c r="AN1123" s="22" t="s">
        <v>9767</v>
      </c>
      <c r="AX1123" s="1">
        <v>1</v>
      </c>
      <c r="AZ1123" s="1">
        <v>0.1</v>
      </c>
      <c r="BG1123" s="1" t="s">
        <v>4440</v>
      </c>
      <c r="BM1123" s="1" t="s">
        <v>1473</v>
      </c>
      <c r="BQ1123" s="1" t="s">
        <v>207</v>
      </c>
      <c r="BR1123" s="1" t="s">
        <v>208</v>
      </c>
      <c r="BS1123" s="1" t="s">
        <v>229</v>
      </c>
      <c r="BT1123" s="1" t="s">
        <v>210</v>
      </c>
      <c r="BX1123" s="1">
        <v>1</v>
      </c>
    </row>
    <row r="1124" spans="1:76" x14ac:dyDescent="0.25">
      <c r="A1124" s="1" t="s">
        <v>4444</v>
      </c>
      <c r="B1124" s="1" t="s">
        <v>203</v>
      </c>
      <c r="C1124" s="1">
        <v>1</v>
      </c>
      <c r="D1124" s="1" t="s">
        <v>4445</v>
      </c>
      <c r="E1124" s="1">
        <v>1429</v>
      </c>
      <c r="F1124" s="1" t="s">
        <v>4444</v>
      </c>
      <c r="G1124" s="1">
        <v>1</v>
      </c>
      <c r="L1124" s="1">
        <v>8000</v>
      </c>
      <c r="N1124" s="1">
        <v>400</v>
      </c>
      <c r="P1124" s="1">
        <v>400</v>
      </c>
      <c r="R1124" s="1">
        <v>50</v>
      </c>
      <c r="Z1124" s="1">
        <v>0.05</v>
      </c>
      <c r="AA1124" s="1">
        <v>4</v>
      </c>
      <c r="AB1124" s="1">
        <v>4</v>
      </c>
      <c r="AC1124" s="1">
        <v>0.6</v>
      </c>
      <c r="AH1124" s="1">
        <v>0</v>
      </c>
      <c r="AI1124" s="1">
        <v>1</v>
      </c>
      <c r="AJ1124" s="1" t="s">
        <v>4446</v>
      </c>
      <c r="AK1124" s="1" t="s">
        <v>3383</v>
      </c>
      <c r="AL1124" s="1" t="s">
        <v>228</v>
      </c>
      <c r="AN1124" s="22" t="s">
        <v>9767</v>
      </c>
      <c r="AX1124" s="1">
        <v>1</v>
      </c>
      <c r="AZ1124" s="1">
        <v>0.1</v>
      </c>
      <c r="BG1124" s="1" t="s">
        <v>4444</v>
      </c>
      <c r="BM1124" s="1" t="s">
        <v>1073</v>
      </c>
      <c r="BQ1124" s="1" t="s">
        <v>207</v>
      </c>
      <c r="BR1124" s="1" t="s">
        <v>208</v>
      </c>
      <c r="BS1124" s="1" t="s">
        <v>229</v>
      </c>
      <c r="BT1124" s="1" t="s">
        <v>210</v>
      </c>
      <c r="BX1124" s="1">
        <v>1</v>
      </c>
    </row>
    <row r="1125" spans="1:76" x14ac:dyDescent="0.25">
      <c r="A1125" s="1" t="s">
        <v>4447</v>
      </c>
      <c r="B1125" s="1" t="s">
        <v>203</v>
      </c>
      <c r="C1125" s="1">
        <v>1</v>
      </c>
      <c r="D1125" s="1" t="s">
        <v>4448</v>
      </c>
      <c r="E1125" s="1">
        <v>1429</v>
      </c>
      <c r="F1125" s="1" t="s">
        <v>4447</v>
      </c>
      <c r="G1125" s="1">
        <v>1</v>
      </c>
      <c r="L1125" s="1">
        <v>10000</v>
      </c>
      <c r="N1125" s="1">
        <v>400</v>
      </c>
      <c r="P1125" s="1">
        <v>400</v>
      </c>
      <c r="R1125" s="1">
        <v>50</v>
      </c>
      <c r="Z1125" s="1">
        <v>0.05</v>
      </c>
      <c r="AA1125" s="1">
        <v>4</v>
      </c>
      <c r="AB1125" s="1">
        <v>4</v>
      </c>
      <c r="AC1125" s="1">
        <v>0.6</v>
      </c>
      <c r="AH1125" s="1">
        <v>0</v>
      </c>
      <c r="AI1125" s="1">
        <v>1</v>
      </c>
      <c r="AJ1125" s="1" t="s">
        <v>4446</v>
      </c>
      <c r="AK1125" s="1" t="s">
        <v>3383</v>
      </c>
      <c r="AL1125" s="1" t="s">
        <v>228</v>
      </c>
      <c r="AN1125" s="22" t="s">
        <v>9767</v>
      </c>
      <c r="AX1125" s="1">
        <v>1</v>
      </c>
      <c r="AZ1125" s="1">
        <v>0.1</v>
      </c>
      <c r="BG1125" s="1" t="s">
        <v>4447</v>
      </c>
      <c r="BM1125" s="1" t="s">
        <v>1073</v>
      </c>
      <c r="BQ1125" s="1" t="s">
        <v>207</v>
      </c>
      <c r="BR1125" s="1" t="s">
        <v>208</v>
      </c>
      <c r="BS1125" s="1" t="s">
        <v>229</v>
      </c>
      <c r="BT1125" s="1" t="s">
        <v>210</v>
      </c>
      <c r="BX1125" s="1">
        <v>1</v>
      </c>
    </row>
    <row r="1126" spans="1:76" x14ac:dyDescent="0.25">
      <c r="A1126" s="1" t="s">
        <v>4449</v>
      </c>
      <c r="B1126" s="1" t="s">
        <v>203</v>
      </c>
      <c r="C1126" s="1">
        <v>1</v>
      </c>
      <c r="D1126" s="1" t="s">
        <v>4450</v>
      </c>
      <c r="E1126" s="1">
        <v>1430</v>
      </c>
      <c r="F1126" s="1" t="s">
        <v>4449</v>
      </c>
      <c r="G1126" s="1">
        <v>1</v>
      </c>
      <c r="L1126" s="1">
        <v>100000</v>
      </c>
      <c r="N1126" s="1">
        <v>0</v>
      </c>
      <c r="P1126" s="1">
        <v>0</v>
      </c>
      <c r="R1126" s="1">
        <v>30</v>
      </c>
      <c r="Z1126" s="1">
        <v>0.05</v>
      </c>
      <c r="AA1126" s="1">
        <v>4</v>
      </c>
      <c r="AB1126" s="1">
        <v>7</v>
      </c>
      <c r="AC1126" s="1">
        <v>0.5</v>
      </c>
      <c r="AH1126" s="1">
        <v>0</v>
      </c>
      <c r="AI1126" s="1">
        <v>1</v>
      </c>
      <c r="AJ1126" s="1" t="s">
        <v>4451</v>
      </c>
      <c r="AK1126" s="1" t="s">
        <v>4452</v>
      </c>
      <c r="AL1126" s="1" t="s">
        <v>228</v>
      </c>
      <c r="AN1126" s="22" t="s">
        <v>9767</v>
      </c>
      <c r="AP1126" s="1">
        <v>1</v>
      </c>
      <c r="AX1126" s="1">
        <v>1</v>
      </c>
      <c r="AZ1126" s="1">
        <v>0.1</v>
      </c>
      <c r="BG1126" s="1" t="s">
        <v>4449</v>
      </c>
      <c r="BM1126" s="1" t="s">
        <v>4421</v>
      </c>
      <c r="BQ1126" s="1" t="s">
        <v>207</v>
      </c>
      <c r="BR1126" s="1" t="s">
        <v>208</v>
      </c>
      <c r="BS1126" s="1" t="s">
        <v>229</v>
      </c>
      <c r="BT1126" s="1" t="s">
        <v>210</v>
      </c>
      <c r="BX1126" s="1">
        <v>1</v>
      </c>
    </row>
    <row r="1127" spans="1:76" x14ac:dyDescent="0.25">
      <c r="A1127" s="1" t="s">
        <v>4453</v>
      </c>
      <c r="B1127" s="1" t="s">
        <v>203</v>
      </c>
      <c r="C1127" s="1">
        <v>1</v>
      </c>
      <c r="D1127" s="1" t="s">
        <v>4454</v>
      </c>
      <c r="E1127" s="1">
        <v>1430</v>
      </c>
      <c r="F1127" s="1" t="s">
        <v>4453</v>
      </c>
      <c r="G1127" s="1">
        <v>1</v>
      </c>
      <c r="L1127" s="1">
        <v>125000</v>
      </c>
      <c r="N1127" s="1">
        <v>0</v>
      </c>
      <c r="P1127" s="1">
        <v>0</v>
      </c>
      <c r="R1127" s="1">
        <v>30</v>
      </c>
      <c r="Z1127" s="1">
        <v>0.05</v>
      </c>
      <c r="AA1127" s="1">
        <v>4</v>
      </c>
      <c r="AB1127" s="1">
        <v>7</v>
      </c>
      <c r="AC1127" s="1">
        <v>0.5</v>
      </c>
      <c r="AH1127" s="1">
        <v>0</v>
      </c>
      <c r="AI1127" s="1">
        <v>1</v>
      </c>
      <c r="AJ1127" s="1" t="s">
        <v>4455</v>
      </c>
      <c r="AK1127" s="1" t="s">
        <v>4452</v>
      </c>
      <c r="AL1127" s="1" t="s">
        <v>228</v>
      </c>
      <c r="AN1127" s="22" t="s">
        <v>9767</v>
      </c>
      <c r="AP1127" s="1">
        <v>1</v>
      </c>
      <c r="AX1127" s="1">
        <v>1</v>
      </c>
      <c r="AZ1127" s="1">
        <v>0.1</v>
      </c>
      <c r="BG1127" s="1" t="s">
        <v>4453</v>
      </c>
      <c r="BM1127" s="1" t="s">
        <v>4421</v>
      </c>
      <c r="BQ1127" s="1" t="s">
        <v>207</v>
      </c>
      <c r="BR1127" s="1" t="s">
        <v>208</v>
      </c>
      <c r="BS1127" s="1" t="s">
        <v>229</v>
      </c>
      <c r="BT1127" s="1" t="s">
        <v>210</v>
      </c>
      <c r="BX1127" s="1">
        <v>1</v>
      </c>
    </row>
    <row r="1128" spans="1:76" x14ac:dyDescent="0.25">
      <c r="A1128" s="1" t="s">
        <v>4456</v>
      </c>
      <c r="B1128" s="1" t="s">
        <v>203</v>
      </c>
      <c r="C1128" s="1">
        <v>1</v>
      </c>
      <c r="D1128" s="1" t="s">
        <v>4457</v>
      </c>
      <c r="E1128" s="1">
        <v>1431</v>
      </c>
      <c r="F1128" s="1" t="s">
        <v>4456</v>
      </c>
      <c r="G1128" s="1">
        <v>1</v>
      </c>
      <c r="L1128" s="1">
        <v>15000</v>
      </c>
      <c r="N1128" s="1">
        <v>900</v>
      </c>
      <c r="P1128" s="1">
        <v>800</v>
      </c>
      <c r="R1128" s="1">
        <v>50</v>
      </c>
      <c r="Z1128" s="1">
        <v>0.05</v>
      </c>
      <c r="AA1128" s="1">
        <v>3.5</v>
      </c>
      <c r="AB1128" s="1">
        <v>4</v>
      </c>
      <c r="AC1128" s="1">
        <v>0.6</v>
      </c>
      <c r="AH1128" s="1">
        <v>0</v>
      </c>
      <c r="AI1128" s="1">
        <v>1</v>
      </c>
      <c r="AJ1128" s="1" t="s">
        <v>4458</v>
      </c>
      <c r="AK1128" s="1" t="s">
        <v>3515</v>
      </c>
      <c r="AL1128" s="1" t="s">
        <v>228</v>
      </c>
      <c r="AN1128" s="22" t="s">
        <v>9767</v>
      </c>
      <c r="AX1128" s="1">
        <v>1</v>
      </c>
      <c r="AZ1128" s="1">
        <v>0.1</v>
      </c>
      <c r="BG1128" s="1" t="s">
        <v>4456</v>
      </c>
      <c r="BM1128" s="1" t="s">
        <v>1063</v>
      </c>
      <c r="BQ1128" s="1" t="s">
        <v>207</v>
      </c>
      <c r="BR1128" s="1" t="s">
        <v>208</v>
      </c>
      <c r="BS1128" s="1" t="s">
        <v>229</v>
      </c>
      <c r="BT1128" s="1" t="s">
        <v>210</v>
      </c>
      <c r="BX1128" s="1">
        <v>1</v>
      </c>
    </row>
    <row r="1129" spans="1:76" x14ac:dyDescent="0.25">
      <c r="A1129" s="1" t="s">
        <v>4459</v>
      </c>
      <c r="B1129" s="1" t="s">
        <v>203</v>
      </c>
      <c r="C1129" s="1">
        <v>1</v>
      </c>
      <c r="D1129" s="1" t="s">
        <v>4460</v>
      </c>
      <c r="E1129" s="1">
        <v>1431</v>
      </c>
      <c r="F1129" s="1" t="s">
        <v>4459</v>
      </c>
      <c r="G1129" s="1">
        <v>1</v>
      </c>
      <c r="L1129" s="1">
        <v>18000</v>
      </c>
      <c r="N1129" s="1">
        <v>1200</v>
      </c>
      <c r="P1129" s="1">
        <v>800</v>
      </c>
      <c r="R1129" s="1">
        <v>50</v>
      </c>
      <c r="Z1129" s="1">
        <v>0.05</v>
      </c>
      <c r="AA1129" s="1">
        <v>3.5</v>
      </c>
      <c r="AB1129" s="1">
        <v>4</v>
      </c>
      <c r="AC1129" s="1">
        <v>0.6</v>
      </c>
      <c r="AH1129" s="1">
        <v>0</v>
      </c>
      <c r="AI1129" s="1">
        <v>1</v>
      </c>
      <c r="AJ1129" s="1" t="s">
        <v>4461</v>
      </c>
      <c r="AK1129" s="1" t="s">
        <v>3515</v>
      </c>
      <c r="AL1129" s="1" t="s">
        <v>228</v>
      </c>
      <c r="AN1129" s="22" t="s">
        <v>9767</v>
      </c>
      <c r="AX1129" s="1">
        <v>1</v>
      </c>
      <c r="AZ1129" s="1">
        <v>0.1</v>
      </c>
      <c r="BG1129" s="1" t="s">
        <v>4459</v>
      </c>
      <c r="BM1129" s="1" t="s">
        <v>1063</v>
      </c>
      <c r="BQ1129" s="1" t="s">
        <v>207</v>
      </c>
      <c r="BR1129" s="1" t="s">
        <v>208</v>
      </c>
      <c r="BS1129" s="1" t="s">
        <v>229</v>
      </c>
      <c r="BT1129" s="1" t="s">
        <v>210</v>
      </c>
      <c r="BX1129" s="1">
        <v>1</v>
      </c>
    </row>
    <row r="1130" spans="1:76" x14ac:dyDescent="0.25">
      <c r="A1130" s="1" t="s">
        <v>4462</v>
      </c>
      <c r="B1130" s="1" t="s">
        <v>203</v>
      </c>
      <c r="C1130" s="1">
        <v>1</v>
      </c>
      <c r="D1130" s="1" t="s">
        <v>4463</v>
      </c>
      <c r="E1130" s="1">
        <v>1433</v>
      </c>
      <c r="F1130" s="1" t="s">
        <v>4462</v>
      </c>
      <c r="G1130" s="1">
        <v>1</v>
      </c>
      <c r="L1130" s="1">
        <v>4300</v>
      </c>
      <c r="N1130" s="1">
        <v>280</v>
      </c>
      <c r="P1130" s="1">
        <v>0</v>
      </c>
      <c r="R1130" s="1">
        <v>10</v>
      </c>
      <c r="Z1130" s="1">
        <v>0.05</v>
      </c>
      <c r="AA1130" s="1">
        <v>1.1000000000000001</v>
      </c>
      <c r="AB1130" s="1">
        <v>0</v>
      </c>
      <c r="AC1130" s="1">
        <v>1.6</v>
      </c>
      <c r="AH1130" s="1">
        <v>0</v>
      </c>
      <c r="AI1130" s="1">
        <v>1</v>
      </c>
      <c r="AJ1130" s="1" t="s">
        <v>4464</v>
      </c>
      <c r="AK1130" s="1" t="s">
        <v>4443</v>
      </c>
      <c r="AL1130" s="1" t="s">
        <v>228</v>
      </c>
      <c r="AN1130" s="22" t="s">
        <v>9767</v>
      </c>
      <c r="AX1130" s="1">
        <v>1</v>
      </c>
      <c r="AZ1130" s="1">
        <v>0.1</v>
      </c>
      <c r="BG1130" s="1" t="s">
        <v>4462</v>
      </c>
      <c r="BM1130" s="1" t="s">
        <v>2250</v>
      </c>
      <c r="BQ1130" s="1" t="s">
        <v>207</v>
      </c>
      <c r="BR1130" s="1" t="s">
        <v>208</v>
      </c>
      <c r="BS1130" s="1" t="s">
        <v>208</v>
      </c>
      <c r="BT1130" s="1" t="s">
        <v>208</v>
      </c>
      <c r="BX1130" s="1">
        <v>1</v>
      </c>
    </row>
    <row r="1131" spans="1:76" x14ac:dyDescent="0.25">
      <c r="A1131" s="1" t="s">
        <v>4465</v>
      </c>
      <c r="B1131" s="1" t="s">
        <v>203</v>
      </c>
      <c r="C1131" s="1">
        <v>1</v>
      </c>
      <c r="D1131" s="1" t="s">
        <v>4466</v>
      </c>
      <c r="E1131" s="1">
        <v>1433</v>
      </c>
      <c r="F1131" s="1" t="s">
        <v>4465</v>
      </c>
      <c r="G1131" s="1">
        <v>1</v>
      </c>
      <c r="L1131" s="1">
        <v>5700</v>
      </c>
      <c r="N1131" s="1">
        <v>350</v>
      </c>
      <c r="P1131" s="1">
        <v>0</v>
      </c>
      <c r="R1131" s="1">
        <v>10</v>
      </c>
      <c r="Z1131" s="1">
        <v>0.05</v>
      </c>
      <c r="AA1131" s="1">
        <v>1.1000000000000001</v>
      </c>
      <c r="AB1131" s="1">
        <v>0</v>
      </c>
      <c r="AC1131" s="1">
        <v>1.6</v>
      </c>
      <c r="AH1131" s="1">
        <v>0</v>
      </c>
      <c r="AI1131" s="1">
        <v>1</v>
      </c>
      <c r="AJ1131" s="1" t="s">
        <v>4467</v>
      </c>
      <c r="AK1131" s="1" t="s">
        <v>4443</v>
      </c>
      <c r="AL1131" s="1" t="s">
        <v>228</v>
      </c>
      <c r="AN1131" s="22" t="s">
        <v>9767</v>
      </c>
      <c r="AX1131" s="1">
        <v>1</v>
      </c>
      <c r="AZ1131" s="1">
        <v>0.1</v>
      </c>
      <c r="BG1131" s="1" t="s">
        <v>4465</v>
      </c>
      <c r="BM1131" s="1" t="s">
        <v>2250</v>
      </c>
      <c r="BQ1131" s="1" t="s">
        <v>207</v>
      </c>
      <c r="BR1131" s="1" t="s">
        <v>208</v>
      </c>
      <c r="BS1131" s="1" t="s">
        <v>229</v>
      </c>
      <c r="BT1131" s="1" t="s">
        <v>210</v>
      </c>
      <c r="BX1131" s="1">
        <v>1</v>
      </c>
    </row>
    <row r="1132" spans="1:76" x14ac:dyDescent="0.25">
      <c r="A1132" s="1" t="s">
        <v>4468</v>
      </c>
      <c r="B1132" s="1" t="s">
        <v>203</v>
      </c>
      <c r="C1132" s="1">
        <v>1</v>
      </c>
      <c r="D1132" s="1" t="s">
        <v>4466</v>
      </c>
      <c r="E1132" s="1">
        <v>1433</v>
      </c>
      <c r="F1132" s="1" t="s">
        <v>4465</v>
      </c>
      <c r="G1132" s="1">
        <v>1</v>
      </c>
      <c r="L1132" s="1">
        <v>5700</v>
      </c>
      <c r="N1132" s="1">
        <v>350</v>
      </c>
      <c r="P1132" s="1">
        <v>0</v>
      </c>
      <c r="R1132" s="1">
        <v>10</v>
      </c>
      <c r="Z1132" s="1">
        <v>0.05</v>
      </c>
      <c r="AA1132" s="1">
        <v>1.1000000000000001</v>
      </c>
      <c r="AB1132" s="1">
        <v>0</v>
      </c>
      <c r="AC1132" s="1">
        <v>1.6</v>
      </c>
      <c r="AH1132" s="1">
        <v>0</v>
      </c>
      <c r="AI1132" s="1">
        <v>1</v>
      </c>
      <c r="AJ1132" s="1" t="s">
        <v>4469</v>
      </c>
      <c r="AK1132" s="1" t="s">
        <v>4443</v>
      </c>
      <c r="AL1132" s="1" t="s">
        <v>228</v>
      </c>
      <c r="AN1132" s="22" t="s">
        <v>9767</v>
      </c>
      <c r="AX1132" s="1">
        <v>1</v>
      </c>
      <c r="AZ1132" s="1">
        <v>0.1</v>
      </c>
      <c r="BG1132" s="1" t="s">
        <v>4465</v>
      </c>
      <c r="BM1132" s="1" t="s">
        <v>2250</v>
      </c>
      <c r="BQ1132" s="1" t="s">
        <v>207</v>
      </c>
      <c r="BR1132" s="1" t="s">
        <v>208</v>
      </c>
      <c r="BS1132" s="1" t="s">
        <v>229</v>
      </c>
      <c r="BT1132" s="1" t="s">
        <v>210</v>
      </c>
      <c r="BX1132" s="1">
        <v>1</v>
      </c>
    </row>
    <row r="1133" spans="1:76" x14ac:dyDescent="0.25">
      <c r="A1133" s="1" t="s">
        <v>4470</v>
      </c>
      <c r="B1133" s="1" t="s">
        <v>203</v>
      </c>
      <c r="C1133" s="1">
        <v>1</v>
      </c>
      <c r="D1133" s="1" t="s">
        <v>4471</v>
      </c>
      <c r="E1133" s="1">
        <v>1434</v>
      </c>
      <c r="F1133" s="1" t="s">
        <v>4470</v>
      </c>
      <c r="G1133" s="1">
        <v>1</v>
      </c>
      <c r="L1133" s="1">
        <v>4500</v>
      </c>
      <c r="N1133" s="1">
        <v>400</v>
      </c>
      <c r="P1133" s="1">
        <v>500</v>
      </c>
      <c r="R1133" s="1">
        <v>10</v>
      </c>
      <c r="Z1133" s="1">
        <v>0.05</v>
      </c>
      <c r="AA1133" s="1">
        <v>5</v>
      </c>
      <c r="AB1133" s="1">
        <v>1</v>
      </c>
      <c r="AC1133" s="1">
        <v>0.5</v>
      </c>
      <c r="AH1133" s="1">
        <v>0</v>
      </c>
      <c r="AI1133" s="1">
        <v>1</v>
      </c>
      <c r="AJ1133" s="1" t="s">
        <v>4472</v>
      </c>
      <c r="AK1133" s="1" t="s">
        <v>4473</v>
      </c>
      <c r="AL1133" s="1" t="s">
        <v>228</v>
      </c>
      <c r="AN1133" s="22" t="s">
        <v>9767</v>
      </c>
      <c r="AX1133" s="1">
        <v>1</v>
      </c>
      <c r="AZ1133" s="1">
        <v>0.1</v>
      </c>
      <c r="BG1133" s="1" t="s">
        <v>4470</v>
      </c>
      <c r="BM1133" s="1" t="s">
        <v>2250</v>
      </c>
      <c r="BQ1133" s="1" t="s">
        <v>207</v>
      </c>
      <c r="BR1133" s="1" t="s">
        <v>208</v>
      </c>
      <c r="BS1133" s="1" t="s">
        <v>229</v>
      </c>
      <c r="BT1133" s="1" t="s">
        <v>210</v>
      </c>
      <c r="BX1133" s="1">
        <v>1</v>
      </c>
    </row>
    <row r="1134" spans="1:76" x14ac:dyDescent="0.25">
      <c r="A1134" s="1" t="s">
        <v>4474</v>
      </c>
      <c r="B1134" s="1" t="s">
        <v>203</v>
      </c>
      <c r="C1134" s="1">
        <v>1</v>
      </c>
      <c r="D1134" s="1" t="s">
        <v>4475</v>
      </c>
      <c r="E1134" s="1">
        <v>1435</v>
      </c>
      <c r="F1134" s="1" t="s">
        <v>4474</v>
      </c>
      <c r="G1134" s="1">
        <v>1</v>
      </c>
      <c r="L1134" s="1">
        <v>5100</v>
      </c>
      <c r="N1134" s="1">
        <v>300</v>
      </c>
      <c r="P1134" s="1">
        <v>80</v>
      </c>
      <c r="R1134" s="1">
        <v>30</v>
      </c>
      <c r="Z1134" s="1">
        <v>0.05</v>
      </c>
      <c r="AA1134" s="1">
        <v>3.5</v>
      </c>
      <c r="AB1134" s="1">
        <v>2</v>
      </c>
      <c r="AC1134" s="1">
        <v>0.7</v>
      </c>
      <c r="AH1134" s="1">
        <v>0</v>
      </c>
      <c r="AI1134" s="1">
        <v>1</v>
      </c>
      <c r="AJ1134" s="1" t="s">
        <v>4476</v>
      </c>
      <c r="AK1134" s="1" t="s">
        <v>3764</v>
      </c>
      <c r="AL1134" s="1" t="s">
        <v>228</v>
      </c>
      <c r="AN1134" s="22" t="s">
        <v>9767</v>
      </c>
      <c r="AP1134" s="1">
        <v>1</v>
      </c>
      <c r="AX1134" s="1">
        <v>1</v>
      </c>
      <c r="AZ1134" s="1">
        <v>0.1</v>
      </c>
      <c r="BG1134" s="1" t="s">
        <v>4474</v>
      </c>
      <c r="BM1134" s="1" t="s">
        <v>2269</v>
      </c>
      <c r="BQ1134" s="1" t="s">
        <v>207</v>
      </c>
      <c r="BR1134" s="1" t="s">
        <v>208</v>
      </c>
      <c r="BS1134" s="1" t="s">
        <v>229</v>
      </c>
      <c r="BT1134" s="1" t="s">
        <v>210</v>
      </c>
      <c r="BX1134" s="1">
        <v>1</v>
      </c>
    </row>
    <row r="1135" spans="1:76" x14ac:dyDescent="0.25">
      <c r="A1135" s="1" t="s">
        <v>4477</v>
      </c>
      <c r="B1135" s="1" t="s">
        <v>203</v>
      </c>
      <c r="C1135" s="1">
        <v>1</v>
      </c>
      <c r="D1135" s="1" t="s">
        <v>4478</v>
      </c>
      <c r="E1135" s="1">
        <v>1435</v>
      </c>
      <c r="F1135" s="1" t="s">
        <v>4477</v>
      </c>
      <c r="G1135" s="1">
        <v>1</v>
      </c>
      <c r="L1135" s="1">
        <v>6200</v>
      </c>
      <c r="N1135" s="1">
        <v>380</v>
      </c>
      <c r="P1135" s="1">
        <v>120</v>
      </c>
      <c r="R1135" s="1">
        <v>30</v>
      </c>
      <c r="Z1135" s="1">
        <v>0.05</v>
      </c>
      <c r="AA1135" s="1">
        <v>3.5</v>
      </c>
      <c r="AB1135" s="1">
        <v>2</v>
      </c>
      <c r="AC1135" s="1">
        <v>0.7</v>
      </c>
      <c r="AH1135" s="1">
        <v>0</v>
      </c>
      <c r="AI1135" s="1">
        <v>1</v>
      </c>
      <c r="AJ1135" s="1" t="s">
        <v>4479</v>
      </c>
      <c r="AK1135" s="1" t="s">
        <v>3764</v>
      </c>
      <c r="AL1135" s="1" t="s">
        <v>228</v>
      </c>
      <c r="AN1135" s="22" t="s">
        <v>9767</v>
      </c>
      <c r="AP1135" s="1">
        <v>1</v>
      </c>
      <c r="AX1135" s="1">
        <v>1</v>
      </c>
      <c r="AZ1135" s="1">
        <v>0.1</v>
      </c>
      <c r="BG1135" s="1" t="s">
        <v>4477</v>
      </c>
      <c r="BM1135" s="1" t="s">
        <v>2269</v>
      </c>
      <c r="BQ1135" s="1" t="s">
        <v>207</v>
      </c>
      <c r="BR1135" s="1" t="s">
        <v>208</v>
      </c>
      <c r="BS1135" s="1" t="s">
        <v>229</v>
      </c>
      <c r="BT1135" s="1" t="s">
        <v>210</v>
      </c>
      <c r="BX1135" s="1">
        <v>1</v>
      </c>
    </row>
    <row r="1136" spans="1:76" x14ac:dyDescent="0.25">
      <c r="A1136" s="1" t="s">
        <v>4480</v>
      </c>
      <c r="B1136" s="1" t="s">
        <v>203</v>
      </c>
      <c r="C1136" s="1">
        <v>1</v>
      </c>
      <c r="D1136" s="1" t="s">
        <v>4481</v>
      </c>
      <c r="E1136" s="1">
        <v>1436</v>
      </c>
      <c r="F1136" s="1" t="s">
        <v>4480</v>
      </c>
      <c r="G1136" s="1">
        <v>1</v>
      </c>
      <c r="L1136" s="1">
        <v>8000</v>
      </c>
      <c r="N1136" s="1">
        <v>190</v>
      </c>
      <c r="P1136" s="1">
        <v>150</v>
      </c>
      <c r="R1136" s="1">
        <v>35</v>
      </c>
      <c r="Z1136" s="1">
        <v>0.05</v>
      </c>
      <c r="AA1136" s="1">
        <v>1.6</v>
      </c>
      <c r="AB1136" s="1">
        <v>2</v>
      </c>
      <c r="AC1136" s="1">
        <v>1</v>
      </c>
      <c r="AH1136" s="1">
        <v>0</v>
      </c>
      <c r="AI1136" s="1">
        <v>1</v>
      </c>
      <c r="AJ1136" s="1" t="s">
        <v>4482</v>
      </c>
      <c r="AK1136" s="1" t="s">
        <v>4483</v>
      </c>
      <c r="AL1136" s="1" t="s">
        <v>228</v>
      </c>
      <c r="AN1136" s="22" t="s">
        <v>9767</v>
      </c>
      <c r="AX1136" s="1">
        <v>1</v>
      </c>
      <c r="AZ1136" s="1">
        <v>0.1</v>
      </c>
      <c r="BG1136" s="1" t="s">
        <v>4480</v>
      </c>
      <c r="BM1136" s="1" t="s">
        <v>2269</v>
      </c>
      <c r="BQ1136" s="1" t="s">
        <v>207</v>
      </c>
      <c r="BR1136" s="1" t="s">
        <v>208</v>
      </c>
      <c r="BS1136" s="1" t="s">
        <v>229</v>
      </c>
      <c r="BT1136" s="1" t="s">
        <v>210</v>
      </c>
      <c r="BX1136" s="1">
        <v>1</v>
      </c>
    </row>
    <row r="1137" spans="1:76" x14ac:dyDescent="0.25">
      <c r="A1137" s="1" t="s">
        <v>4484</v>
      </c>
      <c r="B1137" s="1" t="s">
        <v>203</v>
      </c>
      <c r="C1137" s="1">
        <v>1</v>
      </c>
      <c r="D1137" s="1" t="s">
        <v>4485</v>
      </c>
      <c r="E1137" s="1">
        <v>1436</v>
      </c>
      <c r="F1137" s="1" t="s">
        <v>4484</v>
      </c>
      <c r="G1137" s="1">
        <v>1</v>
      </c>
      <c r="L1137" s="1">
        <v>10000</v>
      </c>
      <c r="N1137" s="1">
        <v>230</v>
      </c>
      <c r="P1137" s="1">
        <v>175</v>
      </c>
      <c r="R1137" s="1">
        <v>45</v>
      </c>
      <c r="Z1137" s="1">
        <v>0.05</v>
      </c>
      <c r="AA1137" s="1">
        <v>1.6</v>
      </c>
      <c r="AB1137" s="1">
        <v>2</v>
      </c>
      <c r="AC1137" s="1">
        <v>1</v>
      </c>
      <c r="AH1137" s="1">
        <v>0</v>
      </c>
      <c r="AI1137" s="1">
        <v>1</v>
      </c>
      <c r="AJ1137" s="1" t="s">
        <v>4486</v>
      </c>
      <c r="AK1137" s="1" t="s">
        <v>4483</v>
      </c>
      <c r="AL1137" s="1" t="s">
        <v>228</v>
      </c>
      <c r="AN1137" s="22" t="s">
        <v>9767</v>
      </c>
      <c r="AX1137" s="1">
        <v>1</v>
      </c>
      <c r="AZ1137" s="1">
        <v>0.1</v>
      </c>
      <c r="BG1137" s="1" t="s">
        <v>4484</v>
      </c>
      <c r="BM1137" s="1" t="s">
        <v>2269</v>
      </c>
      <c r="BQ1137" s="1" t="s">
        <v>207</v>
      </c>
      <c r="BR1137" s="1" t="s">
        <v>208</v>
      </c>
      <c r="BS1137" s="1" t="s">
        <v>229</v>
      </c>
      <c r="BT1137" s="1" t="s">
        <v>210</v>
      </c>
      <c r="BX1137" s="1">
        <v>1</v>
      </c>
    </row>
    <row r="1138" spans="1:76" x14ac:dyDescent="0.25">
      <c r="A1138" s="1" t="s">
        <v>4487</v>
      </c>
      <c r="B1138" s="1" t="s">
        <v>203</v>
      </c>
      <c r="C1138" s="1">
        <v>1</v>
      </c>
      <c r="D1138" s="1" t="s">
        <v>4481</v>
      </c>
      <c r="E1138" s="1">
        <v>1436</v>
      </c>
      <c r="F1138" s="1" t="s">
        <v>4480</v>
      </c>
      <c r="G1138" s="1">
        <v>1</v>
      </c>
      <c r="L1138" s="1">
        <v>8000</v>
      </c>
      <c r="N1138" s="1">
        <v>190</v>
      </c>
      <c r="P1138" s="1">
        <v>150</v>
      </c>
      <c r="R1138" s="1">
        <v>35</v>
      </c>
      <c r="Z1138" s="1">
        <v>0.05</v>
      </c>
      <c r="AA1138" s="1">
        <v>1.6</v>
      </c>
      <c r="AB1138" s="1">
        <v>2</v>
      </c>
      <c r="AC1138" s="1">
        <v>1</v>
      </c>
      <c r="AH1138" s="1">
        <v>0</v>
      </c>
      <c r="AI1138" s="1">
        <v>1</v>
      </c>
      <c r="AJ1138" s="1" t="s">
        <v>4488</v>
      </c>
      <c r="AK1138" s="1" t="s">
        <v>4483</v>
      </c>
      <c r="AL1138" s="1" t="s">
        <v>228</v>
      </c>
      <c r="AN1138" s="22" t="s">
        <v>9767</v>
      </c>
      <c r="AX1138" s="1">
        <v>1</v>
      </c>
      <c r="AZ1138" s="1">
        <v>0.1</v>
      </c>
      <c r="BG1138" s="1" t="s">
        <v>4480</v>
      </c>
      <c r="BM1138" s="1" t="s">
        <v>2269</v>
      </c>
      <c r="BQ1138" s="1" t="s">
        <v>207</v>
      </c>
      <c r="BR1138" s="1" t="s">
        <v>208</v>
      </c>
      <c r="BS1138" s="1" t="s">
        <v>229</v>
      </c>
      <c r="BT1138" s="1" t="s">
        <v>210</v>
      </c>
      <c r="BX1138" s="1">
        <v>1</v>
      </c>
    </row>
    <row r="1139" spans="1:76" x14ac:dyDescent="0.25">
      <c r="A1139" s="1" t="s">
        <v>4489</v>
      </c>
      <c r="B1139" s="1" t="s">
        <v>203</v>
      </c>
      <c r="C1139" s="1">
        <v>1</v>
      </c>
      <c r="D1139" s="1" t="s">
        <v>4485</v>
      </c>
      <c r="E1139" s="1">
        <v>1436</v>
      </c>
      <c r="F1139" s="1" t="s">
        <v>4484</v>
      </c>
      <c r="G1139" s="1">
        <v>1</v>
      </c>
      <c r="L1139" s="1">
        <v>10000</v>
      </c>
      <c r="N1139" s="1">
        <v>230</v>
      </c>
      <c r="P1139" s="1">
        <v>175</v>
      </c>
      <c r="R1139" s="1">
        <v>45</v>
      </c>
      <c r="Z1139" s="1">
        <v>0.05</v>
      </c>
      <c r="AA1139" s="1">
        <v>1.6</v>
      </c>
      <c r="AB1139" s="1">
        <v>2</v>
      </c>
      <c r="AC1139" s="1">
        <v>1</v>
      </c>
      <c r="AH1139" s="1">
        <v>0</v>
      </c>
      <c r="AI1139" s="1">
        <v>1</v>
      </c>
      <c r="AJ1139" s="1" t="s">
        <v>4490</v>
      </c>
      <c r="AK1139" s="1" t="s">
        <v>4483</v>
      </c>
      <c r="AL1139" s="1" t="s">
        <v>228</v>
      </c>
      <c r="AN1139" s="22" t="s">
        <v>9767</v>
      </c>
      <c r="AX1139" s="1">
        <v>1</v>
      </c>
      <c r="AZ1139" s="1">
        <v>0.1</v>
      </c>
      <c r="BG1139" s="1" t="s">
        <v>4484</v>
      </c>
      <c r="BM1139" s="1" t="s">
        <v>2269</v>
      </c>
      <c r="BQ1139" s="1" t="s">
        <v>207</v>
      </c>
      <c r="BR1139" s="1" t="s">
        <v>208</v>
      </c>
      <c r="BS1139" s="1" t="s">
        <v>229</v>
      </c>
      <c r="BT1139" s="1" t="s">
        <v>210</v>
      </c>
      <c r="BX1139" s="1">
        <v>1</v>
      </c>
    </row>
    <row r="1140" spans="1:76" x14ac:dyDescent="0.25">
      <c r="A1140" s="1" t="s">
        <v>4491</v>
      </c>
      <c r="B1140" s="1" t="s">
        <v>203</v>
      </c>
      <c r="C1140" s="1">
        <v>1</v>
      </c>
      <c r="D1140" s="1" t="s">
        <v>4492</v>
      </c>
      <c r="E1140" s="1">
        <v>1437</v>
      </c>
      <c r="F1140" s="1" t="s">
        <v>4491</v>
      </c>
      <c r="G1140" s="1">
        <v>1</v>
      </c>
      <c r="L1140" s="1">
        <v>14500</v>
      </c>
      <c r="N1140" s="1">
        <v>800</v>
      </c>
      <c r="P1140" s="1">
        <v>1250</v>
      </c>
      <c r="R1140" s="1">
        <v>15</v>
      </c>
      <c r="Z1140" s="1">
        <v>0.05</v>
      </c>
      <c r="AA1140" s="1">
        <v>4.5</v>
      </c>
      <c r="AB1140" s="1">
        <v>5</v>
      </c>
      <c r="AC1140" s="1">
        <v>0.5</v>
      </c>
      <c r="AH1140" s="1">
        <v>0</v>
      </c>
      <c r="AI1140" s="1">
        <v>1</v>
      </c>
      <c r="AJ1140" s="1" t="s">
        <v>4493</v>
      </c>
      <c r="AK1140" s="1" t="s">
        <v>265</v>
      </c>
      <c r="AL1140" s="1" t="s">
        <v>228</v>
      </c>
      <c r="AN1140" s="22" t="s">
        <v>9767</v>
      </c>
      <c r="AX1140" s="1">
        <v>1</v>
      </c>
      <c r="AZ1140" s="1">
        <v>0.1</v>
      </c>
      <c r="BG1140" s="1" t="s">
        <v>4491</v>
      </c>
      <c r="BM1140" s="1" t="s">
        <v>2250</v>
      </c>
      <c r="BQ1140" s="1" t="s">
        <v>207</v>
      </c>
      <c r="BR1140" s="1" t="s">
        <v>208</v>
      </c>
      <c r="BS1140" s="1" t="s">
        <v>229</v>
      </c>
      <c r="BT1140" s="1" t="s">
        <v>210</v>
      </c>
      <c r="BX1140" s="1">
        <v>1</v>
      </c>
    </row>
    <row r="1141" spans="1:76" x14ac:dyDescent="0.25">
      <c r="A1141" s="1" t="s">
        <v>4494</v>
      </c>
      <c r="B1141" s="1" t="s">
        <v>203</v>
      </c>
      <c r="C1141" s="1">
        <v>1</v>
      </c>
      <c r="D1141" s="1" t="s">
        <v>4495</v>
      </c>
      <c r="E1141" s="1">
        <v>1437</v>
      </c>
      <c r="F1141" s="1" t="s">
        <v>4494</v>
      </c>
      <c r="G1141" s="1">
        <v>1</v>
      </c>
      <c r="L1141" s="1">
        <v>16000</v>
      </c>
      <c r="N1141" s="1">
        <v>900</v>
      </c>
      <c r="P1141" s="1">
        <v>1400</v>
      </c>
      <c r="R1141" s="1">
        <v>20</v>
      </c>
      <c r="Z1141" s="1">
        <v>0.05</v>
      </c>
      <c r="AA1141" s="1">
        <v>4.5</v>
      </c>
      <c r="AB1141" s="1">
        <v>5</v>
      </c>
      <c r="AC1141" s="1">
        <v>0.5</v>
      </c>
      <c r="AH1141" s="1">
        <v>0</v>
      </c>
      <c r="AI1141" s="1">
        <v>1</v>
      </c>
      <c r="AJ1141" s="1" t="s">
        <v>4496</v>
      </c>
      <c r="AK1141" s="1" t="s">
        <v>265</v>
      </c>
      <c r="AL1141" s="1" t="s">
        <v>228</v>
      </c>
      <c r="AN1141" s="22" t="s">
        <v>9767</v>
      </c>
      <c r="AX1141" s="1">
        <v>1</v>
      </c>
      <c r="AZ1141" s="1">
        <v>0.1</v>
      </c>
      <c r="BG1141" s="1" t="s">
        <v>4494</v>
      </c>
      <c r="BM1141" s="1" t="s">
        <v>2250</v>
      </c>
      <c r="BQ1141" s="1" t="s">
        <v>207</v>
      </c>
      <c r="BR1141" s="1" t="s">
        <v>208</v>
      </c>
      <c r="BS1141" s="1" t="s">
        <v>229</v>
      </c>
      <c r="BT1141" s="1" t="s">
        <v>210</v>
      </c>
      <c r="BX1141" s="1">
        <v>1</v>
      </c>
    </row>
    <row r="1142" spans="1:76" x14ac:dyDescent="0.25">
      <c r="A1142" s="1" t="s">
        <v>4497</v>
      </c>
      <c r="B1142" s="1" t="s">
        <v>203</v>
      </c>
      <c r="C1142" s="1">
        <v>1</v>
      </c>
      <c r="D1142" s="1" t="s">
        <v>4498</v>
      </c>
      <c r="E1142" s="1">
        <v>1438</v>
      </c>
      <c r="F1142" s="1" t="s">
        <v>4497</v>
      </c>
      <c r="G1142" s="1">
        <v>1</v>
      </c>
      <c r="L1142" s="1">
        <v>13200</v>
      </c>
      <c r="N1142" s="1">
        <v>1050</v>
      </c>
      <c r="P1142" s="1">
        <v>660</v>
      </c>
      <c r="R1142" s="1">
        <v>45</v>
      </c>
      <c r="Z1142" s="1">
        <v>0.05</v>
      </c>
      <c r="AA1142" s="1">
        <v>3</v>
      </c>
      <c r="AB1142" s="1">
        <v>4</v>
      </c>
      <c r="AC1142" s="1">
        <v>1</v>
      </c>
      <c r="AH1142" s="1">
        <v>0</v>
      </c>
      <c r="AI1142" s="1">
        <v>1</v>
      </c>
      <c r="AJ1142" s="1" t="s">
        <v>4499</v>
      </c>
      <c r="AK1142" s="1" t="s">
        <v>265</v>
      </c>
      <c r="AL1142" s="1" t="s">
        <v>228</v>
      </c>
      <c r="AN1142" s="22" t="s">
        <v>9767</v>
      </c>
      <c r="AX1142" s="1">
        <v>1</v>
      </c>
      <c r="AZ1142" s="1">
        <v>0.1</v>
      </c>
      <c r="BG1142" s="1" t="s">
        <v>4497</v>
      </c>
      <c r="BM1142" s="1" t="s">
        <v>2288</v>
      </c>
      <c r="BQ1142" s="1" t="s">
        <v>207</v>
      </c>
      <c r="BR1142" s="1" t="s">
        <v>208</v>
      </c>
      <c r="BS1142" s="1" t="s">
        <v>229</v>
      </c>
      <c r="BT1142" s="1" t="s">
        <v>210</v>
      </c>
      <c r="BX1142" s="1">
        <v>1</v>
      </c>
    </row>
    <row r="1143" spans="1:76" x14ac:dyDescent="0.25">
      <c r="A1143" s="1" t="s">
        <v>4500</v>
      </c>
      <c r="B1143" s="1" t="s">
        <v>203</v>
      </c>
      <c r="C1143" s="1">
        <v>1</v>
      </c>
      <c r="D1143" s="1" t="s">
        <v>4501</v>
      </c>
      <c r="E1143" s="1">
        <v>1438</v>
      </c>
      <c r="F1143" s="1" t="s">
        <v>4500</v>
      </c>
      <c r="G1143" s="1">
        <v>1</v>
      </c>
      <c r="L1143" s="1">
        <v>14500</v>
      </c>
      <c r="N1143" s="1">
        <v>1200</v>
      </c>
      <c r="P1143" s="1">
        <v>700</v>
      </c>
      <c r="R1143" s="1">
        <v>60</v>
      </c>
      <c r="Z1143" s="1">
        <v>0.05</v>
      </c>
      <c r="AA1143" s="1">
        <v>3</v>
      </c>
      <c r="AB1143" s="1">
        <v>4</v>
      </c>
      <c r="AC1143" s="1">
        <v>1</v>
      </c>
      <c r="AH1143" s="1">
        <v>0</v>
      </c>
      <c r="AI1143" s="1">
        <v>1</v>
      </c>
      <c r="AJ1143" s="1" t="s">
        <v>4502</v>
      </c>
      <c r="AK1143" s="1" t="s">
        <v>265</v>
      </c>
      <c r="AL1143" s="1" t="s">
        <v>228</v>
      </c>
      <c r="AN1143" s="22" t="s">
        <v>9767</v>
      </c>
      <c r="AX1143" s="1">
        <v>1</v>
      </c>
      <c r="AZ1143" s="1">
        <v>0.1</v>
      </c>
      <c r="BG1143" s="1" t="s">
        <v>4500</v>
      </c>
      <c r="BM1143" s="1" t="s">
        <v>2288</v>
      </c>
      <c r="BQ1143" s="1" t="s">
        <v>207</v>
      </c>
      <c r="BR1143" s="1" t="s">
        <v>208</v>
      </c>
      <c r="BS1143" s="1" t="s">
        <v>229</v>
      </c>
      <c r="BT1143" s="1" t="s">
        <v>210</v>
      </c>
      <c r="BX1143" s="1">
        <v>1</v>
      </c>
    </row>
    <row r="1144" spans="1:76" x14ac:dyDescent="0.25">
      <c r="A1144" s="1" t="s">
        <v>4503</v>
      </c>
      <c r="B1144" s="1" t="s">
        <v>203</v>
      </c>
      <c r="C1144" s="1">
        <v>1</v>
      </c>
      <c r="D1144" s="1" t="s">
        <v>4498</v>
      </c>
      <c r="E1144" s="1">
        <v>1438</v>
      </c>
      <c r="F1144" s="1" t="s">
        <v>4497</v>
      </c>
      <c r="G1144" s="1">
        <v>1</v>
      </c>
      <c r="L1144" s="1">
        <v>13200</v>
      </c>
      <c r="N1144" s="1">
        <v>1050</v>
      </c>
      <c r="P1144" s="1">
        <v>660</v>
      </c>
      <c r="R1144" s="1">
        <v>45</v>
      </c>
      <c r="Z1144" s="1">
        <v>0.05</v>
      </c>
      <c r="AA1144" s="1">
        <v>3</v>
      </c>
      <c r="AB1144" s="1">
        <v>4</v>
      </c>
      <c r="AC1144" s="1">
        <v>1</v>
      </c>
      <c r="AH1144" s="1">
        <v>0</v>
      </c>
      <c r="AI1144" s="1">
        <v>1</v>
      </c>
      <c r="AJ1144" s="1" t="s">
        <v>4504</v>
      </c>
      <c r="AK1144" s="1" t="s">
        <v>265</v>
      </c>
      <c r="AL1144" s="1" t="s">
        <v>228</v>
      </c>
      <c r="AN1144" s="22" t="s">
        <v>9767</v>
      </c>
      <c r="AX1144" s="1">
        <v>1</v>
      </c>
      <c r="AZ1144" s="1">
        <v>0.1</v>
      </c>
      <c r="BG1144" s="1" t="s">
        <v>4497</v>
      </c>
      <c r="BM1144" s="1" t="s">
        <v>2288</v>
      </c>
      <c r="BQ1144" s="1" t="s">
        <v>4109</v>
      </c>
      <c r="BR1144" s="1" t="s">
        <v>4020</v>
      </c>
      <c r="BS1144" s="1" t="s">
        <v>4021</v>
      </c>
      <c r="BT1144" s="1" t="s">
        <v>2595</v>
      </c>
      <c r="BX1144" s="1">
        <v>1</v>
      </c>
    </row>
    <row r="1145" spans="1:76" x14ac:dyDescent="0.25">
      <c r="A1145" s="1" t="s">
        <v>4505</v>
      </c>
      <c r="B1145" s="1" t="s">
        <v>203</v>
      </c>
      <c r="C1145" s="1">
        <v>1</v>
      </c>
      <c r="D1145" s="1" t="s">
        <v>4501</v>
      </c>
      <c r="E1145" s="1">
        <v>1438</v>
      </c>
      <c r="F1145" s="1" t="s">
        <v>4500</v>
      </c>
      <c r="G1145" s="1">
        <v>1</v>
      </c>
      <c r="L1145" s="1">
        <v>14500</v>
      </c>
      <c r="N1145" s="1">
        <v>1200</v>
      </c>
      <c r="P1145" s="1">
        <v>700</v>
      </c>
      <c r="R1145" s="1">
        <v>60</v>
      </c>
      <c r="Z1145" s="1">
        <v>0.05</v>
      </c>
      <c r="AA1145" s="1">
        <v>3</v>
      </c>
      <c r="AB1145" s="1">
        <v>4</v>
      </c>
      <c r="AC1145" s="1">
        <v>1</v>
      </c>
      <c r="AH1145" s="1">
        <v>0</v>
      </c>
      <c r="AI1145" s="1">
        <v>1</v>
      </c>
      <c r="AJ1145" s="1" t="s">
        <v>4506</v>
      </c>
      <c r="AK1145" s="1" t="s">
        <v>265</v>
      </c>
      <c r="AL1145" s="1" t="s">
        <v>228</v>
      </c>
      <c r="AN1145" s="22" t="s">
        <v>9767</v>
      </c>
      <c r="AX1145" s="1">
        <v>1</v>
      </c>
      <c r="AZ1145" s="1">
        <v>0.1</v>
      </c>
      <c r="BG1145" s="1" t="s">
        <v>4500</v>
      </c>
      <c r="BM1145" s="1" t="s">
        <v>2288</v>
      </c>
      <c r="BQ1145" s="1" t="s">
        <v>4109</v>
      </c>
      <c r="BR1145" s="1" t="s">
        <v>4020</v>
      </c>
      <c r="BS1145" s="1" t="s">
        <v>4021</v>
      </c>
      <c r="BT1145" s="1" t="s">
        <v>2595</v>
      </c>
      <c r="BX1145" s="1">
        <v>1</v>
      </c>
    </row>
    <row r="1146" spans="1:76" x14ac:dyDescent="0.25">
      <c r="A1146" s="1" t="s">
        <v>4507</v>
      </c>
      <c r="B1146" s="1" t="s">
        <v>203</v>
      </c>
      <c r="C1146" s="1">
        <v>1</v>
      </c>
      <c r="D1146" s="1" t="s">
        <v>4508</v>
      </c>
      <c r="E1146" s="1">
        <v>1439</v>
      </c>
      <c r="F1146" s="1" t="s">
        <v>4507</v>
      </c>
      <c r="G1146" s="1">
        <v>1</v>
      </c>
      <c r="L1146" s="1">
        <v>30000</v>
      </c>
      <c r="N1146" s="1">
        <v>500</v>
      </c>
      <c r="P1146" s="1">
        <v>0</v>
      </c>
      <c r="R1146" s="1">
        <v>70</v>
      </c>
      <c r="Z1146" s="1">
        <v>0.05</v>
      </c>
      <c r="AA1146" s="1">
        <v>3</v>
      </c>
      <c r="AB1146" s="1">
        <v>2</v>
      </c>
      <c r="AC1146" s="1">
        <v>0.25</v>
      </c>
      <c r="AH1146" s="1">
        <v>0</v>
      </c>
      <c r="AI1146" s="1">
        <v>1</v>
      </c>
      <c r="AJ1146" s="1" t="s">
        <v>4509</v>
      </c>
      <c r="AK1146" s="1" t="s">
        <v>265</v>
      </c>
      <c r="AL1146" s="1" t="s">
        <v>228</v>
      </c>
      <c r="AN1146" s="22" t="s">
        <v>9767</v>
      </c>
      <c r="AX1146" s="1">
        <v>1</v>
      </c>
      <c r="AZ1146" s="1">
        <v>0.1</v>
      </c>
      <c r="BG1146" s="1" t="s">
        <v>4507</v>
      </c>
      <c r="BM1146" s="1" t="s">
        <v>2288</v>
      </c>
      <c r="BQ1146" s="1" t="s">
        <v>207</v>
      </c>
      <c r="BR1146" s="1" t="s">
        <v>208</v>
      </c>
      <c r="BS1146" s="1" t="s">
        <v>229</v>
      </c>
      <c r="BT1146" s="1" t="s">
        <v>210</v>
      </c>
      <c r="BX1146" s="1">
        <v>1</v>
      </c>
    </row>
    <row r="1147" spans="1:76" x14ac:dyDescent="0.25">
      <c r="A1147" s="1" t="s">
        <v>4510</v>
      </c>
      <c r="B1147" s="1" t="s">
        <v>203</v>
      </c>
      <c r="C1147" s="1">
        <v>1</v>
      </c>
      <c r="D1147" s="1" t="s">
        <v>4511</v>
      </c>
      <c r="E1147" s="1">
        <v>1439</v>
      </c>
      <c r="F1147" s="1" t="s">
        <v>4510</v>
      </c>
      <c r="G1147" s="1">
        <v>1</v>
      </c>
      <c r="L1147" s="1">
        <v>33000</v>
      </c>
      <c r="N1147" s="1">
        <v>600</v>
      </c>
      <c r="P1147" s="1">
        <v>0</v>
      </c>
      <c r="R1147" s="1">
        <v>80</v>
      </c>
      <c r="Z1147" s="1">
        <v>0.05</v>
      </c>
      <c r="AA1147" s="1">
        <v>3</v>
      </c>
      <c r="AB1147" s="1">
        <v>2</v>
      </c>
      <c r="AC1147" s="1">
        <v>0.25</v>
      </c>
      <c r="AH1147" s="1">
        <v>0</v>
      </c>
      <c r="AI1147" s="1">
        <v>1</v>
      </c>
      <c r="AJ1147" s="1" t="s">
        <v>4512</v>
      </c>
      <c r="AK1147" s="1" t="s">
        <v>265</v>
      </c>
      <c r="AL1147" s="1" t="s">
        <v>228</v>
      </c>
      <c r="AN1147" s="22" t="s">
        <v>9767</v>
      </c>
      <c r="AX1147" s="1">
        <v>1</v>
      </c>
      <c r="AZ1147" s="1">
        <v>0.1</v>
      </c>
      <c r="BG1147" s="1" t="s">
        <v>4510</v>
      </c>
      <c r="BM1147" s="1" t="s">
        <v>2288</v>
      </c>
      <c r="BQ1147" s="1" t="s">
        <v>207</v>
      </c>
      <c r="BR1147" s="1" t="s">
        <v>208</v>
      </c>
      <c r="BS1147" s="1" t="s">
        <v>229</v>
      </c>
      <c r="BT1147" s="1" t="s">
        <v>210</v>
      </c>
      <c r="BX1147" s="1">
        <v>1</v>
      </c>
    </row>
    <row r="1148" spans="1:76" x14ac:dyDescent="0.25">
      <c r="A1148" s="1" t="s">
        <v>4513</v>
      </c>
      <c r="B1148" s="1" t="s">
        <v>203</v>
      </c>
      <c r="C1148" s="1">
        <v>1</v>
      </c>
      <c r="D1148" s="1" t="s">
        <v>4514</v>
      </c>
      <c r="E1148" s="1">
        <v>1440</v>
      </c>
      <c r="F1148" s="1" t="s">
        <v>4513</v>
      </c>
      <c r="G1148" s="1">
        <v>1</v>
      </c>
      <c r="L1148" s="1">
        <v>19000</v>
      </c>
      <c r="N1148" s="1">
        <v>720</v>
      </c>
      <c r="P1148" s="1">
        <v>900</v>
      </c>
      <c r="R1148" s="1">
        <v>35</v>
      </c>
      <c r="Z1148" s="1">
        <v>0.05</v>
      </c>
      <c r="AA1148" s="1">
        <v>5</v>
      </c>
      <c r="AB1148" s="1">
        <v>5</v>
      </c>
      <c r="AC1148" s="1">
        <v>0.55000000000000004</v>
      </c>
      <c r="AH1148" s="1">
        <v>0</v>
      </c>
      <c r="AI1148" s="1">
        <v>1</v>
      </c>
      <c r="AJ1148" s="1" t="s">
        <v>4515</v>
      </c>
      <c r="AK1148" s="1" t="s">
        <v>265</v>
      </c>
      <c r="AL1148" s="1" t="s">
        <v>228</v>
      </c>
      <c r="AN1148" s="22" t="s">
        <v>9767</v>
      </c>
      <c r="AX1148" s="1">
        <v>1</v>
      </c>
      <c r="AZ1148" s="1">
        <v>0.1</v>
      </c>
      <c r="BG1148" s="1" t="s">
        <v>4513</v>
      </c>
      <c r="BM1148" s="1" t="s">
        <v>957</v>
      </c>
      <c r="BQ1148" s="1" t="s">
        <v>207</v>
      </c>
      <c r="BR1148" s="1" t="s">
        <v>208</v>
      </c>
      <c r="BS1148" s="1" t="s">
        <v>229</v>
      </c>
      <c r="BT1148" s="1" t="s">
        <v>210</v>
      </c>
      <c r="BX1148" s="1">
        <v>1</v>
      </c>
    </row>
    <row r="1149" spans="1:76" x14ac:dyDescent="0.25">
      <c r="A1149" s="1" t="s">
        <v>4516</v>
      </c>
      <c r="B1149" s="1" t="s">
        <v>203</v>
      </c>
      <c r="C1149" s="1">
        <v>1</v>
      </c>
      <c r="D1149" s="1" t="s">
        <v>4517</v>
      </c>
      <c r="E1149" s="1">
        <v>1440</v>
      </c>
      <c r="F1149" s="1" t="s">
        <v>4516</v>
      </c>
      <c r="G1149" s="1">
        <v>1</v>
      </c>
      <c r="L1149" s="1">
        <v>22000</v>
      </c>
      <c r="N1149" s="1">
        <v>880</v>
      </c>
      <c r="P1149" s="1">
        <v>950</v>
      </c>
      <c r="R1149" s="1">
        <v>40</v>
      </c>
      <c r="Z1149" s="1">
        <v>0.05</v>
      </c>
      <c r="AA1149" s="1">
        <v>5</v>
      </c>
      <c r="AB1149" s="1">
        <v>5</v>
      </c>
      <c r="AC1149" s="1">
        <v>0.55000000000000004</v>
      </c>
      <c r="AH1149" s="1">
        <v>0</v>
      </c>
      <c r="AI1149" s="1">
        <v>1</v>
      </c>
      <c r="AJ1149" s="1" t="s">
        <v>4518</v>
      </c>
      <c r="AK1149" s="1" t="s">
        <v>265</v>
      </c>
      <c r="AL1149" s="1" t="s">
        <v>228</v>
      </c>
      <c r="AN1149" s="22" t="s">
        <v>9767</v>
      </c>
      <c r="AX1149" s="1">
        <v>1</v>
      </c>
      <c r="AZ1149" s="1">
        <v>0.1</v>
      </c>
      <c r="BG1149" s="1" t="s">
        <v>4516</v>
      </c>
      <c r="BM1149" s="1" t="s">
        <v>957</v>
      </c>
      <c r="BQ1149" s="1" t="s">
        <v>207</v>
      </c>
      <c r="BR1149" s="1" t="s">
        <v>208</v>
      </c>
      <c r="BS1149" s="1" t="s">
        <v>229</v>
      </c>
      <c r="BT1149" s="1" t="s">
        <v>210</v>
      </c>
      <c r="BX1149" s="1">
        <v>1</v>
      </c>
    </row>
    <row r="1150" spans="1:76" x14ac:dyDescent="0.25">
      <c r="A1150" s="1" t="s">
        <v>4519</v>
      </c>
      <c r="B1150" s="1" t="s">
        <v>203</v>
      </c>
      <c r="C1150" s="1">
        <v>1</v>
      </c>
      <c r="D1150" s="1" t="s">
        <v>4520</v>
      </c>
      <c r="E1150" s="1">
        <v>1556</v>
      </c>
      <c r="F1150" s="1" t="s">
        <v>4519</v>
      </c>
      <c r="G1150" s="1">
        <v>1</v>
      </c>
      <c r="L1150" s="1">
        <v>100000</v>
      </c>
      <c r="N1150" s="1">
        <v>0</v>
      </c>
      <c r="P1150" s="1">
        <v>0</v>
      </c>
      <c r="R1150" s="1">
        <v>0</v>
      </c>
      <c r="Z1150" s="1">
        <v>0.05</v>
      </c>
      <c r="AA1150" s="1">
        <v>4</v>
      </c>
      <c r="AB1150" s="1">
        <v>10</v>
      </c>
      <c r="AC1150" s="1">
        <v>0.5</v>
      </c>
      <c r="AH1150" s="1">
        <v>0</v>
      </c>
      <c r="AI1150" s="1">
        <v>1</v>
      </c>
      <c r="AJ1150" s="1" t="s">
        <v>4521</v>
      </c>
      <c r="AK1150" s="1" t="s">
        <v>3367</v>
      </c>
      <c r="AL1150" s="1" t="s">
        <v>228</v>
      </c>
      <c r="AN1150" s="22" t="s">
        <v>9767</v>
      </c>
      <c r="AX1150" s="1">
        <v>1</v>
      </c>
      <c r="AZ1150" s="1">
        <v>0.1</v>
      </c>
      <c r="BC1150" s="1">
        <v>1</v>
      </c>
      <c r="BG1150" s="1" t="s">
        <v>4519</v>
      </c>
      <c r="BM1150" s="1" t="s">
        <v>2327</v>
      </c>
      <c r="BQ1150" s="1" t="s">
        <v>207</v>
      </c>
      <c r="BR1150" s="1" t="s">
        <v>2593</v>
      </c>
      <c r="BS1150" s="1" t="s">
        <v>2594</v>
      </c>
      <c r="BT1150" s="1" t="s">
        <v>2595</v>
      </c>
      <c r="BX1150" s="1">
        <v>1</v>
      </c>
    </row>
    <row r="1151" spans="1:76" x14ac:dyDescent="0.25">
      <c r="A1151" s="1" t="s">
        <v>4522</v>
      </c>
      <c r="B1151" s="1" t="s">
        <v>203</v>
      </c>
      <c r="C1151" s="1">
        <v>1</v>
      </c>
      <c r="D1151" s="1" t="s">
        <v>4523</v>
      </c>
      <c r="E1151" s="1">
        <v>10010</v>
      </c>
      <c r="F1151" s="1" t="s">
        <v>4522</v>
      </c>
      <c r="G1151" s="1">
        <v>1</v>
      </c>
      <c r="L1151" s="1">
        <v>4000</v>
      </c>
      <c r="N1151" s="1">
        <v>320</v>
      </c>
      <c r="P1151" s="1">
        <v>100</v>
      </c>
      <c r="R1151" s="1">
        <v>10</v>
      </c>
      <c r="Z1151" s="1">
        <v>0.05</v>
      </c>
      <c r="AA1151" s="1">
        <v>2</v>
      </c>
      <c r="AB1151" s="1">
        <v>1</v>
      </c>
      <c r="AC1151" s="1">
        <v>1</v>
      </c>
      <c r="AH1151" s="1">
        <v>0</v>
      </c>
      <c r="AI1151" s="1">
        <v>1</v>
      </c>
      <c r="AJ1151" s="1" t="s">
        <v>4524</v>
      </c>
      <c r="AK1151" s="1" t="s">
        <v>4443</v>
      </c>
      <c r="AL1151" s="1" t="s">
        <v>228</v>
      </c>
      <c r="AN1151" s="22" t="s">
        <v>9767</v>
      </c>
      <c r="AX1151" s="1">
        <v>1</v>
      </c>
      <c r="AZ1151" s="1">
        <v>0.1</v>
      </c>
      <c r="BG1151" s="1" t="s">
        <v>4522</v>
      </c>
      <c r="BM1151" s="1" t="s">
        <v>4525</v>
      </c>
      <c r="BQ1151" s="1" t="s">
        <v>207</v>
      </c>
      <c r="BR1151" s="1" t="s">
        <v>208</v>
      </c>
      <c r="BS1151" s="1" t="s">
        <v>229</v>
      </c>
      <c r="BT1151" s="1" t="s">
        <v>210</v>
      </c>
      <c r="BX1151" s="1">
        <v>1</v>
      </c>
    </row>
    <row r="1152" spans="1:76" x14ac:dyDescent="0.25">
      <c r="A1152" s="1" t="s">
        <v>4526</v>
      </c>
      <c r="B1152" s="1" t="s">
        <v>203</v>
      </c>
      <c r="C1152" s="1">
        <v>1</v>
      </c>
      <c r="D1152" s="1" t="s">
        <v>4527</v>
      </c>
      <c r="E1152" s="1">
        <v>10010</v>
      </c>
      <c r="F1152" s="1" t="s">
        <v>4526</v>
      </c>
      <c r="G1152" s="1">
        <v>1</v>
      </c>
      <c r="L1152" s="1">
        <v>5000</v>
      </c>
      <c r="N1152" s="1">
        <v>380</v>
      </c>
      <c r="P1152" s="1">
        <v>120</v>
      </c>
      <c r="R1152" s="1">
        <v>10</v>
      </c>
      <c r="Z1152" s="1">
        <v>0.05</v>
      </c>
      <c r="AA1152" s="1">
        <v>2</v>
      </c>
      <c r="AB1152" s="1">
        <v>1</v>
      </c>
      <c r="AC1152" s="1">
        <v>1</v>
      </c>
      <c r="AH1152" s="1">
        <v>0</v>
      </c>
      <c r="AI1152" s="1">
        <v>1</v>
      </c>
      <c r="AJ1152" s="1" t="s">
        <v>4528</v>
      </c>
      <c r="AK1152" s="1" t="s">
        <v>4443</v>
      </c>
      <c r="AL1152" s="1" t="s">
        <v>228</v>
      </c>
      <c r="AN1152" s="22" t="s">
        <v>9767</v>
      </c>
      <c r="AX1152" s="1">
        <v>1</v>
      </c>
      <c r="AZ1152" s="1">
        <v>0.1</v>
      </c>
      <c r="BG1152" s="1" t="s">
        <v>4526</v>
      </c>
      <c r="BM1152" s="1" t="s">
        <v>4525</v>
      </c>
      <c r="BQ1152" s="1" t="s">
        <v>207</v>
      </c>
      <c r="BR1152" s="1" t="s">
        <v>208</v>
      </c>
      <c r="BS1152" s="1" t="s">
        <v>229</v>
      </c>
      <c r="BT1152" s="1" t="s">
        <v>210</v>
      </c>
      <c r="BX1152" s="1">
        <v>1</v>
      </c>
    </row>
    <row r="1153" spans="1:76" x14ac:dyDescent="0.25">
      <c r="A1153" s="1" t="s">
        <v>4529</v>
      </c>
      <c r="B1153" s="1" t="s">
        <v>203</v>
      </c>
      <c r="C1153" s="1">
        <v>1</v>
      </c>
      <c r="D1153" s="1" t="s">
        <v>4530</v>
      </c>
      <c r="E1153" s="1">
        <v>10011</v>
      </c>
      <c r="F1153" s="1" t="s">
        <v>4529</v>
      </c>
      <c r="G1153" s="1">
        <v>1</v>
      </c>
      <c r="L1153" s="1">
        <v>4000</v>
      </c>
      <c r="N1153" s="1">
        <v>250</v>
      </c>
      <c r="P1153" s="1">
        <v>150</v>
      </c>
      <c r="R1153" s="1">
        <v>10</v>
      </c>
      <c r="Z1153" s="1">
        <v>0.05</v>
      </c>
      <c r="AA1153" s="1">
        <v>3.5</v>
      </c>
      <c r="AB1153" s="1">
        <v>1</v>
      </c>
      <c r="AC1153" s="1">
        <v>0.9</v>
      </c>
      <c r="AH1153" s="1">
        <v>0</v>
      </c>
      <c r="AI1153" s="1">
        <v>1</v>
      </c>
      <c r="AJ1153" s="1" t="s">
        <v>4531</v>
      </c>
      <c r="AK1153" s="1" t="s">
        <v>3764</v>
      </c>
      <c r="AL1153" s="1" t="s">
        <v>228</v>
      </c>
      <c r="AN1153" s="22" t="s">
        <v>9767</v>
      </c>
      <c r="AX1153" s="1">
        <v>1</v>
      </c>
      <c r="AZ1153" s="1">
        <v>0.1</v>
      </c>
      <c r="BG1153" s="1" t="s">
        <v>4529</v>
      </c>
      <c r="BM1153" s="1" t="s">
        <v>4532</v>
      </c>
      <c r="BQ1153" s="1" t="s">
        <v>207</v>
      </c>
      <c r="BR1153" s="1" t="s">
        <v>208</v>
      </c>
      <c r="BS1153" s="1" t="s">
        <v>229</v>
      </c>
      <c r="BT1153" s="1" t="s">
        <v>210</v>
      </c>
      <c r="BX1153" s="1">
        <v>1</v>
      </c>
    </row>
    <row r="1154" spans="1:76" x14ac:dyDescent="0.25">
      <c r="A1154" s="1" t="s">
        <v>4533</v>
      </c>
      <c r="B1154" s="1" t="s">
        <v>203</v>
      </c>
      <c r="C1154" s="1">
        <v>1</v>
      </c>
      <c r="D1154" s="1" t="s">
        <v>4534</v>
      </c>
      <c r="E1154" s="1">
        <v>10011</v>
      </c>
      <c r="F1154" s="1" t="s">
        <v>4533</v>
      </c>
      <c r="G1154" s="1">
        <v>1</v>
      </c>
      <c r="L1154" s="1">
        <v>4800</v>
      </c>
      <c r="N1154" s="1">
        <v>350</v>
      </c>
      <c r="P1154" s="1">
        <v>200</v>
      </c>
      <c r="R1154" s="1">
        <v>10</v>
      </c>
      <c r="Z1154" s="1">
        <v>0.05</v>
      </c>
      <c r="AA1154" s="1">
        <v>3.5</v>
      </c>
      <c r="AB1154" s="1">
        <v>1</v>
      </c>
      <c r="AC1154" s="1">
        <v>0.9</v>
      </c>
      <c r="AH1154" s="1">
        <v>0</v>
      </c>
      <c r="AI1154" s="1">
        <v>1</v>
      </c>
      <c r="AJ1154" s="1" t="s">
        <v>4535</v>
      </c>
      <c r="AK1154" s="1" t="s">
        <v>3764</v>
      </c>
      <c r="AL1154" s="1" t="s">
        <v>228</v>
      </c>
      <c r="AN1154" s="22" t="s">
        <v>9767</v>
      </c>
      <c r="AX1154" s="1">
        <v>1</v>
      </c>
      <c r="AZ1154" s="1">
        <v>0.1</v>
      </c>
      <c r="BG1154" s="1" t="s">
        <v>4533</v>
      </c>
      <c r="BM1154" s="1" t="s">
        <v>4532</v>
      </c>
      <c r="BQ1154" s="1" t="s">
        <v>207</v>
      </c>
      <c r="BR1154" s="1" t="s">
        <v>208</v>
      </c>
      <c r="BS1154" s="1" t="s">
        <v>229</v>
      </c>
      <c r="BT1154" s="1" t="s">
        <v>210</v>
      </c>
      <c r="BX1154" s="1">
        <v>1</v>
      </c>
    </row>
    <row r="1155" spans="1:76" x14ac:dyDescent="0.25">
      <c r="A1155" s="1" t="s">
        <v>4536</v>
      </c>
      <c r="B1155" s="1" t="s">
        <v>203</v>
      </c>
      <c r="C1155" s="1">
        <v>1</v>
      </c>
      <c r="D1155" s="1" t="s">
        <v>4537</v>
      </c>
      <c r="E1155" s="1">
        <v>10012</v>
      </c>
      <c r="F1155" s="1" t="s">
        <v>4536</v>
      </c>
      <c r="G1155" s="1">
        <v>1</v>
      </c>
      <c r="L1155" s="1">
        <v>2800</v>
      </c>
      <c r="N1155" s="1">
        <v>150</v>
      </c>
      <c r="P1155" s="1">
        <v>50</v>
      </c>
      <c r="R1155" s="1">
        <v>10</v>
      </c>
      <c r="Z1155" s="1">
        <v>0.05</v>
      </c>
      <c r="AA1155" s="1">
        <v>2</v>
      </c>
      <c r="AB1155" s="1">
        <v>0</v>
      </c>
      <c r="AC1155" s="1">
        <v>1</v>
      </c>
      <c r="AH1155" s="1">
        <v>0</v>
      </c>
      <c r="AI1155" s="1">
        <v>1</v>
      </c>
      <c r="AJ1155" s="1" t="s">
        <v>4538</v>
      </c>
      <c r="AK1155" s="1" t="s">
        <v>4483</v>
      </c>
      <c r="AL1155" s="1" t="s">
        <v>228</v>
      </c>
      <c r="AN1155" s="22" t="s">
        <v>9767</v>
      </c>
      <c r="AX1155" s="1">
        <v>1</v>
      </c>
      <c r="AZ1155" s="1">
        <v>0.1</v>
      </c>
      <c r="BG1155" s="1" t="s">
        <v>4536</v>
      </c>
      <c r="BM1155" s="1" t="s">
        <v>4525</v>
      </c>
      <c r="BQ1155" s="1" t="s">
        <v>207</v>
      </c>
      <c r="BR1155" s="1" t="s">
        <v>208</v>
      </c>
      <c r="BS1155" s="1" t="s">
        <v>229</v>
      </c>
      <c r="BT1155" s="1" t="s">
        <v>210</v>
      </c>
      <c r="BX1155" s="1">
        <v>1</v>
      </c>
    </row>
    <row r="1156" spans="1:76" x14ac:dyDescent="0.25">
      <c r="A1156" s="1" t="s">
        <v>4539</v>
      </c>
      <c r="B1156" s="1" t="s">
        <v>203</v>
      </c>
      <c r="C1156" s="1">
        <v>1</v>
      </c>
      <c r="D1156" s="1" t="s">
        <v>4540</v>
      </c>
      <c r="E1156" s="1">
        <v>10012</v>
      </c>
      <c r="F1156" s="1" t="s">
        <v>4539</v>
      </c>
      <c r="G1156" s="1">
        <v>1</v>
      </c>
      <c r="L1156" s="1">
        <v>3500</v>
      </c>
      <c r="N1156" s="1">
        <v>250</v>
      </c>
      <c r="P1156" s="1">
        <v>50</v>
      </c>
      <c r="R1156" s="1">
        <v>10</v>
      </c>
      <c r="Z1156" s="1">
        <v>0.05</v>
      </c>
      <c r="AA1156" s="1">
        <v>2</v>
      </c>
      <c r="AB1156" s="1">
        <v>0</v>
      </c>
      <c r="AC1156" s="1">
        <v>1</v>
      </c>
      <c r="AH1156" s="1">
        <v>0</v>
      </c>
      <c r="AI1156" s="1">
        <v>1</v>
      </c>
      <c r="AJ1156" s="1" t="s">
        <v>4541</v>
      </c>
      <c r="AK1156" s="1" t="s">
        <v>4483</v>
      </c>
      <c r="AL1156" s="1" t="s">
        <v>228</v>
      </c>
      <c r="AN1156" s="22" t="s">
        <v>9767</v>
      </c>
      <c r="AX1156" s="1">
        <v>1</v>
      </c>
      <c r="AZ1156" s="1">
        <v>0.1</v>
      </c>
      <c r="BG1156" s="1" t="s">
        <v>4539</v>
      </c>
      <c r="BM1156" s="1" t="s">
        <v>4525</v>
      </c>
      <c r="BQ1156" s="1" t="s">
        <v>207</v>
      </c>
      <c r="BR1156" s="1" t="s">
        <v>208</v>
      </c>
      <c r="BS1156" s="1" t="s">
        <v>229</v>
      </c>
      <c r="BT1156" s="1" t="s">
        <v>210</v>
      </c>
      <c r="BX1156" s="1">
        <v>1</v>
      </c>
    </row>
    <row r="1157" spans="1:76" x14ac:dyDescent="0.25">
      <c r="A1157" s="1" t="s">
        <v>4542</v>
      </c>
      <c r="B1157" s="1" t="s">
        <v>203</v>
      </c>
      <c r="C1157" s="1">
        <v>1</v>
      </c>
      <c r="D1157" s="1" t="s">
        <v>4543</v>
      </c>
      <c r="E1157" s="1">
        <v>10013</v>
      </c>
      <c r="F1157" s="1" t="s">
        <v>4542</v>
      </c>
      <c r="G1157" s="1">
        <v>1</v>
      </c>
      <c r="L1157" s="1">
        <v>8000</v>
      </c>
      <c r="N1157" s="1">
        <v>700</v>
      </c>
      <c r="P1157" s="1">
        <v>800</v>
      </c>
      <c r="R1157" s="1">
        <v>0</v>
      </c>
      <c r="Z1157" s="1">
        <v>0.05</v>
      </c>
      <c r="AA1157" s="1">
        <v>5</v>
      </c>
      <c r="AB1157" s="1">
        <v>3</v>
      </c>
      <c r="AC1157" s="1">
        <v>0.4</v>
      </c>
      <c r="AH1157" s="1">
        <v>0</v>
      </c>
      <c r="AI1157" s="1">
        <v>1</v>
      </c>
      <c r="AJ1157" s="1" t="s">
        <v>4544</v>
      </c>
      <c r="AK1157" s="1" t="s">
        <v>4483</v>
      </c>
      <c r="AL1157" s="1" t="s">
        <v>228</v>
      </c>
      <c r="AN1157" s="22" t="s">
        <v>9767</v>
      </c>
      <c r="AX1157" s="1">
        <v>1</v>
      </c>
      <c r="AZ1157" s="1">
        <v>0.1</v>
      </c>
      <c r="BG1157" s="1" t="s">
        <v>4542</v>
      </c>
      <c r="BM1157" s="1" t="s">
        <v>4525</v>
      </c>
      <c r="BQ1157" s="1" t="s">
        <v>207</v>
      </c>
      <c r="BR1157" s="1" t="s">
        <v>208</v>
      </c>
      <c r="BS1157" s="1" t="s">
        <v>229</v>
      </c>
      <c r="BT1157" s="1" t="s">
        <v>210</v>
      </c>
      <c r="BX1157" s="1">
        <v>1</v>
      </c>
    </row>
    <row r="1158" spans="1:76" x14ac:dyDescent="0.25">
      <c r="A1158" s="1" t="s">
        <v>4545</v>
      </c>
      <c r="B1158" s="1" t="s">
        <v>203</v>
      </c>
      <c r="C1158" s="1">
        <v>1</v>
      </c>
      <c r="D1158" s="1" t="s">
        <v>4546</v>
      </c>
      <c r="E1158" s="1">
        <v>10013</v>
      </c>
      <c r="F1158" s="1" t="s">
        <v>4545</v>
      </c>
      <c r="G1158" s="1">
        <v>1</v>
      </c>
      <c r="L1158" s="1">
        <v>10000</v>
      </c>
      <c r="N1158" s="1">
        <v>800</v>
      </c>
      <c r="P1158" s="1">
        <v>900</v>
      </c>
      <c r="R1158" s="1">
        <v>0</v>
      </c>
      <c r="Z1158" s="1">
        <v>0.05</v>
      </c>
      <c r="AA1158" s="1">
        <v>5</v>
      </c>
      <c r="AB1158" s="1">
        <v>3</v>
      </c>
      <c r="AC1158" s="1">
        <v>0.4</v>
      </c>
      <c r="AH1158" s="1">
        <v>0</v>
      </c>
      <c r="AI1158" s="1">
        <v>1</v>
      </c>
      <c r="AJ1158" s="1" t="s">
        <v>4547</v>
      </c>
      <c r="AK1158" s="1" t="s">
        <v>4483</v>
      </c>
      <c r="AL1158" s="1" t="s">
        <v>228</v>
      </c>
      <c r="AN1158" s="22" t="s">
        <v>9767</v>
      </c>
      <c r="AX1158" s="1">
        <v>1</v>
      </c>
      <c r="AZ1158" s="1">
        <v>0.1</v>
      </c>
      <c r="BG1158" s="1" t="s">
        <v>4545</v>
      </c>
      <c r="BM1158" s="1" t="s">
        <v>4525</v>
      </c>
      <c r="BQ1158" s="1" t="s">
        <v>207</v>
      </c>
      <c r="BR1158" s="1" t="s">
        <v>208</v>
      </c>
      <c r="BS1158" s="1" t="s">
        <v>229</v>
      </c>
      <c r="BT1158" s="1" t="s">
        <v>210</v>
      </c>
      <c r="BX1158" s="1">
        <v>1</v>
      </c>
    </row>
    <row r="1159" spans="1:76" x14ac:dyDescent="0.25">
      <c r="A1159" s="1" t="s">
        <v>4548</v>
      </c>
      <c r="B1159" s="1" t="s">
        <v>203</v>
      </c>
      <c r="C1159" s="1">
        <v>1</v>
      </c>
      <c r="D1159" s="1" t="s">
        <v>4549</v>
      </c>
      <c r="E1159" s="1">
        <v>10014</v>
      </c>
      <c r="F1159" s="1" t="s">
        <v>4548</v>
      </c>
      <c r="G1159" s="1">
        <v>1</v>
      </c>
      <c r="L1159" s="1">
        <v>20000</v>
      </c>
      <c r="N1159" s="1">
        <v>1000</v>
      </c>
      <c r="P1159" s="1">
        <v>200</v>
      </c>
      <c r="R1159" s="1">
        <v>20</v>
      </c>
      <c r="Z1159" s="1">
        <v>0.05</v>
      </c>
      <c r="AA1159" s="1">
        <v>1.3</v>
      </c>
      <c r="AB1159" s="1">
        <v>3</v>
      </c>
      <c r="AC1159" s="1">
        <v>0.6</v>
      </c>
      <c r="AH1159" s="1">
        <v>0</v>
      </c>
      <c r="AI1159" s="1">
        <v>1</v>
      </c>
      <c r="AJ1159" s="1" t="s">
        <v>4550</v>
      </c>
      <c r="AK1159" s="1" t="s">
        <v>265</v>
      </c>
      <c r="AL1159" s="1" t="s">
        <v>228</v>
      </c>
      <c r="AN1159" s="22" t="s">
        <v>9767</v>
      </c>
      <c r="AX1159" s="1">
        <v>1</v>
      </c>
      <c r="AZ1159" s="1">
        <v>0.1</v>
      </c>
      <c r="BG1159" s="1" t="s">
        <v>4548</v>
      </c>
      <c r="BM1159" s="1" t="s">
        <v>4525</v>
      </c>
      <c r="BQ1159" s="1" t="s">
        <v>207</v>
      </c>
      <c r="BR1159" s="1" t="s">
        <v>208</v>
      </c>
      <c r="BS1159" s="1" t="s">
        <v>229</v>
      </c>
      <c r="BT1159" s="1" t="s">
        <v>210</v>
      </c>
      <c r="BX1159" s="1">
        <v>1</v>
      </c>
    </row>
    <row r="1160" spans="1:76" x14ac:dyDescent="0.25">
      <c r="A1160" s="1" t="s">
        <v>4551</v>
      </c>
      <c r="B1160" s="1" t="s">
        <v>203</v>
      </c>
      <c r="C1160" s="1">
        <v>1</v>
      </c>
      <c r="D1160" s="1" t="s">
        <v>4552</v>
      </c>
      <c r="E1160" s="1">
        <v>10014</v>
      </c>
      <c r="F1160" s="1" t="s">
        <v>4551</v>
      </c>
      <c r="G1160" s="1">
        <v>1</v>
      </c>
      <c r="L1160" s="1">
        <v>25000</v>
      </c>
      <c r="N1160" s="1">
        <v>1750</v>
      </c>
      <c r="P1160" s="1">
        <v>200</v>
      </c>
      <c r="R1160" s="1">
        <v>20</v>
      </c>
      <c r="Z1160" s="1">
        <v>0.05</v>
      </c>
      <c r="AA1160" s="1">
        <v>1.3</v>
      </c>
      <c r="AB1160" s="1">
        <v>3</v>
      </c>
      <c r="AC1160" s="1">
        <v>0.6</v>
      </c>
      <c r="AH1160" s="1">
        <v>0</v>
      </c>
      <c r="AI1160" s="1">
        <v>1</v>
      </c>
      <c r="AJ1160" s="1" t="s">
        <v>4553</v>
      </c>
      <c r="AK1160" s="1" t="s">
        <v>265</v>
      </c>
      <c r="AL1160" s="1" t="s">
        <v>228</v>
      </c>
      <c r="AN1160" s="22" t="s">
        <v>9767</v>
      </c>
      <c r="AX1160" s="1">
        <v>1</v>
      </c>
      <c r="AZ1160" s="1">
        <v>0.1</v>
      </c>
      <c r="BG1160" s="1" t="s">
        <v>4551</v>
      </c>
      <c r="BM1160" s="1" t="s">
        <v>4525</v>
      </c>
      <c r="BQ1160" s="1" t="s">
        <v>207</v>
      </c>
      <c r="BR1160" s="1" t="s">
        <v>208</v>
      </c>
      <c r="BS1160" s="1" t="s">
        <v>229</v>
      </c>
      <c r="BT1160" s="1" t="s">
        <v>210</v>
      </c>
      <c r="BX1160" s="1">
        <v>1</v>
      </c>
    </row>
    <row r="1161" spans="1:76" x14ac:dyDescent="0.25">
      <c r="A1161" s="1" t="s">
        <v>4554</v>
      </c>
      <c r="B1161" s="1" t="s">
        <v>203</v>
      </c>
      <c r="C1161" s="1">
        <v>1</v>
      </c>
      <c r="D1161" s="1" t="s">
        <v>4555</v>
      </c>
      <c r="E1161" s="1">
        <v>10015</v>
      </c>
      <c r="F1161" s="1" t="s">
        <v>4554</v>
      </c>
      <c r="G1161" s="1">
        <v>1</v>
      </c>
      <c r="L1161" s="1">
        <v>4000</v>
      </c>
      <c r="N1161" s="1">
        <v>150</v>
      </c>
      <c r="P1161" s="1">
        <v>50</v>
      </c>
      <c r="R1161" s="1">
        <v>10</v>
      </c>
      <c r="Z1161" s="1">
        <v>0.05</v>
      </c>
      <c r="AA1161" s="1">
        <v>2</v>
      </c>
      <c r="AB1161" s="1">
        <v>2</v>
      </c>
      <c r="AC1161" s="1">
        <v>2.5</v>
      </c>
      <c r="AH1161" s="1">
        <v>0</v>
      </c>
      <c r="AI1161" s="1">
        <v>1</v>
      </c>
      <c r="AJ1161" s="1" t="s">
        <v>4556</v>
      </c>
      <c r="AK1161" s="1" t="s">
        <v>265</v>
      </c>
      <c r="AL1161" s="1" t="s">
        <v>228</v>
      </c>
      <c r="AN1161" s="22" t="s">
        <v>9767</v>
      </c>
      <c r="AP1161" s="1">
        <v>1</v>
      </c>
      <c r="AX1161" s="1">
        <v>0</v>
      </c>
      <c r="AZ1161" s="1">
        <v>0.1</v>
      </c>
      <c r="BG1161" s="1" t="s">
        <v>4554</v>
      </c>
      <c r="BM1161" s="1" t="s">
        <v>4525</v>
      </c>
      <c r="BQ1161" s="1" t="s">
        <v>207</v>
      </c>
      <c r="BR1161" s="1" t="s">
        <v>208</v>
      </c>
      <c r="BS1161" s="1" t="s">
        <v>229</v>
      </c>
      <c r="BT1161" s="1" t="s">
        <v>210</v>
      </c>
      <c r="BX1161" s="1">
        <v>1</v>
      </c>
    </row>
    <row r="1162" spans="1:76" x14ac:dyDescent="0.25">
      <c r="A1162" s="1" t="s">
        <v>4557</v>
      </c>
      <c r="B1162" s="1" t="s">
        <v>203</v>
      </c>
      <c r="C1162" s="1">
        <v>1</v>
      </c>
      <c r="D1162" s="1" t="s">
        <v>4558</v>
      </c>
      <c r="E1162" s="1">
        <v>10015</v>
      </c>
      <c r="F1162" s="1" t="s">
        <v>4557</v>
      </c>
      <c r="G1162" s="1">
        <v>1</v>
      </c>
      <c r="L1162" s="1">
        <v>5000</v>
      </c>
      <c r="N1162" s="1">
        <v>150</v>
      </c>
      <c r="P1162" s="1">
        <v>50</v>
      </c>
      <c r="R1162" s="1">
        <v>10</v>
      </c>
      <c r="Z1162" s="1">
        <v>0.05</v>
      </c>
      <c r="AA1162" s="1">
        <v>2</v>
      </c>
      <c r="AB1162" s="1">
        <v>2</v>
      </c>
      <c r="AC1162" s="1">
        <v>2.5</v>
      </c>
      <c r="AH1162" s="1">
        <v>0</v>
      </c>
      <c r="AI1162" s="1">
        <v>1</v>
      </c>
      <c r="AJ1162" s="1" t="s">
        <v>4559</v>
      </c>
      <c r="AK1162" s="1" t="s">
        <v>265</v>
      </c>
      <c r="AL1162" s="1" t="s">
        <v>228</v>
      </c>
      <c r="AN1162" s="22" t="s">
        <v>9767</v>
      </c>
      <c r="AP1162" s="1">
        <v>1</v>
      </c>
      <c r="AX1162" s="1">
        <v>0</v>
      </c>
      <c r="AZ1162" s="1">
        <v>0.1</v>
      </c>
      <c r="BG1162" s="1" t="s">
        <v>4557</v>
      </c>
      <c r="BM1162" s="1" t="s">
        <v>4525</v>
      </c>
      <c r="BQ1162" s="1" t="s">
        <v>207</v>
      </c>
      <c r="BR1162" s="1" t="s">
        <v>208</v>
      </c>
      <c r="BS1162" s="1" t="s">
        <v>229</v>
      </c>
      <c r="BT1162" s="1" t="s">
        <v>210</v>
      </c>
      <c r="BX1162" s="1">
        <v>1</v>
      </c>
    </row>
    <row r="1163" spans="1:76" x14ac:dyDescent="0.25">
      <c r="A1163" s="1" t="s">
        <v>4560</v>
      </c>
      <c r="B1163" s="1" t="s">
        <v>203</v>
      </c>
      <c r="C1163" s="1">
        <v>1</v>
      </c>
      <c r="D1163" s="1" t="s">
        <v>4561</v>
      </c>
      <c r="E1163" s="1">
        <v>10016</v>
      </c>
      <c r="F1163" s="1" t="s">
        <v>4560</v>
      </c>
      <c r="G1163" s="1">
        <v>1</v>
      </c>
      <c r="L1163" s="1">
        <v>10000</v>
      </c>
      <c r="N1163" s="1">
        <v>600</v>
      </c>
      <c r="P1163" s="1">
        <v>1000</v>
      </c>
      <c r="R1163" s="1">
        <v>0</v>
      </c>
      <c r="Z1163" s="1">
        <v>0.05</v>
      </c>
      <c r="AA1163" s="1">
        <v>4</v>
      </c>
      <c r="AB1163" s="1">
        <v>4</v>
      </c>
      <c r="AC1163" s="1">
        <v>0.5</v>
      </c>
      <c r="AH1163" s="1">
        <v>0</v>
      </c>
      <c r="AI1163" s="1">
        <v>1</v>
      </c>
      <c r="AJ1163" s="1" t="s">
        <v>4562</v>
      </c>
      <c r="AK1163" s="1" t="s">
        <v>265</v>
      </c>
      <c r="AL1163" s="1" t="s">
        <v>228</v>
      </c>
      <c r="AN1163" s="22" t="s">
        <v>9767</v>
      </c>
      <c r="AX1163" s="1">
        <v>1</v>
      </c>
      <c r="AZ1163" s="1">
        <v>0.1</v>
      </c>
      <c r="BG1163" s="1" t="s">
        <v>4560</v>
      </c>
      <c r="BM1163" s="1" t="s">
        <v>4563</v>
      </c>
      <c r="BQ1163" s="1" t="s">
        <v>207</v>
      </c>
      <c r="BR1163" s="1" t="s">
        <v>208</v>
      </c>
      <c r="BS1163" s="1" t="s">
        <v>229</v>
      </c>
      <c r="BT1163" s="1" t="s">
        <v>210</v>
      </c>
      <c r="BX1163" s="1">
        <v>1</v>
      </c>
    </row>
    <row r="1164" spans="1:76" x14ac:dyDescent="0.25">
      <c r="A1164" s="1" t="s">
        <v>4564</v>
      </c>
      <c r="B1164" s="1" t="s">
        <v>203</v>
      </c>
      <c r="C1164" s="1">
        <v>1</v>
      </c>
      <c r="D1164" s="1" t="s">
        <v>4565</v>
      </c>
      <c r="E1164" s="1">
        <v>10016</v>
      </c>
      <c r="F1164" s="1" t="s">
        <v>4564</v>
      </c>
      <c r="G1164" s="1">
        <v>1</v>
      </c>
      <c r="L1164" s="1">
        <v>12000</v>
      </c>
      <c r="N1164" s="1">
        <v>700</v>
      </c>
      <c r="P1164" s="1">
        <v>1200</v>
      </c>
      <c r="R1164" s="1">
        <v>0</v>
      </c>
      <c r="Z1164" s="1">
        <v>0.05</v>
      </c>
      <c r="AA1164" s="1">
        <v>4</v>
      </c>
      <c r="AB1164" s="1">
        <v>4</v>
      </c>
      <c r="AC1164" s="1">
        <v>0.5</v>
      </c>
      <c r="AH1164" s="1">
        <v>0</v>
      </c>
      <c r="AI1164" s="1">
        <v>1</v>
      </c>
      <c r="AJ1164" s="1" t="s">
        <v>4566</v>
      </c>
      <c r="AK1164" s="1" t="s">
        <v>265</v>
      </c>
      <c r="AL1164" s="1" t="s">
        <v>228</v>
      </c>
      <c r="AN1164" s="22" t="s">
        <v>9767</v>
      </c>
      <c r="AX1164" s="1">
        <v>1</v>
      </c>
      <c r="AZ1164" s="1">
        <v>0.1</v>
      </c>
      <c r="BG1164" s="1" t="s">
        <v>4564</v>
      </c>
      <c r="BM1164" s="1" t="s">
        <v>4563</v>
      </c>
      <c r="BQ1164" s="1" t="s">
        <v>207</v>
      </c>
      <c r="BR1164" s="1" t="s">
        <v>208</v>
      </c>
      <c r="BS1164" s="1" t="s">
        <v>229</v>
      </c>
      <c r="BT1164" s="1" t="s">
        <v>210</v>
      </c>
      <c r="BX1164" s="1">
        <v>1</v>
      </c>
    </row>
    <row r="1165" spans="1:76" x14ac:dyDescent="0.25">
      <c r="A1165" s="1" t="s">
        <v>4567</v>
      </c>
      <c r="B1165" s="1" t="s">
        <v>203</v>
      </c>
      <c r="C1165" s="1">
        <v>1</v>
      </c>
      <c r="D1165" s="1" t="s">
        <v>4568</v>
      </c>
      <c r="E1165" s="1">
        <v>10017</v>
      </c>
      <c r="F1165" s="1" t="s">
        <v>4567</v>
      </c>
      <c r="G1165" s="1">
        <v>1</v>
      </c>
      <c r="L1165" s="1">
        <v>15000</v>
      </c>
      <c r="N1165" s="1">
        <v>400</v>
      </c>
      <c r="P1165" s="1">
        <v>200</v>
      </c>
      <c r="R1165" s="1">
        <v>20</v>
      </c>
      <c r="Z1165" s="1">
        <v>0.05</v>
      </c>
      <c r="AA1165" s="1">
        <v>2</v>
      </c>
      <c r="AB1165" s="1">
        <v>2</v>
      </c>
      <c r="AC1165" s="1">
        <v>0.95</v>
      </c>
      <c r="AH1165" s="1">
        <v>0</v>
      </c>
      <c r="AI1165" s="1">
        <v>1</v>
      </c>
      <c r="AJ1165" s="1" t="s">
        <v>4569</v>
      </c>
      <c r="AK1165" s="1" t="s">
        <v>265</v>
      </c>
      <c r="AL1165" s="1" t="s">
        <v>228</v>
      </c>
      <c r="AN1165" s="22" t="s">
        <v>9767</v>
      </c>
      <c r="AX1165" s="1">
        <v>1</v>
      </c>
      <c r="AZ1165" s="1">
        <v>0.1</v>
      </c>
      <c r="BG1165" s="1" t="s">
        <v>4567</v>
      </c>
      <c r="BM1165" s="1" t="s">
        <v>4563</v>
      </c>
      <c r="BQ1165" s="1" t="s">
        <v>207</v>
      </c>
      <c r="BR1165" s="1" t="s">
        <v>208</v>
      </c>
      <c r="BS1165" s="1" t="s">
        <v>229</v>
      </c>
      <c r="BT1165" s="1" t="s">
        <v>210</v>
      </c>
      <c r="BX1165" s="1">
        <v>1</v>
      </c>
    </row>
    <row r="1166" spans="1:76" x14ac:dyDescent="0.25">
      <c r="A1166" s="1" t="s">
        <v>4570</v>
      </c>
      <c r="B1166" s="1" t="s">
        <v>203</v>
      </c>
      <c r="C1166" s="1">
        <v>1</v>
      </c>
      <c r="D1166" s="1" t="s">
        <v>4571</v>
      </c>
      <c r="E1166" s="1">
        <v>10017</v>
      </c>
      <c r="F1166" s="1" t="s">
        <v>4570</v>
      </c>
      <c r="G1166" s="1">
        <v>1</v>
      </c>
      <c r="L1166" s="1">
        <v>18000</v>
      </c>
      <c r="N1166" s="1">
        <v>600</v>
      </c>
      <c r="P1166" s="1">
        <v>300</v>
      </c>
      <c r="R1166" s="1">
        <v>20</v>
      </c>
      <c r="Z1166" s="1">
        <v>0.05</v>
      </c>
      <c r="AA1166" s="1">
        <v>2</v>
      </c>
      <c r="AB1166" s="1">
        <v>2</v>
      </c>
      <c r="AC1166" s="1">
        <v>0.95</v>
      </c>
      <c r="AH1166" s="1">
        <v>0</v>
      </c>
      <c r="AI1166" s="1">
        <v>1</v>
      </c>
      <c r="AJ1166" s="1" t="s">
        <v>4572</v>
      </c>
      <c r="AK1166" s="1" t="s">
        <v>265</v>
      </c>
      <c r="AL1166" s="1" t="s">
        <v>228</v>
      </c>
      <c r="AN1166" s="22" t="s">
        <v>9767</v>
      </c>
      <c r="AX1166" s="1">
        <v>1</v>
      </c>
      <c r="AZ1166" s="1">
        <v>0.1</v>
      </c>
      <c r="BG1166" s="1" t="s">
        <v>4570</v>
      </c>
      <c r="BM1166" s="1" t="s">
        <v>4563</v>
      </c>
      <c r="BQ1166" s="1" t="s">
        <v>207</v>
      </c>
      <c r="BR1166" s="1" t="s">
        <v>208</v>
      </c>
      <c r="BS1166" s="1" t="s">
        <v>229</v>
      </c>
      <c r="BT1166" s="1" t="s">
        <v>210</v>
      </c>
      <c r="BX1166" s="1">
        <v>1</v>
      </c>
    </row>
    <row r="1167" spans="1:76" x14ac:dyDescent="0.25">
      <c r="A1167" s="1" t="s">
        <v>4573</v>
      </c>
      <c r="B1167" s="1" t="s">
        <v>203</v>
      </c>
      <c r="C1167" s="1">
        <v>1</v>
      </c>
      <c r="D1167" s="1" t="s">
        <v>4574</v>
      </c>
      <c r="E1167" s="1">
        <v>10018</v>
      </c>
      <c r="F1167" s="1" t="s">
        <v>4573</v>
      </c>
      <c r="G1167" s="1">
        <v>1</v>
      </c>
      <c r="L1167" s="1">
        <v>7500</v>
      </c>
      <c r="N1167" s="1">
        <v>450</v>
      </c>
      <c r="P1167" s="1">
        <v>280</v>
      </c>
      <c r="R1167" s="1">
        <v>50</v>
      </c>
      <c r="Z1167" s="1">
        <v>0.05</v>
      </c>
      <c r="AA1167" s="1">
        <v>4.5</v>
      </c>
      <c r="AB1167" s="1">
        <v>2</v>
      </c>
      <c r="AC1167" s="1">
        <v>0.7</v>
      </c>
      <c r="AH1167" s="1">
        <v>0</v>
      </c>
      <c r="AI1167" s="1">
        <v>1</v>
      </c>
      <c r="AJ1167" s="1" t="s">
        <v>4575</v>
      </c>
      <c r="AK1167" s="1" t="s">
        <v>4406</v>
      </c>
      <c r="AL1167" s="1" t="s">
        <v>228</v>
      </c>
      <c r="AN1167" s="22" t="s">
        <v>9767</v>
      </c>
      <c r="AX1167" s="1">
        <v>1</v>
      </c>
      <c r="AZ1167" s="1">
        <v>0.1</v>
      </c>
      <c r="BG1167" s="1" t="s">
        <v>4573</v>
      </c>
      <c r="BM1167" s="1" t="s">
        <v>4576</v>
      </c>
      <c r="BQ1167" s="1" t="s">
        <v>207</v>
      </c>
      <c r="BR1167" s="1" t="s">
        <v>208</v>
      </c>
      <c r="BS1167" s="1" t="s">
        <v>229</v>
      </c>
      <c r="BT1167" s="1" t="s">
        <v>210</v>
      </c>
      <c r="BX1167" s="1">
        <v>1</v>
      </c>
    </row>
    <row r="1168" spans="1:76" x14ac:dyDescent="0.25">
      <c r="A1168" s="1" t="s">
        <v>4577</v>
      </c>
      <c r="B1168" s="1" t="s">
        <v>203</v>
      </c>
      <c r="C1168" s="1">
        <v>1</v>
      </c>
      <c r="D1168" s="1" t="s">
        <v>4578</v>
      </c>
      <c r="E1168" s="1">
        <v>10018</v>
      </c>
      <c r="F1168" s="1" t="s">
        <v>4577</v>
      </c>
      <c r="G1168" s="1">
        <v>1</v>
      </c>
      <c r="L1168" s="1">
        <v>9000</v>
      </c>
      <c r="N1168" s="1">
        <v>550</v>
      </c>
      <c r="P1168" s="1">
        <v>320</v>
      </c>
      <c r="R1168" s="1">
        <v>50</v>
      </c>
      <c r="Z1168" s="1">
        <v>0.05</v>
      </c>
      <c r="AA1168" s="1">
        <v>4.5</v>
      </c>
      <c r="AB1168" s="1">
        <v>2</v>
      </c>
      <c r="AC1168" s="1">
        <v>0.7</v>
      </c>
      <c r="AH1168" s="1">
        <v>0</v>
      </c>
      <c r="AI1168" s="1">
        <v>1</v>
      </c>
      <c r="AJ1168" s="1" t="s">
        <v>4579</v>
      </c>
      <c r="AK1168" s="1" t="s">
        <v>4406</v>
      </c>
      <c r="AL1168" s="1" t="s">
        <v>228</v>
      </c>
      <c r="AN1168" s="22" t="s">
        <v>9767</v>
      </c>
      <c r="AX1168" s="1">
        <v>1</v>
      </c>
      <c r="AZ1168" s="1">
        <v>0.1</v>
      </c>
      <c r="BG1168" s="1" t="s">
        <v>4577</v>
      </c>
      <c r="BM1168" s="1" t="s">
        <v>4576</v>
      </c>
      <c r="BQ1168" s="1" t="s">
        <v>207</v>
      </c>
      <c r="BR1168" s="1" t="s">
        <v>208</v>
      </c>
      <c r="BS1168" s="1" t="s">
        <v>229</v>
      </c>
      <c r="BT1168" s="1" t="s">
        <v>210</v>
      </c>
      <c r="BX1168" s="1">
        <v>1</v>
      </c>
    </row>
    <row r="1169" spans="1:76" x14ac:dyDescent="0.25">
      <c r="A1169" s="1" t="s">
        <v>4580</v>
      </c>
      <c r="B1169" s="1" t="s">
        <v>203</v>
      </c>
      <c r="C1169" s="1">
        <v>1</v>
      </c>
      <c r="D1169" s="1" t="s">
        <v>4581</v>
      </c>
      <c r="E1169" s="1">
        <v>10019</v>
      </c>
      <c r="F1169" s="1" t="s">
        <v>4580</v>
      </c>
      <c r="G1169" s="1">
        <v>1</v>
      </c>
      <c r="L1169" s="1">
        <v>20000</v>
      </c>
      <c r="N1169" s="1">
        <v>1500</v>
      </c>
      <c r="P1169" s="1">
        <v>50</v>
      </c>
      <c r="R1169" s="1">
        <v>5</v>
      </c>
      <c r="Z1169" s="1">
        <v>0.05</v>
      </c>
      <c r="AA1169" s="1">
        <v>6</v>
      </c>
      <c r="AB1169" s="1">
        <v>4</v>
      </c>
      <c r="AC1169" s="1">
        <v>0.7</v>
      </c>
      <c r="AH1169" s="1">
        <v>2</v>
      </c>
      <c r="AI1169" s="1">
        <v>1</v>
      </c>
      <c r="AJ1169" s="1" t="s">
        <v>4582</v>
      </c>
      <c r="AK1169" s="1" t="s">
        <v>265</v>
      </c>
      <c r="AL1169" s="1" t="s">
        <v>228</v>
      </c>
      <c r="AN1169" s="22" t="s">
        <v>9767</v>
      </c>
      <c r="AX1169" s="1">
        <v>1</v>
      </c>
      <c r="AZ1169" s="1">
        <v>0.1</v>
      </c>
      <c r="BG1169" s="1" t="s">
        <v>4580</v>
      </c>
      <c r="BM1169" s="1" t="s">
        <v>4563</v>
      </c>
      <c r="BQ1169" s="1" t="s">
        <v>207</v>
      </c>
      <c r="BR1169" s="1" t="s">
        <v>208</v>
      </c>
      <c r="BS1169" s="1" t="s">
        <v>229</v>
      </c>
      <c r="BT1169" s="1" t="s">
        <v>210</v>
      </c>
      <c r="BX1169" s="1">
        <v>1</v>
      </c>
    </row>
    <row r="1170" spans="1:76" x14ac:dyDescent="0.25">
      <c r="A1170" s="1" t="s">
        <v>4583</v>
      </c>
      <c r="B1170" s="1" t="s">
        <v>203</v>
      </c>
      <c r="C1170" s="1">
        <v>1</v>
      </c>
      <c r="D1170" s="1" t="s">
        <v>4584</v>
      </c>
      <c r="E1170" s="1">
        <v>10019</v>
      </c>
      <c r="F1170" s="1" t="s">
        <v>4583</v>
      </c>
      <c r="G1170" s="1">
        <v>1</v>
      </c>
      <c r="L1170" s="1">
        <v>25000</v>
      </c>
      <c r="N1170" s="1">
        <v>1700</v>
      </c>
      <c r="P1170" s="1">
        <v>50</v>
      </c>
      <c r="R1170" s="1">
        <v>5</v>
      </c>
      <c r="Z1170" s="1">
        <v>0.05</v>
      </c>
      <c r="AA1170" s="1">
        <v>6</v>
      </c>
      <c r="AB1170" s="1">
        <v>4</v>
      </c>
      <c r="AC1170" s="1">
        <v>0.7</v>
      </c>
      <c r="AH1170" s="1">
        <v>2</v>
      </c>
      <c r="AI1170" s="1">
        <v>1</v>
      </c>
      <c r="AJ1170" s="1" t="s">
        <v>4585</v>
      </c>
      <c r="AK1170" s="1" t="s">
        <v>265</v>
      </c>
      <c r="AL1170" s="1" t="s">
        <v>228</v>
      </c>
      <c r="AN1170" s="22" t="s">
        <v>9767</v>
      </c>
      <c r="AX1170" s="1">
        <v>1</v>
      </c>
      <c r="AZ1170" s="1">
        <v>0.1</v>
      </c>
      <c r="BG1170" s="1" t="s">
        <v>4583</v>
      </c>
      <c r="BM1170" s="1" t="s">
        <v>4563</v>
      </c>
      <c r="BQ1170" s="1" t="s">
        <v>207</v>
      </c>
      <c r="BR1170" s="1" t="s">
        <v>208</v>
      </c>
      <c r="BS1170" s="1" t="s">
        <v>229</v>
      </c>
      <c r="BT1170" s="1" t="s">
        <v>210</v>
      </c>
      <c r="BX1170" s="1">
        <v>1</v>
      </c>
    </row>
    <row r="1171" spans="1:76" x14ac:dyDescent="0.25">
      <c r="A1171" s="1" t="s">
        <v>4586</v>
      </c>
      <c r="B1171" s="1" t="s">
        <v>203</v>
      </c>
      <c r="C1171" s="1">
        <v>1</v>
      </c>
      <c r="D1171" s="1" t="s">
        <v>4587</v>
      </c>
      <c r="E1171" s="1">
        <v>10020</v>
      </c>
      <c r="F1171" s="1" t="s">
        <v>4586</v>
      </c>
      <c r="G1171" s="1">
        <v>1</v>
      </c>
      <c r="L1171" s="1">
        <v>30000</v>
      </c>
      <c r="N1171" s="1">
        <v>800</v>
      </c>
      <c r="P1171" s="1">
        <v>1000</v>
      </c>
      <c r="R1171" s="1">
        <v>50</v>
      </c>
      <c r="Z1171" s="1">
        <v>0.05</v>
      </c>
      <c r="AA1171" s="1">
        <v>5</v>
      </c>
      <c r="AB1171" s="1">
        <v>5</v>
      </c>
      <c r="AC1171" s="1">
        <v>0.5</v>
      </c>
      <c r="AH1171" s="1">
        <v>0</v>
      </c>
      <c r="AI1171" s="1">
        <v>1</v>
      </c>
      <c r="AJ1171" s="1" t="s">
        <v>4588</v>
      </c>
      <c r="AK1171" s="1" t="s">
        <v>265</v>
      </c>
      <c r="AL1171" s="1" t="s">
        <v>228</v>
      </c>
      <c r="AN1171" s="22" t="s">
        <v>9767</v>
      </c>
      <c r="AX1171" s="1">
        <v>1</v>
      </c>
      <c r="AZ1171" s="1">
        <v>0.1</v>
      </c>
      <c r="BG1171" s="1" t="s">
        <v>4586</v>
      </c>
      <c r="BM1171" s="1" t="s">
        <v>989</v>
      </c>
      <c r="BQ1171" s="1" t="s">
        <v>207</v>
      </c>
      <c r="BR1171" s="1" t="s">
        <v>208</v>
      </c>
      <c r="BS1171" s="1" t="s">
        <v>229</v>
      </c>
      <c r="BT1171" s="1" t="s">
        <v>210</v>
      </c>
      <c r="BX1171" s="1">
        <v>1</v>
      </c>
    </row>
    <row r="1172" spans="1:76" x14ac:dyDescent="0.25">
      <c r="A1172" s="1" t="s">
        <v>4589</v>
      </c>
      <c r="B1172" s="1" t="s">
        <v>203</v>
      </c>
      <c r="C1172" s="1">
        <v>1</v>
      </c>
      <c r="D1172" s="1" t="s">
        <v>4590</v>
      </c>
      <c r="E1172" s="1">
        <v>1558</v>
      </c>
      <c r="F1172" s="1" t="s">
        <v>4589</v>
      </c>
      <c r="G1172" s="1">
        <v>1</v>
      </c>
      <c r="L1172" s="1">
        <v>110000</v>
      </c>
      <c r="N1172" s="1">
        <v>800</v>
      </c>
      <c r="P1172" s="1">
        <v>200</v>
      </c>
      <c r="R1172" s="1">
        <v>20</v>
      </c>
      <c r="Z1172" s="1">
        <v>0.05</v>
      </c>
      <c r="AA1172" s="1">
        <v>4</v>
      </c>
      <c r="AB1172" s="1">
        <v>10</v>
      </c>
      <c r="AC1172" s="1">
        <v>0.6</v>
      </c>
      <c r="AH1172" s="1">
        <v>0</v>
      </c>
      <c r="AI1172" s="1">
        <v>1</v>
      </c>
      <c r="AJ1172" s="1" t="s">
        <v>4591</v>
      </c>
      <c r="AK1172" s="1" t="s">
        <v>3367</v>
      </c>
      <c r="AL1172" s="1" t="s">
        <v>228</v>
      </c>
      <c r="AN1172" s="22" t="s">
        <v>9767</v>
      </c>
      <c r="AX1172" s="1">
        <v>1</v>
      </c>
      <c r="AZ1172" s="1">
        <v>0.1</v>
      </c>
      <c r="BG1172" s="1" t="s">
        <v>4589</v>
      </c>
      <c r="BM1172" s="1" t="s">
        <v>4592</v>
      </c>
      <c r="BQ1172" s="1" t="s">
        <v>3416</v>
      </c>
      <c r="BR1172" s="1" t="s">
        <v>2593</v>
      </c>
      <c r="BS1172" s="1" t="s">
        <v>2594</v>
      </c>
      <c r="BT1172" s="1" t="s">
        <v>2595</v>
      </c>
      <c r="BX1172" s="1">
        <v>1</v>
      </c>
    </row>
    <row r="1173" spans="1:76" x14ac:dyDescent="0.25">
      <c r="A1173" s="1" t="s">
        <v>4593</v>
      </c>
      <c r="B1173" s="1" t="s">
        <v>203</v>
      </c>
      <c r="C1173" s="1">
        <v>1</v>
      </c>
      <c r="D1173" s="1" t="s">
        <v>4594</v>
      </c>
      <c r="E1173" s="1">
        <v>10001</v>
      </c>
      <c r="F1173" s="1" t="s">
        <v>4593</v>
      </c>
      <c r="G1173" s="1">
        <v>1</v>
      </c>
      <c r="L1173" s="1">
        <v>4500</v>
      </c>
      <c r="N1173" s="1">
        <v>200</v>
      </c>
      <c r="P1173" s="1">
        <v>50</v>
      </c>
      <c r="R1173" s="1">
        <v>0</v>
      </c>
      <c r="Z1173" s="1">
        <v>0.05</v>
      </c>
      <c r="AA1173" s="1">
        <v>1.7</v>
      </c>
      <c r="AB1173" s="1">
        <v>1</v>
      </c>
      <c r="AC1173" s="1">
        <v>1</v>
      </c>
      <c r="AH1173" s="1">
        <v>0</v>
      </c>
      <c r="AI1173" s="1">
        <v>1</v>
      </c>
      <c r="AJ1173" s="1" t="s">
        <v>4595</v>
      </c>
      <c r="AK1173" s="1" t="s">
        <v>4596</v>
      </c>
      <c r="AL1173" s="1" t="s">
        <v>228</v>
      </c>
      <c r="AN1173" s="22" t="s">
        <v>9767</v>
      </c>
      <c r="AX1173" s="1">
        <v>0</v>
      </c>
      <c r="AZ1173" s="1">
        <v>0.1</v>
      </c>
      <c r="BG1173" s="1" t="s">
        <v>4593</v>
      </c>
      <c r="BM1173" s="1" t="s">
        <v>888</v>
      </c>
      <c r="BN1173" s="1" t="s">
        <v>4597</v>
      </c>
      <c r="BQ1173" s="1" t="s">
        <v>207</v>
      </c>
      <c r="BR1173" s="1" t="s">
        <v>1935</v>
      </c>
      <c r="BS1173" s="1" t="s">
        <v>1936</v>
      </c>
      <c r="BT1173" s="1" t="s">
        <v>3296</v>
      </c>
      <c r="BX1173" s="1">
        <v>1</v>
      </c>
    </row>
    <row r="1174" spans="1:76" x14ac:dyDescent="0.25">
      <c r="A1174" s="1" t="s">
        <v>4598</v>
      </c>
      <c r="B1174" s="1" t="s">
        <v>203</v>
      </c>
      <c r="C1174" s="1">
        <v>1</v>
      </c>
      <c r="D1174" s="1" t="s">
        <v>4599</v>
      </c>
      <c r="E1174" s="1">
        <v>10001</v>
      </c>
      <c r="F1174" s="1" t="s">
        <v>4598</v>
      </c>
      <c r="G1174" s="1">
        <v>1</v>
      </c>
      <c r="L1174" s="1">
        <v>5000</v>
      </c>
      <c r="N1174" s="1">
        <v>250</v>
      </c>
      <c r="P1174" s="1">
        <v>50</v>
      </c>
      <c r="R1174" s="1">
        <v>0</v>
      </c>
      <c r="Z1174" s="1">
        <v>0.05</v>
      </c>
      <c r="AA1174" s="1">
        <v>1.7</v>
      </c>
      <c r="AB1174" s="1">
        <v>1</v>
      </c>
      <c r="AC1174" s="1">
        <v>1</v>
      </c>
      <c r="AH1174" s="1">
        <v>0</v>
      </c>
      <c r="AI1174" s="1">
        <v>1</v>
      </c>
      <c r="AJ1174" s="1" t="s">
        <v>4600</v>
      </c>
      <c r="AK1174" s="1" t="s">
        <v>4596</v>
      </c>
      <c r="AL1174" s="1" t="s">
        <v>228</v>
      </c>
      <c r="AN1174" s="22" t="s">
        <v>9767</v>
      </c>
      <c r="AX1174" s="1">
        <v>0</v>
      </c>
      <c r="AZ1174" s="1">
        <v>0.1</v>
      </c>
      <c r="BG1174" s="1" t="s">
        <v>4598</v>
      </c>
      <c r="BM1174" s="1" t="s">
        <v>888</v>
      </c>
      <c r="BN1174" s="1" t="s">
        <v>4597</v>
      </c>
      <c r="BQ1174" s="1" t="s">
        <v>207</v>
      </c>
      <c r="BR1174" s="1" t="s">
        <v>1935</v>
      </c>
      <c r="BS1174" s="1" t="s">
        <v>1936</v>
      </c>
      <c r="BT1174" s="1" t="s">
        <v>3296</v>
      </c>
      <c r="BX1174" s="1">
        <v>1</v>
      </c>
    </row>
    <row r="1175" spans="1:76" x14ac:dyDescent="0.25">
      <c r="A1175" s="1" t="s">
        <v>4601</v>
      </c>
      <c r="B1175" s="1" t="s">
        <v>203</v>
      </c>
      <c r="C1175" s="1">
        <v>1</v>
      </c>
      <c r="D1175" s="1" t="s">
        <v>4602</v>
      </c>
      <c r="E1175" s="1">
        <v>10002</v>
      </c>
      <c r="F1175" s="1" t="s">
        <v>4601</v>
      </c>
      <c r="G1175" s="1">
        <v>1</v>
      </c>
      <c r="L1175" s="1">
        <v>5400</v>
      </c>
      <c r="N1175" s="1">
        <v>0</v>
      </c>
      <c r="P1175" s="1">
        <v>0</v>
      </c>
      <c r="R1175" s="1">
        <v>0</v>
      </c>
      <c r="Z1175" s="1">
        <v>0.05</v>
      </c>
      <c r="AA1175" s="1">
        <v>0</v>
      </c>
      <c r="AB1175" s="1">
        <v>2</v>
      </c>
      <c r="AC1175" s="1">
        <v>0.4</v>
      </c>
      <c r="AH1175" s="1">
        <v>0</v>
      </c>
      <c r="AI1175" s="1">
        <v>1</v>
      </c>
      <c r="AJ1175" s="1" t="s">
        <v>4603</v>
      </c>
      <c r="AK1175" s="1" t="s">
        <v>4596</v>
      </c>
      <c r="AL1175" s="1" t="s">
        <v>228</v>
      </c>
      <c r="AN1175" s="22" t="s">
        <v>9767</v>
      </c>
      <c r="AX1175" s="1">
        <v>0</v>
      </c>
      <c r="AZ1175" s="1">
        <v>0.1</v>
      </c>
      <c r="BG1175" s="1" t="s">
        <v>4601</v>
      </c>
      <c r="BM1175" s="1" t="s">
        <v>4604</v>
      </c>
      <c r="BN1175" s="1" t="s">
        <v>9706</v>
      </c>
      <c r="BQ1175" s="1" t="s">
        <v>207</v>
      </c>
      <c r="BR1175" s="1" t="s">
        <v>208</v>
      </c>
      <c r="BS1175" s="1" t="s">
        <v>229</v>
      </c>
      <c r="BT1175" s="1" t="s">
        <v>210</v>
      </c>
      <c r="BX1175" s="1">
        <v>1</v>
      </c>
    </row>
    <row r="1176" spans="1:76" x14ac:dyDescent="0.25">
      <c r="A1176" s="1" t="s">
        <v>4605</v>
      </c>
      <c r="B1176" s="1" t="s">
        <v>203</v>
      </c>
      <c r="C1176" s="1">
        <v>1</v>
      </c>
      <c r="D1176" s="1" t="s">
        <v>4606</v>
      </c>
      <c r="E1176" s="1">
        <v>10002</v>
      </c>
      <c r="F1176" s="1" t="s">
        <v>4605</v>
      </c>
      <c r="G1176" s="1">
        <v>1</v>
      </c>
      <c r="L1176" s="1">
        <v>7200</v>
      </c>
      <c r="N1176" s="1">
        <v>0</v>
      </c>
      <c r="P1176" s="1">
        <v>0</v>
      </c>
      <c r="R1176" s="1">
        <v>0</v>
      </c>
      <c r="Z1176" s="1">
        <v>0.05</v>
      </c>
      <c r="AA1176" s="1">
        <v>0</v>
      </c>
      <c r="AB1176" s="1">
        <v>2</v>
      </c>
      <c r="AC1176" s="1">
        <v>0.4</v>
      </c>
      <c r="AH1176" s="1">
        <v>0</v>
      </c>
      <c r="AI1176" s="1">
        <v>1</v>
      </c>
      <c r="AJ1176" s="1" t="s">
        <v>4607</v>
      </c>
      <c r="AK1176" s="1" t="s">
        <v>4596</v>
      </c>
      <c r="AL1176" s="1" t="s">
        <v>228</v>
      </c>
      <c r="AN1176" s="22" t="s">
        <v>9767</v>
      </c>
      <c r="AX1176" s="1">
        <v>0</v>
      </c>
      <c r="AZ1176" s="1">
        <v>0.1</v>
      </c>
      <c r="BG1176" s="1" t="s">
        <v>4605</v>
      </c>
      <c r="BM1176" s="1" t="s">
        <v>4604</v>
      </c>
      <c r="BN1176" s="1" t="s">
        <v>9706</v>
      </c>
      <c r="BQ1176" s="1" t="s">
        <v>207</v>
      </c>
      <c r="BR1176" s="1" t="s">
        <v>208</v>
      </c>
      <c r="BS1176" s="1" t="s">
        <v>229</v>
      </c>
      <c r="BT1176" s="1" t="s">
        <v>210</v>
      </c>
      <c r="BX1176" s="1">
        <v>1</v>
      </c>
    </row>
    <row r="1177" spans="1:76" x14ac:dyDescent="0.25">
      <c r="A1177" s="1" t="s">
        <v>4608</v>
      </c>
      <c r="B1177" s="1" t="s">
        <v>203</v>
      </c>
      <c r="C1177" s="1">
        <v>1</v>
      </c>
      <c r="D1177" s="1" t="s">
        <v>4609</v>
      </c>
      <c r="E1177" s="1">
        <v>10003</v>
      </c>
      <c r="F1177" s="1" t="s">
        <v>4608</v>
      </c>
      <c r="G1177" s="1">
        <v>1</v>
      </c>
      <c r="L1177" s="1">
        <v>10000</v>
      </c>
      <c r="N1177" s="1">
        <v>0</v>
      </c>
      <c r="P1177" s="1">
        <v>250</v>
      </c>
      <c r="R1177" s="1">
        <v>10</v>
      </c>
      <c r="Z1177" s="1">
        <v>0.05</v>
      </c>
      <c r="AA1177" s="1">
        <v>0</v>
      </c>
      <c r="AB1177" s="1">
        <v>2</v>
      </c>
      <c r="AC1177" s="1">
        <v>0.6</v>
      </c>
      <c r="AH1177" s="1">
        <v>0</v>
      </c>
      <c r="AI1177" s="1">
        <v>1</v>
      </c>
      <c r="AJ1177" s="1" t="s">
        <v>4610</v>
      </c>
      <c r="AK1177" s="1" t="s">
        <v>4596</v>
      </c>
      <c r="AL1177" s="1" t="s">
        <v>228</v>
      </c>
      <c r="AN1177" s="22" t="s">
        <v>9767</v>
      </c>
      <c r="AX1177" s="1">
        <v>1</v>
      </c>
      <c r="AZ1177" s="1">
        <v>0.1</v>
      </c>
      <c r="BG1177" s="1" t="s">
        <v>4608</v>
      </c>
      <c r="BM1177" s="1" t="s">
        <v>3114</v>
      </c>
      <c r="BN1177" s="1" t="s">
        <v>4611</v>
      </c>
      <c r="BQ1177" s="1" t="s">
        <v>207</v>
      </c>
      <c r="BR1177" s="1" t="s">
        <v>208</v>
      </c>
      <c r="BS1177" s="1" t="s">
        <v>229</v>
      </c>
      <c r="BT1177" s="1" t="s">
        <v>210</v>
      </c>
      <c r="BX1177" s="1">
        <v>1</v>
      </c>
    </row>
    <row r="1178" spans="1:76" x14ac:dyDescent="0.25">
      <c r="A1178" s="1" t="s">
        <v>4612</v>
      </c>
      <c r="B1178" s="1" t="s">
        <v>203</v>
      </c>
      <c r="C1178" s="1">
        <v>1</v>
      </c>
      <c r="D1178" s="1" t="s">
        <v>4613</v>
      </c>
      <c r="E1178" s="1">
        <v>10003</v>
      </c>
      <c r="F1178" s="1" t="s">
        <v>4612</v>
      </c>
      <c r="G1178" s="1">
        <v>1</v>
      </c>
      <c r="L1178" s="1">
        <v>13000</v>
      </c>
      <c r="N1178" s="1">
        <v>0</v>
      </c>
      <c r="P1178" s="1">
        <v>250</v>
      </c>
      <c r="R1178" s="1">
        <v>10</v>
      </c>
      <c r="Z1178" s="1">
        <v>0.05</v>
      </c>
      <c r="AA1178" s="1">
        <v>0</v>
      </c>
      <c r="AB1178" s="1">
        <v>2</v>
      </c>
      <c r="AC1178" s="1">
        <v>0.6</v>
      </c>
      <c r="AH1178" s="1">
        <v>0</v>
      </c>
      <c r="AI1178" s="1">
        <v>1</v>
      </c>
      <c r="AJ1178" s="1" t="s">
        <v>4614</v>
      </c>
      <c r="AK1178" s="1" t="s">
        <v>4596</v>
      </c>
      <c r="AL1178" s="1" t="s">
        <v>228</v>
      </c>
      <c r="AN1178" s="22" t="s">
        <v>9767</v>
      </c>
      <c r="AX1178" s="1">
        <v>1</v>
      </c>
      <c r="AZ1178" s="1">
        <v>0.1</v>
      </c>
      <c r="BG1178" s="1" t="s">
        <v>4612</v>
      </c>
      <c r="BM1178" s="1" t="s">
        <v>3114</v>
      </c>
      <c r="BN1178" s="1" t="s">
        <v>4611</v>
      </c>
      <c r="BQ1178" s="1" t="s">
        <v>207</v>
      </c>
      <c r="BR1178" s="1" t="s">
        <v>208</v>
      </c>
      <c r="BS1178" s="1" t="s">
        <v>229</v>
      </c>
      <c r="BT1178" s="1" t="s">
        <v>210</v>
      </c>
      <c r="BX1178" s="1">
        <v>1</v>
      </c>
    </row>
    <row r="1179" spans="1:76" x14ac:dyDescent="0.25">
      <c r="A1179" s="1" t="s">
        <v>4615</v>
      </c>
      <c r="B1179" s="1" t="s">
        <v>203</v>
      </c>
      <c r="C1179" s="1">
        <v>1</v>
      </c>
      <c r="D1179" s="1" t="s">
        <v>4616</v>
      </c>
      <c r="E1179" s="1">
        <v>10004</v>
      </c>
      <c r="F1179" s="1" t="s">
        <v>4615</v>
      </c>
      <c r="G1179" s="1">
        <v>1</v>
      </c>
      <c r="L1179" s="1">
        <v>5000</v>
      </c>
      <c r="N1179" s="1">
        <v>550</v>
      </c>
      <c r="P1179" s="1">
        <v>4000</v>
      </c>
      <c r="R1179" s="1">
        <v>90</v>
      </c>
      <c r="Z1179" s="1">
        <v>0.05</v>
      </c>
      <c r="AA1179" s="1">
        <v>2.2999999999999998</v>
      </c>
      <c r="AB1179" s="1">
        <v>1</v>
      </c>
      <c r="AC1179" s="1">
        <v>0.75</v>
      </c>
      <c r="AH1179" s="1">
        <v>0</v>
      </c>
      <c r="AI1179" s="1">
        <v>1</v>
      </c>
      <c r="AJ1179" s="1" t="s">
        <v>4617</v>
      </c>
      <c r="AK1179" s="1" t="s">
        <v>4596</v>
      </c>
      <c r="AL1179" s="1" t="s">
        <v>228</v>
      </c>
      <c r="AN1179" s="22" t="s">
        <v>9767</v>
      </c>
      <c r="AX1179" s="1">
        <v>1</v>
      </c>
      <c r="AZ1179" s="1">
        <v>0.1</v>
      </c>
      <c r="BG1179" s="1" t="s">
        <v>4615</v>
      </c>
      <c r="BM1179" s="1" t="s">
        <v>2139</v>
      </c>
      <c r="BN1179" s="1" t="s">
        <v>4618</v>
      </c>
      <c r="BQ1179" s="1" t="s">
        <v>207</v>
      </c>
      <c r="BR1179" s="1" t="s">
        <v>1935</v>
      </c>
      <c r="BS1179" s="1" t="s">
        <v>1936</v>
      </c>
      <c r="BT1179" s="1" t="s">
        <v>3296</v>
      </c>
      <c r="BX1179" s="1">
        <v>1</v>
      </c>
    </row>
    <row r="1180" spans="1:76" x14ac:dyDescent="0.25">
      <c r="A1180" s="1" t="s">
        <v>4619</v>
      </c>
      <c r="B1180" s="1" t="s">
        <v>203</v>
      </c>
      <c r="C1180" s="1">
        <v>1</v>
      </c>
      <c r="D1180" s="1" t="s">
        <v>4620</v>
      </c>
      <c r="E1180" s="1">
        <v>10004</v>
      </c>
      <c r="F1180" s="1" t="s">
        <v>4619</v>
      </c>
      <c r="G1180" s="1">
        <v>1</v>
      </c>
      <c r="L1180" s="1">
        <v>6000</v>
      </c>
      <c r="N1180" s="1">
        <v>650</v>
      </c>
      <c r="P1180" s="1">
        <v>4000</v>
      </c>
      <c r="R1180" s="1">
        <v>90</v>
      </c>
      <c r="Z1180" s="1">
        <v>0.05</v>
      </c>
      <c r="AA1180" s="1">
        <v>2.2999999999999998</v>
      </c>
      <c r="AB1180" s="1">
        <v>1</v>
      </c>
      <c r="AC1180" s="1">
        <v>0.75</v>
      </c>
      <c r="AH1180" s="1">
        <v>0</v>
      </c>
      <c r="AI1180" s="1">
        <v>1</v>
      </c>
      <c r="AJ1180" s="1" t="s">
        <v>4621</v>
      </c>
      <c r="AK1180" s="1" t="s">
        <v>4596</v>
      </c>
      <c r="AL1180" s="1" t="s">
        <v>228</v>
      </c>
      <c r="AN1180" s="22" t="s">
        <v>9767</v>
      </c>
      <c r="AX1180" s="1">
        <v>1</v>
      </c>
      <c r="AZ1180" s="1">
        <v>0.1</v>
      </c>
      <c r="BG1180" s="1" t="s">
        <v>4619</v>
      </c>
      <c r="BM1180" s="1" t="s">
        <v>2139</v>
      </c>
      <c r="BN1180" s="1" t="s">
        <v>4618</v>
      </c>
      <c r="BQ1180" s="1" t="s">
        <v>207</v>
      </c>
      <c r="BR1180" s="1" t="s">
        <v>1935</v>
      </c>
      <c r="BS1180" s="1" t="s">
        <v>1936</v>
      </c>
      <c r="BT1180" s="1" t="s">
        <v>3296</v>
      </c>
      <c r="BX1180" s="1">
        <v>1</v>
      </c>
    </row>
    <row r="1181" spans="1:76" x14ac:dyDescent="0.25">
      <c r="A1181" s="1" t="s">
        <v>4622</v>
      </c>
      <c r="B1181" s="1" t="s">
        <v>203</v>
      </c>
      <c r="C1181" s="1">
        <v>1</v>
      </c>
      <c r="D1181" s="1" t="s">
        <v>4623</v>
      </c>
      <c r="E1181" s="1">
        <v>10005</v>
      </c>
      <c r="F1181" s="1" t="s">
        <v>4622</v>
      </c>
      <c r="G1181" s="1">
        <v>1</v>
      </c>
      <c r="L1181" s="1">
        <v>4000</v>
      </c>
      <c r="N1181" s="1">
        <v>350</v>
      </c>
      <c r="P1181" s="1">
        <v>300</v>
      </c>
      <c r="R1181" s="1">
        <v>0</v>
      </c>
      <c r="Z1181" s="1">
        <v>0.05</v>
      </c>
      <c r="AA1181" s="1">
        <v>1.5</v>
      </c>
      <c r="AB1181" s="1">
        <v>1</v>
      </c>
      <c r="AC1181" s="1">
        <v>0.8</v>
      </c>
      <c r="AH1181" s="1">
        <v>0</v>
      </c>
      <c r="AI1181" s="1">
        <v>1</v>
      </c>
      <c r="AJ1181" s="1" t="s">
        <v>4624</v>
      </c>
      <c r="AK1181" s="1" t="s">
        <v>4596</v>
      </c>
      <c r="AL1181" s="1" t="s">
        <v>228</v>
      </c>
      <c r="AN1181" s="22" t="s">
        <v>9767</v>
      </c>
      <c r="AX1181" s="1">
        <v>1</v>
      </c>
      <c r="AZ1181" s="1">
        <v>0.1</v>
      </c>
      <c r="BG1181" s="1" t="s">
        <v>4622</v>
      </c>
      <c r="BM1181" s="1" t="s">
        <v>9707</v>
      </c>
      <c r="BN1181" s="1" t="s">
        <v>9708</v>
      </c>
      <c r="BQ1181" s="1" t="s">
        <v>207</v>
      </c>
      <c r="BR1181" s="1" t="s">
        <v>208</v>
      </c>
      <c r="BS1181" s="1" t="s">
        <v>2900</v>
      </c>
      <c r="BT1181" s="1" t="s">
        <v>210</v>
      </c>
      <c r="BX1181" s="1">
        <v>1</v>
      </c>
    </row>
    <row r="1182" spans="1:76" x14ac:dyDescent="0.25">
      <c r="A1182" s="1" t="s">
        <v>4625</v>
      </c>
      <c r="B1182" s="1" t="s">
        <v>203</v>
      </c>
      <c r="C1182" s="1">
        <v>1</v>
      </c>
      <c r="D1182" s="1" t="s">
        <v>4626</v>
      </c>
      <c r="E1182" s="1">
        <v>10005</v>
      </c>
      <c r="F1182" s="1" t="s">
        <v>4625</v>
      </c>
      <c r="G1182" s="1">
        <v>1</v>
      </c>
      <c r="L1182" s="1">
        <v>4800</v>
      </c>
      <c r="N1182" s="1">
        <v>420</v>
      </c>
      <c r="P1182" s="1">
        <v>350</v>
      </c>
      <c r="R1182" s="1">
        <v>0</v>
      </c>
      <c r="Z1182" s="1">
        <v>0.05</v>
      </c>
      <c r="AA1182" s="1">
        <v>1.5</v>
      </c>
      <c r="AB1182" s="1">
        <v>1</v>
      </c>
      <c r="AC1182" s="1">
        <v>0.8</v>
      </c>
      <c r="AH1182" s="1">
        <v>0</v>
      </c>
      <c r="AI1182" s="1">
        <v>1</v>
      </c>
      <c r="AJ1182" s="1" t="s">
        <v>4627</v>
      </c>
      <c r="AK1182" s="1" t="s">
        <v>4596</v>
      </c>
      <c r="AL1182" s="1" t="s">
        <v>228</v>
      </c>
      <c r="AN1182" s="22" t="s">
        <v>9767</v>
      </c>
      <c r="AX1182" s="1">
        <v>1</v>
      </c>
      <c r="AZ1182" s="1">
        <v>0.1</v>
      </c>
      <c r="BG1182" s="1" t="s">
        <v>4625</v>
      </c>
      <c r="BM1182" s="1" t="s">
        <v>9707</v>
      </c>
      <c r="BN1182" s="1" t="s">
        <v>9708</v>
      </c>
      <c r="BQ1182" s="1" t="s">
        <v>207</v>
      </c>
      <c r="BR1182" s="1" t="s">
        <v>208</v>
      </c>
      <c r="BS1182" s="1" t="s">
        <v>2900</v>
      </c>
      <c r="BT1182" s="1" t="s">
        <v>210</v>
      </c>
      <c r="BX1182" s="1">
        <v>1</v>
      </c>
    </row>
    <row r="1183" spans="1:76" x14ac:dyDescent="0.25">
      <c r="A1183" s="1" t="s">
        <v>4628</v>
      </c>
      <c r="B1183" s="1" t="s">
        <v>203</v>
      </c>
      <c r="C1183" s="1">
        <v>1</v>
      </c>
      <c r="D1183" s="1" t="s">
        <v>4629</v>
      </c>
      <c r="E1183" s="1">
        <v>10006</v>
      </c>
      <c r="F1183" s="1" t="s">
        <v>4628</v>
      </c>
      <c r="G1183" s="1">
        <v>1</v>
      </c>
      <c r="L1183" s="1">
        <v>30000</v>
      </c>
      <c r="N1183" s="1">
        <v>1300</v>
      </c>
      <c r="P1183" s="1">
        <v>50</v>
      </c>
      <c r="R1183" s="1">
        <v>0</v>
      </c>
      <c r="Z1183" s="1">
        <v>0.05</v>
      </c>
      <c r="AA1183" s="1">
        <v>6</v>
      </c>
      <c r="AB1183" s="1">
        <v>4</v>
      </c>
      <c r="AC1183" s="1">
        <v>0.6</v>
      </c>
      <c r="AH1183" s="1">
        <v>0</v>
      </c>
      <c r="AI1183" s="1">
        <v>1</v>
      </c>
      <c r="AJ1183" s="1" t="s">
        <v>4630</v>
      </c>
      <c r="AK1183" s="1" t="s">
        <v>4596</v>
      </c>
      <c r="AL1183" s="1" t="s">
        <v>228</v>
      </c>
      <c r="AN1183" s="22" t="s">
        <v>9767</v>
      </c>
      <c r="AX1183" s="1">
        <v>1</v>
      </c>
      <c r="AZ1183" s="1">
        <v>0.1</v>
      </c>
      <c r="BG1183" s="1" t="s">
        <v>4628</v>
      </c>
      <c r="BM1183" s="1" t="s">
        <v>9709</v>
      </c>
      <c r="BN1183" s="1" t="s">
        <v>4631</v>
      </c>
      <c r="BQ1183" s="1" t="s">
        <v>207</v>
      </c>
      <c r="BR1183" s="1" t="s">
        <v>208</v>
      </c>
      <c r="BS1183" s="1" t="s">
        <v>1612</v>
      </c>
      <c r="BT1183" s="1" t="s">
        <v>210</v>
      </c>
      <c r="BX1183" s="1">
        <v>1</v>
      </c>
    </row>
    <row r="1184" spans="1:76" x14ac:dyDescent="0.25">
      <c r="A1184" s="1" t="s">
        <v>4632</v>
      </c>
      <c r="B1184" s="1" t="s">
        <v>203</v>
      </c>
      <c r="C1184" s="1">
        <v>1</v>
      </c>
      <c r="D1184" s="1" t="s">
        <v>4633</v>
      </c>
      <c r="E1184" s="1">
        <v>10006</v>
      </c>
      <c r="F1184" s="1" t="s">
        <v>9710</v>
      </c>
      <c r="G1184" s="1">
        <v>1</v>
      </c>
      <c r="L1184" s="1">
        <v>45000</v>
      </c>
      <c r="N1184" s="1">
        <v>1500</v>
      </c>
      <c r="P1184" s="1">
        <v>50</v>
      </c>
      <c r="R1184" s="1">
        <v>0</v>
      </c>
      <c r="Z1184" s="1">
        <v>0.05</v>
      </c>
      <c r="AA1184" s="1">
        <v>6</v>
      </c>
      <c r="AB1184" s="1">
        <v>4</v>
      </c>
      <c r="AC1184" s="1">
        <v>0.7</v>
      </c>
      <c r="AH1184" s="1">
        <v>0</v>
      </c>
      <c r="AI1184" s="1">
        <v>1</v>
      </c>
      <c r="AJ1184" s="1" t="s">
        <v>4634</v>
      </c>
      <c r="AK1184" s="1" t="s">
        <v>4596</v>
      </c>
      <c r="AL1184" s="1" t="s">
        <v>228</v>
      </c>
      <c r="AN1184" s="22" t="s">
        <v>9767</v>
      </c>
      <c r="AX1184" s="1">
        <v>1</v>
      </c>
      <c r="AZ1184" s="1">
        <v>0.1</v>
      </c>
      <c r="BG1184" s="1" t="s">
        <v>9710</v>
      </c>
      <c r="BM1184" s="1" t="s">
        <v>9709</v>
      </c>
      <c r="BN1184" s="1" t="s">
        <v>4631</v>
      </c>
      <c r="BQ1184" s="1" t="s">
        <v>207</v>
      </c>
      <c r="BR1184" s="1" t="s">
        <v>208</v>
      </c>
      <c r="BS1184" s="1" t="s">
        <v>1612</v>
      </c>
      <c r="BT1184" s="1" t="s">
        <v>210</v>
      </c>
      <c r="BX1184" s="1">
        <v>1</v>
      </c>
    </row>
    <row r="1185" spans="1:76" x14ac:dyDescent="0.25">
      <c r="A1185" s="1" t="s">
        <v>4635</v>
      </c>
      <c r="B1185" s="1" t="s">
        <v>203</v>
      </c>
      <c r="C1185" s="1">
        <v>1</v>
      </c>
      <c r="D1185" s="1" t="s">
        <v>4636</v>
      </c>
      <c r="E1185" s="1">
        <v>10007</v>
      </c>
      <c r="F1185" s="1" t="s">
        <v>4635</v>
      </c>
      <c r="G1185" s="1">
        <v>1</v>
      </c>
      <c r="L1185" s="1">
        <v>15000</v>
      </c>
      <c r="N1185" s="1">
        <v>600</v>
      </c>
      <c r="P1185" s="1">
        <v>800</v>
      </c>
      <c r="R1185" s="1">
        <v>20</v>
      </c>
      <c r="Z1185" s="1">
        <v>0.05</v>
      </c>
      <c r="AA1185" s="1">
        <v>2.2999999999999998</v>
      </c>
      <c r="AB1185" s="1">
        <v>6</v>
      </c>
      <c r="AC1185" s="1">
        <v>0.6</v>
      </c>
      <c r="AH1185" s="1">
        <v>0</v>
      </c>
      <c r="AI1185" s="1">
        <v>1</v>
      </c>
      <c r="AJ1185" s="1" t="s">
        <v>4637</v>
      </c>
      <c r="AK1185" s="1" t="s">
        <v>4596</v>
      </c>
      <c r="AL1185" s="1" t="s">
        <v>228</v>
      </c>
      <c r="AN1185" s="22" t="s">
        <v>9767</v>
      </c>
      <c r="AX1185" s="1">
        <v>1</v>
      </c>
      <c r="AZ1185" s="1">
        <v>0.1</v>
      </c>
      <c r="BG1185" s="1" t="s">
        <v>4635</v>
      </c>
      <c r="BM1185" s="1" t="s">
        <v>2063</v>
      </c>
      <c r="BN1185" s="1" t="s">
        <v>4638</v>
      </c>
      <c r="BQ1185" s="1" t="s">
        <v>207</v>
      </c>
      <c r="BR1185" s="1" t="s">
        <v>208</v>
      </c>
      <c r="BS1185" s="1" t="s">
        <v>229</v>
      </c>
      <c r="BT1185" s="1" t="s">
        <v>210</v>
      </c>
      <c r="BX1185" s="1">
        <v>1</v>
      </c>
    </row>
    <row r="1186" spans="1:76" x14ac:dyDescent="0.25">
      <c r="A1186" s="1" t="s">
        <v>4639</v>
      </c>
      <c r="B1186" s="1" t="s">
        <v>203</v>
      </c>
      <c r="C1186" s="1">
        <v>1</v>
      </c>
      <c r="D1186" s="1" t="s">
        <v>4640</v>
      </c>
      <c r="E1186" s="1">
        <v>10007</v>
      </c>
      <c r="F1186" s="1" t="s">
        <v>4639</v>
      </c>
      <c r="G1186" s="1">
        <v>1</v>
      </c>
      <c r="L1186" s="1">
        <v>18000</v>
      </c>
      <c r="N1186" s="1">
        <v>700</v>
      </c>
      <c r="P1186" s="1">
        <v>800</v>
      </c>
      <c r="R1186" s="1">
        <v>20</v>
      </c>
      <c r="Z1186" s="1">
        <v>0.05</v>
      </c>
      <c r="AA1186" s="1">
        <v>2.2999999999999998</v>
      </c>
      <c r="AB1186" s="1">
        <v>6</v>
      </c>
      <c r="AC1186" s="1">
        <v>0.6</v>
      </c>
      <c r="AH1186" s="1">
        <v>0</v>
      </c>
      <c r="AI1186" s="1">
        <v>1</v>
      </c>
      <c r="AJ1186" s="1" t="s">
        <v>4641</v>
      </c>
      <c r="AK1186" s="1" t="s">
        <v>4596</v>
      </c>
      <c r="AL1186" s="1" t="s">
        <v>228</v>
      </c>
      <c r="AN1186" s="22" t="s">
        <v>9767</v>
      </c>
      <c r="AX1186" s="1">
        <v>1</v>
      </c>
      <c r="AZ1186" s="1">
        <v>0.1</v>
      </c>
      <c r="BG1186" s="1" t="s">
        <v>4639</v>
      </c>
      <c r="BM1186" s="1" t="s">
        <v>2063</v>
      </c>
      <c r="BN1186" s="1" t="s">
        <v>4638</v>
      </c>
      <c r="BQ1186" s="1" t="s">
        <v>207</v>
      </c>
      <c r="BR1186" s="1" t="s">
        <v>208</v>
      </c>
      <c r="BS1186" s="1" t="s">
        <v>229</v>
      </c>
      <c r="BT1186" s="1" t="s">
        <v>210</v>
      </c>
      <c r="BX1186" s="1">
        <v>1</v>
      </c>
    </row>
    <row r="1187" spans="1:76" x14ac:dyDescent="0.25">
      <c r="A1187" s="1" t="s">
        <v>4642</v>
      </c>
      <c r="B1187" s="1" t="s">
        <v>203</v>
      </c>
      <c r="C1187" s="1">
        <v>1</v>
      </c>
      <c r="D1187" s="1" t="s">
        <v>4643</v>
      </c>
      <c r="E1187" s="1">
        <v>10008</v>
      </c>
      <c r="F1187" s="1" t="s">
        <v>4642</v>
      </c>
      <c r="G1187" s="1">
        <v>1</v>
      </c>
      <c r="L1187" s="1">
        <v>10000</v>
      </c>
      <c r="N1187" s="1">
        <v>450</v>
      </c>
      <c r="P1187" s="1">
        <v>700</v>
      </c>
      <c r="R1187" s="1">
        <v>40</v>
      </c>
      <c r="Z1187" s="1">
        <v>0.05</v>
      </c>
      <c r="AA1187" s="1">
        <v>1.7</v>
      </c>
      <c r="AB1187" s="1">
        <v>4</v>
      </c>
      <c r="AC1187" s="1">
        <v>0.7</v>
      </c>
      <c r="AH1187" s="1">
        <v>0</v>
      </c>
      <c r="AI1187" s="1">
        <v>1</v>
      </c>
      <c r="AJ1187" s="1" t="s">
        <v>4644</v>
      </c>
      <c r="AK1187" s="1" t="s">
        <v>4596</v>
      </c>
      <c r="AL1187" s="1" t="s">
        <v>228</v>
      </c>
      <c r="AN1187" s="22" t="s">
        <v>9767</v>
      </c>
      <c r="AX1187" s="1">
        <v>1</v>
      </c>
      <c r="AZ1187" s="1">
        <v>0.1</v>
      </c>
      <c r="BG1187" s="1" t="s">
        <v>4642</v>
      </c>
      <c r="BM1187" s="1" t="s">
        <v>2288</v>
      </c>
      <c r="BN1187" s="1" t="s">
        <v>9711</v>
      </c>
      <c r="BQ1187" s="1" t="s">
        <v>207</v>
      </c>
      <c r="BR1187" s="1" t="s">
        <v>208</v>
      </c>
      <c r="BS1187" s="1" t="s">
        <v>229</v>
      </c>
      <c r="BT1187" s="1" t="s">
        <v>210</v>
      </c>
      <c r="BX1187" s="1">
        <v>1</v>
      </c>
    </row>
    <row r="1188" spans="1:76" x14ac:dyDescent="0.25">
      <c r="A1188" s="1" t="s">
        <v>4645</v>
      </c>
      <c r="B1188" s="1" t="s">
        <v>203</v>
      </c>
      <c r="C1188" s="1">
        <v>1</v>
      </c>
      <c r="D1188" s="1" t="s">
        <v>4646</v>
      </c>
      <c r="E1188" s="1">
        <v>10008</v>
      </c>
      <c r="F1188" s="1" t="s">
        <v>4645</v>
      </c>
      <c r="G1188" s="1">
        <v>1</v>
      </c>
      <c r="L1188" s="1">
        <v>12000</v>
      </c>
      <c r="N1188" s="1">
        <v>550</v>
      </c>
      <c r="P1188" s="1">
        <v>700</v>
      </c>
      <c r="R1188" s="1">
        <v>40</v>
      </c>
      <c r="Z1188" s="1">
        <v>0.05</v>
      </c>
      <c r="AA1188" s="1">
        <v>1.7</v>
      </c>
      <c r="AB1188" s="1">
        <v>4</v>
      </c>
      <c r="AC1188" s="1">
        <v>0.7</v>
      </c>
      <c r="AH1188" s="1">
        <v>0</v>
      </c>
      <c r="AI1188" s="1">
        <v>1</v>
      </c>
      <c r="AJ1188" s="1" t="s">
        <v>4647</v>
      </c>
      <c r="AK1188" s="1" t="s">
        <v>4596</v>
      </c>
      <c r="AL1188" s="1" t="s">
        <v>228</v>
      </c>
      <c r="AN1188" s="22" t="s">
        <v>9767</v>
      </c>
      <c r="AX1188" s="1">
        <v>1</v>
      </c>
      <c r="AZ1188" s="1">
        <v>0.1</v>
      </c>
      <c r="BG1188" s="1" t="s">
        <v>4645</v>
      </c>
      <c r="BM1188" s="1" t="s">
        <v>2288</v>
      </c>
      <c r="BN1188" s="1" t="s">
        <v>9711</v>
      </c>
      <c r="BQ1188" s="1" t="s">
        <v>207</v>
      </c>
      <c r="BR1188" s="1" t="s">
        <v>208</v>
      </c>
      <c r="BS1188" s="1" t="s">
        <v>229</v>
      </c>
      <c r="BT1188" s="1" t="s">
        <v>210</v>
      </c>
      <c r="BX1188" s="1">
        <v>1</v>
      </c>
    </row>
    <row r="1189" spans="1:76" x14ac:dyDescent="0.25">
      <c r="A1189" s="1" t="s">
        <v>4648</v>
      </c>
      <c r="B1189" s="1" t="s">
        <v>203</v>
      </c>
      <c r="C1189" s="1">
        <v>1</v>
      </c>
      <c r="D1189" s="1" t="s">
        <v>4649</v>
      </c>
      <c r="E1189" s="1">
        <v>1557</v>
      </c>
      <c r="F1189" s="1" t="s">
        <v>4650</v>
      </c>
      <c r="G1189" s="1">
        <v>1</v>
      </c>
      <c r="L1189" s="1">
        <v>40000</v>
      </c>
      <c r="N1189" s="1">
        <v>1200</v>
      </c>
      <c r="P1189" s="1">
        <v>750</v>
      </c>
      <c r="R1189" s="1">
        <v>30</v>
      </c>
      <c r="Z1189" s="1">
        <v>0.05</v>
      </c>
      <c r="AA1189" s="1">
        <v>5</v>
      </c>
      <c r="AB1189" s="1">
        <v>10</v>
      </c>
      <c r="AC1189" s="1">
        <v>0.4</v>
      </c>
      <c r="AH1189" s="1">
        <v>0</v>
      </c>
      <c r="AI1189" s="1">
        <v>1</v>
      </c>
      <c r="AJ1189" s="1" t="s">
        <v>4651</v>
      </c>
      <c r="AK1189" s="1" t="s">
        <v>206</v>
      </c>
      <c r="AL1189" s="1" t="s">
        <v>228</v>
      </c>
      <c r="AN1189" s="22" t="s">
        <v>9767</v>
      </c>
      <c r="AX1189" s="1">
        <v>1</v>
      </c>
      <c r="AZ1189" s="1">
        <v>0.1</v>
      </c>
      <c r="BG1189" s="1" t="s">
        <v>4650</v>
      </c>
      <c r="BM1189" s="1" t="s">
        <v>9712</v>
      </c>
      <c r="BQ1189" s="1" t="s">
        <v>207</v>
      </c>
      <c r="BR1189" s="1" t="s">
        <v>4652</v>
      </c>
      <c r="BS1189" s="1" t="s">
        <v>4653</v>
      </c>
      <c r="BT1189" s="1" t="s">
        <v>210</v>
      </c>
      <c r="BX1189" s="1">
        <v>1</v>
      </c>
    </row>
    <row r="1190" spans="1:76" x14ac:dyDescent="0.25">
      <c r="A1190" s="1" t="s">
        <v>4654</v>
      </c>
      <c r="B1190" s="1" t="s">
        <v>203</v>
      </c>
      <c r="C1190" s="1">
        <v>1</v>
      </c>
      <c r="D1190" s="1" t="s">
        <v>4649</v>
      </c>
      <c r="E1190" s="1">
        <v>1557</v>
      </c>
      <c r="F1190" s="1" t="s">
        <v>4650</v>
      </c>
      <c r="G1190" s="1">
        <v>1</v>
      </c>
      <c r="L1190" s="1">
        <v>40000</v>
      </c>
      <c r="N1190" s="1">
        <v>1200</v>
      </c>
      <c r="P1190" s="1">
        <v>750</v>
      </c>
      <c r="R1190" s="1">
        <v>30</v>
      </c>
      <c r="Z1190" s="1">
        <v>0.05</v>
      </c>
      <c r="AA1190" s="1">
        <v>5</v>
      </c>
      <c r="AB1190" s="1">
        <v>10</v>
      </c>
      <c r="AC1190" s="1">
        <v>0.4</v>
      </c>
      <c r="AH1190" s="1">
        <v>0</v>
      </c>
      <c r="AI1190" s="1">
        <v>1</v>
      </c>
      <c r="AJ1190" s="1" t="s">
        <v>4655</v>
      </c>
      <c r="AK1190" s="1" t="s">
        <v>206</v>
      </c>
      <c r="AL1190" s="1" t="s">
        <v>228</v>
      </c>
      <c r="AN1190" s="22" t="s">
        <v>9767</v>
      </c>
      <c r="AX1190" s="1">
        <v>1</v>
      </c>
      <c r="AZ1190" s="1">
        <v>0.1</v>
      </c>
      <c r="BG1190" s="1" t="s">
        <v>4650</v>
      </c>
      <c r="BM1190" s="1" t="s">
        <v>9712</v>
      </c>
      <c r="BQ1190" s="1" t="s">
        <v>207</v>
      </c>
      <c r="BR1190" s="1" t="s">
        <v>4656</v>
      </c>
      <c r="BS1190" s="1" t="s">
        <v>4657</v>
      </c>
      <c r="BT1190" s="1" t="s">
        <v>210</v>
      </c>
      <c r="BX1190" s="1">
        <v>1</v>
      </c>
    </row>
    <row r="1191" spans="1:76" x14ac:dyDescent="0.25">
      <c r="A1191" s="1" t="s">
        <v>4658</v>
      </c>
      <c r="B1191" s="1" t="s">
        <v>203</v>
      </c>
      <c r="C1191" s="1">
        <v>1</v>
      </c>
      <c r="D1191" s="1" t="s">
        <v>4649</v>
      </c>
      <c r="E1191" s="1">
        <v>1557</v>
      </c>
      <c r="F1191" s="1" t="s">
        <v>4650</v>
      </c>
      <c r="G1191" s="1">
        <v>1</v>
      </c>
      <c r="L1191" s="1">
        <v>40000</v>
      </c>
      <c r="N1191" s="1">
        <v>1200</v>
      </c>
      <c r="P1191" s="1">
        <v>750</v>
      </c>
      <c r="R1191" s="1">
        <v>30</v>
      </c>
      <c r="Z1191" s="1">
        <v>0.05</v>
      </c>
      <c r="AA1191" s="1">
        <v>5</v>
      </c>
      <c r="AB1191" s="1">
        <v>10</v>
      </c>
      <c r="AC1191" s="1">
        <v>0.4</v>
      </c>
      <c r="AH1191" s="1">
        <v>0</v>
      </c>
      <c r="AI1191" s="1">
        <v>1</v>
      </c>
      <c r="AJ1191" s="1" t="s">
        <v>4659</v>
      </c>
      <c r="AK1191" s="1" t="s">
        <v>206</v>
      </c>
      <c r="AL1191" s="1" t="s">
        <v>228</v>
      </c>
      <c r="AN1191" s="22" t="s">
        <v>9767</v>
      </c>
      <c r="AX1191" s="1">
        <v>1</v>
      </c>
      <c r="AZ1191" s="1">
        <v>0.1</v>
      </c>
      <c r="BG1191" s="1" t="s">
        <v>4650</v>
      </c>
      <c r="BM1191" s="1" t="s">
        <v>9712</v>
      </c>
      <c r="BQ1191" s="1" t="s">
        <v>207</v>
      </c>
      <c r="BR1191" s="1" t="s">
        <v>4660</v>
      </c>
      <c r="BS1191" s="1" t="s">
        <v>4661</v>
      </c>
      <c r="BT1191" s="1" t="s">
        <v>210</v>
      </c>
      <c r="BX1191" s="1">
        <v>1</v>
      </c>
    </row>
    <row r="1192" spans="1:76" x14ac:dyDescent="0.25">
      <c r="A1192" s="1" t="s">
        <v>4662</v>
      </c>
      <c r="B1192" s="1" t="s">
        <v>203</v>
      </c>
      <c r="C1192" s="1">
        <v>1</v>
      </c>
      <c r="D1192" s="1" t="s">
        <v>4663</v>
      </c>
      <c r="E1192" s="1">
        <v>10028</v>
      </c>
      <c r="F1192" s="1" t="s">
        <v>4662</v>
      </c>
      <c r="G1192" s="1">
        <v>1</v>
      </c>
      <c r="L1192" s="1">
        <v>100</v>
      </c>
      <c r="N1192" s="1">
        <v>100</v>
      </c>
      <c r="P1192" s="1">
        <v>0</v>
      </c>
      <c r="R1192" s="1">
        <v>0</v>
      </c>
      <c r="Z1192" s="1">
        <v>0.05</v>
      </c>
      <c r="AA1192" s="1">
        <v>1</v>
      </c>
      <c r="AB1192" s="1">
        <v>0</v>
      </c>
      <c r="AC1192" s="1">
        <v>0</v>
      </c>
      <c r="AH1192" s="1">
        <v>0</v>
      </c>
      <c r="AI1192" s="1">
        <v>1</v>
      </c>
      <c r="AJ1192" s="1" t="s">
        <v>4664</v>
      </c>
      <c r="AK1192" s="1" t="s">
        <v>265</v>
      </c>
      <c r="AL1192" s="1" t="s">
        <v>228</v>
      </c>
      <c r="AN1192" s="22" t="s">
        <v>9767</v>
      </c>
      <c r="AX1192" s="1">
        <v>0</v>
      </c>
      <c r="AZ1192" s="1">
        <v>0.1</v>
      </c>
      <c r="BC1192" s="1">
        <v>1</v>
      </c>
      <c r="BG1192" s="1" t="s">
        <v>4662</v>
      </c>
      <c r="BM1192" s="1" t="s">
        <v>4665</v>
      </c>
      <c r="BQ1192" s="1" t="s">
        <v>207</v>
      </c>
      <c r="BR1192" s="1" t="s">
        <v>208</v>
      </c>
      <c r="BS1192" s="1" t="s">
        <v>208</v>
      </c>
      <c r="BT1192" s="1" t="s">
        <v>207</v>
      </c>
      <c r="BX1192" s="1">
        <v>1</v>
      </c>
    </row>
    <row r="1193" spans="1:76" x14ac:dyDescent="0.25">
      <c r="A1193" s="1" t="s">
        <v>4666</v>
      </c>
      <c r="B1193" s="1" t="s">
        <v>203</v>
      </c>
      <c r="C1193" s="1">
        <v>1</v>
      </c>
      <c r="D1193" s="1" t="s">
        <v>4667</v>
      </c>
      <c r="E1193" s="1">
        <v>10029</v>
      </c>
      <c r="F1193" s="1" t="s">
        <v>4666</v>
      </c>
      <c r="G1193" s="1">
        <v>1</v>
      </c>
      <c r="L1193" s="1">
        <v>100</v>
      </c>
      <c r="N1193" s="1">
        <v>100</v>
      </c>
      <c r="P1193" s="1">
        <v>0</v>
      </c>
      <c r="R1193" s="1">
        <v>0</v>
      </c>
      <c r="Z1193" s="1">
        <v>0.05</v>
      </c>
      <c r="AA1193" s="1">
        <v>1</v>
      </c>
      <c r="AB1193" s="1">
        <v>0</v>
      </c>
      <c r="AC1193" s="1">
        <v>0</v>
      </c>
      <c r="AH1193" s="1">
        <v>0</v>
      </c>
      <c r="AI1193" s="1">
        <v>1</v>
      </c>
      <c r="AJ1193" s="1" t="s">
        <v>4668</v>
      </c>
      <c r="AK1193" s="1" t="s">
        <v>265</v>
      </c>
      <c r="AL1193" s="1" t="s">
        <v>228</v>
      </c>
      <c r="AN1193" s="22" t="s">
        <v>9767</v>
      </c>
      <c r="AX1193" s="1">
        <v>0</v>
      </c>
      <c r="AZ1193" s="1">
        <v>0.1</v>
      </c>
      <c r="BC1193" s="1">
        <v>1</v>
      </c>
      <c r="BG1193" s="1" t="s">
        <v>4666</v>
      </c>
      <c r="BM1193" s="1" t="s">
        <v>4669</v>
      </c>
      <c r="BQ1193" s="1" t="s">
        <v>207</v>
      </c>
      <c r="BR1193" s="1" t="s">
        <v>208</v>
      </c>
      <c r="BS1193" s="1" t="s">
        <v>208</v>
      </c>
      <c r="BT1193" s="1" t="s">
        <v>207</v>
      </c>
      <c r="BX1193" s="1">
        <v>1</v>
      </c>
    </row>
    <row r="1194" spans="1:76" x14ac:dyDescent="0.25">
      <c r="A1194" s="1" t="s">
        <v>4670</v>
      </c>
      <c r="B1194" s="1" t="s">
        <v>203</v>
      </c>
      <c r="C1194" s="1">
        <v>1</v>
      </c>
      <c r="D1194" s="1" t="s">
        <v>4671</v>
      </c>
      <c r="E1194" s="1">
        <v>10030</v>
      </c>
      <c r="F1194" s="1" t="s">
        <v>4670</v>
      </c>
      <c r="G1194" s="1">
        <v>1</v>
      </c>
      <c r="L1194" s="1">
        <v>100</v>
      </c>
      <c r="N1194" s="1">
        <v>100</v>
      </c>
      <c r="P1194" s="1">
        <v>0</v>
      </c>
      <c r="R1194" s="1">
        <v>0</v>
      </c>
      <c r="Z1194" s="1">
        <v>0.05</v>
      </c>
      <c r="AA1194" s="1">
        <v>1</v>
      </c>
      <c r="AB1194" s="1">
        <v>0</v>
      </c>
      <c r="AC1194" s="1">
        <v>0</v>
      </c>
      <c r="AH1194" s="1">
        <v>0</v>
      </c>
      <c r="AI1194" s="1">
        <v>1</v>
      </c>
      <c r="AJ1194" s="1" t="s">
        <v>4672</v>
      </c>
      <c r="AK1194" s="1" t="s">
        <v>265</v>
      </c>
      <c r="AL1194" s="1" t="s">
        <v>228</v>
      </c>
      <c r="AN1194" s="22" t="s">
        <v>9767</v>
      </c>
      <c r="AX1194" s="1">
        <v>0</v>
      </c>
      <c r="AZ1194" s="1">
        <v>0.1</v>
      </c>
      <c r="BC1194" s="1">
        <v>1</v>
      </c>
      <c r="BG1194" s="1" t="s">
        <v>4670</v>
      </c>
      <c r="BM1194" s="1" t="s">
        <v>4673</v>
      </c>
      <c r="BQ1194" s="1" t="s">
        <v>207</v>
      </c>
      <c r="BR1194" s="1" t="s">
        <v>208</v>
      </c>
      <c r="BS1194" s="1" t="s">
        <v>208</v>
      </c>
      <c r="BT1194" s="1" t="s">
        <v>207</v>
      </c>
      <c r="BX1194" s="1">
        <v>1</v>
      </c>
    </row>
    <row r="1195" spans="1:76" x14ac:dyDescent="0.25">
      <c r="A1195" s="1" t="s">
        <v>4674</v>
      </c>
      <c r="B1195" s="1" t="s">
        <v>203</v>
      </c>
      <c r="C1195" s="1">
        <v>1</v>
      </c>
      <c r="D1195" s="1" t="s">
        <v>4675</v>
      </c>
      <c r="E1195" s="1" t="s">
        <v>4676</v>
      </c>
      <c r="F1195" s="1" t="s">
        <v>4674</v>
      </c>
      <c r="G1195" s="1">
        <v>1</v>
      </c>
      <c r="L1195" s="1">
        <v>3500</v>
      </c>
      <c r="N1195" s="1">
        <v>0</v>
      </c>
      <c r="P1195" s="1">
        <v>150</v>
      </c>
      <c r="R1195" s="1">
        <v>0</v>
      </c>
      <c r="Z1195" s="1">
        <v>0.05</v>
      </c>
      <c r="AA1195" s="1">
        <v>10</v>
      </c>
      <c r="AB1195" s="1">
        <v>0</v>
      </c>
      <c r="AC1195" s="1">
        <v>0.45</v>
      </c>
      <c r="AH1195" s="1">
        <v>1</v>
      </c>
      <c r="AI1195" s="1">
        <v>0</v>
      </c>
      <c r="AJ1195" s="1" t="s">
        <v>4677</v>
      </c>
      <c r="AK1195" s="1" t="s">
        <v>206</v>
      </c>
      <c r="AL1195" s="1" t="s">
        <v>228</v>
      </c>
      <c r="AN1195" s="22" t="s">
        <v>9767</v>
      </c>
      <c r="AX1195" s="1">
        <v>0</v>
      </c>
      <c r="AZ1195" s="1">
        <v>0.1</v>
      </c>
      <c r="BG1195" s="1" t="s">
        <v>4674</v>
      </c>
      <c r="BM1195" s="1" t="s">
        <v>4678</v>
      </c>
      <c r="BQ1195" s="1" t="s">
        <v>207</v>
      </c>
      <c r="BR1195" s="1" t="s">
        <v>208</v>
      </c>
      <c r="BS1195" s="1" t="s">
        <v>229</v>
      </c>
      <c r="BT1195" s="1" t="s">
        <v>4679</v>
      </c>
      <c r="BX1195" s="1">
        <v>1</v>
      </c>
    </row>
    <row r="1196" spans="1:76" x14ac:dyDescent="0.25">
      <c r="A1196" s="1" t="s">
        <v>4680</v>
      </c>
      <c r="B1196" s="1" t="s">
        <v>203</v>
      </c>
      <c r="C1196" s="1">
        <v>1</v>
      </c>
      <c r="D1196" s="1" t="s">
        <v>4681</v>
      </c>
      <c r="E1196" s="1">
        <v>10022</v>
      </c>
      <c r="F1196" s="1" t="s">
        <v>4680</v>
      </c>
      <c r="G1196" s="1">
        <v>1</v>
      </c>
      <c r="L1196" s="1">
        <v>4500</v>
      </c>
      <c r="N1196" s="1">
        <v>185</v>
      </c>
      <c r="P1196" s="1">
        <v>150</v>
      </c>
      <c r="R1196" s="1">
        <v>10</v>
      </c>
      <c r="Z1196" s="1">
        <v>0.05</v>
      </c>
      <c r="AA1196" s="1">
        <v>1</v>
      </c>
      <c r="AB1196" s="1">
        <v>1</v>
      </c>
      <c r="AC1196" s="1">
        <v>0.9</v>
      </c>
      <c r="AH1196" s="1">
        <v>0</v>
      </c>
      <c r="AI1196" s="1">
        <v>1</v>
      </c>
      <c r="AJ1196" s="1" t="s">
        <v>4682</v>
      </c>
      <c r="AK1196" s="1" t="s">
        <v>265</v>
      </c>
      <c r="AL1196" s="1" t="s">
        <v>228</v>
      </c>
      <c r="AN1196" s="22" t="s">
        <v>9767</v>
      </c>
      <c r="AX1196" s="1">
        <v>1</v>
      </c>
      <c r="AZ1196" s="1">
        <v>0.1</v>
      </c>
      <c r="BG1196" s="1" t="s">
        <v>4680</v>
      </c>
      <c r="BM1196" s="1" t="s">
        <v>930</v>
      </c>
      <c r="BQ1196" s="1" t="s">
        <v>207</v>
      </c>
      <c r="BR1196" s="1" t="s">
        <v>208</v>
      </c>
      <c r="BS1196" s="1" t="s">
        <v>229</v>
      </c>
      <c r="BT1196" s="1" t="s">
        <v>210</v>
      </c>
      <c r="BX1196" s="1">
        <v>1</v>
      </c>
    </row>
    <row r="1197" spans="1:76" x14ac:dyDescent="0.25">
      <c r="A1197" s="1" t="s">
        <v>4683</v>
      </c>
      <c r="B1197" s="1" t="s">
        <v>203</v>
      </c>
      <c r="C1197" s="1">
        <v>1</v>
      </c>
      <c r="D1197" s="1" t="s">
        <v>4684</v>
      </c>
      <c r="E1197" s="1">
        <v>10022</v>
      </c>
      <c r="F1197" s="1" t="s">
        <v>4683</v>
      </c>
      <c r="G1197" s="1">
        <v>1</v>
      </c>
      <c r="L1197" s="1">
        <v>5200</v>
      </c>
      <c r="N1197" s="1">
        <v>210</v>
      </c>
      <c r="P1197" s="1">
        <v>150</v>
      </c>
      <c r="R1197" s="1">
        <v>10</v>
      </c>
      <c r="Z1197" s="1">
        <v>0.05</v>
      </c>
      <c r="AA1197" s="1">
        <v>1</v>
      </c>
      <c r="AB1197" s="1">
        <v>1</v>
      </c>
      <c r="AC1197" s="1">
        <v>0.9</v>
      </c>
      <c r="AH1197" s="1">
        <v>0</v>
      </c>
      <c r="AI1197" s="1">
        <v>1</v>
      </c>
      <c r="AJ1197" s="1" t="s">
        <v>4685</v>
      </c>
      <c r="AK1197" s="1" t="s">
        <v>265</v>
      </c>
      <c r="AL1197" s="1" t="s">
        <v>228</v>
      </c>
      <c r="AN1197" s="22" t="s">
        <v>9767</v>
      </c>
      <c r="AX1197" s="1">
        <v>1</v>
      </c>
      <c r="AZ1197" s="1">
        <v>0.1</v>
      </c>
      <c r="BG1197" s="1" t="s">
        <v>4683</v>
      </c>
      <c r="BM1197" s="1" t="s">
        <v>930</v>
      </c>
      <c r="BQ1197" s="1" t="s">
        <v>207</v>
      </c>
      <c r="BR1197" s="1" t="s">
        <v>208</v>
      </c>
      <c r="BS1197" s="1" t="s">
        <v>229</v>
      </c>
      <c r="BT1197" s="1" t="s">
        <v>210</v>
      </c>
      <c r="BX1197" s="1">
        <v>1</v>
      </c>
    </row>
    <row r="1198" spans="1:76" x14ac:dyDescent="0.25">
      <c r="A1198" s="1" t="s">
        <v>4686</v>
      </c>
      <c r="B1198" s="1" t="s">
        <v>203</v>
      </c>
      <c r="C1198" s="1">
        <v>1</v>
      </c>
      <c r="D1198" s="1" t="s">
        <v>4687</v>
      </c>
      <c r="E1198" s="1">
        <v>10023</v>
      </c>
      <c r="F1198" s="1" t="s">
        <v>4686</v>
      </c>
      <c r="G1198" s="1">
        <v>1</v>
      </c>
      <c r="L1198" s="1">
        <v>4000</v>
      </c>
      <c r="N1198" s="1">
        <v>320</v>
      </c>
      <c r="P1198" s="1">
        <v>180</v>
      </c>
      <c r="R1198" s="1">
        <v>15</v>
      </c>
      <c r="Z1198" s="1">
        <v>0.05</v>
      </c>
      <c r="AA1198" s="1">
        <v>2.6</v>
      </c>
      <c r="AB1198" s="1">
        <v>1</v>
      </c>
      <c r="AC1198" s="1">
        <v>0.85</v>
      </c>
      <c r="AH1198" s="1">
        <v>0</v>
      </c>
      <c r="AI1198" s="1">
        <v>1</v>
      </c>
      <c r="AJ1198" s="1" t="s">
        <v>4688</v>
      </c>
      <c r="AK1198" s="1" t="s">
        <v>265</v>
      </c>
      <c r="AL1198" s="1" t="s">
        <v>228</v>
      </c>
      <c r="AN1198" s="22" t="s">
        <v>9767</v>
      </c>
      <c r="AX1198" s="1">
        <v>1</v>
      </c>
      <c r="AZ1198" s="1">
        <v>0.1</v>
      </c>
      <c r="BG1198" s="1" t="s">
        <v>4686</v>
      </c>
      <c r="BM1198" s="1" t="s">
        <v>4689</v>
      </c>
      <c r="BQ1198" s="1" t="s">
        <v>207</v>
      </c>
      <c r="BR1198" s="1" t="s">
        <v>208</v>
      </c>
      <c r="BS1198" s="1" t="s">
        <v>229</v>
      </c>
      <c r="BT1198" s="1" t="s">
        <v>210</v>
      </c>
      <c r="BX1198" s="1">
        <v>1</v>
      </c>
    </row>
    <row r="1199" spans="1:76" x14ac:dyDescent="0.25">
      <c r="A1199" s="1" t="s">
        <v>4690</v>
      </c>
      <c r="B1199" s="1" t="s">
        <v>203</v>
      </c>
      <c r="C1199" s="1">
        <v>1</v>
      </c>
      <c r="D1199" s="1" t="s">
        <v>4691</v>
      </c>
      <c r="E1199" s="1">
        <v>10023</v>
      </c>
      <c r="F1199" s="1" t="s">
        <v>4690</v>
      </c>
      <c r="G1199" s="1">
        <v>1</v>
      </c>
      <c r="L1199" s="1">
        <v>4800</v>
      </c>
      <c r="N1199" s="1">
        <v>410</v>
      </c>
      <c r="P1199" s="1">
        <v>220</v>
      </c>
      <c r="R1199" s="1">
        <v>15</v>
      </c>
      <c r="Z1199" s="1">
        <v>0.05</v>
      </c>
      <c r="AA1199" s="1">
        <v>2.6</v>
      </c>
      <c r="AB1199" s="1">
        <v>1</v>
      </c>
      <c r="AC1199" s="1">
        <v>0.85</v>
      </c>
      <c r="AH1199" s="1">
        <v>0</v>
      </c>
      <c r="AI1199" s="1">
        <v>1</v>
      </c>
      <c r="AJ1199" s="1" t="s">
        <v>4692</v>
      </c>
      <c r="AK1199" s="1" t="s">
        <v>265</v>
      </c>
      <c r="AL1199" s="1" t="s">
        <v>228</v>
      </c>
      <c r="AN1199" s="22" t="s">
        <v>9767</v>
      </c>
      <c r="AX1199" s="1">
        <v>1</v>
      </c>
      <c r="AZ1199" s="1">
        <v>0.1</v>
      </c>
      <c r="BG1199" s="1" t="s">
        <v>4690</v>
      </c>
      <c r="BM1199" s="1" t="s">
        <v>4689</v>
      </c>
      <c r="BQ1199" s="1" t="s">
        <v>207</v>
      </c>
      <c r="BR1199" s="1" t="s">
        <v>208</v>
      </c>
      <c r="BS1199" s="1" t="s">
        <v>229</v>
      </c>
      <c r="BT1199" s="1" t="s">
        <v>210</v>
      </c>
      <c r="BX1199" s="1">
        <v>1</v>
      </c>
    </row>
    <row r="1200" spans="1:76" x14ac:dyDescent="0.25">
      <c r="A1200" s="1" t="s">
        <v>4693</v>
      </c>
      <c r="B1200" s="1" t="s">
        <v>203</v>
      </c>
      <c r="C1200" s="1">
        <v>1</v>
      </c>
      <c r="D1200" s="1" t="s">
        <v>4694</v>
      </c>
      <c r="E1200" s="1">
        <v>10024</v>
      </c>
      <c r="F1200" s="1" t="s">
        <v>4693</v>
      </c>
      <c r="G1200" s="1">
        <v>1</v>
      </c>
      <c r="L1200" s="1">
        <v>12000</v>
      </c>
      <c r="N1200" s="1">
        <v>900</v>
      </c>
      <c r="P1200" s="1">
        <v>1100</v>
      </c>
      <c r="R1200" s="1">
        <v>10</v>
      </c>
      <c r="Z1200" s="1">
        <v>0.05</v>
      </c>
      <c r="AA1200" s="1">
        <v>3.5</v>
      </c>
      <c r="AB1200" s="1">
        <v>5</v>
      </c>
      <c r="AC1200" s="1">
        <v>0.5</v>
      </c>
      <c r="AH1200" s="1">
        <v>0</v>
      </c>
      <c r="AI1200" s="1">
        <v>1</v>
      </c>
      <c r="AJ1200" s="1" t="s">
        <v>4695</v>
      </c>
      <c r="AK1200" s="1" t="s">
        <v>265</v>
      </c>
      <c r="AL1200" s="1" t="s">
        <v>228</v>
      </c>
      <c r="AN1200" s="22" t="s">
        <v>9767</v>
      </c>
      <c r="AX1200" s="1">
        <v>1</v>
      </c>
      <c r="AZ1200" s="1">
        <v>0.1</v>
      </c>
      <c r="BG1200" s="1" t="s">
        <v>4693</v>
      </c>
      <c r="BM1200" s="1" t="s">
        <v>930</v>
      </c>
      <c r="BQ1200" s="1" t="s">
        <v>207</v>
      </c>
      <c r="BR1200" s="1" t="s">
        <v>208</v>
      </c>
      <c r="BS1200" s="1" t="s">
        <v>229</v>
      </c>
      <c r="BT1200" s="1" t="s">
        <v>210</v>
      </c>
      <c r="BX1200" s="1">
        <v>1</v>
      </c>
    </row>
    <row r="1201" spans="1:76" x14ac:dyDescent="0.25">
      <c r="A1201" s="1" t="s">
        <v>4696</v>
      </c>
      <c r="B1201" s="1" t="s">
        <v>203</v>
      </c>
      <c r="C1201" s="1">
        <v>1</v>
      </c>
      <c r="D1201" s="1" t="s">
        <v>4697</v>
      </c>
      <c r="E1201" s="1">
        <v>10024</v>
      </c>
      <c r="F1201" s="1" t="s">
        <v>4696</v>
      </c>
      <c r="G1201" s="1">
        <v>1</v>
      </c>
      <c r="L1201" s="1">
        <v>18000</v>
      </c>
      <c r="N1201" s="1">
        <v>1100</v>
      </c>
      <c r="P1201" s="1">
        <v>1350</v>
      </c>
      <c r="R1201" s="1">
        <v>10</v>
      </c>
      <c r="Z1201" s="1">
        <v>0.05</v>
      </c>
      <c r="AA1201" s="1">
        <v>3.5</v>
      </c>
      <c r="AB1201" s="1">
        <v>5</v>
      </c>
      <c r="AC1201" s="1">
        <v>0.5</v>
      </c>
      <c r="AH1201" s="1">
        <v>0</v>
      </c>
      <c r="AI1201" s="1">
        <v>1</v>
      </c>
      <c r="AJ1201" s="1" t="s">
        <v>4698</v>
      </c>
      <c r="AK1201" s="1" t="s">
        <v>265</v>
      </c>
      <c r="AL1201" s="1" t="s">
        <v>228</v>
      </c>
      <c r="AN1201" s="22" t="s">
        <v>9767</v>
      </c>
      <c r="AX1201" s="1">
        <v>1</v>
      </c>
      <c r="AZ1201" s="1">
        <v>0.1</v>
      </c>
      <c r="BG1201" s="1" t="s">
        <v>4696</v>
      </c>
      <c r="BM1201" s="1" t="s">
        <v>930</v>
      </c>
      <c r="BQ1201" s="1" t="s">
        <v>207</v>
      </c>
      <c r="BR1201" s="1" t="s">
        <v>208</v>
      </c>
      <c r="BS1201" s="1" t="s">
        <v>229</v>
      </c>
      <c r="BT1201" s="1" t="s">
        <v>210</v>
      </c>
      <c r="BX1201" s="1">
        <v>1</v>
      </c>
    </row>
    <row r="1202" spans="1:76" x14ac:dyDescent="0.25">
      <c r="A1202" s="1" t="s">
        <v>4699</v>
      </c>
      <c r="B1202" s="1" t="s">
        <v>203</v>
      </c>
      <c r="C1202" s="1">
        <v>1</v>
      </c>
      <c r="D1202" s="1" t="s">
        <v>4700</v>
      </c>
      <c r="E1202" s="1">
        <v>10025</v>
      </c>
      <c r="F1202" s="1" t="s">
        <v>4699</v>
      </c>
      <c r="G1202" s="1">
        <v>1</v>
      </c>
      <c r="L1202" s="1">
        <v>15000</v>
      </c>
      <c r="N1202" s="1">
        <v>1060</v>
      </c>
      <c r="P1202" s="1">
        <v>400</v>
      </c>
      <c r="R1202" s="1">
        <v>40</v>
      </c>
      <c r="Z1202" s="1">
        <v>0.05</v>
      </c>
      <c r="AA1202" s="1">
        <v>2.8</v>
      </c>
      <c r="AB1202" s="1">
        <v>4</v>
      </c>
      <c r="AC1202" s="1">
        <v>0.7</v>
      </c>
      <c r="AH1202" s="1">
        <v>0</v>
      </c>
      <c r="AI1202" s="1">
        <v>1</v>
      </c>
      <c r="AJ1202" s="1" t="s">
        <v>4701</v>
      </c>
      <c r="AK1202" s="1" t="s">
        <v>265</v>
      </c>
      <c r="AL1202" s="1" t="s">
        <v>228</v>
      </c>
      <c r="AN1202" s="22" t="s">
        <v>9767</v>
      </c>
      <c r="AX1202" s="1">
        <v>1</v>
      </c>
      <c r="AZ1202" s="1">
        <v>0.1</v>
      </c>
      <c r="BG1202" s="1" t="s">
        <v>4699</v>
      </c>
      <c r="BM1202" s="1" t="s">
        <v>4702</v>
      </c>
      <c r="BQ1202" s="1" t="s">
        <v>207</v>
      </c>
      <c r="BR1202" s="1" t="s">
        <v>208</v>
      </c>
      <c r="BS1202" s="1" t="s">
        <v>229</v>
      </c>
      <c r="BT1202" s="1" t="s">
        <v>210</v>
      </c>
      <c r="BX1202" s="1">
        <v>1</v>
      </c>
    </row>
    <row r="1203" spans="1:76" x14ac:dyDescent="0.25">
      <c r="A1203" s="1" t="s">
        <v>4703</v>
      </c>
      <c r="B1203" s="1" t="s">
        <v>203</v>
      </c>
      <c r="C1203" s="1">
        <v>1</v>
      </c>
      <c r="D1203" s="1" t="s">
        <v>4704</v>
      </c>
      <c r="E1203" s="1">
        <v>10025</v>
      </c>
      <c r="F1203" s="1" t="s">
        <v>4703</v>
      </c>
      <c r="G1203" s="1">
        <v>1</v>
      </c>
      <c r="L1203" s="1">
        <v>19500</v>
      </c>
      <c r="N1203" s="1">
        <v>1420</v>
      </c>
      <c r="P1203" s="1">
        <v>640</v>
      </c>
      <c r="R1203" s="1">
        <v>40</v>
      </c>
      <c r="Z1203" s="1">
        <v>0.05</v>
      </c>
      <c r="AA1203" s="1">
        <v>2.8</v>
      </c>
      <c r="AB1203" s="1">
        <v>4</v>
      </c>
      <c r="AC1203" s="1">
        <v>0.7</v>
      </c>
      <c r="AH1203" s="1">
        <v>0</v>
      </c>
      <c r="AI1203" s="1">
        <v>1</v>
      </c>
      <c r="AJ1203" s="1" t="s">
        <v>4705</v>
      </c>
      <c r="AK1203" s="1" t="s">
        <v>265</v>
      </c>
      <c r="AL1203" s="1" t="s">
        <v>228</v>
      </c>
      <c r="AN1203" s="22" t="s">
        <v>9767</v>
      </c>
      <c r="AX1203" s="1">
        <v>1</v>
      </c>
      <c r="AZ1203" s="1">
        <v>0.1</v>
      </c>
      <c r="BG1203" s="1" t="s">
        <v>4703</v>
      </c>
      <c r="BM1203" s="1" t="s">
        <v>4702</v>
      </c>
      <c r="BQ1203" s="1" t="s">
        <v>207</v>
      </c>
      <c r="BR1203" s="1" t="s">
        <v>208</v>
      </c>
      <c r="BS1203" s="1" t="s">
        <v>229</v>
      </c>
      <c r="BT1203" s="1" t="s">
        <v>210</v>
      </c>
      <c r="BX1203" s="1">
        <v>1</v>
      </c>
    </row>
    <row r="1204" spans="1:76" x14ac:dyDescent="0.25">
      <c r="A1204" s="1" t="s">
        <v>4706</v>
      </c>
      <c r="B1204" s="1" t="s">
        <v>203</v>
      </c>
      <c r="C1204" s="1">
        <v>1</v>
      </c>
      <c r="D1204" s="1" t="s">
        <v>4707</v>
      </c>
      <c r="E1204" s="1">
        <v>10026</v>
      </c>
      <c r="F1204" s="1" t="s">
        <v>4706</v>
      </c>
      <c r="G1204" s="1">
        <v>1</v>
      </c>
      <c r="L1204" s="1">
        <v>36000</v>
      </c>
      <c r="N1204" s="1">
        <v>800</v>
      </c>
      <c r="P1204" s="1">
        <v>150</v>
      </c>
      <c r="R1204" s="1">
        <v>20</v>
      </c>
      <c r="Z1204" s="1">
        <v>0.05</v>
      </c>
      <c r="AA1204" s="1">
        <v>5.5</v>
      </c>
      <c r="AB1204" s="1">
        <v>4</v>
      </c>
      <c r="AC1204" s="1">
        <v>0.2</v>
      </c>
      <c r="AH1204" s="1">
        <v>0</v>
      </c>
      <c r="AI1204" s="1">
        <v>1</v>
      </c>
      <c r="AJ1204" s="1" t="s">
        <v>4708</v>
      </c>
      <c r="AK1204" s="1" t="s">
        <v>265</v>
      </c>
      <c r="AL1204" s="1" t="s">
        <v>228</v>
      </c>
      <c r="AN1204" s="22" t="s">
        <v>9767</v>
      </c>
      <c r="AP1204" s="1">
        <v>1</v>
      </c>
      <c r="AX1204" s="1">
        <v>1</v>
      </c>
      <c r="AZ1204" s="1">
        <v>0.1</v>
      </c>
      <c r="BG1204" s="1" t="s">
        <v>4706</v>
      </c>
      <c r="BM1204" s="1" t="s">
        <v>1032</v>
      </c>
      <c r="BQ1204" s="1" t="s">
        <v>207</v>
      </c>
      <c r="BR1204" s="1" t="s">
        <v>208</v>
      </c>
      <c r="BS1204" s="1" t="s">
        <v>229</v>
      </c>
      <c r="BT1204" s="1" t="s">
        <v>210</v>
      </c>
      <c r="BX1204" s="1">
        <v>1</v>
      </c>
    </row>
    <row r="1205" spans="1:76" x14ac:dyDescent="0.25">
      <c r="A1205" s="1" t="s">
        <v>4709</v>
      </c>
      <c r="B1205" s="1" t="s">
        <v>203</v>
      </c>
      <c r="C1205" s="1">
        <v>1</v>
      </c>
      <c r="D1205" s="1" t="s">
        <v>4710</v>
      </c>
      <c r="E1205" s="1">
        <v>10026</v>
      </c>
      <c r="F1205" s="1" t="s">
        <v>4709</v>
      </c>
      <c r="G1205" s="1">
        <v>1</v>
      </c>
      <c r="L1205" s="1">
        <v>44000</v>
      </c>
      <c r="N1205" s="1">
        <v>950</v>
      </c>
      <c r="P1205" s="1">
        <v>150</v>
      </c>
      <c r="R1205" s="1">
        <v>20</v>
      </c>
      <c r="Z1205" s="1">
        <v>0.05</v>
      </c>
      <c r="AA1205" s="1">
        <v>5.5</v>
      </c>
      <c r="AB1205" s="1">
        <v>4</v>
      </c>
      <c r="AC1205" s="1">
        <v>0.2</v>
      </c>
      <c r="AH1205" s="1">
        <v>0</v>
      </c>
      <c r="AI1205" s="1">
        <v>1</v>
      </c>
      <c r="AJ1205" s="1" t="s">
        <v>4711</v>
      </c>
      <c r="AK1205" s="1" t="s">
        <v>265</v>
      </c>
      <c r="AL1205" s="1" t="s">
        <v>228</v>
      </c>
      <c r="AN1205" s="22" t="s">
        <v>9767</v>
      </c>
      <c r="AP1205" s="1">
        <v>1</v>
      </c>
      <c r="AX1205" s="1">
        <v>1</v>
      </c>
      <c r="AZ1205" s="1">
        <v>0.1</v>
      </c>
      <c r="BG1205" s="1" t="s">
        <v>4709</v>
      </c>
      <c r="BM1205" s="1" t="s">
        <v>1032</v>
      </c>
      <c r="BQ1205" s="1" t="s">
        <v>207</v>
      </c>
      <c r="BR1205" s="1" t="s">
        <v>208</v>
      </c>
      <c r="BS1205" s="1" t="s">
        <v>229</v>
      </c>
      <c r="BT1205" s="1" t="s">
        <v>210</v>
      </c>
      <c r="BX1205" s="1">
        <v>1</v>
      </c>
    </row>
    <row r="1206" spans="1:76" x14ac:dyDescent="0.25">
      <c r="A1206" s="1" t="s">
        <v>4712</v>
      </c>
      <c r="B1206" s="1" t="s">
        <v>203</v>
      </c>
      <c r="C1206" s="1">
        <v>1</v>
      </c>
      <c r="D1206" s="1" t="s">
        <v>4713</v>
      </c>
      <c r="E1206" s="1">
        <v>10027</v>
      </c>
      <c r="F1206" s="1" t="s">
        <v>4712</v>
      </c>
      <c r="G1206" s="1">
        <v>1</v>
      </c>
      <c r="L1206" s="1">
        <v>30000</v>
      </c>
      <c r="N1206" s="1">
        <v>1020</v>
      </c>
      <c r="P1206" s="1">
        <v>1800</v>
      </c>
      <c r="R1206" s="1">
        <v>5</v>
      </c>
      <c r="Z1206" s="1">
        <v>0.05</v>
      </c>
      <c r="AA1206" s="1">
        <v>5</v>
      </c>
      <c r="AB1206" s="1">
        <v>6</v>
      </c>
      <c r="AC1206" s="1">
        <v>0.5</v>
      </c>
      <c r="AH1206" s="1">
        <v>0</v>
      </c>
      <c r="AI1206" s="1">
        <v>1</v>
      </c>
      <c r="AJ1206" s="1" t="s">
        <v>4714</v>
      </c>
      <c r="AK1206" s="1" t="s">
        <v>265</v>
      </c>
      <c r="AL1206" s="1" t="s">
        <v>228</v>
      </c>
      <c r="AN1206" s="22" t="s">
        <v>9767</v>
      </c>
      <c r="AX1206" s="1">
        <v>1</v>
      </c>
      <c r="AZ1206" s="1">
        <v>0.1</v>
      </c>
      <c r="BG1206" s="1" t="s">
        <v>4712</v>
      </c>
      <c r="BM1206" s="1" t="s">
        <v>4715</v>
      </c>
      <c r="BQ1206" s="1" t="s">
        <v>207</v>
      </c>
      <c r="BR1206" s="1" t="s">
        <v>208</v>
      </c>
      <c r="BS1206" s="1" t="s">
        <v>229</v>
      </c>
      <c r="BT1206" s="1" t="s">
        <v>210</v>
      </c>
      <c r="BX1206" s="1">
        <v>1</v>
      </c>
    </row>
    <row r="1207" spans="1:76" x14ac:dyDescent="0.25">
      <c r="A1207" s="1" t="s">
        <v>4716</v>
      </c>
      <c r="B1207" s="1" t="s">
        <v>203</v>
      </c>
      <c r="C1207" s="1">
        <v>1</v>
      </c>
      <c r="D1207" s="1" t="s">
        <v>4717</v>
      </c>
      <c r="E1207" s="1">
        <v>1559</v>
      </c>
      <c r="F1207" s="1" t="s">
        <v>4716</v>
      </c>
      <c r="G1207" s="1">
        <v>1</v>
      </c>
      <c r="L1207" s="1">
        <v>81000</v>
      </c>
      <c r="N1207" s="1">
        <v>920</v>
      </c>
      <c r="P1207" s="1">
        <v>1030</v>
      </c>
      <c r="R1207" s="1">
        <v>20</v>
      </c>
      <c r="Z1207" s="1">
        <v>0.05</v>
      </c>
      <c r="AA1207" s="1">
        <v>8.1999999999999993</v>
      </c>
      <c r="AB1207" s="1">
        <v>10</v>
      </c>
      <c r="AC1207" s="1">
        <v>0</v>
      </c>
      <c r="AH1207" s="1">
        <v>0</v>
      </c>
      <c r="AI1207" s="1">
        <v>1</v>
      </c>
      <c r="AJ1207" s="1" t="s">
        <v>4718</v>
      </c>
      <c r="AK1207" s="1" t="s">
        <v>265</v>
      </c>
      <c r="AL1207" s="1" t="s">
        <v>228</v>
      </c>
      <c r="AN1207" s="22" t="s">
        <v>9767</v>
      </c>
      <c r="AX1207" s="1">
        <v>15</v>
      </c>
      <c r="AZ1207" s="1">
        <v>0.1</v>
      </c>
      <c r="BG1207" s="1" t="s">
        <v>4716</v>
      </c>
      <c r="BM1207" s="1" t="s">
        <v>1328</v>
      </c>
      <c r="BQ1207" s="1" t="s">
        <v>207</v>
      </c>
      <c r="BR1207" s="1" t="s">
        <v>208</v>
      </c>
      <c r="BS1207" s="1" t="s">
        <v>208</v>
      </c>
      <c r="BT1207" s="1" t="s">
        <v>207</v>
      </c>
      <c r="BX1207" s="1">
        <v>1</v>
      </c>
    </row>
    <row r="1208" spans="1:76" x14ac:dyDescent="0.25">
      <c r="A1208" s="1" t="s">
        <v>4719</v>
      </c>
      <c r="B1208" s="1" t="s">
        <v>203</v>
      </c>
      <c r="C1208" s="1">
        <v>1</v>
      </c>
      <c r="D1208" s="1" t="s">
        <v>9713</v>
      </c>
      <c r="E1208" s="1">
        <v>185</v>
      </c>
      <c r="F1208" s="1" t="s">
        <v>4719</v>
      </c>
      <c r="G1208" s="1">
        <v>1</v>
      </c>
      <c r="L1208" s="1">
        <v>8000</v>
      </c>
      <c r="N1208" s="1">
        <v>425</v>
      </c>
      <c r="P1208" s="1">
        <v>150</v>
      </c>
      <c r="R1208" s="1">
        <v>75</v>
      </c>
      <c r="Z1208" s="1">
        <v>0.05</v>
      </c>
      <c r="AA1208" s="1">
        <v>3.8</v>
      </c>
      <c r="AB1208" s="1">
        <v>10</v>
      </c>
      <c r="AC1208" s="1">
        <v>0</v>
      </c>
      <c r="AH1208" s="1">
        <v>0</v>
      </c>
      <c r="AI1208" s="1">
        <v>1</v>
      </c>
      <c r="AJ1208" s="1" t="s">
        <v>4720</v>
      </c>
      <c r="AK1208" s="1" t="s">
        <v>265</v>
      </c>
      <c r="AL1208" s="1" t="s">
        <v>228</v>
      </c>
      <c r="AN1208" s="22" t="s">
        <v>9767</v>
      </c>
      <c r="AX1208" s="1">
        <v>1</v>
      </c>
      <c r="AZ1208" s="1">
        <v>0.1</v>
      </c>
      <c r="BG1208" s="1" t="s">
        <v>4716</v>
      </c>
      <c r="BM1208" s="1" t="s">
        <v>4721</v>
      </c>
      <c r="BQ1208" s="1" t="s">
        <v>207</v>
      </c>
      <c r="BR1208" s="1" t="s">
        <v>208</v>
      </c>
      <c r="BS1208" s="1" t="s">
        <v>208</v>
      </c>
      <c r="BT1208" s="1" t="s">
        <v>210</v>
      </c>
      <c r="BX1208" s="1">
        <v>1</v>
      </c>
    </row>
    <row r="1209" spans="1:76" x14ac:dyDescent="0.25">
      <c r="A1209" s="1" t="s">
        <v>4722</v>
      </c>
      <c r="B1209" s="1" t="s">
        <v>203</v>
      </c>
      <c r="C1209" s="1">
        <v>1</v>
      </c>
      <c r="D1209" s="1" t="s">
        <v>4723</v>
      </c>
      <c r="E1209" s="1">
        <v>10031</v>
      </c>
      <c r="F1209" s="1" t="s">
        <v>4722</v>
      </c>
      <c r="G1209" s="1">
        <v>1</v>
      </c>
      <c r="L1209" s="1">
        <v>4000</v>
      </c>
      <c r="N1209" s="1">
        <v>300</v>
      </c>
      <c r="P1209" s="1">
        <v>100</v>
      </c>
      <c r="R1209" s="1">
        <v>0</v>
      </c>
      <c r="Z1209" s="1">
        <v>0.05</v>
      </c>
      <c r="AA1209" s="1">
        <v>2</v>
      </c>
      <c r="AB1209" s="1">
        <v>1</v>
      </c>
      <c r="AC1209" s="1">
        <v>1.5</v>
      </c>
      <c r="AH1209" s="1">
        <v>0</v>
      </c>
      <c r="AI1209" s="1">
        <v>1</v>
      </c>
      <c r="AJ1209" s="1" t="s">
        <v>4724</v>
      </c>
      <c r="AK1209" s="1" t="s">
        <v>265</v>
      </c>
      <c r="AL1209" s="1" t="s">
        <v>228</v>
      </c>
      <c r="AN1209" s="22" t="s">
        <v>9767</v>
      </c>
      <c r="AX1209" s="1">
        <v>1</v>
      </c>
      <c r="AZ1209" s="1">
        <v>0.1</v>
      </c>
      <c r="BG1209" s="1" t="s">
        <v>4722</v>
      </c>
      <c r="BM1209" s="1" t="s">
        <v>930</v>
      </c>
      <c r="BQ1209" s="1" t="s">
        <v>207</v>
      </c>
      <c r="BR1209" s="1" t="s">
        <v>208</v>
      </c>
      <c r="BS1209" s="1" t="s">
        <v>229</v>
      </c>
      <c r="BT1209" s="1" t="s">
        <v>210</v>
      </c>
      <c r="BX1209" s="1">
        <v>1</v>
      </c>
    </row>
    <row r="1210" spans="1:76" x14ac:dyDescent="0.25">
      <c r="A1210" s="1" t="s">
        <v>4725</v>
      </c>
      <c r="B1210" s="1" t="s">
        <v>203</v>
      </c>
      <c r="C1210" s="1">
        <v>1</v>
      </c>
      <c r="D1210" s="1" t="s">
        <v>4726</v>
      </c>
      <c r="E1210" s="1">
        <v>10031</v>
      </c>
      <c r="F1210" s="1" t="s">
        <v>4725</v>
      </c>
      <c r="G1210" s="1">
        <v>1</v>
      </c>
      <c r="L1210" s="1">
        <v>4500</v>
      </c>
      <c r="N1210" s="1">
        <v>350</v>
      </c>
      <c r="P1210" s="1">
        <v>150</v>
      </c>
      <c r="R1210" s="1">
        <v>0</v>
      </c>
      <c r="Z1210" s="1">
        <v>0.05</v>
      </c>
      <c r="AA1210" s="1">
        <v>2</v>
      </c>
      <c r="AB1210" s="1">
        <v>1</v>
      </c>
      <c r="AC1210" s="1">
        <v>1.5</v>
      </c>
      <c r="AH1210" s="1">
        <v>0</v>
      </c>
      <c r="AI1210" s="1">
        <v>1</v>
      </c>
      <c r="AJ1210" s="1" t="s">
        <v>4727</v>
      </c>
      <c r="AK1210" s="1" t="s">
        <v>265</v>
      </c>
      <c r="AL1210" s="1" t="s">
        <v>228</v>
      </c>
      <c r="AN1210" s="22" t="s">
        <v>9767</v>
      </c>
      <c r="AX1210" s="1">
        <v>1</v>
      </c>
      <c r="AZ1210" s="1">
        <v>0.1</v>
      </c>
      <c r="BG1210" s="1" t="s">
        <v>4725</v>
      </c>
      <c r="BM1210" s="1" t="s">
        <v>930</v>
      </c>
      <c r="BQ1210" s="1" t="s">
        <v>207</v>
      </c>
      <c r="BR1210" s="1" t="s">
        <v>208</v>
      </c>
      <c r="BS1210" s="1" t="s">
        <v>229</v>
      </c>
      <c r="BT1210" s="1" t="s">
        <v>210</v>
      </c>
      <c r="BX1210" s="1">
        <v>1</v>
      </c>
    </row>
    <row r="1211" spans="1:76" x14ac:dyDescent="0.25">
      <c r="A1211" s="1" t="s">
        <v>4728</v>
      </c>
      <c r="B1211" s="1" t="s">
        <v>203</v>
      </c>
      <c r="C1211" s="1">
        <v>1</v>
      </c>
      <c r="D1211" s="1" t="s">
        <v>4729</v>
      </c>
      <c r="E1211" s="1">
        <v>10032</v>
      </c>
      <c r="F1211" s="1" t="s">
        <v>4728</v>
      </c>
      <c r="G1211" s="1">
        <v>1</v>
      </c>
      <c r="L1211" s="1">
        <v>4000</v>
      </c>
      <c r="N1211" s="1">
        <v>250</v>
      </c>
      <c r="P1211" s="1">
        <v>100</v>
      </c>
      <c r="R1211" s="1">
        <v>0</v>
      </c>
      <c r="Z1211" s="1">
        <v>0.05</v>
      </c>
      <c r="AA1211" s="1">
        <v>3</v>
      </c>
      <c r="AB1211" s="1">
        <v>1</v>
      </c>
      <c r="AC1211" s="1">
        <v>1.2</v>
      </c>
      <c r="AH1211" s="1">
        <v>0</v>
      </c>
      <c r="AI1211" s="1">
        <v>1</v>
      </c>
      <c r="AJ1211" s="1" t="s">
        <v>4730</v>
      </c>
      <c r="AK1211" s="1" t="s">
        <v>265</v>
      </c>
      <c r="AL1211" s="1" t="s">
        <v>228</v>
      </c>
      <c r="AN1211" s="22" t="s">
        <v>9767</v>
      </c>
      <c r="AX1211" s="1">
        <v>1</v>
      </c>
      <c r="AZ1211" s="1">
        <v>0.1</v>
      </c>
      <c r="BG1211" s="1" t="s">
        <v>4728</v>
      </c>
      <c r="BM1211" s="1" t="s">
        <v>936</v>
      </c>
      <c r="BQ1211" s="1" t="s">
        <v>207</v>
      </c>
      <c r="BR1211" s="1" t="s">
        <v>208</v>
      </c>
      <c r="BS1211" s="1" t="s">
        <v>229</v>
      </c>
      <c r="BT1211" s="1" t="s">
        <v>210</v>
      </c>
      <c r="BX1211" s="1">
        <v>1</v>
      </c>
    </row>
    <row r="1212" spans="1:76" x14ac:dyDescent="0.25">
      <c r="A1212" s="1" t="s">
        <v>4731</v>
      </c>
      <c r="B1212" s="1" t="s">
        <v>203</v>
      </c>
      <c r="C1212" s="1">
        <v>1</v>
      </c>
      <c r="D1212" s="1" t="s">
        <v>4732</v>
      </c>
      <c r="E1212" s="1">
        <v>10032</v>
      </c>
      <c r="F1212" s="1" t="s">
        <v>4731</v>
      </c>
      <c r="G1212" s="1">
        <v>1</v>
      </c>
      <c r="L1212" s="1">
        <v>4500</v>
      </c>
      <c r="N1212" s="1">
        <v>300</v>
      </c>
      <c r="P1212" s="1">
        <v>150</v>
      </c>
      <c r="R1212" s="1">
        <v>0</v>
      </c>
      <c r="Z1212" s="1">
        <v>0.05</v>
      </c>
      <c r="AA1212" s="1">
        <v>3</v>
      </c>
      <c r="AB1212" s="1">
        <v>1</v>
      </c>
      <c r="AC1212" s="1">
        <v>1.2</v>
      </c>
      <c r="AH1212" s="1">
        <v>0</v>
      </c>
      <c r="AI1212" s="1">
        <v>1</v>
      </c>
      <c r="AJ1212" s="1" t="s">
        <v>4733</v>
      </c>
      <c r="AK1212" s="1" t="s">
        <v>265</v>
      </c>
      <c r="AL1212" s="1" t="s">
        <v>228</v>
      </c>
      <c r="AN1212" s="22" t="s">
        <v>9767</v>
      </c>
      <c r="AX1212" s="1">
        <v>1</v>
      </c>
      <c r="AZ1212" s="1">
        <v>0.1</v>
      </c>
      <c r="BG1212" s="1" t="s">
        <v>4731</v>
      </c>
      <c r="BM1212" s="1" t="s">
        <v>936</v>
      </c>
      <c r="BQ1212" s="1" t="s">
        <v>207</v>
      </c>
      <c r="BR1212" s="1" t="s">
        <v>208</v>
      </c>
      <c r="BS1212" s="1" t="s">
        <v>229</v>
      </c>
      <c r="BT1212" s="1" t="s">
        <v>210</v>
      </c>
      <c r="BX1212" s="1">
        <v>1</v>
      </c>
    </row>
    <row r="1213" spans="1:76" x14ac:dyDescent="0.25">
      <c r="A1213" s="1" t="s">
        <v>4734</v>
      </c>
      <c r="B1213" s="1" t="s">
        <v>203</v>
      </c>
      <c r="C1213" s="1">
        <v>1</v>
      </c>
      <c r="D1213" s="1" t="s">
        <v>4735</v>
      </c>
      <c r="E1213" s="1">
        <v>10033</v>
      </c>
      <c r="F1213" s="1" t="s">
        <v>4734</v>
      </c>
      <c r="G1213" s="1">
        <v>1</v>
      </c>
      <c r="L1213" s="1">
        <v>6500</v>
      </c>
      <c r="N1213" s="1">
        <v>550</v>
      </c>
      <c r="P1213" s="1">
        <v>300</v>
      </c>
      <c r="R1213" s="1">
        <v>10</v>
      </c>
      <c r="Z1213" s="1">
        <v>0.05</v>
      </c>
      <c r="AA1213" s="1">
        <v>4</v>
      </c>
      <c r="AB1213" s="1">
        <v>2</v>
      </c>
      <c r="AC1213" s="1">
        <v>0.7</v>
      </c>
      <c r="AH1213" s="1">
        <v>0</v>
      </c>
      <c r="AI1213" s="1">
        <v>1</v>
      </c>
      <c r="AJ1213" s="1" t="s">
        <v>4736</v>
      </c>
      <c r="AK1213" s="1" t="s">
        <v>265</v>
      </c>
      <c r="AL1213" s="1" t="s">
        <v>228</v>
      </c>
      <c r="AN1213" s="22" t="s">
        <v>9767</v>
      </c>
      <c r="AX1213" s="1">
        <v>1</v>
      </c>
      <c r="AZ1213" s="1">
        <v>0.1</v>
      </c>
      <c r="BG1213" s="1" t="s">
        <v>4734</v>
      </c>
      <c r="BM1213" s="1" t="s">
        <v>936</v>
      </c>
      <c r="BQ1213" s="1" t="s">
        <v>207</v>
      </c>
      <c r="BR1213" s="1" t="s">
        <v>208</v>
      </c>
      <c r="BS1213" s="1" t="s">
        <v>229</v>
      </c>
      <c r="BT1213" s="1" t="s">
        <v>210</v>
      </c>
      <c r="BX1213" s="1">
        <v>1</v>
      </c>
    </row>
    <row r="1214" spans="1:76" x14ac:dyDescent="0.25">
      <c r="A1214" s="1" t="s">
        <v>4737</v>
      </c>
      <c r="B1214" s="1" t="s">
        <v>203</v>
      </c>
      <c r="C1214" s="1">
        <v>1</v>
      </c>
      <c r="D1214" s="1" t="s">
        <v>4738</v>
      </c>
      <c r="E1214" s="1">
        <v>10033</v>
      </c>
      <c r="F1214" s="1" t="s">
        <v>4737</v>
      </c>
      <c r="G1214" s="1">
        <v>1</v>
      </c>
      <c r="L1214" s="1">
        <v>8500</v>
      </c>
      <c r="N1214" s="1">
        <v>650</v>
      </c>
      <c r="P1214" s="1">
        <v>350</v>
      </c>
      <c r="R1214" s="1">
        <v>10</v>
      </c>
      <c r="Z1214" s="1">
        <v>0.05</v>
      </c>
      <c r="AA1214" s="1">
        <v>4</v>
      </c>
      <c r="AB1214" s="1">
        <v>2</v>
      </c>
      <c r="AC1214" s="1">
        <v>0.7</v>
      </c>
      <c r="AH1214" s="1">
        <v>0</v>
      </c>
      <c r="AI1214" s="1">
        <v>1</v>
      </c>
      <c r="AJ1214" s="1" t="s">
        <v>4739</v>
      </c>
      <c r="AK1214" s="1" t="s">
        <v>265</v>
      </c>
      <c r="AL1214" s="1" t="s">
        <v>228</v>
      </c>
      <c r="AN1214" s="22" t="s">
        <v>9767</v>
      </c>
      <c r="AX1214" s="1">
        <v>1</v>
      </c>
      <c r="AZ1214" s="1">
        <v>0.1</v>
      </c>
      <c r="BG1214" s="1" t="s">
        <v>4737</v>
      </c>
      <c r="BM1214" s="1" t="s">
        <v>936</v>
      </c>
      <c r="BQ1214" s="1" t="s">
        <v>207</v>
      </c>
      <c r="BR1214" s="1" t="s">
        <v>208</v>
      </c>
      <c r="BS1214" s="1" t="s">
        <v>229</v>
      </c>
      <c r="BT1214" s="1" t="s">
        <v>210</v>
      </c>
      <c r="BX1214" s="1">
        <v>1</v>
      </c>
    </row>
    <row r="1215" spans="1:76" x14ac:dyDescent="0.25">
      <c r="A1215" s="1" t="s">
        <v>4740</v>
      </c>
      <c r="B1215" s="1" t="s">
        <v>203</v>
      </c>
      <c r="C1215" s="1">
        <v>1</v>
      </c>
      <c r="D1215" s="1" t="s">
        <v>4741</v>
      </c>
      <c r="E1215" s="1">
        <v>10034</v>
      </c>
      <c r="F1215" s="1" t="s">
        <v>4740</v>
      </c>
      <c r="G1215" s="1">
        <v>1</v>
      </c>
      <c r="L1215" s="1">
        <v>10000</v>
      </c>
      <c r="N1215" s="1">
        <v>650</v>
      </c>
      <c r="P1215" s="1">
        <v>300</v>
      </c>
      <c r="R1215" s="1">
        <v>10</v>
      </c>
      <c r="Z1215" s="1">
        <v>0.05</v>
      </c>
      <c r="AA1215" s="1">
        <v>1</v>
      </c>
      <c r="AB1215" s="1">
        <v>2</v>
      </c>
      <c r="AC1215" s="1">
        <v>0.7</v>
      </c>
      <c r="AH1215" s="1">
        <v>0</v>
      </c>
      <c r="AI1215" s="1">
        <v>1</v>
      </c>
      <c r="AJ1215" s="1" t="s">
        <v>4742</v>
      </c>
      <c r="AK1215" s="1" t="s">
        <v>265</v>
      </c>
      <c r="AL1215" s="1" t="s">
        <v>228</v>
      </c>
      <c r="AN1215" s="22" t="s">
        <v>9767</v>
      </c>
      <c r="AX1215" s="1">
        <v>1</v>
      </c>
      <c r="AZ1215" s="1">
        <v>0.1</v>
      </c>
      <c r="BG1215" s="1" t="s">
        <v>4740</v>
      </c>
      <c r="BM1215" s="1" t="s">
        <v>957</v>
      </c>
      <c r="BQ1215" s="1" t="s">
        <v>207</v>
      </c>
      <c r="BR1215" s="1" t="s">
        <v>208</v>
      </c>
      <c r="BS1215" s="1" t="s">
        <v>229</v>
      </c>
      <c r="BT1215" s="1" t="s">
        <v>210</v>
      </c>
      <c r="BX1215" s="1">
        <v>1</v>
      </c>
    </row>
    <row r="1216" spans="1:76" x14ac:dyDescent="0.25">
      <c r="A1216" s="1" t="s">
        <v>4743</v>
      </c>
      <c r="B1216" s="1" t="s">
        <v>203</v>
      </c>
      <c r="C1216" s="1">
        <v>1</v>
      </c>
      <c r="D1216" s="1" t="s">
        <v>4744</v>
      </c>
      <c r="E1216" s="1">
        <v>10034</v>
      </c>
      <c r="F1216" s="1" t="s">
        <v>4743</v>
      </c>
      <c r="G1216" s="1">
        <v>1</v>
      </c>
      <c r="L1216" s="1">
        <v>12000</v>
      </c>
      <c r="N1216" s="1">
        <v>750</v>
      </c>
      <c r="P1216" s="1">
        <v>350</v>
      </c>
      <c r="R1216" s="1">
        <v>10</v>
      </c>
      <c r="Z1216" s="1">
        <v>0.05</v>
      </c>
      <c r="AA1216" s="1">
        <v>1</v>
      </c>
      <c r="AB1216" s="1">
        <v>2</v>
      </c>
      <c r="AC1216" s="1">
        <v>0.7</v>
      </c>
      <c r="AH1216" s="1">
        <v>0</v>
      </c>
      <c r="AI1216" s="1">
        <v>1</v>
      </c>
      <c r="AJ1216" s="1" t="s">
        <v>4745</v>
      </c>
      <c r="AK1216" s="1" t="s">
        <v>265</v>
      </c>
      <c r="AL1216" s="1" t="s">
        <v>228</v>
      </c>
      <c r="AN1216" s="22" t="s">
        <v>9767</v>
      </c>
      <c r="AX1216" s="1">
        <v>1</v>
      </c>
      <c r="AZ1216" s="1">
        <v>0.1</v>
      </c>
      <c r="BG1216" s="1" t="s">
        <v>4743</v>
      </c>
      <c r="BM1216" s="1" t="s">
        <v>957</v>
      </c>
      <c r="BQ1216" s="1" t="s">
        <v>207</v>
      </c>
      <c r="BR1216" s="1" t="s">
        <v>208</v>
      </c>
      <c r="BS1216" s="1" t="s">
        <v>229</v>
      </c>
      <c r="BT1216" s="1" t="s">
        <v>210</v>
      </c>
      <c r="BX1216" s="1">
        <v>1</v>
      </c>
    </row>
    <row r="1217" spans="1:76" x14ac:dyDescent="0.25">
      <c r="A1217" s="1" t="s">
        <v>4746</v>
      </c>
      <c r="B1217" s="1" t="s">
        <v>203</v>
      </c>
      <c r="C1217" s="1">
        <v>1</v>
      </c>
      <c r="D1217" s="1" t="s">
        <v>4747</v>
      </c>
      <c r="E1217" s="1">
        <v>10035</v>
      </c>
      <c r="F1217" s="1" t="s">
        <v>4746</v>
      </c>
      <c r="G1217" s="1">
        <v>1</v>
      </c>
      <c r="L1217" s="1">
        <v>12000</v>
      </c>
      <c r="N1217" s="1">
        <v>100</v>
      </c>
      <c r="P1217" s="1">
        <v>300</v>
      </c>
      <c r="R1217" s="1">
        <v>10</v>
      </c>
      <c r="Z1217" s="1">
        <v>0.05</v>
      </c>
      <c r="AA1217" s="1">
        <v>1</v>
      </c>
      <c r="AB1217" s="1">
        <v>2</v>
      </c>
      <c r="AC1217" s="1">
        <v>0.7</v>
      </c>
      <c r="AH1217" s="1">
        <v>0</v>
      </c>
      <c r="AI1217" s="1">
        <v>1</v>
      </c>
      <c r="AJ1217" s="1" t="s">
        <v>4748</v>
      </c>
      <c r="AK1217" s="1" t="s">
        <v>265</v>
      </c>
      <c r="AL1217" s="1" t="s">
        <v>228</v>
      </c>
      <c r="AN1217" s="22" t="s">
        <v>9767</v>
      </c>
      <c r="AX1217" s="1">
        <v>1</v>
      </c>
      <c r="AZ1217" s="1">
        <v>0.1</v>
      </c>
      <c r="BG1217" s="1" t="s">
        <v>4746</v>
      </c>
      <c r="BM1217" s="1" t="s">
        <v>936</v>
      </c>
      <c r="BQ1217" s="1" t="s">
        <v>207</v>
      </c>
      <c r="BR1217" s="1" t="s">
        <v>208</v>
      </c>
      <c r="BS1217" s="1" t="s">
        <v>229</v>
      </c>
      <c r="BT1217" s="1" t="s">
        <v>210</v>
      </c>
      <c r="BX1217" s="1">
        <v>1</v>
      </c>
    </row>
    <row r="1218" spans="1:76" x14ac:dyDescent="0.25">
      <c r="A1218" s="1" t="s">
        <v>4749</v>
      </c>
      <c r="B1218" s="1" t="s">
        <v>203</v>
      </c>
      <c r="C1218" s="1">
        <v>1</v>
      </c>
      <c r="D1218" s="1" t="s">
        <v>4750</v>
      </c>
      <c r="E1218" s="1">
        <v>10035</v>
      </c>
      <c r="F1218" s="1" t="s">
        <v>4749</v>
      </c>
      <c r="G1218" s="1">
        <v>1</v>
      </c>
      <c r="L1218" s="1">
        <v>14000</v>
      </c>
      <c r="N1218" s="1">
        <v>120</v>
      </c>
      <c r="P1218" s="1">
        <v>350</v>
      </c>
      <c r="R1218" s="1">
        <v>10</v>
      </c>
      <c r="Z1218" s="1">
        <v>0.05</v>
      </c>
      <c r="AA1218" s="1">
        <v>1</v>
      </c>
      <c r="AB1218" s="1">
        <v>2</v>
      </c>
      <c r="AC1218" s="1">
        <v>0.7</v>
      </c>
      <c r="AH1218" s="1">
        <v>0</v>
      </c>
      <c r="AI1218" s="1">
        <v>1</v>
      </c>
      <c r="AJ1218" s="1" t="s">
        <v>4751</v>
      </c>
      <c r="AK1218" s="1" t="s">
        <v>265</v>
      </c>
      <c r="AL1218" s="1" t="s">
        <v>228</v>
      </c>
      <c r="AN1218" s="22" t="s">
        <v>9767</v>
      </c>
      <c r="AX1218" s="1">
        <v>1</v>
      </c>
      <c r="AZ1218" s="1">
        <v>0.1</v>
      </c>
      <c r="BG1218" s="1" t="s">
        <v>4749</v>
      </c>
      <c r="BM1218" s="1" t="s">
        <v>936</v>
      </c>
      <c r="BQ1218" s="1" t="s">
        <v>207</v>
      </c>
      <c r="BR1218" s="1" t="s">
        <v>208</v>
      </c>
      <c r="BS1218" s="1" t="s">
        <v>229</v>
      </c>
      <c r="BT1218" s="1" t="s">
        <v>210</v>
      </c>
      <c r="BX1218" s="1">
        <v>1</v>
      </c>
    </row>
    <row r="1219" spans="1:76" x14ac:dyDescent="0.25">
      <c r="A1219" s="1" t="s">
        <v>4752</v>
      </c>
      <c r="B1219" s="1" t="s">
        <v>203</v>
      </c>
      <c r="C1219" s="1">
        <v>1</v>
      </c>
      <c r="D1219" s="1" t="s">
        <v>4753</v>
      </c>
      <c r="E1219" s="1">
        <v>10036</v>
      </c>
      <c r="F1219" s="1" t="s">
        <v>4752</v>
      </c>
      <c r="G1219" s="1">
        <v>1</v>
      </c>
      <c r="L1219" s="1">
        <v>10000</v>
      </c>
      <c r="N1219" s="1">
        <v>300</v>
      </c>
      <c r="P1219" s="1">
        <v>500</v>
      </c>
      <c r="R1219" s="1">
        <v>20</v>
      </c>
      <c r="Z1219" s="1">
        <v>0.05</v>
      </c>
      <c r="AA1219" s="1">
        <v>4</v>
      </c>
      <c r="AB1219" s="1">
        <v>3</v>
      </c>
      <c r="AC1219" s="1">
        <v>0.7</v>
      </c>
      <c r="AH1219" s="1">
        <v>0</v>
      </c>
      <c r="AI1219" s="1">
        <v>1</v>
      </c>
      <c r="AJ1219" s="1" t="s">
        <v>4754</v>
      </c>
      <c r="AK1219" s="1" t="s">
        <v>265</v>
      </c>
      <c r="AL1219" s="1" t="s">
        <v>228</v>
      </c>
      <c r="AN1219" s="22" t="s">
        <v>9767</v>
      </c>
      <c r="AR1219" s="1">
        <v>3</v>
      </c>
      <c r="AX1219" s="1">
        <v>1</v>
      </c>
      <c r="AZ1219" s="1">
        <v>0.1</v>
      </c>
      <c r="BG1219" s="1" t="s">
        <v>4752</v>
      </c>
      <c r="BM1219" s="1" t="s">
        <v>4125</v>
      </c>
      <c r="BQ1219" s="1" t="s">
        <v>207</v>
      </c>
      <c r="BR1219" s="1" t="s">
        <v>208</v>
      </c>
      <c r="BS1219" s="1" t="s">
        <v>229</v>
      </c>
      <c r="BT1219" s="1" t="s">
        <v>210</v>
      </c>
      <c r="BX1219" s="1">
        <v>1</v>
      </c>
    </row>
    <row r="1220" spans="1:76" x14ac:dyDescent="0.25">
      <c r="A1220" s="1" t="s">
        <v>4755</v>
      </c>
      <c r="B1220" s="1" t="s">
        <v>203</v>
      </c>
      <c r="C1220" s="1">
        <v>1</v>
      </c>
      <c r="D1220" s="1" t="s">
        <v>4756</v>
      </c>
      <c r="E1220" s="1">
        <v>10036</v>
      </c>
      <c r="F1220" s="1" t="s">
        <v>4755</v>
      </c>
      <c r="G1220" s="1">
        <v>1</v>
      </c>
      <c r="L1220" s="1">
        <v>12000</v>
      </c>
      <c r="N1220" s="1">
        <v>450</v>
      </c>
      <c r="P1220" s="1">
        <v>500</v>
      </c>
      <c r="R1220" s="1">
        <v>20</v>
      </c>
      <c r="Z1220" s="1">
        <v>0.05</v>
      </c>
      <c r="AA1220" s="1">
        <v>4</v>
      </c>
      <c r="AB1220" s="1">
        <v>3</v>
      </c>
      <c r="AC1220" s="1">
        <v>0.7</v>
      </c>
      <c r="AH1220" s="1">
        <v>0</v>
      </c>
      <c r="AI1220" s="1">
        <v>1</v>
      </c>
      <c r="AJ1220" s="1" t="s">
        <v>4757</v>
      </c>
      <c r="AK1220" s="1" t="s">
        <v>265</v>
      </c>
      <c r="AL1220" s="1" t="s">
        <v>228</v>
      </c>
      <c r="AN1220" s="22" t="s">
        <v>9767</v>
      </c>
      <c r="AR1220" s="1">
        <v>3</v>
      </c>
      <c r="AX1220" s="1">
        <v>1</v>
      </c>
      <c r="AZ1220" s="1">
        <v>0.1</v>
      </c>
      <c r="BG1220" s="1" t="s">
        <v>4755</v>
      </c>
      <c r="BM1220" s="1" t="s">
        <v>4125</v>
      </c>
      <c r="BQ1220" s="1" t="s">
        <v>207</v>
      </c>
      <c r="BR1220" s="1" t="s">
        <v>208</v>
      </c>
      <c r="BS1220" s="1" t="s">
        <v>229</v>
      </c>
      <c r="BT1220" s="1" t="s">
        <v>210</v>
      </c>
      <c r="BX1220" s="1">
        <v>1</v>
      </c>
    </row>
    <row r="1221" spans="1:76" x14ac:dyDescent="0.25">
      <c r="A1221" s="1" t="s">
        <v>4758</v>
      </c>
      <c r="B1221" s="1" t="s">
        <v>203</v>
      </c>
      <c r="C1221" s="1">
        <v>1</v>
      </c>
      <c r="D1221" s="1" t="s">
        <v>4759</v>
      </c>
      <c r="E1221" s="1">
        <v>10037</v>
      </c>
      <c r="F1221" s="1" t="s">
        <v>4758</v>
      </c>
      <c r="G1221" s="1">
        <v>1</v>
      </c>
      <c r="L1221" s="1">
        <v>2500</v>
      </c>
      <c r="N1221" s="1">
        <v>400</v>
      </c>
      <c r="P1221" s="1">
        <v>50</v>
      </c>
      <c r="R1221" s="1">
        <v>0</v>
      </c>
      <c r="Z1221" s="1">
        <v>0.05</v>
      </c>
      <c r="AA1221" s="1">
        <v>1</v>
      </c>
      <c r="AB1221" s="1">
        <v>1</v>
      </c>
      <c r="AC1221" s="1">
        <v>1.6</v>
      </c>
      <c r="AH1221" s="1">
        <v>0</v>
      </c>
      <c r="AI1221" s="1">
        <v>1</v>
      </c>
      <c r="AJ1221" s="1" t="s">
        <v>4760</v>
      </c>
      <c r="AK1221" s="1" t="s">
        <v>265</v>
      </c>
      <c r="AL1221" s="1" t="s">
        <v>228</v>
      </c>
      <c r="AN1221" s="22" t="s">
        <v>9767</v>
      </c>
      <c r="AX1221" s="1">
        <v>1</v>
      </c>
      <c r="AZ1221" s="1">
        <v>0.1</v>
      </c>
      <c r="BG1221" s="1" t="s">
        <v>4758</v>
      </c>
      <c r="BM1221" s="1" t="s">
        <v>4125</v>
      </c>
      <c r="BQ1221" s="1" t="s">
        <v>207</v>
      </c>
      <c r="BR1221" s="1" t="s">
        <v>208</v>
      </c>
      <c r="BS1221" s="1" t="s">
        <v>229</v>
      </c>
      <c r="BT1221" s="1" t="s">
        <v>210</v>
      </c>
      <c r="BX1221" s="1">
        <v>1</v>
      </c>
    </row>
    <row r="1222" spans="1:76" x14ac:dyDescent="0.25">
      <c r="A1222" s="1" t="s">
        <v>4761</v>
      </c>
      <c r="B1222" s="1" t="s">
        <v>203</v>
      </c>
      <c r="C1222" s="1">
        <v>1</v>
      </c>
      <c r="D1222" s="1" t="s">
        <v>4762</v>
      </c>
      <c r="E1222" s="1">
        <v>10037</v>
      </c>
      <c r="F1222" s="1" t="s">
        <v>4761</v>
      </c>
      <c r="G1222" s="1">
        <v>1</v>
      </c>
      <c r="L1222" s="1">
        <v>3000</v>
      </c>
      <c r="N1222" s="1">
        <v>500</v>
      </c>
      <c r="P1222" s="1">
        <v>50</v>
      </c>
      <c r="R1222" s="1">
        <v>0</v>
      </c>
      <c r="Z1222" s="1">
        <v>0.05</v>
      </c>
      <c r="AA1222" s="1">
        <v>1</v>
      </c>
      <c r="AB1222" s="1">
        <v>1</v>
      </c>
      <c r="AC1222" s="1">
        <v>1.6</v>
      </c>
      <c r="AH1222" s="1">
        <v>0</v>
      </c>
      <c r="AI1222" s="1">
        <v>1</v>
      </c>
      <c r="AJ1222" s="1" t="s">
        <v>4763</v>
      </c>
      <c r="AK1222" s="1" t="s">
        <v>265</v>
      </c>
      <c r="AL1222" s="1" t="s">
        <v>228</v>
      </c>
      <c r="AN1222" s="22" t="s">
        <v>9767</v>
      </c>
      <c r="AX1222" s="1">
        <v>1</v>
      </c>
      <c r="AZ1222" s="1">
        <v>0.1</v>
      </c>
      <c r="BG1222" s="1" t="s">
        <v>4761</v>
      </c>
      <c r="BM1222" s="1" t="s">
        <v>4125</v>
      </c>
      <c r="BQ1222" s="1" t="s">
        <v>207</v>
      </c>
      <c r="BR1222" s="1" t="s">
        <v>208</v>
      </c>
      <c r="BS1222" s="1" t="s">
        <v>229</v>
      </c>
      <c r="BT1222" s="1" t="s">
        <v>210</v>
      </c>
      <c r="BX1222" s="1">
        <v>1</v>
      </c>
    </row>
    <row r="1223" spans="1:76" x14ac:dyDescent="0.25">
      <c r="A1223" s="1" t="s">
        <v>4764</v>
      </c>
      <c r="B1223" s="1" t="s">
        <v>203</v>
      </c>
      <c r="C1223" s="1">
        <v>1</v>
      </c>
      <c r="D1223" s="1" t="s">
        <v>4765</v>
      </c>
      <c r="E1223" s="1">
        <v>10038</v>
      </c>
      <c r="F1223" s="1" t="s">
        <v>4764</v>
      </c>
      <c r="G1223" s="1">
        <v>1</v>
      </c>
      <c r="L1223" s="1">
        <v>15000</v>
      </c>
      <c r="N1223" s="1">
        <v>650</v>
      </c>
      <c r="P1223" s="1">
        <v>700</v>
      </c>
      <c r="R1223" s="1">
        <v>20</v>
      </c>
      <c r="Z1223" s="1">
        <v>0.05</v>
      </c>
      <c r="AA1223" s="1">
        <v>5</v>
      </c>
      <c r="AB1223" s="1">
        <v>5</v>
      </c>
      <c r="AC1223" s="1">
        <v>1.5</v>
      </c>
      <c r="AH1223" s="1">
        <v>0</v>
      </c>
      <c r="AI1223" s="1">
        <v>1</v>
      </c>
      <c r="AJ1223" s="1" t="s">
        <v>4766</v>
      </c>
      <c r="AK1223" s="1" t="s">
        <v>265</v>
      </c>
      <c r="AL1223" s="1" t="s">
        <v>228</v>
      </c>
      <c r="AN1223" s="22" t="s">
        <v>9767</v>
      </c>
      <c r="AR1223" s="1">
        <v>3</v>
      </c>
      <c r="AX1223" s="1">
        <v>1</v>
      </c>
      <c r="AZ1223" s="1">
        <v>0.1</v>
      </c>
      <c r="BG1223" s="1" t="s">
        <v>4764</v>
      </c>
      <c r="BM1223" s="1" t="s">
        <v>2382</v>
      </c>
      <c r="BQ1223" s="1" t="s">
        <v>207</v>
      </c>
      <c r="BR1223" s="1" t="s">
        <v>208</v>
      </c>
      <c r="BS1223" s="1" t="s">
        <v>229</v>
      </c>
      <c r="BT1223" s="1" t="s">
        <v>210</v>
      </c>
      <c r="BX1223" s="1">
        <v>1</v>
      </c>
    </row>
    <row r="1224" spans="1:76" x14ac:dyDescent="0.25">
      <c r="A1224" s="1" t="s">
        <v>4767</v>
      </c>
      <c r="B1224" s="1" t="s">
        <v>203</v>
      </c>
      <c r="C1224" s="1">
        <v>1</v>
      </c>
      <c r="D1224" s="1" t="s">
        <v>4768</v>
      </c>
      <c r="E1224" s="1">
        <v>10038</v>
      </c>
      <c r="F1224" s="1" t="s">
        <v>4767</v>
      </c>
      <c r="G1224" s="1">
        <v>1</v>
      </c>
      <c r="L1224" s="1">
        <v>17000</v>
      </c>
      <c r="N1224" s="1">
        <v>750</v>
      </c>
      <c r="P1224" s="1">
        <v>800</v>
      </c>
      <c r="R1224" s="1">
        <v>20</v>
      </c>
      <c r="Z1224" s="1">
        <v>0.05</v>
      </c>
      <c r="AA1224" s="1">
        <v>5</v>
      </c>
      <c r="AB1224" s="1">
        <v>5</v>
      </c>
      <c r="AC1224" s="1">
        <v>1.5</v>
      </c>
      <c r="AH1224" s="1">
        <v>0</v>
      </c>
      <c r="AI1224" s="1">
        <v>1</v>
      </c>
      <c r="AJ1224" s="1" t="s">
        <v>4769</v>
      </c>
      <c r="AK1224" s="1" t="s">
        <v>265</v>
      </c>
      <c r="AL1224" s="1" t="s">
        <v>228</v>
      </c>
      <c r="AN1224" s="22" t="s">
        <v>9767</v>
      </c>
      <c r="AR1224" s="1">
        <v>3</v>
      </c>
      <c r="AX1224" s="1">
        <v>1</v>
      </c>
      <c r="AZ1224" s="1">
        <v>0.1</v>
      </c>
      <c r="BG1224" s="1" t="s">
        <v>4767</v>
      </c>
      <c r="BM1224" s="1" t="s">
        <v>2382</v>
      </c>
      <c r="BQ1224" s="1" t="s">
        <v>207</v>
      </c>
      <c r="BR1224" s="1" t="s">
        <v>208</v>
      </c>
      <c r="BS1224" s="1" t="s">
        <v>229</v>
      </c>
      <c r="BT1224" s="1" t="s">
        <v>210</v>
      </c>
      <c r="BX1224" s="1">
        <v>1</v>
      </c>
    </row>
    <row r="1225" spans="1:76" x14ac:dyDescent="0.25">
      <c r="A1225" s="1" t="s">
        <v>4770</v>
      </c>
      <c r="B1225" s="1" t="s">
        <v>203</v>
      </c>
      <c r="C1225" s="1">
        <v>1</v>
      </c>
      <c r="D1225" s="1" t="s">
        <v>4771</v>
      </c>
      <c r="E1225" s="1">
        <v>10039</v>
      </c>
      <c r="F1225" s="1" t="s">
        <v>4770</v>
      </c>
      <c r="G1225" s="1">
        <v>1</v>
      </c>
      <c r="L1225" s="1">
        <v>22000</v>
      </c>
      <c r="N1225" s="1">
        <v>900</v>
      </c>
      <c r="P1225" s="1">
        <v>900</v>
      </c>
      <c r="R1225" s="1">
        <v>20</v>
      </c>
      <c r="Z1225" s="1">
        <v>0.05</v>
      </c>
      <c r="AA1225" s="1">
        <v>5</v>
      </c>
      <c r="AB1225" s="1">
        <v>5</v>
      </c>
      <c r="AC1225" s="1">
        <v>1.2</v>
      </c>
      <c r="AH1225" s="1">
        <v>0</v>
      </c>
      <c r="AI1225" s="1">
        <v>1</v>
      </c>
      <c r="AJ1225" s="1" t="s">
        <v>4772</v>
      </c>
      <c r="AK1225" s="1" t="s">
        <v>265</v>
      </c>
      <c r="AL1225" s="1" t="s">
        <v>228</v>
      </c>
      <c r="AN1225" s="22" t="s">
        <v>9767</v>
      </c>
      <c r="AR1225" s="1">
        <v>3</v>
      </c>
      <c r="AX1225" s="1">
        <v>1</v>
      </c>
      <c r="AZ1225" s="1">
        <v>0.1</v>
      </c>
      <c r="BG1225" s="1" t="s">
        <v>4770</v>
      </c>
      <c r="BM1225" s="1" t="s">
        <v>2382</v>
      </c>
      <c r="BQ1225" s="1" t="s">
        <v>207</v>
      </c>
      <c r="BR1225" s="1" t="s">
        <v>208</v>
      </c>
      <c r="BS1225" s="1" t="s">
        <v>229</v>
      </c>
      <c r="BT1225" s="1" t="s">
        <v>210</v>
      </c>
      <c r="BX1225" s="1">
        <v>1</v>
      </c>
    </row>
    <row r="1226" spans="1:76" x14ac:dyDescent="0.25">
      <c r="A1226" s="1" t="s">
        <v>4773</v>
      </c>
      <c r="B1226" s="1" t="s">
        <v>203</v>
      </c>
      <c r="C1226" s="1">
        <v>1</v>
      </c>
      <c r="D1226" s="1" t="s">
        <v>4774</v>
      </c>
      <c r="E1226" s="1">
        <v>10039</v>
      </c>
      <c r="F1226" s="1" t="s">
        <v>4773</v>
      </c>
      <c r="G1226" s="1">
        <v>1</v>
      </c>
      <c r="L1226" s="1">
        <v>25000</v>
      </c>
      <c r="N1226" s="1">
        <v>1100</v>
      </c>
      <c r="P1226" s="1">
        <v>1000</v>
      </c>
      <c r="R1226" s="1">
        <v>20</v>
      </c>
      <c r="Z1226" s="1">
        <v>0.05</v>
      </c>
      <c r="AA1226" s="1">
        <v>5</v>
      </c>
      <c r="AB1226" s="1">
        <v>5</v>
      </c>
      <c r="AC1226" s="1">
        <v>1.2</v>
      </c>
      <c r="AH1226" s="1">
        <v>0</v>
      </c>
      <c r="AI1226" s="1">
        <v>1</v>
      </c>
      <c r="AJ1226" s="1" t="s">
        <v>4775</v>
      </c>
      <c r="AK1226" s="1" t="s">
        <v>265</v>
      </c>
      <c r="AL1226" s="1" t="s">
        <v>228</v>
      </c>
      <c r="AN1226" s="22" t="s">
        <v>9767</v>
      </c>
      <c r="AR1226" s="1">
        <v>3</v>
      </c>
      <c r="AX1226" s="1">
        <v>1</v>
      </c>
      <c r="AZ1226" s="1">
        <v>0.1</v>
      </c>
      <c r="BG1226" s="1" t="s">
        <v>4773</v>
      </c>
      <c r="BM1226" s="1" t="s">
        <v>2382</v>
      </c>
      <c r="BQ1226" s="1" t="s">
        <v>207</v>
      </c>
      <c r="BR1226" s="1" t="s">
        <v>208</v>
      </c>
      <c r="BS1226" s="1" t="s">
        <v>229</v>
      </c>
      <c r="BT1226" s="1" t="s">
        <v>210</v>
      </c>
      <c r="BX1226" s="1">
        <v>1</v>
      </c>
    </row>
    <row r="1227" spans="1:76" x14ac:dyDescent="0.25">
      <c r="A1227" s="1" t="s">
        <v>4776</v>
      </c>
      <c r="B1227" s="1" t="s">
        <v>203</v>
      </c>
      <c r="C1227" s="1">
        <v>1</v>
      </c>
      <c r="D1227" s="1" t="s">
        <v>4777</v>
      </c>
      <c r="E1227" s="1">
        <v>10040</v>
      </c>
      <c r="F1227" s="1" t="s">
        <v>4776</v>
      </c>
      <c r="G1227" s="1">
        <v>1</v>
      </c>
      <c r="L1227" s="1">
        <v>2000</v>
      </c>
      <c r="N1227" s="1">
        <v>0</v>
      </c>
      <c r="P1227" s="1">
        <v>0</v>
      </c>
      <c r="R1227" s="1">
        <v>0</v>
      </c>
      <c r="Z1227" s="1">
        <v>0.05</v>
      </c>
      <c r="AA1227" s="1">
        <v>5</v>
      </c>
      <c r="AB1227" s="1">
        <v>0</v>
      </c>
      <c r="AC1227" s="1">
        <v>1</v>
      </c>
      <c r="AH1227" s="1">
        <v>0</v>
      </c>
      <c r="AI1227" s="1">
        <v>1</v>
      </c>
      <c r="AJ1227" s="1" t="s">
        <v>4778</v>
      </c>
      <c r="AK1227" s="1" t="s">
        <v>265</v>
      </c>
      <c r="AL1227" s="1" t="s">
        <v>228</v>
      </c>
      <c r="AN1227" s="22" t="s">
        <v>9767</v>
      </c>
      <c r="AP1227" s="1">
        <v>1</v>
      </c>
      <c r="AX1227" s="1">
        <v>0</v>
      </c>
      <c r="AZ1227" s="1">
        <v>0.1</v>
      </c>
      <c r="BG1227" s="1" t="s">
        <v>4776</v>
      </c>
      <c r="BM1227" s="1" t="s">
        <v>3410</v>
      </c>
      <c r="BQ1227" s="1" t="s">
        <v>207</v>
      </c>
      <c r="BR1227" s="1" t="s">
        <v>208</v>
      </c>
      <c r="BS1227" s="1" t="s">
        <v>229</v>
      </c>
      <c r="BT1227" s="1" t="s">
        <v>210</v>
      </c>
      <c r="BX1227" s="1">
        <v>1</v>
      </c>
    </row>
    <row r="1228" spans="1:76" x14ac:dyDescent="0.25">
      <c r="A1228" s="1" t="s">
        <v>4779</v>
      </c>
      <c r="B1228" s="1" t="s">
        <v>203</v>
      </c>
      <c r="C1228" s="1">
        <v>1</v>
      </c>
      <c r="D1228" s="1" t="s">
        <v>4780</v>
      </c>
      <c r="E1228" s="1">
        <v>10040</v>
      </c>
      <c r="F1228" s="1" t="s">
        <v>4779</v>
      </c>
      <c r="G1228" s="1">
        <v>1</v>
      </c>
      <c r="L1228" s="1">
        <v>3000</v>
      </c>
      <c r="N1228" s="1">
        <v>0</v>
      </c>
      <c r="P1228" s="1">
        <v>0</v>
      </c>
      <c r="R1228" s="1">
        <v>0</v>
      </c>
      <c r="Z1228" s="1">
        <v>0.05</v>
      </c>
      <c r="AA1228" s="1">
        <v>5</v>
      </c>
      <c r="AB1228" s="1">
        <v>0</v>
      </c>
      <c r="AC1228" s="1">
        <v>1.5</v>
      </c>
      <c r="AH1228" s="1">
        <v>0</v>
      </c>
      <c r="AI1228" s="1">
        <v>1</v>
      </c>
      <c r="AJ1228" s="1" t="s">
        <v>4781</v>
      </c>
      <c r="AK1228" s="1" t="s">
        <v>265</v>
      </c>
      <c r="AL1228" s="1" t="s">
        <v>228</v>
      </c>
      <c r="AN1228" s="22" t="s">
        <v>9767</v>
      </c>
      <c r="AP1228" s="1">
        <v>1</v>
      </c>
      <c r="AX1228" s="1">
        <v>0</v>
      </c>
      <c r="AZ1228" s="1">
        <v>0.1</v>
      </c>
      <c r="BG1228" s="1" t="s">
        <v>4779</v>
      </c>
      <c r="BM1228" s="1" t="s">
        <v>3410</v>
      </c>
      <c r="BQ1228" s="1" t="s">
        <v>207</v>
      </c>
      <c r="BR1228" s="1" t="s">
        <v>208</v>
      </c>
      <c r="BS1228" s="1" t="s">
        <v>229</v>
      </c>
      <c r="BT1228" s="1" t="s">
        <v>210</v>
      </c>
      <c r="BX1228" s="1">
        <v>1</v>
      </c>
    </row>
    <row r="1229" spans="1:76" x14ac:dyDescent="0.25">
      <c r="A1229" s="1" t="s">
        <v>4782</v>
      </c>
      <c r="B1229" s="1" t="s">
        <v>203</v>
      </c>
      <c r="C1229" s="1">
        <v>1</v>
      </c>
      <c r="D1229" s="1" t="s">
        <v>4783</v>
      </c>
      <c r="E1229" s="1">
        <v>1560</v>
      </c>
      <c r="F1229" s="1" t="s">
        <v>4782</v>
      </c>
      <c r="G1229" s="1">
        <v>1</v>
      </c>
      <c r="L1229" s="1">
        <v>90000</v>
      </c>
      <c r="N1229" s="1">
        <v>600</v>
      </c>
      <c r="P1229" s="1">
        <v>500</v>
      </c>
      <c r="R1229" s="1">
        <v>30</v>
      </c>
      <c r="Z1229" s="1">
        <v>0.05</v>
      </c>
      <c r="AA1229" s="1">
        <v>5</v>
      </c>
      <c r="AB1229" s="1">
        <v>10</v>
      </c>
      <c r="AC1229" s="1">
        <v>0</v>
      </c>
      <c r="AH1229" s="1">
        <v>0</v>
      </c>
      <c r="AI1229" s="1">
        <v>1</v>
      </c>
      <c r="AJ1229" s="1" t="s">
        <v>4784</v>
      </c>
      <c r="AK1229" s="1" t="s">
        <v>265</v>
      </c>
      <c r="AL1229" s="1" t="s">
        <v>228</v>
      </c>
      <c r="AN1229" s="22" t="s">
        <v>9767</v>
      </c>
      <c r="AP1229" s="1">
        <v>1</v>
      </c>
      <c r="AX1229" s="1">
        <v>1</v>
      </c>
      <c r="AZ1229" s="1">
        <v>0.1</v>
      </c>
      <c r="BG1229" s="1" t="s">
        <v>4782</v>
      </c>
      <c r="BM1229" s="1" t="s">
        <v>1328</v>
      </c>
      <c r="BQ1229" s="1" t="s">
        <v>2593</v>
      </c>
      <c r="BR1229" s="1" t="s">
        <v>2593</v>
      </c>
      <c r="BS1229" s="1" t="s">
        <v>2593</v>
      </c>
      <c r="BT1229" s="1" t="s">
        <v>4785</v>
      </c>
      <c r="BX1229" s="1">
        <v>1</v>
      </c>
    </row>
    <row r="1230" spans="1:76" x14ac:dyDescent="0.25">
      <c r="A1230" s="1" t="s">
        <v>4786</v>
      </c>
      <c r="B1230" s="1" t="s">
        <v>203</v>
      </c>
      <c r="C1230" s="1">
        <v>1</v>
      </c>
      <c r="D1230" s="1" t="s">
        <v>4783</v>
      </c>
      <c r="E1230" s="1">
        <v>1560</v>
      </c>
      <c r="F1230" s="1" t="s">
        <v>4782</v>
      </c>
      <c r="G1230" s="1">
        <v>1</v>
      </c>
      <c r="L1230" s="1">
        <v>135000</v>
      </c>
      <c r="N1230" s="1">
        <v>900</v>
      </c>
      <c r="P1230" s="1">
        <v>500</v>
      </c>
      <c r="R1230" s="1">
        <v>30</v>
      </c>
      <c r="Z1230" s="1">
        <v>0.05</v>
      </c>
      <c r="AA1230" s="1">
        <v>3.5</v>
      </c>
      <c r="AB1230" s="1">
        <v>10</v>
      </c>
      <c r="AC1230" s="1">
        <v>0</v>
      </c>
      <c r="AH1230" s="1">
        <v>0</v>
      </c>
      <c r="AI1230" s="1">
        <v>1</v>
      </c>
      <c r="AJ1230" s="1" t="s">
        <v>4787</v>
      </c>
      <c r="AK1230" s="1" t="s">
        <v>265</v>
      </c>
      <c r="AL1230" s="1" t="s">
        <v>228</v>
      </c>
      <c r="AN1230" s="22" t="s">
        <v>9767</v>
      </c>
      <c r="AX1230" s="1">
        <v>1</v>
      </c>
      <c r="AZ1230" s="1">
        <v>0.1</v>
      </c>
      <c r="BG1230" s="1" t="s">
        <v>4782</v>
      </c>
      <c r="BM1230" s="1" t="s">
        <v>4788</v>
      </c>
      <c r="BN1230" s="1" t="s">
        <v>4789</v>
      </c>
      <c r="BQ1230" s="1" t="s">
        <v>4020</v>
      </c>
      <c r="BR1230" s="1" t="s">
        <v>4020</v>
      </c>
      <c r="BS1230" s="1" t="s">
        <v>4020</v>
      </c>
      <c r="BT1230" s="1" t="s">
        <v>2595</v>
      </c>
      <c r="BX1230" s="1">
        <v>1</v>
      </c>
    </row>
    <row r="1231" spans="1:76" x14ac:dyDescent="0.25">
      <c r="A1231" s="1" t="s">
        <v>4790</v>
      </c>
      <c r="B1231" s="1" t="s">
        <v>203</v>
      </c>
      <c r="C1231" s="1">
        <v>1</v>
      </c>
      <c r="D1231" s="1" t="s">
        <v>4791</v>
      </c>
      <c r="E1231" s="1">
        <v>10043</v>
      </c>
      <c r="F1231" s="1" t="s">
        <v>4790</v>
      </c>
      <c r="G1231" s="1">
        <v>1</v>
      </c>
      <c r="L1231" s="1">
        <v>5500</v>
      </c>
      <c r="N1231" s="1">
        <v>350</v>
      </c>
      <c r="P1231" s="1">
        <v>50</v>
      </c>
      <c r="R1231" s="1">
        <v>10</v>
      </c>
      <c r="Z1231" s="1">
        <v>0.05</v>
      </c>
      <c r="AA1231" s="1">
        <v>2</v>
      </c>
      <c r="AB1231" s="1">
        <v>1</v>
      </c>
      <c r="AC1231" s="1">
        <v>0.9</v>
      </c>
      <c r="AH1231" s="1">
        <v>0</v>
      </c>
      <c r="AI1231" s="1">
        <v>1</v>
      </c>
      <c r="AJ1231" s="1" t="s">
        <v>4792</v>
      </c>
      <c r="AK1231" s="1" t="s">
        <v>265</v>
      </c>
      <c r="AL1231" s="1" t="s">
        <v>228</v>
      </c>
      <c r="AN1231" s="22" t="s">
        <v>9767</v>
      </c>
      <c r="AX1231" s="1">
        <v>1</v>
      </c>
      <c r="AZ1231" s="1">
        <v>0.1</v>
      </c>
      <c r="BG1231" s="1" t="s">
        <v>4790</v>
      </c>
      <c r="BM1231" s="1" t="s">
        <v>4793</v>
      </c>
      <c r="BQ1231" s="1" t="s">
        <v>207</v>
      </c>
      <c r="BR1231" s="1" t="s">
        <v>208</v>
      </c>
      <c r="BS1231" s="1" t="s">
        <v>229</v>
      </c>
      <c r="BT1231" s="1" t="s">
        <v>210</v>
      </c>
      <c r="BX1231" s="1">
        <v>1</v>
      </c>
    </row>
    <row r="1232" spans="1:76" x14ac:dyDescent="0.25">
      <c r="A1232" s="1" t="s">
        <v>4794</v>
      </c>
      <c r="B1232" s="1" t="s">
        <v>203</v>
      </c>
      <c r="C1232" s="1">
        <v>1</v>
      </c>
      <c r="D1232" s="1" t="s">
        <v>4795</v>
      </c>
      <c r="E1232" s="1">
        <v>10043</v>
      </c>
      <c r="F1232" s="1" t="s">
        <v>4794</v>
      </c>
      <c r="G1232" s="1">
        <v>1</v>
      </c>
      <c r="L1232" s="1">
        <v>6500</v>
      </c>
      <c r="N1232" s="1">
        <v>420</v>
      </c>
      <c r="P1232" s="1">
        <v>60</v>
      </c>
      <c r="R1232" s="1">
        <v>10</v>
      </c>
      <c r="Z1232" s="1">
        <v>0.05</v>
      </c>
      <c r="AA1232" s="1">
        <v>2</v>
      </c>
      <c r="AB1232" s="1">
        <v>1</v>
      </c>
      <c r="AC1232" s="1">
        <v>0.9</v>
      </c>
      <c r="AH1232" s="1">
        <v>0</v>
      </c>
      <c r="AI1232" s="1">
        <v>1</v>
      </c>
      <c r="AJ1232" s="1" t="s">
        <v>4796</v>
      </c>
      <c r="AK1232" s="1" t="s">
        <v>265</v>
      </c>
      <c r="AL1232" s="1" t="s">
        <v>228</v>
      </c>
      <c r="AN1232" s="22" t="s">
        <v>9767</v>
      </c>
      <c r="AX1232" s="1">
        <v>1</v>
      </c>
      <c r="AZ1232" s="1">
        <v>0.1</v>
      </c>
      <c r="BG1232" s="1" t="s">
        <v>4794</v>
      </c>
      <c r="BM1232" s="1" t="s">
        <v>4793</v>
      </c>
      <c r="BQ1232" s="1" t="s">
        <v>207</v>
      </c>
      <c r="BR1232" s="1" t="s">
        <v>208</v>
      </c>
      <c r="BS1232" s="1" t="s">
        <v>229</v>
      </c>
      <c r="BT1232" s="1" t="s">
        <v>210</v>
      </c>
      <c r="BX1232" s="1">
        <v>1</v>
      </c>
    </row>
    <row r="1233" spans="1:76" x14ac:dyDescent="0.25">
      <c r="A1233" s="1" t="s">
        <v>4797</v>
      </c>
      <c r="B1233" s="1" t="s">
        <v>203</v>
      </c>
      <c r="C1233" s="1">
        <v>1</v>
      </c>
      <c r="D1233" s="1" t="s">
        <v>4791</v>
      </c>
      <c r="E1233" s="1">
        <v>10043</v>
      </c>
      <c r="F1233" s="1" t="s">
        <v>4790</v>
      </c>
      <c r="G1233" s="1">
        <v>1</v>
      </c>
      <c r="L1233" s="1">
        <v>5500</v>
      </c>
      <c r="N1233" s="1">
        <v>350</v>
      </c>
      <c r="P1233" s="1">
        <v>50</v>
      </c>
      <c r="R1233" s="1">
        <v>10</v>
      </c>
      <c r="Z1233" s="1">
        <v>0.05</v>
      </c>
      <c r="AA1233" s="1">
        <v>2</v>
      </c>
      <c r="AB1233" s="1">
        <v>1</v>
      </c>
      <c r="AC1233" s="1">
        <v>0.9</v>
      </c>
      <c r="AH1233" s="1">
        <v>0</v>
      </c>
      <c r="AI1233" s="1">
        <v>1</v>
      </c>
      <c r="AJ1233" s="1" t="s">
        <v>4798</v>
      </c>
      <c r="AK1233" s="1" t="s">
        <v>265</v>
      </c>
      <c r="AL1233" s="1" t="s">
        <v>228</v>
      </c>
      <c r="AN1233" s="22" t="s">
        <v>9767</v>
      </c>
      <c r="AX1233" s="1">
        <v>1</v>
      </c>
      <c r="AZ1233" s="1">
        <v>0.1</v>
      </c>
      <c r="BG1233" s="1" t="s">
        <v>4790</v>
      </c>
      <c r="BM1233" s="1" t="s">
        <v>4793</v>
      </c>
      <c r="BQ1233" s="1" t="s">
        <v>207</v>
      </c>
      <c r="BR1233" s="1" t="s">
        <v>208</v>
      </c>
      <c r="BS1233" s="1" t="s">
        <v>229</v>
      </c>
      <c r="BT1233" s="1" t="s">
        <v>210</v>
      </c>
      <c r="BX1233" s="1">
        <v>1</v>
      </c>
    </row>
    <row r="1234" spans="1:76" x14ac:dyDescent="0.25">
      <c r="A1234" s="1" t="s">
        <v>4799</v>
      </c>
      <c r="B1234" s="1" t="s">
        <v>203</v>
      </c>
      <c r="C1234" s="1">
        <v>1</v>
      </c>
      <c r="D1234" s="1" t="s">
        <v>4795</v>
      </c>
      <c r="E1234" s="1">
        <v>10043</v>
      </c>
      <c r="F1234" s="1" t="s">
        <v>4794</v>
      </c>
      <c r="G1234" s="1">
        <v>1</v>
      </c>
      <c r="L1234" s="1">
        <v>6500</v>
      </c>
      <c r="N1234" s="1">
        <v>420</v>
      </c>
      <c r="P1234" s="1">
        <v>60</v>
      </c>
      <c r="R1234" s="1">
        <v>10</v>
      </c>
      <c r="Z1234" s="1">
        <v>0.05</v>
      </c>
      <c r="AA1234" s="1">
        <v>2</v>
      </c>
      <c r="AB1234" s="1">
        <v>1</v>
      </c>
      <c r="AC1234" s="1">
        <v>0.9</v>
      </c>
      <c r="AH1234" s="1">
        <v>0</v>
      </c>
      <c r="AI1234" s="1">
        <v>1</v>
      </c>
      <c r="AJ1234" s="1" t="s">
        <v>4800</v>
      </c>
      <c r="AK1234" s="1" t="s">
        <v>265</v>
      </c>
      <c r="AL1234" s="1" t="s">
        <v>228</v>
      </c>
      <c r="AN1234" s="22" t="s">
        <v>9767</v>
      </c>
      <c r="AX1234" s="1">
        <v>1</v>
      </c>
      <c r="AZ1234" s="1">
        <v>0.1</v>
      </c>
      <c r="BG1234" s="1" t="s">
        <v>4794</v>
      </c>
      <c r="BM1234" s="1" t="s">
        <v>4793</v>
      </c>
      <c r="BQ1234" s="1" t="s">
        <v>207</v>
      </c>
      <c r="BR1234" s="1" t="s">
        <v>208</v>
      </c>
      <c r="BS1234" s="1" t="s">
        <v>229</v>
      </c>
      <c r="BT1234" s="1" t="s">
        <v>210</v>
      </c>
      <c r="BX1234" s="1">
        <v>1</v>
      </c>
    </row>
    <row r="1235" spans="1:76" x14ac:dyDescent="0.25">
      <c r="A1235" s="1" t="s">
        <v>4801</v>
      </c>
      <c r="B1235" s="1" t="s">
        <v>203</v>
      </c>
      <c r="C1235" s="1">
        <v>1</v>
      </c>
      <c r="D1235" s="1" t="s">
        <v>4802</v>
      </c>
      <c r="E1235" s="1">
        <v>10042</v>
      </c>
      <c r="F1235" s="1" t="s">
        <v>4801</v>
      </c>
      <c r="G1235" s="1">
        <v>1</v>
      </c>
      <c r="L1235" s="1">
        <v>6000</v>
      </c>
      <c r="N1235" s="1">
        <v>600</v>
      </c>
      <c r="P1235" s="1">
        <v>150</v>
      </c>
      <c r="R1235" s="1">
        <v>30</v>
      </c>
      <c r="Z1235" s="1">
        <v>0.05</v>
      </c>
      <c r="AA1235" s="1">
        <v>2</v>
      </c>
      <c r="AB1235" s="1">
        <v>4</v>
      </c>
      <c r="AC1235" s="1">
        <v>0.65</v>
      </c>
      <c r="AH1235" s="1">
        <v>0</v>
      </c>
      <c r="AI1235" s="1">
        <v>1</v>
      </c>
      <c r="AJ1235" s="1" t="s">
        <v>4803</v>
      </c>
      <c r="AK1235" s="1" t="s">
        <v>265</v>
      </c>
      <c r="AL1235" s="1" t="s">
        <v>228</v>
      </c>
      <c r="AN1235" s="22" t="s">
        <v>9767</v>
      </c>
      <c r="AX1235" s="1">
        <v>1</v>
      </c>
      <c r="AZ1235" s="1">
        <v>0.1</v>
      </c>
      <c r="BG1235" s="1" t="s">
        <v>4801</v>
      </c>
      <c r="BM1235" s="1" t="s">
        <v>930</v>
      </c>
      <c r="BQ1235" s="1" t="s">
        <v>207</v>
      </c>
      <c r="BR1235" s="1" t="s">
        <v>1935</v>
      </c>
      <c r="BS1235" s="1" t="s">
        <v>229</v>
      </c>
      <c r="BT1235" s="1" t="s">
        <v>3296</v>
      </c>
      <c r="BX1235" s="1">
        <v>1</v>
      </c>
    </row>
    <row r="1236" spans="1:76" x14ac:dyDescent="0.25">
      <c r="A1236" s="1" t="s">
        <v>4804</v>
      </c>
      <c r="B1236" s="1" t="s">
        <v>203</v>
      </c>
      <c r="C1236" s="1">
        <v>1</v>
      </c>
      <c r="D1236" s="1" t="s">
        <v>4805</v>
      </c>
      <c r="E1236" s="1">
        <v>10042</v>
      </c>
      <c r="F1236" s="1" t="s">
        <v>4804</v>
      </c>
      <c r="G1236" s="1">
        <v>1</v>
      </c>
      <c r="L1236" s="1">
        <v>8000</v>
      </c>
      <c r="N1236" s="1">
        <v>720</v>
      </c>
      <c r="P1236" s="1">
        <v>300</v>
      </c>
      <c r="R1236" s="1">
        <v>30</v>
      </c>
      <c r="Z1236" s="1">
        <v>0.05</v>
      </c>
      <c r="AA1236" s="1">
        <v>2</v>
      </c>
      <c r="AB1236" s="1">
        <v>4</v>
      </c>
      <c r="AC1236" s="1">
        <v>0.65</v>
      </c>
      <c r="AH1236" s="1">
        <v>0</v>
      </c>
      <c r="AI1236" s="1">
        <v>1</v>
      </c>
      <c r="AJ1236" s="1" t="s">
        <v>4806</v>
      </c>
      <c r="AK1236" s="1" t="s">
        <v>265</v>
      </c>
      <c r="AL1236" s="1" t="s">
        <v>228</v>
      </c>
      <c r="AN1236" s="22" t="s">
        <v>9767</v>
      </c>
      <c r="AX1236" s="1">
        <v>1</v>
      </c>
      <c r="AZ1236" s="1">
        <v>0.1</v>
      </c>
      <c r="BG1236" s="1" t="s">
        <v>4804</v>
      </c>
      <c r="BM1236" s="1" t="s">
        <v>930</v>
      </c>
      <c r="BQ1236" s="1" t="s">
        <v>207</v>
      </c>
      <c r="BR1236" s="1" t="s">
        <v>1935</v>
      </c>
      <c r="BS1236" s="1" t="s">
        <v>229</v>
      </c>
      <c r="BT1236" s="1" t="s">
        <v>3296</v>
      </c>
      <c r="BX1236" s="1">
        <v>1</v>
      </c>
    </row>
    <row r="1237" spans="1:76" x14ac:dyDescent="0.25">
      <c r="A1237" s="1" t="s">
        <v>4807</v>
      </c>
      <c r="B1237" s="1" t="s">
        <v>203</v>
      </c>
      <c r="C1237" s="1">
        <v>1</v>
      </c>
      <c r="D1237" s="1" t="s">
        <v>4808</v>
      </c>
      <c r="E1237" s="1">
        <v>10044</v>
      </c>
      <c r="F1237" s="1" t="s">
        <v>4807</v>
      </c>
      <c r="G1237" s="1">
        <v>1</v>
      </c>
      <c r="L1237" s="1">
        <v>9000</v>
      </c>
      <c r="N1237" s="1">
        <v>850</v>
      </c>
      <c r="P1237" s="1">
        <v>500</v>
      </c>
      <c r="R1237" s="1">
        <v>20</v>
      </c>
      <c r="Z1237" s="1">
        <v>0.05</v>
      </c>
      <c r="AA1237" s="1">
        <v>3</v>
      </c>
      <c r="AB1237" s="1">
        <v>3</v>
      </c>
      <c r="AC1237" s="1">
        <v>0.5</v>
      </c>
      <c r="AH1237" s="1">
        <v>0</v>
      </c>
      <c r="AI1237" s="1">
        <v>1</v>
      </c>
      <c r="AJ1237" s="1" t="s">
        <v>4809</v>
      </c>
      <c r="AK1237" s="1" t="s">
        <v>265</v>
      </c>
      <c r="AL1237" s="1" t="s">
        <v>228</v>
      </c>
      <c r="AN1237" s="22" t="s">
        <v>9767</v>
      </c>
      <c r="AX1237" s="1">
        <v>1</v>
      </c>
      <c r="AZ1237" s="1">
        <v>0.1</v>
      </c>
      <c r="BG1237" s="1" t="s">
        <v>4807</v>
      </c>
      <c r="BM1237" s="1" t="s">
        <v>930</v>
      </c>
      <c r="BQ1237" s="1" t="s">
        <v>207</v>
      </c>
      <c r="BR1237" s="1" t="s">
        <v>208</v>
      </c>
      <c r="BS1237" s="1" t="s">
        <v>229</v>
      </c>
      <c r="BT1237" s="1" t="s">
        <v>210</v>
      </c>
      <c r="BX1237" s="1">
        <v>1</v>
      </c>
    </row>
    <row r="1238" spans="1:76" x14ac:dyDescent="0.25">
      <c r="A1238" s="1" t="s">
        <v>4810</v>
      </c>
      <c r="B1238" s="1" t="s">
        <v>203</v>
      </c>
      <c r="C1238" s="1">
        <v>1</v>
      </c>
      <c r="D1238" s="1" t="s">
        <v>4811</v>
      </c>
      <c r="E1238" s="1">
        <v>10044</v>
      </c>
      <c r="F1238" s="1" t="s">
        <v>4810</v>
      </c>
      <c r="G1238" s="1">
        <v>1</v>
      </c>
      <c r="L1238" s="1">
        <v>10500</v>
      </c>
      <c r="N1238" s="1">
        <v>1000</v>
      </c>
      <c r="P1238" s="1">
        <v>500</v>
      </c>
      <c r="R1238" s="1">
        <v>20</v>
      </c>
      <c r="Z1238" s="1">
        <v>0.05</v>
      </c>
      <c r="AA1238" s="1">
        <v>3</v>
      </c>
      <c r="AB1238" s="1">
        <v>3</v>
      </c>
      <c r="AC1238" s="1">
        <v>0.5</v>
      </c>
      <c r="AH1238" s="1">
        <v>0</v>
      </c>
      <c r="AI1238" s="1">
        <v>1</v>
      </c>
      <c r="AJ1238" s="1" t="s">
        <v>4812</v>
      </c>
      <c r="AK1238" s="1" t="s">
        <v>265</v>
      </c>
      <c r="AL1238" s="1" t="s">
        <v>228</v>
      </c>
      <c r="AN1238" s="22" t="s">
        <v>9767</v>
      </c>
      <c r="AX1238" s="1">
        <v>1</v>
      </c>
      <c r="AZ1238" s="1">
        <v>0.1</v>
      </c>
      <c r="BG1238" s="1" t="s">
        <v>4810</v>
      </c>
      <c r="BM1238" s="1" t="s">
        <v>930</v>
      </c>
      <c r="BQ1238" s="1" t="s">
        <v>207</v>
      </c>
      <c r="BR1238" s="1" t="s">
        <v>208</v>
      </c>
      <c r="BS1238" s="1" t="s">
        <v>229</v>
      </c>
      <c r="BT1238" s="1" t="s">
        <v>210</v>
      </c>
      <c r="BX1238" s="1">
        <v>1</v>
      </c>
    </row>
    <row r="1239" spans="1:76" x14ac:dyDescent="0.25">
      <c r="A1239" s="1" t="s">
        <v>4813</v>
      </c>
      <c r="B1239" s="1" t="s">
        <v>203</v>
      </c>
      <c r="C1239" s="1">
        <v>1</v>
      </c>
      <c r="D1239" s="1" t="s">
        <v>4814</v>
      </c>
      <c r="E1239" s="1">
        <v>10045</v>
      </c>
      <c r="F1239" s="1" t="s">
        <v>4813</v>
      </c>
      <c r="G1239" s="1">
        <v>1</v>
      </c>
      <c r="L1239" s="1">
        <v>10000</v>
      </c>
      <c r="N1239" s="1">
        <v>100</v>
      </c>
      <c r="P1239" s="1">
        <v>0</v>
      </c>
      <c r="R1239" s="1">
        <v>10</v>
      </c>
      <c r="Z1239" s="1">
        <v>0.05</v>
      </c>
      <c r="AA1239" s="1">
        <v>1</v>
      </c>
      <c r="AB1239" s="1">
        <v>0</v>
      </c>
      <c r="AC1239" s="1">
        <v>0.6</v>
      </c>
      <c r="AH1239" s="1">
        <v>0</v>
      </c>
      <c r="AI1239" s="1">
        <v>1</v>
      </c>
      <c r="AJ1239" s="1" t="s">
        <v>4815</v>
      </c>
      <c r="AK1239" s="1" t="s">
        <v>265</v>
      </c>
      <c r="AL1239" s="1" t="s">
        <v>228</v>
      </c>
      <c r="AN1239" s="22" t="s">
        <v>9767</v>
      </c>
      <c r="AP1239" s="1">
        <v>1</v>
      </c>
      <c r="AX1239" s="1">
        <v>1</v>
      </c>
      <c r="AZ1239" s="1">
        <v>0.1</v>
      </c>
      <c r="BG1239" s="1" t="s">
        <v>4813</v>
      </c>
      <c r="BM1239" s="1" t="s">
        <v>4816</v>
      </c>
      <c r="BQ1239" s="1" t="s">
        <v>3328</v>
      </c>
      <c r="BR1239" s="1" t="s">
        <v>1935</v>
      </c>
      <c r="BS1239" s="1" t="s">
        <v>1936</v>
      </c>
      <c r="BT1239" s="1" t="s">
        <v>3296</v>
      </c>
      <c r="BU1239" s="1" t="s">
        <v>3599</v>
      </c>
      <c r="BX1239" s="1">
        <v>1</v>
      </c>
    </row>
    <row r="1240" spans="1:76" x14ac:dyDescent="0.25">
      <c r="A1240" s="1" t="s">
        <v>4817</v>
      </c>
      <c r="B1240" s="1" t="s">
        <v>203</v>
      </c>
      <c r="C1240" s="1">
        <v>1</v>
      </c>
      <c r="D1240" s="1" t="s">
        <v>4818</v>
      </c>
      <c r="E1240" s="1">
        <v>10045</v>
      </c>
      <c r="F1240" s="1" t="s">
        <v>4817</v>
      </c>
      <c r="G1240" s="1">
        <v>1</v>
      </c>
      <c r="L1240" s="1">
        <v>12000</v>
      </c>
      <c r="N1240" s="1">
        <v>100</v>
      </c>
      <c r="P1240" s="1">
        <v>0</v>
      </c>
      <c r="R1240" s="1">
        <v>10</v>
      </c>
      <c r="Z1240" s="1">
        <v>0.05</v>
      </c>
      <c r="AA1240" s="1">
        <v>1</v>
      </c>
      <c r="AB1240" s="1">
        <v>0</v>
      </c>
      <c r="AC1240" s="1">
        <v>0.6</v>
      </c>
      <c r="AH1240" s="1">
        <v>0</v>
      </c>
      <c r="AI1240" s="1">
        <v>1</v>
      </c>
      <c r="AJ1240" s="1" t="s">
        <v>4819</v>
      </c>
      <c r="AK1240" s="1" t="s">
        <v>265</v>
      </c>
      <c r="AL1240" s="1" t="s">
        <v>228</v>
      </c>
      <c r="AN1240" s="22" t="s">
        <v>9767</v>
      </c>
      <c r="AP1240" s="1">
        <v>1</v>
      </c>
      <c r="AX1240" s="1">
        <v>1</v>
      </c>
      <c r="AZ1240" s="1">
        <v>0.1</v>
      </c>
      <c r="BG1240" s="1" t="s">
        <v>4817</v>
      </c>
      <c r="BM1240" s="1" t="s">
        <v>4816</v>
      </c>
      <c r="BQ1240" s="1" t="s">
        <v>3328</v>
      </c>
      <c r="BR1240" s="1" t="s">
        <v>1935</v>
      </c>
      <c r="BS1240" s="1" t="s">
        <v>1936</v>
      </c>
      <c r="BT1240" s="1" t="s">
        <v>3296</v>
      </c>
      <c r="BU1240" s="1" t="s">
        <v>3599</v>
      </c>
      <c r="BX1240" s="1">
        <v>1</v>
      </c>
    </row>
    <row r="1241" spans="1:76" x14ac:dyDescent="0.25">
      <c r="A1241" s="1" t="s">
        <v>4820</v>
      </c>
      <c r="B1241" s="1" t="s">
        <v>203</v>
      </c>
      <c r="C1241" s="1">
        <v>1</v>
      </c>
      <c r="D1241" s="1" t="s">
        <v>4814</v>
      </c>
      <c r="E1241" s="1">
        <v>10045</v>
      </c>
      <c r="F1241" s="1" t="s">
        <v>4813</v>
      </c>
      <c r="G1241" s="1">
        <v>1</v>
      </c>
      <c r="L1241" s="1">
        <v>10000</v>
      </c>
      <c r="N1241" s="1">
        <v>100</v>
      </c>
      <c r="P1241" s="1">
        <v>0</v>
      </c>
      <c r="R1241" s="1">
        <v>10</v>
      </c>
      <c r="Z1241" s="1">
        <v>0.05</v>
      </c>
      <c r="AA1241" s="1">
        <v>1</v>
      </c>
      <c r="AB1241" s="1">
        <v>0</v>
      </c>
      <c r="AC1241" s="1">
        <v>0.6</v>
      </c>
      <c r="AH1241" s="1">
        <v>0</v>
      </c>
      <c r="AI1241" s="1">
        <v>1</v>
      </c>
      <c r="AJ1241" s="1" t="s">
        <v>4821</v>
      </c>
      <c r="AK1241" s="1" t="s">
        <v>265</v>
      </c>
      <c r="AL1241" s="1" t="s">
        <v>228</v>
      </c>
      <c r="AN1241" s="22" t="s">
        <v>9767</v>
      </c>
      <c r="AP1241" s="1">
        <v>1</v>
      </c>
      <c r="AX1241" s="1">
        <v>1</v>
      </c>
      <c r="AZ1241" s="1">
        <v>0.1</v>
      </c>
      <c r="BG1241" s="1" t="s">
        <v>4813</v>
      </c>
      <c r="BM1241" s="1" t="s">
        <v>4816</v>
      </c>
      <c r="BQ1241" s="1" t="s">
        <v>3328</v>
      </c>
      <c r="BR1241" s="1" t="s">
        <v>1935</v>
      </c>
      <c r="BS1241" s="1" t="s">
        <v>1936</v>
      </c>
      <c r="BT1241" s="1" t="s">
        <v>3296</v>
      </c>
      <c r="BU1241" s="1" t="s">
        <v>3599</v>
      </c>
      <c r="BX1241" s="1">
        <v>1</v>
      </c>
    </row>
    <row r="1242" spans="1:76" x14ac:dyDescent="0.25">
      <c r="A1242" s="1" t="s">
        <v>4822</v>
      </c>
      <c r="B1242" s="1" t="s">
        <v>203</v>
      </c>
      <c r="C1242" s="1">
        <v>1</v>
      </c>
      <c r="D1242" s="1" t="s">
        <v>4818</v>
      </c>
      <c r="E1242" s="1">
        <v>10045</v>
      </c>
      <c r="F1242" s="1" t="s">
        <v>4817</v>
      </c>
      <c r="G1242" s="1">
        <v>1</v>
      </c>
      <c r="L1242" s="1">
        <v>12000</v>
      </c>
      <c r="N1242" s="1">
        <v>100</v>
      </c>
      <c r="P1242" s="1">
        <v>0</v>
      </c>
      <c r="R1242" s="1">
        <v>10</v>
      </c>
      <c r="Z1242" s="1">
        <v>0.05</v>
      </c>
      <c r="AA1242" s="1">
        <v>1</v>
      </c>
      <c r="AB1242" s="1">
        <v>0</v>
      </c>
      <c r="AC1242" s="1">
        <v>0.6</v>
      </c>
      <c r="AH1242" s="1">
        <v>0</v>
      </c>
      <c r="AI1242" s="1">
        <v>1</v>
      </c>
      <c r="AJ1242" s="1" t="s">
        <v>4823</v>
      </c>
      <c r="AK1242" s="1" t="s">
        <v>265</v>
      </c>
      <c r="AL1242" s="1" t="s">
        <v>228</v>
      </c>
      <c r="AN1242" s="22" t="s">
        <v>9767</v>
      </c>
      <c r="AP1242" s="1">
        <v>1</v>
      </c>
      <c r="AX1242" s="1">
        <v>1</v>
      </c>
      <c r="AZ1242" s="1">
        <v>0.1</v>
      </c>
      <c r="BG1242" s="1" t="s">
        <v>4817</v>
      </c>
      <c r="BM1242" s="1" t="s">
        <v>4816</v>
      </c>
      <c r="BQ1242" s="1" t="s">
        <v>3328</v>
      </c>
      <c r="BR1242" s="1" t="s">
        <v>1935</v>
      </c>
      <c r="BS1242" s="1" t="s">
        <v>1936</v>
      </c>
      <c r="BT1242" s="1" t="s">
        <v>3296</v>
      </c>
      <c r="BU1242" s="1" t="s">
        <v>3599</v>
      </c>
      <c r="BX1242" s="1">
        <v>1</v>
      </c>
    </row>
    <row r="1243" spans="1:76" x14ac:dyDescent="0.25">
      <c r="A1243" s="1" t="s">
        <v>4824</v>
      </c>
      <c r="B1243" s="1" t="s">
        <v>203</v>
      </c>
      <c r="C1243" s="1">
        <v>1</v>
      </c>
      <c r="D1243" s="1" t="s">
        <v>4825</v>
      </c>
      <c r="E1243" s="1">
        <v>10046</v>
      </c>
      <c r="F1243" s="1" t="s">
        <v>4824</v>
      </c>
      <c r="G1243" s="1">
        <v>1</v>
      </c>
      <c r="L1243" s="1">
        <v>70000</v>
      </c>
      <c r="N1243" s="1">
        <v>1500</v>
      </c>
      <c r="P1243" s="1">
        <v>0</v>
      </c>
      <c r="R1243" s="1">
        <v>0</v>
      </c>
      <c r="Z1243" s="1">
        <v>0.05</v>
      </c>
      <c r="AA1243" s="1">
        <v>6</v>
      </c>
      <c r="AB1243" s="1">
        <v>4</v>
      </c>
      <c r="AC1243" s="1">
        <v>0.3</v>
      </c>
      <c r="AH1243" s="1">
        <v>0</v>
      </c>
      <c r="AI1243" s="1">
        <v>1</v>
      </c>
      <c r="AJ1243" s="1" t="s">
        <v>4826</v>
      </c>
      <c r="AK1243" s="1" t="s">
        <v>265</v>
      </c>
      <c r="AL1243" s="1" t="s">
        <v>228</v>
      </c>
      <c r="AN1243" s="22" t="s">
        <v>9767</v>
      </c>
      <c r="AX1243" s="1">
        <v>1</v>
      </c>
      <c r="AZ1243" s="1">
        <v>0.1</v>
      </c>
      <c r="BG1243" s="1" t="s">
        <v>4824</v>
      </c>
      <c r="BM1243" s="1" t="s">
        <v>4827</v>
      </c>
      <c r="BQ1243" s="1" t="s">
        <v>207</v>
      </c>
      <c r="BR1243" s="1" t="s">
        <v>208</v>
      </c>
      <c r="BS1243" s="1" t="s">
        <v>1612</v>
      </c>
      <c r="BT1243" s="1" t="s">
        <v>210</v>
      </c>
      <c r="BX1243" s="1">
        <v>1</v>
      </c>
    </row>
    <row r="1244" spans="1:76" x14ac:dyDescent="0.25">
      <c r="A1244" s="1" t="s">
        <v>4828</v>
      </c>
      <c r="B1244" s="1" t="s">
        <v>203</v>
      </c>
      <c r="C1244" s="1">
        <v>1</v>
      </c>
      <c r="D1244" s="1" t="s">
        <v>4829</v>
      </c>
      <c r="E1244" s="1">
        <v>10046</v>
      </c>
      <c r="F1244" s="1" t="s">
        <v>4828</v>
      </c>
      <c r="G1244" s="1">
        <v>1</v>
      </c>
      <c r="L1244" s="1">
        <v>100000</v>
      </c>
      <c r="N1244" s="1">
        <v>2000</v>
      </c>
      <c r="P1244" s="1">
        <v>0</v>
      </c>
      <c r="R1244" s="1">
        <v>0</v>
      </c>
      <c r="Z1244" s="1">
        <v>0.05</v>
      </c>
      <c r="AA1244" s="1">
        <v>6</v>
      </c>
      <c r="AB1244" s="1">
        <v>4</v>
      </c>
      <c r="AC1244" s="1">
        <v>0.3</v>
      </c>
      <c r="AH1244" s="1">
        <v>0</v>
      </c>
      <c r="AI1244" s="1">
        <v>1</v>
      </c>
      <c r="AJ1244" s="1" t="s">
        <v>4830</v>
      </c>
      <c r="AK1244" s="1" t="s">
        <v>265</v>
      </c>
      <c r="AL1244" s="1" t="s">
        <v>228</v>
      </c>
      <c r="AN1244" s="22" t="s">
        <v>9767</v>
      </c>
      <c r="AX1244" s="1">
        <v>1</v>
      </c>
      <c r="AZ1244" s="1">
        <v>0.1</v>
      </c>
      <c r="BG1244" s="1" t="s">
        <v>4828</v>
      </c>
      <c r="BM1244" s="1" t="s">
        <v>4831</v>
      </c>
      <c r="BQ1244" s="1" t="s">
        <v>207</v>
      </c>
      <c r="BR1244" s="1" t="s">
        <v>208</v>
      </c>
      <c r="BS1244" s="1" t="s">
        <v>1612</v>
      </c>
      <c r="BT1244" s="1" t="s">
        <v>210</v>
      </c>
      <c r="BX1244" s="1">
        <v>1</v>
      </c>
    </row>
    <row r="1245" spans="1:76" x14ac:dyDescent="0.25">
      <c r="A1245" s="1" t="s">
        <v>4832</v>
      </c>
      <c r="B1245" s="1" t="s">
        <v>203</v>
      </c>
      <c r="C1245" s="1">
        <v>1</v>
      </c>
      <c r="D1245" s="1" t="s">
        <v>4833</v>
      </c>
      <c r="E1245" s="1">
        <v>10047</v>
      </c>
      <c r="F1245" s="1" t="s">
        <v>4832</v>
      </c>
      <c r="G1245" s="1">
        <v>1</v>
      </c>
      <c r="L1245" s="1">
        <v>12000</v>
      </c>
      <c r="N1245" s="1">
        <v>350</v>
      </c>
      <c r="P1245" s="1">
        <v>250</v>
      </c>
      <c r="R1245" s="1">
        <v>50</v>
      </c>
      <c r="Z1245" s="1">
        <v>0.05</v>
      </c>
      <c r="AA1245" s="1">
        <v>2.5</v>
      </c>
      <c r="AB1245" s="1">
        <v>3</v>
      </c>
      <c r="AC1245" s="1">
        <v>0.7</v>
      </c>
      <c r="AH1245" s="1">
        <v>0</v>
      </c>
      <c r="AI1245" s="1">
        <v>1</v>
      </c>
      <c r="AJ1245" s="1" t="s">
        <v>4834</v>
      </c>
      <c r="AK1245" s="1" t="s">
        <v>265</v>
      </c>
      <c r="AL1245" s="1" t="s">
        <v>228</v>
      </c>
      <c r="AN1245" s="22" t="s">
        <v>9767</v>
      </c>
      <c r="AX1245" s="1">
        <v>1</v>
      </c>
      <c r="AZ1245" s="1">
        <v>0.1</v>
      </c>
      <c r="BG1245" s="1" t="s">
        <v>4832</v>
      </c>
      <c r="BM1245" s="1" t="s">
        <v>957</v>
      </c>
      <c r="BQ1245" s="1" t="s">
        <v>4835</v>
      </c>
      <c r="BR1245" s="1" t="s">
        <v>4836</v>
      </c>
      <c r="BS1245" s="1" t="s">
        <v>4837</v>
      </c>
      <c r="BT1245" s="1" t="s">
        <v>4838</v>
      </c>
      <c r="BX1245" s="1">
        <v>1</v>
      </c>
    </row>
    <row r="1246" spans="1:76" x14ac:dyDescent="0.25">
      <c r="A1246" s="1" t="s">
        <v>4839</v>
      </c>
      <c r="B1246" s="1" t="s">
        <v>203</v>
      </c>
      <c r="C1246" s="1">
        <v>1</v>
      </c>
      <c r="D1246" s="1" t="s">
        <v>4840</v>
      </c>
      <c r="E1246" s="1">
        <v>10047</v>
      </c>
      <c r="F1246" s="1" t="s">
        <v>4839</v>
      </c>
      <c r="G1246" s="1">
        <v>1</v>
      </c>
      <c r="L1246" s="1">
        <v>15000</v>
      </c>
      <c r="N1246" s="1">
        <v>420</v>
      </c>
      <c r="P1246" s="1">
        <v>300</v>
      </c>
      <c r="R1246" s="1">
        <v>50</v>
      </c>
      <c r="Z1246" s="1">
        <v>0.05</v>
      </c>
      <c r="AA1246" s="1">
        <v>2.5</v>
      </c>
      <c r="AB1246" s="1">
        <v>3</v>
      </c>
      <c r="AC1246" s="1">
        <v>0.7</v>
      </c>
      <c r="AH1246" s="1">
        <v>0</v>
      </c>
      <c r="AI1246" s="1">
        <v>1</v>
      </c>
      <c r="AJ1246" s="1" t="s">
        <v>4841</v>
      </c>
      <c r="AK1246" s="1" t="s">
        <v>265</v>
      </c>
      <c r="AL1246" s="1" t="s">
        <v>228</v>
      </c>
      <c r="AN1246" s="22" t="s">
        <v>9767</v>
      </c>
      <c r="AX1246" s="1">
        <v>1</v>
      </c>
      <c r="AZ1246" s="1">
        <v>0.1</v>
      </c>
      <c r="BG1246" s="1" t="s">
        <v>4839</v>
      </c>
      <c r="BM1246" s="1" t="s">
        <v>957</v>
      </c>
      <c r="BQ1246" s="1" t="s">
        <v>4835</v>
      </c>
      <c r="BR1246" s="1" t="s">
        <v>4836</v>
      </c>
      <c r="BS1246" s="1" t="s">
        <v>4837</v>
      </c>
      <c r="BT1246" s="1" t="s">
        <v>4838</v>
      </c>
      <c r="BX1246" s="1">
        <v>1</v>
      </c>
    </row>
    <row r="1247" spans="1:76" x14ac:dyDescent="0.25">
      <c r="A1247" s="1" t="s">
        <v>4842</v>
      </c>
      <c r="B1247" s="1" t="s">
        <v>203</v>
      </c>
      <c r="C1247" s="1">
        <v>1</v>
      </c>
      <c r="D1247" s="1" t="s">
        <v>4843</v>
      </c>
      <c r="E1247" s="1">
        <v>10048</v>
      </c>
      <c r="F1247" s="1" t="s">
        <v>4842</v>
      </c>
      <c r="G1247" s="1">
        <v>1</v>
      </c>
      <c r="L1247" s="1">
        <v>15000</v>
      </c>
      <c r="N1247" s="1">
        <v>1000</v>
      </c>
      <c r="P1247" s="1">
        <v>1500</v>
      </c>
      <c r="R1247" s="1">
        <v>40</v>
      </c>
      <c r="Z1247" s="1">
        <v>0.05</v>
      </c>
      <c r="AA1247" s="1">
        <v>5</v>
      </c>
      <c r="AB1247" s="1">
        <v>4</v>
      </c>
      <c r="AC1247" s="1">
        <v>0.5</v>
      </c>
      <c r="AH1247" s="1">
        <v>1</v>
      </c>
      <c r="AI1247" s="1">
        <v>1</v>
      </c>
      <c r="AJ1247" s="1" t="s">
        <v>4844</v>
      </c>
      <c r="AK1247" s="1" t="s">
        <v>265</v>
      </c>
      <c r="AL1247" s="1" t="s">
        <v>228</v>
      </c>
      <c r="AN1247" s="22" t="s">
        <v>9767</v>
      </c>
      <c r="AX1247" s="1">
        <v>1</v>
      </c>
      <c r="AZ1247" s="1">
        <v>0.1</v>
      </c>
      <c r="BG1247" s="1" t="s">
        <v>4842</v>
      </c>
      <c r="BM1247" s="1" t="s">
        <v>989</v>
      </c>
      <c r="BQ1247" s="1" t="s">
        <v>207</v>
      </c>
      <c r="BR1247" s="1" t="s">
        <v>208</v>
      </c>
      <c r="BS1247" s="1" t="s">
        <v>229</v>
      </c>
      <c r="BT1247" s="1" t="s">
        <v>210</v>
      </c>
      <c r="BX1247" s="1">
        <v>1</v>
      </c>
    </row>
    <row r="1248" spans="1:76" x14ac:dyDescent="0.25">
      <c r="A1248" s="1" t="s">
        <v>4845</v>
      </c>
      <c r="B1248" s="1" t="s">
        <v>203</v>
      </c>
      <c r="C1248" s="1">
        <v>1</v>
      </c>
      <c r="D1248" s="1" t="s">
        <v>4846</v>
      </c>
      <c r="E1248" s="1">
        <v>10048</v>
      </c>
      <c r="F1248" s="1" t="s">
        <v>4845</v>
      </c>
      <c r="G1248" s="1">
        <v>1</v>
      </c>
      <c r="L1248" s="1">
        <v>20000</v>
      </c>
      <c r="N1248" s="1">
        <v>1200</v>
      </c>
      <c r="P1248" s="1">
        <v>1800</v>
      </c>
      <c r="R1248" s="1">
        <v>40</v>
      </c>
      <c r="Z1248" s="1">
        <v>0.05</v>
      </c>
      <c r="AA1248" s="1">
        <v>5</v>
      </c>
      <c r="AB1248" s="1">
        <v>4</v>
      </c>
      <c r="AC1248" s="1">
        <v>0.5</v>
      </c>
      <c r="AH1248" s="1">
        <v>1</v>
      </c>
      <c r="AI1248" s="1">
        <v>1</v>
      </c>
      <c r="AJ1248" s="1" t="s">
        <v>4847</v>
      </c>
      <c r="AK1248" s="1" t="s">
        <v>265</v>
      </c>
      <c r="AL1248" s="1" t="s">
        <v>228</v>
      </c>
      <c r="AN1248" s="22" t="s">
        <v>9767</v>
      </c>
      <c r="AX1248" s="1">
        <v>1</v>
      </c>
      <c r="AZ1248" s="1">
        <v>0.1</v>
      </c>
      <c r="BG1248" s="1" t="s">
        <v>4845</v>
      </c>
      <c r="BM1248" s="1" t="s">
        <v>989</v>
      </c>
      <c r="BQ1248" s="1" t="s">
        <v>207</v>
      </c>
      <c r="BR1248" s="1" t="s">
        <v>208</v>
      </c>
      <c r="BS1248" s="1" t="s">
        <v>229</v>
      </c>
      <c r="BT1248" s="1" t="s">
        <v>210</v>
      </c>
      <c r="BX1248" s="1">
        <v>1</v>
      </c>
    </row>
    <row r="1249" spans="1:76" x14ac:dyDescent="0.25">
      <c r="A1249" s="1" t="s">
        <v>4848</v>
      </c>
      <c r="B1249" s="1" t="s">
        <v>203</v>
      </c>
      <c r="C1249" s="1">
        <v>1</v>
      </c>
      <c r="D1249" s="1" t="s">
        <v>4849</v>
      </c>
      <c r="E1249" s="1">
        <v>10049</v>
      </c>
      <c r="F1249" s="1" t="s">
        <v>4848</v>
      </c>
      <c r="G1249" s="1">
        <v>1</v>
      </c>
      <c r="L1249" s="1">
        <v>25000</v>
      </c>
      <c r="N1249" s="1">
        <v>700</v>
      </c>
      <c r="P1249" s="1">
        <v>600</v>
      </c>
      <c r="R1249" s="1">
        <v>30</v>
      </c>
      <c r="Z1249" s="1">
        <v>0.05</v>
      </c>
      <c r="AA1249" s="1">
        <v>3</v>
      </c>
      <c r="AB1249" s="1">
        <v>4</v>
      </c>
      <c r="AC1249" s="1">
        <v>0.45</v>
      </c>
      <c r="AH1249" s="1">
        <v>0</v>
      </c>
      <c r="AI1249" s="1">
        <v>1</v>
      </c>
      <c r="AJ1249" s="1" t="s">
        <v>4850</v>
      </c>
      <c r="AK1249" s="1" t="s">
        <v>265</v>
      </c>
      <c r="AL1249" s="1" t="s">
        <v>228</v>
      </c>
      <c r="AN1249" s="22" t="s">
        <v>9767</v>
      </c>
      <c r="AX1249" s="1">
        <v>1</v>
      </c>
      <c r="AZ1249" s="1">
        <v>0.1</v>
      </c>
      <c r="BG1249" s="1" t="s">
        <v>4848</v>
      </c>
      <c r="BM1249" s="1" t="s">
        <v>1904</v>
      </c>
      <c r="BQ1249" s="1" t="s">
        <v>207</v>
      </c>
      <c r="BR1249" s="1" t="s">
        <v>208</v>
      </c>
      <c r="BS1249" s="1" t="s">
        <v>229</v>
      </c>
      <c r="BT1249" s="1" t="s">
        <v>210</v>
      </c>
      <c r="BX1249" s="1">
        <v>1</v>
      </c>
    </row>
    <row r="1250" spans="1:76" x14ac:dyDescent="0.25">
      <c r="A1250" s="1" t="s">
        <v>4851</v>
      </c>
      <c r="B1250" s="1" t="s">
        <v>203</v>
      </c>
      <c r="C1250" s="1">
        <v>1</v>
      </c>
      <c r="D1250" s="1" t="s">
        <v>4852</v>
      </c>
      <c r="E1250" s="1">
        <v>10049</v>
      </c>
      <c r="F1250" s="1" t="s">
        <v>4851</v>
      </c>
      <c r="G1250" s="1">
        <v>1</v>
      </c>
      <c r="L1250" s="1">
        <v>30000</v>
      </c>
      <c r="N1250" s="1">
        <v>850</v>
      </c>
      <c r="P1250" s="1">
        <v>800</v>
      </c>
      <c r="R1250" s="1">
        <v>30</v>
      </c>
      <c r="Z1250" s="1">
        <v>0.05</v>
      </c>
      <c r="AA1250" s="1">
        <v>3</v>
      </c>
      <c r="AB1250" s="1">
        <v>4</v>
      </c>
      <c r="AC1250" s="1">
        <v>0.45</v>
      </c>
      <c r="AH1250" s="1">
        <v>0</v>
      </c>
      <c r="AI1250" s="1">
        <v>1</v>
      </c>
      <c r="AJ1250" s="1" t="s">
        <v>4853</v>
      </c>
      <c r="AK1250" s="1" t="s">
        <v>265</v>
      </c>
      <c r="AL1250" s="1" t="s">
        <v>228</v>
      </c>
      <c r="AN1250" s="22" t="s">
        <v>9767</v>
      </c>
      <c r="AX1250" s="1">
        <v>1</v>
      </c>
      <c r="AZ1250" s="1">
        <v>0.1</v>
      </c>
      <c r="BG1250" s="1" t="s">
        <v>4851</v>
      </c>
      <c r="BM1250" s="1" t="s">
        <v>1904</v>
      </c>
      <c r="BQ1250" s="1" t="s">
        <v>207</v>
      </c>
      <c r="BR1250" s="1" t="s">
        <v>208</v>
      </c>
      <c r="BS1250" s="1" t="s">
        <v>229</v>
      </c>
      <c r="BT1250" s="1" t="s">
        <v>210</v>
      </c>
      <c r="BX1250" s="1">
        <v>1</v>
      </c>
    </row>
    <row r="1251" spans="1:76" x14ac:dyDescent="0.25">
      <c r="A1251" s="1" t="s">
        <v>4854</v>
      </c>
      <c r="B1251" s="1" t="s">
        <v>203</v>
      </c>
      <c r="C1251" s="1">
        <v>1</v>
      </c>
      <c r="D1251" s="1" t="s">
        <v>4855</v>
      </c>
      <c r="E1251" s="1">
        <v>1561</v>
      </c>
      <c r="F1251" s="1" t="s">
        <v>4854</v>
      </c>
      <c r="G1251" s="1">
        <v>1</v>
      </c>
      <c r="L1251" s="1">
        <v>70000</v>
      </c>
      <c r="N1251" s="1">
        <v>1500</v>
      </c>
      <c r="P1251" s="1">
        <v>600</v>
      </c>
      <c r="R1251" s="1">
        <v>40</v>
      </c>
      <c r="Z1251" s="1">
        <v>0.05</v>
      </c>
      <c r="AA1251" s="1">
        <v>5</v>
      </c>
      <c r="AB1251" s="1">
        <v>7</v>
      </c>
      <c r="AC1251" s="1">
        <v>0.3</v>
      </c>
      <c r="AH1251" s="1">
        <v>0</v>
      </c>
      <c r="AI1251" s="1">
        <v>1</v>
      </c>
      <c r="AJ1251" s="1" t="s">
        <v>4856</v>
      </c>
      <c r="AK1251" s="1" t="s">
        <v>265</v>
      </c>
      <c r="AL1251" s="1" t="s">
        <v>228</v>
      </c>
      <c r="AN1251" s="22" t="s">
        <v>9767</v>
      </c>
      <c r="AX1251" s="1">
        <v>1</v>
      </c>
      <c r="AZ1251" s="1">
        <v>0.1</v>
      </c>
      <c r="BG1251" s="1" t="s">
        <v>4854</v>
      </c>
      <c r="BM1251" s="1" t="s">
        <v>1319</v>
      </c>
      <c r="BQ1251" s="1" t="s">
        <v>3416</v>
      </c>
      <c r="BR1251" s="1" t="s">
        <v>2593</v>
      </c>
      <c r="BS1251" s="1" t="s">
        <v>2594</v>
      </c>
      <c r="BT1251" s="1" t="s">
        <v>4857</v>
      </c>
      <c r="BX1251" s="1">
        <v>1</v>
      </c>
    </row>
    <row r="1252" spans="1:76" x14ac:dyDescent="0.25">
      <c r="A1252" s="1" t="s">
        <v>4858</v>
      </c>
      <c r="B1252" s="1" t="s">
        <v>203</v>
      </c>
      <c r="C1252" s="1">
        <v>1</v>
      </c>
      <c r="D1252" s="1" t="s">
        <v>4855</v>
      </c>
      <c r="E1252" s="1">
        <v>1561</v>
      </c>
      <c r="F1252" s="1" t="s">
        <v>4854</v>
      </c>
      <c r="G1252" s="1">
        <v>1</v>
      </c>
      <c r="L1252" s="1">
        <v>70000</v>
      </c>
      <c r="N1252" s="1">
        <v>1500</v>
      </c>
      <c r="P1252" s="1">
        <v>600</v>
      </c>
      <c r="R1252" s="1">
        <v>40</v>
      </c>
      <c r="Z1252" s="1">
        <v>0.05</v>
      </c>
      <c r="AA1252" s="1">
        <v>3.3</v>
      </c>
      <c r="AB1252" s="1">
        <v>7</v>
      </c>
      <c r="AC1252" s="1">
        <v>0.9</v>
      </c>
      <c r="AH1252" s="1">
        <v>0</v>
      </c>
      <c r="AI1252" s="1">
        <v>1</v>
      </c>
      <c r="AJ1252" s="1" t="s">
        <v>4859</v>
      </c>
      <c r="AK1252" s="1" t="s">
        <v>265</v>
      </c>
      <c r="AL1252" s="1" t="s">
        <v>228</v>
      </c>
      <c r="AN1252" s="22" t="s">
        <v>9767</v>
      </c>
      <c r="AX1252" s="1">
        <v>1</v>
      </c>
      <c r="AZ1252" s="1">
        <v>0.1</v>
      </c>
      <c r="BG1252" s="1" t="s">
        <v>4854</v>
      </c>
      <c r="BM1252" s="1" t="s">
        <v>1319</v>
      </c>
      <c r="BQ1252" s="1" t="s">
        <v>4109</v>
      </c>
      <c r="BR1252" s="1" t="s">
        <v>4020</v>
      </c>
      <c r="BS1252" s="1" t="s">
        <v>4021</v>
      </c>
      <c r="BT1252" s="1" t="s">
        <v>2595</v>
      </c>
      <c r="BX1252" s="1">
        <v>1</v>
      </c>
    </row>
    <row r="1253" spans="1:76" x14ac:dyDescent="0.25">
      <c r="A1253" s="1" t="s">
        <v>4860</v>
      </c>
      <c r="B1253" s="1" t="s">
        <v>203</v>
      </c>
      <c r="C1253" s="1">
        <v>1</v>
      </c>
      <c r="D1253" s="1" t="s">
        <v>4861</v>
      </c>
      <c r="E1253" s="1" t="s">
        <v>4862</v>
      </c>
      <c r="F1253" s="1" t="s">
        <v>4860</v>
      </c>
      <c r="G1253" s="1">
        <v>1</v>
      </c>
      <c r="L1253" s="1">
        <v>5</v>
      </c>
      <c r="N1253" s="1">
        <v>100</v>
      </c>
      <c r="P1253" s="1">
        <v>0</v>
      </c>
      <c r="R1253" s="1">
        <v>0</v>
      </c>
      <c r="Z1253" s="1">
        <v>0.05</v>
      </c>
      <c r="AA1253" s="1">
        <v>1.7</v>
      </c>
      <c r="AB1253" s="1">
        <v>0</v>
      </c>
      <c r="AC1253" s="1">
        <v>0.7</v>
      </c>
      <c r="AH1253" s="1">
        <v>0</v>
      </c>
      <c r="AI1253" s="1">
        <v>0</v>
      </c>
      <c r="AJ1253" s="1" t="s">
        <v>4863</v>
      </c>
      <c r="AK1253" s="1" t="s">
        <v>3494</v>
      </c>
      <c r="AL1253" s="1" t="s">
        <v>228</v>
      </c>
      <c r="AN1253" s="22" t="s">
        <v>9767</v>
      </c>
      <c r="AX1253" s="1">
        <v>0</v>
      </c>
      <c r="AZ1253" s="1">
        <v>0.1</v>
      </c>
      <c r="BG1253" s="1" t="s">
        <v>4860</v>
      </c>
      <c r="BM1253" s="1" t="s">
        <v>4864</v>
      </c>
      <c r="BQ1253" s="1" t="s">
        <v>207</v>
      </c>
      <c r="BR1253" s="1" t="s">
        <v>208</v>
      </c>
      <c r="BS1253" s="1" t="s">
        <v>229</v>
      </c>
      <c r="BT1253" s="1" t="s">
        <v>207</v>
      </c>
      <c r="BX1253" s="1">
        <v>1</v>
      </c>
    </row>
    <row r="1254" spans="1:76" x14ac:dyDescent="0.25">
      <c r="A1254" s="1" t="s">
        <v>4865</v>
      </c>
      <c r="B1254" s="1" t="s">
        <v>203</v>
      </c>
      <c r="C1254" s="1">
        <v>1</v>
      </c>
      <c r="D1254" s="1" t="s">
        <v>4866</v>
      </c>
      <c r="E1254" s="1" t="s">
        <v>4867</v>
      </c>
      <c r="F1254" s="1" t="s">
        <v>4865</v>
      </c>
      <c r="G1254" s="1">
        <v>1</v>
      </c>
      <c r="L1254" s="1">
        <v>15</v>
      </c>
      <c r="N1254" s="1">
        <v>100</v>
      </c>
      <c r="P1254" s="1">
        <v>0</v>
      </c>
      <c r="R1254" s="1">
        <v>0</v>
      </c>
      <c r="Z1254" s="1">
        <v>0.05</v>
      </c>
      <c r="AA1254" s="1">
        <v>1.7</v>
      </c>
      <c r="AB1254" s="1">
        <v>0</v>
      </c>
      <c r="AC1254" s="1">
        <v>0.7</v>
      </c>
      <c r="AH1254" s="1">
        <v>0</v>
      </c>
      <c r="AI1254" s="1">
        <v>1</v>
      </c>
      <c r="AJ1254" s="1" t="s">
        <v>4868</v>
      </c>
      <c r="AK1254" s="1" t="s">
        <v>3494</v>
      </c>
      <c r="AL1254" s="1" t="s">
        <v>228</v>
      </c>
      <c r="AN1254" s="22" t="s">
        <v>9767</v>
      </c>
      <c r="AX1254" s="1">
        <v>0</v>
      </c>
      <c r="AZ1254" s="1">
        <v>0.1</v>
      </c>
      <c r="BG1254" s="1" t="s">
        <v>4865</v>
      </c>
      <c r="BM1254" s="1" t="s">
        <v>4864</v>
      </c>
      <c r="BQ1254" s="1" t="s">
        <v>207</v>
      </c>
      <c r="BR1254" s="1" t="s">
        <v>208</v>
      </c>
      <c r="BS1254" s="1" t="s">
        <v>229</v>
      </c>
      <c r="BT1254" s="1" t="s">
        <v>207</v>
      </c>
      <c r="BX1254" s="1">
        <v>1</v>
      </c>
    </row>
    <row r="1255" spans="1:76" x14ac:dyDescent="0.25">
      <c r="A1255" s="1" t="s">
        <v>4869</v>
      </c>
      <c r="B1255" s="1" t="s">
        <v>203</v>
      </c>
      <c r="C1255" s="1">
        <v>1</v>
      </c>
      <c r="D1255" s="1" t="s">
        <v>4870</v>
      </c>
      <c r="E1255" s="1" t="s">
        <v>4871</v>
      </c>
      <c r="F1255" s="1" t="s">
        <v>4869</v>
      </c>
      <c r="G1255" s="1">
        <v>1</v>
      </c>
      <c r="L1255" s="1">
        <v>3500</v>
      </c>
      <c r="N1255" s="1">
        <v>260</v>
      </c>
      <c r="P1255" s="1">
        <v>50</v>
      </c>
      <c r="R1255" s="1">
        <v>0</v>
      </c>
      <c r="Z1255" s="1">
        <v>0.05</v>
      </c>
      <c r="AA1255" s="1">
        <v>1.7</v>
      </c>
      <c r="AB1255" s="1">
        <v>1</v>
      </c>
      <c r="AC1255" s="1">
        <v>0.9</v>
      </c>
      <c r="AH1255" s="1">
        <v>0</v>
      </c>
      <c r="AI1255" s="1">
        <v>1</v>
      </c>
      <c r="AJ1255" s="1" t="s">
        <v>4872</v>
      </c>
      <c r="AK1255" s="1" t="s">
        <v>265</v>
      </c>
      <c r="AL1255" s="1" t="s">
        <v>228</v>
      </c>
      <c r="AN1255" s="22" t="s">
        <v>9767</v>
      </c>
      <c r="AX1255" s="1">
        <v>1</v>
      </c>
      <c r="AZ1255" s="1">
        <v>0.1</v>
      </c>
      <c r="BG1255" s="1" t="s">
        <v>4869</v>
      </c>
      <c r="BM1255" s="1" t="s">
        <v>2017</v>
      </c>
      <c r="BQ1255" s="1" t="s">
        <v>207</v>
      </c>
      <c r="BR1255" s="1" t="s">
        <v>208</v>
      </c>
      <c r="BS1255" s="1" t="s">
        <v>229</v>
      </c>
      <c r="BT1255" s="1" t="s">
        <v>210</v>
      </c>
      <c r="BX1255" s="1">
        <v>1</v>
      </c>
    </row>
    <row r="1256" spans="1:76" x14ac:dyDescent="0.25">
      <c r="A1256" s="1" t="s">
        <v>4873</v>
      </c>
      <c r="B1256" s="1" t="s">
        <v>203</v>
      </c>
      <c r="C1256" s="1">
        <v>1</v>
      </c>
      <c r="D1256" s="1" t="s">
        <v>4874</v>
      </c>
      <c r="E1256" s="1" t="s">
        <v>4871</v>
      </c>
      <c r="F1256" s="1" t="s">
        <v>4873</v>
      </c>
      <c r="G1256" s="1">
        <v>1</v>
      </c>
      <c r="L1256" s="1">
        <v>5000</v>
      </c>
      <c r="N1256" s="1">
        <v>350</v>
      </c>
      <c r="P1256" s="1">
        <v>100</v>
      </c>
      <c r="R1256" s="1">
        <v>0</v>
      </c>
      <c r="Z1256" s="1">
        <v>0.05</v>
      </c>
      <c r="AA1256" s="1">
        <v>1.7</v>
      </c>
      <c r="AB1256" s="1">
        <v>1</v>
      </c>
      <c r="AC1256" s="1">
        <v>0.9</v>
      </c>
      <c r="AH1256" s="1">
        <v>0</v>
      </c>
      <c r="AI1256" s="1">
        <v>1</v>
      </c>
      <c r="AJ1256" s="1" t="s">
        <v>4875</v>
      </c>
      <c r="AK1256" s="1" t="s">
        <v>265</v>
      </c>
      <c r="AL1256" s="1" t="s">
        <v>228</v>
      </c>
      <c r="AN1256" s="22" t="s">
        <v>9767</v>
      </c>
      <c r="AX1256" s="1">
        <v>1</v>
      </c>
      <c r="AZ1256" s="1">
        <v>0.1</v>
      </c>
      <c r="BG1256" s="1" t="s">
        <v>4873</v>
      </c>
      <c r="BM1256" s="1" t="s">
        <v>2017</v>
      </c>
      <c r="BQ1256" s="1" t="s">
        <v>207</v>
      </c>
      <c r="BR1256" s="1" t="s">
        <v>208</v>
      </c>
      <c r="BS1256" s="1" t="s">
        <v>229</v>
      </c>
      <c r="BT1256" s="1" t="s">
        <v>210</v>
      </c>
      <c r="BX1256" s="1">
        <v>1</v>
      </c>
    </row>
    <row r="1257" spans="1:76" x14ac:dyDescent="0.25">
      <c r="A1257" s="1" t="s">
        <v>4876</v>
      </c>
      <c r="B1257" s="1" t="s">
        <v>203</v>
      </c>
      <c r="C1257" s="1">
        <v>1</v>
      </c>
      <c r="D1257" s="1" t="s">
        <v>4877</v>
      </c>
      <c r="E1257" s="1" t="s">
        <v>4878</v>
      </c>
      <c r="F1257" s="1" t="s">
        <v>4876</v>
      </c>
      <c r="G1257" s="1">
        <v>1</v>
      </c>
      <c r="L1257" s="1">
        <v>12000</v>
      </c>
      <c r="N1257" s="1">
        <v>450</v>
      </c>
      <c r="P1257" s="1">
        <v>300</v>
      </c>
      <c r="R1257" s="1">
        <v>50</v>
      </c>
      <c r="Z1257" s="1">
        <v>0.05</v>
      </c>
      <c r="AA1257" s="1">
        <v>4</v>
      </c>
      <c r="AB1257" s="1">
        <v>2</v>
      </c>
      <c r="AC1257" s="1">
        <v>0.7</v>
      </c>
      <c r="AH1257" s="1">
        <v>0</v>
      </c>
      <c r="AI1257" s="1">
        <v>1</v>
      </c>
      <c r="AJ1257" s="1" t="s">
        <v>4879</v>
      </c>
      <c r="AK1257" s="1" t="s">
        <v>265</v>
      </c>
      <c r="AL1257" s="1" t="s">
        <v>228</v>
      </c>
      <c r="AN1257" s="22" t="s">
        <v>9767</v>
      </c>
      <c r="AX1257" s="1">
        <v>1</v>
      </c>
      <c r="AZ1257" s="1">
        <v>0.1</v>
      </c>
      <c r="BG1257" s="1" t="s">
        <v>4876</v>
      </c>
      <c r="BM1257" s="1" t="s">
        <v>2063</v>
      </c>
      <c r="BQ1257" s="1" t="s">
        <v>207</v>
      </c>
      <c r="BR1257" s="1" t="s">
        <v>208</v>
      </c>
      <c r="BS1257" s="1" t="s">
        <v>229</v>
      </c>
      <c r="BT1257" s="1" t="s">
        <v>210</v>
      </c>
      <c r="BX1257" s="1">
        <v>1</v>
      </c>
    </row>
    <row r="1258" spans="1:76" x14ac:dyDescent="0.25">
      <c r="A1258" s="1" t="s">
        <v>4880</v>
      </c>
      <c r="B1258" s="1" t="s">
        <v>203</v>
      </c>
      <c r="C1258" s="1">
        <v>1</v>
      </c>
      <c r="D1258" s="1" t="s">
        <v>4881</v>
      </c>
      <c r="E1258" s="1" t="s">
        <v>4878</v>
      </c>
      <c r="F1258" s="1" t="s">
        <v>4880</v>
      </c>
      <c r="G1258" s="1">
        <v>1</v>
      </c>
      <c r="L1258" s="1">
        <v>15000</v>
      </c>
      <c r="N1258" s="1">
        <v>600</v>
      </c>
      <c r="P1258" s="1">
        <v>400</v>
      </c>
      <c r="R1258" s="1">
        <v>50</v>
      </c>
      <c r="Z1258" s="1">
        <v>0.05</v>
      </c>
      <c r="AA1258" s="1">
        <v>4</v>
      </c>
      <c r="AB1258" s="1">
        <v>2</v>
      </c>
      <c r="AC1258" s="1">
        <v>0.7</v>
      </c>
      <c r="AH1258" s="1">
        <v>0</v>
      </c>
      <c r="AI1258" s="1">
        <v>1</v>
      </c>
      <c r="AJ1258" s="1" t="s">
        <v>4882</v>
      </c>
      <c r="AK1258" s="1" t="s">
        <v>265</v>
      </c>
      <c r="AL1258" s="1" t="s">
        <v>228</v>
      </c>
      <c r="AN1258" s="22" t="s">
        <v>9767</v>
      </c>
      <c r="AX1258" s="1">
        <v>1</v>
      </c>
      <c r="AZ1258" s="1">
        <v>0.1</v>
      </c>
      <c r="BG1258" s="1" t="s">
        <v>4880</v>
      </c>
      <c r="BM1258" s="1" t="s">
        <v>2063</v>
      </c>
      <c r="BQ1258" s="1" t="s">
        <v>207</v>
      </c>
      <c r="BR1258" s="1" t="s">
        <v>208</v>
      </c>
      <c r="BS1258" s="1" t="s">
        <v>229</v>
      </c>
      <c r="BT1258" s="1" t="s">
        <v>210</v>
      </c>
      <c r="BX1258" s="1">
        <v>1</v>
      </c>
    </row>
    <row r="1259" spans="1:76" x14ac:dyDescent="0.25">
      <c r="A1259" s="1" t="s">
        <v>4883</v>
      </c>
      <c r="B1259" s="1" t="s">
        <v>203</v>
      </c>
      <c r="C1259" s="1">
        <v>1</v>
      </c>
      <c r="D1259" s="1" t="s">
        <v>4884</v>
      </c>
      <c r="E1259" s="1" t="s">
        <v>4885</v>
      </c>
      <c r="F1259" s="1" t="s">
        <v>4883</v>
      </c>
      <c r="G1259" s="1">
        <v>1</v>
      </c>
      <c r="L1259" s="1">
        <v>5000</v>
      </c>
      <c r="N1259" s="1">
        <v>550</v>
      </c>
      <c r="P1259" s="1">
        <v>4000</v>
      </c>
      <c r="R1259" s="1">
        <v>90</v>
      </c>
      <c r="Z1259" s="1">
        <v>0.05</v>
      </c>
      <c r="AA1259" s="1">
        <v>3</v>
      </c>
      <c r="AB1259" s="1">
        <v>4</v>
      </c>
      <c r="AC1259" s="1">
        <v>0.5</v>
      </c>
      <c r="AH1259" s="1">
        <v>1</v>
      </c>
      <c r="AI1259" s="1">
        <v>1</v>
      </c>
      <c r="AJ1259" s="1" t="s">
        <v>4886</v>
      </c>
      <c r="AK1259" s="1" t="s">
        <v>265</v>
      </c>
      <c r="AL1259" s="1" t="s">
        <v>228</v>
      </c>
      <c r="AN1259" s="22" t="s">
        <v>9767</v>
      </c>
      <c r="AX1259" s="1">
        <v>1</v>
      </c>
      <c r="AZ1259" s="1">
        <v>0.1</v>
      </c>
      <c r="BG1259" s="1" t="s">
        <v>4883</v>
      </c>
      <c r="BM1259" s="1" t="s">
        <v>2040</v>
      </c>
      <c r="BQ1259" s="1" t="s">
        <v>207</v>
      </c>
      <c r="BR1259" s="1" t="s">
        <v>208</v>
      </c>
      <c r="BS1259" s="1" t="s">
        <v>229</v>
      </c>
      <c r="BT1259" s="1" t="s">
        <v>210</v>
      </c>
      <c r="BX1259" s="1">
        <v>1</v>
      </c>
    </row>
    <row r="1260" spans="1:76" x14ac:dyDescent="0.25">
      <c r="A1260" s="1" t="s">
        <v>4887</v>
      </c>
      <c r="B1260" s="1" t="s">
        <v>203</v>
      </c>
      <c r="C1260" s="1">
        <v>1</v>
      </c>
      <c r="D1260" s="1" t="s">
        <v>4888</v>
      </c>
      <c r="E1260" s="1" t="s">
        <v>4885</v>
      </c>
      <c r="F1260" s="1" t="s">
        <v>4887</v>
      </c>
      <c r="G1260" s="1">
        <v>1</v>
      </c>
      <c r="L1260" s="1">
        <v>7500</v>
      </c>
      <c r="N1260" s="1">
        <v>800</v>
      </c>
      <c r="P1260" s="1">
        <v>4000</v>
      </c>
      <c r="R1260" s="1">
        <v>90</v>
      </c>
      <c r="Z1260" s="1">
        <v>0.05</v>
      </c>
      <c r="AA1260" s="1">
        <v>3</v>
      </c>
      <c r="AB1260" s="1">
        <v>4</v>
      </c>
      <c r="AC1260" s="1">
        <v>0.5</v>
      </c>
      <c r="AH1260" s="1">
        <v>1</v>
      </c>
      <c r="AI1260" s="1">
        <v>1</v>
      </c>
      <c r="AJ1260" s="1" t="s">
        <v>4889</v>
      </c>
      <c r="AK1260" s="1" t="s">
        <v>265</v>
      </c>
      <c r="AL1260" s="1" t="s">
        <v>228</v>
      </c>
      <c r="AN1260" s="22" t="s">
        <v>9767</v>
      </c>
      <c r="AX1260" s="1">
        <v>1</v>
      </c>
      <c r="AZ1260" s="1">
        <v>0.1</v>
      </c>
      <c r="BG1260" s="1" t="s">
        <v>4887</v>
      </c>
      <c r="BM1260" s="1" t="s">
        <v>2040</v>
      </c>
      <c r="BQ1260" s="1" t="s">
        <v>207</v>
      </c>
      <c r="BR1260" s="1" t="s">
        <v>208</v>
      </c>
      <c r="BS1260" s="1" t="s">
        <v>229</v>
      </c>
      <c r="BT1260" s="1" t="s">
        <v>210</v>
      </c>
      <c r="BX1260" s="1">
        <v>1</v>
      </c>
    </row>
    <row r="1261" spans="1:76" x14ac:dyDescent="0.25">
      <c r="A1261" s="1" t="s">
        <v>4890</v>
      </c>
      <c r="B1261" s="1" t="s">
        <v>203</v>
      </c>
      <c r="C1261" s="1">
        <v>1</v>
      </c>
      <c r="D1261" s="1" t="s">
        <v>4891</v>
      </c>
      <c r="E1261" s="1" t="s">
        <v>4892</v>
      </c>
      <c r="F1261" s="1" t="s">
        <v>4890</v>
      </c>
      <c r="G1261" s="1">
        <v>1</v>
      </c>
      <c r="L1261" s="1">
        <v>4300</v>
      </c>
      <c r="N1261" s="1">
        <v>330</v>
      </c>
      <c r="P1261" s="1">
        <v>150</v>
      </c>
      <c r="R1261" s="1">
        <v>0</v>
      </c>
      <c r="Z1261" s="1">
        <v>0.05</v>
      </c>
      <c r="AA1261" s="1">
        <v>2</v>
      </c>
      <c r="AB1261" s="1">
        <v>1</v>
      </c>
      <c r="AC1261" s="1">
        <v>0.9</v>
      </c>
      <c r="AH1261" s="1">
        <v>0</v>
      </c>
      <c r="AI1261" s="1">
        <v>1</v>
      </c>
      <c r="AJ1261" s="1" t="s">
        <v>4893</v>
      </c>
      <c r="AK1261" s="1" t="s">
        <v>206</v>
      </c>
      <c r="AL1261" s="1" t="s">
        <v>228</v>
      </c>
      <c r="AN1261" s="22" t="s">
        <v>9767</v>
      </c>
      <c r="AX1261" s="1">
        <v>1</v>
      </c>
      <c r="AZ1261" s="1">
        <v>0.1</v>
      </c>
      <c r="BG1261" s="1" t="s">
        <v>4890</v>
      </c>
      <c r="BM1261" s="1" t="s">
        <v>2017</v>
      </c>
      <c r="BQ1261" s="1" t="s">
        <v>207</v>
      </c>
      <c r="BR1261" s="1" t="s">
        <v>208</v>
      </c>
      <c r="BS1261" s="1" t="s">
        <v>229</v>
      </c>
      <c r="BT1261" s="1" t="s">
        <v>210</v>
      </c>
      <c r="BX1261" s="1">
        <v>1</v>
      </c>
    </row>
    <row r="1262" spans="1:76" x14ac:dyDescent="0.25">
      <c r="A1262" s="1" t="s">
        <v>4894</v>
      </c>
      <c r="B1262" s="1" t="s">
        <v>203</v>
      </c>
      <c r="C1262" s="1">
        <v>1</v>
      </c>
      <c r="D1262" s="1" t="s">
        <v>4895</v>
      </c>
      <c r="E1262" s="1" t="s">
        <v>4892</v>
      </c>
      <c r="F1262" s="1" t="s">
        <v>4894</v>
      </c>
      <c r="G1262" s="1">
        <v>1</v>
      </c>
      <c r="L1262" s="1">
        <v>6000</v>
      </c>
      <c r="N1262" s="1">
        <v>500</v>
      </c>
      <c r="P1262" s="1">
        <v>200</v>
      </c>
      <c r="R1262" s="1">
        <v>0</v>
      </c>
      <c r="Z1262" s="1">
        <v>0.05</v>
      </c>
      <c r="AA1262" s="1">
        <v>2</v>
      </c>
      <c r="AB1262" s="1">
        <v>1</v>
      </c>
      <c r="AC1262" s="1">
        <v>0.9</v>
      </c>
      <c r="AH1262" s="1">
        <v>0</v>
      </c>
      <c r="AI1262" s="1">
        <v>1</v>
      </c>
      <c r="AJ1262" s="1" t="s">
        <v>4896</v>
      </c>
      <c r="AK1262" s="1" t="s">
        <v>206</v>
      </c>
      <c r="AL1262" s="1" t="s">
        <v>228</v>
      </c>
      <c r="AN1262" s="22" t="s">
        <v>9767</v>
      </c>
      <c r="AX1262" s="1">
        <v>1</v>
      </c>
      <c r="AZ1262" s="1">
        <v>0.1</v>
      </c>
      <c r="BG1262" s="1" t="s">
        <v>4894</v>
      </c>
      <c r="BM1262" s="1" t="s">
        <v>2017</v>
      </c>
      <c r="BQ1262" s="1" t="s">
        <v>207</v>
      </c>
      <c r="BR1262" s="1" t="s">
        <v>208</v>
      </c>
      <c r="BS1262" s="1" t="s">
        <v>229</v>
      </c>
      <c r="BT1262" s="1" t="s">
        <v>210</v>
      </c>
      <c r="BX1262" s="1">
        <v>1</v>
      </c>
    </row>
    <row r="1263" spans="1:76" x14ac:dyDescent="0.25">
      <c r="A1263" s="1" t="s">
        <v>4897</v>
      </c>
      <c r="B1263" s="1" t="s">
        <v>203</v>
      </c>
      <c r="C1263" s="1">
        <v>1</v>
      </c>
      <c r="D1263" s="1" t="s">
        <v>4898</v>
      </c>
      <c r="E1263" s="1" t="s">
        <v>4899</v>
      </c>
      <c r="F1263" s="1" t="s">
        <v>4897</v>
      </c>
      <c r="G1263" s="1">
        <v>1</v>
      </c>
      <c r="L1263" s="1">
        <v>15000</v>
      </c>
      <c r="N1263" s="1">
        <v>140</v>
      </c>
      <c r="P1263" s="1">
        <v>250</v>
      </c>
      <c r="R1263" s="1">
        <v>60</v>
      </c>
      <c r="Z1263" s="1">
        <v>0.05</v>
      </c>
      <c r="AA1263" s="1">
        <v>1</v>
      </c>
      <c r="AB1263" s="1">
        <v>3</v>
      </c>
      <c r="AC1263" s="1">
        <v>0.8</v>
      </c>
      <c r="AH1263" s="1">
        <v>0</v>
      </c>
      <c r="AI1263" s="1">
        <v>1</v>
      </c>
      <c r="AJ1263" s="1" t="s">
        <v>4900</v>
      </c>
      <c r="AK1263" s="1" t="s">
        <v>265</v>
      </c>
      <c r="AL1263" s="1" t="s">
        <v>228</v>
      </c>
      <c r="AN1263" s="22" t="s">
        <v>9767</v>
      </c>
      <c r="AX1263" s="1">
        <v>1</v>
      </c>
      <c r="AZ1263" s="1">
        <v>0.1</v>
      </c>
      <c r="BG1263" s="1" t="s">
        <v>4897</v>
      </c>
      <c r="BM1263" s="1" t="s">
        <v>4901</v>
      </c>
      <c r="BQ1263" s="1" t="s">
        <v>207</v>
      </c>
      <c r="BR1263" s="1" t="s">
        <v>208</v>
      </c>
      <c r="BS1263" s="1" t="s">
        <v>229</v>
      </c>
      <c r="BT1263" s="1" t="s">
        <v>210</v>
      </c>
      <c r="BX1263" s="1">
        <v>1</v>
      </c>
    </row>
    <row r="1264" spans="1:76" x14ac:dyDescent="0.25">
      <c r="A1264" s="1" t="s">
        <v>4902</v>
      </c>
      <c r="B1264" s="1" t="s">
        <v>203</v>
      </c>
      <c r="C1264" s="1">
        <v>1</v>
      </c>
      <c r="D1264" s="1" t="s">
        <v>4903</v>
      </c>
      <c r="E1264" s="1" t="s">
        <v>4899</v>
      </c>
      <c r="F1264" s="1" t="s">
        <v>4902</v>
      </c>
      <c r="G1264" s="1">
        <v>1</v>
      </c>
      <c r="L1264" s="1">
        <v>20000</v>
      </c>
      <c r="N1264" s="1">
        <v>200</v>
      </c>
      <c r="P1264" s="1">
        <v>325</v>
      </c>
      <c r="R1264" s="1">
        <v>60</v>
      </c>
      <c r="Z1264" s="1">
        <v>0.05</v>
      </c>
      <c r="AA1264" s="1">
        <v>1</v>
      </c>
      <c r="AB1264" s="1">
        <v>3</v>
      </c>
      <c r="AC1264" s="1">
        <v>0.8</v>
      </c>
      <c r="AH1264" s="1">
        <v>0</v>
      </c>
      <c r="AI1264" s="1">
        <v>1</v>
      </c>
      <c r="AJ1264" s="1" t="s">
        <v>4904</v>
      </c>
      <c r="AK1264" s="1" t="s">
        <v>265</v>
      </c>
      <c r="AL1264" s="1" t="s">
        <v>228</v>
      </c>
      <c r="AN1264" s="22" t="s">
        <v>9767</v>
      </c>
      <c r="AX1264" s="1">
        <v>1</v>
      </c>
      <c r="AZ1264" s="1">
        <v>0.1</v>
      </c>
      <c r="BG1264" s="1" t="s">
        <v>4902</v>
      </c>
      <c r="BM1264" s="1" t="s">
        <v>4901</v>
      </c>
      <c r="BQ1264" s="1" t="s">
        <v>207</v>
      </c>
      <c r="BR1264" s="1" t="s">
        <v>208</v>
      </c>
      <c r="BS1264" s="1" t="s">
        <v>229</v>
      </c>
      <c r="BT1264" s="1" t="s">
        <v>210</v>
      </c>
      <c r="BX1264" s="1">
        <v>1</v>
      </c>
    </row>
    <row r="1265" spans="1:76" x14ac:dyDescent="0.25">
      <c r="A1265" s="1" t="s">
        <v>4905</v>
      </c>
      <c r="B1265" s="1" t="s">
        <v>203</v>
      </c>
      <c r="C1265" s="1">
        <v>1</v>
      </c>
      <c r="D1265" s="1" t="s">
        <v>4906</v>
      </c>
      <c r="E1265" s="1" t="s">
        <v>4907</v>
      </c>
      <c r="F1265" s="1" t="s">
        <v>4905</v>
      </c>
      <c r="G1265" s="1">
        <v>1</v>
      </c>
      <c r="L1265" s="1">
        <v>9000</v>
      </c>
      <c r="N1265" s="1">
        <v>100</v>
      </c>
      <c r="P1265" s="1">
        <v>350</v>
      </c>
      <c r="R1265" s="1">
        <v>50</v>
      </c>
      <c r="Z1265" s="1">
        <v>0.05</v>
      </c>
      <c r="AA1265" s="1">
        <v>1.7</v>
      </c>
      <c r="AB1265" s="1">
        <v>2</v>
      </c>
      <c r="AC1265" s="1">
        <v>1</v>
      </c>
      <c r="AH1265" s="1">
        <v>0</v>
      </c>
      <c r="AI1265" s="1">
        <v>1</v>
      </c>
      <c r="AJ1265" s="1" t="s">
        <v>4908</v>
      </c>
      <c r="AK1265" s="1" t="s">
        <v>265</v>
      </c>
      <c r="AL1265" s="1" t="s">
        <v>228</v>
      </c>
      <c r="AN1265" s="22" t="s">
        <v>9767</v>
      </c>
      <c r="AX1265" s="1">
        <v>1</v>
      </c>
      <c r="AZ1265" s="1">
        <v>0.1</v>
      </c>
      <c r="BG1265" s="1" t="s">
        <v>4905</v>
      </c>
      <c r="BM1265" s="1" t="s">
        <v>4909</v>
      </c>
      <c r="BQ1265" s="1" t="s">
        <v>207</v>
      </c>
      <c r="BR1265" s="1" t="s">
        <v>208</v>
      </c>
      <c r="BS1265" s="1" t="s">
        <v>229</v>
      </c>
      <c r="BT1265" s="1" t="s">
        <v>210</v>
      </c>
      <c r="BX1265" s="1">
        <v>1</v>
      </c>
    </row>
    <row r="1266" spans="1:76" x14ac:dyDescent="0.25">
      <c r="A1266" s="1" t="s">
        <v>4910</v>
      </c>
      <c r="B1266" s="1" t="s">
        <v>203</v>
      </c>
      <c r="C1266" s="1">
        <v>1</v>
      </c>
      <c r="D1266" s="1" t="s">
        <v>4911</v>
      </c>
      <c r="E1266" s="1" t="s">
        <v>4907</v>
      </c>
      <c r="F1266" s="1" t="s">
        <v>4910</v>
      </c>
      <c r="G1266" s="1">
        <v>1</v>
      </c>
      <c r="L1266" s="1">
        <v>11000</v>
      </c>
      <c r="N1266" s="1">
        <v>100</v>
      </c>
      <c r="P1266" s="1">
        <v>500</v>
      </c>
      <c r="R1266" s="1">
        <v>50</v>
      </c>
      <c r="Z1266" s="1">
        <v>0.05</v>
      </c>
      <c r="AA1266" s="1">
        <v>1.7</v>
      </c>
      <c r="AB1266" s="1">
        <v>2</v>
      </c>
      <c r="AC1266" s="1">
        <v>1</v>
      </c>
      <c r="AH1266" s="1">
        <v>0</v>
      </c>
      <c r="AI1266" s="1">
        <v>1</v>
      </c>
      <c r="AJ1266" s="1" t="s">
        <v>4912</v>
      </c>
      <c r="AK1266" s="1" t="s">
        <v>265</v>
      </c>
      <c r="AL1266" s="1" t="s">
        <v>228</v>
      </c>
      <c r="AN1266" s="22" t="s">
        <v>9767</v>
      </c>
      <c r="AX1266" s="1">
        <v>1</v>
      </c>
      <c r="AZ1266" s="1">
        <v>0.1</v>
      </c>
      <c r="BG1266" s="1" t="s">
        <v>4910</v>
      </c>
      <c r="BM1266" s="1" t="s">
        <v>4909</v>
      </c>
      <c r="BQ1266" s="1" t="s">
        <v>207</v>
      </c>
      <c r="BR1266" s="1" t="s">
        <v>208</v>
      </c>
      <c r="BS1266" s="1" t="s">
        <v>229</v>
      </c>
      <c r="BT1266" s="1" t="s">
        <v>210</v>
      </c>
      <c r="BX1266" s="1">
        <v>1</v>
      </c>
    </row>
    <row r="1267" spans="1:76" x14ac:dyDescent="0.25">
      <c r="A1267" s="1" t="s">
        <v>4913</v>
      </c>
      <c r="B1267" s="1" t="s">
        <v>203</v>
      </c>
      <c r="C1267" s="1">
        <v>1</v>
      </c>
      <c r="D1267" s="1" t="s">
        <v>4914</v>
      </c>
      <c r="E1267" s="1" t="s">
        <v>4915</v>
      </c>
      <c r="F1267" s="1" t="s">
        <v>4913</v>
      </c>
      <c r="G1267" s="1">
        <v>1</v>
      </c>
      <c r="L1267" s="1">
        <v>6000</v>
      </c>
      <c r="N1267" s="1">
        <v>400</v>
      </c>
      <c r="P1267" s="1">
        <v>200</v>
      </c>
      <c r="R1267" s="1">
        <v>30</v>
      </c>
      <c r="Z1267" s="1">
        <v>0.05</v>
      </c>
      <c r="AA1267" s="1">
        <v>3</v>
      </c>
      <c r="AB1267" s="1">
        <v>2</v>
      </c>
      <c r="AC1267" s="1">
        <v>0.6</v>
      </c>
      <c r="AH1267" s="1">
        <v>0</v>
      </c>
      <c r="AI1267" s="1">
        <v>1</v>
      </c>
      <c r="AJ1267" s="1" t="s">
        <v>4916</v>
      </c>
      <c r="AK1267" s="1" t="s">
        <v>206</v>
      </c>
      <c r="AL1267" s="1" t="s">
        <v>228</v>
      </c>
      <c r="AN1267" s="22" t="s">
        <v>9767</v>
      </c>
      <c r="AX1267" s="1">
        <v>1</v>
      </c>
      <c r="AZ1267" s="1">
        <v>0.1</v>
      </c>
      <c r="BG1267" s="1" t="s">
        <v>4913</v>
      </c>
      <c r="BM1267" s="1" t="s">
        <v>2032</v>
      </c>
      <c r="BQ1267" s="1" t="s">
        <v>207</v>
      </c>
      <c r="BR1267" s="1" t="s">
        <v>208</v>
      </c>
      <c r="BS1267" s="1" t="s">
        <v>229</v>
      </c>
      <c r="BT1267" s="1" t="s">
        <v>210</v>
      </c>
      <c r="BX1267" s="1">
        <v>1</v>
      </c>
    </row>
    <row r="1268" spans="1:76" x14ac:dyDescent="0.25">
      <c r="A1268" s="1" t="s">
        <v>4917</v>
      </c>
      <c r="B1268" s="1" t="s">
        <v>203</v>
      </c>
      <c r="C1268" s="1">
        <v>1</v>
      </c>
      <c r="D1268" s="1" t="s">
        <v>4918</v>
      </c>
      <c r="E1268" s="1" t="s">
        <v>4915</v>
      </c>
      <c r="F1268" s="1" t="s">
        <v>4917</v>
      </c>
      <c r="G1268" s="1">
        <v>1</v>
      </c>
      <c r="L1268" s="1">
        <v>8000</v>
      </c>
      <c r="N1268" s="1">
        <v>550</v>
      </c>
      <c r="P1268" s="1">
        <v>300</v>
      </c>
      <c r="R1268" s="1">
        <v>30</v>
      </c>
      <c r="Z1268" s="1">
        <v>0.05</v>
      </c>
      <c r="AA1268" s="1">
        <v>3</v>
      </c>
      <c r="AB1268" s="1">
        <v>2</v>
      </c>
      <c r="AC1268" s="1">
        <v>0.6</v>
      </c>
      <c r="AH1268" s="1">
        <v>0</v>
      </c>
      <c r="AI1268" s="1">
        <v>1</v>
      </c>
      <c r="AJ1268" s="1" t="s">
        <v>4919</v>
      </c>
      <c r="AK1268" s="1" t="s">
        <v>206</v>
      </c>
      <c r="AL1268" s="1" t="s">
        <v>228</v>
      </c>
      <c r="AN1268" s="22" t="s">
        <v>9767</v>
      </c>
      <c r="AX1268" s="1">
        <v>1</v>
      </c>
      <c r="AZ1268" s="1">
        <v>0.1</v>
      </c>
      <c r="BG1268" s="1" t="s">
        <v>4917</v>
      </c>
      <c r="BM1268" s="1" t="s">
        <v>2032</v>
      </c>
      <c r="BQ1268" s="1" t="s">
        <v>207</v>
      </c>
      <c r="BR1268" s="1" t="s">
        <v>208</v>
      </c>
      <c r="BS1268" s="1" t="s">
        <v>229</v>
      </c>
      <c r="BT1268" s="1" t="s">
        <v>210</v>
      </c>
      <c r="BX1268" s="1">
        <v>1</v>
      </c>
    </row>
    <row r="1269" spans="1:76" x14ac:dyDescent="0.25">
      <c r="A1269" s="1" t="s">
        <v>4920</v>
      </c>
      <c r="B1269" s="1" t="s">
        <v>203</v>
      </c>
      <c r="C1269" s="1">
        <v>1</v>
      </c>
      <c r="D1269" s="1" t="s">
        <v>4921</v>
      </c>
      <c r="E1269" s="1" t="s">
        <v>4922</v>
      </c>
      <c r="F1269" s="1" t="s">
        <v>4920</v>
      </c>
      <c r="G1269" s="1">
        <v>1</v>
      </c>
      <c r="L1269" s="1">
        <v>25000</v>
      </c>
      <c r="N1269" s="1">
        <v>350</v>
      </c>
      <c r="P1269" s="1">
        <v>50</v>
      </c>
      <c r="R1269" s="1">
        <v>25</v>
      </c>
      <c r="Z1269" s="1">
        <v>0.05</v>
      </c>
      <c r="AA1269" s="1">
        <v>3</v>
      </c>
      <c r="AB1269" s="1">
        <v>2</v>
      </c>
      <c r="AC1269" s="1">
        <v>1</v>
      </c>
      <c r="AH1269" s="1">
        <v>0</v>
      </c>
      <c r="AI1269" s="1">
        <v>1</v>
      </c>
      <c r="AJ1269" s="1" t="s">
        <v>4923</v>
      </c>
      <c r="AK1269" s="1" t="s">
        <v>265</v>
      </c>
      <c r="AL1269" s="1" t="s">
        <v>228</v>
      </c>
      <c r="AN1269" s="22" t="s">
        <v>9767</v>
      </c>
      <c r="AX1269" s="1">
        <v>1</v>
      </c>
      <c r="AZ1269" s="1">
        <v>0.1</v>
      </c>
      <c r="BG1269" s="1" t="s">
        <v>4920</v>
      </c>
      <c r="BM1269" s="1" t="s">
        <v>4924</v>
      </c>
      <c r="BQ1269" s="1" t="s">
        <v>4925</v>
      </c>
      <c r="BR1269" s="1" t="s">
        <v>3481</v>
      </c>
      <c r="BS1269" s="1" t="s">
        <v>3481</v>
      </c>
      <c r="BT1269" s="1" t="s">
        <v>4926</v>
      </c>
      <c r="BX1269" s="1">
        <v>1</v>
      </c>
    </row>
    <row r="1270" spans="1:76" x14ac:dyDescent="0.25">
      <c r="A1270" s="1" t="s">
        <v>4927</v>
      </c>
      <c r="B1270" s="1" t="s">
        <v>203</v>
      </c>
      <c r="C1270" s="1">
        <v>1</v>
      </c>
      <c r="D1270" s="1" t="s">
        <v>4928</v>
      </c>
      <c r="E1270" s="1" t="s">
        <v>4922</v>
      </c>
      <c r="F1270" s="1" t="s">
        <v>4927</v>
      </c>
      <c r="G1270" s="1">
        <v>1</v>
      </c>
      <c r="L1270" s="1">
        <v>32500</v>
      </c>
      <c r="N1270" s="1">
        <v>500</v>
      </c>
      <c r="P1270" s="1">
        <v>50</v>
      </c>
      <c r="R1270" s="1">
        <v>25</v>
      </c>
      <c r="Z1270" s="1">
        <v>0.05</v>
      </c>
      <c r="AA1270" s="1">
        <v>3</v>
      </c>
      <c r="AB1270" s="1">
        <v>2</v>
      </c>
      <c r="AC1270" s="1">
        <v>1</v>
      </c>
      <c r="AH1270" s="1">
        <v>0</v>
      </c>
      <c r="AI1270" s="1">
        <v>1</v>
      </c>
      <c r="AJ1270" s="1" t="s">
        <v>4929</v>
      </c>
      <c r="AK1270" s="1" t="s">
        <v>265</v>
      </c>
      <c r="AL1270" s="1" t="s">
        <v>228</v>
      </c>
      <c r="AN1270" s="22" t="s">
        <v>9767</v>
      </c>
      <c r="AX1270" s="1">
        <v>1</v>
      </c>
      <c r="AZ1270" s="1">
        <v>0.1</v>
      </c>
      <c r="BG1270" s="1" t="s">
        <v>4927</v>
      </c>
      <c r="BM1270" s="1" t="s">
        <v>4924</v>
      </c>
      <c r="BQ1270" s="1" t="s">
        <v>4925</v>
      </c>
      <c r="BR1270" s="1" t="s">
        <v>3481</v>
      </c>
      <c r="BS1270" s="1" t="s">
        <v>3481</v>
      </c>
      <c r="BT1270" s="1" t="s">
        <v>4926</v>
      </c>
      <c r="BX1270" s="1">
        <v>1</v>
      </c>
    </row>
    <row r="1271" spans="1:76" x14ac:dyDescent="0.25">
      <c r="A1271" s="1" t="s">
        <v>4930</v>
      </c>
      <c r="B1271" s="1" t="s">
        <v>203</v>
      </c>
      <c r="C1271" s="1">
        <v>1</v>
      </c>
      <c r="D1271" s="1" t="s">
        <v>4931</v>
      </c>
      <c r="E1271" s="1" t="s">
        <v>4932</v>
      </c>
      <c r="F1271" s="1" t="s">
        <v>4930</v>
      </c>
      <c r="G1271" s="1">
        <v>1</v>
      </c>
      <c r="L1271" s="1">
        <v>15000</v>
      </c>
      <c r="N1271" s="1">
        <v>1200</v>
      </c>
      <c r="P1271" s="1">
        <v>700</v>
      </c>
      <c r="R1271" s="1">
        <v>20</v>
      </c>
      <c r="Z1271" s="1">
        <v>0.05</v>
      </c>
      <c r="AA1271" s="1">
        <v>3</v>
      </c>
      <c r="AB1271" s="1">
        <v>4</v>
      </c>
      <c r="AC1271" s="1">
        <v>0.7</v>
      </c>
      <c r="AH1271" s="1">
        <v>0</v>
      </c>
      <c r="AI1271" s="1">
        <v>1</v>
      </c>
      <c r="AJ1271" s="1" t="s">
        <v>4933</v>
      </c>
      <c r="AK1271" s="1" t="s">
        <v>206</v>
      </c>
      <c r="AL1271" s="1" t="s">
        <v>228</v>
      </c>
      <c r="AN1271" s="22" t="s">
        <v>9767</v>
      </c>
      <c r="AX1271" s="1">
        <v>1</v>
      </c>
      <c r="AZ1271" s="1">
        <v>0.1</v>
      </c>
      <c r="BG1271" s="1" t="s">
        <v>4930</v>
      </c>
      <c r="BM1271" s="1" t="s">
        <v>2040</v>
      </c>
      <c r="BQ1271" s="1" t="s">
        <v>4925</v>
      </c>
      <c r="BR1271" s="1" t="s">
        <v>3481</v>
      </c>
      <c r="BS1271" s="1" t="s">
        <v>3482</v>
      </c>
      <c r="BT1271" s="1" t="s">
        <v>4926</v>
      </c>
      <c r="BX1271" s="1">
        <v>1</v>
      </c>
    </row>
    <row r="1272" spans="1:76" x14ac:dyDescent="0.25">
      <c r="A1272" s="1" t="s">
        <v>4934</v>
      </c>
      <c r="B1272" s="1" t="s">
        <v>203</v>
      </c>
      <c r="C1272" s="1">
        <v>1</v>
      </c>
      <c r="D1272" s="1" t="s">
        <v>4935</v>
      </c>
      <c r="E1272" s="1" t="s">
        <v>4932</v>
      </c>
      <c r="F1272" s="1" t="s">
        <v>4934</v>
      </c>
      <c r="G1272" s="1">
        <v>1</v>
      </c>
      <c r="L1272" s="1">
        <v>20000</v>
      </c>
      <c r="N1272" s="1">
        <v>1600</v>
      </c>
      <c r="P1272" s="1">
        <v>1000</v>
      </c>
      <c r="R1272" s="1">
        <v>20</v>
      </c>
      <c r="Z1272" s="1">
        <v>0.05</v>
      </c>
      <c r="AA1272" s="1">
        <v>3</v>
      </c>
      <c r="AB1272" s="1">
        <v>4</v>
      </c>
      <c r="AC1272" s="1">
        <v>0.7</v>
      </c>
      <c r="AH1272" s="1">
        <v>0</v>
      </c>
      <c r="AI1272" s="1">
        <v>1</v>
      </c>
      <c r="AJ1272" s="1" t="s">
        <v>4936</v>
      </c>
      <c r="AK1272" s="1" t="s">
        <v>206</v>
      </c>
      <c r="AL1272" s="1" t="s">
        <v>228</v>
      </c>
      <c r="AN1272" s="22" t="s">
        <v>9767</v>
      </c>
      <c r="AX1272" s="1">
        <v>1</v>
      </c>
      <c r="AZ1272" s="1">
        <v>0.1</v>
      </c>
      <c r="BG1272" s="1" t="s">
        <v>4934</v>
      </c>
      <c r="BM1272" s="1" t="s">
        <v>2040</v>
      </c>
      <c r="BQ1272" s="1" t="s">
        <v>4925</v>
      </c>
      <c r="BR1272" s="1" t="s">
        <v>3481</v>
      </c>
      <c r="BS1272" s="1" t="s">
        <v>3482</v>
      </c>
      <c r="BT1272" s="1" t="s">
        <v>4926</v>
      </c>
      <c r="BX1272" s="1">
        <v>1</v>
      </c>
    </row>
    <row r="1273" spans="1:76" x14ac:dyDescent="0.25">
      <c r="A1273" s="1" t="s">
        <v>4937</v>
      </c>
      <c r="B1273" s="1" t="s">
        <v>203</v>
      </c>
      <c r="C1273" s="1">
        <v>1</v>
      </c>
      <c r="D1273" s="1" t="s">
        <v>4938</v>
      </c>
      <c r="E1273" s="1" t="s">
        <v>4939</v>
      </c>
      <c r="F1273" s="1" t="s">
        <v>4937</v>
      </c>
      <c r="G1273" s="1">
        <v>1.1499999999999999</v>
      </c>
      <c r="L1273" s="1">
        <v>25000</v>
      </c>
      <c r="N1273" s="1">
        <v>330</v>
      </c>
      <c r="P1273" s="1">
        <v>100</v>
      </c>
      <c r="R1273" s="1">
        <v>10</v>
      </c>
      <c r="Z1273" s="1">
        <v>0.05</v>
      </c>
      <c r="AA1273" s="1">
        <v>2</v>
      </c>
      <c r="AB1273" s="1">
        <v>1</v>
      </c>
      <c r="AC1273" s="1">
        <v>0</v>
      </c>
      <c r="AH1273" s="1">
        <v>0</v>
      </c>
      <c r="AI1273" s="1">
        <v>1</v>
      </c>
      <c r="AJ1273" s="1" t="s">
        <v>4940</v>
      </c>
      <c r="AK1273" s="1" t="s">
        <v>265</v>
      </c>
      <c r="AL1273" s="1" t="s">
        <v>228</v>
      </c>
      <c r="AN1273" s="22" t="s">
        <v>9767</v>
      </c>
      <c r="AX1273" s="1">
        <v>1</v>
      </c>
      <c r="AZ1273" s="1">
        <v>0.1</v>
      </c>
      <c r="BG1273" s="1" t="s">
        <v>4937</v>
      </c>
      <c r="BM1273" s="1" t="s">
        <v>4941</v>
      </c>
      <c r="BQ1273" s="1" t="s">
        <v>207</v>
      </c>
      <c r="BR1273" s="1" t="s">
        <v>208</v>
      </c>
      <c r="BS1273" s="1" t="s">
        <v>208</v>
      </c>
      <c r="BT1273" s="1" t="s">
        <v>210</v>
      </c>
      <c r="BX1273" s="1">
        <v>1</v>
      </c>
    </row>
    <row r="1274" spans="1:76" x14ac:dyDescent="0.25">
      <c r="A1274" s="1" t="s">
        <v>4942</v>
      </c>
      <c r="B1274" s="1" t="s">
        <v>203</v>
      </c>
      <c r="C1274" s="1">
        <v>1</v>
      </c>
      <c r="D1274" s="1" t="s">
        <v>4938</v>
      </c>
      <c r="E1274" s="1" t="s">
        <v>4939</v>
      </c>
      <c r="F1274" s="1" t="s">
        <v>4937</v>
      </c>
      <c r="G1274" s="1">
        <v>1.1499999999999999</v>
      </c>
      <c r="L1274" s="1">
        <v>25000</v>
      </c>
      <c r="N1274" s="1">
        <v>500</v>
      </c>
      <c r="P1274" s="1">
        <v>100</v>
      </c>
      <c r="R1274" s="1">
        <v>10</v>
      </c>
      <c r="Z1274" s="1">
        <v>0.05</v>
      </c>
      <c r="AA1274" s="1">
        <v>2</v>
      </c>
      <c r="AB1274" s="1">
        <v>1</v>
      </c>
      <c r="AC1274" s="1">
        <v>0</v>
      </c>
      <c r="AH1274" s="1">
        <v>0</v>
      </c>
      <c r="AI1274" s="1">
        <v>1</v>
      </c>
      <c r="AJ1274" s="1" t="s">
        <v>4943</v>
      </c>
      <c r="AK1274" s="1" t="s">
        <v>265</v>
      </c>
      <c r="AL1274" s="1" t="s">
        <v>228</v>
      </c>
      <c r="AN1274" s="22" t="s">
        <v>9767</v>
      </c>
      <c r="AX1274" s="1">
        <v>1</v>
      </c>
      <c r="AZ1274" s="1">
        <v>0.1</v>
      </c>
      <c r="BG1274" s="1" t="s">
        <v>4937</v>
      </c>
      <c r="BM1274" s="1" t="s">
        <v>4944</v>
      </c>
      <c r="BQ1274" s="1" t="s">
        <v>207</v>
      </c>
      <c r="BR1274" s="1" t="s">
        <v>208</v>
      </c>
      <c r="BS1274" s="1" t="s">
        <v>208</v>
      </c>
      <c r="BT1274" s="1" t="s">
        <v>210</v>
      </c>
      <c r="BX1274" s="1">
        <v>1</v>
      </c>
    </row>
    <row r="1275" spans="1:76" x14ac:dyDescent="0.25">
      <c r="A1275" s="1" t="s">
        <v>4945</v>
      </c>
      <c r="B1275" s="1" t="s">
        <v>203</v>
      </c>
      <c r="C1275" s="1">
        <v>1</v>
      </c>
      <c r="D1275" s="1" t="s">
        <v>4946</v>
      </c>
      <c r="E1275" s="1" t="s">
        <v>4947</v>
      </c>
      <c r="F1275" s="1" t="s">
        <v>4945</v>
      </c>
      <c r="G1275" s="1">
        <v>1</v>
      </c>
      <c r="L1275" s="1">
        <v>70000</v>
      </c>
      <c r="N1275" s="1">
        <v>1500</v>
      </c>
      <c r="P1275" s="1">
        <v>700</v>
      </c>
      <c r="R1275" s="1">
        <v>40</v>
      </c>
      <c r="Z1275" s="1">
        <v>0.05</v>
      </c>
      <c r="AA1275" s="1">
        <v>4</v>
      </c>
      <c r="AB1275" s="1">
        <v>10</v>
      </c>
      <c r="AC1275" s="1">
        <v>0.45</v>
      </c>
      <c r="AH1275" s="1">
        <v>0</v>
      </c>
      <c r="AI1275" s="1">
        <v>1</v>
      </c>
      <c r="AJ1275" s="1" t="s">
        <v>4948</v>
      </c>
      <c r="AK1275" s="1" t="s">
        <v>265</v>
      </c>
      <c r="AL1275" s="1" t="s">
        <v>228</v>
      </c>
      <c r="AN1275" s="22" t="s">
        <v>9767</v>
      </c>
      <c r="AX1275" s="1">
        <v>2</v>
      </c>
      <c r="AZ1275" s="1">
        <v>0.1</v>
      </c>
      <c r="BG1275" s="1" t="s">
        <v>4945</v>
      </c>
      <c r="BM1275" s="1" t="s">
        <v>4949</v>
      </c>
      <c r="BQ1275" s="1" t="s">
        <v>207</v>
      </c>
      <c r="BR1275" s="1" t="s">
        <v>208</v>
      </c>
      <c r="BS1275" s="1" t="s">
        <v>229</v>
      </c>
      <c r="BT1275" s="1" t="s">
        <v>210</v>
      </c>
      <c r="BX1275" s="1">
        <v>1</v>
      </c>
    </row>
    <row r="1276" spans="1:76" x14ac:dyDescent="0.25">
      <c r="A1276" s="1" t="s">
        <v>4950</v>
      </c>
      <c r="B1276" s="1" t="s">
        <v>203</v>
      </c>
      <c r="C1276" s="1">
        <v>1</v>
      </c>
      <c r="D1276" s="1" t="s">
        <v>4951</v>
      </c>
      <c r="E1276" s="1">
        <v>10064</v>
      </c>
      <c r="F1276" s="1" t="s">
        <v>4950</v>
      </c>
      <c r="G1276" s="1">
        <v>1</v>
      </c>
      <c r="L1276" s="1">
        <v>6500</v>
      </c>
      <c r="N1276" s="1">
        <v>500</v>
      </c>
      <c r="P1276" s="1">
        <v>150</v>
      </c>
      <c r="R1276" s="1">
        <v>50</v>
      </c>
      <c r="Z1276" s="1">
        <v>0.05</v>
      </c>
      <c r="AA1276" s="1">
        <v>2.4</v>
      </c>
      <c r="AB1276" s="1">
        <v>3</v>
      </c>
      <c r="AC1276" s="1">
        <v>0.75</v>
      </c>
      <c r="AH1276" s="1">
        <v>0</v>
      </c>
      <c r="AI1276" s="1">
        <v>1</v>
      </c>
      <c r="AJ1276" s="1" t="s">
        <v>4952</v>
      </c>
      <c r="AK1276" s="1" t="s">
        <v>206</v>
      </c>
      <c r="AL1276" s="1" t="s">
        <v>228</v>
      </c>
      <c r="AN1276" s="22" t="s">
        <v>9767</v>
      </c>
      <c r="AX1276" s="1">
        <v>1</v>
      </c>
      <c r="AZ1276" s="1">
        <v>0.25</v>
      </c>
      <c r="BG1276" s="1" t="s">
        <v>4950</v>
      </c>
      <c r="BM1276" s="1" t="s">
        <v>4721</v>
      </c>
      <c r="BQ1276" s="1" t="s">
        <v>207</v>
      </c>
      <c r="BR1276" s="1" t="s">
        <v>208</v>
      </c>
      <c r="BS1276" s="1" t="s">
        <v>229</v>
      </c>
      <c r="BT1276" s="1" t="s">
        <v>210</v>
      </c>
      <c r="BX1276" s="1">
        <v>1</v>
      </c>
    </row>
    <row r="1277" spans="1:76" x14ac:dyDescent="0.25">
      <c r="A1277" s="1" t="s">
        <v>4953</v>
      </c>
      <c r="B1277" s="1" t="s">
        <v>203</v>
      </c>
      <c r="C1277" s="1">
        <v>1</v>
      </c>
      <c r="D1277" s="1" t="s">
        <v>4954</v>
      </c>
      <c r="E1277" s="1">
        <v>10064</v>
      </c>
      <c r="F1277" s="1" t="s">
        <v>4953</v>
      </c>
      <c r="G1277" s="1">
        <v>1</v>
      </c>
      <c r="L1277" s="1">
        <v>9000</v>
      </c>
      <c r="N1277" s="1">
        <v>680</v>
      </c>
      <c r="P1277" s="1">
        <v>150</v>
      </c>
      <c r="R1277" s="1">
        <v>50</v>
      </c>
      <c r="Z1277" s="1">
        <v>0.05</v>
      </c>
      <c r="AA1277" s="1">
        <v>2.4</v>
      </c>
      <c r="AB1277" s="1">
        <v>3</v>
      </c>
      <c r="AC1277" s="1">
        <v>0.75</v>
      </c>
      <c r="AH1277" s="1">
        <v>0</v>
      </c>
      <c r="AI1277" s="1">
        <v>1</v>
      </c>
      <c r="AJ1277" s="1" t="s">
        <v>4955</v>
      </c>
      <c r="AK1277" s="1" t="s">
        <v>206</v>
      </c>
      <c r="AL1277" s="1" t="s">
        <v>228</v>
      </c>
      <c r="AN1277" s="22" t="s">
        <v>9767</v>
      </c>
      <c r="AX1277" s="1">
        <v>1</v>
      </c>
      <c r="AZ1277" s="1">
        <v>0.25</v>
      </c>
      <c r="BG1277" s="1" t="s">
        <v>4953</v>
      </c>
      <c r="BM1277" s="1" t="s">
        <v>4721</v>
      </c>
      <c r="BQ1277" s="1" t="s">
        <v>207</v>
      </c>
      <c r="BR1277" s="1" t="s">
        <v>208</v>
      </c>
      <c r="BS1277" s="1" t="s">
        <v>229</v>
      </c>
      <c r="BT1277" s="1" t="s">
        <v>210</v>
      </c>
      <c r="BX1277" s="1">
        <v>1</v>
      </c>
    </row>
    <row r="1278" spans="1:76" x14ac:dyDescent="0.25">
      <c r="A1278" s="1" t="s">
        <v>4956</v>
      </c>
      <c r="B1278" s="1" t="s">
        <v>203</v>
      </c>
      <c r="C1278" s="1">
        <v>1</v>
      </c>
      <c r="D1278" s="1" t="s">
        <v>4957</v>
      </c>
      <c r="E1278" s="1">
        <v>10065</v>
      </c>
      <c r="F1278" s="1" t="s">
        <v>4956</v>
      </c>
      <c r="G1278" s="1">
        <v>1</v>
      </c>
      <c r="L1278" s="1">
        <v>3800</v>
      </c>
      <c r="N1278" s="1">
        <v>240</v>
      </c>
      <c r="P1278" s="1">
        <v>0</v>
      </c>
      <c r="R1278" s="1">
        <v>5</v>
      </c>
      <c r="Z1278" s="1">
        <v>0.05</v>
      </c>
      <c r="AA1278" s="1">
        <v>1.7</v>
      </c>
      <c r="AB1278" s="1">
        <v>1</v>
      </c>
      <c r="AC1278" s="1">
        <v>1</v>
      </c>
      <c r="AH1278" s="1">
        <v>0</v>
      </c>
      <c r="AI1278" s="1">
        <v>1</v>
      </c>
      <c r="AJ1278" s="1" t="s">
        <v>4958</v>
      </c>
      <c r="AK1278" s="1" t="s">
        <v>206</v>
      </c>
      <c r="AL1278" s="1" t="s">
        <v>228</v>
      </c>
      <c r="AN1278" s="22" t="s">
        <v>9767</v>
      </c>
      <c r="AX1278" s="1">
        <v>1</v>
      </c>
      <c r="AZ1278" s="1">
        <v>0.25</v>
      </c>
      <c r="BG1278" s="1" t="s">
        <v>4956</v>
      </c>
      <c r="BM1278" s="1" t="s">
        <v>4959</v>
      </c>
      <c r="BQ1278" s="1" t="s">
        <v>207</v>
      </c>
      <c r="BR1278" s="1" t="s">
        <v>208</v>
      </c>
      <c r="BS1278" s="1" t="s">
        <v>229</v>
      </c>
      <c r="BT1278" s="1" t="s">
        <v>210</v>
      </c>
      <c r="BX1278" s="1">
        <v>1</v>
      </c>
    </row>
    <row r="1279" spans="1:76" x14ac:dyDescent="0.25">
      <c r="A1279" s="1" t="s">
        <v>4960</v>
      </c>
      <c r="B1279" s="1" t="s">
        <v>203</v>
      </c>
      <c r="C1279" s="1">
        <v>1</v>
      </c>
      <c r="D1279" s="1" t="s">
        <v>4961</v>
      </c>
      <c r="E1279" s="1">
        <v>10065</v>
      </c>
      <c r="F1279" s="1" t="s">
        <v>4960</v>
      </c>
      <c r="G1279" s="1">
        <v>1</v>
      </c>
      <c r="L1279" s="1">
        <v>5000</v>
      </c>
      <c r="N1279" s="1">
        <v>380</v>
      </c>
      <c r="P1279" s="1">
        <v>0</v>
      </c>
      <c r="R1279" s="1">
        <v>5</v>
      </c>
      <c r="Z1279" s="1">
        <v>0.05</v>
      </c>
      <c r="AA1279" s="1">
        <v>1.7</v>
      </c>
      <c r="AB1279" s="1">
        <v>1</v>
      </c>
      <c r="AC1279" s="1">
        <v>1</v>
      </c>
      <c r="AH1279" s="1">
        <v>0</v>
      </c>
      <c r="AI1279" s="1">
        <v>1</v>
      </c>
      <c r="AJ1279" s="1" t="s">
        <v>4962</v>
      </c>
      <c r="AK1279" s="1" t="s">
        <v>206</v>
      </c>
      <c r="AL1279" s="1" t="s">
        <v>228</v>
      </c>
      <c r="AN1279" s="22" t="s">
        <v>9767</v>
      </c>
      <c r="AX1279" s="1">
        <v>1</v>
      </c>
      <c r="AZ1279" s="1">
        <v>0.25</v>
      </c>
      <c r="BG1279" s="1" t="s">
        <v>4960</v>
      </c>
      <c r="BM1279" s="1" t="s">
        <v>4959</v>
      </c>
      <c r="BQ1279" s="1" t="s">
        <v>207</v>
      </c>
      <c r="BR1279" s="1" t="s">
        <v>208</v>
      </c>
      <c r="BS1279" s="1" t="s">
        <v>229</v>
      </c>
      <c r="BT1279" s="1" t="s">
        <v>210</v>
      </c>
      <c r="BX1279" s="1">
        <v>1</v>
      </c>
    </row>
    <row r="1280" spans="1:76" x14ac:dyDescent="0.25">
      <c r="A1280" s="1" t="s">
        <v>4963</v>
      </c>
      <c r="B1280" s="1" t="s">
        <v>203</v>
      </c>
      <c r="C1280" s="1">
        <v>1</v>
      </c>
      <c r="D1280" s="1" t="s">
        <v>4964</v>
      </c>
      <c r="E1280" s="1">
        <v>10066</v>
      </c>
      <c r="F1280" s="1" t="s">
        <v>4963</v>
      </c>
      <c r="G1280" s="1">
        <v>1</v>
      </c>
      <c r="L1280" s="1">
        <v>9000</v>
      </c>
      <c r="N1280" s="1">
        <v>320</v>
      </c>
      <c r="P1280" s="1">
        <v>0</v>
      </c>
      <c r="R1280" s="1">
        <v>0</v>
      </c>
      <c r="Z1280" s="1">
        <v>0.05</v>
      </c>
      <c r="AA1280" s="1">
        <v>2</v>
      </c>
      <c r="AB1280" s="1">
        <v>3</v>
      </c>
      <c r="AC1280" s="1">
        <v>0.7</v>
      </c>
      <c r="AH1280" s="1">
        <v>0</v>
      </c>
      <c r="AI1280" s="1">
        <v>1</v>
      </c>
      <c r="AJ1280" s="1" t="s">
        <v>4965</v>
      </c>
      <c r="AK1280" s="1" t="s">
        <v>206</v>
      </c>
      <c r="AL1280" s="1" t="s">
        <v>228</v>
      </c>
      <c r="AN1280" s="22" t="s">
        <v>9767</v>
      </c>
      <c r="AX1280" s="1">
        <v>1</v>
      </c>
      <c r="AZ1280" s="1">
        <v>0.25</v>
      </c>
      <c r="BG1280" s="1" t="s">
        <v>4963</v>
      </c>
      <c r="BM1280" s="1" t="s">
        <v>4959</v>
      </c>
      <c r="BQ1280" s="1" t="s">
        <v>207</v>
      </c>
      <c r="BR1280" s="1" t="s">
        <v>208</v>
      </c>
      <c r="BS1280" s="1" t="s">
        <v>229</v>
      </c>
      <c r="BT1280" s="1" t="s">
        <v>210</v>
      </c>
      <c r="BX1280" s="1">
        <v>1</v>
      </c>
    </row>
    <row r="1281" spans="1:76" x14ac:dyDescent="0.25">
      <c r="A1281" s="1" t="s">
        <v>4966</v>
      </c>
      <c r="B1281" s="1" t="s">
        <v>203</v>
      </c>
      <c r="C1281" s="1">
        <v>1</v>
      </c>
      <c r="D1281" s="1" t="s">
        <v>4961</v>
      </c>
      <c r="E1281" s="1">
        <v>10066</v>
      </c>
      <c r="F1281" s="1" t="s">
        <v>4966</v>
      </c>
      <c r="G1281" s="1">
        <v>1</v>
      </c>
      <c r="L1281" s="1">
        <v>11000</v>
      </c>
      <c r="N1281" s="1">
        <v>450</v>
      </c>
      <c r="P1281" s="1">
        <v>0</v>
      </c>
      <c r="R1281" s="1">
        <v>0</v>
      </c>
      <c r="Z1281" s="1">
        <v>0.05</v>
      </c>
      <c r="AA1281" s="1">
        <v>2</v>
      </c>
      <c r="AB1281" s="1">
        <v>3</v>
      </c>
      <c r="AC1281" s="1">
        <v>0.7</v>
      </c>
      <c r="AH1281" s="1">
        <v>0</v>
      </c>
      <c r="AI1281" s="1">
        <v>1</v>
      </c>
      <c r="AJ1281" s="1" t="s">
        <v>4967</v>
      </c>
      <c r="AK1281" s="1" t="s">
        <v>206</v>
      </c>
      <c r="AL1281" s="1" t="s">
        <v>228</v>
      </c>
      <c r="AN1281" s="22" t="s">
        <v>9767</v>
      </c>
      <c r="AX1281" s="1">
        <v>1</v>
      </c>
      <c r="AZ1281" s="1">
        <v>0.25</v>
      </c>
      <c r="BG1281" s="1" t="s">
        <v>4966</v>
      </c>
      <c r="BM1281" s="1" t="s">
        <v>4959</v>
      </c>
      <c r="BQ1281" s="1" t="s">
        <v>207</v>
      </c>
      <c r="BR1281" s="1" t="s">
        <v>208</v>
      </c>
      <c r="BS1281" s="1" t="s">
        <v>229</v>
      </c>
      <c r="BT1281" s="1" t="s">
        <v>210</v>
      </c>
      <c r="BX1281" s="1">
        <v>1</v>
      </c>
    </row>
    <row r="1282" spans="1:76" x14ac:dyDescent="0.25">
      <c r="A1282" s="1" t="s">
        <v>4968</v>
      </c>
      <c r="B1282" s="1" t="s">
        <v>203</v>
      </c>
      <c r="C1282" s="1">
        <v>1</v>
      </c>
      <c r="D1282" s="1" t="s">
        <v>4969</v>
      </c>
      <c r="E1282" s="1">
        <v>10067</v>
      </c>
      <c r="F1282" s="1" t="s">
        <v>4968</v>
      </c>
      <c r="G1282" s="1">
        <v>1</v>
      </c>
      <c r="L1282" s="1">
        <v>13000</v>
      </c>
      <c r="N1282" s="1">
        <v>800</v>
      </c>
      <c r="P1282" s="1">
        <v>250</v>
      </c>
      <c r="R1282" s="1">
        <v>65</v>
      </c>
      <c r="Z1282" s="1">
        <v>0.05</v>
      </c>
      <c r="AA1282" s="1">
        <v>3.5</v>
      </c>
      <c r="AB1282" s="1">
        <v>4</v>
      </c>
      <c r="AC1282" s="1">
        <v>0.85</v>
      </c>
      <c r="AH1282" s="1">
        <v>0</v>
      </c>
      <c r="AI1282" s="1">
        <v>1</v>
      </c>
      <c r="AJ1282" s="1" t="s">
        <v>4970</v>
      </c>
      <c r="AK1282" s="1" t="s">
        <v>206</v>
      </c>
      <c r="AL1282" s="1" t="s">
        <v>228</v>
      </c>
      <c r="AN1282" s="22" t="s">
        <v>9767</v>
      </c>
      <c r="AX1282" s="1">
        <v>1</v>
      </c>
      <c r="AZ1282" s="1">
        <v>0.25</v>
      </c>
      <c r="BG1282" s="1" t="s">
        <v>4968</v>
      </c>
      <c r="BM1282" s="1" t="s">
        <v>4959</v>
      </c>
      <c r="BQ1282" s="1" t="s">
        <v>207</v>
      </c>
      <c r="BR1282" s="1" t="s">
        <v>208</v>
      </c>
      <c r="BS1282" s="1" t="s">
        <v>229</v>
      </c>
      <c r="BT1282" s="1" t="s">
        <v>210</v>
      </c>
      <c r="BX1282" s="1">
        <v>1</v>
      </c>
    </row>
    <row r="1283" spans="1:76" x14ac:dyDescent="0.25">
      <c r="A1283" s="1" t="s">
        <v>4971</v>
      </c>
      <c r="B1283" s="1" t="s">
        <v>203</v>
      </c>
      <c r="C1283" s="1">
        <v>1</v>
      </c>
      <c r="D1283" s="1" t="s">
        <v>4972</v>
      </c>
      <c r="E1283" s="1">
        <v>10067</v>
      </c>
      <c r="F1283" s="1" t="s">
        <v>4971</v>
      </c>
      <c r="G1283" s="1">
        <v>1</v>
      </c>
      <c r="L1283" s="1">
        <v>15500</v>
      </c>
      <c r="N1283" s="1">
        <v>1000</v>
      </c>
      <c r="P1283" s="1">
        <v>350</v>
      </c>
      <c r="R1283" s="1">
        <v>65</v>
      </c>
      <c r="Z1283" s="1">
        <v>0.05</v>
      </c>
      <c r="AA1283" s="1">
        <v>3.5</v>
      </c>
      <c r="AB1283" s="1">
        <v>4</v>
      </c>
      <c r="AC1283" s="1">
        <v>0.85</v>
      </c>
      <c r="AH1283" s="1">
        <v>0</v>
      </c>
      <c r="AI1283" s="1">
        <v>1</v>
      </c>
      <c r="AJ1283" s="1" t="s">
        <v>4973</v>
      </c>
      <c r="AK1283" s="1" t="s">
        <v>206</v>
      </c>
      <c r="AL1283" s="1" t="s">
        <v>228</v>
      </c>
      <c r="AN1283" s="22" t="s">
        <v>9767</v>
      </c>
      <c r="AX1283" s="1">
        <v>1</v>
      </c>
      <c r="AZ1283" s="1">
        <v>0.25</v>
      </c>
      <c r="BG1283" s="1" t="s">
        <v>4971</v>
      </c>
      <c r="BM1283" s="1" t="s">
        <v>4959</v>
      </c>
      <c r="BQ1283" s="1" t="s">
        <v>207</v>
      </c>
      <c r="BR1283" s="1" t="s">
        <v>208</v>
      </c>
      <c r="BS1283" s="1" t="s">
        <v>229</v>
      </c>
      <c r="BT1283" s="1" t="s">
        <v>210</v>
      </c>
      <c r="BX1283" s="1">
        <v>1</v>
      </c>
    </row>
    <row r="1284" spans="1:76" x14ac:dyDescent="0.25">
      <c r="A1284" s="1" t="s">
        <v>4974</v>
      </c>
      <c r="B1284" s="1" t="s">
        <v>203</v>
      </c>
      <c r="C1284" s="1">
        <v>1</v>
      </c>
      <c r="D1284" s="1" t="s">
        <v>4975</v>
      </c>
      <c r="E1284" s="1">
        <v>10068</v>
      </c>
      <c r="F1284" s="1" t="s">
        <v>4974</v>
      </c>
      <c r="G1284" s="1">
        <v>1</v>
      </c>
      <c r="L1284" s="1">
        <v>5500</v>
      </c>
      <c r="N1284" s="1">
        <v>320</v>
      </c>
      <c r="P1284" s="1">
        <v>200</v>
      </c>
      <c r="R1284" s="1">
        <v>60</v>
      </c>
      <c r="Z1284" s="1">
        <v>0.05</v>
      </c>
      <c r="AA1284" s="1">
        <v>3</v>
      </c>
      <c r="AB1284" s="1">
        <v>2</v>
      </c>
      <c r="AC1284" s="1">
        <v>0.9</v>
      </c>
      <c r="AH1284" s="1">
        <v>0</v>
      </c>
      <c r="AI1284" s="1">
        <v>1</v>
      </c>
      <c r="AJ1284" s="1" t="s">
        <v>4976</v>
      </c>
      <c r="AK1284" s="1" t="s">
        <v>206</v>
      </c>
      <c r="AL1284" s="1" t="s">
        <v>228</v>
      </c>
      <c r="AN1284" s="22" t="s">
        <v>9767</v>
      </c>
      <c r="AX1284" s="1">
        <v>1</v>
      </c>
      <c r="AZ1284" s="1">
        <v>0.25</v>
      </c>
      <c r="BG1284" s="1" t="s">
        <v>4974</v>
      </c>
      <c r="BM1284" s="1" t="s">
        <v>4959</v>
      </c>
      <c r="BQ1284" s="1" t="s">
        <v>207</v>
      </c>
      <c r="BR1284" s="1" t="s">
        <v>208</v>
      </c>
      <c r="BS1284" s="1" t="s">
        <v>229</v>
      </c>
      <c r="BT1284" s="1" t="s">
        <v>210</v>
      </c>
      <c r="BX1284" s="1">
        <v>1</v>
      </c>
    </row>
    <row r="1285" spans="1:76" x14ac:dyDescent="0.25">
      <c r="A1285" s="1" t="s">
        <v>4977</v>
      </c>
      <c r="B1285" s="1" t="s">
        <v>203</v>
      </c>
      <c r="C1285" s="1">
        <v>1</v>
      </c>
      <c r="D1285" s="1" t="s">
        <v>4978</v>
      </c>
      <c r="E1285" s="1">
        <v>10068</v>
      </c>
      <c r="F1285" s="1" t="s">
        <v>4977</v>
      </c>
      <c r="G1285" s="1">
        <v>1</v>
      </c>
      <c r="L1285" s="1">
        <v>7200</v>
      </c>
      <c r="N1285" s="1">
        <v>420</v>
      </c>
      <c r="P1285" s="1">
        <v>200</v>
      </c>
      <c r="R1285" s="1">
        <v>60</v>
      </c>
      <c r="Z1285" s="1">
        <v>0.05</v>
      </c>
      <c r="AA1285" s="1">
        <v>3</v>
      </c>
      <c r="AB1285" s="1">
        <v>2</v>
      </c>
      <c r="AC1285" s="1">
        <v>0.9</v>
      </c>
      <c r="AH1285" s="1">
        <v>0</v>
      </c>
      <c r="AI1285" s="1">
        <v>1</v>
      </c>
      <c r="AJ1285" s="1" t="s">
        <v>4979</v>
      </c>
      <c r="AK1285" s="1" t="s">
        <v>206</v>
      </c>
      <c r="AL1285" s="1" t="s">
        <v>228</v>
      </c>
      <c r="AN1285" s="22" t="s">
        <v>9767</v>
      </c>
      <c r="AX1285" s="1">
        <v>1</v>
      </c>
      <c r="AZ1285" s="1">
        <v>0.25</v>
      </c>
      <c r="BG1285" s="1" t="s">
        <v>4977</v>
      </c>
      <c r="BM1285" s="1" t="s">
        <v>4959</v>
      </c>
      <c r="BQ1285" s="1" t="s">
        <v>207</v>
      </c>
      <c r="BR1285" s="1" t="s">
        <v>208</v>
      </c>
      <c r="BS1285" s="1" t="s">
        <v>229</v>
      </c>
      <c r="BT1285" s="1" t="s">
        <v>210</v>
      </c>
      <c r="BX1285" s="1">
        <v>1</v>
      </c>
    </row>
    <row r="1286" spans="1:76" x14ac:dyDescent="0.25">
      <c r="A1286" s="1" t="s">
        <v>4980</v>
      </c>
      <c r="B1286" s="1" t="s">
        <v>203</v>
      </c>
      <c r="C1286" s="1">
        <v>1</v>
      </c>
      <c r="D1286" s="1" t="s">
        <v>4981</v>
      </c>
      <c r="E1286" s="1">
        <v>10069</v>
      </c>
      <c r="F1286" s="1" t="s">
        <v>4980</v>
      </c>
      <c r="G1286" s="1">
        <v>1</v>
      </c>
      <c r="L1286" s="1">
        <v>35000</v>
      </c>
      <c r="N1286" s="1">
        <v>1050</v>
      </c>
      <c r="P1286" s="1">
        <v>550</v>
      </c>
      <c r="R1286" s="1">
        <v>15</v>
      </c>
      <c r="Z1286" s="1">
        <v>0.05</v>
      </c>
      <c r="AA1286" s="1">
        <v>6</v>
      </c>
      <c r="AB1286" s="1">
        <v>5</v>
      </c>
      <c r="AC1286" s="1">
        <v>0.4</v>
      </c>
      <c r="AH1286" s="1">
        <v>0</v>
      </c>
      <c r="AI1286" s="1">
        <v>1</v>
      </c>
      <c r="AJ1286" s="1" t="s">
        <v>4982</v>
      </c>
      <c r="AK1286" s="1" t="s">
        <v>206</v>
      </c>
      <c r="AL1286" s="1" t="s">
        <v>228</v>
      </c>
      <c r="AN1286" s="22" t="s">
        <v>9767</v>
      </c>
      <c r="AX1286" s="1">
        <v>1</v>
      </c>
      <c r="AZ1286" s="1">
        <v>0.25</v>
      </c>
      <c r="BG1286" s="1" t="s">
        <v>4980</v>
      </c>
      <c r="BM1286" s="1" t="s">
        <v>4959</v>
      </c>
      <c r="BQ1286" s="1" t="s">
        <v>207</v>
      </c>
      <c r="BR1286" s="1" t="s">
        <v>208</v>
      </c>
      <c r="BS1286" s="1" t="s">
        <v>229</v>
      </c>
      <c r="BT1286" s="1" t="s">
        <v>210</v>
      </c>
      <c r="BX1286" s="1">
        <v>1</v>
      </c>
    </row>
    <row r="1287" spans="1:76" x14ac:dyDescent="0.25">
      <c r="A1287" s="1" t="s">
        <v>4983</v>
      </c>
      <c r="B1287" s="1" t="s">
        <v>203</v>
      </c>
      <c r="C1287" s="1">
        <v>1</v>
      </c>
      <c r="D1287" s="1" t="s">
        <v>4984</v>
      </c>
      <c r="E1287" s="1">
        <v>10069</v>
      </c>
      <c r="F1287" s="1" t="s">
        <v>4983</v>
      </c>
      <c r="G1287" s="1">
        <v>1</v>
      </c>
      <c r="L1287" s="1">
        <v>45000</v>
      </c>
      <c r="N1287" s="1">
        <v>1250</v>
      </c>
      <c r="P1287" s="1">
        <v>680</v>
      </c>
      <c r="R1287" s="1">
        <v>15</v>
      </c>
      <c r="Z1287" s="1">
        <v>0.05</v>
      </c>
      <c r="AA1287" s="1">
        <v>6</v>
      </c>
      <c r="AB1287" s="1">
        <v>5</v>
      </c>
      <c r="AC1287" s="1">
        <v>0.4</v>
      </c>
      <c r="AH1287" s="1">
        <v>0</v>
      </c>
      <c r="AI1287" s="1">
        <v>1</v>
      </c>
      <c r="AJ1287" s="1" t="s">
        <v>4985</v>
      </c>
      <c r="AK1287" s="1" t="s">
        <v>206</v>
      </c>
      <c r="AL1287" s="1" t="s">
        <v>228</v>
      </c>
      <c r="AN1287" s="22" t="s">
        <v>9767</v>
      </c>
      <c r="AX1287" s="1">
        <v>1</v>
      </c>
      <c r="AZ1287" s="1">
        <v>0.25</v>
      </c>
      <c r="BG1287" s="1" t="s">
        <v>4983</v>
      </c>
      <c r="BM1287" s="1" t="s">
        <v>4959</v>
      </c>
      <c r="BQ1287" s="1" t="s">
        <v>207</v>
      </c>
      <c r="BR1287" s="1" t="s">
        <v>208</v>
      </c>
      <c r="BS1287" s="1" t="s">
        <v>229</v>
      </c>
      <c r="BT1287" s="1" t="s">
        <v>210</v>
      </c>
      <c r="BX1287" s="1">
        <v>1</v>
      </c>
    </row>
    <row r="1288" spans="1:76" x14ac:dyDescent="0.25">
      <c r="A1288" s="1" t="s">
        <v>4986</v>
      </c>
      <c r="B1288" s="1" t="s">
        <v>203</v>
      </c>
      <c r="C1288" s="1">
        <v>1</v>
      </c>
      <c r="D1288" s="1" t="s">
        <v>4987</v>
      </c>
      <c r="E1288" s="1">
        <v>10070</v>
      </c>
      <c r="F1288" s="1" t="s">
        <v>4986</v>
      </c>
      <c r="G1288" s="1">
        <v>1</v>
      </c>
      <c r="L1288" s="1">
        <v>10000</v>
      </c>
      <c r="N1288" s="1">
        <v>650</v>
      </c>
      <c r="P1288" s="1">
        <v>250</v>
      </c>
      <c r="R1288" s="1">
        <v>50</v>
      </c>
      <c r="Z1288" s="1">
        <v>0.05</v>
      </c>
      <c r="AA1288" s="1">
        <v>2.5</v>
      </c>
      <c r="AB1288" s="1">
        <v>2</v>
      </c>
      <c r="AC1288" s="1">
        <v>0.8</v>
      </c>
      <c r="AH1288" s="1">
        <v>0</v>
      </c>
      <c r="AI1288" s="1">
        <v>1</v>
      </c>
      <c r="AJ1288" s="1" t="s">
        <v>4988</v>
      </c>
      <c r="AK1288" s="1" t="s">
        <v>206</v>
      </c>
      <c r="AL1288" s="1" t="s">
        <v>228</v>
      </c>
      <c r="AN1288" s="22" t="s">
        <v>9767</v>
      </c>
      <c r="AX1288" s="1">
        <v>1</v>
      </c>
      <c r="AZ1288" s="1">
        <v>0.25</v>
      </c>
      <c r="BG1288" s="1" t="s">
        <v>4986</v>
      </c>
      <c r="BM1288" s="1" t="s">
        <v>4959</v>
      </c>
      <c r="BQ1288" s="1" t="s">
        <v>207</v>
      </c>
      <c r="BR1288" s="1" t="s">
        <v>208</v>
      </c>
      <c r="BS1288" s="1" t="s">
        <v>229</v>
      </c>
      <c r="BT1288" s="1" t="s">
        <v>210</v>
      </c>
      <c r="BX1288" s="1">
        <v>1</v>
      </c>
    </row>
    <row r="1289" spans="1:76" x14ac:dyDescent="0.25">
      <c r="A1289" s="1" t="s">
        <v>4989</v>
      </c>
      <c r="B1289" s="1" t="s">
        <v>203</v>
      </c>
      <c r="C1289" s="1">
        <v>1</v>
      </c>
      <c r="D1289" s="1" t="s">
        <v>4990</v>
      </c>
      <c r="E1289" s="1">
        <v>10070</v>
      </c>
      <c r="F1289" s="1" t="s">
        <v>4989</v>
      </c>
      <c r="G1289" s="1">
        <v>1</v>
      </c>
      <c r="L1289" s="1">
        <v>12000</v>
      </c>
      <c r="N1289" s="1">
        <v>780</v>
      </c>
      <c r="P1289" s="1">
        <v>350</v>
      </c>
      <c r="R1289" s="1">
        <v>50</v>
      </c>
      <c r="Z1289" s="1">
        <v>0.05</v>
      </c>
      <c r="AA1289" s="1">
        <v>2.5</v>
      </c>
      <c r="AB1289" s="1">
        <v>2</v>
      </c>
      <c r="AC1289" s="1">
        <v>0.8</v>
      </c>
      <c r="AH1289" s="1">
        <v>0</v>
      </c>
      <c r="AI1289" s="1">
        <v>1</v>
      </c>
      <c r="AJ1289" s="1" t="s">
        <v>4991</v>
      </c>
      <c r="AK1289" s="1" t="s">
        <v>206</v>
      </c>
      <c r="AL1289" s="1" t="s">
        <v>228</v>
      </c>
      <c r="AN1289" s="22" t="s">
        <v>9767</v>
      </c>
      <c r="AX1289" s="1">
        <v>1</v>
      </c>
      <c r="AZ1289" s="1">
        <v>0.25</v>
      </c>
      <c r="BG1289" s="1" t="s">
        <v>4989</v>
      </c>
      <c r="BM1289" s="1" t="s">
        <v>4959</v>
      </c>
      <c r="BQ1289" s="1" t="s">
        <v>207</v>
      </c>
      <c r="BR1289" s="1" t="s">
        <v>208</v>
      </c>
      <c r="BS1289" s="1" t="s">
        <v>229</v>
      </c>
      <c r="BT1289" s="1" t="s">
        <v>210</v>
      </c>
      <c r="BX1289" s="1">
        <v>1</v>
      </c>
    </row>
    <row r="1290" spans="1:76" x14ac:dyDescent="0.25">
      <c r="A1290" s="1" t="s">
        <v>4992</v>
      </c>
      <c r="B1290" s="1" t="s">
        <v>203</v>
      </c>
      <c r="C1290" s="1">
        <v>1</v>
      </c>
      <c r="D1290" s="1" t="s">
        <v>4993</v>
      </c>
      <c r="E1290" s="1">
        <v>10071</v>
      </c>
      <c r="F1290" s="1" t="s">
        <v>4992</v>
      </c>
      <c r="G1290" s="1">
        <v>1</v>
      </c>
      <c r="L1290" s="1">
        <v>8500</v>
      </c>
      <c r="N1290" s="1">
        <v>680</v>
      </c>
      <c r="P1290" s="1">
        <v>300</v>
      </c>
      <c r="R1290" s="1">
        <v>40</v>
      </c>
      <c r="Z1290" s="1">
        <v>0.05</v>
      </c>
      <c r="AA1290" s="1">
        <v>1.8</v>
      </c>
      <c r="AB1290" s="1">
        <v>4</v>
      </c>
      <c r="AC1290" s="1">
        <v>0.65</v>
      </c>
      <c r="AH1290" s="1">
        <v>0</v>
      </c>
      <c r="AI1290" s="1">
        <v>1</v>
      </c>
      <c r="AJ1290" s="1" t="s">
        <v>4994</v>
      </c>
      <c r="AK1290" s="1" t="s">
        <v>206</v>
      </c>
      <c r="AL1290" s="1" t="s">
        <v>228</v>
      </c>
      <c r="AN1290" s="22" t="s">
        <v>9767</v>
      </c>
      <c r="AX1290" s="1">
        <v>1</v>
      </c>
      <c r="AZ1290" s="1">
        <v>0.25</v>
      </c>
      <c r="BG1290" s="1" t="s">
        <v>4992</v>
      </c>
      <c r="BM1290" s="1" t="s">
        <v>4959</v>
      </c>
      <c r="BQ1290" s="1" t="s">
        <v>207</v>
      </c>
      <c r="BR1290" s="1" t="s">
        <v>208</v>
      </c>
      <c r="BS1290" s="1" t="s">
        <v>229</v>
      </c>
      <c r="BT1290" s="1" t="s">
        <v>210</v>
      </c>
      <c r="BX1290" s="1">
        <v>1</v>
      </c>
    </row>
    <row r="1291" spans="1:76" x14ac:dyDescent="0.25">
      <c r="A1291" s="1" t="s">
        <v>4995</v>
      </c>
      <c r="B1291" s="1" t="s">
        <v>203</v>
      </c>
      <c r="C1291" s="1">
        <v>1</v>
      </c>
      <c r="D1291" s="1" t="s">
        <v>4996</v>
      </c>
      <c r="E1291" s="1">
        <v>10071</v>
      </c>
      <c r="F1291" s="1" t="s">
        <v>4995</v>
      </c>
      <c r="G1291" s="1">
        <v>1</v>
      </c>
      <c r="L1291" s="1">
        <v>10000</v>
      </c>
      <c r="N1291" s="1">
        <v>800</v>
      </c>
      <c r="P1291" s="1">
        <v>400</v>
      </c>
      <c r="R1291" s="1">
        <v>40</v>
      </c>
      <c r="Z1291" s="1">
        <v>0.05</v>
      </c>
      <c r="AA1291" s="1">
        <v>1.8</v>
      </c>
      <c r="AB1291" s="1">
        <v>4</v>
      </c>
      <c r="AC1291" s="1">
        <v>0.65</v>
      </c>
      <c r="AH1291" s="1">
        <v>0</v>
      </c>
      <c r="AI1291" s="1">
        <v>1</v>
      </c>
      <c r="AJ1291" s="1" t="s">
        <v>4997</v>
      </c>
      <c r="AK1291" s="1" t="s">
        <v>206</v>
      </c>
      <c r="AL1291" s="1" t="s">
        <v>228</v>
      </c>
      <c r="AN1291" s="22" t="s">
        <v>9767</v>
      </c>
      <c r="AX1291" s="1">
        <v>1</v>
      </c>
      <c r="AZ1291" s="1">
        <v>0.25</v>
      </c>
      <c r="BG1291" s="1" t="s">
        <v>4995</v>
      </c>
      <c r="BM1291" s="1" t="s">
        <v>4959</v>
      </c>
      <c r="BQ1291" s="1" t="s">
        <v>207</v>
      </c>
      <c r="BR1291" s="1" t="s">
        <v>208</v>
      </c>
      <c r="BS1291" s="1" t="s">
        <v>229</v>
      </c>
      <c r="BT1291" s="1" t="s">
        <v>210</v>
      </c>
      <c r="BX1291" s="1">
        <v>1</v>
      </c>
    </row>
    <row r="1292" spans="1:76" x14ac:dyDescent="0.25">
      <c r="A1292" s="1" t="s">
        <v>4998</v>
      </c>
      <c r="B1292" s="1" t="s">
        <v>203</v>
      </c>
      <c r="C1292" s="1">
        <v>1</v>
      </c>
      <c r="D1292" s="1" t="s">
        <v>4999</v>
      </c>
      <c r="E1292" s="1">
        <v>1563</v>
      </c>
      <c r="F1292" s="1" t="s">
        <v>4998</v>
      </c>
      <c r="G1292" s="1">
        <v>1</v>
      </c>
      <c r="L1292" s="1">
        <v>65000</v>
      </c>
      <c r="N1292" s="1">
        <v>700</v>
      </c>
      <c r="P1292" s="1">
        <v>450</v>
      </c>
      <c r="R1292" s="1">
        <v>45</v>
      </c>
      <c r="Z1292" s="1">
        <v>0.05</v>
      </c>
      <c r="AA1292" s="1">
        <v>3.8</v>
      </c>
      <c r="AB1292" s="1">
        <v>7</v>
      </c>
      <c r="AC1292" s="1">
        <v>0.5</v>
      </c>
      <c r="AH1292" s="1">
        <v>0</v>
      </c>
      <c r="AI1292" s="1">
        <v>1</v>
      </c>
      <c r="AJ1292" s="1" t="s">
        <v>5000</v>
      </c>
      <c r="AK1292" s="1" t="s">
        <v>206</v>
      </c>
      <c r="AL1292" s="1" t="s">
        <v>228</v>
      </c>
      <c r="AN1292" s="22" t="s">
        <v>9767</v>
      </c>
      <c r="AX1292" s="1">
        <v>1</v>
      </c>
      <c r="AZ1292" s="1">
        <v>0.25</v>
      </c>
      <c r="BG1292" s="1" t="s">
        <v>4998</v>
      </c>
      <c r="BM1292" s="1" t="s">
        <v>4959</v>
      </c>
      <c r="BQ1292" s="1" t="s">
        <v>3416</v>
      </c>
      <c r="BR1292" s="1" t="s">
        <v>2593</v>
      </c>
      <c r="BS1292" s="1" t="s">
        <v>2594</v>
      </c>
      <c r="BT1292" s="1" t="s">
        <v>5001</v>
      </c>
      <c r="BX1292" s="1">
        <v>1</v>
      </c>
    </row>
    <row r="1293" spans="1:76" x14ac:dyDescent="0.25">
      <c r="A1293" s="1" t="s">
        <v>5002</v>
      </c>
      <c r="B1293" s="1" t="s">
        <v>203</v>
      </c>
      <c r="C1293" s="1">
        <v>1</v>
      </c>
      <c r="D1293" s="1" t="s">
        <v>5003</v>
      </c>
      <c r="E1293" s="1">
        <v>10073</v>
      </c>
      <c r="F1293" s="1" t="s">
        <v>5002</v>
      </c>
      <c r="G1293" s="1">
        <v>1</v>
      </c>
      <c r="L1293" s="1">
        <v>2000</v>
      </c>
      <c r="N1293" s="1">
        <v>300</v>
      </c>
      <c r="P1293" s="1">
        <v>200</v>
      </c>
      <c r="R1293" s="1">
        <v>25</v>
      </c>
      <c r="Z1293" s="1">
        <v>0.05</v>
      </c>
      <c r="AA1293" s="1">
        <v>2</v>
      </c>
      <c r="AB1293" s="1">
        <v>1</v>
      </c>
      <c r="AC1293" s="1">
        <v>1.9</v>
      </c>
      <c r="AH1293" s="1">
        <v>0</v>
      </c>
      <c r="AI1293" s="1">
        <v>1</v>
      </c>
      <c r="AJ1293" s="1" t="s">
        <v>5004</v>
      </c>
      <c r="AK1293" s="1" t="s">
        <v>206</v>
      </c>
      <c r="AL1293" s="1" t="s">
        <v>228</v>
      </c>
      <c r="AN1293" s="22" t="s">
        <v>9767</v>
      </c>
      <c r="AX1293" s="1">
        <v>1</v>
      </c>
      <c r="AZ1293" s="1">
        <v>0.25</v>
      </c>
      <c r="BG1293" s="1" t="s">
        <v>5002</v>
      </c>
      <c r="BM1293" s="1" t="s">
        <v>4959</v>
      </c>
      <c r="BQ1293" s="1" t="s">
        <v>207</v>
      </c>
      <c r="BR1293" s="1" t="s">
        <v>208</v>
      </c>
      <c r="BS1293" s="1" t="s">
        <v>229</v>
      </c>
      <c r="BT1293" s="1" t="s">
        <v>210</v>
      </c>
      <c r="BX1293" s="1">
        <v>1</v>
      </c>
    </row>
    <row r="1294" spans="1:76" x14ac:dyDescent="0.25">
      <c r="A1294" s="1" t="s">
        <v>5005</v>
      </c>
      <c r="B1294" s="1" t="s">
        <v>203</v>
      </c>
      <c r="C1294" s="1">
        <v>1</v>
      </c>
      <c r="D1294" s="1" t="s">
        <v>5006</v>
      </c>
      <c r="E1294" s="1">
        <v>10073</v>
      </c>
      <c r="F1294" s="1" t="s">
        <v>5005</v>
      </c>
      <c r="G1294" s="1">
        <v>1</v>
      </c>
      <c r="L1294" s="1">
        <v>2500</v>
      </c>
      <c r="N1294" s="1">
        <v>360</v>
      </c>
      <c r="P1294" s="1">
        <v>200</v>
      </c>
      <c r="R1294" s="1">
        <v>25</v>
      </c>
      <c r="Z1294" s="1">
        <v>0.05</v>
      </c>
      <c r="AA1294" s="1">
        <v>2</v>
      </c>
      <c r="AB1294" s="1">
        <v>1</v>
      </c>
      <c r="AC1294" s="1">
        <v>1.9</v>
      </c>
      <c r="AH1294" s="1">
        <v>0</v>
      </c>
      <c r="AI1294" s="1">
        <v>1</v>
      </c>
      <c r="AJ1294" s="1" t="s">
        <v>5007</v>
      </c>
      <c r="AK1294" s="1" t="s">
        <v>206</v>
      </c>
      <c r="AL1294" s="1" t="s">
        <v>228</v>
      </c>
      <c r="AN1294" s="22" t="s">
        <v>9767</v>
      </c>
      <c r="AX1294" s="1">
        <v>1</v>
      </c>
      <c r="AZ1294" s="1">
        <v>0.25</v>
      </c>
      <c r="BG1294" s="1" t="s">
        <v>5005</v>
      </c>
      <c r="BM1294" s="1" t="s">
        <v>4959</v>
      </c>
      <c r="BQ1294" s="1" t="s">
        <v>207</v>
      </c>
      <c r="BR1294" s="1" t="s">
        <v>208</v>
      </c>
      <c r="BS1294" s="1" t="s">
        <v>229</v>
      </c>
      <c r="BT1294" s="1" t="s">
        <v>210</v>
      </c>
      <c r="BX1294" s="1">
        <v>1</v>
      </c>
    </row>
    <row r="1295" spans="1:76" x14ac:dyDescent="0.25">
      <c r="A1295" s="1" t="s">
        <v>5008</v>
      </c>
      <c r="B1295" s="1" t="s">
        <v>203</v>
      </c>
      <c r="C1295" s="1">
        <v>1</v>
      </c>
      <c r="D1295" s="1" t="s">
        <v>5009</v>
      </c>
      <c r="E1295" s="1">
        <v>10074</v>
      </c>
      <c r="F1295" s="1" t="s">
        <v>5008</v>
      </c>
      <c r="G1295" s="1">
        <v>1</v>
      </c>
      <c r="L1295" s="1">
        <v>3000</v>
      </c>
      <c r="N1295" s="1">
        <v>350</v>
      </c>
      <c r="P1295" s="1">
        <v>240</v>
      </c>
      <c r="R1295" s="1">
        <v>35</v>
      </c>
      <c r="Z1295" s="1">
        <v>0.05</v>
      </c>
      <c r="AA1295" s="1">
        <v>4</v>
      </c>
      <c r="AB1295" s="1">
        <v>2</v>
      </c>
      <c r="AC1295" s="1">
        <v>1</v>
      </c>
      <c r="AH1295" s="1">
        <v>0</v>
      </c>
      <c r="AI1295" s="1">
        <v>1</v>
      </c>
      <c r="AJ1295" s="1" t="s">
        <v>5010</v>
      </c>
      <c r="AK1295" s="1" t="s">
        <v>206</v>
      </c>
      <c r="AL1295" s="1" t="s">
        <v>228</v>
      </c>
      <c r="AN1295" s="22" t="s">
        <v>9767</v>
      </c>
      <c r="AX1295" s="1">
        <v>1</v>
      </c>
      <c r="AZ1295" s="1">
        <v>0.25</v>
      </c>
      <c r="BG1295" s="1" t="s">
        <v>5008</v>
      </c>
      <c r="BM1295" s="1" t="s">
        <v>4959</v>
      </c>
      <c r="BQ1295" s="1" t="s">
        <v>207</v>
      </c>
      <c r="BR1295" s="1" t="s">
        <v>208</v>
      </c>
      <c r="BS1295" s="1" t="s">
        <v>229</v>
      </c>
      <c r="BT1295" s="1" t="s">
        <v>210</v>
      </c>
      <c r="BX1295" s="1">
        <v>1</v>
      </c>
    </row>
    <row r="1296" spans="1:76" x14ac:dyDescent="0.25">
      <c r="A1296" s="1" t="s">
        <v>5011</v>
      </c>
      <c r="B1296" s="1" t="s">
        <v>203</v>
      </c>
      <c r="C1296" s="1">
        <v>1</v>
      </c>
      <c r="D1296" s="1" t="s">
        <v>5012</v>
      </c>
      <c r="E1296" s="1">
        <v>10074</v>
      </c>
      <c r="F1296" s="1" t="s">
        <v>5011</v>
      </c>
      <c r="G1296" s="1">
        <v>1</v>
      </c>
      <c r="L1296" s="1">
        <v>3800</v>
      </c>
      <c r="N1296" s="1">
        <v>400</v>
      </c>
      <c r="P1296" s="1">
        <v>240</v>
      </c>
      <c r="R1296" s="1">
        <v>35</v>
      </c>
      <c r="Z1296" s="1">
        <v>0.05</v>
      </c>
      <c r="AA1296" s="1">
        <v>4</v>
      </c>
      <c r="AB1296" s="1">
        <v>2</v>
      </c>
      <c r="AC1296" s="1">
        <v>1</v>
      </c>
      <c r="AH1296" s="1">
        <v>0</v>
      </c>
      <c r="AI1296" s="1">
        <v>1</v>
      </c>
      <c r="AJ1296" s="1" t="s">
        <v>5013</v>
      </c>
      <c r="AK1296" s="1" t="s">
        <v>206</v>
      </c>
      <c r="AL1296" s="1" t="s">
        <v>228</v>
      </c>
      <c r="AN1296" s="22" t="s">
        <v>9767</v>
      </c>
      <c r="AX1296" s="1">
        <v>1</v>
      </c>
      <c r="AZ1296" s="1">
        <v>0.25</v>
      </c>
      <c r="BG1296" s="1" t="s">
        <v>5011</v>
      </c>
      <c r="BM1296" s="1" t="s">
        <v>4959</v>
      </c>
      <c r="BQ1296" s="1" t="s">
        <v>207</v>
      </c>
      <c r="BR1296" s="1" t="s">
        <v>208</v>
      </c>
      <c r="BS1296" s="1" t="s">
        <v>229</v>
      </c>
      <c r="BT1296" s="1" t="s">
        <v>210</v>
      </c>
      <c r="BX1296" s="1">
        <v>1</v>
      </c>
    </row>
    <row r="1297" spans="1:76" x14ac:dyDescent="0.25">
      <c r="A1297" s="1" t="s">
        <v>5014</v>
      </c>
      <c r="B1297" s="1" t="s">
        <v>203</v>
      </c>
      <c r="C1297" s="1">
        <v>1</v>
      </c>
      <c r="D1297" s="1" t="s">
        <v>5015</v>
      </c>
      <c r="E1297" s="1">
        <v>10075</v>
      </c>
      <c r="F1297" s="1" t="s">
        <v>5014</v>
      </c>
      <c r="G1297" s="1">
        <v>1</v>
      </c>
      <c r="L1297" s="1">
        <v>2500</v>
      </c>
      <c r="N1297" s="1">
        <v>1000</v>
      </c>
      <c r="P1297" s="1">
        <v>200</v>
      </c>
      <c r="R1297" s="1">
        <v>30</v>
      </c>
      <c r="Z1297" s="1">
        <v>0.05</v>
      </c>
      <c r="AA1297" s="1">
        <v>1</v>
      </c>
      <c r="AB1297" s="1">
        <v>1</v>
      </c>
      <c r="AC1297" s="1">
        <v>1.2</v>
      </c>
      <c r="AH1297" s="1">
        <v>0</v>
      </c>
      <c r="AI1297" s="1">
        <v>1</v>
      </c>
      <c r="AJ1297" s="1" t="s">
        <v>5016</v>
      </c>
      <c r="AK1297" s="1" t="s">
        <v>206</v>
      </c>
      <c r="AL1297" s="1" t="s">
        <v>228</v>
      </c>
      <c r="AN1297" s="22" t="s">
        <v>9767</v>
      </c>
      <c r="AP1297" s="1">
        <v>1</v>
      </c>
      <c r="AX1297" s="1">
        <v>1</v>
      </c>
      <c r="AZ1297" s="1">
        <v>0.25</v>
      </c>
      <c r="BG1297" s="1" t="s">
        <v>5014</v>
      </c>
      <c r="BM1297" s="1" t="s">
        <v>4959</v>
      </c>
      <c r="BQ1297" s="1" t="s">
        <v>207</v>
      </c>
      <c r="BR1297" s="1" t="s">
        <v>208</v>
      </c>
      <c r="BS1297" s="1" t="s">
        <v>229</v>
      </c>
      <c r="BT1297" s="1" t="s">
        <v>210</v>
      </c>
      <c r="BX1297" s="1">
        <v>1</v>
      </c>
    </row>
    <row r="1298" spans="1:76" x14ac:dyDescent="0.25">
      <c r="A1298" s="1" t="s">
        <v>5017</v>
      </c>
      <c r="B1298" s="1" t="s">
        <v>203</v>
      </c>
      <c r="C1298" s="1">
        <v>1</v>
      </c>
      <c r="D1298" s="1" t="s">
        <v>5018</v>
      </c>
      <c r="E1298" s="1">
        <v>10075</v>
      </c>
      <c r="F1298" s="1" t="s">
        <v>5017</v>
      </c>
      <c r="G1298" s="1">
        <v>1</v>
      </c>
      <c r="L1298" s="1">
        <v>3500</v>
      </c>
      <c r="N1298" s="1">
        <v>1100</v>
      </c>
      <c r="P1298" s="1">
        <v>250</v>
      </c>
      <c r="R1298" s="1">
        <v>35</v>
      </c>
      <c r="Z1298" s="1">
        <v>0.05</v>
      </c>
      <c r="AA1298" s="1">
        <v>1</v>
      </c>
      <c r="AB1298" s="1">
        <v>1</v>
      </c>
      <c r="AC1298" s="1">
        <v>1.2</v>
      </c>
      <c r="AH1298" s="1">
        <v>0</v>
      </c>
      <c r="AI1298" s="1">
        <v>1</v>
      </c>
      <c r="AJ1298" s="1" t="s">
        <v>5019</v>
      </c>
      <c r="AK1298" s="1" t="s">
        <v>206</v>
      </c>
      <c r="AL1298" s="1" t="s">
        <v>228</v>
      </c>
      <c r="AN1298" s="22" t="s">
        <v>9767</v>
      </c>
      <c r="AP1298" s="1">
        <v>1</v>
      </c>
      <c r="AX1298" s="1">
        <v>1</v>
      </c>
      <c r="AZ1298" s="1">
        <v>0.25</v>
      </c>
      <c r="BG1298" s="1" t="s">
        <v>5017</v>
      </c>
      <c r="BM1298" s="1" t="s">
        <v>4959</v>
      </c>
      <c r="BQ1298" s="1" t="s">
        <v>207</v>
      </c>
      <c r="BR1298" s="1" t="s">
        <v>208</v>
      </c>
      <c r="BS1298" s="1" t="s">
        <v>229</v>
      </c>
      <c r="BT1298" s="1" t="s">
        <v>210</v>
      </c>
      <c r="BX1298" s="1">
        <v>1</v>
      </c>
    </row>
    <row r="1299" spans="1:76" x14ac:dyDescent="0.25">
      <c r="A1299" s="1" t="s">
        <v>5020</v>
      </c>
      <c r="B1299" s="1" t="s">
        <v>203</v>
      </c>
      <c r="C1299" s="1">
        <v>1</v>
      </c>
      <c r="D1299" s="1" t="s">
        <v>5021</v>
      </c>
      <c r="E1299" s="1">
        <v>10076</v>
      </c>
      <c r="F1299" s="1" t="s">
        <v>5020</v>
      </c>
      <c r="G1299" s="1">
        <v>1</v>
      </c>
      <c r="L1299" s="1">
        <v>7000</v>
      </c>
      <c r="N1299" s="1">
        <v>450</v>
      </c>
      <c r="P1299" s="1">
        <v>1100</v>
      </c>
      <c r="R1299" s="1">
        <v>60</v>
      </c>
      <c r="Z1299" s="1">
        <v>0.05</v>
      </c>
      <c r="AA1299" s="1">
        <v>3</v>
      </c>
      <c r="AB1299" s="1">
        <v>3</v>
      </c>
      <c r="AC1299" s="1">
        <v>0.7</v>
      </c>
      <c r="AH1299" s="1">
        <v>0</v>
      </c>
      <c r="AI1299" s="1">
        <v>1</v>
      </c>
      <c r="AJ1299" s="1" t="s">
        <v>5022</v>
      </c>
      <c r="AK1299" s="1" t="s">
        <v>206</v>
      </c>
      <c r="AL1299" s="1" t="s">
        <v>228</v>
      </c>
      <c r="AN1299" s="22" t="s">
        <v>9767</v>
      </c>
      <c r="AX1299" s="1">
        <v>1</v>
      </c>
      <c r="AZ1299" s="1">
        <v>0.25</v>
      </c>
      <c r="BG1299" s="1" t="s">
        <v>5020</v>
      </c>
      <c r="BM1299" s="1" t="s">
        <v>4959</v>
      </c>
      <c r="BQ1299" s="1" t="s">
        <v>207</v>
      </c>
      <c r="BR1299" s="1" t="s">
        <v>208</v>
      </c>
      <c r="BS1299" s="1" t="s">
        <v>229</v>
      </c>
      <c r="BT1299" s="1" t="s">
        <v>210</v>
      </c>
      <c r="BX1299" s="1">
        <v>1</v>
      </c>
    </row>
    <row r="1300" spans="1:76" x14ac:dyDescent="0.25">
      <c r="A1300" s="1" t="s">
        <v>5023</v>
      </c>
      <c r="B1300" s="1" t="s">
        <v>203</v>
      </c>
      <c r="C1300" s="1">
        <v>1</v>
      </c>
      <c r="D1300" s="1" t="s">
        <v>5024</v>
      </c>
      <c r="E1300" s="1">
        <v>10076</v>
      </c>
      <c r="F1300" s="1" t="s">
        <v>5023</v>
      </c>
      <c r="G1300" s="1">
        <v>1</v>
      </c>
      <c r="L1300" s="1">
        <v>9000</v>
      </c>
      <c r="N1300" s="1">
        <v>450</v>
      </c>
      <c r="P1300" s="1">
        <v>1250</v>
      </c>
      <c r="R1300" s="1">
        <v>60</v>
      </c>
      <c r="Z1300" s="1">
        <v>0.05</v>
      </c>
      <c r="AA1300" s="1">
        <v>3</v>
      </c>
      <c r="AB1300" s="1">
        <v>3</v>
      </c>
      <c r="AC1300" s="1">
        <v>0.7</v>
      </c>
      <c r="AH1300" s="1">
        <v>0</v>
      </c>
      <c r="AI1300" s="1">
        <v>1</v>
      </c>
      <c r="AJ1300" s="1" t="s">
        <v>5025</v>
      </c>
      <c r="AK1300" s="1" t="s">
        <v>206</v>
      </c>
      <c r="AL1300" s="1" t="s">
        <v>228</v>
      </c>
      <c r="AN1300" s="22" t="s">
        <v>9767</v>
      </c>
      <c r="AX1300" s="1">
        <v>1</v>
      </c>
      <c r="AZ1300" s="1">
        <v>0.25</v>
      </c>
      <c r="BG1300" s="1" t="s">
        <v>5023</v>
      </c>
      <c r="BM1300" s="1" t="s">
        <v>4959</v>
      </c>
      <c r="BQ1300" s="1" t="s">
        <v>207</v>
      </c>
      <c r="BR1300" s="1" t="s">
        <v>208</v>
      </c>
      <c r="BS1300" s="1" t="s">
        <v>229</v>
      </c>
      <c r="BT1300" s="1" t="s">
        <v>210</v>
      </c>
      <c r="BX1300" s="1">
        <v>1</v>
      </c>
    </row>
    <row r="1301" spans="1:76" x14ac:dyDescent="0.25">
      <c r="A1301" s="1" t="s">
        <v>5026</v>
      </c>
      <c r="B1301" s="1" t="s">
        <v>203</v>
      </c>
      <c r="C1301" s="1">
        <v>1</v>
      </c>
      <c r="D1301" s="1" t="s">
        <v>5027</v>
      </c>
      <c r="E1301" s="1">
        <v>10077</v>
      </c>
      <c r="F1301" s="1" t="s">
        <v>5026</v>
      </c>
      <c r="G1301" s="1">
        <v>1</v>
      </c>
      <c r="L1301" s="1">
        <v>6000</v>
      </c>
      <c r="N1301" s="1">
        <v>800</v>
      </c>
      <c r="P1301" s="1">
        <v>1000</v>
      </c>
      <c r="R1301" s="1">
        <v>40</v>
      </c>
      <c r="Z1301" s="1">
        <v>0.05</v>
      </c>
      <c r="AA1301" s="1">
        <v>2</v>
      </c>
      <c r="AB1301" s="1">
        <v>3</v>
      </c>
      <c r="AC1301" s="1">
        <v>0.6</v>
      </c>
      <c r="AH1301" s="1">
        <v>0</v>
      </c>
      <c r="AI1301" s="1">
        <v>1</v>
      </c>
      <c r="AJ1301" s="1" t="s">
        <v>5028</v>
      </c>
      <c r="AK1301" s="1" t="s">
        <v>206</v>
      </c>
      <c r="AL1301" s="1" t="s">
        <v>228</v>
      </c>
      <c r="AN1301" s="22" t="s">
        <v>9767</v>
      </c>
      <c r="AX1301" s="1">
        <v>1</v>
      </c>
      <c r="AZ1301" s="1">
        <v>0.25</v>
      </c>
      <c r="BG1301" s="1" t="s">
        <v>5026</v>
      </c>
      <c r="BM1301" s="1" t="s">
        <v>4959</v>
      </c>
      <c r="BQ1301" s="1" t="s">
        <v>207</v>
      </c>
      <c r="BR1301" s="1" t="s">
        <v>208</v>
      </c>
      <c r="BS1301" s="1" t="s">
        <v>229</v>
      </c>
      <c r="BT1301" s="1" t="s">
        <v>210</v>
      </c>
      <c r="BX1301" s="1">
        <v>1</v>
      </c>
    </row>
    <row r="1302" spans="1:76" x14ac:dyDescent="0.25">
      <c r="A1302" s="1" t="s">
        <v>5029</v>
      </c>
      <c r="B1302" s="1" t="s">
        <v>203</v>
      </c>
      <c r="C1302" s="1">
        <v>1</v>
      </c>
      <c r="D1302" s="1" t="s">
        <v>5030</v>
      </c>
      <c r="E1302" s="1">
        <v>10077</v>
      </c>
      <c r="F1302" s="1" t="s">
        <v>5029</v>
      </c>
      <c r="G1302" s="1">
        <v>1</v>
      </c>
      <c r="L1302" s="1">
        <v>8000</v>
      </c>
      <c r="N1302" s="1">
        <v>900</v>
      </c>
      <c r="P1302" s="1">
        <v>1300</v>
      </c>
      <c r="R1302" s="1">
        <v>50</v>
      </c>
      <c r="Z1302" s="1">
        <v>0.05</v>
      </c>
      <c r="AA1302" s="1">
        <v>2</v>
      </c>
      <c r="AB1302" s="1">
        <v>3</v>
      </c>
      <c r="AC1302" s="1">
        <v>0.6</v>
      </c>
      <c r="AH1302" s="1">
        <v>0</v>
      </c>
      <c r="AI1302" s="1">
        <v>1</v>
      </c>
      <c r="AJ1302" s="1" t="s">
        <v>5031</v>
      </c>
      <c r="AK1302" s="1" t="s">
        <v>206</v>
      </c>
      <c r="AL1302" s="1" t="s">
        <v>228</v>
      </c>
      <c r="AN1302" s="22" t="s">
        <v>9767</v>
      </c>
      <c r="AX1302" s="1">
        <v>1</v>
      </c>
      <c r="AZ1302" s="1">
        <v>0.25</v>
      </c>
      <c r="BG1302" s="1" t="s">
        <v>5029</v>
      </c>
      <c r="BM1302" s="1" t="s">
        <v>4959</v>
      </c>
      <c r="BQ1302" s="1" t="s">
        <v>207</v>
      </c>
      <c r="BR1302" s="1" t="s">
        <v>208</v>
      </c>
      <c r="BS1302" s="1" t="s">
        <v>229</v>
      </c>
      <c r="BT1302" s="1" t="s">
        <v>210</v>
      </c>
      <c r="BX1302" s="1">
        <v>1</v>
      </c>
    </row>
    <row r="1303" spans="1:76" x14ac:dyDescent="0.25">
      <c r="A1303" s="1" t="s">
        <v>5032</v>
      </c>
      <c r="B1303" s="1" t="s">
        <v>203</v>
      </c>
      <c r="C1303" s="1">
        <v>1</v>
      </c>
      <c r="D1303" s="1" t="s">
        <v>5033</v>
      </c>
      <c r="E1303" s="1">
        <v>10078</v>
      </c>
      <c r="F1303" s="1" t="s">
        <v>5032</v>
      </c>
      <c r="G1303" s="1">
        <v>1</v>
      </c>
      <c r="L1303" s="1">
        <v>15000</v>
      </c>
      <c r="N1303" s="1">
        <v>1500</v>
      </c>
      <c r="P1303" s="1">
        <v>2500</v>
      </c>
      <c r="R1303" s="1">
        <v>80</v>
      </c>
      <c r="Z1303" s="1">
        <v>0.05</v>
      </c>
      <c r="AA1303" s="1">
        <v>7</v>
      </c>
      <c r="AB1303" s="1">
        <v>4</v>
      </c>
      <c r="AC1303" s="1">
        <v>0.3</v>
      </c>
      <c r="AH1303" s="1">
        <v>0</v>
      </c>
      <c r="AI1303" s="1">
        <v>1</v>
      </c>
      <c r="AJ1303" s="1" t="s">
        <v>5034</v>
      </c>
      <c r="AK1303" s="1" t="s">
        <v>206</v>
      </c>
      <c r="AL1303" s="1" t="s">
        <v>228</v>
      </c>
      <c r="AN1303" s="22" t="s">
        <v>9767</v>
      </c>
      <c r="AX1303" s="1">
        <v>1</v>
      </c>
      <c r="AZ1303" s="1">
        <v>0.25</v>
      </c>
      <c r="BG1303" s="1" t="s">
        <v>5032</v>
      </c>
      <c r="BM1303" s="1" t="s">
        <v>4959</v>
      </c>
      <c r="BQ1303" s="1" t="s">
        <v>207</v>
      </c>
      <c r="BR1303" s="1" t="s">
        <v>208</v>
      </c>
      <c r="BS1303" s="1" t="s">
        <v>229</v>
      </c>
      <c r="BT1303" s="1" t="s">
        <v>210</v>
      </c>
      <c r="BX1303" s="1">
        <v>1</v>
      </c>
    </row>
    <row r="1304" spans="1:76" x14ac:dyDescent="0.25">
      <c r="A1304" s="1" t="s">
        <v>5035</v>
      </c>
      <c r="B1304" s="1" t="s">
        <v>203</v>
      </c>
      <c r="C1304" s="1">
        <v>1</v>
      </c>
      <c r="D1304" s="1" t="s">
        <v>5036</v>
      </c>
      <c r="E1304" s="1">
        <v>10078</v>
      </c>
      <c r="F1304" s="1" t="s">
        <v>5035</v>
      </c>
      <c r="G1304" s="1">
        <v>1</v>
      </c>
      <c r="L1304" s="1">
        <v>16000</v>
      </c>
      <c r="N1304" s="1">
        <v>1500</v>
      </c>
      <c r="P1304" s="1">
        <v>3000</v>
      </c>
      <c r="R1304" s="1">
        <v>80</v>
      </c>
      <c r="Z1304" s="1">
        <v>0.05</v>
      </c>
      <c r="AA1304" s="1">
        <v>7</v>
      </c>
      <c r="AB1304" s="1">
        <v>4</v>
      </c>
      <c r="AC1304" s="1">
        <v>0.3</v>
      </c>
      <c r="AH1304" s="1">
        <v>0</v>
      </c>
      <c r="AI1304" s="1">
        <v>1</v>
      </c>
      <c r="AJ1304" s="1" t="s">
        <v>5037</v>
      </c>
      <c r="AK1304" s="1" t="s">
        <v>206</v>
      </c>
      <c r="AL1304" s="1" t="s">
        <v>228</v>
      </c>
      <c r="AN1304" s="22" t="s">
        <v>9767</v>
      </c>
      <c r="AX1304" s="1">
        <v>1</v>
      </c>
      <c r="AZ1304" s="1">
        <v>0.25</v>
      </c>
      <c r="BG1304" s="1" t="s">
        <v>5035</v>
      </c>
      <c r="BM1304" s="1" t="s">
        <v>4959</v>
      </c>
      <c r="BQ1304" s="1" t="s">
        <v>207</v>
      </c>
      <c r="BR1304" s="1" t="s">
        <v>208</v>
      </c>
      <c r="BS1304" s="1" t="s">
        <v>229</v>
      </c>
      <c r="BT1304" s="1" t="s">
        <v>210</v>
      </c>
      <c r="BX1304" s="1">
        <v>1</v>
      </c>
    </row>
    <row r="1305" spans="1:76" x14ac:dyDescent="0.25">
      <c r="A1305" s="1" t="s">
        <v>5038</v>
      </c>
      <c r="B1305" s="1" t="s">
        <v>203</v>
      </c>
      <c r="C1305" s="1">
        <v>1</v>
      </c>
      <c r="D1305" s="1" t="s">
        <v>5039</v>
      </c>
      <c r="E1305" s="1">
        <v>10079</v>
      </c>
      <c r="F1305" s="1" t="s">
        <v>5038</v>
      </c>
      <c r="G1305" s="1">
        <v>1</v>
      </c>
      <c r="L1305" s="1">
        <v>8000</v>
      </c>
      <c r="N1305" s="1">
        <v>500</v>
      </c>
      <c r="P1305" s="1">
        <v>1000</v>
      </c>
      <c r="R1305" s="1">
        <v>60</v>
      </c>
      <c r="Z1305" s="1">
        <v>0.05</v>
      </c>
      <c r="AA1305" s="1">
        <v>4</v>
      </c>
      <c r="AB1305" s="1">
        <v>3</v>
      </c>
      <c r="AC1305" s="1">
        <v>0.8</v>
      </c>
      <c r="AH1305" s="1">
        <v>0</v>
      </c>
      <c r="AI1305" s="1">
        <v>1</v>
      </c>
      <c r="AJ1305" s="1" t="s">
        <v>5040</v>
      </c>
      <c r="AK1305" s="1" t="s">
        <v>206</v>
      </c>
      <c r="AL1305" s="1" t="s">
        <v>228</v>
      </c>
      <c r="AN1305" s="22" t="s">
        <v>9767</v>
      </c>
      <c r="AX1305" s="1">
        <v>1</v>
      </c>
      <c r="AZ1305" s="1">
        <v>0.25</v>
      </c>
      <c r="BG1305" s="1" t="s">
        <v>5038</v>
      </c>
      <c r="BM1305" s="1" t="s">
        <v>4959</v>
      </c>
      <c r="BQ1305" s="1" t="s">
        <v>207</v>
      </c>
      <c r="BR1305" s="1" t="s">
        <v>208</v>
      </c>
      <c r="BS1305" s="1" t="s">
        <v>229</v>
      </c>
      <c r="BT1305" s="1" t="s">
        <v>210</v>
      </c>
      <c r="BX1305" s="1">
        <v>1</v>
      </c>
    </row>
    <row r="1306" spans="1:76" x14ac:dyDescent="0.25">
      <c r="A1306" s="1" t="s">
        <v>5041</v>
      </c>
      <c r="B1306" s="1" t="s">
        <v>203</v>
      </c>
      <c r="C1306" s="1">
        <v>1</v>
      </c>
      <c r="D1306" s="1" t="s">
        <v>5042</v>
      </c>
      <c r="E1306" s="1">
        <v>10079</v>
      </c>
      <c r="F1306" s="1" t="s">
        <v>5041</v>
      </c>
      <c r="G1306" s="1">
        <v>1</v>
      </c>
      <c r="L1306" s="1">
        <v>10000</v>
      </c>
      <c r="N1306" s="1">
        <v>600</v>
      </c>
      <c r="P1306" s="1">
        <v>1200</v>
      </c>
      <c r="R1306" s="1">
        <v>60</v>
      </c>
      <c r="Z1306" s="1">
        <v>0.05</v>
      </c>
      <c r="AA1306" s="1">
        <v>4</v>
      </c>
      <c r="AB1306" s="1">
        <v>3</v>
      </c>
      <c r="AC1306" s="1">
        <v>0.8</v>
      </c>
      <c r="AH1306" s="1">
        <v>0</v>
      </c>
      <c r="AI1306" s="1">
        <v>1</v>
      </c>
      <c r="AJ1306" s="1" t="s">
        <v>5043</v>
      </c>
      <c r="AK1306" s="1" t="s">
        <v>206</v>
      </c>
      <c r="AL1306" s="1" t="s">
        <v>228</v>
      </c>
      <c r="AN1306" s="22" t="s">
        <v>9767</v>
      </c>
      <c r="AX1306" s="1">
        <v>1</v>
      </c>
      <c r="AZ1306" s="1">
        <v>0.25</v>
      </c>
      <c r="BG1306" s="1" t="s">
        <v>5041</v>
      </c>
      <c r="BM1306" s="1" t="s">
        <v>4959</v>
      </c>
      <c r="BQ1306" s="1" t="s">
        <v>207</v>
      </c>
      <c r="BR1306" s="1" t="s">
        <v>208</v>
      </c>
      <c r="BS1306" s="1" t="s">
        <v>229</v>
      </c>
      <c r="BT1306" s="1" t="s">
        <v>210</v>
      </c>
      <c r="BX1306" s="1">
        <v>1</v>
      </c>
    </row>
    <row r="1307" spans="1:76" x14ac:dyDescent="0.25">
      <c r="A1307" s="1" t="s">
        <v>5044</v>
      </c>
      <c r="B1307" s="1" t="s">
        <v>203</v>
      </c>
      <c r="C1307" s="1">
        <v>1</v>
      </c>
      <c r="D1307" s="1" t="s">
        <v>5045</v>
      </c>
      <c r="E1307" s="1">
        <v>10080</v>
      </c>
      <c r="F1307" s="1" t="s">
        <v>5044</v>
      </c>
      <c r="G1307" s="1">
        <v>1</v>
      </c>
      <c r="L1307" s="1">
        <v>3500</v>
      </c>
      <c r="N1307" s="1">
        <v>500</v>
      </c>
      <c r="P1307" s="1">
        <v>360</v>
      </c>
      <c r="R1307" s="1">
        <v>40</v>
      </c>
      <c r="Z1307" s="1">
        <v>0.05</v>
      </c>
      <c r="AA1307" s="1">
        <v>3</v>
      </c>
      <c r="AB1307" s="1">
        <v>2</v>
      </c>
      <c r="AC1307" s="1">
        <v>0.6</v>
      </c>
      <c r="AH1307" s="1">
        <v>0</v>
      </c>
      <c r="AI1307" s="1">
        <v>1</v>
      </c>
      <c r="AJ1307" s="1" t="s">
        <v>5046</v>
      </c>
      <c r="AK1307" s="1" t="s">
        <v>206</v>
      </c>
      <c r="AL1307" s="1" t="s">
        <v>228</v>
      </c>
      <c r="AN1307" s="22" t="s">
        <v>9767</v>
      </c>
      <c r="AP1307" s="1">
        <v>1</v>
      </c>
      <c r="AX1307" s="1">
        <v>1</v>
      </c>
      <c r="AZ1307" s="1">
        <v>0.25</v>
      </c>
      <c r="BG1307" s="1" t="s">
        <v>5044</v>
      </c>
      <c r="BM1307" s="1" t="s">
        <v>4959</v>
      </c>
      <c r="BQ1307" s="1" t="s">
        <v>207</v>
      </c>
      <c r="BR1307" s="1" t="s">
        <v>208</v>
      </c>
      <c r="BS1307" s="1" t="s">
        <v>229</v>
      </c>
      <c r="BT1307" s="1" t="s">
        <v>210</v>
      </c>
      <c r="BX1307" s="1">
        <v>1</v>
      </c>
    </row>
    <row r="1308" spans="1:76" x14ac:dyDescent="0.25">
      <c r="A1308" s="1" t="s">
        <v>5047</v>
      </c>
      <c r="B1308" s="1" t="s">
        <v>203</v>
      </c>
      <c r="C1308" s="1">
        <v>1</v>
      </c>
      <c r="D1308" s="1" t="s">
        <v>5048</v>
      </c>
      <c r="E1308" s="1">
        <v>10080</v>
      </c>
      <c r="F1308" s="1" t="s">
        <v>5047</v>
      </c>
      <c r="G1308" s="1">
        <v>1</v>
      </c>
      <c r="L1308" s="1">
        <v>4500</v>
      </c>
      <c r="N1308" s="1">
        <v>500</v>
      </c>
      <c r="P1308" s="1">
        <v>400</v>
      </c>
      <c r="R1308" s="1">
        <v>50</v>
      </c>
      <c r="Z1308" s="1">
        <v>0.05</v>
      </c>
      <c r="AA1308" s="1">
        <v>3</v>
      </c>
      <c r="AB1308" s="1">
        <v>2</v>
      </c>
      <c r="AC1308" s="1">
        <v>0.6</v>
      </c>
      <c r="AH1308" s="1">
        <v>0</v>
      </c>
      <c r="AI1308" s="1">
        <v>1</v>
      </c>
      <c r="AJ1308" s="1" t="s">
        <v>5049</v>
      </c>
      <c r="AK1308" s="1" t="s">
        <v>206</v>
      </c>
      <c r="AL1308" s="1" t="s">
        <v>228</v>
      </c>
      <c r="AN1308" s="22" t="s">
        <v>9767</v>
      </c>
      <c r="AP1308" s="1">
        <v>1</v>
      </c>
      <c r="AX1308" s="1">
        <v>1</v>
      </c>
      <c r="AZ1308" s="1">
        <v>0.25</v>
      </c>
      <c r="BG1308" s="1" t="s">
        <v>5047</v>
      </c>
      <c r="BM1308" s="1" t="s">
        <v>4959</v>
      </c>
      <c r="BQ1308" s="1" t="s">
        <v>207</v>
      </c>
      <c r="BR1308" s="1" t="s">
        <v>208</v>
      </c>
      <c r="BS1308" s="1" t="s">
        <v>229</v>
      </c>
      <c r="BT1308" s="1" t="s">
        <v>210</v>
      </c>
      <c r="BX1308" s="1">
        <v>1</v>
      </c>
    </row>
    <row r="1309" spans="1:76" x14ac:dyDescent="0.25">
      <c r="A1309" s="1" t="s">
        <v>5050</v>
      </c>
      <c r="B1309" s="1" t="s">
        <v>203</v>
      </c>
      <c r="C1309" s="1">
        <v>1</v>
      </c>
      <c r="D1309" s="1" t="s">
        <v>5051</v>
      </c>
      <c r="E1309" s="1">
        <v>10081</v>
      </c>
      <c r="F1309" s="1" t="s">
        <v>5050</v>
      </c>
      <c r="G1309" s="1">
        <v>1</v>
      </c>
      <c r="L1309" s="1">
        <v>2500</v>
      </c>
      <c r="N1309" s="1">
        <v>100</v>
      </c>
      <c r="P1309" s="1">
        <v>450</v>
      </c>
      <c r="R1309" s="1">
        <v>40</v>
      </c>
      <c r="Z1309" s="1">
        <v>0.05</v>
      </c>
      <c r="AA1309" s="1">
        <v>1</v>
      </c>
      <c r="AB1309" s="1">
        <v>1</v>
      </c>
      <c r="AC1309" s="1">
        <v>1</v>
      </c>
      <c r="AH1309" s="1">
        <v>0</v>
      </c>
      <c r="AI1309" s="1">
        <v>1</v>
      </c>
      <c r="AJ1309" s="1" t="s">
        <v>5052</v>
      </c>
      <c r="AK1309" s="1" t="s">
        <v>206</v>
      </c>
      <c r="AL1309" s="1" t="s">
        <v>228</v>
      </c>
      <c r="AN1309" s="22" t="s">
        <v>9767</v>
      </c>
      <c r="AX1309" s="1">
        <v>1</v>
      </c>
      <c r="AZ1309" s="1">
        <v>0.25</v>
      </c>
      <c r="BG1309" s="1" t="s">
        <v>5050</v>
      </c>
      <c r="BM1309" s="1" t="s">
        <v>4959</v>
      </c>
      <c r="BQ1309" s="1" t="s">
        <v>207</v>
      </c>
      <c r="BR1309" s="1" t="s">
        <v>2593</v>
      </c>
      <c r="BS1309" s="1" t="s">
        <v>2594</v>
      </c>
      <c r="BT1309" s="1" t="s">
        <v>210</v>
      </c>
      <c r="BX1309" s="1">
        <v>1</v>
      </c>
    </row>
    <row r="1310" spans="1:76" x14ac:dyDescent="0.25">
      <c r="A1310" s="1" t="s">
        <v>5053</v>
      </c>
      <c r="B1310" s="1" t="s">
        <v>203</v>
      </c>
      <c r="C1310" s="1">
        <v>1</v>
      </c>
      <c r="D1310" s="1" t="s">
        <v>5054</v>
      </c>
      <c r="E1310" s="1">
        <v>10081</v>
      </c>
      <c r="F1310" s="1" t="s">
        <v>5053</v>
      </c>
      <c r="G1310" s="1">
        <v>1</v>
      </c>
      <c r="L1310" s="1">
        <v>4000</v>
      </c>
      <c r="N1310" s="1">
        <v>200</v>
      </c>
      <c r="P1310" s="1">
        <v>600</v>
      </c>
      <c r="R1310" s="1">
        <v>45</v>
      </c>
      <c r="Z1310" s="1">
        <v>0.05</v>
      </c>
      <c r="AA1310" s="1">
        <v>1</v>
      </c>
      <c r="AB1310" s="1">
        <v>1</v>
      </c>
      <c r="AC1310" s="1">
        <v>1</v>
      </c>
      <c r="AH1310" s="1">
        <v>0</v>
      </c>
      <c r="AI1310" s="1">
        <v>1</v>
      </c>
      <c r="AJ1310" s="1" t="s">
        <v>5055</v>
      </c>
      <c r="AK1310" s="1" t="s">
        <v>206</v>
      </c>
      <c r="AL1310" s="1" t="s">
        <v>228</v>
      </c>
      <c r="AN1310" s="22" t="s">
        <v>9767</v>
      </c>
      <c r="AX1310" s="1">
        <v>1</v>
      </c>
      <c r="AZ1310" s="1">
        <v>0.25</v>
      </c>
      <c r="BG1310" s="1" t="s">
        <v>5053</v>
      </c>
      <c r="BM1310" s="1" t="s">
        <v>4959</v>
      </c>
      <c r="BQ1310" s="1" t="s">
        <v>207</v>
      </c>
      <c r="BR1310" s="1" t="s">
        <v>2593</v>
      </c>
      <c r="BS1310" s="1" t="s">
        <v>2594</v>
      </c>
      <c r="BT1310" s="1" t="s">
        <v>210</v>
      </c>
      <c r="BX1310" s="1">
        <v>1</v>
      </c>
    </row>
    <row r="1311" spans="1:76" x14ac:dyDescent="0.25">
      <c r="A1311" s="1" t="s">
        <v>5056</v>
      </c>
      <c r="B1311" s="1" t="s">
        <v>203</v>
      </c>
      <c r="C1311" s="1">
        <v>1</v>
      </c>
      <c r="D1311" s="1" t="s">
        <v>5057</v>
      </c>
      <c r="E1311" s="1">
        <v>10083</v>
      </c>
      <c r="F1311" s="1" t="s">
        <v>5056</v>
      </c>
      <c r="G1311" s="1">
        <v>1</v>
      </c>
      <c r="L1311" s="1">
        <v>1500</v>
      </c>
      <c r="N1311" s="1">
        <v>0</v>
      </c>
      <c r="P1311" s="1">
        <v>0</v>
      </c>
      <c r="R1311" s="1">
        <v>30</v>
      </c>
      <c r="Z1311" s="1">
        <v>0.05</v>
      </c>
      <c r="AA1311" s="1">
        <v>1</v>
      </c>
      <c r="AB1311" s="1">
        <v>0</v>
      </c>
      <c r="AC1311" s="1">
        <v>0.9</v>
      </c>
      <c r="AH1311" s="1">
        <v>0</v>
      </c>
      <c r="AI1311" s="1">
        <v>1</v>
      </c>
      <c r="AJ1311" s="1" t="s">
        <v>5058</v>
      </c>
      <c r="AK1311" s="1" t="s">
        <v>206</v>
      </c>
      <c r="AL1311" s="1" t="s">
        <v>228</v>
      </c>
      <c r="AN1311" s="22" t="s">
        <v>9767</v>
      </c>
      <c r="AP1311" s="1">
        <v>1</v>
      </c>
      <c r="AX1311" s="1">
        <v>1</v>
      </c>
      <c r="AZ1311" s="1">
        <v>0.25</v>
      </c>
      <c r="BG1311" s="1" t="s">
        <v>5056</v>
      </c>
      <c r="BM1311" s="1" t="s">
        <v>4959</v>
      </c>
      <c r="BQ1311" s="1" t="s">
        <v>207</v>
      </c>
      <c r="BR1311" s="1" t="s">
        <v>208</v>
      </c>
      <c r="BS1311" s="1" t="s">
        <v>229</v>
      </c>
      <c r="BT1311" s="1" t="s">
        <v>210</v>
      </c>
      <c r="BX1311" s="1">
        <v>1</v>
      </c>
    </row>
    <row r="1312" spans="1:76" x14ac:dyDescent="0.25">
      <c r="A1312" s="1" t="s">
        <v>5059</v>
      </c>
      <c r="B1312" s="1" t="s">
        <v>203</v>
      </c>
      <c r="C1312" s="1">
        <v>1</v>
      </c>
      <c r="D1312" s="1" t="s">
        <v>5060</v>
      </c>
      <c r="E1312" s="1">
        <v>10083</v>
      </c>
      <c r="F1312" s="1" t="s">
        <v>5059</v>
      </c>
      <c r="G1312" s="1">
        <v>1</v>
      </c>
      <c r="L1312" s="1">
        <v>2000</v>
      </c>
      <c r="N1312" s="1">
        <v>0</v>
      </c>
      <c r="P1312" s="1">
        <v>0</v>
      </c>
      <c r="R1312" s="1">
        <v>30</v>
      </c>
      <c r="Z1312" s="1">
        <v>0.05</v>
      </c>
      <c r="AA1312" s="1">
        <v>1</v>
      </c>
      <c r="AB1312" s="1">
        <v>0</v>
      </c>
      <c r="AC1312" s="1">
        <v>0.9</v>
      </c>
      <c r="AH1312" s="1">
        <v>0</v>
      </c>
      <c r="AI1312" s="1">
        <v>1</v>
      </c>
      <c r="AJ1312" s="1" t="s">
        <v>5061</v>
      </c>
      <c r="AK1312" s="1" t="s">
        <v>206</v>
      </c>
      <c r="AL1312" s="1" t="s">
        <v>228</v>
      </c>
      <c r="AN1312" s="22" t="s">
        <v>9767</v>
      </c>
      <c r="AP1312" s="1">
        <v>1</v>
      </c>
      <c r="AX1312" s="1">
        <v>1</v>
      </c>
      <c r="AZ1312" s="1">
        <v>0.25</v>
      </c>
      <c r="BG1312" s="1" t="s">
        <v>5059</v>
      </c>
      <c r="BM1312" s="1" t="s">
        <v>4959</v>
      </c>
      <c r="BQ1312" s="1" t="s">
        <v>207</v>
      </c>
      <c r="BR1312" s="1" t="s">
        <v>208</v>
      </c>
      <c r="BS1312" s="1" t="s">
        <v>229</v>
      </c>
      <c r="BT1312" s="1" t="s">
        <v>210</v>
      </c>
      <c r="BX1312" s="1">
        <v>1</v>
      </c>
    </row>
    <row r="1313" spans="1:76" x14ac:dyDescent="0.25">
      <c r="A1313" s="1" t="s">
        <v>5062</v>
      </c>
      <c r="B1313" s="1" t="s">
        <v>203</v>
      </c>
      <c r="C1313" s="1">
        <v>1</v>
      </c>
      <c r="D1313" s="1" t="s">
        <v>5063</v>
      </c>
      <c r="E1313" s="1">
        <v>10084</v>
      </c>
      <c r="F1313" s="1" t="s">
        <v>5062</v>
      </c>
      <c r="G1313" s="1">
        <v>1</v>
      </c>
      <c r="L1313" s="1">
        <v>5500</v>
      </c>
      <c r="N1313" s="1">
        <v>1000</v>
      </c>
      <c r="P1313" s="1">
        <v>150</v>
      </c>
      <c r="R1313" s="1">
        <v>30</v>
      </c>
      <c r="Z1313" s="1">
        <v>0.05</v>
      </c>
      <c r="AA1313" s="1">
        <v>3</v>
      </c>
      <c r="AB1313" s="1">
        <v>1</v>
      </c>
      <c r="AC1313" s="1">
        <v>0.7</v>
      </c>
      <c r="AH1313" s="1">
        <v>0</v>
      </c>
      <c r="AI1313" s="1">
        <v>1</v>
      </c>
      <c r="AJ1313" s="1" t="s">
        <v>5064</v>
      </c>
      <c r="AK1313" s="1" t="s">
        <v>206</v>
      </c>
      <c r="AL1313" s="1" t="s">
        <v>228</v>
      </c>
      <c r="AN1313" s="22" t="s">
        <v>9767</v>
      </c>
      <c r="AP1313" s="1">
        <v>1</v>
      </c>
      <c r="AX1313" s="1">
        <v>1</v>
      </c>
      <c r="AZ1313" s="1">
        <v>0.25</v>
      </c>
      <c r="BG1313" s="1" t="s">
        <v>5062</v>
      </c>
      <c r="BM1313" s="1" t="s">
        <v>4959</v>
      </c>
      <c r="BQ1313" s="1" t="s">
        <v>207</v>
      </c>
      <c r="BR1313" s="1" t="s">
        <v>208</v>
      </c>
      <c r="BS1313" s="1" t="s">
        <v>229</v>
      </c>
      <c r="BT1313" s="1" t="s">
        <v>210</v>
      </c>
      <c r="BX1313" s="1">
        <v>1</v>
      </c>
    </row>
    <row r="1314" spans="1:76" x14ac:dyDescent="0.25">
      <c r="A1314" s="1" t="s">
        <v>5065</v>
      </c>
      <c r="B1314" s="1" t="s">
        <v>203</v>
      </c>
      <c r="C1314" s="1">
        <v>1</v>
      </c>
      <c r="D1314" s="1" t="s">
        <v>5066</v>
      </c>
      <c r="E1314" s="1">
        <v>10084</v>
      </c>
      <c r="F1314" s="1" t="s">
        <v>5065</v>
      </c>
      <c r="G1314" s="1">
        <v>1</v>
      </c>
      <c r="L1314" s="1">
        <v>7200</v>
      </c>
      <c r="N1314" s="1">
        <v>1500</v>
      </c>
      <c r="P1314" s="1">
        <v>150</v>
      </c>
      <c r="R1314" s="1">
        <v>30</v>
      </c>
      <c r="Z1314" s="1">
        <v>0.05</v>
      </c>
      <c r="AA1314" s="1">
        <v>3</v>
      </c>
      <c r="AB1314" s="1">
        <v>1</v>
      </c>
      <c r="AC1314" s="1">
        <v>0.7</v>
      </c>
      <c r="AH1314" s="1">
        <v>0</v>
      </c>
      <c r="AI1314" s="1">
        <v>1</v>
      </c>
      <c r="AJ1314" s="1" t="s">
        <v>5067</v>
      </c>
      <c r="AK1314" s="1" t="s">
        <v>206</v>
      </c>
      <c r="AL1314" s="1" t="s">
        <v>228</v>
      </c>
      <c r="AN1314" s="22" t="s">
        <v>9767</v>
      </c>
      <c r="AP1314" s="1">
        <v>1</v>
      </c>
      <c r="AX1314" s="1">
        <v>1</v>
      </c>
      <c r="AZ1314" s="1">
        <v>0.25</v>
      </c>
      <c r="BG1314" s="1" t="s">
        <v>5065</v>
      </c>
      <c r="BM1314" s="1" t="s">
        <v>4959</v>
      </c>
      <c r="BQ1314" s="1" t="s">
        <v>207</v>
      </c>
      <c r="BR1314" s="1" t="s">
        <v>208</v>
      </c>
      <c r="BS1314" s="1" t="s">
        <v>229</v>
      </c>
      <c r="BT1314" s="1" t="s">
        <v>210</v>
      </c>
      <c r="BX1314" s="1">
        <v>1</v>
      </c>
    </row>
    <row r="1315" spans="1:76" x14ac:dyDescent="0.25">
      <c r="A1315" s="1" t="s">
        <v>5068</v>
      </c>
      <c r="B1315" s="1" t="s">
        <v>203</v>
      </c>
      <c r="C1315" s="1">
        <v>1</v>
      </c>
      <c r="D1315" s="1" t="s">
        <v>5069</v>
      </c>
      <c r="E1315" s="1">
        <v>10085</v>
      </c>
      <c r="F1315" s="1" t="s">
        <v>5068</v>
      </c>
      <c r="G1315" s="1">
        <v>1</v>
      </c>
      <c r="L1315" s="1">
        <v>60000</v>
      </c>
      <c r="N1315" s="1">
        <v>0</v>
      </c>
      <c r="P1315" s="1">
        <v>50</v>
      </c>
      <c r="R1315" s="1">
        <v>30</v>
      </c>
      <c r="Z1315" s="1">
        <v>0.05</v>
      </c>
      <c r="AA1315" s="1">
        <v>1</v>
      </c>
      <c r="AB1315" s="1">
        <v>5</v>
      </c>
      <c r="AC1315" s="1">
        <v>0.4</v>
      </c>
      <c r="AH1315" s="1">
        <v>0</v>
      </c>
      <c r="AI1315" s="1">
        <v>1</v>
      </c>
      <c r="AJ1315" s="1" t="s">
        <v>5070</v>
      </c>
      <c r="AK1315" s="1" t="s">
        <v>206</v>
      </c>
      <c r="AL1315" s="1" t="s">
        <v>228</v>
      </c>
      <c r="AN1315" s="22" t="s">
        <v>9767</v>
      </c>
      <c r="AP1315" s="1">
        <v>1</v>
      </c>
      <c r="AX1315" s="1">
        <v>1</v>
      </c>
      <c r="AZ1315" s="1">
        <v>0.25</v>
      </c>
      <c r="BG1315" s="1" t="s">
        <v>5068</v>
      </c>
      <c r="BM1315" s="1" t="s">
        <v>4959</v>
      </c>
      <c r="BQ1315" s="1" t="s">
        <v>207</v>
      </c>
      <c r="BR1315" s="1" t="s">
        <v>208</v>
      </c>
      <c r="BS1315" s="1" t="s">
        <v>229</v>
      </c>
      <c r="BT1315" s="1" t="s">
        <v>210</v>
      </c>
      <c r="BX1315" s="1">
        <v>1</v>
      </c>
    </row>
    <row r="1316" spans="1:76" x14ac:dyDescent="0.25">
      <c r="A1316" s="1" t="s">
        <v>5071</v>
      </c>
      <c r="B1316" s="1" t="s">
        <v>203</v>
      </c>
      <c r="C1316" s="1">
        <v>1</v>
      </c>
      <c r="D1316" s="1" t="s">
        <v>5072</v>
      </c>
      <c r="E1316" s="1">
        <v>10085</v>
      </c>
      <c r="F1316" s="1" t="s">
        <v>5071</v>
      </c>
      <c r="G1316" s="1">
        <v>1</v>
      </c>
      <c r="L1316" s="1">
        <v>80000</v>
      </c>
      <c r="N1316" s="1">
        <v>0</v>
      </c>
      <c r="P1316" s="1">
        <v>50</v>
      </c>
      <c r="R1316" s="1">
        <v>30</v>
      </c>
      <c r="Z1316" s="1">
        <v>0.05</v>
      </c>
      <c r="AA1316" s="1">
        <v>1</v>
      </c>
      <c r="AB1316" s="1">
        <v>5</v>
      </c>
      <c r="AC1316" s="1">
        <v>0.4</v>
      </c>
      <c r="AH1316" s="1">
        <v>0</v>
      </c>
      <c r="AI1316" s="1">
        <v>1</v>
      </c>
      <c r="AJ1316" s="1" t="s">
        <v>5073</v>
      </c>
      <c r="AK1316" s="1" t="s">
        <v>206</v>
      </c>
      <c r="AL1316" s="1" t="s">
        <v>228</v>
      </c>
      <c r="AN1316" s="22" t="s">
        <v>9767</v>
      </c>
      <c r="AP1316" s="1">
        <v>1</v>
      </c>
      <c r="AX1316" s="1">
        <v>1</v>
      </c>
      <c r="AZ1316" s="1">
        <v>0.25</v>
      </c>
      <c r="BG1316" s="1" t="s">
        <v>5071</v>
      </c>
      <c r="BM1316" s="1" t="s">
        <v>4959</v>
      </c>
      <c r="BQ1316" s="1" t="s">
        <v>207</v>
      </c>
      <c r="BR1316" s="1" t="s">
        <v>208</v>
      </c>
      <c r="BS1316" s="1" t="s">
        <v>229</v>
      </c>
      <c r="BT1316" s="1" t="s">
        <v>210</v>
      </c>
      <c r="BX1316" s="1">
        <v>1</v>
      </c>
    </row>
    <row r="1317" spans="1:76" x14ac:dyDescent="0.25">
      <c r="A1317" s="1" t="s">
        <v>5074</v>
      </c>
      <c r="B1317" s="1" t="s">
        <v>203</v>
      </c>
      <c r="C1317" s="1">
        <v>1</v>
      </c>
      <c r="D1317" s="1" t="s">
        <v>5075</v>
      </c>
      <c r="E1317" s="1">
        <v>10086</v>
      </c>
      <c r="F1317" s="1" t="s">
        <v>5074</v>
      </c>
      <c r="G1317" s="1">
        <v>1</v>
      </c>
      <c r="L1317" s="1">
        <v>25000</v>
      </c>
      <c r="N1317" s="1">
        <v>1550</v>
      </c>
      <c r="P1317" s="1">
        <v>300</v>
      </c>
      <c r="R1317" s="1">
        <v>30</v>
      </c>
      <c r="Z1317" s="1">
        <v>0.05</v>
      </c>
      <c r="AA1317" s="1">
        <v>5</v>
      </c>
      <c r="AB1317" s="1">
        <v>3</v>
      </c>
      <c r="AC1317" s="1">
        <v>1.1000000000000001</v>
      </c>
      <c r="AH1317" s="1">
        <v>0</v>
      </c>
      <c r="AI1317" s="1">
        <v>1</v>
      </c>
      <c r="AJ1317" s="1" t="s">
        <v>5076</v>
      </c>
      <c r="AK1317" s="1" t="s">
        <v>206</v>
      </c>
      <c r="AL1317" s="1" t="s">
        <v>228</v>
      </c>
      <c r="AN1317" s="22" t="s">
        <v>9767</v>
      </c>
      <c r="AX1317" s="1">
        <v>1</v>
      </c>
      <c r="AZ1317" s="1">
        <v>0.25</v>
      </c>
      <c r="BG1317" s="1" t="s">
        <v>5074</v>
      </c>
      <c r="BM1317" s="1" t="s">
        <v>4959</v>
      </c>
      <c r="BQ1317" s="1" t="s">
        <v>207</v>
      </c>
      <c r="BR1317" s="1" t="s">
        <v>208</v>
      </c>
      <c r="BS1317" s="1" t="s">
        <v>229</v>
      </c>
      <c r="BT1317" s="1" t="s">
        <v>210</v>
      </c>
      <c r="BX1317" s="1">
        <v>1</v>
      </c>
    </row>
    <row r="1318" spans="1:76" x14ac:dyDescent="0.25">
      <c r="A1318" s="1" t="s">
        <v>5077</v>
      </c>
      <c r="B1318" s="1" t="s">
        <v>203</v>
      </c>
      <c r="C1318" s="1">
        <v>1</v>
      </c>
      <c r="D1318" s="1" t="s">
        <v>5078</v>
      </c>
      <c r="E1318" s="1">
        <v>10086</v>
      </c>
      <c r="F1318" s="1" t="s">
        <v>5077</v>
      </c>
      <c r="G1318" s="1">
        <v>1</v>
      </c>
      <c r="L1318" s="1">
        <v>30000</v>
      </c>
      <c r="N1318" s="1">
        <v>1950</v>
      </c>
      <c r="P1318" s="1">
        <v>350</v>
      </c>
      <c r="R1318" s="1">
        <v>30</v>
      </c>
      <c r="Z1318" s="1">
        <v>0.05</v>
      </c>
      <c r="AA1318" s="1">
        <v>5</v>
      </c>
      <c r="AB1318" s="1">
        <v>3</v>
      </c>
      <c r="AC1318" s="1">
        <v>1.1000000000000001</v>
      </c>
      <c r="AH1318" s="1">
        <v>0</v>
      </c>
      <c r="AI1318" s="1">
        <v>1</v>
      </c>
      <c r="AJ1318" s="1" t="s">
        <v>5079</v>
      </c>
      <c r="AK1318" s="1" t="s">
        <v>206</v>
      </c>
      <c r="AL1318" s="1" t="s">
        <v>228</v>
      </c>
      <c r="AN1318" s="22" t="s">
        <v>9767</v>
      </c>
      <c r="AX1318" s="1">
        <v>1</v>
      </c>
      <c r="AZ1318" s="1">
        <v>0.25</v>
      </c>
      <c r="BG1318" s="1" t="s">
        <v>5077</v>
      </c>
      <c r="BM1318" s="1" t="s">
        <v>4959</v>
      </c>
      <c r="BQ1318" s="1" t="s">
        <v>207</v>
      </c>
      <c r="BR1318" s="1" t="s">
        <v>208</v>
      </c>
      <c r="BS1318" s="1" t="s">
        <v>229</v>
      </c>
      <c r="BT1318" s="1" t="s">
        <v>210</v>
      </c>
      <c r="BX1318" s="1">
        <v>1</v>
      </c>
    </row>
    <row r="1319" spans="1:76" x14ac:dyDescent="0.25">
      <c r="A1319" s="1" t="s">
        <v>5080</v>
      </c>
      <c r="B1319" s="1" t="s">
        <v>203</v>
      </c>
      <c r="C1319" s="1">
        <v>1</v>
      </c>
      <c r="D1319" s="1" t="s">
        <v>5081</v>
      </c>
      <c r="E1319" s="1">
        <v>10087</v>
      </c>
      <c r="F1319" s="1" t="s">
        <v>5080</v>
      </c>
      <c r="G1319" s="1">
        <v>1</v>
      </c>
      <c r="L1319" s="1">
        <v>6000</v>
      </c>
      <c r="N1319" s="1">
        <v>400</v>
      </c>
      <c r="P1319" s="1">
        <v>350</v>
      </c>
      <c r="R1319" s="1">
        <v>0</v>
      </c>
      <c r="Z1319" s="1">
        <v>0.05</v>
      </c>
      <c r="AA1319" s="1">
        <v>1.3</v>
      </c>
      <c r="AB1319" s="1">
        <v>1</v>
      </c>
      <c r="AC1319" s="1">
        <v>1.2</v>
      </c>
      <c r="AH1319" s="1">
        <v>0</v>
      </c>
      <c r="AI1319" s="1">
        <v>1</v>
      </c>
      <c r="AJ1319" s="1" t="s">
        <v>5082</v>
      </c>
      <c r="AK1319" s="1" t="s">
        <v>206</v>
      </c>
      <c r="AL1319" s="1" t="s">
        <v>228</v>
      </c>
      <c r="AN1319" s="22" t="s">
        <v>9767</v>
      </c>
      <c r="AX1319" s="1">
        <v>1</v>
      </c>
      <c r="AZ1319" s="1">
        <v>0.25</v>
      </c>
      <c r="BG1319" s="1" t="s">
        <v>5080</v>
      </c>
      <c r="BM1319" s="1" t="s">
        <v>4959</v>
      </c>
      <c r="BQ1319" s="1" t="s">
        <v>207</v>
      </c>
      <c r="BR1319" s="1" t="s">
        <v>208</v>
      </c>
      <c r="BS1319" s="1" t="s">
        <v>229</v>
      </c>
      <c r="BT1319" s="1" t="s">
        <v>210</v>
      </c>
      <c r="BX1319" s="1">
        <v>1</v>
      </c>
    </row>
    <row r="1320" spans="1:76" x14ac:dyDescent="0.25">
      <c r="A1320" s="1" t="s">
        <v>5083</v>
      </c>
      <c r="B1320" s="1" t="s">
        <v>203</v>
      </c>
      <c r="C1320" s="1">
        <v>1</v>
      </c>
      <c r="D1320" s="1" t="s">
        <v>5084</v>
      </c>
      <c r="E1320" s="1">
        <v>10087</v>
      </c>
      <c r="F1320" s="1" t="s">
        <v>5083</v>
      </c>
      <c r="G1320" s="1">
        <v>1</v>
      </c>
      <c r="L1320" s="1">
        <v>8000</v>
      </c>
      <c r="N1320" s="1">
        <v>500</v>
      </c>
      <c r="P1320" s="1">
        <v>350</v>
      </c>
      <c r="R1320" s="1">
        <v>0</v>
      </c>
      <c r="Z1320" s="1">
        <v>0.05</v>
      </c>
      <c r="AA1320" s="1">
        <v>1.3</v>
      </c>
      <c r="AB1320" s="1">
        <v>1</v>
      </c>
      <c r="AC1320" s="1">
        <v>1.2</v>
      </c>
      <c r="AH1320" s="1">
        <v>0</v>
      </c>
      <c r="AI1320" s="1">
        <v>1</v>
      </c>
      <c r="AJ1320" s="1" t="s">
        <v>5085</v>
      </c>
      <c r="AK1320" s="1" t="s">
        <v>206</v>
      </c>
      <c r="AL1320" s="1" t="s">
        <v>228</v>
      </c>
      <c r="AN1320" s="22" t="s">
        <v>9767</v>
      </c>
      <c r="AX1320" s="1">
        <v>1</v>
      </c>
      <c r="AZ1320" s="1">
        <v>0.25</v>
      </c>
      <c r="BG1320" s="1" t="s">
        <v>5083</v>
      </c>
      <c r="BM1320" s="1" t="s">
        <v>4959</v>
      </c>
      <c r="BQ1320" s="1" t="s">
        <v>207</v>
      </c>
      <c r="BR1320" s="1" t="s">
        <v>208</v>
      </c>
      <c r="BS1320" s="1" t="s">
        <v>229</v>
      </c>
      <c r="BT1320" s="1" t="s">
        <v>210</v>
      </c>
      <c r="BX1320" s="1">
        <v>1</v>
      </c>
    </row>
    <row r="1321" spans="1:76" x14ac:dyDescent="0.25">
      <c r="A1321" s="1" t="s">
        <v>5086</v>
      </c>
      <c r="B1321" s="1" t="s">
        <v>203</v>
      </c>
      <c r="C1321" s="1">
        <v>1</v>
      </c>
      <c r="D1321" s="1" t="s">
        <v>5087</v>
      </c>
      <c r="E1321" s="1">
        <v>10088</v>
      </c>
      <c r="F1321" s="1" t="s">
        <v>5086</v>
      </c>
      <c r="G1321" s="1">
        <v>1</v>
      </c>
      <c r="L1321" s="1">
        <v>10000</v>
      </c>
      <c r="N1321" s="1">
        <v>1400</v>
      </c>
      <c r="P1321" s="1">
        <v>180</v>
      </c>
      <c r="R1321" s="1">
        <v>0</v>
      </c>
      <c r="Z1321" s="1">
        <v>0.05</v>
      </c>
      <c r="AA1321" s="1">
        <v>3.5</v>
      </c>
      <c r="AB1321" s="1">
        <v>1</v>
      </c>
      <c r="AC1321" s="1">
        <v>0.9</v>
      </c>
      <c r="AH1321" s="1">
        <v>0</v>
      </c>
      <c r="AI1321" s="1">
        <v>1</v>
      </c>
      <c r="AJ1321" s="1" t="s">
        <v>5088</v>
      </c>
      <c r="AK1321" s="1" t="s">
        <v>206</v>
      </c>
      <c r="AL1321" s="1" t="s">
        <v>228</v>
      </c>
      <c r="AN1321" s="22" t="s">
        <v>9767</v>
      </c>
      <c r="AX1321" s="1">
        <v>1</v>
      </c>
      <c r="AZ1321" s="1">
        <v>0.25</v>
      </c>
      <c r="BG1321" s="1" t="s">
        <v>5086</v>
      </c>
      <c r="BM1321" s="1" t="s">
        <v>4959</v>
      </c>
      <c r="BQ1321" s="1" t="s">
        <v>207</v>
      </c>
      <c r="BR1321" s="1" t="s">
        <v>208</v>
      </c>
      <c r="BS1321" s="1" t="s">
        <v>229</v>
      </c>
      <c r="BT1321" s="1" t="s">
        <v>210</v>
      </c>
      <c r="BX1321" s="1">
        <v>1</v>
      </c>
    </row>
    <row r="1322" spans="1:76" x14ac:dyDescent="0.25">
      <c r="A1322" s="1" t="s">
        <v>5089</v>
      </c>
      <c r="B1322" s="1" t="s">
        <v>203</v>
      </c>
      <c r="C1322" s="1">
        <v>1</v>
      </c>
      <c r="D1322" s="1" t="s">
        <v>5090</v>
      </c>
      <c r="E1322" s="1">
        <v>10088</v>
      </c>
      <c r="F1322" s="1" t="s">
        <v>5089</v>
      </c>
      <c r="G1322" s="1">
        <v>1</v>
      </c>
      <c r="L1322" s="1">
        <v>12500</v>
      </c>
      <c r="N1322" s="1">
        <v>1800</v>
      </c>
      <c r="P1322" s="1">
        <v>180</v>
      </c>
      <c r="R1322" s="1">
        <v>0</v>
      </c>
      <c r="Z1322" s="1">
        <v>0.05</v>
      </c>
      <c r="AA1322" s="1">
        <v>3.5</v>
      </c>
      <c r="AB1322" s="1">
        <v>1</v>
      </c>
      <c r="AC1322" s="1">
        <v>0.9</v>
      </c>
      <c r="AH1322" s="1">
        <v>0</v>
      </c>
      <c r="AI1322" s="1">
        <v>1</v>
      </c>
      <c r="AJ1322" s="1" t="s">
        <v>5091</v>
      </c>
      <c r="AK1322" s="1" t="s">
        <v>206</v>
      </c>
      <c r="AL1322" s="1" t="s">
        <v>228</v>
      </c>
      <c r="AN1322" s="22" t="s">
        <v>9767</v>
      </c>
      <c r="AX1322" s="1">
        <v>1</v>
      </c>
      <c r="AZ1322" s="1">
        <v>0.25</v>
      </c>
      <c r="BG1322" s="1" t="s">
        <v>5089</v>
      </c>
      <c r="BM1322" s="1" t="s">
        <v>4959</v>
      </c>
      <c r="BQ1322" s="1" t="s">
        <v>207</v>
      </c>
      <c r="BR1322" s="1" t="s">
        <v>208</v>
      </c>
      <c r="BS1322" s="1" t="s">
        <v>229</v>
      </c>
      <c r="BT1322" s="1" t="s">
        <v>210</v>
      </c>
      <c r="BX1322" s="1">
        <v>1</v>
      </c>
    </row>
    <row r="1323" spans="1:76" x14ac:dyDescent="0.25">
      <c r="A1323" s="1" t="s">
        <v>5092</v>
      </c>
      <c r="B1323" s="1" t="s">
        <v>203</v>
      </c>
      <c r="C1323" s="1">
        <v>1</v>
      </c>
      <c r="D1323" s="1" t="s">
        <v>5093</v>
      </c>
      <c r="E1323" s="1">
        <v>10089</v>
      </c>
      <c r="F1323" s="1" t="s">
        <v>5092</v>
      </c>
      <c r="G1323" s="1">
        <v>1</v>
      </c>
      <c r="L1323" s="1">
        <v>8000</v>
      </c>
      <c r="N1323" s="1">
        <v>500</v>
      </c>
      <c r="P1323" s="1">
        <v>240</v>
      </c>
      <c r="R1323" s="1">
        <v>30</v>
      </c>
      <c r="Z1323" s="1">
        <v>0.05</v>
      </c>
      <c r="AA1323" s="1">
        <v>2.7</v>
      </c>
      <c r="AB1323" s="1">
        <v>1</v>
      </c>
      <c r="AC1323" s="1">
        <v>0.7</v>
      </c>
      <c r="AH1323" s="1">
        <v>0</v>
      </c>
      <c r="AI1323" s="1">
        <v>1</v>
      </c>
      <c r="AJ1323" s="1" t="s">
        <v>5094</v>
      </c>
      <c r="AK1323" s="1" t="s">
        <v>206</v>
      </c>
      <c r="AL1323" s="1" t="s">
        <v>228</v>
      </c>
      <c r="AN1323" s="22" t="s">
        <v>9767</v>
      </c>
      <c r="AX1323" s="1">
        <v>1</v>
      </c>
      <c r="AZ1323" s="1">
        <v>0.25</v>
      </c>
      <c r="BG1323" s="1" t="s">
        <v>5092</v>
      </c>
      <c r="BM1323" s="1" t="s">
        <v>4959</v>
      </c>
      <c r="BQ1323" s="1" t="s">
        <v>207</v>
      </c>
      <c r="BR1323" s="1" t="s">
        <v>208</v>
      </c>
      <c r="BS1323" s="1" t="s">
        <v>229</v>
      </c>
      <c r="BT1323" s="1" t="s">
        <v>210</v>
      </c>
      <c r="BX1323" s="1">
        <v>1</v>
      </c>
    </row>
    <row r="1324" spans="1:76" x14ac:dyDescent="0.25">
      <c r="A1324" s="1" t="s">
        <v>5095</v>
      </c>
      <c r="B1324" s="1" t="s">
        <v>203</v>
      </c>
      <c r="C1324" s="1">
        <v>1</v>
      </c>
      <c r="D1324" s="1" t="s">
        <v>5096</v>
      </c>
      <c r="E1324" s="1">
        <v>10089</v>
      </c>
      <c r="F1324" s="1" t="s">
        <v>5095</v>
      </c>
      <c r="G1324" s="1">
        <v>1</v>
      </c>
      <c r="L1324" s="1">
        <v>9500</v>
      </c>
      <c r="N1324" s="1">
        <v>650</v>
      </c>
      <c r="P1324" s="1">
        <v>420</v>
      </c>
      <c r="R1324" s="1">
        <v>30</v>
      </c>
      <c r="Z1324" s="1">
        <v>0.05</v>
      </c>
      <c r="AA1324" s="1">
        <v>2.7</v>
      </c>
      <c r="AB1324" s="1">
        <v>1</v>
      </c>
      <c r="AC1324" s="1">
        <v>0.7</v>
      </c>
      <c r="AH1324" s="1">
        <v>0</v>
      </c>
      <c r="AI1324" s="1">
        <v>1</v>
      </c>
      <c r="AJ1324" s="1" t="s">
        <v>5097</v>
      </c>
      <c r="AK1324" s="1" t="s">
        <v>206</v>
      </c>
      <c r="AL1324" s="1" t="s">
        <v>228</v>
      </c>
      <c r="AN1324" s="22" t="s">
        <v>9767</v>
      </c>
      <c r="AX1324" s="1">
        <v>1</v>
      </c>
      <c r="AZ1324" s="1">
        <v>0.25</v>
      </c>
      <c r="BG1324" s="1" t="s">
        <v>5095</v>
      </c>
      <c r="BM1324" s="1" t="s">
        <v>4959</v>
      </c>
      <c r="BQ1324" s="1" t="s">
        <v>207</v>
      </c>
      <c r="BR1324" s="1" t="s">
        <v>208</v>
      </c>
      <c r="BS1324" s="1" t="s">
        <v>229</v>
      </c>
      <c r="BT1324" s="1" t="s">
        <v>210</v>
      </c>
      <c r="BX1324" s="1">
        <v>1</v>
      </c>
    </row>
    <row r="1325" spans="1:76" x14ac:dyDescent="0.25">
      <c r="A1325" s="1" t="s">
        <v>5098</v>
      </c>
      <c r="B1325" s="1" t="s">
        <v>203</v>
      </c>
      <c r="C1325" s="1">
        <v>1</v>
      </c>
      <c r="D1325" s="1" t="s">
        <v>5099</v>
      </c>
      <c r="E1325" s="1">
        <v>10090</v>
      </c>
      <c r="F1325" s="1" t="s">
        <v>5098</v>
      </c>
      <c r="G1325" s="1">
        <v>1</v>
      </c>
      <c r="L1325" s="1">
        <v>16000</v>
      </c>
      <c r="N1325" s="1">
        <v>360</v>
      </c>
      <c r="P1325" s="1">
        <v>400</v>
      </c>
      <c r="R1325" s="1">
        <v>30</v>
      </c>
      <c r="Z1325" s="1">
        <v>0.05</v>
      </c>
      <c r="AA1325" s="1">
        <v>3</v>
      </c>
      <c r="AB1325" s="1">
        <v>2</v>
      </c>
      <c r="AC1325" s="1">
        <v>0.6</v>
      </c>
      <c r="AH1325" s="1">
        <v>0</v>
      </c>
      <c r="AI1325" s="1">
        <v>1</v>
      </c>
      <c r="AJ1325" s="1" t="s">
        <v>5100</v>
      </c>
      <c r="AK1325" s="1" t="s">
        <v>206</v>
      </c>
      <c r="AL1325" s="1" t="s">
        <v>228</v>
      </c>
      <c r="AN1325" s="22" t="s">
        <v>9767</v>
      </c>
      <c r="AX1325" s="1">
        <v>1</v>
      </c>
      <c r="AZ1325" s="1">
        <v>0.25</v>
      </c>
      <c r="BG1325" s="1" t="s">
        <v>5098</v>
      </c>
      <c r="BM1325" s="1" t="s">
        <v>4959</v>
      </c>
      <c r="BQ1325" s="1" t="s">
        <v>207</v>
      </c>
      <c r="BR1325" s="1" t="s">
        <v>208</v>
      </c>
      <c r="BS1325" s="1" t="s">
        <v>229</v>
      </c>
      <c r="BT1325" s="1" t="s">
        <v>210</v>
      </c>
      <c r="BX1325" s="1">
        <v>1</v>
      </c>
    </row>
    <row r="1326" spans="1:76" x14ac:dyDescent="0.25">
      <c r="A1326" s="1" t="s">
        <v>5101</v>
      </c>
      <c r="B1326" s="1" t="s">
        <v>203</v>
      </c>
      <c r="C1326" s="1">
        <v>1</v>
      </c>
      <c r="D1326" s="1" t="s">
        <v>5102</v>
      </c>
      <c r="E1326" s="1">
        <v>10090</v>
      </c>
      <c r="F1326" s="1" t="s">
        <v>5101</v>
      </c>
      <c r="G1326" s="1">
        <v>1</v>
      </c>
      <c r="L1326" s="1">
        <v>20000</v>
      </c>
      <c r="N1326" s="1">
        <v>520</v>
      </c>
      <c r="P1326" s="1">
        <v>400</v>
      </c>
      <c r="R1326" s="1">
        <v>30</v>
      </c>
      <c r="Z1326" s="1">
        <v>0.05</v>
      </c>
      <c r="AA1326" s="1">
        <v>3</v>
      </c>
      <c r="AB1326" s="1">
        <v>2</v>
      </c>
      <c r="AC1326" s="1">
        <v>0.6</v>
      </c>
      <c r="AH1326" s="1">
        <v>0</v>
      </c>
      <c r="AI1326" s="1">
        <v>1</v>
      </c>
      <c r="AJ1326" s="1" t="s">
        <v>5103</v>
      </c>
      <c r="AK1326" s="1" t="s">
        <v>206</v>
      </c>
      <c r="AL1326" s="1" t="s">
        <v>228</v>
      </c>
      <c r="AN1326" s="22" t="s">
        <v>9767</v>
      </c>
      <c r="AX1326" s="1">
        <v>1</v>
      </c>
      <c r="AZ1326" s="1">
        <v>0.25</v>
      </c>
      <c r="BG1326" s="1" t="s">
        <v>5101</v>
      </c>
      <c r="BM1326" s="1" t="s">
        <v>4959</v>
      </c>
      <c r="BQ1326" s="1" t="s">
        <v>207</v>
      </c>
      <c r="BR1326" s="1" t="s">
        <v>208</v>
      </c>
      <c r="BS1326" s="1" t="s">
        <v>229</v>
      </c>
      <c r="BT1326" s="1" t="s">
        <v>210</v>
      </c>
      <c r="BX1326" s="1">
        <v>1</v>
      </c>
    </row>
    <row r="1327" spans="1:76" x14ac:dyDescent="0.25">
      <c r="A1327" s="1" t="s">
        <v>5104</v>
      </c>
      <c r="B1327" s="1" t="s">
        <v>203</v>
      </c>
      <c r="C1327" s="1">
        <v>1</v>
      </c>
      <c r="D1327" s="1" t="s">
        <v>5105</v>
      </c>
      <c r="E1327" s="1">
        <v>10091</v>
      </c>
      <c r="F1327" s="1" t="s">
        <v>5104</v>
      </c>
      <c r="G1327" s="1">
        <v>1</v>
      </c>
      <c r="L1327" s="1">
        <v>40000</v>
      </c>
      <c r="N1327" s="1">
        <v>180</v>
      </c>
      <c r="P1327" s="1">
        <v>150</v>
      </c>
      <c r="R1327" s="1">
        <v>50</v>
      </c>
      <c r="Z1327" s="1">
        <v>0.05</v>
      </c>
      <c r="AA1327" s="1">
        <v>1.2</v>
      </c>
      <c r="AB1327" s="1">
        <v>10</v>
      </c>
      <c r="AC1327" s="1">
        <v>0</v>
      </c>
      <c r="AH1327" s="1">
        <v>0</v>
      </c>
      <c r="AI1327" s="1">
        <v>1</v>
      </c>
      <c r="AJ1327" s="1" t="s">
        <v>5106</v>
      </c>
      <c r="AK1327" s="1" t="s">
        <v>206</v>
      </c>
      <c r="AL1327" s="1" t="s">
        <v>228</v>
      </c>
      <c r="AN1327" s="22" t="s">
        <v>9767</v>
      </c>
      <c r="AX1327" s="1">
        <v>1</v>
      </c>
      <c r="AZ1327" s="1">
        <v>0.25</v>
      </c>
      <c r="BG1327" s="1" t="s">
        <v>5104</v>
      </c>
      <c r="BM1327" s="1" t="s">
        <v>4959</v>
      </c>
      <c r="BQ1327" s="1" t="s">
        <v>207</v>
      </c>
      <c r="BR1327" s="1" t="s">
        <v>208</v>
      </c>
      <c r="BT1327" s="1" t="s">
        <v>210</v>
      </c>
      <c r="BX1327" s="1">
        <v>1</v>
      </c>
    </row>
    <row r="1328" spans="1:76" x14ac:dyDescent="0.25">
      <c r="A1328" s="1" t="s">
        <v>5107</v>
      </c>
      <c r="B1328" s="1" t="s">
        <v>203</v>
      </c>
      <c r="C1328" s="1">
        <v>1</v>
      </c>
      <c r="D1328" s="1" t="s">
        <v>5108</v>
      </c>
      <c r="E1328" s="1">
        <v>10091</v>
      </c>
      <c r="F1328" s="1" t="s">
        <v>5107</v>
      </c>
      <c r="G1328" s="1">
        <v>1</v>
      </c>
      <c r="L1328" s="1">
        <v>50000</v>
      </c>
      <c r="N1328" s="1">
        <v>225</v>
      </c>
      <c r="P1328" s="1">
        <v>150</v>
      </c>
      <c r="R1328" s="1">
        <v>50</v>
      </c>
      <c r="Z1328" s="1">
        <v>0.05</v>
      </c>
      <c r="AA1328" s="1">
        <v>1.2</v>
      </c>
      <c r="AB1328" s="1">
        <v>10</v>
      </c>
      <c r="AC1328" s="1">
        <v>0</v>
      </c>
      <c r="AH1328" s="1">
        <v>0</v>
      </c>
      <c r="AI1328" s="1">
        <v>1</v>
      </c>
      <c r="AJ1328" s="1" t="s">
        <v>5109</v>
      </c>
      <c r="AK1328" s="1" t="s">
        <v>206</v>
      </c>
      <c r="AL1328" s="1" t="s">
        <v>228</v>
      </c>
      <c r="AN1328" s="22" t="s">
        <v>9767</v>
      </c>
      <c r="AX1328" s="1">
        <v>1</v>
      </c>
      <c r="AZ1328" s="1">
        <v>0.25</v>
      </c>
      <c r="BG1328" s="1" t="s">
        <v>5107</v>
      </c>
      <c r="BM1328" s="1" t="s">
        <v>4959</v>
      </c>
      <c r="BQ1328" s="1" t="s">
        <v>207</v>
      </c>
      <c r="BR1328" s="1" t="s">
        <v>208</v>
      </c>
      <c r="BT1328" s="1" t="s">
        <v>210</v>
      </c>
      <c r="BX1328" s="1">
        <v>1</v>
      </c>
    </row>
    <row r="1329" spans="1:76" x14ac:dyDescent="0.25">
      <c r="A1329" s="1" t="s">
        <v>5110</v>
      </c>
      <c r="B1329" s="1" t="s">
        <v>203</v>
      </c>
      <c r="C1329" s="1">
        <v>1</v>
      </c>
      <c r="D1329" s="1" t="s">
        <v>5111</v>
      </c>
      <c r="E1329" s="1">
        <v>10091</v>
      </c>
      <c r="F1329" s="1" t="s">
        <v>5110</v>
      </c>
      <c r="G1329" s="1">
        <v>1</v>
      </c>
      <c r="L1329" s="1">
        <v>75000</v>
      </c>
      <c r="N1329" s="1">
        <v>225</v>
      </c>
      <c r="P1329" s="1">
        <v>150</v>
      </c>
      <c r="R1329" s="1">
        <v>50</v>
      </c>
      <c r="Z1329" s="1">
        <v>0.05</v>
      </c>
      <c r="AA1329" s="1">
        <v>1.2</v>
      </c>
      <c r="AB1329" s="1">
        <v>10</v>
      </c>
      <c r="AC1329" s="1">
        <v>0</v>
      </c>
      <c r="AH1329" s="1">
        <v>0</v>
      </c>
      <c r="AI1329" s="1">
        <v>1</v>
      </c>
      <c r="AJ1329" s="1" t="s">
        <v>5112</v>
      </c>
      <c r="AK1329" s="1" t="s">
        <v>206</v>
      </c>
      <c r="AL1329" s="1" t="s">
        <v>228</v>
      </c>
      <c r="AN1329" s="22" t="s">
        <v>9767</v>
      </c>
      <c r="AX1329" s="1">
        <v>1</v>
      </c>
      <c r="AZ1329" s="1">
        <v>0.25</v>
      </c>
      <c r="BG1329" s="1" t="s">
        <v>5110</v>
      </c>
      <c r="BM1329" s="1" t="s">
        <v>4959</v>
      </c>
      <c r="BQ1329" s="1" t="s">
        <v>207</v>
      </c>
      <c r="BR1329" s="1" t="s">
        <v>208</v>
      </c>
      <c r="BT1329" s="1" t="s">
        <v>210</v>
      </c>
      <c r="BX1329" s="1">
        <v>1</v>
      </c>
    </row>
    <row r="1330" spans="1:76" x14ac:dyDescent="0.25">
      <c r="A1330" s="1" t="s">
        <v>5113</v>
      </c>
      <c r="B1330" s="1" t="s">
        <v>203</v>
      </c>
      <c r="C1330" s="1">
        <v>1</v>
      </c>
      <c r="D1330" s="1" t="s">
        <v>5114</v>
      </c>
      <c r="E1330" s="1">
        <v>1567</v>
      </c>
      <c r="F1330" s="1" t="s">
        <v>5113</v>
      </c>
      <c r="G1330" s="1">
        <v>1</v>
      </c>
      <c r="L1330" s="1">
        <v>20000</v>
      </c>
      <c r="N1330" s="1">
        <v>600</v>
      </c>
      <c r="P1330" s="1">
        <v>1000</v>
      </c>
      <c r="R1330" s="1">
        <v>60</v>
      </c>
      <c r="Z1330" s="1">
        <v>0.05</v>
      </c>
      <c r="AA1330" s="1">
        <v>6</v>
      </c>
      <c r="AB1330" s="1">
        <v>10</v>
      </c>
      <c r="AC1330" s="1">
        <v>0.6</v>
      </c>
      <c r="AH1330" s="1">
        <v>0</v>
      </c>
      <c r="AI1330" s="1">
        <v>1</v>
      </c>
      <c r="AJ1330" s="1" t="s">
        <v>5115</v>
      </c>
      <c r="AK1330" s="1" t="s">
        <v>206</v>
      </c>
      <c r="AL1330" s="1" t="s">
        <v>228</v>
      </c>
      <c r="AN1330" s="22" t="s">
        <v>9767</v>
      </c>
      <c r="AX1330" s="1">
        <v>1</v>
      </c>
      <c r="AZ1330" s="1">
        <v>0.25</v>
      </c>
      <c r="BG1330" s="1" t="s">
        <v>5113</v>
      </c>
      <c r="BM1330" s="1" t="s">
        <v>4959</v>
      </c>
      <c r="BQ1330" s="1" t="s">
        <v>3416</v>
      </c>
      <c r="BR1330" s="1" t="s">
        <v>2593</v>
      </c>
      <c r="BS1330" s="1" t="s">
        <v>2594</v>
      </c>
      <c r="BT1330" s="1" t="s">
        <v>5116</v>
      </c>
      <c r="BX1330" s="1">
        <v>1</v>
      </c>
    </row>
    <row r="1331" spans="1:76" x14ac:dyDescent="0.25">
      <c r="A1331" s="1" t="s">
        <v>5117</v>
      </c>
      <c r="B1331" s="1" t="s">
        <v>203</v>
      </c>
      <c r="C1331" s="1">
        <v>1</v>
      </c>
      <c r="D1331" s="1" t="s">
        <v>5118</v>
      </c>
      <c r="E1331" s="1">
        <v>10094</v>
      </c>
      <c r="F1331" s="1" t="s">
        <v>5117</v>
      </c>
      <c r="G1331" s="1">
        <v>1</v>
      </c>
      <c r="L1331" s="1">
        <v>4000</v>
      </c>
      <c r="N1331" s="1">
        <v>350</v>
      </c>
      <c r="P1331" s="1">
        <v>150</v>
      </c>
      <c r="R1331" s="1">
        <v>15</v>
      </c>
      <c r="Z1331" s="1">
        <v>0.05</v>
      </c>
      <c r="AA1331" s="1">
        <v>2</v>
      </c>
      <c r="AB1331" s="1">
        <v>1</v>
      </c>
      <c r="AC1331" s="1">
        <v>0.9</v>
      </c>
      <c r="AH1331" s="1">
        <v>0</v>
      </c>
      <c r="AI1331" s="1">
        <v>1</v>
      </c>
      <c r="AJ1331" s="1" t="s">
        <v>5119</v>
      </c>
      <c r="AK1331" s="1" t="s">
        <v>206</v>
      </c>
      <c r="AL1331" s="1" t="s">
        <v>228</v>
      </c>
      <c r="AN1331" s="22" t="s">
        <v>9767</v>
      </c>
      <c r="AX1331" s="1">
        <v>1</v>
      </c>
      <c r="AZ1331" s="1">
        <v>0.25</v>
      </c>
      <c r="BG1331" s="1" t="s">
        <v>5117</v>
      </c>
      <c r="BM1331" s="1" t="s">
        <v>4959</v>
      </c>
      <c r="BQ1331" s="1" t="s">
        <v>207</v>
      </c>
      <c r="BR1331" s="1" t="s">
        <v>208</v>
      </c>
      <c r="BS1331" s="1" t="s">
        <v>229</v>
      </c>
      <c r="BT1331" s="1" t="s">
        <v>210</v>
      </c>
      <c r="BX1331" s="1">
        <v>1</v>
      </c>
    </row>
    <row r="1332" spans="1:76" x14ac:dyDescent="0.25">
      <c r="A1332" s="1" t="s">
        <v>5120</v>
      </c>
      <c r="B1332" s="1" t="s">
        <v>203</v>
      </c>
      <c r="C1332" s="1">
        <v>1</v>
      </c>
      <c r="D1332" s="1" t="s">
        <v>5121</v>
      </c>
      <c r="E1332" s="1">
        <v>10094</v>
      </c>
      <c r="F1332" s="1" t="s">
        <v>5120</v>
      </c>
      <c r="G1332" s="1">
        <v>1</v>
      </c>
      <c r="L1332" s="1">
        <v>5000</v>
      </c>
      <c r="N1332" s="1">
        <v>400</v>
      </c>
      <c r="P1332" s="1">
        <v>150</v>
      </c>
      <c r="R1332" s="1">
        <v>15</v>
      </c>
      <c r="Z1332" s="1">
        <v>0.05</v>
      </c>
      <c r="AA1332" s="1">
        <v>2</v>
      </c>
      <c r="AB1332" s="1">
        <v>1</v>
      </c>
      <c r="AC1332" s="1">
        <v>0.9</v>
      </c>
      <c r="AH1332" s="1">
        <v>0</v>
      </c>
      <c r="AI1332" s="1">
        <v>1</v>
      </c>
      <c r="AJ1332" s="1" t="s">
        <v>5122</v>
      </c>
      <c r="AK1332" s="1" t="s">
        <v>206</v>
      </c>
      <c r="AL1332" s="1" t="s">
        <v>228</v>
      </c>
      <c r="AN1332" s="22" t="s">
        <v>9767</v>
      </c>
      <c r="AX1332" s="1">
        <v>1</v>
      </c>
      <c r="AZ1332" s="1">
        <v>0.25</v>
      </c>
      <c r="BG1332" s="1" t="s">
        <v>5120</v>
      </c>
      <c r="BM1332" s="1" t="s">
        <v>4959</v>
      </c>
      <c r="BQ1332" s="1" t="s">
        <v>207</v>
      </c>
      <c r="BR1332" s="1" t="s">
        <v>208</v>
      </c>
      <c r="BS1332" s="1" t="s">
        <v>229</v>
      </c>
      <c r="BT1332" s="1" t="s">
        <v>210</v>
      </c>
      <c r="BX1332" s="1">
        <v>1</v>
      </c>
    </row>
    <row r="1333" spans="1:76" x14ac:dyDescent="0.25">
      <c r="A1333" s="1" t="s">
        <v>5123</v>
      </c>
      <c r="B1333" s="1" t="s">
        <v>203</v>
      </c>
      <c r="C1333" s="1">
        <v>1</v>
      </c>
      <c r="D1333" s="1" t="s">
        <v>5124</v>
      </c>
      <c r="E1333" s="1">
        <v>10095</v>
      </c>
      <c r="F1333" s="1" t="s">
        <v>5123</v>
      </c>
      <c r="G1333" s="1">
        <v>1</v>
      </c>
      <c r="L1333" s="1">
        <v>8000</v>
      </c>
      <c r="N1333" s="1">
        <v>100</v>
      </c>
      <c r="P1333" s="1">
        <v>200</v>
      </c>
      <c r="R1333" s="1">
        <v>40</v>
      </c>
      <c r="Z1333" s="1">
        <v>0.05</v>
      </c>
      <c r="AA1333" s="1">
        <v>2</v>
      </c>
      <c r="AB1333" s="1">
        <v>1</v>
      </c>
      <c r="AC1333" s="1">
        <v>1.3</v>
      </c>
      <c r="AH1333" s="1">
        <v>0</v>
      </c>
      <c r="AI1333" s="1">
        <v>1</v>
      </c>
      <c r="AJ1333" s="1" t="s">
        <v>5125</v>
      </c>
      <c r="AK1333" s="1" t="s">
        <v>206</v>
      </c>
      <c r="AL1333" s="1" t="s">
        <v>228</v>
      </c>
      <c r="AN1333" s="22" t="s">
        <v>9767</v>
      </c>
      <c r="AX1333" s="1">
        <v>1</v>
      </c>
      <c r="AZ1333" s="1">
        <v>0.25</v>
      </c>
      <c r="BG1333" s="1" t="s">
        <v>5123</v>
      </c>
      <c r="BM1333" s="1" t="s">
        <v>4959</v>
      </c>
      <c r="BQ1333" s="1" t="s">
        <v>207</v>
      </c>
      <c r="BR1333" s="1" t="s">
        <v>208</v>
      </c>
      <c r="BS1333" s="1" t="s">
        <v>229</v>
      </c>
      <c r="BT1333" s="1" t="s">
        <v>210</v>
      </c>
      <c r="BX1333" s="1">
        <v>1</v>
      </c>
    </row>
    <row r="1334" spans="1:76" x14ac:dyDescent="0.25">
      <c r="A1334" s="1" t="s">
        <v>5126</v>
      </c>
      <c r="B1334" s="1" t="s">
        <v>203</v>
      </c>
      <c r="C1334" s="1">
        <v>1</v>
      </c>
      <c r="D1334" s="1" t="s">
        <v>5127</v>
      </c>
      <c r="E1334" s="1">
        <v>10095</v>
      </c>
      <c r="F1334" s="1" t="s">
        <v>5126</v>
      </c>
      <c r="G1334" s="1">
        <v>1</v>
      </c>
      <c r="L1334" s="1">
        <v>9000</v>
      </c>
      <c r="N1334" s="1">
        <v>100</v>
      </c>
      <c r="P1334" s="1">
        <v>250</v>
      </c>
      <c r="R1334" s="1">
        <v>40</v>
      </c>
      <c r="Z1334" s="1">
        <v>0.05</v>
      </c>
      <c r="AA1334" s="1">
        <v>2</v>
      </c>
      <c r="AB1334" s="1">
        <v>1</v>
      </c>
      <c r="AC1334" s="1">
        <v>1.3</v>
      </c>
      <c r="AH1334" s="1">
        <v>0</v>
      </c>
      <c r="AI1334" s="1">
        <v>1</v>
      </c>
      <c r="AJ1334" s="1" t="s">
        <v>5128</v>
      </c>
      <c r="AK1334" s="1" t="s">
        <v>206</v>
      </c>
      <c r="AL1334" s="1" t="s">
        <v>228</v>
      </c>
      <c r="AN1334" s="22" t="s">
        <v>9767</v>
      </c>
      <c r="AX1334" s="1">
        <v>1</v>
      </c>
      <c r="AZ1334" s="1">
        <v>0.25</v>
      </c>
      <c r="BG1334" s="1" t="s">
        <v>5126</v>
      </c>
      <c r="BM1334" s="1" t="s">
        <v>4959</v>
      </c>
      <c r="BQ1334" s="1" t="s">
        <v>207</v>
      </c>
      <c r="BR1334" s="1" t="s">
        <v>208</v>
      </c>
      <c r="BS1334" s="1" t="s">
        <v>229</v>
      </c>
      <c r="BT1334" s="1" t="s">
        <v>210</v>
      </c>
      <c r="BX1334" s="1">
        <v>1</v>
      </c>
    </row>
    <row r="1335" spans="1:76" x14ac:dyDescent="0.25">
      <c r="A1335" s="1" t="s">
        <v>5129</v>
      </c>
      <c r="B1335" s="1" t="s">
        <v>203</v>
      </c>
      <c r="C1335" s="1">
        <v>1</v>
      </c>
      <c r="D1335" s="1" t="s">
        <v>5130</v>
      </c>
      <c r="E1335" s="1">
        <v>10096</v>
      </c>
      <c r="F1335" s="1" t="s">
        <v>5129</v>
      </c>
      <c r="G1335" s="1">
        <v>1</v>
      </c>
      <c r="L1335" s="1">
        <v>8000</v>
      </c>
      <c r="N1335" s="1">
        <v>200</v>
      </c>
      <c r="P1335" s="1">
        <v>200</v>
      </c>
      <c r="R1335" s="1">
        <v>20</v>
      </c>
      <c r="Z1335" s="1">
        <v>0.05</v>
      </c>
      <c r="AA1335" s="1">
        <v>2</v>
      </c>
      <c r="AB1335" s="1">
        <v>3</v>
      </c>
      <c r="AC1335" s="1">
        <v>1</v>
      </c>
      <c r="AH1335" s="1">
        <v>0</v>
      </c>
      <c r="AI1335" s="1">
        <v>1</v>
      </c>
      <c r="AJ1335" s="1" t="s">
        <v>5131</v>
      </c>
      <c r="AK1335" s="1" t="s">
        <v>206</v>
      </c>
      <c r="AL1335" s="1" t="s">
        <v>228</v>
      </c>
      <c r="AN1335" s="22" t="s">
        <v>9767</v>
      </c>
      <c r="AX1335" s="1">
        <v>1</v>
      </c>
      <c r="AZ1335" s="1">
        <v>0.25</v>
      </c>
      <c r="BG1335" s="1" t="s">
        <v>5129</v>
      </c>
      <c r="BM1335" s="1" t="s">
        <v>4959</v>
      </c>
      <c r="BQ1335" s="1" t="s">
        <v>207</v>
      </c>
      <c r="BR1335" s="1" t="s">
        <v>208</v>
      </c>
      <c r="BS1335" s="1" t="s">
        <v>229</v>
      </c>
      <c r="BT1335" s="1" t="s">
        <v>210</v>
      </c>
      <c r="BX1335" s="1">
        <v>1</v>
      </c>
    </row>
    <row r="1336" spans="1:76" x14ac:dyDescent="0.25">
      <c r="A1336" s="1" t="s">
        <v>5132</v>
      </c>
      <c r="B1336" s="1" t="s">
        <v>203</v>
      </c>
      <c r="C1336" s="1">
        <v>1</v>
      </c>
      <c r="D1336" s="1" t="s">
        <v>5133</v>
      </c>
      <c r="E1336" s="1">
        <v>10096</v>
      </c>
      <c r="F1336" s="1" t="s">
        <v>5132</v>
      </c>
      <c r="G1336" s="1">
        <v>1</v>
      </c>
      <c r="L1336" s="1">
        <v>9500</v>
      </c>
      <c r="N1336" s="1">
        <v>300</v>
      </c>
      <c r="P1336" s="1">
        <v>300</v>
      </c>
      <c r="R1336" s="1">
        <v>20</v>
      </c>
      <c r="Z1336" s="1">
        <v>0.05</v>
      </c>
      <c r="AA1336" s="1">
        <v>2</v>
      </c>
      <c r="AB1336" s="1">
        <v>3</v>
      </c>
      <c r="AC1336" s="1">
        <v>1</v>
      </c>
      <c r="AH1336" s="1">
        <v>0</v>
      </c>
      <c r="AI1336" s="1">
        <v>1</v>
      </c>
      <c r="AJ1336" s="1" t="s">
        <v>5134</v>
      </c>
      <c r="AK1336" s="1" t="s">
        <v>206</v>
      </c>
      <c r="AL1336" s="1" t="s">
        <v>228</v>
      </c>
      <c r="AN1336" s="22" t="s">
        <v>9767</v>
      </c>
      <c r="AX1336" s="1">
        <v>1</v>
      </c>
      <c r="AZ1336" s="1">
        <v>0.25</v>
      </c>
      <c r="BG1336" s="1" t="s">
        <v>5132</v>
      </c>
      <c r="BM1336" s="1" t="s">
        <v>4959</v>
      </c>
      <c r="BQ1336" s="1" t="s">
        <v>207</v>
      </c>
      <c r="BR1336" s="1" t="s">
        <v>208</v>
      </c>
      <c r="BS1336" s="1" t="s">
        <v>229</v>
      </c>
      <c r="BT1336" s="1" t="s">
        <v>210</v>
      </c>
      <c r="BX1336" s="1">
        <v>1</v>
      </c>
    </row>
    <row r="1337" spans="1:76" x14ac:dyDescent="0.25">
      <c r="A1337" s="1" t="s">
        <v>5135</v>
      </c>
      <c r="B1337" s="1" t="s">
        <v>203</v>
      </c>
      <c r="C1337" s="1">
        <v>1</v>
      </c>
      <c r="D1337" s="1" t="s">
        <v>5136</v>
      </c>
      <c r="E1337" s="1">
        <v>10097</v>
      </c>
      <c r="F1337" s="1" t="s">
        <v>5135</v>
      </c>
      <c r="G1337" s="1">
        <v>1</v>
      </c>
      <c r="L1337" s="1">
        <v>10000</v>
      </c>
      <c r="N1337" s="1">
        <v>400</v>
      </c>
      <c r="P1337" s="1">
        <v>450</v>
      </c>
      <c r="R1337" s="1">
        <v>30</v>
      </c>
      <c r="Z1337" s="1">
        <v>0.05</v>
      </c>
      <c r="AA1337" s="1">
        <v>1</v>
      </c>
      <c r="AB1337" s="1">
        <v>4</v>
      </c>
      <c r="AC1337" s="1">
        <v>0.5</v>
      </c>
      <c r="AH1337" s="1">
        <v>0</v>
      </c>
      <c r="AI1337" s="1">
        <v>1</v>
      </c>
      <c r="AJ1337" s="1" t="s">
        <v>5137</v>
      </c>
      <c r="AK1337" s="1" t="s">
        <v>206</v>
      </c>
      <c r="AL1337" s="1" t="s">
        <v>228</v>
      </c>
      <c r="AN1337" s="22" t="s">
        <v>9767</v>
      </c>
      <c r="AX1337" s="1">
        <v>1</v>
      </c>
      <c r="AZ1337" s="1">
        <v>0.25</v>
      </c>
      <c r="BG1337" s="1" t="s">
        <v>5135</v>
      </c>
      <c r="BM1337" s="1" t="s">
        <v>4959</v>
      </c>
      <c r="BQ1337" s="1" t="s">
        <v>207</v>
      </c>
      <c r="BR1337" s="1" t="s">
        <v>208</v>
      </c>
      <c r="BS1337" s="1" t="s">
        <v>229</v>
      </c>
      <c r="BT1337" s="1" t="s">
        <v>210</v>
      </c>
      <c r="BX1337" s="1">
        <v>1</v>
      </c>
    </row>
    <row r="1338" spans="1:76" x14ac:dyDescent="0.25">
      <c r="A1338" s="1" t="s">
        <v>5138</v>
      </c>
      <c r="B1338" s="1" t="s">
        <v>203</v>
      </c>
      <c r="C1338" s="1">
        <v>1</v>
      </c>
      <c r="D1338" s="1" t="s">
        <v>5139</v>
      </c>
      <c r="E1338" s="1">
        <v>10097</v>
      </c>
      <c r="F1338" s="1" t="s">
        <v>5138</v>
      </c>
      <c r="G1338" s="1">
        <v>1</v>
      </c>
      <c r="L1338" s="1">
        <v>13000</v>
      </c>
      <c r="N1338" s="1">
        <v>400</v>
      </c>
      <c r="P1338" s="1">
        <v>650</v>
      </c>
      <c r="R1338" s="1">
        <v>40</v>
      </c>
      <c r="Z1338" s="1">
        <v>0.05</v>
      </c>
      <c r="AA1338" s="1">
        <v>1</v>
      </c>
      <c r="AB1338" s="1">
        <v>4</v>
      </c>
      <c r="AC1338" s="1">
        <v>0.5</v>
      </c>
      <c r="AH1338" s="1">
        <v>0</v>
      </c>
      <c r="AI1338" s="1">
        <v>1</v>
      </c>
      <c r="AJ1338" s="1" t="s">
        <v>5140</v>
      </c>
      <c r="AK1338" s="1" t="s">
        <v>206</v>
      </c>
      <c r="AL1338" s="1" t="s">
        <v>228</v>
      </c>
      <c r="AN1338" s="22" t="s">
        <v>9767</v>
      </c>
      <c r="AX1338" s="1">
        <v>1</v>
      </c>
      <c r="AZ1338" s="1">
        <v>0.25</v>
      </c>
      <c r="BG1338" s="1" t="s">
        <v>5138</v>
      </c>
      <c r="BM1338" s="1" t="s">
        <v>4959</v>
      </c>
      <c r="BQ1338" s="1" t="s">
        <v>207</v>
      </c>
      <c r="BR1338" s="1" t="s">
        <v>208</v>
      </c>
      <c r="BS1338" s="1" t="s">
        <v>229</v>
      </c>
      <c r="BT1338" s="1" t="s">
        <v>210</v>
      </c>
      <c r="BX1338" s="1">
        <v>1</v>
      </c>
    </row>
    <row r="1339" spans="1:76" x14ac:dyDescent="0.25">
      <c r="A1339" s="1" t="s">
        <v>5141</v>
      </c>
      <c r="B1339" s="1" t="s">
        <v>203</v>
      </c>
      <c r="C1339" s="1">
        <v>1</v>
      </c>
      <c r="D1339" s="1" t="s">
        <v>5142</v>
      </c>
      <c r="E1339" s="1">
        <v>10098</v>
      </c>
      <c r="F1339" s="1" t="s">
        <v>5141</v>
      </c>
      <c r="G1339" s="1">
        <v>1</v>
      </c>
      <c r="L1339" s="1">
        <v>15000</v>
      </c>
      <c r="N1339" s="1">
        <v>720</v>
      </c>
      <c r="P1339" s="1">
        <v>600</v>
      </c>
      <c r="R1339" s="1">
        <v>20</v>
      </c>
      <c r="Z1339" s="1">
        <v>0.05</v>
      </c>
      <c r="AA1339" s="1">
        <v>5</v>
      </c>
      <c r="AB1339" s="1">
        <v>3</v>
      </c>
      <c r="AC1339" s="1">
        <v>0.65</v>
      </c>
      <c r="AH1339" s="1">
        <v>0</v>
      </c>
      <c r="AI1339" s="1">
        <v>1</v>
      </c>
      <c r="AJ1339" s="1" t="s">
        <v>5143</v>
      </c>
      <c r="AK1339" s="1" t="s">
        <v>206</v>
      </c>
      <c r="AL1339" s="1" t="s">
        <v>228</v>
      </c>
      <c r="AN1339" s="22" t="s">
        <v>9767</v>
      </c>
      <c r="AX1339" s="1">
        <v>1</v>
      </c>
      <c r="AZ1339" s="1">
        <v>0.25</v>
      </c>
      <c r="BG1339" s="1" t="s">
        <v>5141</v>
      </c>
      <c r="BM1339" s="1" t="s">
        <v>4959</v>
      </c>
      <c r="BQ1339" s="1" t="s">
        <v>207</v>
      </c>
      <c r="BR1339" s="1" t="s">
        <v>208</v>
      </c>
      <c r="BS1339" s="1" t="s">
        <v>229</v>
      </c>
      <c r="BT1339" s="1" t="s">
        <v>210</v>
      </c>
      <c r="BX1339" s="1">
        <v>1</v>
      </c>
    </row>
    <row r="1340" spans="1:76" x14ac:dyDescent="0.25">
      <c r="A1340" s="1" t="s">
        <v>5144</v>
      </c>
      <c r="B1340" s="1" t="s">
        <v>203</v>
      </c>
      <c r="C1340" s="1">
        <v>1</v>
      </c>
      <c r="D1340" s="1" t="s">
        <v>5145</v>
      </c>
      <c r="E1340" s="1">
        <v>10098</v>
      </c>
      <c r="F1340" s="1" t="s">
        <v>5144</v>
      </c>
      <c r="G1340" s="1">
        <v>1</v>
      </c>
      <c r="L1340" s="1">
        <v>18000</v>
      </c>
      <c r="N1340" s="1">
        <v>800</v>
      </c>
      <c r="P1340" s="1">
        <v>800</v>
      </c>
      <c r="R1340" s="1">
        <v>20</v>
      </c>
      <c r="Z1340" s="1">
        <v>0.05</v>
      </c>
      <c r="AA1340" s="1">
        <v>5</v>
      </c>
      <c r="AB1340" s="1">
        <v>3</v>
      </c>
      <c r="AC1340" s="1">
        <v>0.65</v>
      </c>
      <c r="AH1340" s="1">
        <v>0</v>
      </c>
      <c r="AI1340" s="1">
        <v>1</v>
      </c>
      <c r="AJ1340" s="1" t="s">
        <v>5146</v>
      </c>
      <c r="AK1340" s="1" t="s">
        <v>206</v>
      </c>
      <c r="AL1340" s="1" t="s">
        <v>228</v>
      </c>
      <c r="AN1340" s="22" t="s">
        <v>9767</v>
      </c>
      <c r="AX1340" s="1">
        <v>1</v>
      </c>
      <c r="AZ1340" s="1">
        <v>0.25</v>
      </c>
      <c r="BG1340" s="1" t="s">
        <v>5144</v>
      </c>
      <c r="BM1340" s="1" t="s">
        <v>4959</v>
      </c>
      <c r="BQ1340" s="1" t="s">
        <v>207</v>
      </c>
      <c r="BR1340" s="1" t="s">
        <v>208</v>
      </c>
      <c r="BS1340" s="1" t="s">
        <v>229</v>
      </c>
      <c r="BT1340" s="1" t="s">
        <v>210</v>
      </c>
      <c r="BX1340" s="1">
        <v>1</v>
      </c>
    </row>
    <row r="1341" spans="1:76" x14ac:dyDescent="0.25">
      <c r="A1341" s="1" t="s">
        <v>5147</v>
      </c>
      <c r="B1341" s="1" t="s">
        <v>203</v>
      </c>
      <c r="C1341" s="1">
        <v>1</v>
      </c>
      <c r="D1341" s="1" t="s">
        <v>5148</v>
      </c>
      <c r="E1341" s="1">
        <v>10099</v>
      </c>
      <c r="F1341" s="1" t="s">
        <v>5147</v>
      </c>
      <c r="G1341" s="1">
        <v>1</v>
      </c>
      <c r="L1341" s="1">
        <v>15000</v>
      </c>
      <c r="N1341" s="1">
        <v>480</v>
      </c>
      <c r="P1341" s="1">
        <v>450</v>
      </c>
      <c r="R1341" s="1">
        <v>60</v>
      </c>
      <c r="Z1341" s="1">
        <v>0.05</v>
      </c>
      <c r="AA1341" s="1">
        <v>5</v>
      </c>
      <c r="AB1341" s="1">
        <v>3</v>
      </c>
      <c r="AC1341" s="1">
        <v>0.65</v>
      </c>
      <c r="AH1341" s="1">
        <v>0</v>
      </c>
      <c r="AI1341" s="1">
        <v>1</v>
      </c>
      <c r="AJ1341" s="1" t="s">
        <v>5149</v>
      </c>
      <c r="AK1341" s="1" t="s">
        <v>206</v>
      </c>
      <c r="AL1341" s="1" t="s">
        <v>228</v>
      </c>
      <c r="AN1341" s="22" t="s">
        <v>9767</v>
      </c>
      <c r="AX1341" s="1">
        <v>1</v>
      </c>
      <c r="AZ1341" s="1">
        <v>0.25</v>
      </c>
      <c r="BG1341" s="1" t="s">
        <v>5147</v>
      </c>
      <c r="BM1341" s="1" t="s">
        <v>4959</v>
      </c>
      <c r="BQ1341" s="1" t="s">
        <v>207</v>
      </c>
      <c r="BR1341" s="1" t="s">
        <v>208</v>
      </c>
      <c r="BS1341" s="1" t="s">
        <v>229</v>
      </c>
      <c r="BT1341" s="1" t="s">
        <v>210</v>
      </c>
      <c r="BX1341" s="1">
        <v>1</v>
      </c>
    </row>
    <row r="1342" spans="1:76" x14ac:dyDescent="0.25">
      <c r="A1342" s="1" t="s">
        <v>5150</v>
      </c>
      <c r="B1342" s="1" t="s">
        <v>203</v>
      </c>
      <c r="C1342" s="1">
        <v>1</v>
      </c>
      <c r="D1342" s="1" t="s">
        <v>5151</v>
      </c>
      <c r="E1342" s="1">
        <v>10099</v>
      </c>
      <c r="F1342" s="1" t="s">
        <v>5150</v>
      </c>
      <c r="G1342" s="1">
        <v>1</v>
      </c>
      <c r="L1342" s="1">
        <v>17000</v>
      </c>
      <c r="N1342" s="1">
        <v>640</v>
      </c>
      <c r="P1342" s="1">
        <v>650</v>
      </c>
      <c r="R1342" s="1">
        <v>60</v>
      </c>
      <c r="Z1342" s="1">
        <v>0.05</v>
      </c>
      <c r="AA1342" s="1">
        <v>5</v>
      </c>
      <c r="AB1342" s="1">
        <v>3</v>
      </c>
      <c r="AC1342" s="1">
        <v>0.65</v>
      </c>
      <c r="AH1342" s="1">
        <v>0</v>
      </c>
      <c r="AI1342" s="1">
        <v>1</v>
      </c>
      <c r="AJ1342" s="1" t="s">
        <v>5152</v>
      </c>
      <c r="AK1342" s="1" t="s">
        <v>206</v>
      </c>
      <c r="AL1342" s="1" t="s">
        <v>228</v>
      </c>
      <c r="AN1342" s="22" t="s">
        <v>9767</v>
      </c>
      <c r="AX1342" s="1">
        <v>1</v>
      </c>
      <c r="AZ1342" s="1">
        <v>0.25</v>
      </c>
      <c r="BG1342" s="1" t="s">
        <v>5150</v>
      </c>
      <c r="BM1342" s="1" t="s">
        <v>4959</v>
      </c>
      <c r="BQ1342" s="1" t="s">
        <v>207</v>
      </c>
      <c r="BR1342" s="1" t="s">
        <v>208</v>
      </c>
      <c r="BS1342" s="1" t="s">
        <v>229</v>
      </c>
      <c r="BT1342" s="1" t="s">
        <v>210</v>
      </c>
      <c r="BX1342" s="1">
        <v>1</v>
      </c>
    </row>
    <row r="1343" spans="1:76" x14ac:dyDescent="0.25">
      <c r="A1343" s="1" t="s">
        <v>5153</v>
      </c>
      <c r="B1343" s="1" t="s">
        <v>203</v>
      </c>
      <c r="C1343" s="1">
        <v>1</v>
      </c>
      <c r="D1343" s="1" t="s">
        <v>5154</v>
      </c>
      <c r="E1343" s="1">
        <v>10100</v>
      </c>
      <c r="F1343" s="1" t="s">
        <v>5153</v>
      </c>
      <c r="G1343" s="1">
        <v>1</v>
      </c>
      <c r="L1343" s="1">
        <v>80000</v>
      </c>
      <c r="N1343" s="1">
        <v>1750</v>
      </c>
      <c r="P1343" s="1">
        <v>0</v>
      </c>
      <c r="R1343" s="1">
        <v>0</v>
      </c>
      <c r="Z1343" s="1">
        <v>0.05</v>
      </c>
      <c r="AA1343" s="1">
        <v>5</v>
      </c>
      <c r="AB1343" s="1">
        <v>5</v>
      </c>
      <c r="AC1343" s="1">
        <v>0.8</v>
      </c>
      <c r="AH1343" s="1">
        <v>0</v>
      </c>
      <c r="AI1343" s="1">
        <v>1</v>
      </c>
      <c r="AJ1343" s="1" t="s">
        <v>5155</v>
      </c>
      <c r="AK1343" s="1" t="s">
        <v>206</v>
      </c>
      <c r="AL1343" s="1" t="s">
        <v>228</v>
      </c>
      <c r="AN1343" s="22" t="s">
        <v>9767</v>
      </c>
      <c r="AX1343" s="1">
        <v>1</v>
      </c>
      <c r="AZ1343" s="1">
        <v>0.25</v>
      </c>
      <c r="BG1343" s="1" t="s">
        <v>5153</v>
      </c>
      <c r="BM1343" s="1" t="s">
        <v>4959</v>
      </c>
      <c r="BQ1343" s="1" t="s">
        <v>207</v>
      </c>
      <c r="BR1343" s="1" t="s">
        <v>208</v>
      </c>
      <c r="BS1343" s="1" t="s">
        <v>229</v>
      </c>
      <c r="BT1343" s="1" t="s">
        <v>210</v>
      </c>
      <c r="BX1343" s="1">
        <v>1</v>
      </c>
    </row>
    <row r="1344" spans="1:76" x14ac:dyDescent="0.25">
      <c r="A1344" s="1" t="s">
        <v>5156</v>
      </c>
      <c r="B1344" s="1" t="s">
        <v>203</v>
      </c>
      <c r="C1344" s="1">
        <v>1</v>
      </c>
      <c r="D1344" s="1" t="s">
        <v>5157</v>
      </c>
      <c r="E1344" s="1">
        <v>10100</v>
      </c>
      <c r="F1344" s="1" t="s">
        <v>5156</v>
      </c>
      <c r="G1344" s="1">
        <v>1</v>
      </c>
      <c r="L1344" s="1">
        <v>95000</v>
      </c>
      <c r="N1344" s="1">
        <v>2250</v>
      </c>
      <c r="P1344" s="1">
        <v>0</v>
      </c>
      <c r="R1344" s="1">
        <v>0</v>
      </c>
      <c r="Z1344" s="1">
        <v>0.05</v>
      </c>
      <c r="AA1344" s="1">
        <v>5</v>
      </c>
      <c r="AB1344" s="1">
        <v>5</v>
      </c>
      <c r="AC1344" s="1">
        <v>0.8</v>
      </c>
      <c r="AH1344" s="1">
        <v>0</v>
      </c>
      <c r="AI1344" s="1">
        <v>1</v>
      </c>
      <c r="AJ1344" s="1" t="s">
        <v>5158</v>
      </c>
      <c r="AK1344" s="1" t="s">
        <v>206</v>
      </c>
      <c r="AL1344" s="1" t="s">
        <v>228</v>
      </c>
      <c r="AN1344" s="22" t="s">
        <v>9767</v>
      </c>
      <c r="AX1344" s="1">
        <v>1</v>
      </c>
      <c r="AZ1344" s="1">
        <v>0.25</v>
      </c>
      <c r="BG1344" s="1" t="s">
        <v>5156</v>
      </c>
      <c r="BM1344" s="1" t="s">
        <v>4959</v>
      </c>
      <c r="BQ1344" s="1" t="s">
        <v>207</v>
      </c>
      <c r="BR1344" s="1" t="s">
        <v>208</v>
      </c>
      <c r="BS1344" s="1" t="s">
        <v>229</v>
      </c>
      <c r="BT1344" s="1" t="s">
        <v>210</v>
      </c>
      <c r="BX1344" s="1">
        <v>1</v>
      </c>
    </row>
    <row r="1345" spans="1:76" x14ac:dyDescent="0.25">
      <c r="A1345" s="1" t="s">
        <v>5159</v>
      </c>
      <c r="B1345" s="1" t="s">
        <v>203</v>
      </c>
      <c r="C1345" s="1">
        <v>1</v>
      </c>
      <c r="D1345" s="1" t="s">
        <v>5160</v>
      </c>
      <c r="E1345" s="1">
        <v>10101</v>
      </c>
      <c r="F1345" s="1" t="s">
        <v>5159</v>
      </c>
      <c r="G1345" s="1">
        <v>1</v>
      </c>
      <c r="L1345" s="1">
        <v>35000</v>
      </c>
      <c r="N1345" s="1">
        <v>1200</v>
      </c>
      <c r="P1345" s="1">
        <v>300</v>
      </c>
      <c r="R1345" s="1">
        <v>40</v>
      </c>
      <c r="Z1345" s="1">
        <v>0.05</v>
      </c>
      <c r="AA1345" s="1">
        <v>5</v>
      </c>
      <c r="AB1345" s="1">
        <v>4</v>
      </c>
      <c r="AC1345" s="1">
        <v>0.6</v>
      </c>
      <c r="AH1345" s="1">
        <v>0</v>
      </c>
      <c r="AI1345" s="1">
        <v>1</v>
      </c>
      <c r="AJ1345" s="1" t="s">
        <v>5161</v>
      </c>
      <c r="AK1345" s="1" t="s">
        <v>206</v>
      </c>
      <c r="AL1345" s="1" t="s">
        <v>228</v>
      </c>
      <c r="AN1345" s="22" t="s">
        <v>9767</v>
      </c>
      <c r="AX1345" s="1">
        <v>1</v>
      </c>
      <c r="AZ1345" s="1">
        <v>0.25</v>
      </c>
      <c r="BG1345" s="1" t="s">
        <v>5159</v>
      </c>
      <c r="BM1345" s="1" t="s">
        <v>4959</v>
      </c>
      <c r="BQ1345" s="1" t="s">
        <v>207</v>
      </c>
      <c r="BR1345" s="1" t="s">
        <v>208</v>
      </c>
      <c r="BS1345" s="1" t="s">
        <v>229</v>
      </c>
      <c r="BT1345" s="1" t="s">
        <v>210</v>
      </c>
      <c r="BX1345" s="1">
        <v>1</v>
      </c>
    </row>
    <row r="1346" spans="1:76" x14ac:dyDescent="0.25">
      <c r="A1346" s="1" t="s">
        <v>5162</v>
      </c>
      <c r="B1346" s="1" t="s">
        <v>203</v>
      </c>
      <c r="C1346" s="1">
        <v>1</v>
      </c>
      <c r="D1346" s="1" t="s">
        <v>5163</v>
      </c>
      <c r="E1346" s="1">
        <v>10101</v>
      </c>
      <c r="F1346" s="1" t="s">
        <v>5162</v>
      </c>
      <c r="G1346" s="1">
        <v>1</v>
      </c>
      <c r="L1346" s="1">
        <v>45000</v>
      </c>
      <c r="N1346" s="1">
        <v>1400</v>
      </c>
      <c r="P1346" s="1">
        <v>300</v>
      </c>
      <c r="R1346" s="1">
        <v>40</v>
      </c>
      <c r="Z1346" s="1">
        <v>0.05</v>
      </c>
      <c r="AA1346" s="1">
        <v>5</v>
      </c>
      <c r="AB1346" s="1">
        <v>4</v>
      </c>
      <c r="AC1346" s="1">
        <v>0.6</v>
      </c>
      <c r="AH1346" s="1">
        <v>0</v>
      </c>
      <c r="AI1346" s="1">
        <v>1</v>
      </c>
      <c r="AJ1346" s="1" t="s">
        <v>5164</v>
      </c>
      <c r="AK1346" s="1" t="s">
        <v>206</v>
      </c>
      <c r="AL1346" s="1" t="s">
        <v>228</v>
      </c>
      <c r="AN1346" s="22" t="s">
        <v>9767</v>
      </c>
      <c r="AX1346" s="1">
        <v>1</v>
      </c>
      <c r="AZ1346" s="1">
        <v>0.25</v>
      </c>
      <c r="BG1346" s="1" t="s">
        <v>5162</v>
      </c>
      <c r="BM1346" s="1" t="s">
        <v>4959</v>
      </c>
      <c r="BQ1346" s="1" t="s">
        <v>207</v>
      </c>
      <c r="BR1346" s="1" t="s">
        <v>208</v>
      </c>
      <c r="BS1346" s="1" t="s">
        <v>229</v>
      </c>
      <c r="BT1346" s="1" t="s">
        <v>210</v>
      </c>
      <c r="BX1346" s="1">
        <v>1</v>
      </c>
    </row>
    <row r="1347" spans="1:76" x14ac:dyDescent="0.25">
      <c r="A1347" s="1" t="s">
        <v>5165</v>
      </c>
      <c r="B1347" s="1" t="s">
        <v>203</v>
      </c>
      <c r="C1347" s="1">
        <v>1</v>
      </c>
      <c r="D1347" s="1" t="s">
        <v>5166</v>
      </c>
      <c r="E1347" s="1">
        <v>1568</v>
      </c>
      <c r="F1347" s="1" t="s">
        <v>5165</v>
      </c>
      <c r="G1347" s="1">
        <v>1</v>
      </c>
      <c r="L1347" s="1">
        <v>75000</v>
      </c>
      <c r="N1347" s="1">
        <v>700</v>
      </c>
      <c r="P1347" s="1">
        <v>500</v>
      </c>
      <c r="R1347" s="1">
        <v>40</v>
      </c>
      <c r="Z1347" s="1">
        <v>0.05</v>
      </c>
      <c r="AA1347" s="1">
        <v>4</v>
      </c>
      <c r="AB1347" s="1">
        <v>5</v>
      </c>
      <c r="AC1347" s="1">
        <v>0.7</v>
      </c>
      <c r="AH1347" s="1">
        <v>0</v>
      </c>
      <c r="AI1347" s="1">
        <v>1</v>
      </c>
      <c r="AJ1347" s="1" t="s">
        <v>5167</v>
      </c>
      <c r="AK1347" s="1" t="s">
        <v>206</v>
      </c>
      <c r="AL1347" s="1" t="s">
        <v>228</v>
      </c>
      <c r="AN1347" s="22" t="s">
        <v>9767</v>
      </c>
      <c r="AX1347" s="1">
        <v>1</v>
      </c>
      <c r="AZ1347" s="1">
        <v>0.25</v>
      </c>
      <c r="BG1347" s="1" t="s">
        <v>5165</v>
      </c>
      <c r="BM1347" s="1" t="s">
        <v>4959</v>
      </c>
      <c r="BQ1347" s="1" t="s">
        <v>3416</v>
      </c>
      <c r="BR1347" s="1" t="s">
        <v>2593</v>
      </c>
      <c r="BS1347" s="1" t="s">
        <v>2594</v>
      </c>
      <c r="BT1347" s="1" t="s">
        <v>2595</v>
      </c>
      <c r="BX1347" s="1">
        <v>1</v>
      </c>
    </row>
    <row r="1348" spans="1:76" x14ac:dyDescent="0.25">
      <c r="A1348" s="1" t="s">
        <v>5168</v>
      </c>
      <c r="B1348" s="1" t="s">
        <v>203</v>
      </c>
      <c r="C1348" s="1">
        <v>1</v>
      </c>
      <c r="D1348" s="1" t="s">
        <v>5169</v>
      </c>
      <c r="E1348" s="1">
        <v>10103</v>
      </c>
      <c r="F1348" s="1" t="s">
        <v>5168</v>
      </c>
      <c r="G1348" s="1">
        <v>1</v>
      </c>
      <c r="L1348" s="1">
        <v>3000</v>
      </c>
      <c r="N1348" s="1">
        <v>300</v>
      </c>
      <c r="P1348" s="1">
        <v>120</v>
      </c>
      <c r="R1348" s="1">
        <v>5</v>
      </c>
      <c r="Z1348" s="1">
        <v>0.05</v>
      </c>
      <c r="AA1348" s="1">
        <v>1.5</v>
      </c>
      <c r="AB1348" s="1">
        <v>1</v>
      </c>
      <c r="AC1348" s="1">
        <v>0.3</v>
      </c>
      <c r="AH1348" s="1">
        <v>0</v>
      </c>
      <c r="AI1348" s="1">
        <v>1</v>
      </c>
      <c r="AJ1348" s="1" t="s">
        <v>5170</v>
      </c>
      <c r="AK1348" s="1" t="s">
        <v>206</v>
      </c>
      <c r="AL1348" s="1" t="s">
        <v>228</v>
      </c>
      <c r="AN1348" s="22" t="s">
        <v>9767</v>
      </c>
      <c r="AX1348" s="1">
        <v>1</v>
      </c>
      <c r="AZ1348" s="1">
        <v>0.25</v>
      </c>
      <c r="BG1348" s="1" t="s">
        <v>5168</v>
      </c>
      <c r="BM1348" s="1" t="s">
        <v>4959</v>
      </c>
      <c r="BQ1348" s="1" t="s">
        <v>207</v>
      </c>
      <c r="BR1348" s="1" t="s">
        <v>3597</v>
      </c>
      <c r="BS1348" s="1" t="s">
        <v>3598</v>
      </c>
      <c r="BT1348" s="1" t="s">
        <v>210</v>
      </c>
      <c r="BX1348" s="1">
        <v>1</v>
      </c>
    </row>
    <row r="1349" spans="1:76" x14ac:dyDescent="0.25">
      <c r="A1349" s="1" t="s">
        <v>5171</v>
      </c>
      <c r="B1349" s="1" t="s">
        <v>203</v>
      </c>
      <c r="C1349" s="1">
        <v>1</v>
      </c>
      <c r="D1349" s="1" t="s">
        <v>5172</v>
      </c>
      <c r="E1349" s="1">
        <v>10103</v>
      </c>
      <c r="F1349" s="1" t="s">
        <v>5171</v>
      </c>
      <c r="G1349" s="1">
        <v>1</v>
      </c>
      <c r="L1349" s="1">
        <v>4200</v>
      </c>
      <c r="N1349" s="1">
        <v>390</v>
      </c>
      <c r="P1349" s="1">
        <v>120</v>
      </c>
      <c r="R1349" s="1">
        <v>5</v>
      </c>
      <c r="Z1349" s="1">
        <v>0.05</v>
      </c>
      <c r="AA1349" s="1">
        <v>1.5</v>
      </c>
      <c r="AB1349" s="1">
        <v>1</v>
      </c>
      <c r="AC1349" s="1">
        <v>0.3</v>
      </c>
      <c r="AH1349" s="1">
        <v>0</v>
      </c>
      <c r="AI1349" s="1">
        <v>1</v>
      </c>
      <c r="AJ1349" s="1" t="s">
        <v>5173</v>
      </c>
      <c r="AK1349" s="1" t="s">
        <v>206</v>
      </c>
      <c r="AL1349" s="1" t="s">
        <v>228</v>
      </c>
      <c r="AN1349" s="22" t="s">
        <v>9767</v>
      </c>
      <c r="AX1349" s="1">
        <v>1</v>
      </c>
      <c r="AZ1349" s="1">
        <v>0.25</v>
      </c>
      <c r="BG1349" s="1" t="s">
        <v>5171</v>
      </c>
      <c r="BM1349" s="1" t="s">
        <v>4959</v>
      </c>
      <c r="BQ1349" s="1" t="s">
        <v>207</v>
      </c>
      <c r="BR1349" s="1" t="s">
        <v>3597</v>
      </c>
      <c r="BS1349" s="1" t="s">
        <v>3598</v>
      </c>
      <c r="BT1349" s="1" t="s">
        <v>210</v>
      </c>
      <c r="BX1349" s="1">
        <v>1</v>
      </c>
    </row>
    <row r="1350" spans="1:76" x14ac:dyDescent="0.25">
      <c r="A1350" s="1" t="s">
        <v>5174</v>
      </c>
      <c r="B1350" s="1" t="s">
        <v>203</v>
      </c>
      <c r="C1350" s="1">
        <v>1</v>
      </c>
      <c r="D1350" s="1" t="s">
        <v>5175</v>
      </c>
      <c r="E1350" s="1">
        <v>10104</v>
      </c>
      <c r="F1350" s="1" t="s">
        <v>5174</v>
      </c>
      <c r="G1350" s="1">
        <v>1</v>
      </c>
      <c r="L1350" s="1">
        <v>4500</v>
      </c>
      <c r="N1350" s="1">
        <v>300</v>
      </c>
      <c r="P1350" s="1">
        <v>120</v>
      </c>
      <c r="R1350" s="1">
        <v>30</v>
      </c>
      <c r="Z1350" s="1">
        <v>0.05</v>
      </c>
      <c r="AA1350" s="1">
        <v>3</v>
      </c>
      <c r="AB1350" s="1">
        <v>1</v>
      </c>
      <c r="AC1350" s="1">
        <v>0.6</v>
      </c>
      <c r="AH1350" s="1">
        <v>0</v>
      </c>
      <c r="AI1350" s="1">
        <v>1</v>
      </c>
      <c r="AJ1350" s="1" t="s">
        <v>5176</v>
      </c>
      <c r="AK1350" s="1" t="s">
        <v>206</v>
      </c>
      <c r="AL1350" s="1" t="s">
        <v>228</v>
      </c>
      <c r="AN1350" s="22" t="s">
        <v>9767</v>
      </c>
      <c r="AX1350" s="1">
        <v>1</v>
      </c>
      <c r="AZ1350" s="1">
        <v>0.25</v>
      </c>
      <c r="BG1350" s="1" t="s">
        <v>5174</v>
      </c>
      <c r="BM1350" s="1" t="s">
        <v>4959</v>
      </c>
      <c r="BQ1350" s="1" t="s">
        <v>207</v>
      </c>
      <c r="BR1350" s="1" t="s">
        <v>271</v>
      </c>
      <c r="BS1350" s="1" t="s">
        <v>1612</v>
      </c>
      <c r="BT1350" s="1" t="s">
        <v>3196</v>
      </c>
      <c r="BX1350" s="1">
        <v>1</v>
      </c>
    </row>
    <row r="1351" spans="1:76" x14ac:dyDescent="0.25">
      <c r="A1351" s="1" t="s">
        <v>5177</v>
      </c>
      <c r="B1351" s="1" t="s">
        <v>203</v>
      </c>
      <c r="C1351" s="1">
        <v>1</v>
      </c>
      <c r="D1351" s="1" t="s">
        <v>5178</v>
      </c>
      <c r="E1351" s="1">
        <v>10104</v>
      </c>
      <c r="F1351" s="1" t="s">
        <v>5177</v>
      </c>
      <c r="G1351" s="1">
        <v>1</v>
      </c>
      <c r="L1351" s="1">
        <v>5800</v>
      </c>
      <c r="N1351" s="1">
        <v>350</v>
      </c>
      <c r="P1351" s="1">
        <v>120</v>
      </c>
      <c r="R1351" s="1">
        <v>35</v>
      </c>
      <c r="Z1351" s="1">
        <v>0.05</v>
      </c>
      <c r="AA1351" s="1">
        <v>3</v>
      </c>
      <c r="AB1351" s="1">
        <v>1</v>
      </c>
      <c r="AC1351" s="1">
        <v>0.6</v>
      </c>
      <c r="AH1351" s="1">
        <v>0</v>
      </c>
      <c r="AI1351" s="1">
        <v>1</v>
      </c>
      <c r="AJ1351" s="1" t="s">
        <v>5179</v>
      </c>
      <c r="AK1351" s="1" t="s">
        <v>206</v>
      </c>
      <c r="AL1351" s="1" t="s">
        <v>228</v>
      </c>
      <c r="AN1351" s="22" t="s">
        <v>9767</v>
      </c>
      <c r="AX1351" s="1">
        <v>1</v>
      </c>
      <c r="AZ1351" s="1">
        <v>0.25</v>
      </c>
      <c r="BG1351" s="1" t="s">
        <v>5177</v>
      </c>
      <c r="BM1351" s="1" t="s">
        <v>4959</v>
      </c>
      <c r="BQ1351" s="1" t="s">
        <v>207</v>
      </c>
      <c r="BR1351" s="1" t="s">
        <v>271</v>
      </c>
      <c r="BS1351" s="1" t="s">
        <v>1612</v>
      </c>
      <c r="BT1351" s="1" t="s">
        <v>3196</v>
      </c>
      <c r="BX1351" s="1">
        <v>1</v>
      </c>
    </row>
    <row r="1352" spans="1:76" x14ac:dyDescent="0.25">
      <c r="A1352" s="1" t="s">
        <v>5180</v>
      </c>
      <c r="B1352" s="1" t="s">
        <v>203</v>
      </c>
      <c r="C1352" s="1">
        <v>1</v>
      </c>
      <c r="D1352" s="1" t="s">
        <v>5181</v>
      </c>
      <c r="E1352" s="1">
        <v>10105</v>
      </c>
      <c r="F1352" s="1" t="s">
        <v>5180</v>
      </c>
      <c r="G1352" s="1">
        <v>1</v>
      </c>
      <c r="L1352" s="1">
        <v>4200</v>
      </c>
      <c r="N1352" s="1">
        <v>390</v>
      </c>
      <c r="P1352" s="1">
        <v>120</v>
      </c>
      <c r="R1352" s="1">
        <v>5</v>
      </c>
      <c r="Z1352" s="1">
        <v>0.05</v>
      </c>
      <c r="AA1352" s="1">
        <v>1.5</v>
      </c>
      <c r="AB1352" s="1">
        <v>1</v>
      </c>
      <c r="AC1352" s="1">
        <v>0.3</v>
      </c>
      <c r="AH1352" s="1">
        <v>0</v>
      </c>
      <c r="AI1352" s="1">
        <v>1</v>
      </c>
      <c r="AJ1352" s="1" t="s">
        <v>5182</v>
      </c>
      <c r="AK1352" s="1" t="s">
        <v>206</v>
      </c>
      <c r="AL1352" s="1" t="s">
        <v>228</v>
      </c>
      <c r="AN1352" s="22" t="s">
        <v>9767</v>
      </c>
      <c r="AX1352" s="1">
        <v>1</v>
      </c>
      <c r="AZ1352" s="1">
        <v>0.25</v>
      </c>
      <c r="BG1352" s="1" t="s">
        <v>5180</v>
      </c>
      <c r="BM1352" s="1" t="s">
        <v>4959</v>
      </c>
      <c r="BQ1352" s="1" t="s">
        <v>207</v>
      </c>
      <c r="BR1352" s="1" t="s">
        <v>2593</v>
      </c>
      <c r="BS1352" s="1" t="s">
        <v>2594</v>
      </c>
      <c r="BT1352" s="1" t="s">
        <v>3131</v>
      </c>
      <c r="BX1352" s="1">
        <v>1</v>
      </c>
    </row>
    <row r="1353" spans="1:76" x14ac:dyDescent="0.25">
      <c r="A1353" s="1" t="s">
        <v>5183</v>
      </c>
      <c r="B1353" s="1" t="s">
        <v>203</v>
      </c>
      <c r="C1353" s="1">
        <v>1</v>
      </c>
      <c r="D1353" s="1" t="s">
        <v>5184</v>
      </c>
      <c r="E1353" s="1">
        <v>10106</v>
      </c>
      <c r="F1353" s="1" t="s">
        <v>5183</v>
      </c>
      <c r="G1353" s="1">
        <v>1</v>
      </c>
      <c r="L1353" s="1">
        <v>3000</v>
      </c>
      <c r="N1353" s="1">
        <v>70</v>
      </c>
      <c r="P1353" s="1">
        <v>200</v>
      </c>
      <c r="R1353" s="1">
        <v>35</v>
      </c>
      <c r="Z1353" s="1">
        <v>0.05</v>
      </c>
      <c r="AA1353" s="1">
        <v>0.4</v>
      </c>
      <c r="AB1353" s="1">
        <v>0</v>
      </c>
      <c r="AC1353" s="1">
        <v>0.3</v>
      </c>
      <c r="AH1353" s="1">
        <v>0</v>
      </c>
      <c r="AI1353" s="1">
        <v>1</v>
      </c>
      <c r="AJ1353" s="1" t="s">
        <v>5185</v>
      </c>
      <c r="AK1353" s="1" t="s">
        <v>206</v>
      </c>
      <c r="AL1353" s="1" t="s">
        <v>228</v>
      </c>
      <c r="AN1353" s="22" t="s">
        <v>9767</v>
      </c>
      <c r="AP1353" s="1">
        <v>1</v>
      </c>
      <c r="AX1353" s="1">
        <v>1</v>
      </c>
      <c r="AZ1353" s="1">
        <v>0.25</v>
      </c>
      <c r="BG1353" s="1" t="s">
        <v>5183</v>
      </c>
      <c r="BM1353" s="1" t="s">
        <v>4959</v>
      </c>
      <c r="BQ1353" s="1" t="s">
        <v>207</v>
      </c>
      <c r="BR1353" s="1" t="s">
        <v>208</v>
      </c>
      <c r="BS1353" s="1" t="s">
        <v>229</v>
      </c>
      <c r="BT1353" s="1" t="s">
        <v>210</v>
      </c>
      <c r="BX1353" s="1">
        <v>1</v>
      </c>
    </row>
    <row r="1354" spans="1:76" x14ac:dyDescent="0.25">
      <c r="A1354" s="1" t="s">
        <v>5186</v>
      </c>
      <c r="B1354" s="1" t="s">
        <v>203</v>
      </c>
      <c r="C1354" s="1">
        <v>1</v>
      </c>
      <c r="D1354" s="1" t="s">
        <v>5187</v>
      </c>
      <c r="E1354" s="1">
        <v>10106</v>
      </c>
      <c r="F1354" s="1" t="s">
        <v>5186</v>
      </c>
      <c r="G1354" s="1">
        <v>1</v>
      </c>
      <c r="L1354" s="1">
        <v>3300</v>
      </c>
      <c r="N1354" s="1">
        <v>77</v>
      </c>
      <c r="P1354" s="1">
        <v>200</v>
      </c>
      <c r="R1354" s="1">
        <v>35</v>
      </c>
      <c r="Z1354" s="1">
        <v>0.05</v>
      </c>
      <c r="AA1354" s="1">
        <v>0.4</v>
      </c>
      <c r="AB1354" s="1">
        <v>0</v>
      </c>
      <c r="AC1354" s="1">
        <v>0.3</v>
      </c>
      <c r="AH1354" s="1">
        <v>0</v>
      </c>
      <c r="AI1354" s="1">
        <v>1</v>
      </c>
      <c r="AJ1354" s="1" t="s">
        <v>5188</v>
      </c>
      <c r="AK1354" s="1" t="s">
        <v>206</v>
      </c>
      <c r="AL1354" s="1" t="s">
        <v>228</v>
      </c>
      <c r="AN1354" s="22" t="s">
        <v>9767</v>
      </c>
      <c r="AP1354" s="1">
        <v>1</v>
      </c>
      <c r="AX1354" s="1">
        <v>1</v>
      </c>
      <c r="AZ1354" s="1">
        <v>0.25</v>
      </c>
      <c r="BG1354" s="1" t="s">
        <v>5186</v>
      </c>
      <c r="BM1354" s="1" t="s">
        <v>4959</v>
      </c>
      <c r="BQ1354" s="1" t="s">
        <v>207</v>
      </c>
      <c r="BR1354" s="1" t="s">
        <v>208</v>
      </c>
      <c r="BS1354" s="1" t="s">
        <v>229</v>
      </c>
      <c r="BT1354" s="1" t="s">
        <v>210</v>
      </c>
      <c r="BX1354" s="1">
        <v>1</v>
      </c>
    </row>
    <row r="1355" spans="1:76" x14ac:dyDescent="0.25">
      <c r="A1355" s="1" t="s">
        <v>5189</v>
      </c>
      <c r="B1355" s="1" t="s">
        <v>203</v>
      </c>
      <c r="C1355" s="1">
        <v>1</v>
      </c>
      <c r="D1355" s="1" t="s">
        <v>5190</v>
      </c>
      <c r="E1355" s="1">
        <v>10107</v>
      </c>
      <c r="F1355" s="1" t="s">
        <v>5189</v>
      </c>
      <c r="G1355" s="1">
        <v>1</v>
      </c>
      <c r="L1355" s="1">
        <v>16000</v>
      </c>
      <c r="N1355" s="1">
        <v>150</v>
      </c>
      <c r="P1355" s="1">
        <v>500</v>
      </c>
      <c r="R1355" s="1">
        <v>30</v>
      </c>
      <c r="Z1355" s="1">
        <v>0.05</v>
      </c>
      <c r="AA1355" s="1">
        <v>3.3</v>
      </c>
      <c r="AB1355" s="1">
        <v>3</v>
      </c>
      <c r="AC1355" s="1">
        <v>2</v>
      </c>
      <c r="AH1355" s="1">
        <v>0</v>
      </c>
      <c r="AI1355" s="1">
        <v>1</v>
      </c>
      <c r="AJ1355" s="1" t="s">
        <v>5191</v>
      </c>
      <c r="AK1355" s="1" t="s">
        <v>206</v>
      </c>
      <c r="AL1355" s="1" t="s">
        <v>228</v>
      </c>
      <c r="AN1355" s="22" t="s">
        <v>9767</v>
      </c>
      <c r="AX1355" s="1">
        <v>1</v>
      </c>
      <c r="AZ1355" s="1">
        <v>0.25</v>
      </c>
      <c r="BG1355" s="1" t="s">
        <v>5189</v>
      </c>
      <c r="BM1355" s="1" t="s">
        <v>4959</v>
      </c>
      <c r="BQ1355" s="1" t="s">
        <v>207</v>
      </c>
      <c r="BR1355" s="1" t="s">
        <v>2593</v>
      </c>
      <c r="BS1355" s="1" t="s">
        <v>2594</v>
      </c>
      <c r="BT1355" s="1" t="s">
        <v>210</v>
      </c>
      <c r="BX1355" s="1">
        <v>1</v>
      </c>
    </row>
    <row r="1356" spans="1:76" x14ac:dyDescent="0.25">
      <c r="A1356" s="1" t="s">
        <v>5192</v>
      </c>
      <c r="B1356" s="1" t="s">
        <v>203</v>
      </c>
      <c r="C1356" s="1">
        <v>1</v>
      </c>
      <c r="D1356" s="1" t="s">
        <v>5193</v>
      </c>
      <c r="E1356" s="1">
        <v>10107</v>
      </c>
      <c r="F1356" s="1" t="s">
        <v>5192</v>
      </c>
      <c r="G1356" s="1">
        <v>1</v>
      </c>
      <c r="L1356" s="1">
        <v>17600</v>
      </c>
      <c r="N1356" s="1">
        <v>165</v>
      </c>
      <c r="P1356" s="1">
        <v>500</v>
      </c>
      <c r="R1356" s="1">
        <v>30</v>
      </c>
      <c r="Z1356" s="1">
        <v>0.05</v>
      </c>
      <c r="AA1356" s="1">
        <v>3.3</v>
      </c>
      <c r="AB1356" s="1">
        <v>3</v>
      </c>
      <c r="AC1356" s="1">
        <v>2</v>
      </c>
      <c r="AH1356" s="1">
        <v>0</v>
      </c>
      <c r="AI1356" s="1">
        <v>1</v>
      </c>
      <c r="AJ1356" s="1" t="s">
        <v>5194</v>
      </c>
      <c r="AK1356" s="1" t="s">
        <v>206</v>
      </c>
      <c r="AL1356" s="1" t="s">
        <v>228</v>
      </c>
      <c r="AN1356" s="22" t="s">
        <v>9767</v>
      </c>
      <c r="AX1356" s="1">
        <v>1</v>
      </c>
      <c r="AZ1356" s="1">
        <v>0.25</v>
      </c>
      <c r="BG1356" s="1" t="s">
        <v>5192</v>
      </c>
      <c r="BM1356" s="1" t="s">
        <v>4959</v>
      </c>
      <c r="BQ1356" s="1" t="s">
        <v>207</v>
      </c>
      <c r="BR1356" s="1" t="s">
        <v>2593</v>
      </c>
      <c r="BS1356" s="1" t="s">
        <v>2594</v>
      </c>
      <c r="BT1356" s="1" t="s">
        <v>210</v>
      </c>
      <c r="BX1356" s="1">
        <v>1</v>
      </c>
    </row>
    <row r="1357" spans="1:76" x14ac:dyDescent="0.25">
      <c r="A1357" s="1" t="s">
        <v>5195</v>
      </c>
      <c r="B1357" s="1" t="s">
        <v>203</v>
      </c>
      <c r="C1357" s="1">
        <v>1</v>
      </c>
      <c r="D1357" s="1" t="s">
        <v>5196</v>
      </c>
      <c r="E1357" s="1">
        <v>10108</v>
      </c>
      <c r="F1357" s="1" t="s">
        <v>5195</v>
      </c>
      <c r="G1357" s="1">
        <v>1</v>
      </c>
      <c r="L1357" s="1">
        <v>25000</v>
      </c>
      <c r="N1357" s="1">
        <v>850</v>
      </c>
      <c r="P1357" s="1">
        <v>800</v>
      </c>
      <c r="R1357" s="1">
        <v>20</v>
      </c>
      <c r="Z1357" s="1">
        <v>0.05</v>
      </c>
      <c r="AA1357" s="1">
        <v>5.5</v>
      </c>
      <c r="AB1357" s="1">
        <v>3</v>
      </c>
      <c r="AC1357" s="1">
        <v>0.8</v>
      </c>
      <c r="AH1357" s="1">
        <v>0</v>
      </c>
      <c r="AI1357" s="1">
        <v>1</v>
      </c>
      <c r="AJ1357" s="1" t="s">
        <v>5197</v>
      </c>
      <c r="AK1357" s="1" t="s">
        <v>206</v>
      </c>
      <c r="AL1357" s="1" t="s">
        <v>228</v>
      </c>
      <c r="AN1357" s="22" t="s">
        <v>9767</v>
      </c>
      <c r="AX1357" s="1">
        <v>1</v>
      </c>
      <c r="AZ1357" s="1">
        <v>0.25</v>
      </c>
      <c r="BG1357" s="1" t="s">
        <v>5195</v>
      </c>
      <c r="BM1357" s="1" t="s">
        <v>4959</v>
      </c>
      <c r="BQ1357" s="1" t="s">
        <v>207</v>
      </c>
      <c r="BR1357" s="1" t="s">
        <v>208</v>
      </c>
      <c r="BS1357" s="1" t="s">
        <v>229</v>
      </c>
      <c r="BT1357" s="1" t="s">
        <v>210</v>
      </c>
      <c r="BX1357" s="1">
        <v>1</v>
      </c>
    </row>
    <row r="1358" spans="1:76" x14ac:dyDescent="0.25">
      <c r="A1358" s="1" t="s">
        <v>5198</v>
      </c>
      <c r="B1358" s="1" t="s">
        <v>203</v>
      </c>
      <c r="C1358" s="1">
        <v>1</v>
      </c>
      <c r="D1358" s="1" t="s">
        <v>5199</v>
      </c>
      <c r="E1358" s="1">
        <v>10108</v>
      </c>
      <c r="F1358" s="1" t="s">
        <v>5198</v>
      </c>
      <c r="G1358" s="1">
        <v>1</v>
      </c>
      <c r="L1358" s="1">
        <v>27500</v>
      </c>
      <c r="N1358" s="1">
        <v>900</v>
      </c>
      <c r="P1358" s="1">
        <v>800</v>
      </c>
      <c r="R1358" s="1">
        <v>20</v>
      </c>
      <c r="Z1358" s="1">
        <v>0.05</v>
      </c>
      <c r="AA1358" s="1">
        <v>5.5</v>
      </c>
      <c r="AB1358" s="1">
        <v>3</v>
      </c>
      <c r="AC1358" s="1">
        <v>0.8</v>
      </c>
      <c r="AH1358" s="1">
        <v>0</v>
      </c>
      <c r="AI1358" s="1">
        <v>1</v>
      </c>
      <c r="AJ1358" s="1" t="s">
        <v>5200</v>
      </c>
      <c r="AK1358" s="1" t="s">
        <v>206</v>
      </c>
      <c r="AL1358" s="1" t="s">
        <v>228</v>
      </c>
      <c r="AN1358" s="22" t="s">
        <v>9767</v>
      </c>
      <c r="AX1358" s="1">
        <v>1</v>
      </c>
      <c r="AZ1358" s="1">
        <v>0.25</v>
      </c>
      <c r="BG1358" s="1" t="s">
        <v>5198</v>
      </c>
      <c r="BM1358" s="1" t="s">
        <v>4959</v>
      </c>
      <c r="BQ1358" s="1" t="s">
        <v>207</v>
      </c>
      <c r="BR1358" s="1" t="s">
        <v>208</v>
      </c>
      <c r="BS1358" s="1" t="s">
        <v>229</v>
      </c>
      <c r="BT1358" s="1" t="s">
        <v>210</v>
      </c>
      <c r="BX1358" s="1">
        <v>1</v>
      </c>
    </row>
    <row r="1359" spans="1:76" x14ac:dyDescent="0.25">
      <c r="A1359" s="1" t="s">
        <v>5201</v>
      </c>
      <c r="B1359" s="1" t="s">
        <v>203</v>
      </c>
      <c r="C1359" s="1">
        <v>1</v>
      </c>
      <c r="D1359" s="1" t="s">
        <v>5202</v>
      </c>
      <c r="E1359" s="1">
        <v>10109</v>
      </c>
      <c r="F1359" s="1" t="s">
        <v>5201</v>
      </c>
      <c r="G1359" s="1">
        <v>1</v>
      </c>
      <c r="L1359" s="1">
        <v>15000</v>
      </c>
      <c r="N1359" s="1">
        <v>520</v>
      </c>
      <c r="P1359" s="1">
        <v>0</v>
      </c>
      <c r="R1359" s="1">
        <v>50</v>
      </c>
      <c r="Z1359" s="1">
        <v>0.05</v>
      </c>
      <c r="AA1359" s="1">
        <v>2.4</v>
      </c>
      <c r="AB1359" s="1">
        <v>0</v>
      </c>
      <c r="AC1359" s="1">
        <v>0.6</v>
      </c>
      <c r="AH1359" s="1">
        <v>0</v>
      </c>
      <c r="AI1359" s="1">
        <v>1</v>
      </c>
      <c r="AJ1359" s="1" t="s">
        <v>5203</v>
      </c>
      <c r="AK1359" s="1" t="s">
        <v>206</v>
      </c>
      <c r="AL1359" s="1" t="s">
        <v>228</v>
      </c>
      <c r="AN1359" s="22" t="s">
        <v>9767</v>
      </c>
      <c r="AX1359" s="1">
        <v>1</v>
      </c>
      <c r="AZ1359" s="1">
        <v>0.25</v>
      </c>
      <c r="BG1359" s="1" t="s">
        <v>5201</v>
      </c>
      <c r="BM1359" s="1" t="s">
        <v>4959</v>
      </c>
      <c r="BQ1359" s="1" t="s">
        <v>207</v>
      </c>
      <c r="BR1359" s="1" t="s">
        <v>208</v>
      </c>
      <c r="BS1359" s="1" t="s">
        <v>229</v>
      </c>
      <c r="BT1359" s="1" t="s">
        <v>210</v>
      </c>
      <c r="BX1359" s="1">
        <v>1</v>
      </c>
    </row>
    <row r="1360" spans="1:76" x14ac:dyDescent="0.25">
      <c r="A1360" s="1" t="s">
        <v>5204</v>
      </c>
      <c r="B1360" s="1" t="s">
        <v>203</v>
      </c>
      <c r="C1360" s="1">
        <v>1</v>
      </c>
      <c r="D1360" s="1" t="s">
        <v>5205</v>
      </c>
      <c r="E1360" s="1">
        <v>10109</v>
      </c>
      <c r="F1360" s="1" t="s">
        <v>5204</v>
      </c>
      <c r="G1360" s="1">
        <v>1</v>
      </c>
      <c r="L1360" s="1">
        <v>16500</v>
      </c>
      <c r="N1360" s="1">
        <v>550</v>
      </c>
      <c r="P1360" s="1">
        <v>0</v>
      </c>
      <c r="R1360" s="1">
        <v>50</v>
      </c>
      <c r="Z1360" s="1">
        <v>0.05</v>
      </c>
      <c r="AA1360" s="1">
        <v>2.4</v>
      </c>
      <c r="AB1360" s="1">
        <v>0</v>
      </c>
      <c r="AC1360" s="1">
        <v>0.6</v>
      </c>
      <c r="AH1360" s="1">
        <v>0</v>
      </c>
      <c r="AI1360" s="1">
        <v>1</v>
      </c>
      <c r="AJ1360" s="1" t="s">
        <v>5206</v>
      </c>
      <c r="AK1360" s="1" t="s">
        <v>206</v>
      </c>
      <c r="AL1360" s="1" t="s">
        <v>228</v>
      </c>
      <c r="AN1360" s="22" t="s">
        <v>9767</v>
      </c>
      <c r="AX1360" s="1">
        <v>1</v>
      </c>
      <c r="AZ1360" s="1">
        <v>0.25</v>
      </c>
      <c r="BG1360" s="1" t="s">
        <v>5204</v>
      </c>
      <c r="BM1360" s="1" t="s">
        <v>4959</v>
      </c>
      <c r="BQ1360" s="1" t="s">
        <v>207</v>
      </c>
      <c r="BR1360" s="1" t="s">
        <v>208</v>
      </c>
      <c r="BS1360" s="1" t="s">
        <v>229</v>
      </c>
      <c r="BT1360" s="1" t="s">
        <v>210</v>
      </c>
      <c r="BX1360" s="1">
        <v>1</v>
      </c>
    </row>
    <row r="1361" spans="1:76" x14ac:dyDescent="0.25">
      <c r="A1361" s="1" t="s">
        <v>5207</v>
      </c>
      <c r="B1361" s="1" t="s">
        <v>203</v>
      </c>
      <c r="C1361" s="1">
        <v>1</v>
      </c>
      <c r="D1361" s="1" t="s">
        <v>5208</v>
      </c>
      <c r="E1361" s="1">
        <v>10110</v>
      </c>
      <c r="F1361" s="1" t="s">
        <v>5207</v>
      </c>
      <c r="G1361" s="1">
        <v>1</v>
      </c>
      <c r="L1361" s="1">
        <v>30000</v>
      </c>
      <c r="N1361" s="1">
        <v>140</v>
      </c>
      <c r="P1361" s="1">
        <v>800</v>
      </c>
      <c r="R1361" s="1">
        <v>40</v>
      </c>
      <c r="Z1361" s="1">
        <v>0.05</v>
      </c>
      <c r="AA1361" s="1">
        <v>2.2000000000000002</v>
      </c>
      <c r="AB1361" s="1">
        <v>3</v>
      </c>
      <c r="AC1361" s="1">
        <v>1</v>
      </c>
      <c r="AH1361" s="1">
        <v>0</v>
      </c>
      <c r="AI1361" s="1">
        <v>1</v>
      </c>
      <c r="AJ1361" s="1" t="s">
        <v>5209</v>
      </c>
      <c r="AK1361" s="1" t="s">
        <v>206</v>
      </c>
      <c r="AL1361" s="1" t="s">
        <v>228</v>
      </c>
      <c r="AN1361" s="22" t="s">
        <v>9767</v>
      </c>
      <c r="AP1361" s="1">
        <v>1</v>
      </c>
      <c r="AX1361" s="1">
        <v>1</v>
      </c>
      <c r="AZ1361" s="1">
        <v>0.25</v>
      </c>
      <c r="BG1361" s="1" t="s">
        <v>5207</v>
      </c>
      <c r="BM1361" s="1" t="s">
        <v>4959</v>
      </c>
      <c r="BQ1361" s="1" t="s">
        <v>207</v>
      </c>
      <c r="BR1361" s="1" t="s">
        <v>208</v>
      </c>
      <c r="BS1361" s="1" t="s">
        <v>229</v>
      </c>
      <c r="BT1361" s="1" t="s">
        <v>210</v>
      </c>
      <c r="BX1361" s="1">
        <v>1</v>
      </c>
    </row>
    <row r="1362" spans="1:76" x14ac:dyDescent="0.25">
      <c r="A1362" s="1" t="s">
        <v>5210</v>
      </c>
      <c r="B1362" s="1" t="s">
        <v>203</v>
      </c>
      <c r="C1362" s="1">
        <v>1</v>
      </c>
      <c r="D1362" s="1" t="s">
        <v>5211</v>
      </c>
      <c r="E1362" s="1">
        <v>10110</v>
      </c>
      <c r="F1362" s="1" t="s">
        <v>5210</v>
      </c>
      <c r="G1362" s="1">
        <v>1</v>
      </c>
      <c r="L1362" s="1">
        <v>33000</v>
      </c>
      <c r="N1362" s="1">
        <v>150</v>
      </c>
      <c r="P1362" s="1">
        <v>800</v>
      </c>
      <c r="R1362" s="1">
        <v>40</v>
      </c>
      <c r="Z1362" s="1">
        <v>0.05</v>
      </c>
      <c r="AA1362" s="1">
        <v>2.2000000000000002</v>
      </c>
      <c r="AB1362" s="1">
        <v>3</v>
      </c>
      <c r="AC1362" s="1">
        <v>1</v>
      </c>
      <c r="AH1362" s="1">
        <v>0</v>
      </c>
      <c r="AI1362" s="1">
        <v>1</v>
      </c>
      <c r="AJ1362" s="1" t="s">
        <v>5212</v>
      </c>
      <c r="AK1362" s="1" t="s">
        <v>206</v>
      </c>
      <c r="AL1362" s="1" t="s">
        <v>228</v>
      </c>
      <c r="AN1362" s="22" t="s">
        <v>9767</v>
      </c>
      <c r="AP1362" s="1">
        <v>1</v>
      </c>
      <c r="AX1362" s="1">
        <v>1</v>
      </c>
      <c r="AZ1362" s="1">
        <v>0.25</v>
      </c>
      <c r="BG1362" s="1" t="s">
        <v>5210</v>
      </c>
      <c r="BM1362" s="1" t="s">
        <v>4959</v>
      </c>
      <c r="BQ1362" s="1" t="s">
        <v>207</v>
      </c>
      <c r="BR1362" s="1" t="s">
        <v>208</v>
      </c>
      <c r="BS1362" s="1" t="s">
        <v>229</v>
      </c>
      <c r="BT1362" s="1" t="s">
        <v>210</v>
      </c>
      <c r="BX1362" s="1">
        <v>1</v>
      </c>
    </row>
    <row r="1363" spans="1:76" x14ac:dyDescent="0.25">
      <c r="A1363" s="1" t="s">
        <v>5213</v>
      </c>
      <c r="B1363" s="1" t="s">
        <v>203</v>
      </c>
      <c r="C1363" s="1">
        <v>1</v>
      </c>
      <c r="D1363" s="1" t="s">
        <v>5214</v>
      </c>
      <c r="E1363" s="1">
        <v>1569</v>
      </c>
      <c r="F1363" s="1" t="s">
        <v>5213</v>
      </c>
      <c r="G1363" s="1">
        <v>1</v>
      </c>
      <c r="L1363" s="1">
        <v>60000</v>
      </c>
      <c r="N1363" s="1">
        <v>680</v>
      </c>
      <c r="P1363" s="1">
        <v>580</v>
      </c>
      <c r="R1363" s="1">
        <v>35</v>
      </c>
      <c r="Z1363" s="1">
        <v>0.05</v>
      </c>
      <c r="AA1363" s="1">
        <v>2.8</v>
      </c>
      <c r="AB1363" s="1">
        <v>5</v>
      </c>
      <c r="AC1363" s="1">
        <v>0.7</v>
      </c>
      <c r="AH1363" s="1">
        <v>0</v>
      </c>
      <c r="AI1363" s="1">
        <v>1</v>
      </c>
      <c r="AJ1363" s="1" t="s">
        <v>5215</v>
      </c>
      <c r="AK1363" s="1" t="s">
        <v>206</v>
      </c>
      <c r="AL1363" s="1" t="s">
        <v>228</v>
      </c>
      <c r="AN1363" s="22" t="s">
        <v>9767</v>
      </c>
      <c r="AX1363" s="1">
        <v>1</v>
      </c>
      <c r="AZ1363" s="1">
        <v>0.25</v>
      </c>
      <c r="BG1363" s="1" t="s">
        <v>5213</v>
      </c>
      <c r="BM1363" s="1" t="s">
        <v>4959</v>
      </c>
      <c r="BQ1363" s="1" t="s">
        <v>3416</v>
      </c>
      <c r="BR1363" s="1" t="s">
        <v>2593</v>
      </c>
      <c r="BS1363" s="1" t="s">
        <v>2594</v>
      </c>
      <c r="BT1363" s="1" t="s">
        <v>210</v>
      </c>
      <c r="BX1363" s="1">
        <v>1</v>
      </c>
    </row>
    <row r="1364" spans="1:76" x14ac:dyDescent="0.25">
      <c r="A1364" s="1" t="s">
        <v>5216</v>
      </c>
      <c r="B1364" s="1" t="s">
        <v>203</v>
      </c>
      <c r="C1364" s="1">
        <v>1</v>
      </c>
      <c r="D1364" s="1" t="s">
        <v>5217</v>
      </c>
      <c r="E1364" s="1">
        <v>10111</v>
      </c>
      <c r="F1364" s="1" t="s">
        <v>5216</v>
      </c>
      <c r="G1364" s="1">
        <v>1</v>
      </c>
      <c r="L1364" s="1">
        <v>1000</v>
      </c>
      <c r="N1364" s="1">
        <v>100</v>
      </c>
      <c r="P1364" s="1">
        <v>500</v>
      </c>
      <c r="R1364" s="1">
        <v>0</v>
      </c>
      <c r="Z1364" s="1">
        <v>0.05</v>
      </c>
      <c r="AB1364" s="1">
        <v>5</v>
      </c>
      <c r="AC1364" s="1">
        <v>3.5</v>
      </c>
      <c r="AH1364" s="1">
        <v>0</v>
      </c>
      <c r="AI1364" s="1">
        <v>1</v>
      </c>
      <c r="AJ1364" s="1" t="s">
        <v>5218</v>
      </c>
      <c r="AK1364" s="1" t="s">
        <v>206</v>
      </c>
      <c r="AL1364" s="1" t="s">
        <v>228</v>
      </c>
      <c r="AN1364" s="22" t="s">
        <v>9767</v>
      </c>
      <c r="AX1364" s="1">
        <v>1</v>
      </c>
      <c r="AZ1364" s="1">
        <v>0.25</v>
      </c>
      <c r="BG1364" s="1" t="s">
        <v>5216</v>
      </c>
      <c r="BM1364" s="1" t="s">
        <v>4959</v>
      </c>
      <c r="BQ1364" s="1" t="s">
        <v>207</v>
      </c>
      <c r="BR1364" s="1" t="s">
        <v>208</v>
      </c>
      <c r="BS1364" s="1" t="s">
        <v>229</v>
      </c>
      <c r="BT1364" s="1" t="s">
        <v>210</v>
      </c>
      <c r="BX1364" s="1">
        <v>1</v>
      </c>
    </row>
    <row r="1365" spans="1:76" x14ac:dyDescent="0.25">
      <c r="A1365" s="1" t="s">
        <v>5219</v>
      </c>
      <c r="B1365" s="1" t="s">
        <v>203</v>
      </c>
      <c r="C1365" s="1">
        <v>1</v>
      </c>
      <c r="D1365" s="1" t="s">
        <v>5220</v>
      </c>
      <c r="E1365" s="1">
        <v>10112</v>
      </c>
      <c r="F1365" s="1" t="s">
        <v>5219</v>
      </c>
      <c r="G1365" s="1">
        <v>1</v>
      </c>
      <c r="L1365" s="1">
        <v>5000</v>
      </c>
      <c r="N1365" s="1">
        <v>500</v>
      </c>
      <c r="P1365" s="1">
        <v>80</v>
      </c>
      <c r="R1365" s="1">
        <v>0</v>
      </c>
      <c r="Z1365" s="1">
        <v>0.05</v>
      </c>
      <c r="AA1365" s="1">
        <v>5</v>
      </c>
      <c r="AB1365" s="1">
        <v>3</v>
      </c>
      <c r="AC1365" s="1">
        <v>0.7</v>
      </c>
      <c r="AH1365" s="1">
        <v>0</v>
      </c>
      <c r="AI1365" s="1">
        <v>1</v>
      </c>
      <c r="AJ1365" s="1" t="s">
        <v>5221</v>
      </c>
      <c r="AK1365" s="1" t="s">
        <v>206</v>
      </c>
      <c r="AL1365" s="1" t="s">
        <v>228</v>
      </c>
      <c r="AN1365" s="22" t="s">
        <v>9767</v>
      </c>
      <c r="AX1365" s="1">
        <v>1</v>
      </c>
      <c r="AZ1365" s="1">
        <v>0.25</v>
      </c>
      <c r="BG1365" s="1" t="s">
        <v>5219</v>
      </c>
      <c r="BM1365" s="1" t="s">
        <v>4959</v>
      </c>
      <c r="BQ1365" s="1" t="s">
        <v>207</v>
      </c>
      <c r="BR1365" s="1" t="s">
        <v>208</v>
      </c>
      <c r="BS1365" s="1" t="s">
        <v>229</v>
      </c>
      <c r="BT1365" s="1" t="s">
        <v>210</v>
      </c>
      <c r="BX1365" s="1">
        <v>1</v>
      </c>
    </row>
    <row r="1366" spans="1:76" x14ac:dyDescent="0.25">
      <c r="A1366" s="1" t="s">
        <v>5222</v>
      </c>
      <c r="B1366" s="1" t="s">
        <v>203</v>
      </c>
      <c r="C1366" s="1">
        <v>1</v>
      </c>
      <c r="D1366" s="1" t="s">
        <v>5223</v>
      </c>
      <c r="E1366" s="1">
        <v>10112</v>
      </c>
      <c r="F1366" s="1" t="s">
        <v>5222</v>
      </c>
      <c r="G1366" s="1">
        <v>1</v>
      </c>
      <c r="L1366" s="1">
        <v>6000</v>
      </c>
      <c r="N1366" s="1">
        <v>550</v>
      </c>
      <c r="P1366" s="1">
        <v>150</v>
      </c>
      <c r="R1366" s="1">
        <v>0</v>
      </c>
      <c r="Z1366" s="1">
        <v>0.05</v>
      </c>
      <c r="AA1366" s="1">
        <v>5</v>
      </c>
      <c r="AB1366" s="1">
        <v>3</v>
      </c>
      <c r="AC1366" s="1">
        <v>0.7</v>
      </c>
      <c r="AH1366" s="1">
        <v>0</v>
      </c>
      <c r="AI1366" s="1">
        <v>1</v>
      </c>
      <c r="AJ1366" s="1" t="s">
        <v>5224</v>
      </c>
      <c r="AK1366" s="1" t="s">
        <v>206</v>
      </c>
      <c r="AL1366" s="1" t="s">
        <v>228</v>
      </c>
      <c r="AN1366" s="22" t="s">
        <v>9767</v>
      </c>
      <c r="AX1366" s="1">
        <v>1</v>
      </c>
      <c r="AZ1366" s="1">
        <v>0.25</v>
      </c>
      <c r="BG1366" s="1" t="s">
        <v>5222</v>
      </c>
      <c r="BM1366" s="1" t="s">
        <v>4959</v>
      </c>
      <c r="BQ1366" s="1" t="s">
        <v>207</v>
      </c>
      <c r="BR1366" s="1" t="s">
        <v>208</v>
      </c>
      <c r="BS1366" s="1" t="s">
        <v>229</v>
      </c>
      <c r="BT1366" s="1" t="s">
        <v>210</v>
      </c>
      <c r="BX1366" s="1">
        <v>1</v>
      </c>
    </row>
    <row r="1367" spans="1:76" x14ac:dyDescent="0.25">
      <c r="A1367" s="1" t="s">
        <v>5225</v>
      </c>
      <c r="B1367" s="1" t="s">
        <v>203</v>
      </c>
      <c r="C1367" s="1">
        <v>1</v>
      </c>
      <c r="D1367" s="1" t="s">
        <v>5226</v>
      </c>
      <c r="E1367" s="1">
        <v>10113</v>
      </c>
      <c r="F1367" s="1" t="s">
        <v>5225</v>
      </c>
      <c r="G1367" s="1">
        <v>1</v>
      </c>
      <c r="L1367" s="1">
        <v>5000</v>
      </c>
      <c r="N1367" s="1">
        <v>300</v>
      </c>
      <c r="P1367" s="1">
        <v>50</v>
      </c>
      <c r="R1367" s="1">
        <v>10</v>
      </c>
      <c r="Z1367" s="1">
        <v>0.05</v>
      </c>
      <c r="AA1367" s="1">
        <v>3.5</v>
      </c>
      <c r="AB1367" s="1">
        <v>3</v>
      </c>
      <c r="AC1367" s="1">
        <v>1</v>
      </c>
      <c r="AH1367" s="1">
        <v>0</v>
      </c>
      <c r="AI1367" s="1">
        <v>1</v>
      </c>
      <c r="AJ1367" s="1" t="s">
        <v>5227</v>
      </c>
      <c r="AK1367" s="1" t="s">
        <v>206</v>
      </c>
      <c r="AL1367" s="1" t="s">
        <v>228</v>
      </c>
      <c r="AN1367" s="22" t="s">
        <v>9767</v>
      </c>
      <c r="AX1367" s="1">
        <v>1</v>
      </c>
      <c r="AZ1367" s="1">
        <v>0.25</v>
      </c>
      <c r="BG1367" s="1" t="s">
        <v>5225</v>
      </c>
      <c r="BM1367" s="1" t="s">
        <v>4959</v>
      </c>
      <c r="BQ1367" s="1" t="s">
        <v>207</v>
      </c>
      <c r="BR1367" s="1" t="s">
        <v>208</v>
      </c>
      <c r="BS1367" s="1" t="s">
        <v>229</v>
      </c>
      <c r="BT1367" s="1" t="s">
        <v>210</v>
      </c>
      <c r="BX1367" s="1">
        <v>1</v>
      </c>
    </row>
    <row r="1368" spans="1:76" x14ac:dyDescent="0.25">
      <c r="A1368" s="1" t="s">
        <v>5228</v>
      </c>
      <c r="B1368" s="1" t="s">
        <v>203</v>
      </c>
      <c r="C1368" s="1">
        <v>1</v>
      </c>
      <c r="D1368" s="1" t="s">
        <v>5229</v>
      </c>
      <c r="E1368" s="1">
        <v>10113</v>
      </c>
      <c r="F1368" s="1" t="s">
        <v>5228</v>
      </c>
      <c r="G1368" s="1">
        <v>1</v>
      </c>
      <c r="L1368" s="1">
        <v>7000</v>
      </c>
      <c r="N1368" s="1">
        <v>350</v>
      </c>
      <c r="P1368" s="1">
        <v>100</v>
      </c>
      <c r="R1368" s="1">
        <v>10</v>
      </c>
      <c r="Z1368" s="1">
        <v>0.05</v>
      </c>
      <c r="AA1368" s="1">
        <v>3.5</v>
      </c>
      <c r="AB1368" s="1">
        <v>3</v>
      </c>
      <c r="AC1368" s="1">
        <v>1</v>
      </c>
      <c r="AH1368" s="1">
        <v>0</v>
      </c>
      <c r="AI1368" s="1">
        <v>1</v>
      </c>
      <c r="AJ1368" s="1" t="s">
        <v>5230</v>
      </c>
      <c r="AK1368" s="1" t="s">
        <v>206</v>
      </c>
      <c r="AL1368" s="1" t="s">
        <v>228</v>
      </c>
      <c r="AN1368" s="22" t="s">
        <v>9767</v>
      </c>
      <c r="AX1368" s="1">
        <v>1</v>
      </c>
      <c r="AZ1368" s="1">
        <v>0.25</v>
      </c>
      <c r="BG1368" s="1" t="s">
        <v>5228</v>
      </c>
      <c r="BM1368" s="1" t="s">
        <v>4959</v>
      </c>
      <c r="BQ1368" s="1" t="s">
        <v>207</v>
      </c>
      <c r="BR1368" s="1" t="s">
        <v>208</v>
      </c>
      <c r="BS1368" s="1" t="s">
        <v>229</v>
      </c>
      <c r="BT1368" s="1" t="s">
        <v>210</v>
      </c>
      <c r="BX1368" s="1">
        <v>1</v>
      </c>
    </row>
    <row r="1369" spans="1:76" x14ac:dyDescent="0.25">
      <c r="A1369" s="1" t="s">
        <v>5231</v>
      </c>
      <c r="B1369" s="1" t="s">
        <v>203</v>
      </c>
      <c r="C1369" s="1">
        <v>1</v>
      </c>
      <c r="D1369" s="1" t="s">
        <v>5232</v>
      </c>
      <c r="E1369" s="1">
        <v>10114</v>
      </c>
      <c r="F1369" s="1" t="s">
        <v>5231</v>
      </c>
      <c r="G1369" s="1">
        <v>1</v>
      </c>
      <c r="L1369" s="1">
        <v>10000</v>
      </c>
      <c r="N1369" s="1">
        <v>800</v>
      </c>
      <c r="P1369" s="1">
        <v>1200</v>
      </c>
      <c r="R1369" s="1">
        <v>0</v>
      </c>
      <c r="Z1369" s="1">
        <v>0.05</v>
      </c>
      <c r="AA1369" s="1">
        <v>5</v>
      </c>
      <c r="AB1369" s="1">
        <v>4</v>
      </c>
      <c r="AC1369" s="1">
        <v>0.6</v>
      </c>
      <c r="AH1369" s="1">
        <v>0</v>
      </c>
      <c r="AI1369" s="1">
        <v>1</v>
      </c>
      <c r="AJ1369" s="1" t="s">
        <v>5233</v>
      </c>
      <c r="AK1369" s="1" t="s">
        <v>206</v>
      </c>
      <c r="AL1369" s="1" t="s">
        <v>228</v>
      </c>
      <c r="AN1369" s="22" t="s">
        <v>9767</v>
      </c>
      <c r="AX1369" s="1">
        <v>1</v>
      </c>
      <c r="AZ1369" s="1">
        <v>0.25</v>
      </c>
      <c r="BG1369" s="1" t="s">
        <v>5231</v>
      </c>
      <c r="BM1369" s="1" t="s">
        <v>4959</v>
      </c>
      <c r="BQ1369" s="1" t="s">
        <v>207</v>
      </c>
      <c r="BR1369" s="1" t="s">
        <v>208</v>
      </c>
      <c r="BS1369" s="1" t="s">
        <v>229</v>
      </c>
      <c r="BT1369" s="1" t="s">
        <v>210</v>
      </c>
      <c r="BX1369" s="1">
        <v>1</v>
      </c>
    </row>
    <row r="1370" spans="1:76" x14ac:dyDescent="0.25">
      <c r="A1370" s="1" t="s">
        <v>5234</v>
      </c>
      <c r="B1370" s="1" t="s">
        <v>203</v>
      </c>
      <c r="C1370" s="1">
        <v>1</v>
      </c>
      <c r="D1370" s="1" t="s">
        <v>5235</v>
      </c>
      <c r="E1370" s="1">
        <v>10114</v>
      </c>
      <c r="F1370" s="1" t="s">
        <v>5234</v>
      </c>
      <c r="G1370" s="1">
        <v>1</v>
      </c>
      <c r="L1370" s="1">
        <v>20000</v>
      </c>
      <c r="N1370" s="1">
        <v>1200</v>
      </c>
      <c r="P1370" s="1">
        <v>1500</v>
      </c>
      <c r="R1370" s="1">
        <v>0</v>
      </c>
      <c r="Z1370" s="1">
        <v>0.05</v>
      </c>
      <c r="AA1370" s="1">
        <v>5</v>
      </c>
      <c r="AB1370" s="1">
        <v>4</v>
      </c>
      <c r="AC1370" s="1">
        <v>0.6</v>
      </c>
      <c r="AH1370" s="1">
        <v>0</v>
      </c>
      <c r="AI1370" s="1">
        <v>1</v>
      </c>
      <c r="AJ1370" s="1" t="s">
        <v>5236</v>
      </c>
      <c r="AK1370" s="1" t="s">
        <v>206</v>
      </c>
      <c r="AL1370" s="1" t="s">
        <v>228</v>
      </c>
      <c r="AN1370" s="22" t="s">
        <v>9767</v>
      </c>
      <c r="AX1370" s="1">
        <v>1</v>
      </c>
      <c r="AZ1370" s="1">
        <v>0.25</v>
      </c>
      <c r="BG1370" s="1" t="s">
        <v>5234</v>
      </c>
      <c r="BM1370" s="1" t="s">
        <v>4959</v>
      </c>
      <c r="BQ1370" s="1" t="s">
        <v>207</v>
      </c>
      <c r="BR1370" s="1" t="s">
        <v>208</v>
      </c>
      <c r="BS1370" s="1" t="s">
        <v>229</v>
      </c>
      <c r="BT1370" s="1" t="s">
        <v>210</v>
      </c>
      <c r="BX1370" s="1">
        <v>1</v>
      </c>
    </row>
    <row r="1371" spans="1:76" x14ac:dyDescent="0.25">
      <c r="A1371" s="1" t="s">
        <v>5237</v>
      </c>
      <c r="B1371" s="1" t="s">
        <v>203</v>
      </c>
      <c r="C1371" s="1">
        <v>1</v>
      </c>
      <c r="D1371" s="1" t="s">
        <v>5238</v>
      </c>
      <c r="E1371" s="1">
        <v>10115</v>
      </c>
      <c r="F1371" s="1" t="s">
        <v>5237</v>
      </c>
      <c r="G1371" s="1">
        <v>1</v>
      </c>
      <c r="L1371" s="1">
        <v>8000</v>
      </c>
      <c r="N1371" s="1">
        <v>350</v>
      </c>
      <c r="P1371" s="1">
        <v>200</v>
      </c>
      <c r="R1371" s="1">
        <v>70</v>
      </c>
      <c r="Z1371" s="1">
        <v>0.05</v>
      </c>
      <c r="AA1371" s="1">
        <v>3.5</v>
      </c>
      <c r="AB1371" s="1">
        <v>3</v>
      </c>
      <c r="AC1371" s="1">
        <v>0.7</v>
      </c>
      <c r="AH1371" s="1">
        <v>0</v>
      </c>
      <c r="AI1371" s="1">
        <v>1</v>
      </c>
      <c r="AJ1371" s="1" t="s">
        <v>5239</v>
      </c>
      <c r="AK1371" s="1" t="s">
        <v>206</v>
      </c>
      <c r="AL1371" s="1" t="s">
        <v>228</v>
      </c>
      <c r="AN1371" s="22" t="s">
        <v>9767</v>
      </c>
      <c r="AX1371" s="1">
        <v>1</v>
      </c>
      <c r="AZ1371" s="1">
        <v>0.25</v>
      </c>
      <c r="BG1371" s="1" t="s">
        <v>5237</v>
      </c>
      <c r="BM1371" s="1" t="s">
        <v>4959</v>
      </c>
      <c r="BQ1371" s="1" t="s">
        <v>207</v>
      </c>
      <c r="BR1371" s="1" t="s">
        <v>208</v>
      </c>
      <c r="BS1371" s="1" t="s">
        <v>229</v>
      </c>
      <c r="BT1371" s="1" t="s">
        <v>210</v>
      </c>
      <c r="BX1371" s="1">
        <v>1</v>
      </c>
    </row>
    <row r="1372" spans="1:76" x14ac:dyDescent="0.25">
      <c r="A1372" s="1" t="s">
        <v>5240</v>
      </c>
      <c r="B1372" s="1" t="s">
        <v>203</v>
      </c>
      <c r="C1372" s="1">
        <v>1</v>
      </c>
      <c r="D1372" s="1" t="s">
        <v>5241</v>
      </c>
      <c r="E1372" s="1">
        <v>10115</v>
      </c>
      <c r="F1372" s="1" t="s">
        <v>5240</v>
      </c>
      <c r="G1372" s="1">
        <v>1</v>
      </c>
      <c r="L1372" s="1">
        <v>10000</v>
      </c>
      <c r="N1372" s="1">
        <v>500</v>
      </c>
      <c r="P1372" s="1">
        <v>250</v>
      </c>
      <c r="R1372" s="1">
        <v>70</v>
      </c>
      <c r="Z1372" s="1">
        <v>0.05</v>
      </c>
      <c r="AA1372" s="1">
        <v>3.5</v>
      </c>
      <c r="AB1372" s="1">
        <v>3</v>
      </c>
      <c r="AC1372" s="1">
        <v>0.7</v>
      </c>
      <c r="AH1372" s="1">
        <v>0</v>
      </c>
      <c r="AI1372" s="1">
        <v>1</v>
      </c>
      <c r="AJ1372" s="1" t="s">
        <v>5242</v>
      </c>
      <c r="AK1372" s="1" t="s">
        <v>206</v>
      </c>
      <c r="AL1372" s="1" t="s">
        <v>228</v>
      </c>
      <c r="AN1372" s="22" t="s">
        <v>9767</v>
      </c>
      <c r="AX1372" s="1">
        <v>1</v>
      </c>
      <c r="AZ1372" s="1">
        <v>0.25</v>
      </c>
      <c r="BG1372" s="1" t="s">
        <v>5240</v>
      </c>
      <c r="BM1372" s="1" t="s">
        <v>4959</v>
      </c>
      <c r="BQ1372" s="1" t="s">
        <v>207</v>
      </c>
      <c r="BR1372" s="1" t="s">
        <v>208</v>
      </c>
      <c r="BS1372" s="1" t="s">
        <v>229</v>
      </c>
      <c r="BT1372" s="1" t="s">
        <v>210</v>
      </c>
      <c r="BX1372" s="1">
        <v>1</v>
      </c>
    </row>
    <row r="1373" spans="1:76" x14ac:dyDescent="0.25">
      <c r="A1373" s="1" t="s">
        <v>5243</v>
      </c>
      <c r="B1373" s="1" t="s">
        <v>203</v>
      </c>
      <c r="C1373" s="1">
        <v>1</v>
      </c>
      <c r="D1373" s="1" t="s">
        <v>5244</v>
      </c>
      <c r="E1373" s="1">
        <v>10116</v>
      </c>
      <c r="F1373" s="1" t="s">
        <v>5243</v>
      </c>
      <c r="G1373" s="1">
        <v>1</v>
      </c>
      <c r="L1373" s="1">
        <v>10000</v>
      </c>
      <c r="N1373" s="1">
        <v>600</v>
      </c>
      <c r="P1373" s="1">
        <v>500</v>
      </c>
      <c r="R1373" s="1">
        <v>20</v>
      </c>
      <c r="Z1373" s="1">
        <v>0.05</v>
      </c>
      <c r="AA1373" s="1">
        <v>1.5</v>
      </c>
      <c r="AB1373" s="1">
        <v>2</v>
      </c>
      <c r="AC1373" s="1">
        <v>0.7</v>
      </c>
      <c r="AH1373" s="1">
        <v>0</v>
      </c>
      <c r="AI1373" s="1">
        <v>1</v>
      </c>
      <c r="AJ1373" s="1" t="s">
        <v>5245</v>
      </c>
      <c r="AK1373" s="1" t="s">
        <v>206</v>
      </c>
      <c r="AL1373" s="1" t="s">
        <v>228</v>
      </c>
      <c r="AN1373" s="22" t="s">
        <v>9767</v>
      </c>
      <c r="AX1373" s="1">
        <v>1</v>
      </c>
      <c r="AZ1373" s="1">
        <v>0.25</v>
      </c>
      <c r="BG1373" s="1" t="s">
        <v>5243</v>
      </c>
      <c r="BM1373" s="1" t="s">
        <v>4959</v>
      </c>
      <c r="BQ1373" s="1" t="s">
        <v>207</v>
      </c>
      <c r="BR1373" s="1" t="s">
        <v>208</v>
      </c>
      <c r="BS1373" s="1" t="s">
        <v>229</v>
      </c>
      <c r="BT1373" s="1" t="s">
        <v>210</v>
      </c>
      <c r="BX1373" s="1">
        <v>1</v>
      </c>
    </row>
    <row r="1374" spans="1:76" x14ac:dyDescent="0.25">
      <c r="A1374" s="1" t="s">
        <v>5246</v>
      </c>
      <c r="B1374" s="1" t="s">
        <v>203</v>
      </c>
      <c r="C1374" s="1">
        <v>1</v>
      </c>
      <c r="D1374" s="1" t="s">
        <v>5247</v>
      </c>
      <c r="E1374" s="1">
        <v>10116</v>
      </c>
      <c r="F1374" s="1" t="s">
        <v>5246</v>
      </c>
      <c r="G1374" s="1">
        <v>1</v>
      </c>
      <c r="L1374" s="1">
        <v>12000</v>
      </c>
      <c r="N1374" s="1">
        <v>750</v>
      </c>
      <c r="P1374" s="1">
        <v>550</v>
      </c>
      <c r="R1374" s="1">
        <v>20</v>
      </c>
      <c r="Z1374" s="1">
        <v>0.05</v>
      </c>
      <c r="AA1374" s="1">
        <v>1.5</v>
      </c>
      <c r="AB1374" s="1">
        <v>2</v>
      </c>
      <c r="AC1374" s="1">
        <v>0.7</v>
      </c>
      <c r="AH1374" s="1">
        <v>0</v>
      </c>
      <c r="AI1374" s="1">
        <v>1</v>
      </c>
      <c r="AJ1374" s="1" t="s">
        <v>5248</v>
      </c>
      <c r="AK1374" s="1" t="s">
        <v>206</v>
      </c>
      <c r="AL1374" s="1" t="s">
        <v>228</v>
      </c>
      <c r="AN1374" s="22" t="s">
        <v>9767</v>
      </c>
      <c r="AX1374" s="1">
        <v>1</v>
      </c>
      <c r="AZ1374" s="1">
        <v>0.25</v>
      </c>
      <c r="BG1374" s="1" t="s">
        <v>5246</v>
      </c>
      <c r="BM1374" s="1" t="s">
        <v>4959</v>
      </c>
      <c r="BQ1374" s="1" t="s">
        <v>207</v>
      </c>
      <c r="BR1374" s="1" t="s">
        <v>208</v>
      </c>
      <c r="BS1374" s="1" t="s">
        <v>229</v>
      </c>
      <c r="BT1374" s="1" t="s">
        <v>210</v>
      </c>
      <c r="BX1374" s="1">
        <v>1</v>
      </c>
    </row>
    <row r="1375" spans="1:76" x14ac:dyDescent="0.25">
      <c r="A1375" s="1" t="s">
        <v>5249</v>
      </c>
      <c r="B1375" s="1" t="s">
        <v>203</v>
      </c>
      <c r="C1375" s="1">
        <v>1</v>
      </c>
      <c r="D1375" s="1" t="s">
        <v>5250</v>
      </c>
      <c r="E1375" s="1">
        <v>10117</v>
      </c>
      <c r="F1375" s="1" t="s">
        <v>5249</v>
      </c>
      <c r="G1375" s="1">
        <v>1</v>
      </c>
      <c r="L1375" s="1">
        <v>8000</v>
      </c>
      <c r="N1375" s="1">
        <v>500</v>
      </c>
      <c r="P1375" s="1">
        <v>250</v>
      </c>
      <c r="R1375" s="1">
        <v>20</v>
      </c>
      <c r="Z1375" s="1">
        <v>0.05</v>
      </c>
      <c r="AA1375" s="1">
        <v>2</v>
      </c>
      <c r="AB1375" s="1">
        <v>3</v>
      </c>
      <c r="AC1375" s="1">
        <v>0.2</v>
      </c>
      <c r="AH1375" s="1">
        <v>0</v>
      </c>
      <c r="AI1375" s="1">
        <v>1</v>
      </c>
      <c r="AJ1375" s="1" t="s">
        <v>5251</v>
      </c>
      <c r="AK1375" s="1" t="s">
        <v>206</v>
      </c>
      <c r="AL1375" s="1" t="s">
        <v>228</v>
      </c>
      <c r="AN1375" s="22" t="s">
        <v>9767</v>
      </c>
      <c r="AX1375" s="1">
        <v>1</v>
      </c>
      <c r="AZ1375" s="1">
        <v>0.25</v>
      </c>
      <c r="BG1375" s="1" t="s">
        <v>5249</v>
      </c>
      <c r="BM1375" s="1" t="s">
        <v>4959</v>
      </c>
      <c r="BQ1375" s="1" t="s">
        <v>207</v>
      </c>
      <c r="BR1375" s="1" t="s">
        <v>208</v>
      </c>
      <c r="BS1375" s="1" t="s">
        <v>229</v>
      </c>
      <c r="BT1375" s="1" t="s">
        <v>210</v>
      </c>
      <c r="BX1375" s="1">
        <v>1</v>
      </c>
    </row>
    <row r="1376" spans="1:76" x14ac:dyDescent="0.25">
      <c r="A1376" s="1" t="s">
        <v>5252</v>
      </c>
      <c r="B1376" s="1" t="s">
        <v>203</v>
      </c>
      <c r="C1376" s="1">
        <v>1</v>
      </c>
      <c r="D1376" s="1" t="s">
        <v>5253</v>
      </c>
      <c r="E1376" s="1">
        <v>10117</v>
      </c>
      <c r="F1376" s="1" t="s">
        <v>5252</v>
      </c>
      <c r="G1376" s="1">
        <v>1</v>
      </c>
      <c r="L1376" s="1">
        <v>12000</v>
      </c>
      <c r="N1376" s="1">
        <v>550</v>
      </c>
      <c r="P1376" s="1">
        <v>300</v>
      </c>
      <c r="R1376" s="1">
        <v>25</v>
      </c>
      <c r="Z1376" s="1">
        <v>0.05</v>
      </c>
      <c r="AA1376" s="1">
        <v>2</v>
      </c>
      <c r="AB1376" s="1">
        <v>3</v>
      </c>
      <c r="AC1376" s="1">
        <v>0.2</v>
      </c>
      <c r="AH1376" s="1">
        <v>0</v>
      </c>
      <c r="AI1376" s="1">
        <v>1</v>
      </c>
      <c r="AJ1376" s="1" t="s">
        <v>5254</v>
      </c>
      <c r="AK1376" s="1" t="s">
        <v>206</v>
      </c>
      <c r="AL1376" s="1" t="s">
        <v>228</v>
      </c>
      <c r="AN1376" s="22" t="s">
        <v>9767</v>
      </c>
      <c r="AX1376" s="1">
        <v>1</v>
      </c>
      <c r="AZ1376" s="1">
        <v>0.25</v>
      </c>
      <c r="BG1376" s="1" t="s">
        <v>5252</v>
      </c>
      <c r="BM1376" s="1" t="s">
        <v>4959</v>
      </c>
      <c r="BQ1376" s="1" t="s">
        <v>207</v>
      </c>
      <c r="BR1376" s="1" t="s">
        <v>208</v>
      </c>
      <c r="BS1376" s="1" t="s">
        <v>229</v>
      </c>
      <c r="BT1376" s="1" t="s">
        <v>210</v>
      </c>
      <c r="BX1376" s="1">
        <v>1</v>
      </c>
    </row>
    <row r="1377" spans="1:76" x14ac:dyDescent="0.25">
      <c r="A1377" s="1" t="s">
        <v>5255</v>
      </c>
      <c r="B1377" s="1" t="s">
        <v>203</v>
      </c>
      <c r="C1377" s="1">
        <v>1</v>
      </c>
      <c r="D1377" s="1" t="s">
        <v>5256</v>
      </c>
      <c r="E1377" s="1">
        <v>10118</v>
      </c>
      <c r="F1377" s="1" t="s">
        <v>5255</v>
      </c>
      <c r="G1377" s="1">
        <v>1</v>
      </c>
      <c r="L1377" s="1">
        <v>50000</v>
      </c>
      <c r="N1377" s="1">
        <v>777</v>
      </c>
      <c r="P1377" s="1">
        <v>900</v>
      </c>
      <c r="R1377" s="1">
        <v>50</v>
      </c>
      <c r="Z1377" s="1">
        <v>0.05</v>
      </c>
      <c r="AA1377" s="1">
        <v>3</v>
      </c>
      <c r="AB1377" s="1">
        <v>5</v>
      </c>
      <c r="AC1377" s="1">
        <v>0.6</v>
      </c>
      <c r="AH1377" s="1">
        <v>0</v>
      </c>
      <c r="AI1377" s="1">
        <v>1</v>
      </c>
      <c r="AJ1377" s="1" t="s">
        <v>5257</v>
      </c>
      <c r="AK1377" s="1" t="s">
        <v>206</v>
      </c>
      <c r="AL1377" s="1" t="s">
        <v>228</v>
      </c>
      <c r="AN1377" s="22" t="s">
        <v>9767</v>
      </c>
      <c r="AX1377" s="1">
        <v>1</v>
      </c>
      <c r="AZ1377" s="1">
        <v>0.25</v>
      </c>
      <c r="BG1377" s="1" t="s">
        <v>5255</v>
      </c>
      <c r="BM1377" s="1" t="s">
        <v>4959</v>
      </c>
      <c r="BQ1377" s="1" t="s">
        <v>207</v>
      </c>
      <c r="BR1377" s="1" t="s">
        <v>208</v>
      </c>
      <c r="BS1377" s="1" t="s">
        <v>229</v>
      </c>
      <c r="BT1377" s="1" t="s">
        <v>210</v>
      </c>
      <c r="BX1377" s="1">
        <v>1</v>
      </c>
    </row>
    <row r="1378" spans="1:76" x14ac:dyDescent="0.25">
      <c r="A1378" s="1" t="s">
        <v>5258</v>
      </c>
      <c r="B1378" s="1" t="s">
        <v>203</v>
      </c>
      <c r="C1378" s="1">
        <v>1</v>
      </c>
      <c r="D1378" s="1" t="s">
        <v>5259</v>
      </c>
      <c r="E1378" s="1">
        <v>10119</v>
      </c>
      <c r="F1378" s="1" t="s">
        <v>5258</v>
      </c>
      <c r="G1378" s="1">
        <v>1</v>
      </c>
      <c r="L1378" s="1">
        <v>35000</v>
      </c>
      <c r="N1378" s="1">
        <v>3000</v>
      </c>
      <c r="P1378" s="1">
        <v>1500</v>
      </c>
      <c r="R1378" s="1">
        <v>0</v>
      </c>
      <c r="Z1378" s="1">
        <v>0.05</v>
      </c>
      <c r="AA1378" s="1">
        <v>7</v>
      </c>
      <c r="AB1378" s="1">
        <v>5</v>
      </c>
      <c r="AC1378" s="1">
        <v>0.5</v>
      </c>
      <c r="AH1378" s="1">
        <v>0</v>
      </c>
      <c r="AI1378" s="1">
        <v>1</v>
      </c>
      <c r="AJ1378" s="1" t="s">
        <v>5260</v>
      </c>
      <c r="AK1378" s="1" t="s">
        <v>206</v>
      </c>
      <c r="AL1378" s="1" t="s">
        <v>228</v>
      </c>
      <c r="AN1378" s="22" t="s">
        <v>9767</v>
      </c>
      <c r="AX1378" s="1">
        <v>1</v>
      </c>
      <c r="AZ1378" s="1">
        <v>0.25</v>
      </c>
      <c r="BG1378" s="1" t="s">
        <v>5258</v>
      </c>
      <c r="BM1378" s="1" t="s">
        <v>4959</v>
      </c>
      <c r="BQ1378" s="1" t="s">
        <v>207</v>
      </c>
      <c r="BR1378" s="1" t="s">
        <v>208</v>
      </c>
      <c r="BS1378" s="1" t="s">
        <v>229</v>
      </c>
      <c r="BT1378" s="1" t="s">
        <v>210</v>
      </c>
      <c r="BX1378" s="1">
        <v>1</v>
      </c>
    </row>
    <row r="1379" spans="1:76" x14ac:dyDescent="0.25">
      <c r="A1379" s="1" t="s">
        <v>5261</v>
      </c>
      <c r="B1379" s="1" t="s">
        <v>203</v>
      </c>
      <c r="C1379" s="1">
        <v>1</v>
      </c>
      <c r="D1379" s="1" t="s">
        <v>5262</v>
      </c>
      <c r="E1379" s="1">
        <v>10119</v>
      </c>
      <c r="F1379" s="1" t="s">
        <v>5261</v>
      </c>
      <c r="G1379" s="1">
        <v>1</v>
      </c>
      <c r="L1379" s="1">
        <v>50000</v>
      </c>
      <c r="N1379" s="1">
        <v>3800</v>
      </c>
      <c r="P1379" s="1">
        <v>1500</v>
      </c>
      <c r="R1379" s="1">
        <v>0</v>
      </c>
      <c r="Z1379" s="1">
        <v>0.05</v>
      </c>
      <c r="AA1379" s="1">
        <v>7</v>
      </c>
      <c r="AB1379" s="1">
        <v>5</v>
      </c>
      <c r="AC1379" s="1">
        <v>0.5</v>
      </c>
      <c r="AH1379" s="1">
        <v>0</v>
      </c>
      <c r="AI1379" s="1">
        <v>1</v>
      </c>
      <c r="AJ1379" s="1" t="s">
        <v>5263</v>
      </c>
      <c r="AK1379" s="1" t="s">
        <v>206</v>
      </c>
      <c r="AL1379" s="1" t="s">
        <v>228</v>
      </c>
      <c r="AN1379" s="22" t="s">
        <v>9767</v>
      </c>
      <c r="AX1379" s="1">
        <v>1</v>
      </c>
      <c r="AZ1379" s="1">
        <v>0.25</v>
      </c>
      <c r="BG1379" s="1" t="s">
        <v>5261</v>
      </c>
      <c r="BM1379" s="1" t="s">
        <v>4959</v>
      </c>
      <c r="BQ1379" s="1" t="s">
        <v>207</v>
      </c>
      <c r="BR1379" s="1" t="s">
        <v>208</v>
      </c>
      <c r="BS1379" s="1" t="s">
        <v>229</v>
      </c>
      <c r="BT1379" s="1" t="s">
        <v>210</v>
      </c>
      <c r="BX1379" s="1">
        <v>1</v>
      </c>
    </row>
    <row r="1380" spans="1:76" x14ac:dyDescent="0.25">
      <c r="A1380" s="1" t="s">
        <v>5264</v>
      </c>
      <c r="B1380" s="1" t="s">
        <v>203</v>
      </c>
      <c r="C1380" s="1">
        <v>1</v>
      </c>
      <c r="D1380" s="1" t="s">
        <v>5265</v>
      </c>
      <c r="E1380" s="1">
        <v>1570</v>
      </c>
      <c r="F1380" s="1" t="s">
        <v>5264</v>
      </c>
      <c r="G1380" s="1">
        <v>1</v>
      </c>
      <c r="L1380" s="1">
        <v>60000</v>
      </c>
      <c r="N1380" s="1">
        <v>1000</v>
      </c>
      <c r="P1380" s="1">
        <v>800</v>
      </c>
      <c r="R1380" s="1">
        <v>70</v>
      </c>
      <c r="Z1380" s="1">
        <v>0.05</v>
      </c>
      <c r="AA1380" s="1">
        <v>3.8</v>
      </c>
      <c r="AB1380" s="1">
        <v>10</v>
      </c>
      <c r="AC1380" s="1">
        <v>0.35</v>
      </c>
      <c r="AH1380" s="1">
        <v>0</v>
      </c>
      <c r="AI1380" s="1">
        <v>1</v>
      </c>
      <c r="AJ1380" s="1" t="s">
        <v>5266</v>
      </c>
      <c r="AK1380" s="1" t="s">
        <v>206</v>
      </c>
      <c r="AL1380" s="1" t="s">
        <v>228</v>
      </c>
      <c r="AN1380" s="22" t="s">
        <v>9767</v>
      </c>
      <c r="AX1380" s="1">
        <v>1</v>
      </c>
      <c r="AZ1380" s="1">
        <v>0.25</v>
      </c>
      <c r="BG1380" s="1" t="s">
        <v>5264</v>
      </c>
      <c r="BM1380" s="1" t="s">
        <v>4959</v>
      </c>
      <c r="BQ1380" s="1" t="s">
        <v>3416</v>
      </c>
      <c r="BR1380" s="1" t="s">
        <v>2593</v>
      </c>
      <c r="BS1380" s="1" t="s">
        <v>2594</v>
      </c>
      <c r="BT1380" s="1" t="s">
        <v>210</v>
      </c>
      <c r="BX1380" s="1">
        <v>1</v>
      </c>
    </row>
    <row r="1381" spans="1:76" x14ac:dyDescent="0.25">
      <c r="A1381" s="1" t="s">
        <v>5267</v>
      </c>
      <c r="B1381" s="1" t="s">
        <v>203</v>
      </c>
      <c r="C1381" s="1">
        <v>1</v>
      </c>
      <c r="D1381" s="1" t="s">
        <v>5268</v>
      </c>
      <c r="E1381" s="1">
        <v>10120</v>
      </c>
      <c r="F1381" s="1" t="s">
        <v>5267</v>
      </c>
      <c r="G1381" s="1">
        <v>1</v>
      </c>
      <c r="L1381" s="1">
        <v>5000</v>
      </c>
      <c r="N1381" s="1">
        <v>400</v>
      </c>
      <c r="P1381" s="1">
        <v>200</v>
      </c>
      <c r="R1381" s="1">
        <v>0</v>
      </c>
      <c r="Z1381" s="1">
        <v>0.05</v>
      </c>
      <c r="AA1381" s="1">
        <v>2</v>
      </c>
      <c r="AB1381" s="1">
        <v>1</v>
      </c>
      <c r="AC1381" s="1">
        <v>1</v>
      </c>
      <c r="AH1381" s="1">
        <v>0</v>
      </c>
      <c r="AI1381" s="1">
        <v>1</v>
      </c>
      <c r="AJ1381" s="1" t="s">
        <v>5269</v>
      </c>
      <c r="AK1381" s="1" t="s">
        <v>206</v>
      </c>
      <c r="AL1381" s="1" t="s">
        <v>228</v>
      </c>
      <c r="AN1381" s="22" t="s">
        <v>9767</v>
      </c>
      <c r="AX1381" s="1">
        <v>1</v>
      </c>
      <c r="AZ1381" s="1">
        <v>0.25</v>
      </c>
      <c r="BG1381" s="1" t="s">
        <v>5267</v>
      </c>
      <c r="BM1381" s="1" t="s">
        <v>4959</v>
      </c>
      <c r="BQ1381" s="1" t="s">
        <v>207</v>
      </c>
      <c r="BR1381" s="1" t="s">
        <v>208</v>
      </c>
      <c r="BS1381" s="1" t="s">
        <v>229</v>
      </c>
      <c r="BT1381" s="1" t="s">
        <v>210</v>
      </c>
      <c r="BX1381" s="1">
        <v>1</v>
      </c>
    </row>
    <row r="1382" spans="1:76" x14ac:dyDescent="0.25">
      <c r="A1382" s="1" t="s">
        <v>5270</v>
      </c>
      <c r="B1382" s="1" t="s">
        <v>203</v>
      </c>
      <c r="C1382" s="1">
        <v>1</v>
      </c>
      <c r="D1382" s="1" t="s">
        <v>5271</v>
      </c>
      <c r="E1382" s="1">
        <v>10120</v>
      </c>
      <c r="F1382" s="1" t="s">
        <v>5270</v>
      </c>
      <c r="G1382" s="1">
        <v>1</v>
      </c>
      <c r="L1382" s="1">
        <v>7000</v>
      </c>
      <c r="N1382" s="1">
        <v>400</v>
      </c>
      <c r="P1382" s="1">
        <v>250</v>
      </c>
      <c r="R1382" s="1">
        <v>0</v>
      </c>
      <c r="Z1382" s="1">
        <v>0.05</v>
      </c>
      <c r="AA1382" s="1">
        <v>2</v>
      </c>
      <c r="AB1382" s="1">
        <v>1</v>
      </c>
      <c r="AC1382" s="1">
        <v>1</v>
      </c>
      <c r="AH1382" s="1">
        <v>0</v>
      </c>
      <c r="AI1382" s="1">
        <v>1</v>
      </c>
      <c r="AJ1382" s="1" t="s">
        <v>5272</v>
      </c>
      <c r="AK1382" s="1" t="s">
        <v>206</v>
      </c>
      <c r="AL1382" s="1" t="s">
        <v>228</v>
      </c>
      <c r="AN1382" s="22" t="s">
        <v>9767</v>
      </c>
      <c r="AX1382" s="1">
        <v>1</v>
      </c>
      <c r="AZ1382" s="1">
        <v>0.25</v>
      </c>
      <c r="BG1382" s="1" t="s">
        <v>5270</v>
      </c>
      <c r="BM1382" s="1" t="s">
        <v>4959</v>
      </c>
      <c r="BQ1382" s="1" t="s">
        <v>207</v>
      </c>
      <c r="BR1382" s="1" t="s">
        <v>208</v>
      </c>
      <c r="BS1382" s="1" t="s">
        <v>229</v>
      </c>
      <c r="BT1382" s="1" t="s">
        <v>210</v>
      </c>
      <c r="BX1382" s="1">
        <v>1</v>
      </c>
    </row>
    <row r="1383" spans="1:76" x14ac:dyDescent="0.25">
      <c r="A1383" s="1" t="s">
        <v>5273</v>
      </c>
      <c r="B1383" s="1" t="s">
        <v>203</v>
      </c>
      <c r="C1383" s="1">
        <v>1</v>
      </c>
      <c r="D1383" s="1" t="s">
        <v>5274</v>
      </c>
      <c r="E1383" s="1">
        <v>10121</v>
      </c>
      <c r="F1383" s="1" t="s">
        <v>5273</v>
      </c>
      <c r="G1383" s="1">
        <v>1</v>
      </c>
      <c r="L1383" s="1">
        <v>7000</v>
      </c>
      <c r="N1383" s="1">
        <v>380</v>
      </c>
      <c r="P1383" s="1">
        <v>200</v>
      </c>
      <c r="R1383" s="1">
        <v>0</v>
      </c>
      <c r="Z1383" s="1">
        <v>0.05</v>
      </c>
      <c r="AA1383" s="1">
        <v>5</v>
      </c>
      <c r="AB1383" s="1">
        <v>1</v>
      </c>
      <c r="AC1383" s="1">
        <v>0.75</v>
      </c>
      <c r="AH1383" s="1">
        <v>0</v>
      </c>
      <c r="AI1383" s="1">
        <v>1</v>
      </c>
      <c r="AJ1383" s="1" t="s">
        <v>5275</v>
      </c>
      <c r="AK1383" s="1" t="s">
        <v>206</v>
      </c>
      <c r="AL1383" s="1" t="s">
        <v>228</v>
      </c>
      <c r="AN1383" s="22" t="s">
        <v>9767</v>
      </c>
      <c r="AX1383" s="1">
        <v>1</v>
      </c>
      <c r="AZ1383" s="1">
        <v>0.25</v>
      </c>
      <c r="BG1383" s="1" t="s">
        <v>5273</v>
      </c>
      <c r="BM1383" s="1" t="s">
        <v>4959</v>
      </c>
      <c r="BQ1383" s="1" t="s">
        <v>207</v>
      </c>
      <c r="BR1383" s="1" t="s">
        <v>208</v>
      </c>
      <c r="BS1383" s="1" t="s">
        <v>229</v>
      </c>
      <c r="BT1383" s="1" t="s">
        <v>210</v>
      </c>
      <c r="BX1383" s="1">
        <v>1</v>
      </c>
    </row>
    <row r="1384" spans="1:76" x14ac:dyDescent="0.25">
      <c r="A1384" s="1" t="s">
        <v>5276</v>
      </c>
      <c r="B1384" s="1" t="s">
        <v>203</v>
      </c>
      <c r="C1384" s="1">
        <v>1</v>
      </c>
      <c r="D1384" s="1" t="s">
        <v>5277</v>
      </c>
      <c r="E1384" s="1">
        <v>10121</v>
      </c>
      <c r="F1384" s="1" t="s">
        <v>5276</v>
      </c>
      <c r="G1384" s="1">
        <v>1</v>
      </c>
      <c r="L1384" s="1">
        <v>8500</v>
      </c>
      <c r="N1384" s="1">
        <v>500</v>
      </c>
      <c r="P1384" s="1">
        <v>200</v>
      </c>
      <c r="R1384" s="1">
        <v>0</v>
      </c>
      <c r="Z1384" s="1">
        <v>0.05</v>
      </c>
      <c r="AA1384" s="1">
        <v>5</v>
      </c>
      <c r="AB1384" s="1">
        <v>1</v>
      </c>
      <c r="AC1384" s="1">
        <v>0.75</v>
      </c>
      <c r="AH1384" s="1">
        <v>0</v>
      </c>
      <c r="AI1384" s="1">
        <v>1</v>
      </c>
      <c r="AJ1384" s="1" t="s">
        <v>5278</v>
      </c>
      <c r="AK1384" s="1" t="s">
        <v>206</v>
      </c>
      <c r="AL1384" s="1" t="s">
        <v>228</v>
      </c>
      <c r="AN1384" s="22" t="s">
        <v>9767</v>
      </c>
      <c r="AX1384" s="1">
        <v>1</v>
      </c>
      <c r="AZ1384" s="1">
        <v>0.25</v>
      </c>
      <c r="BG1384" s="1" t="s">
        <v>5276</v>
      </c>
      <c r="BM1384" s="1" t="s">
        <v>4959</v>
      </c>
      <c r="BQ1384" s="1" t="s">
        <v>207</v>
      </c>
      <c r="BR1384" s="1" t="s">
        <v>208</v>
      </c>
      <c r="BS1384" s="1" t="s">
        <v>229</v>
      </c>
      <c r="BT1384" s="1" t="s">
        <v>210</v>
      </c>
      <c r="BX1384" s="1">
        <v>1</v>
      </c>
    </row>
    <row r="1385" spans="1:76" x14ac:dyDescent="0.25">
      <c r="A1385" s="1" t="s">
        <v>5279</v>
      </c>
      <c r="B1385" s="1" t="s">
        <v>203</v>
      </c>
      <c r="C1385" s="1">
        <v>1</v>
      </c>
      <c r="D1385" s="1" t="s">
        <v>5280</v>
      </c>
      <c r="E1385" s="1">
        <v>10122</v>
      </c>
      <c r="F1385" s="1" t="s">
        <v>5279</v>
      </c>
      <c r="G1385" s="1">
        <v>1</v>
      </c>
      <c r="L1385" s="1">
        <v>8000</v>
      </c>
      <c r="N1385" s="1">
        <v>350</v>
      </c>
      <c r="P1385" s="1">
        <v>350</v>
      </c>
      <c r="R1385" s="1">
        <v>0</v>
      </c>
      <c r="Z1385" s="1">
        <v>0.05</v>
      </c>
      <c r="AA1385" s="1">
        <v>5</v>
      </c>
      <c r="AB1385" s="1">
        <v>2</v>
      </c>
      <c r="AC1385" s="1">
        <v>0.8</v>
      </c>
      <c r="AH1385" s="1">
        <v>0</v>
      </c>
      <c r="AI1385" s="1">
        <v>1</v>
      </c>
      <c r="AJ1385" s="1" t="s">
        <v>5281</v>
      </c>
      <c r="AK1385" s="1" t="s">
        <v>206</v>
      </c>
      <c r="AL1385" s="1" t="s">
        <v>228</v>
      </c>
      <c r="AN1385" s="22" t="s">
        <v>9767</v>
      </c>
      <c r="AX1385" s="1">
        <v>1</v>
      </c>
      <c r="AZ1385" s="1">
        <v>0.25</v>
      </c>
      <c r="BG1385" s="1" t="s">
        <v>5279</v>
      </c>
      <c r="BM1385" s="1" t="s">
        <v>4959</v>
      </c>
      <c r="BQ1385" s="1" t="s">
        <v>207</v>
      </c>
      <c r="BR1385" s="1" t="s">
        <v>208</v>
      </c>
      <c r="BS1385" s="1" t="s">
        <v>229</v>
      </c>
      <c r="BT1385" s="1" t="s">
        <v>210</v>
      </c>
      <c r="BX1385" s="1">
        <v>1</v>
      </c>
    </row>
    <row r="1386" spans="1:76" x14ac:dyDescent="0.25">
      <c r="A1386" s="1" t="s">
        <v>5282</v>
      </c>
      <c r="B1386" s="1" t="s">
        <v>203</v>
      </c>
      <c r="C1386" s="1">
        <v>1</v>
      </c>
      <c r="D1386" s="1" t="s">
        <v>5283</v>
      </c>
      <c r="E1386" s="1">
        <v>10122</v>
      </c>
      <c r="F1386" s="1" t="s">
        <v>5282</v>
      </c>
      <c r="G1386" s="1">
        <v>1</v>
      </c>
      <c r="L1386" s="1">
        <v>10000</v>
      </c>
      <c r="N1386" s="1">
        <v>500</v>
      </c>
      <c r="P1386" s="1">
        <v>350</v>
      </c>
      <c r="R1386" s="1">
        <v>0</v>
      </c>
      <c r="Z1386" s="1">
        <v>0.05</v>
      </c>
      <c r="AA1386" s="1">
        <v>5</v>
      </c>
      <c r="AB1386" s="1">
        <v>2</v>
      </c>
      <c r="AC1386" s="1">
        <v>0.8</v>
      </c>
      <c r="AH1386" s="1">
        <v>0</v>
      </c>
      <c r="AI1386" s="1">
        <v>1</v>
      </c>
      <c r="AJ1386" s="1" t="s">
        <v>5284</v>
      </c>
      <c r="AK1386" s="1" t="s">
        <v>206</v>
      </c>
      <c r="AL1386" s="1" t="s">
        <v>228</v>
      </c>
      <c r="AN1386" s="22" t="s">
        <v>9767</v>
      </c>
      <c r="AX1386" s="1">
        <v>1</v>
      </c>
      <c r="AZ1386" s="1">
        <v>0.25</v>
      </c>
      <c r="BG1386" s="1" t="s">
        <v>5282</v>
      </c>
      <c r="BM1386" s="1" t="s">
        <v>4959</v>
      </c>
      <c r="BQ1386" s="1" t="s">
        <v>207</v>
      </c>
      <c r="BR1386" s="1" t="s">
        <v>208</v>
      </c>
      <c r="BS1386" s="1" t="s">
        <v>229</v>
      </c>
      <c r="BT1386" s="1" t="s">
        <v>210</v>
      </c>
      <c r="BX1386" s="1">
        <v>1</v>
      </c>
    </row>
    <row r="1387" spans="1:76" x14ac:dyDescent="0.25">
      <c r="A1387" s="1" t="s">
        <v>5285</v>
      </c>
      <c r="B1387" s="1" t="s">
        <v>203</v>
      </c>
      <c r="C1387" s="1">
        <v>1</v>
      </c>
      <c r="D1387" s="1" t="s">
        <v>5286</v>
      </c>
      <c r="E1387" s="1">
        <v>10123</v>
      </c>
      <c r="F1387" s="1" t="s">
        <v>5285</v>
      </c>
      <c r="G1387" s="1">
        <v>1</v>
      </c>
      <c r="L1387" s="1">
        <v>25000</v>
      </c>
      <c r="N1387" s="1">
        <v>800</v>
      </c>
      <c r="P1387" s="1">
        <v>1300</v>
      </c>
      <c r="R1387" s="1">
        <v>20</v>
      </c>
      <c r="Z1387" s="1">
        <v>0.05</v>
      </c>
      <c r="AA1387" s="1">
        <v>3.5</v>
      </c>
      <c r="AB1387" s="1">
        <v>4</v>
      </c>
      <c r="AC1387" s="1">
        <v>0.5</v>
      </c>
      <c r="AH1387" s="1">
        <v>0</v>
      </c>
      <c r="AI1387" s="1">
        <v>1</v>
      </c>
      <c r="AJ1387" s="1" t="s">
        <v>5287</v>
      </c>
      <c r="AK1387" s="1" t="s">
        <v>206</v>
      </c>
      <c r="AL1387" s="1" t="s">
        <v>228</v>
      </c>
      <c r="AN1387" s="22" t="s">
        <v>9767</v>
      </c>
      <c r="AX1387" s="1">
        <v>1</v>
      </c>
      <c r="AZ1387" s="1">
        <v>0.25</v>
      </c>
      <c r="BG1387" s="1" t="s">
        <v>5285</v>
      </c>
      <c r="BM1387" s="1" t="s">
        <v>4959</v>
      </c>
      <c r="BQ1387" s="1" t="s">
        <v>3265</v>
      </c>
      <c r="BR1387" s="1" t="s">
        <v>3202</v>
      </c>
      <c r="BS1387" s="1" t="s">
        <v>3203</v>
      </c>
      <c r="BT1387" s="1" t="s">
        <v>3204</v>
      </c>
      <c r="BX1387" s="1">
        <v>1</v>
      </c>
    </row>
    <row r="1388" spans="1:76" x14ac:dyDescent="0.25">
      <c r="A1388" s="1" t="s">
        <v>5288</v>
      </c>
      <c r="B1388" s="1" t="s">
        <v>203</v>
      </c>
      <c r="C1388" s="1">
        <v>1</v>
      </c>
      <c r="D1388" s="1" t="s">
        <v>5289</v>
      </c>
      <c r="E1388" s="1">
        <v>10123</v>
      </c>
      <c r="F1388" s="1" t="s">
        <v>5288</v>
      </c>
      <c r="G1388" s="1">
        <v>1</v>
      </c>
      <c r="L1388" s="1">
        <v>35000</v>
      </c>
      <c r="N1388" s="1">
        <v>1000</v>
      </c>
      <c r="P1388" s="1">
        <v>1600</v>
      </c>
      <c r="R1388" s="1">
        <v>20</v>
      </c>
      <c r="Z1388" s="1">
        <v>0.05</v>
      </c>
      <c r="AA1388" s="1">
        <v>3.5</v>
      </c>
      <c r="AB1388" s="1">
        <v>4</v>
      </c>
      <c r="AC1388" s="1">
        <v>0.5</v>
      </c>
      <c r="AH1388" s="1">
        <v>0</v>
      </c>
      <c r="AI1388" s="1">
        <v>1</v>
      </c>
      <c r="AJ1388" s="1" t="s">
        <v>5290</v>
      </c>
      <c r="AK1388" s="1" t="s">
        <v>206</v>
      </c>
      <c r="AL1388" s="1" t="s">
        <v>228</v>
      </c>
      <c r="AN1388" s="22" t="s">
        <v>9767</v>
      </c>
      <c r="AX1388" s="1">
        <v>1</v>
      </c>
      <c r="AZ1388" s="1">
        <v>0.25</v>
      </c>
      <c r="BG1388" s="1" t="s">
        <v>5288</v>
      </c>
      <c r="BM1388" s="1" t="s">
        <v>4959</v>
      </c>
      <c r="BQ1388" s="1" t="s">
        <v>3265</v>
      </c>
      <c r="BR1388" s="1" t="s">
        <v>3202</v>
      </c>
      <c r="BS1388" s="1" t="s">
        <v>3203</v>
      </c>
      <c r="BT1388" s="1" t="s">
        <v>3204</v>
      </c>
      <c r="BX1388" s="1">
        <v>1</v>
      </c>
    </row>
    <row r="1389" spans="1:76" x14ac:dyDescent="0.25">
      <c r="A1389" s="1" t="s">
        <v>5291</v>
      </c>
      <c r="B1389" s="1" t="s">
        <v>203</v>
      </c>
      <c r="C1389" s="1">
        <v>1</v>
      </c>
      <c r="D1389" s="1" t="s">
        <v>5292</v>
      </c>
      <c r="E1389" s="1">
        <v>10124</v>
      </c>
      <c r="F1389" s="1" t="s">
        <v>5291</v>
      </c>
      <c r="G1389" s="1">
        <v>1</v>
      </c>
      <c r="L1389" s="1">
        <v>15000</v>
      </c>
      <c r="N1389" s="1">
        <v>800</v>
      </c>
      <c r="P1389" s="1">
        <v>1500</v>
      </c>
      <c r="R1389" s="1">
        <v>60</v>
      </c>
      <c r="Z1389" s="1">
        <v>0.05</v>
      </c>
      <c r="AA1389" s="1">
        <v>3.8</v>
      </c>
      <c r="AB1389" s="1">
        <v>4</v>
      </c>
      <c r="AC1389" s="1">
        <v>0.7</v>
      </c>
      <c r="AH1389" s="1">
        <v>0</v>
      </c>
      <c r="AI1389" s="1">
        <v>1</v>
      </c>
      <c r="AJ1389" s="1" t="s">
        <v>5293</v>
      </c>
      <c r="AK1389" s="1" t="s">
        <v>206</v>
      </c>
      <c r="AL1389" s="1" t="s">
        <v>228</v>
      </c>
      <c r="AN1389" s="22" t="s">
        <v>9767</v>
      </c>
      <c r="AX1389" s="1">
        <v>1</v>
      </c>
      <c r="AZ1389" s="1">
        <v>0.25</v>
      </c>
      <c r="BG1389" s="1" t="s">
        <v>5291</v>
      </c>
      <c r="BM1389" s="1" t="s">
        <v>4959</v>
      </c>
      <c r="BQ1389" s="1" t="s">
        <v>207</v>
      </c>
      <c r="BR1389" s="1" t="s">
        <v>208</v>
      </c>
      <c r="BS1389" s="1" t="s">
        <v>209</v>
      </c>
      <c r="BT1389" s="1" t="s">
        <v>210</v>
      </c>
      <c r="BX1389" s="1">
        <v>1</v>
      </c>
    </row>
    <row r="1390" spans="1:76" x14ac:dyDescent="0.25">
      <c r="A1390" s="1" t="s">
        <v>5294</v>
      </c>
      <c r="B1390" s="1" t="s">
        <v>203</v>
      </c>
      <c r="C1390" s="1">
        <v>1</v>
      </c>
      <c r="D1390" s="1" t="s">
        <v>5295</v>
      </c>
      <c r="E1390" s="1">
        <v>10124</v>
      </c>
      <c r="F1390" s="1" t="s">
        <v>5294</v>
      </c>
      <c r="G1390" s="1">
        <v>1</v>
      </c>
      <c r="L1390" s="1">
        <v>25000</v>
      </c>
      <c r="N1390" s="1">
        <v>900</v>
      </c>
      <c r="P1390" s="1">
        <v>1800</v>
      </c>
      <c r="R1390" s="1">
        <v>60</v>
      </c>
      <c r="Z1390" s="1">
        <v>0.05</v>
      </c>
      <c r="AA1390" s="1">
        <v>3.8</v>
      </c>
      <c r="AB1390" s="1">
        <v>4</v>
      </c>
      <c r="AC1390" s="1">
        <v>0.7</v>
      </c>
      <c r="AH1390" s="1">
        <v>0</v>
      </c>
      <c r="AI1390" s="1">
        <v>1</v>
      </c>
      <c r="AJ1390" s="1" t="s">
        <v>5296</v>
      </c>
      <c r="AK1390" s="1" t="s">
        <v>206</v>
      </c>
      <c r="AL1390" s="1" t="s">
        <v>228</v>
      </c>
      <c r="AN1390" s="22" t="s">
        <v>9767</v>
      </c>
      <c r="AX1390" s="1">
        <v>1</v>
      </c>
      <c r="AZ1390" s="1">
        <v>0.25</v>
      </c>
      <c r="BG1390" s="1" t="s">
        <v>5294</v>
      </c>
      <c r="BM1390" s="1" t="s">
        <v>4959</v>
      </c>
      <c r="BQ1390" s="1" t="s">
        <v>207</v>
      </c>
      <c r="BR1390" s="1" t="s">
        <v>208</v>
      </c>
      <c r="BS1390" s="1" t="s">
        <v>209</v>
      </c>
      <c r="BT1390" s="1" t="s">
        <v>210</v>
      </c>
      <c r="BX1390" s="1">
        <v>1</v>
      </c>
    </row>
    <row r="1391" spans="1:76" x14ac:dyDescent="0.25">
      <c r="A1391" s="1" t="s">
        <v>5297</v>
      </c>
      <c r="B1391" s="1" t="s">
        <v>203</v>
      </c>
      <c r="C1391" s="1">
        <v>1</v>
      </c>
      <c r="D1391" s="1" t="s">
        <v>5298</v>
      </c>
      <c r="E1391" s="1">
        <v>10125</v>
      </c>
      <c r="F1391" s="1" t="s">
        <v>5297</v>
      </c>
      <c r="G1391" s="1">
        <v>1</v>
      </c>
      <c r="L1391" s="1">
        <v>15000</v>
      </c>
      <c r="N1391" s="1">
        <v>1000</v>
      </c>
      <c r="P1391" s="1">
        <v>500</v>
      </c>
      <c r="R1391" s="1">
        <v>40</v>
      </c>
      <c r="Z1391" s="1">
        <v>0.05</v>
      </c>
      <c r="AA1391" s="1">
        <v>2</v>
      </c>
      <c r="AB1391" s="1">
        <v>2</v>
      </c>
      <c r="AC1391" s="1">
        <v>0.7</v>
      </c>
      <c r="AH1391" s="1">
        <v>0</v>
      </c>
      <c r="AI1391" s="1">
        <v>1</v>
      </c>
      <c r="AJ1391" s="1" t="s">
        <v>5299</v>
      </c>
      <c r="AK1391" s="1" t="s">
        <v>206</v>
      </c>
      <c r="AL1391" s="1" t="s">
        <v>228</v>
      </c>
      <c r="AN1391" s="22" t="s">
        <v>9767</v>
      </c>
      <c r="AX1391" s="1">
        <v>1</v>
      </c>
      <c r="AZ1391" s="1">
        <v>0.25</v>
      </c>
      <c r="BG1391" s="1" t="s">
        <v>5297</v>
      </c>
      <c r="BM1391" s="1" t="s">
        <v>4959</v>
      </c>
      <c r="BQ1391" s="1" t="s">
        <v>207</v>
      </c>
      <c r="BR1391" s="1" t="s">
        <v>208</v>
      </c>
      <c r="BS1391" s="1" t="s">
        <v>229</v>
      </c>
      <c r="BT1391" s="1" t="s">
        <v>210</v>
      </c>
      <c r="BX1391" s="1">
        <v>1</v>
      </c>
    </row>
    <row r="1392" spans="1:76" x14ac:dyDescent="0.25">
      <c r="A1392" s="1" t="s">
        <v>5300</v>
      </c>
      <c r="B1392" s="1" t="s">
        <v>203</v>
      </c>
      <c r="C1392" s="1">
        <v>1</v>
      </c>
      <c r="D1392" s="1" t="s">
        <v>5301</v>
      </c>
      <c r="E1392" s="1">
        <v>10125</v>
      </c>
      <c r="F1392" s="1" t="s">
        <v>5300</v>
      </c>
      <c r="G1392" s="1">
        <v>1</v>
      </c>
      <c r="L1392" s="1">
        <v>20000</v>
      </c>
      <c r="N1392" s="1">
        <v>1500</v>
      </c>
      <c r="P1392" s="1">
        <v>500</v>
      </c>
      <c r="R1392" s="1">
        <v>40</v>
      </c>
      <c r="Z1392" s="1">
        <v>0.05</v>
      </c>
      <c r="AA1392" s="1">
        <v>2</v>
      </c>
      <c r="AB1392" s="1">
        <v>2</v>
      </c>
      <c r="AC1392" s="1">
        <v>0.7</v>
      </c>
      <c r="AH1392" s="1">
        <v>0</v>
      </c>
      <c r="AI1392" s="1">
        <v>1</v>
      </c>
      <c r="AJ1392" s="1" t="s">
        <v>5302</v>
      </c>
      <c r="AK1392" s="1" t="s">
        <v>206</v>
      </c>
      <c r="AL1392" s="1" t="s">
        <v>228</v>
      </c>
      <c r="AN1392" s="22" t="s">
        <v>9767</v>
      </c>
      <c r="AX1392" s="1">
        <v>1</v>
      </c>
      <c r="AZ1392" s="1">
        <v>0.25</v>
      </c>
      <c r="BG1392" s="1" t="s">
        <v>5300</v>
      </c>
      <c r="BM1392" s="1" t="s">
        <v>4959</v>
      </c>
      <c r="BQ1392" s="1" t="s">
        <v>207</v>
      </c>
      <c r="BR1392" s="1" t="s">
        <v>208</v>
      </c>
      <c r="BS1392" s="1" t="s">
        <v>229</v>
      </c>
      <c r="BT1392" s="1" t="s">
        <v>210</v>
      </c>
      <c r="BX1392" s="1">
        <v>1</v>
      </c>
    </row>
    <row r="1393" spans="1:76" x14ac:dyDescent="0.25">
      <c r="A1393" s="1" t="s">
        <v>5303</v>
      </c>
      <c r="B1393" s="1" t="s">
        <v>203</v>
      </c>
      <c r="C1393" s="1">
        <v>1</v>
      </c>
      <c r="D1393" s="1" t="s">
        <v>5304</v>
      </c>
      <c r="E1393" s="1">
        <v>10126</v>
      </c>
      <c r="F1393" s="1" t="s">
        <v>5303</v>
      </c>
      <c r="G1393" s="1">
        <v>1</v>
      </c>
      <c r="L1393" s="1">
        <v>4500</v>
      </c>
      <c r="N1393" s="1">
        <v>300</v>
      </c>
      <c r="P1393" s="1">
        <v>100</v>
      </c>
      <c r="R1393" s="1">
        <v>20</v>
      </c>
      <c r="Z1393" s="1">
        <v>0.05</v>
      </c>
      <c r="AA1393" s="1">
        <v>2</v>
      </c>
      <c r="AB1393" s="1">
        <v>1</v>
      </c>
      <c r="AC1393" s="1">
        <v>0.5</v>
      </c>
      <c r="AH1393" s="1">
        <v>0</v>
      </c>
      <c r="AI1393" s="1">
        <v>1</v>
      </c>
      <c r="AJ1393" s="1" t="s">
        <v>5305</v>
      </c>
      <c r="AK1393" s="1" t="s">
        <v>206</v>
      </c>
      <c r="AL1393" s="1" t="s">
        <v>228</v>
      </c>
      <c r="AN1393" s="22" t="s">
        <v>9767</v>
      </c>
      <c r="AX1393" s="1">
        <v>1</v>
      </c>
      <c r="AZ1393" s="1">
        <v>0.25</v>
      </c>
      <c r="BG1393" s="1" t="s">
        <v>5303</v>
      </c>
      <c r="BM1393" s="1" t="s">
        <v>4959</v>
      </c>
      <c r="BQ1393" s="1" t="s">
        <v>3416</v>
      </c>
      <c r="BR1393" s="1" t="s">
        <v>2593</v>
      </c>
      <c r="BS1393" s="1" t="s">
        <v>2594</v>
      </c>
      <c r="BT1393" s="1" t="s">
        <v>3131</v>
      </c>
      <c r="BX1393" s="1">
        <v>1</v>
      </c>
    </row>
    <row r="1394" spans="1:76" x14ac:dyDescent="0.25">
      <c r="A1394" s="1" t="s">
        <v>5306</v>
      </c>
      <c r="B1394" s="1" t="s">
        <v>203</v>
      </c>
      <c r="C1394" s="1">
        <v>1</v>
      </c>
      <c r="D1394" s="1" t="s">
        <v>5307</v>
      </c>
      <c r="E1394" s="1">
        <v>10126</v>
      </c>
      <c r="F1394" s="1" t="s">
        <v>5306</v>
      </c>
      <c r="G1394" s="1">
        <v>1</v>
      </c>
      <c r="L1394" s="1">
        <v>6000</v>
      </c>
      <c r="N1394" s="1">
        <v>400</v>
      </c>
      <c r="P1394" s="1">
        <v>100</v>
      </c>
      <c r="R1394" s="1">
        <v>20</v>
      </c>
      <c r="Z1394" s="1">
        <v>0.05</v>
      </c>
      <c r="AA1394" s="1">
        <v>2</v>
      </c>
      <c r="AB1394" s="1">
        <v>1</v>
      </c>
      <c r="AC1394" s="1">
        <v>0.5</v>
      </c>
      <c r="AH1394" s="1">
        <v>0</v>
      </c>
      <c r="AI1394" s="1">
        <v>1</v>
      </c>
      <c r="AJ1394" s="1" t="s">
        <v>5308</v>
      </c>
      <c r="AK1394" s="1" t="s">
        <v>206</v>
      </c>
      <c r="AL1394" s="1" t="s">
        <v>228</v>
      </c>
      <c r="AN1394" s="22" t="s">
        <v>9767</v>
      </c>
      <c r="AX1394" s="1">
        <v>1</v>
      </c>
      <c r="AZ1394" s="1">
        <v>0.25</v>
      </c>
      <c r="BG1394" s="1" t="s">
        <v>5306</v>
      </c>
      <c r="BM1394" s="1" t="s">
        <v>4959</v>
      </c>
      <c r="BQ1394" s="1" t="s">
        <v>3416</v>
      </c>
      <c r="BR1394" s="1" t="s">
        <v>2593</v>
      </c>
      <c r="BS1394" s="1" t="s">
        <v>2594</v>
      </c>
      <c r="BT1394" s="1" t="s">
        <v>3131</v>
      </c>
      <c r="BX1394" s="1">
        <v>1</v>
      </c>
    </row>
    <row r="1395" spans="1:76" x14ac:dyDescent="0.25">
      <c r="A1395" s="1" t="s">
        <v>5309</v>
      </c>
      <c r="B1395" s="1" t="s">
        <v>203</v>
      </c>
      <c r="C1395" s="1">
        <v>1</v>
      </c>
      <c r="D1395" s="1" t="s">
        <v>5310</v>
      </c>
      <c r="E1395" s="1">
        <v>10127</v>
      </c>
      <c r="F1395" s="1" t="s">
        <v>5309</v>
      </c>
      <c r="G1395" s="1">
        <v>1</v>
      </c>
      <c r="L1395" s="1">
        <v>20000</v>
      </c>
      <c r="N1395" s="1">
        <v>1000</v>
      </c>
      <c r="P1395" s="1">
        <v>100</v>
      </c>
      <c r="R1395" s="1">
        <v>20</v>
      </c>
      <c r="Z1395" s="1">
        <v>0.05</v>
      </c>
      <c r="AA1395" s="1">
        <v>3</v>
      </c>
      <c r="AB1395" s="1">
        <v>3</v>
      </c>
      <c r="AC1395" s="1">
        <v>0.5</v>
      </c>
      <c r="AH1395" s="1">
        <v>0</v>
      </c>
      <c r="AI1395" s="1">
        <v>1</v>
      </c>
      <c r="AJ1395" s="1" t="s">
        <v>5311</v>
      </c>
      <c r="AK1395" s="1" t="s">
        <v>206</v>
      </c>
      <c r="AL1395" s="1" t="s">
        <v>228</v>
      </c>
      <c r="AN1395" s="22" t="s">
        <v>9767</v>
      </c>
      <c r="AX1395" s="1">
        <v>1</v>
      </c>
      <c r="AZ1395" s="1">
        <v>0.25</v>
      </c>
      <c r="BG1395" s="1" t="s">
        <v>5309</v>
      </c>
      <c r="BM1395" s="1" t="s">
        <v>4959</v>
      </c>
      <c r="BQ1395" s="1" t="s">
        <v>3416</v>
      </c>
      <c r="BR1395" s="1" t="s">
        <v>2593</v>
      </c>
      <c r="BS1395" s="1" t="s">
        <v>2594</v>
      </c>
      <c r="BT1395" s="1" t="s">
        <v>3131</v>
      </c>
      <c r="BX1395" s="1">
        <v>1</v>
      </c>
    </row>
    <row r="1396" spans="1:76" x14ac:dyDescent="0.25">
      <c r="A1396" s="1" t="s">
        <v>5312</v>
      </c>
      <c r="B1396" s="1" t="s">
        <v>203</v>
      </c>
      <c r="C1396" s="1">
        <v>1</v>
      </c>
      <c r="D1396" s="1" t="s">
        <v>5313</v>
      </c>
      <c r="E1396" s="1">
        <v>10127</v>
      </c>
      <c r="F1396" s="1" t="s">
        <v>5312</v>
      </c>
      <c r="G1396" s="1">
        <v>1</v>
      </c>
      <c r="L1396" s="1">
        <v>27500</v>
      </c>
      <c r="N1396" s="1">
        <v>1250</v>
      </c>
      <c r="P1396" s="1">
        <v>100</v>
      </c>
      <c r="R1396" s="1">
        <v>20</v>
      </c>
      <c r="Z1396" s="1">
        <v>0.05</v>
      </c>
      <c r="AA1396" s="1">
        <v>3</v>
      </c>
      <c r="AB1396" s="1">
        <v>3</v>
      </c>
      <c r="AC1396" s="1">
        <v>0.5</v>
      </c>
      <c r="AH1396" s="1">
        <v>0</v>
      </c>
      <c r="AI1396" s="1">
        <v>1</v>
      </c>
      <c r="AJ1396" s="1" t="s">
        <v>5314</v>
      </c>
      <c r="AK1396" s="1" t="s">
        <v>206</v>
      </c>
      <c r="AL1396" s="1" t="s">
        <v>228</v>
      </c>
      <c r="AN1396" s="22" t="s">
        <v>9767</v>
      </c>
      <c r="AX1396" s="1">
        <v>1</v>
      </c>
      <c r="AZ1396" s="1">
        <v>0.25</v>
      </c>
      <c r="BG1396" s="1" t="s">
        <v>5312</v>
      </c>
      <c r="BM1396" s="1" t="s">
        <v>4959</v>
      </c>
      <c r="BQ1396" s="1" t="s">
        <v>3416</v>
      </c>
      <c r="BR1396" s="1" t="s">
        <v>2593</v>
      </c>
      <c r="BS1396" s="1" t="s">
        <v>2594</v>
      </c>
      <c r="BT1396" s="1" t="s">
        <v>3131</v>
      </c>
      <c r="BX1396" s="1">
        <v>1</v>
      </c>
    </row>
    <row r="1397" spans="1:76" x14ac:dyDescent="0.25">
      <c r="A1397" s="1" t="s">
        <v>5315</v>
      </c>
      <c r="B1397" s="1" t="s">
        <v>203</v>
      </c>
      <c r="C1397" s="1">
        <v>1</v>
      </c>
      <c r="D1397" s="1" t="s">
        <v>5316</v>
      </c>
      <c r="E1397" s="1">
        <v>10128</v>
      </c>
      <c r="F1397" s="1" t="s">
        <v>5315</v>
      </c>
      <c r="G1397" s="1">
        <v>1</v>
      </c>
      <c r="L1397" s="1">
        <v>5000</v>
      </c>
      <c r="N1397" s="1">
        <v>700</v>
      </c>
      <c r="P1397" s="1">
        <v>100</v>
      </c>
      <c r="R1397" s="1">
        <v>50</v>
      </c>
      <c r="Z1397" s="1">
        <v>0.05</v>
      </c>
      <c r="AA1397" s="1">
        <v>1</v>
      </c>
      <c r="AB1397" s="1">
        <v>0</v>
      </c>
      <c r="AC1397" s="1">
        <v>0.8</v>
      </c>
      <c r="AH1397" s="1">
        <v>0</v>
      </c>
      <c r="AI1397" s="1">
        <v>1</v>
      </c>
      <c r="AJ1397" s="1" t="s">
        <v>5317</v>
      </c>
      <c r="AK1397" s="1" t="s">
        <v>206</v>
      </c>
      <c r="AL1397" s="1" t="s">
        <v>228</v>
      </c>
      <c r="AN1397" s="22" t="s">
        <v>9767</v>
      </c>
      <c r="AP1397" s="1">
        <v>1</v>
      </c>
      <c r="AX1397" s="1">
        <v>1</v>
      </c>
      <c r="AZ1397" s="1">
        <v>0.25</v>
      </c>
      <c r="BG1397" s="1" t="s">
        <v>5315</v>
      </c>
      <c r="BM1397" s="1" t="s">
        <v>4959</v>
      </c>
      <c r="BQ1397" s="1" t="s">
        <v>207</v>
      </c>
      <c r="BR1397" s="1" t="s">
        <v>208</v>
      </c>
      <c r="BS1397" s="1" t="s">
        <v>229</v>
      </c>
      <c r="BT1397" s="1" t="s">
        <v>210</v>
      </c>
      <c r="BX1397" s="1">
        <v>1</v>
      </c>
    </row>
    <row r="1398" spans="1:76" x14ac:dyDescent="0.25">
      <c r="A1398" s="1" t="s">
        <v>5318</v>
      </c>
      <c r="B1398" s="1" t="s">
        <v>203</v>
      </c>
      <c r="C1398" s="1">
        <v>1</v>
      </c>
      <c r="D1398" s="1" t="s">
        <v>5319</v>
      </c>
      <c r="E1398" s="1">
        <v>1571</v>
      </c>
      <c r="F1398" s="1" t="s">
        <v>5318</v>
      </c>
      <c r="G1398" s="1">
        <v>1</v>
      </c>
      <c r="L1398" s="1">
        <v>150000</v>
      </c>
      <c r="N1398" s="1">
        <v>1000</v>
      </c>
      <c r="P1398" s="1">
        <v>300</v>
      </c>
      <c r="R1398" s="1">
        <v>40</v>
      </c>
      <c r="Z1398" s="1">
        <v>0.05</v>
      </c>
      <c r="AA1398" s="1">
        <v>3.5</v>
      </c>
      <c r="AB1398" s="1">
        <v>7</v>
      </c>
      <c r="AC1398" s="1">
        <v>0.5</v>
      </c>
      <c r="AH1398" s="1">
        <v>0</v>
      </c>
      <c r="AI1398" s="1">
        <v>1</v>
      </c>
      <c r="AJ1398" s="1" t="s">
        <v>5320</v>
      </c>
      <c r="AK1398" s="1" t="s">
        <v>206</v>
      </c>
      <c r="AL1398" s="1" t="s">
        <v>228</v>
      </c>
      <c r="AN1398" s="22" t="s">
        <v>9767</v>
      </c>
      <c r="AX1398" s="1">
        <v>1</v>
      </c>
      <c r="AZ1398" s="1">
        <v>0.25</v>
      </c>
      <c r="BG1398" s="1" t="s">
        <v>5318</v>
      </c>
      <c r="BM1398" s="1" t="s">
        <v>4959</v>
      </c>
      <c r="BQ1398" s="1" t="s">
        <v>207</v>
      </c>
      <c r="BR1398" s="1" t="s">
        <v>208</v>
      </c>
      <c r="BS1398" s="1" t="s">
        <v>229</v>
      </c>
      <c r="BT1398" s="1" t="s">
        <v>210</v>
      </c>
      <c r="BX1398" s="1">
        <v>1</v>
      </c>
    </row>
    <row r="1399" spans="1:76" x14ac:dyDescent="0.25">
      <c r="A1399" s="1" t="s">
        <v>5321</v>
      </c>
      <c r="B1399" s="1" t="s">
        <v>203</v>
      </c>
      <c r="C1399" s="1">
        <v>1</v>
      </c>
      <c r="D1399" s="1" t="s">
        <v>5322</v>
      </c>
      <c r="E1399" s="1">
        <v>1572</v>
      </c>
      <c r="F1399" s="1" t="s">
        <v>5321</v>
      </c>
      <c r="G1399" s="1">
        <v>1</v>
      </c>
      <c r="L1399" s="1">
        <v>80000</v>
      </c>
      <c r="N1399" s="1">
        <v>800</v>
      </c>
      <c r="P1399" s="1">
        <v>800</v>
      </c>
      <c r="R1399" s="1">
        <v>70</v>
      </c>
      <c r="Z1399" s="1">
        <v>0.05</v>
      </c>
      <c r="AA1399" s="1">
        <v>4</v>
      </c>
      <c r="AB1399" s="1">
        <v>10</v>
      </c>
      <c r="AC1399" s="1">
        <v>0.3</v>
      </c>
      <c r="AH1399" s="1">
        <v>0</v>
      </c>
      <c r="AI1399" s="1">
        <v>1</v>
      </c>
      <c r="AJ1399" s="1" t="s">
        <v>5323</v>
      </c>
      <c r="AK1399" s="1" t="s">
        <v>206</v>
      </c>
      <c r="AL1399" s="1" t="s">
        <v>228</v>
      </c>
      <c r="AN1399" s="22" t="s">
        <v>9767</v>
      </c>
      <c r="AX1399" s="1">
        <v>1</v>
      </c>
      <c r="AZ1399" s="1">
        <v>0.25</v>
      </c>
      <c r="BG1399" s="1" t="s">
        <v>5321</v>
      </c>
      <c r="BM1399" s="1" t="s">
        <v>4959</v>
      </c>
      <c r="BQ1399" s="1" t="s">
        <v>207</v>
      </c>
      <c r="BR1399" s="1" t="s">
        <v>2593</v>
      </c>
      <c r="BS1399" s="1" t="s">
        <v>2594</v>
      </c>
      <c r="BT1399" s="1" t="s">
        <v>3131</v>
      </c>
      <c r="BX1399" s="1">
        <v>1</v>
      </c>
    </row>
    <row r="1400" spans="1:76" x14ac:dyDescent="0.25">
      <c r="A1400" s="1" t="s">
        <v>5324</v>
      </c>
      <c r="B1400" s="1" t="s">
        <v>203</v>
      </c>
      <c r="C1400" s="1">
        <v>1</v>
      </c>
      <c r="D1400" s="1" t="s">
        <v>5325</v>
      </c>
      <c r="E1400" s="1">
        <v>10138</v>
      </c>
      <c r="F1400" s="1" t="s">
        <v>5324</v>
      </c>
      <c r="G1400" s="1">
        <v>1</v>
      </c>
      <c r="L1400" s="1">
        <v>5500</v>
      </c>
      <c r="N1400" s="1">
        <v>200</v>
      </c>
      <c r="P1400" s="1">
        <v>200</v>
      </c>
      <c r="R1400" s="1">
        <v>10</v>
      </c>
      <c r="Z1400" s="1">
        <v>0.05</v>
      </c>
      <c r="AA1400" s="1">
        <v>5</v>
      </c>
      <c r="AB1400" s="1">
        <v>1</v>
      </c>
      <c r="AC1400" s="1">
        <v>0.6</v>
      </c>
      <c r="AH1400" s="1">
        <v>0</v>
      </c>
      <c r="AI1400" s="1">
        <v>1</v>
      </c>
      <c r="AJ1400" s="1" t="s">
        <v>5326</v>
      </c>
      <c r="AK1400" s="1" t="s">
        <v>206</v>
      </c>
      <c r="AL1400" s="1" t="s">
        <v>228</v>
      </c>
      <c r="AN1400" s="22" t="s">
        <v>9767</v>
      </c>
      <c r="AX1400" s="1">
        <v>1</v>
      </c>
      <c r="AZ1400" s="1">
        <v>0.25</v>
      </c>
      <c r="BG1400" s="1" t="s">
        <v>5324</v>
      </c>
      <c r="BM1400" s="1" t="s">
        <v>4959</v>
      </c>
      <c r="BQ1400" s="1" t="s">
        <v>207</v>
      </c>
      <c r="BR1400" s="1" t="s">
        <v>208</v>
      </c>
      <c r="BS1400" s="1" t="s">
        <v>229</v>
      </c>
      <c r="BT1400" s="1" t="s">
        <v>210</v>
      </c>
      <c r="BX1400" s="1">
        <v>1</v>
      </c>
    </row>
    <row r="1401" spans="1:76" x14ac:dyDescent="0.25">
      <c r="A1401" s="1" t="s">
        <v>5327</v>
      </c>
      <c r="B1401" s="1" t="s">
        <v>203</v>
      </c>
      <c r="C1401" s="1">
        <v>1</v>
      </c>
      <c r="D1401" s="1" t="s">
        <v>5328</v>
      </c>
      <c r="E1401" s="1">
        <v>10138</v>
      </c>
      <c r="F1401" s="1" t="s">
        <v>5327</v>
      </c>
      <c r="G1401" s="1">
        <v>1</v>
      </c>
      <c r="L1401" s="1">
        <v>7000</v>
      </c>
      <c r="N1401" s="1">
        <v>300</v>
      </c>
      <c r="P1401" s="1">
        <v>200</v>
      </c>
      <c r="R1401" s="1">
        <v>10</v>
      </c>
      <c r="Z1401" s="1">
        <v>0.05</v>
      </c>
      <c r="AA1401" s="1">
        <v>5</v>
      </c>
      <c r="AB1401" s="1">
        <v>1</v>
      </c>
      <c r="AC1401" s="1">
        <v>0.6</v>
      </c>
      <c r="AH1401" s="1">
        <v>0</v>
      </c>
      <c r="AI1401" s="1">
        <v>1</v>
      </c>
      <c r="AJ1401" s="1" t="s">
        <v>5329</v>
      </c>
      <c r="AK1401" s="1" t="s">
        <v>206</v>
      </c>
      <c r="AL1401" s="1" t="s">
        <v>228</v>
      </c>
      <c r="AN1401" s="22" t="s">
        <v>9767</v>
      </c>
      <c r="AX1401" s="1">
        <v>1</v>
      </c>
      <c r="AZ1401" s="1">
        <v>0.25</v>
      </c>
      <c r="BG1401" s="1" t="s">
        <v>5327</v>
      </c>
      <c r="BM1401" s="1" t="s">
        <v>4959</v>
      </c>
      <c r="BQ1401" s="1" t="s">
        <v>207</v>
      </c>
      <c r="BR1401" s="1" t="s">
        <v>208</v>
      </c>
      <c r="BS1401" s="1" t="s">
        <v>229</v>
      </c>
      <c r="BT1401" s="1" t="s">
        <v>210</v>
      </c>
      <c r="BX1401" s="1">
        <v>1</v>
      </c>
    </row>
    <row r="1402" spans="1:76" x14ac:dyDescent="0.25">
      <c r="A1402" s="1" t="s">
        <v>5330</v>
      </c>
      <c r="B1402" s="1" t="s">
        <v>203</v>
      </c>
      <c r="C1402" s="1">
        <v>1</v>
      </c>
      <c r="D1402" s="1" t="s">
        <v>5331</v>
      </c>
      <c r="E1402" s="1">
        <v>10139</v>
      </c>
      <c r="F1402" s="1" t="s">
        <v>5330</v>
      </c>
      <c r="G1402" s="1">
        <v>1</v>
      </c>
      <c r="L1402" s="1">
        <v>5500</v>
      </c>
      <c r="N1402" s="1">
        <v>200</v>
      </c>
      <c r="P1402" s="1">
        <v>200</v>
      </c>
      <c r="R1402" s="1">
        <v>10</v>
      </c>
      <c r="Z1402" s="1">
        <v>0.05</v>
      </c>
      <c r="AA1402" s="1">
        <v>5</v>
      </c>
      <c r="AB1402" s="1">
        <v>1</v>
      </c>
      <c r="AC1402" s="1">
        <v>0.8</v>
      </c>
      <c r="AH1402" s="1">
        <v>0</v>
      </c>
      <c r="AI1402" s="1">
        <v>1</v>
      </c>
      <c r="AJ1402" s="1" t="s">
        <v>5332</v>
      </c>
      <c r="AK1402" s="1" t="s">
        <v>206</v>
      </c>
      <c r="AL1402" s="1" t="s">
        <v>228</v>
      </c>
      <c r="AN1402" s="22" t="s">
        <v>9767</v>
      </c>
      <c r="AX1402" s="1">
        <v>1</v>
      </c>
      <c r="AZ1402" s="1">
        <v>0.25</v>
      </c>
      <c r="BG1402" s="1" t="s">
        <v>5330</v>
      </c>
      <c r="BM1402" s="1" t="s">
        <v>4959</v>
      </c>
      <c r="BQ1402" s="1" t="s">
        <v>207</v>
      </c>
      <c r="BR1402" s="1" t="s">
        <v>208</v>
      </c>
      <c r="BS1402" s="1" t="s">
        <v>229</v>
      </c>
      <c r="BT1402" s="1" t="s">
        <v>210</v>
      </c>
      <c r="BX1402" s="1">
        <v>1</v>
      </c>
    </row>
    <row r="1403" spans="1:76" x14ac:dyDescent="0.25">
      <c r="A1403" s="1" t="s">
        <v>5333</v>
      </c>
      <c r="B1403" s="1" t="s">
        <v>203</v>
      </c>
      <c r="C1403" s="1">
        <v>1</v>
      </c>
      <c r="D1403" s="1" t="s">
        <v>5334</v>
      </c>
      <c r="E1403" s="1">
        <v>10139</v>
      </c>
      <c r="F1403" s="1" t="s">
        <v>5333</v>
      </c>
      <c r="G1403" s="1">
        <v>1</v>
      </c>
      <c r="L1403" s="1">
        <v>7000</v>
      </c>
      <c r="N1403" s="1">
        <v>300</v>
      </c>
      <c r="P1403" s="1">
        <v>200</v>
      </c>
      <c r="R1403" s="1">
        <v>10</v>
      </c>
      <c r="Z1403" s="1">
        <v>0.05</v>
      </c>
      <c r="AA1403" s="1">
        <v>5</v>
      </c>
      <c r="AB1403" s="1">
        <v>1</v>
      </c>
      <c r="AC1403" s="1">
        <v>0.8</v>
      </c>
      <c r="AH1403" s="1">
        <v>0</v>
      </c>
      <c r="AI1403" s="1">
        <v>1</v>
      </c>
      <c r="AJ1403" s="1" t="s">
        <v>5335</v>
      </c>
      <c r="AK1403" s="1" t="s">
        <v>206</v>
      </c>
      <c r="AL1403" s="1" t="s">
        <v>228</v>
      </c>
      <c r="AN1403" s="22" t="s">
        <v>9767</v>
      </c>
      <c r="AX1403" s="1">
        <v>1</v>
      </c>
      <c r="AZ1403" s="1">
        <v>0.25</v>
      </c>
      <c r="BG1403" s="1" t="s">
        <v>5333</v>
      </c>
      <c r="BM1403" s="1" t="s">
        <v>4959</v>
      </c>
      <c r="BQ1403" s="1" t="s">
        <v>207</v>
      </c>
      <c r="BR1403" s="1" t="s">
        <v>208</v>
      </c>
      <c r="BS1403" s="1" t="s">
        <v>229</v>
      </c>
      <c r="BT1403" s="1" t="s">
        <v>210</v>
      </c>
      <c r="BX1403" s="1">
        <v>1</v>
      </c>
    </row>
    <row r="1404" spans="1:76" x14ac:dyDescent="0.25">
      <c r="A1404" s="1" t="s">
        <v>5336</v>
      </c>
      <c r="B1404" s="1" t="s">
        <v>203</v>
      </c>
      <c r="C1404" s="1">
        <v>1</v>
      </c>
      <c r="D1404" s="1" t="s">
        <v>5337</v>
      </c>
      <c r="E1404" s="1">
        <v>10140</v>
      </c>
      <c r="F1404" s="1" t="s">
        <v>5336</v>
      </c>
      <c r="G1404" s="1">
        <v>1</v>
      </c>
      <c r="L1404" s="1">
        <v>4500</v>
      </c>
      <c r="N1404" s="1">
        <v>200</v>
      </c>
      <c r="P1404" s="1">
        <v>100</v>
      </c>
      <c r="R1404" s="1">
        <v>10</v>
      </c>
      <c r="Z1404" s="1">
        <v>0.05</v>
      </c>
      <c r="AA1404" s="1">
        <v>3</v>
      </c>
      <c r="AB1404" s="1">
        <v>3</v>
      </c>
      <c r="AC1404" s="1">
        <v>0.6</v>
      </c>
      <c r="AH1404" s="1">
        <v>0</v>
      </c>
      <c r="AI1404" s="1">
        <v>1</v>
      </c>
      <c r="AJ1404" s="1" t="s">
        <v>5338</v>
      </c>
      <c r="AK1404" s="1" t="s">
        <v>206</v>
      </c>
      <c r="AL1404" s="1" t="s">
        <v>228</v>
      </c>
      <c r="AN1404" s="22" t="s">
        <v>9767</v>
      </c>
      <c r="AP1404" s="1">
        <v>1</v>
      </c>
      <c r="AX1404" s="1">
        <v>1</v>
      </c>
      <c r="AZ1404" s="1">
        <v>0.25</v>
      </c>
      <c r="BG1404" s="1" t="s">
        <v>5336</v>
      </c>
      <c r="BM1404" s="1" t="s">
        <v>4959</v>
      </c>
      <c r="BQ1404" s="1" t="s">
        <v>207</v>
      </c>
      <c r="BR1404" s="1" t="s">
        <v>208</v>
      </c>
      <c r="BS1404" s="1" t="s">
        <v>229</v>
      </c>
      <c r="BT1404" s="1" t="s">
        <v>210</v>
      </c>
      <c r="BX1404" s="1">
        <v>1</v>
      </c>
    </row>
    <row r="1405" spans="1:76" x14ac:dyDescent="0.25">
      <c r="A1405" s="1" t="s">
        <v>5339</v>
      </c>
      <c r="B1405" s="1" t="s">
        <v>203</v>
      </c>
      <c r="C1405" s="1">
        <v>1</v>
      </c>
      <c r="D1405" s="1" t="s">
        <v>5340</v>
      </c>
      <c r="E1405" s="1">
        <v>10140</v>
      </c>
      <c r="F1405" s="1" t="s">
        <v>5339</v>
      </c>
      <c r="G1405" s="1">
        <v>1</v>
      </c>
      <c r="L1405" s="1">
        <v>6000</v>
      </c>
      <c r="N1405" s="1">
        <v>300</v>
      </c>
      <c r="P1405" s="1">
        <v>150</v>
      </c>
      <c r="R1405" s="1">
        <v>15</v>
      </c>
      <c r="Z1405" s="1">
        <v>0.05</v>
      </c>
      <c r="AA1405" s="1">
        <v>3</v>
      </c>
      <c r="AB1405" s="1">
        <v>3</v>
      </c>
      <c r="AC1405" s="1">
        <v>0.6</v>
      </c>
      <c r="AH1405" s="1">
        <v>0</v>
      </c>
      <c r="AI1405" s="1">
        <v>1</v>
      </c>
      <c r="AJ1405" s="1" t="s">
        <v>5341</v>
      </c>
      <c r="AK1405" s="1" t="s">
        <v>206</v>
      </c>
      <c r="AL1405" s="1" t="s">
        <v>228</v>
      </c>
      <c r="AN1405" s="22" t="s">
        <v>9767</v>
      </c>
      <c r="AP1405" s="1">
        <v>1</v>
      </c>
      <c r="AX1405" s="1">
        <v>1</v>
      </c>
      <c r="AZ1405" s="1">
        <v>0.25</v>
      </c>
      <c r="BG1405" s="1" t="s">
        <v>5339</v>
      </c>
      <c r="BM1405" s="1" t="s">
        <v>4959</v>
      </c>
      <c r="BQ1405" s="1" t="s">
        <v>207</v>
      </c>
      <c r="BR1405" s="1" t="s">
        <v>208</v>
      </c>
      <c r="BS1405" s="1" t="s">
        <v>229</v>
      </c>
      <c r="BT1405" s="1" t="s">
        <v>210</v>
      </c>
      <c r="BX1405" s="1">
        <v>1</v>
      </c>
    </row>
    <row r="1406" spans="1:76" x14ac:dyDescent="0.25">
      <c r="A1406" s="1" t="s">
        <v>5342</v>
      </c>
      <c r="B1406" s="1" t="s">
        <v>203</v>
      </c>
      <c r="C1406" s="1">
        <v>1</v>
      </c>
      <c r="D1406" s="1" t="s">
        <v>5343</v>
      </c>
      <c r="E1406" s="1">
        <v>10141</v>
      </c>
      <c r="F1406" s="1" t="s">
        <v>5342</v>
      </c>
      <c r="G1406" s="1">
        <v>1</v>
      </c>
      <c r="L1406" s="1">
        <v>7500</v>
      </c>
      <c r="N1406" s="1">
        <v>300</v>
      </c>
      <c r="P1406" s="1">
        <v>150</v>
      </c>
      <c r="R1406" s="1">
        <v>15</v>
      </c>
      <c r="Z1406" s="1">
        <v>0.05</v>
      </c>
      <c r="AA1406" s="1">
        <v>3.5</v>
      </c>
      <c r="AB1406" s="1">
        <v>3</v>
      </c>
      <c r="AC1406" s="1">
        <v>0.7</v>
      </c>
      <c r="AH1406" s="1">
        <v>0</v>
      </c>
      <c r="AI1406" s="1">
        <v>1</v>
      </c>
      <c r="AJ1406" s="1" t="s">
        <v>5344</v>
      </c>
      <c r="AK1406" s="1" t="s">
        <v>206</v>
      </c>
      <c r="AL1406" s="1" t="s">
        <v>228</v>
      </c>
      <c r="AN1406" s="22" t="s">
        <v>9767</v>
      </c>
      <c r="AX1406" s="1">
        <v>1</v>
      </c>
      <c r="AZ1406" s="1">
        <v>0.25</v>
      </c>
      <c r="BG1406" s="1" t="s">
        <v>5342</v>
      </c>
      <c r="BM1406" s="1" t="s">
        <v>4959</v>
      </c>
      <c r="BQ1406" s="1" t="s">
        <v>207</v>
      </c>
      <c r="BR1406" s="1" t="s">
        <v>208</v>
      </c>
      <c r="BS1406" s="1" t="s">
        <v>229</v>
      </c>
      <c r="BT1406" s="1" t="s">
        <v>210</v>
      </c>
      <c r="BX1406" s="1">
        <v>1</v>
      </c>
    </row>
    <row r="1407" spans="1:76" x14ac:dyDescent="0.25">
      <c r="A1407" s="1" t="s">
        <v>5345</v>
      </c>
      <c r="B1407" s="1" t="s">
        <v>203</v>
      </c>
      <c r="C1407" s="1">
        <v>1</v>
      </c>
      <c r="D1407" s="1" t="s">
        <v>5346</v>
      </c>
      <c r="E1407" s="1">
        <v>10141</v>
      </c>
      <c r="F1407" s="1" t="s">
        <v>5345</v>
      </c>
      <c r="G1407" s="1">
        <v>1</v>
      </c>
      <c r="L1407" s="1">
        <v>10000</v>
      </c>
      <c r="N1407" s="1">
        <v>400</v>
      </c>
      <c r="P1407" s="1">
        <v>200</v>
      </c>
      <c r="R1407" s="1">
        <v>20</v>
      </c>
      <c r="Z1407" s="1">
        <v>0.05</v>
      </c>
      <c r="AA1407" s="1">
        <v>3.5</v>
      </c>
      <c r="AB1407" s="1">
        <v>3</v>
      </c>
      <c r="AC1407" s="1">
        <v>0.7</v>
      </c>
      <c r="AH1407" s="1">
        <v>0</v>
      </c>
      <c r="AI1407" s="1">
        <v>1</v>
      </c>
      <c r="AJ1407" s="1" t="s">
        <v>5347</v>
      </c>
      <c r="AK1407" s="1" t="s">
        <v>206</v>
      </c>
      <c r="AL1407" s="1" t="s">
        <v>228</v>
      </c>
      <c r="AN1407" s="22" t="s">
        <v>9767</v>
      </c>
      <c r="AX1407" s="1">
        <v>1</v>
      </c>
      <c r="AZ1407" s="1">
        <v>0.25</v>
      </c>
      <c r="BG1407" s="1" t="s">
        <v>5345</v>
      </c>
      <c r="BM1407" s="1" t="s">
        <v>4959</v>
      </c>
      <c r="BQ1407" s="1" t="s">
        <v>207</v>
      </c>
      <c r="BR1407" s="1" t="s">
        <v>208</v>
      </c>
      <c r="BS1407" s="1" t="s">
        <v>229</v>
      </c>
      <c r="BT1407" s="1" t="s">
        <v>210</v>
      </c>
      <c r="BX1407" s="1">
        <v>1</v>
      </c>
    </row>
    <row r="1408" spans="1:76" x14ac:dyDescent="0.25">
      <c r="A1408" s="1" t="s">
        <v>5348</v>
      </c>
      <c r="B1408" s="1" t="s">
        <v>203</v>
      </c>
      <c r="C1408" s="1">
        <v>1</v>
      </c>
      <c r="D1408" s="1" t="s">
        <v>5349</v>
      </c>
      <c r="E1408" s="1">
        <v>10142</v>
      </c>
      <c r="F1408" s="1" t="s">
        <v>5348</v>
      </c>
      <c r="G1408" s="1">
        <v>1</v>
      </c>
      <c r="L1408" s="1">
        <v>8000</v>
      </c>
      <c r="N1408" s="1">
        <v>500</v>
      </c>
      <c r="P1408" s="1">
        <v>3200</v>
      </c>
      <c r="R1408" s="1">
        <v>80</v>
      </c>
      <c r="Z1408" s="1">
        <v>0.05</v>
      </c>
      <c r="AA1408" s="1">
        <v>3</v>
      </c>
      <c r="AB1408" s="1">
        <v>3</v>
      </c>
      <c r="AC1408" s="1">
        <v>0.5</v>
      </c>
      <c r="AH1408" s="1">
        <v>0</v>
      </c>
      <c r="AI1408" s="1">
        <v>1</v>
      </c>
      <c r="AJ1408" s="1" t="s">
        <v>5350</v>
      </c>
      <c r="AK1408" s="1" t="s">
        <v>206</v>
      </c>
      <c r="AL1408" s="1" t="s">
        <v>228</v>
      </c>
      <c r="AN1408" s="22" t="s">
        <v>9767</v>
      </c>
      <c r="AX1408" s="1">
        <v>1</v>
      </c>
      <c r="AZ1408" s="1">
        <v>0.25</v>
      </c>
      <c r="BG1408" s="1" t="s">
        <v>5348</v>
      </c>
      <c r="BM1408" s="1" t="s">
        <v>4959</v>
      </c>
      <c r="BQ1408" s="1" t="s">
        <v>3328</v>
      </c>
      <c r="BR1408" s="1" t="s">
        <v>1935</v>
      </c>
      <c r="BS1408" s="1" t="s">
        <v>1936</v>
      </c>
      <c r="BT1408" s="1" t="s">
        <v>3296</v>
      </c>
      <c r="BX1408" s="1">
        <v>1</v>
      </c>
    </row>
    <row r="1409" spans="1:76" x14ac:dyDescent="0.25">
      <c r="A1409" s="1" t="s">
        <v>5351</v>
      </c>
      <c r="B1409" s="1" t="s">
        <v>203</v>
      </c>
      <c r="C1409" s="1">
        <v>1</v>
      </c>
      <c r="D1409" s="1" t="s">
        <v>5352</v>
      </c>
      <c r="E1409" s="1">
        <v>10142</v>
      </c>
      <c r="F1409" s="1" t="s">
        <v>5351</v>
      </c>
      <c r="G1409" s="1">
        <v>1</v>
      </c>
      <c r="L1409" s="1">
        <v>10000</v>
      </c>
      <c r="N1409" s="1">
        <v>700</v>
      </c>
      <c r="P1409" s="1">
        <v>3200</v>
      </c>
      <c r="R1409" s="1">
        <v>80</v>
      </c>
      <c r="Z1409" s="1">
        <v>0.05</v>
      </c>
      <c r="AA1409" s="1">
        <v>3</v>
      </c>
      <c r="AB1409" s="1">
        <v>3</v>
      </c>
      <c r="AC1409" s="1">
        <v>0.5</v>
      </c>
      <c r="AH1409" s="1">
        <v>0</v>
      </c>
      <c r="AI1409" s="1">
        <v>1</v>
      </c>
      <c r="AJ1409" s="1" t="s">
        <v>5353</v>
      </c>
      <c r="AK1409" s="1" t="s">
        <v>206</v>
      </c>
      <c r="AL1409" s="1" t="s">
        <v>228</v>
      </c>
      <c r="AN1409" s="22" t="s">
        <v>9767</v>
      </c>
      <c r="AX1409" s="1">
        <v>1</v>
      </c>
      <c r="AZ1409" s="1">
        <v>0.25</v>
      </c>
      <c r="BG1409" s="1" t="s">
        <v>5351</v>
      </c>
      <c r="BM1409" s="1" t="s">
        <v>4959</v>
      </c>
      <c r="BQ1409" s="1" t="s">
        <v>3328</v>
      </c>
      <c r="BR1409" s="1" t="s">
        <v>1935</v>
      </c>
      <c r="BS1409" s="1" t="s">
        <v>1936</v>
      </c>
      <c r="BT1409" s="1" t="s">
        <v>3296</v>
      </c>
      <c r="BX1409" s="1">
        <v>1</v>
      </c>
    </row>
    <row r="1410" spans="1:76" x14ac:dyDescent="0.25">
      <c r="A1410" s="1" t="s">
        <v>5354</v>
      </c>
      <c r="B1410" s="1" t="s">
        <v>203</v>
      </c>
      <c r="C1410" s="1">
        <v>1</v>
      </c>
      <c r="D1410" s="1" t="s">
        <v>5355</v>
      </c>
      <c r="E1410" s="1">
        <v>10143</v>
      </c>
      <c r="F1410" s="1" t="s">
        <v>5354</v>
      </c>
      <c r="G1410" s="1">
        <v>1</v>
      </c>
      <c r="L1410" s="1">
        <v>12000</v>
      </c>
      <c r="N1410" s="1">
        <v>500</v>
      </c>
      <c r="P1410" s="1">
        <v>600</v>
      </c>
      <c r="R1410" s="1">
        <v>0</v>
      </c>
      <c r="Z1410" s="1">
        <v>0.05</v>
      </c>
      <c r="AA1410" s="1">
        <v>3.5</v>
      </c>
      <c r="AB1410" s="1">
        <v>3</v>
      </c>
      <c r="AC1410" s="1">
        <v>1</v>
      </c>
      <c r="AH1410" s="1">
        <v>0</v>
      </c>
      <c r="AI1410" s="1">
        <v>1</v>
      </c>
      <c r="AJ1410" s="1" t="s">
        <v>5356</v>
      </c>
      <c r="AK1410" s="1" t="s">
        <v>206</v>
      </c>
      <c r="AL1410" s="1" t="s">
        <v>228</v>
      </c>
      <c r="AN1410" s="22" t="s">
        <v>9767</v>
      </c>
      <c r="AX1410" s="1">
        <v>1</v>
      </c>
      <c r="AZ1410" s="1">
        <v>0.25</v>
      </c>
      <c r="BG1410" s="1" t="s">
        <v>5354</v>
      </c>
      <c r="BM1410" s="1" t="s">
        <v>4959</v>
      </c>
      <c r="BQ1410" s="1" t="s">
        <v>3328</v>
      </c>
      <c r="BR1410" s="1" t="s">
        <v>1935</v>
      </c>
      <c r="BS1410" s="1" t="s">
        <v>1936</v>
      </c>
      <c r="BT1410" s="1" t="s">
        <v>3296</v>
      </c>
      <c r="BX1410" s="1">
        <v>1</v>
      </c>
    </row>
    <row r="1411" spans="1:76" x14ac:dyDescent="0.25">
      <c r="A1411" s="1" t="s">
        <v>5357</v>
      </c>
      <c r="B1411" s="1" t="s">
        <v>203</v>
      </c>
      <c r="C1411" s="1">
        <v>1</v>
      </c>
      <c r="D1411" s="1" t="s">
        <v>5358</v>
      </c>
      <c r="E1411" s="1">
        <v>10143</v>
      </c>
      <c r="F1411" s="1" t="s">
        <v>5357</v>
      </c>
      <c r="G1411" s="1">
        <v>1</v>
      </c>
      <c r="L1411" s="1">
        <v>18000</v>
      </c>
      <c r="N1411" s="1">
        <v>800</v>
      </c>
      <c r="P1411" s="1">
        <v>800</v>
      </c>
      <c r="R1411" s="1">
        <v>0</v>
      </c>
      <c r="Z1411" s="1">
        <v>0.05</v>
      </c>
      <c r="AA1411" s="1">
        <v>3.5</v>
      </c>
      <c r="AB1411" s="1">
        <v>3</v>
      </c>
      <c r="AC1411" s="1">
        <v>1</v>
      </c>
      <c r="AH1411" s="1">
        <v>0</v>
      </c>
      <c r="AI1411" s="1">
        <v>1</v>
      </c>
      <c r="AJ1411" s="1" t="s">
        <v>5359</v>
      </c>
      <c r="AK1411" s="1" t="s">
        <v>206</v>
      </c>
      <c r="AL1411" s="1" t="s">
        <v>228</v>
      </c>
      <c r="AN1411" s="22" t="s">
        <v>9767</v>
      </c>
      <c r="AX1411" s="1">
        <v>1</v>
      </c>
      <c r="AZ1411" s="1">
        <v>0.25</v>
      </c>
      <c r="BG1411" s="1" t="s">
        <v>5357</v>
      </c>
      <c r="BM1411" s="1" t="s">
        <v>4959</v>
      </c>
      <c r="BQ1411" s="1" t="s">
        <v>3328</v>
      </c>
      <c r="BR1411" s="1" t="s">
        <v>1935</v>
      </c>
      <c r="BS1411" s="1" t="s">
        <v>1936</v>
      </c>
      <c r="BT1411" s="1" t="s">
        <v>3296</v>
      </c>
      <c r="BX1411" s="1">
        <v>1</v>
      </c>
    </row>
    <row r="1412" spans="1:76" x14ac:dyDescent="0.25">
      <c r="A1412" s="1" t="s">
        <v>5360</v>
      </c>
      <c r="B1412" s="1" t="s">
        <v>203</v>
      </c>
      <c r="C1412" s="1">
        <v>1</v>
      </c>
      <c r="D1412" s="1" t="s">
        <v>5361</v>
      </c>
      <c r="E1412" s="1">
        <v>10144</v>
      </c>
      <c r="F1412" s="1" t="s">
        <v>5360</v>
      </c>
      <c r="G1412" s="1">
        <v>1</v>
      </c>
      <c r="L1412" s="1">
        <v>15000</v>
      </c>
      <c r="N1412" s="1">
        <v>800</v>
      </c>
      <c r="P1412" s="1">
        <v>500</v>
      </c>
      <c r="R1412" s="1">
        <v>20</v>
      </c>
      <c r="Z1412" s="1">
        <v>0.05</v>
      </c>
      <c r="AA1412" s="1">
        <v>5</v>
      </c>
      <c r="AB1412" s="1">
        <v>3</v>
      </c>
      <c r="AC1412" s="1">
        <v>0.7</v>
      </c>
      <c r="AH1412" s="1">
        <v>0</v>
      </c>
      <c r="AI1412" s="1">
        <v>1</v>
      </c>
      <c r="AJ1412" s="1" t="s">
        <v>5362</v>
      </c>
      <c r="AK1412" s="1" t="s">
        <v>206</v>
      </c>
      <c r="AL1412" s="1" t="s">
        <v>228</v>
      </c>
      <c r="AN1412" s="22" t="s">
        <v>9767</v>
      </c>
      <c r="AX1412" s="1">
        <v>1</v>
      </c>
      <c r="AZ1412" s="1">
        <v>0.25</v>
      </c>
      <c r="BG1412" s="1" t="s">
        <v>5360</v>
      </c>
      <c r="BM1412" s="1" t="s">
        <v>4959</v>
      </c>
      <c r="BQ1412" s="1" t="s">
        <v>207</v>
      </c>
      <c r="BR1412" s="1" t="s">
        <v>208</v>
      </c>
      <c r="BS1412" s="1" t="s">
        <v>229</v>
      </c>
      <c r="BT1412" s="1" t="s">
        <v>210</v>
      </c>
      <c r="BX1412" s="1">
        <v>1</v>
      </c>
    </row>
    <row r="1413" spans="1:76" x14ac:dyDescent="0.25">
      <c r="A1413" s="1" t="s">
        <v>5363</v>
      </c>
      <c r="B1413" s="1" t="s">
        <v>203</v>
      </c>
      <c r="C1413" s="1">
        <v>1</v>
      </c>
      <c r="D1413" s="1" t="s">
        <v>5364</v>
      </c>
      <c r="E1413" s="1">
        <v>10144</v>
      </c>
      <c r="F1413" s="1" t="s">
        <v>5363</v>
      </c>
      <c r="G1413" s="1">
        <v>1</v>
      </c>
      <c r="L1413" s="1">
        <v>20000</v>
      </c>
      <c r="N1413" s="1">
        <v>1000</v>
      </c>
      <c r="P1413" s="1">
        <v>800</v>
      </c>
      <c r="R1413" s="1">
        <v>30</v>
      </c>
      <c r="Z1413" s="1">
        <v>0.05</v>
      </c>
      <c r="AA1413" s="1">
        <v>5</v>
      </c>
      <c r="AB1413" s="1">
        <v>3</v>
      </c>
      <c r="AC1413" s="1">
        <v>0.7</v>
      </c>
      <c r="AH1413" s="1">
        <v>0</v>
      </c>
      <c r="AI1413" s="1">
        <v>1</v>
      </c>
      <c r="AJ1413" s="1" t="s">
        <v>5365</v>
      </c>
      <c r="AK1413" s="1" t="s">
        <v>206</v>
      </c>
      <c r="AL1413" s="1" t="s">
        <v>228</v>
      </c>
      <c r="AN1413" s="22" t="s">
        <v>9767</v>
      </c>
      <c r="AX1413" s="1">
        <v>1</v>
      </c>
      <c r="AZ1413" s="1">
        <v>0.25</v>
      </c>
      <c r="BG1413" s="1" t="s">
        <v>5363</v>
      </c>
      <c r="BM1413" s="1" t="s">
        <v>4959</v>
      </c>
      <c r="BQ1413" s="1" t="s">
        <v>207</v>
      </c>
      <c r="BR1413" s="1" t="s">
        <v>208</v>
      </c>
      <c r="BS1413" s="1" t="s">
        <v>229</v>
      </c>
      <c r="BT1413" s="1" t="s">
        <v>210</v>
      </c>
      <c r="BX1413" s="1">
        <v>1</v>
      </c>
    </row>
    <row r="1414" spans="1:76" x14ac:dyDescent="0.25">
      <c r="A1414" s="1" t="s">
        <v>5366</v>
      </c>
      <c r="B1414" s="1" t="s">
        <v>203</v>
      </c>
      <c r="C1414" s="1">
        <v>1</v>
      </c>
      <c r="D1414" s="1" t="s">
        <v>5367</v>
      </c>
      <c r="E1414" s="1">
        <v>10145</v>
      </c>
      <c r="F1414" s="1" t="s">
        <v>5366</v>
      </c>
      <c r="G1414" s="1">
        <v>1</v>
      </c>
      <c r="L1414" s="1">
        <v>20000</v>
      </c>
      <c r="N1414" s="1">
        <v>1500</v>
      </c>
      <c r="P1414" s="1">
        <v>2500</v>
      </c>
      <c r="R1414" s="1">
        <v>80</v>
      </c>
      <c r="Z1414" s="1">
        <v>0.05</v>
      </c>
      <c r="AA1414" s="1">
        <v>7</v>
      </c>
      <c r="AB1414" s="1">
        <v>5</v>
      </c>
      <c r="AC1414" s="1">
        <v>0.3</v>
      </c>
      <c r="AH1414" s="1">
        <v>0</v>
      </c>
      <c r="AI1414" s="1">
        <v>1</v>
      </c>
      <c r="AJ1414" s="1" t="s">
        <v>5368</v>
      </c>
      <c r="AK1414" s="1" t="s">
        <v>206</v>
      </c>
      <c r="AL1414" s="1" t="s">
        <v>228</v>
      </c>
      <c r="AN1414" s="22" t="s">
        <v>9767</v>
      </c>
      <c r="AX1414" s="1">
        <v>1</v>
      </c>
      <c r="AZ1414" s="1">
        <v>0.25</v>
      </c>
      <c r="BG1414" s="1" t="s">
        <v>5366</v>
      </c>
      <c r="BM1414" s="1" t="s">
        <v>4959</v>
      </c>
      <c r="BQ1414" s="1" t="s">
        <v>4109</v>
      </c>
      <c r="BR1414" s="1" t="s">
        <v>4020</v>
      </c>
      <c r="BS1414" s="1" t="s">
        <v>4021</v>
      </c>
      <c r="BT1414" s="1" t="s">
        <v>2595</v>
      </c>
      <c r="BX1414" s="1">
        <v>1</v>
      </c>
    </row>
    <row r="1415" spans="1:76" x14ac:dyDescent="0.25">
      <c r="A1415" s="1" t="s">
        <v>5369</v>
      </c>
      <c r="B1415" s="1" t="s">
        <v>203</v>
      </c>
      <c r="C1415" s="1">
        <v>1</v>
      </c>
      <c r="D1415" s="1" t="s">
        <v>5370</v>
      </c>
      <c r="E1415" s="1">
        <v>10145</v>
      </c>
      <c r="F1415" s="1" t="s">
        <v>5369</v>
      </c>
      <c r="G1415" s="1">
        <v>1</v>
      </c>
      <c r="L1415" s="1">
        <v>24000</v>
      </c>
      <c r="N1415" s="1">
        <v>1500</v>
      </c>
      <c r="P1415" s="1">
        <v>3000</v>
      </c>
      <c r="R1415" s="1">
        <v>80</v>
      </c>
      <c r="Z1415" s="1">
        <v>0.05</v>
      </c>
      <c r="AA1415" s="1">
        <v>7</v>
      </c>
      <c r="AB1415" s="1">
        <v>5</v>
      </c>
      <c r="AC1415" s="1">
        <v>0.3</v>
      </c>
      <c r="AH1415" s="1">
        <v>0</v>
      </c>
      <c r="AI1415" s="1">
        <v>1</v>
      </c>
      <c r="AJ1415" s="1" t="s">
        <v>5371</v>
      </c>
      <c r="AK1415" s="1" t="s">
        <v>206</v>
      </c>
      <c r="AL1415" s="1" t="s">
        <v>228</v>
      </c>
      <c r="AN1415" s="22" t="s">
        <v>9767</v>
      </c>
      <c r="AX1415" s="1">
        <v>1</v>
      </c>
      <c r="AZ1415" s="1">
        <v>0.25</v>
      </c>
      <c r="BG1415" s="1" t="s">
        <v>5369</v>
      </c>
      <c r="BM1415" s="1" t="s">
        <v>4959</v>
      </c>
      <c r="BQ1415" s="1" t="s">
        <v>4109</v>
      </c>
      <c r="BR1415" s="1" t="s">
        <v>4020</v>
      </c>
      <c r="BS1415" s="1" t="s">
        <v>4021</v>
      </c>
      <c r="BT1415" s="1" t="s">
        <v>2595</v>
      </c>
      <c r="BX1415" s="1">
        <v>1</v>
      </c>
    </row>
    <row r="1416" spans="1:76" x14ac:dyDescent="0.25">
      <c r="A1416" s="1" t="s">
        <v>5372</v>
      </c>
      <c r="B1416" s="1" t="s">
        <v>203</v>
      </c>
      <c r="C1416" s="1">
        <v>1</v>
      </c>
      <c r="D1416" s="1" t="s">
        <v>5373</v>
      </c>
      <c r="E1416" s="1">
        <v>1574</v>
      </c>
      <c r="F1416" s="1" t="s">
        <v>5372</v>
      </c>
      <c r="G1416" s="1">
        <v>1</v>
      </c>
      <c r="L1416" s="1">
        <v>125000</v>
      </c>
      <c r="N1416" s="1">
        <v>600</v>
      </c>
      <c r="P1416" s="1">
        <v>600</v>
      </c>
      <c r="R1416" s="1">
        <v>40</v>
      </c>
      <c r="Z1416" s="1">
        <v>0.05</v>
      </c>
      <c r="AA1416" s="1">
        <v>7</v>
      </c>
      <c r="AB1416" s="1">
        <v>10</v>
      </c>
      <c r="AC1416" s="1">
        <v>0.1</v>
      </c>
      <c r="AH1416" s="1">
        <v>0</v>
      </c>
      <c r="AI1416" s="1">
        <v>1</v>
      </c>
      <c r="AJ1416" s="1" t="s">
        <v>5374</v>
      </c>
      <c r="AK1416" s="1" t="s">
        <v>206</v>
      </c>
      <c r="AL1416" s="1" t="s">
        <v>228</v>
      </c>
      <c r="AN1416" s="22" t="s">
        <v>9767</v>
      </c>
      <c r="AX1416" s="1">
        <v>1</v>
      </c>
      <c r="AZ1416" s="1">
        <v>0.25</v>
      </c>
      <c r="BG1416" s="1" t="s">
        <v>5372</v>
      </c>
      <c r="BM1416" s="1" t="s">
        <v>4959</v>
      </c>
      <c r="BQ1416" s="1" t="s">
        <v>207</v>
      </c>
      <c r="BR1416" s="1" t="s">
        <v>208</v>
      </c>
    </row>
    <row r="1418" spans="1:76" x14ac:dyDescent="0.25">
      <c r="A1418" s="1" t="s">
        <v>5375</v>
      </c>
      <c r="B1418" s="1" t="s">
        <v>203</v>
      </c>
      <c r="C1418" s="1">
        <v>1</v>
      </c>
      <c r="D1418" s="1" t="s">
        <v>5376</v>
      </c>
      <c r="E1418" s="1">
        <v>1576</v>
      </c>
      <c r="F1418" s="1" t="s">
        <v>5375</v>
      </c>
      <c r="G1418" s="1">
        <v>1</v>
      </c>
      <c r="L1418" s="1">
        <v>10000</v>
      </c>
      <c r="N1418" s="1">
        <v>1000</v>
      </c>
      <c r="P1418" s="1">
        <v>250</v>
      </c>
      <c r="R1418" s="1">
        <v>15</v>
      </c>
      <c r="Z1418" s="1">
        <v>0.05</v>
      </c>
      <c r="AA1418" s="1">
        <v>5</v>
      </c>
      <c r="AB1418" s="1">
        <v>0</v>
      </c>
      <c r="AC1418" s="1">
        <v>0.8</v>
      </c>
      <c r="AH1418" s="1">
        <v>0</v>
      </c>
      <c r="AI1418" s="1">
        <v>2</v>
      </c>
      <c r="AJ1418" s="1" t="s">
        <v>5377</v>
      </c>
      <c r="AK1418" s="1" t="s">
        <v>206</v>
      </c>
      <c r="AL1418" s="1" t="s">
        <v>228</v>
      </c>
      <c r="AN1418" s="22" t="s">
        <v>9767</v>
      </c>
      <c r="AX1418" s="1">
        <v>1</v>
      </c>
      <c r="AZ1418" s="1">
        <v>0.25</v>
      </c>
      <c r="BG1418" s="1" t="s">
        <v>5375</v>
      </c>
      <c r="BM1418" s="1" t="s">
        <v>4959</v>
      </c>
      <c r="BQ1418" s="1" t="s">
        <v>207</v>
      </c>
      <c r="BR1418" s="1" t="s">
        <v>208</v>
      </c>
      <c r="BS1418" s="1" t="s">
        <v>229</v>
      </c>
      <c r="BT1418" s="1" t="s">
        <v>5378</v>
      </c>
      <c r="BX1418" s="1">
        <v>1</v>
      </c>
    </row>
    <row r="1419" spans="1:76" x14ac:dyDescent="0.25">
      <c r="A1419" s="1" t="s">
        <v>5379</v>
      </c>
      <c r="B1419" s="1" t="s">
        <v>203</v>
      </c>
      <c r="C1419" s="1">
        <v>1</v>
      </c>
      <c r="D1419" s="1" t="s">
        <v>5380</v>
      </c>
      <c r="E1419" s="1">
        <v>10146</v>
      </c>
      <c r="F1419" s="1" t="s">
        <v>5379</v>
      </c>
      <c r="G1419" s="1">
        <v>1</v>
      </c>
      <c r="L1419" s="1">
        <v>5000</v>
      </c>
      <c r="N1419" s="1">
        <v>350</v>
      </c>
      <c r="P1419" s="1">
        <v>100</v>
      </c>
      <c r="R1419" s="1">
        <v>10</v>
      </c>
      <c r="Z1419" s="1">
        <v>0.05</v>
      </c>
      <c r="AA1419" s="1">
        <v>3</v>
      </c>
      <c r="AB1419" s="1">
        <v>0</v>
      </c>
      <c r="AC1419" s="1">
        <v>0.3</v>
      </c>
      <c r="AH1419" s="1">
        <v>0</v>
      </c>
      <c r="AI1419" s="1">
        <v>1</v>
      </c>
      <c r="AJ1419" s="1" t="s">
        <v>5381</v>
      </c>
      <c r="AK1419" s="1" t="s">
        <v>206</v>
      </c>
      <c r="AL1419" s="1" t="s">
        <v>5382</v>
      </c>
      <c r="AN1419" s="22" t="s">
        <v>9767</v>
      </c>
      <c r="AP1419" s="1">
        <v>1</v>
      </c>
      <c r="AV1419" s="1">
        <v>-120</v>
      </c>
      <c r="AX1419" s="1">
        <v>1</v>
      </c>
      <c r="AZ1419" s="1">
        <v>0.25</v>
      </c>
      <c r="BG1419" s="1" t="s">
        <v>5379</v>
      </c>
      <c r="BM1419" s="1" t="s">
        <v>4959</v>
      </c>
      <c r="BQ1419" s="1" t="s">
        <v>207</v>
      </c>
      <c r="BR1419" s="1" t="s">
        <v>208</v>
      </c>
      <c r="BS1419" s="1" t="s">
        <v>229</v>
      </c>
      <c r="BT1419" s="1" t="s">
        <v>210</v>
      </c>
      <c r="BX1419" s="1">
        <v>1</v>
      </c>
    </row>
    <row r="1420" spans="1:76" x14ac:dyDescent="0.25">
      <c r="A1420" s="1" t="s">
        <v>5383</v>
      </c>
      <c r="B1420" s="1" t="s">
        <v>203</v>
      </c>
      <c r="C1420" s="1">
        <v>1</v>
      </c>
      <c r="D1420" s="1" t="s">
        <v>5384</v>
      </c>
      <c r="E1420" s="1">
        <v>10146</v>
      </c>
      <c r="F1420" s="1" t="s">
        <v>5383</v>
      </c>
      <c r="G1420" s="1">
        <v>1</v>
      </c>
      <c r="L1420" s="1">
        <v>6500</v>
      </c>
      <c r="N1420" s="1">
        <v>400</v>
      </c>
      <c r="P1420" s="1">
        <v>100</v>
      </c>
      <c r="R1420" s="1">
        <v>10</v>
      </c>
      <c r="Z1420" s="1">
        <v>0.05</v>
      </c>
      <c r="AA1420" s="1">
        <v>3</v>
      </c>
      <c r="AB1420" s="1">
        <v>0</v>
      </c>
      <c r="AC1420" s="1">
        <v>0.3</v>
      </c>
      <c r="AH1420" s="1">
        <v>0</v>
      </c>
      <c r="AI1420" s="1">
        <v>1</v>
      </c>
      <c r="AJ1420" s="1" t="s">
        <v>5385</v>
      </c>
      <c r="AK1420" s="1" t="s">
        <v>206</v>
      </c>
      <c r="AL1420" s="1" t="s">
        <v>5382</v>
      </c>
      <c r="AN1420" s="22" t="s">
        <v>9767</v>
      </c>
      <c r="AP1420" s="1">
        <v>1</v>
      </c>
      <c r="AV1420" s="1">
        <v>-120</v>
      </c>
      <c r="AX1420" s="1">
        <v>1</v>
      </c>
      <c r="AZ1420" s="1">
        <v>0.25</v>
      </c>
      <c r="BG1420" s="1" t="s">
        <v>5383</v>
      </c>
      <c r="BM1420" s="1" t="s">
        <v>4959</v>
      </c>
      <c r="BQ1420" s="1" t="s">
        <v>207</v>
      </c>
      <c r="BR1420" s="1" t="s">
        <v>208</v>
      </c>
      <c r="BS1420" s="1" t="s">
        <v>229</v>
      </c>
      <c r="BT1420" s="1" t="s">
        <v>210</v>
      </c>
      <c r="BX1420" s="1">
        <v>1</v>
      </c>
    </row>
    <row r="1421" spans="1:76" x14ac:dyDescent="0.25">
      <c r="A1421" s="1" t="s">
        <v>5386</v>
      </c>
      <c r="B1421" s="1" t="s">
        <v>203</v>
      </c>
      <c r="C1421" s="1">
        <v>1</v>
      </c>
      <c r="D1421" s="1" t="s">
        <v>5387</v>
      </c>
      <c r="E1421" s="1">
        <v>10147</v>
      </c>
      <c r="F1421" s="1" t="s">
        <v>5386</v>
      </c>
      <c r="G1421" s="1">
        <v>1</v>
      </c>
      <c r="L1421" s="1">
        <v>7000</v>
      </c>
      <c r="N1421" s="1">
        <v>330</v>
      </c>
      <c r="P1421" s="1">
        <v>300</v>
      </c>
      <c r="R1421" s="1">
        <v>20</v>
      </c>
      <c r="Z1421" s="1">
        <v>0.05</v>
      </c>
      <c r="AA1421" s="1">
        <v>2.5</v>
      </c>
      <c r="AB1421" s="1">
        <v>1</v>
      </c>
      <c r="AC1421" s="1">
        <v>0.6</v>
      </c>
      <c r="AH1421" s="1">
        <v>0</v>
      </c>
      <c r="AI1421" s="1">
        <v>1</v>
      </c>
      <c r="AJ1421" s="1" t="s">
        <v>5388</v>
      </c>
      <c r="AK1421" s="1" t="s">
        <v>206</v>
      </c>
      <c r="AL1421" s="1" t="s">
        <v>228</v>
      </c>
      <c r="AN1421" s="22" t="s">
        <v>9767</v>
      </c>
      <c r="AP1421" s="1">
        <v>1</v>
      </c>
      <c r="AX1421" s="1">
        <v>1</v>
      </c>
      <c r="AZ1421" s="1">
        <v>0.25</v>
      </c>
      <c r="BG1421" s="1" t="s">
        <v>5386</v>
      </c>
      <c r="BM1421" s="1" t="s">
        <v>4959</v>
      </c>
      <c r="BQ1421" s="1" t="s">
        <v>207</v>
      </c>
      <c r="BR1421" s="1" t="s">
        <v>208</v>
      </c>
      <c r="BS1421" s="1" t="s">
        <v>229</v>
      </c>
      <c r="BT1421" s="1" t="s">
        <v>210</v>
      </c>
      <c r="BX1421" s="1">
        <v>1</v>
      </c>
    </row>
    <row r="1422" spans="1:76" x14ac:dyDescent="0.25">
      <c r="A1422" s="1" t="s">
        <v>5389</v>
      </c>
      <c r="B1422" s="1" t="s">
        <v>203</v>
      </c>
      <c r="C1422" s="1">
        <v>1</v>
      </c>
      <c r="D1422" s="1" t="s">
        <v>5390</v>
      </c>
      <c r="E1422" s="1">
        <v>10147</v>
      </c>
      <c r="F1422" s="1" t="s">
        <v>5389</v>
      </c>
      <c r="G1422" s="1">
        <v>1</v>
      </c>
      <c r="L1422" s="1">
        <v>9000</v>
      </c>
      <c r="N1422" s="1">
        <v>400</v>
      </c>
      <c r="P1422" s="1">
        <v>300</v>
      </c>
      <c r="R1422" s="1">
        <v>20</v>
      </c>
      <c r="Z1422" s="1">
        <v>0.05</v>
      </c>
      <c r="AA1422" s="1">
        <v>2.5</v>
      </c>
      <c r="AB1422" s="1">
        <v>1</v>
      </c>
      <c r="AC1422" s="1">
        <v>0.6</v>
      </c>
      <c r="AH1422" s="1">
        <v>0</v>
      </c>
      <c r="AI1422" s="1">
        <v>1</v>
      </c>
      <c r="AJ1422" s="1" t="s">
        <v>5391</v>
      </c>
      <c r="AK1422" s="1" t="s">
        <v>206</v>
      </c>
      <c r="AL1422" s="1" t="s">
        <v>228</v>
      </c>
      <c r="AN1422" s="22" t="s">
        <v>9767</v>
      </c>
      <c r="AP1422" s="1">
        <v>1</v>
      </c>
      <c r="AX1422" s="1">
        <v>1</v>
      </c>
      <c r="AZ1422" s="1">
        <v>0.25</v>
      </c>
      <c r="BG1422" s="1" t="s">
        <v>5389</v>
      </c>
      <c r="BM1422" s="1" t="s">
        <v>4959</v>
      </c>
      <c r="BQ1422" s="1" t="s">
        <v>207</v>
      </c>
      <c r="BR1422" s="1" t="s">
        <v>208</v>
      </c>
      <c r="BS1422" s="1" t="s">
        <v>229</v>
      </c>
      <c r="BT1422" s="1" t="s">
        <v>210</v>
      </c>
      <c r="BX1422" s="1">
        <v>1</v>
      </c>
    </row>
    <row r="1423" spans="1:76" x14ac:dyDescent="0.25">
      <c r="A1423" s="1" t="s">
        <v>5392</v>
      </c>
      <c r="B1423" s="1" t="s">
        <v>203</v>
      </c>
      <c r="C1423" s="1">
        <v>1</v>
      </c>
      <c r="D1423" s="1" t="s">
        <v>5393</v>
      </c>
      <c r="E1423" s="1">
        <v>10148</v>
      </c>
      <c r="F1423" s="1" t="s">
        <v>5392</v>
      </c>
      <c r="G1423" s="1">
        <v>1</v>
      </c>
      <c r="L1423" s="1">
        <v>6000</v>
      </c>
      <c r="N1423" s="1">
        <v>200</v>
      </c>
      <c r="P1423" s="1">
        <v>200</v>
      </c>
      <c r="R1423" s="1">
        <v>50</v>
      </c>
      <c r="Z1423" s="1">
        <v>0.05</v>
      </c>
      <c r="AA1423" s="1">
        <v>1</v>
      </c>
      <c r="AB1423" s="1">
        <v>0</v>
      </c>
      <c r="AC1423" s="1">
        <v>1</v>
      </c>
      <c r="AH1423" s="1">
        <v>0</v>
      </c>
      <c r="AI1423" s="1">
        <v>1</v>
      </c>
      <c r="AJ1423" s="1" t="s">
        <v>5394</v>
      </c>
      <c r="AK1423" s="1" t="s">
        <v>206</v>
      </c>
      <c r="AL1423" s="1" t="s">
        <v>228</v>
      </c>
      <c r="AN1423" s="22" t="s">
        <v>9767</v>
      </c>
      <c r="AP1423" s="1">
        <v>1</v>
      </c>
      <c r="AX1423" s="1">
        <v>1</v>
      </c>
      <c r="AZ1423" s="1">
        <v>0.25</v>
      </c>
      <c r="BG1423" s="1" t="s">
        <v>5392</v>
      </c>
      <c r="BM1423" s="1" t="s">
        <v>4959</v>
      </c>
      <c r="BQ1423" s="1" t="s">
        <v>207</v>
      </c>
      <c r="BR1423" s="1" t="s">
        <v>208</v>
      </c>
      <c r="BS1423" s="1" t="s">
        <v>229</v>
      </c>
      <c r="BT1423" s="1" t="s">
        <v>210</v>
      </c>
      <c r="BX1423" s="1">
        <v>1</v>
      </c>
    </row>
    <row r="1424" spans="1:76" x14ac:dyDescent="0.25">
      <c r="A1424" s="1" t="s">
        <v>5395</v>
      </c>
      <c r="B1424" s="1" t="s">
        <v>203</v>
      </c>
      <c r="C1424" s="1">
        <v>1</v>
      </c>
      <c r="D1424" s="1" t="s">
        <v>5396</v>
      </c>
      <c r="E1424" s="1">
        <v>10148</v>
      </c>
      <c r="F1424" s="1" t="s">
        <v>5395</v>
      </c>
      <c r="G1424" s="1">
        <v>1</v>
      </c>
      <c r="L1424" s="1">
        <v>7000</v>
      </c>
      <c r="N1424" s="1">
        <v>250</v>
      </c>
      <c r="P1424" s="1">
        <v>200</v>
      </c>
      <c r="R1424" s="1">
        <v>50</v>
      </c>
      <c r="Z1424" s="1">
        <v>0.05</v>
      </c>
      <c r="AA1424" s="1">
        <v>1</v>
      </c>
      <c r="AB1424" s="1">
        <v>0</v>
      </c>
      <c r="AC1424" s="1">
        <v>1</v>
      </c>
      <c r="AH1424" s="1">
        <v>0</v>
      </c>
      <c r="AI1424" s="1">
        <v>1</v>
      </c>
      <c r="AJ1424" s="1" t="s">
        <v>5397</v>
      </c>
      <c r="AK1424" s="1" t="s">
        <v>206</v>
      </c>
      <c r="AL1424" s="1" t="s">
        <v>228</v>
      </c>
      <c r="AN1424" s="22" t="s">
        <v>9767</v>
      </c>
      <c r="AP1424" s="1">
        <v>1</v>
      </c>
      <c r="AX1424" s="1">
        <v>1</v>
      </c>
      <c r="AZ1424" s="1">
        <v>0.25</v>
      </c>
      <c r="BG1424" s="1" t="s">
        <v>5395</v>
      </c>
      <c r="BM1424" s="1" t="s">
        <v>4959</v>
      </c>
      <c r="BQ1424" s="1" t="s">
        <v>207</v>
      </c>
      <c r="BR1424" s="1" t="s">
        <v>208</v>
      </c>
      <c r="BS1424" s="1" t="s">
        <v>229</v>
      </c>
      <c r="BT1424" s="1" t="s">
        <v>210</v>
      </c>
      <c r="BX1424" s="1">
        <v>1</v>
      </c>
    </row>
    <row r="1425" spans="1:76" x14ac:dyDescent="0.25">
      <c r="A1425" s="1" t="s">
        <v>5398</v>
      </c>
      <c r="B1425" s="1" t="s">
        <v>203</v>
      </c>
      <c r="C1425" s="1">
        <v>1</v>
      </c>
      <c r="D1425" s="1" t="s">
        <v>5399</v>
      </c>
      <c r="E1425" s="1">
        <v>10149</v>
      </c>
      <c r="F1425" s="1" t="s">
        <v>5398</v>
      </c>
      <c r="G1425" s="1">
        <v>1</v>
      </c>
      <c r="L1425" s="1">
        <v>11000</v>
      </c>
      <c r="N1425" s="1">
        <v>550</v>
      </c>
      <c r="P1425" s="1">
        <v>400</v>
      </c>
      <c r="R1425" s="1">
        <v>10</v>
      </c>
      <c r="Z1425" s="1">
        <v>0.05</v>
      </c>
      <c r="AA1425" s="1">
        <v>3.5</v>
      </c>
      <c r="AB1425" s="1">
        <v>2</v>
      </c>
      <c r="AC1425" s="1">
        <v>0.3</v>
      </c>
      <c r="AH1425" s="1">
        <v>0</v>
      </c>
      <c r="AI1425" s="1">
        <v>1</v>
      </c>
      <c r="AJ1425" s="1" t="s">
        <v>5400</v>
      </c>
      <c r="AK1425" s="1" t="s">
        <v>206</v>
      </c>
      <c r="AL1425" s="1" t="s">
        <v>5382</v>
      </c>
      <c r="AN1425" s="22" t="s">
        <v>9767</v>
      </c>
      <c r="AP1425" s="1">
        <v>1</v>
      </c>
      <c r="AV1425" s="1">
        <v>-250</v>
      </c>
      <c r="AX1425" s="1">
        <v>1</v>
      </c>
      <c r="AZ1425" s="1">
        <v>0.25</v>
      </c>
      <c r="BG1425" s="1" t="s">
        <v>5398</v>
      </c>
      <c r="BM1425" s="1" t="s">
        <v>4959</v>
      </c>
      <c r="BQ1425" s="1" t="s">
        <v>207</v>
      </c>
      <c r="BR1425" s="1" t="s">
        <v>208</v>
      </c>
      <c r="BS1425" s="1" t="s">
        <v>229</v>
      </c>
      <c r="BT1425" s="1" t="s">
        <v>210</v>
      </c>
      <c r="BX1425" s="1">
        <v>1</v>
      </c>
    </row>
    <row r="1426" spans="1:76" x14ac:dyDescent="0.25">
      <c r="A1426" s="1" t="s">
        <v>5401</v>
      </c>
      <c r="B1426" s="1" t="s">
        <v>203</v>
      </c>
      <c r="C1426" s="1">
        <v>1</v>
      </c>
      <c r="D1426" s="1" t="s">
        <v>5402</v>
      </c>
      <c r="E1426" s="1">
        <v>10149</v>
      </c>
      <c r="F1426" s="1" t="s">
        <v>5401</v>
      </c>
      <c r="G1426" s="1">
        <v>1</v>
      </c>
      <c r="L1426" s="1">
        <v>13000</v>
      </c>
      <c r="N1426" s="1">
        <v>650</v>
      </c>
      <c r="P1426" s="1">
        <v>400</v>
      </c>
      <c r="R1426" s="1">
        <v>10</v>
      </c>
      <c r="Z1426" s="1">
        <v>0.05</v>
      </c>
      <c r="AA1426" s="1">
        <v>3.5</v>
      </c>
      <c r="AB1426" s="1">
        <v>2</v>
      </c>
      <c r="AC1426" s="1">
        <v>0.3</v>
      </c>
      <c r="AH1426" s="1">
        <v>0</v>
      </c>
      <c r="AI1426" s="1">
        <v>1</v>
      </c>
      <c r="AJ1426" s="1" t="s">
        <v>5403</v>
      </c>
      <c r="AK1426" s="1" t="s">
        <v>206</v>
      </c>
      <c r="AL1426" s="1" t="s">
        <v>5382</v>
      </c>
      <c r="AN1426" s="22" t="s">
        <v>9767</v>
      </c>
      <c r="AP1426" s="1">
        <v>1</v>
      </c>
      <c r="AV1426" s="1">
        <v>-250</v>
      </c>
      <c r="AX1426" s="1">
        <v>1</v>
      </c>
      <c r="AZ1426" s="1">
        <v>0.25</v>
      </c>
      <c r="BG1426" s="1" t="s">
        <v>5401</v>
      </c>
      <c r="BM1426" s="1" t="s">
        <v>4959</v>
      </c>
      <c r="BQ1426" s="1" t="s">
        <v>207</v>
      </c>
      <c r="BR1426" s="1" t="s">
        <v>208</v>
      </c>
      <c r="BS1426" s="1" t="s">
        <v>229</v>
      </c>
      <c r="BT1426" s="1" t="s">
        <v>210</v>
      </c>
      <c r="BX1426" s="1">
        <v>1</v>
      </c>
    </row>
    <row r="1427" spans="1:76" x14ac:dyDescent="0.25">
      <c r="A1427" s="1" t="s">
        <v>5404</v>
      </c>
      <c r="B1427" s="1" t="s">
        <v>203</v>
      </c>
      <c r="C1427" s="1">
        <v>1</v>
      </c>
      <c r="D1427" s="1" t="s">
        <v>5405</v>
      </c>
      <c r="E1427" s="1">
        <v>10150</v>
      </c>
      <c r="F1427" s="1" t="s">
        <v>5404</v>
      </c>
      <c r="G1427" s="1">
        <v>1</v>
      </c>
      <c r="L1427" s="1">
        <v>15000</v>
      </c>
      <c r="N1427" s="1">
        <v>360</v>
      </c>
      <c r="P1427" s="1">
        <v>200</v>
      </c>
      <c r="R1427" s="1">
        <v>60</v>
      </c>
      <c r="Z1427" s="1">
        <v>0.05</v>
      </c>
      <c r="AA1427" s="1">
        <v>4.5</v>
      </c>
      <c r="AB1427" s="1">
        <v>2</v>
      </c>
      <c r="AC1427" s="1">
        <v>0.4</v>
      </c>
      <c r="AH1427" s="1">
        <v>0</v>
      </c>
      <c r="AI1427" s="1">
        <v>1</v>
      </c>
      <c r="AJ1427" s="1" t="s">
        <v>5406</v>
      </c>
      <c r="AK1427" s="1" t="s">
        <v>206</v>
      </c>
      <c r="AL1427" s="1" t="s">
        <v>228</v>
      </c>
      <c r="AN1427" s="22" t="s">
        <v>9767</v>
      </c>
      <c r="AP1427" s="1">
        <v>1</v>
      </c>
      <c r="AX1427" s="1">
        <v>1</v>
      </c>
      <c r="AZ1427" s="1">
        <v>0.25</v>
      </c>
      <c r="BG1427" s="1" t="s">
        <v>5404</v>
      </c>
      <c r="BM1427" s="1" t="s">
        <v>4959</v>
      </c>
      <c r="BQ1427" s="1" t="s">
        <v>207</v>
      </c>
      <c r="BR1427" s="1" t="s">
        <v>208</v>
      </c>
      <c r="BS1427" s="1" t="s">
        <v>229</v>
      </c>
      <c r="BT1427" s="1" t="s">
        <v>210</v>
      </c>
      <c r="BX1427" s="1">
        <v>1</v>
      </c>
    </row>
    <row r="1428" spans="1:76" x14ac:dyDescent="0.25">
      <c r="A1428" s="1" t="s">
        <v>5407</v>
      </c>
      <c r="B1428" s="1" t="s">
        <v>203</v>
      </c>
      <c r="C1428" s="1">
        <v>1</v>
      </c>
      <c r="D1428" s="1" t="s">
        <v>5408</v>
      </c>
      <c r="E1428" s="1">
        <v>10150</v>
      </c>
      <c r="F1428" s="1" t="s">
        <v>5407</v>
      </c>
      <c r="G1428" s="1">
        <v>1</v>
      </c>
      <c r="L1428" s="1">
        <v>20000</v>
      </c>
      <c r="N1428" s="1">
        <v>480</v>
      </c>
      <c r="P1428" s="1">
        <v>200</v>
      </c>
      <c r="R1428" s="1">
        <v>60</v>
      </c>
      <c r="Z1428" s="1">
        <v>0.05</v>
      </c>
      <c r="AA1428" s="1">
        <v>4.5</v>
      </c>
      <c r="AB1428" s="1">
        <v>2</v>
      </c>
      <c r="AC1428" s="1">
        <v>0.4</v>
      </c>
      <c r="AH1428" s="1">
        <v>0</v>
      </c>
      <c r="AI1428" s="1">
        <v>1</v>
      </c>
      <c r="AJ1428" s="1" t="s">
        <v>5409</v>
      </c>
      <c r="AK1428" s="1" t="s">
        <v>206</v>
      </c>
      <c r="AL1428" s="1" t="s">
        <v>228</v>
      </c>
      <c r="AN1428" s="22" t="s">
        <v>9767</v>
      </c>
      <c r="AP1428" s="1">
        <v>1</v>
      </c>
      <c r="AX1428" s="1">
        <v>1</v>
      </c>
      <c r="AZ1428" s="1">
        <v>0.25</v>
      </c>
      <c r="BG1428" s="1" t="s">
        <v>5407</v>
      </c>
      <c r="BM1428" s="1" t="s">
        <v>4959</v>
      </c>
      <c r="BQ1428" s="1" t="s">
        <v>207</v>
      </c>
      <c r="BR1428" s="1" t="s">
        <v>208</v>
      </c>
      <c r="BS1428" s="1" t="s">
        <v>229</v>
      </c>
      <c r="BT1428" s="1" t="s">
        <v>210</v>
      </c>
      <c r="BX1428" s="1">
        <v>1</v>
      </c>
    </row>
    <row r="1429" spans="1:76" x14ac:dyDescent="0.25">
      <c r="A1429" s="1" t="s">
        <v>5410</v>
      </c>
      <c r="B1429" s="1" t="s">
        <v>203</v>
      </c>
      <c r="C1429" s="1">
        <v>1</v>
      </c>
      <c r="D1429" s="1" t="s">
        <v>5411</v>
      </c>
      <c r="E1429" s="1">
        <v>10151</v>
      </c>
      <c r="F1429" s="1" t="s">
        <v>5410</v>
      </c>
      <c r="G1429" s="1">
        <v>1</v>
      </c>
      <c r="L1429" s="1">
        <v>15000</v>
      </c>
      <c r="N1429" s="1">
        <v>800</v>
      </c>
      <c r="P1429" s="1">
        <v>1000</v>
      </c>
      <c r="R1429" s="1">
        <v>0</v>
      </c>
      <c r="Z1429" s="1">
        <v>0.05</v>
      </c>
      <c r="AA1429" s="1">
        <v>4</v>
      </c>
      <c r="AB1429" s="1">
        <v>3</v>
      </c>
      <c r="AC1429" s="1">
        <v>0.3</v>
      </c>
      <c r="AH1429" s="1">
        <v>0</v>
      </c>
      <c r="AI1429" s="1">
        <v>1</v>
      </c>
      <c r="AJ1429" s="1" t="s">
        <v>5412</v>
      </c>
      <c r="AK1429" s="1" t="s">
        <v>206</v>
      </c>
      <c r="AL1429" s="1" t="s">
        <v>228</v>
      </c>
      <c r="AN1429" s="22" t="s">
        <v>9767</v>
      </c>
      <c r="AP1429" s="1">
        <v>1</v>
      </c>
      <c r="AX1429" s="1">
        <v>1</v>
      </c>
      <c r="AZ1429" s="1">
        <v>0.25</v>
      </c>
      <c r="BG1429" s="1" t="s">
        <v>5410</v>
      </c>
      <c r="BM1429" s="1" t="s">
        <v>4959</v>
      </c>
      <c r="BQ1429" s="1" t="s">
        <v>207</v>
      </c>
      <c r="BR1429" s="1" t="s">
        <v>208</v>
      </c>
      <c r="BS1429" s="1" t="s">
        <v>229</v>
      </c>
      <c r="BT1429" s="1" t="s">
        <v>210</v>
      </c>
      <c r="BX1429" s="1">
        <v>1</v>
      </c>
    </row>
    <row r="1430" spans="1:76" x14ac:dyDescent="0.25">
      <c r="A1430" s="1" t="s">
        <v>5413</v>
      </c>
      <c r="B1430" s="1" t="s">
        <v>203</v>
      </c>
      <c r="C1430" s="1">
        <v>1</v>
      </c>
      <c r="D1430" s="1" t="s">
        <v>5414</v>
      </c>
      <c r="E1430" s="1">
        <v>10151</v>
      </c>
      <c r="F1430" s="1" t="s">
        <v>5413</v>
      </c>
      <c r="G1430" s="1">
        <v>1</v>
      </c>
      <c r="L1430" s="1">
        <v>18000</v>
      </c>
      <c r="N1430" s="1">
        <v>900</v>
      </c>
      <c r="P1430" s="1">
        <v>1200</v>
      </c>
      <c r="R1430" s="1">
        <v>0</v>
      </c>
      <c r="Z1430" s="1">
        <v>0.05</v>
      </c>
      <c r="AA1430" s="1">
        <v>4</v>
      </c>
      <c r="AB1430" s="1">
        <v>3</v>
      </c>
      <c r="AC1430" s="1">
        <v>0.3</v>
      </c>
      <c r="AH1430" s="1">
        <v>0</v>
      </c>
      <c r="AI1430" s="1">
        <v>1</v>
      </c>
      <c r="AJ1430" s="1" t="s">
        <v>5415</v>
      </c>
      <c r="AK1430" s="1" t="s">
        <v>206</v>
      </c>
      <c r="AL1430" s="1" t="s">
        <v>228</v>
      </c>
      <c r="AN1430" s="22" t="s">
        <v>9767</v>
      </c>
      <c r="AP1430" s="1">
        <v>1</v>
      </c>
      <c r="AX1430" s="1">
        <v>1</v>
      </c>
      <c r="AZ1430" s="1">
        <v>0.25</v>
      </c>
      <c r="BG1430" s="1" t="s">
        <v>5413</v>
      </c>
      <c r="BM1430" s="1" t="s">
        <v>4959</v>
      </c>
      <c r="BQ1430" s="1" t="s">
        <v>207</v>
      </c>
      <c r="BR1430" s="1" t="s">
        <v>208</v>
      </c>
      <c r="BS1430" s="1" t="s">
        <v>229</v>
      </c>
      <c r="BT1430" s="1" t="s">
        <v>210</v>
      </c>
      <c r="BX1430" s="1">
        <v>1</v>
      </c>
    </row>
    <row r="1431" spans="1:76" x14ac:dyDescent="0.25">
      <c r="A1431" s="1" t="s">
        <v>5416</v>
      </c>
      <c r="B1431" s="1" t="s">
        <v>203</v>
      </c>
      <c r="C1431" s="1">
        <v>1</v>
      </c>
      <c r="D1431" s="1" t="s">
        <v>5417</v>
      </c>
      <c r="E1431" s="1">
        <v>10152</v>
      </c>
      <c r="F1431" s="1" t="s">
        <v>5416</v>
      </c>
      <c r="G1431" s="1">
        <v>1</v>
      </c>
      <c r="L1431" s="1">
        <v>40000</v>
      </c>
      <c r="N1431" s="1">
        <v>2500</v>
      </c>
      <c r="P1431" s="1">
        <v>600</v>
      </c>
      <c r="R1431" s="1">
        <v>30</v>
      </c>
      <c r="Z1431" s="1">
        <v>0.05</v>
      </c>
      <c r="AA1431" s="1">
        <v>5.5</v>
      </c>
      <c r="AB1431" s="1">
        <v>3</v>
      </c>
      <c r="AC1431" s="1">
        <v>0.4</v>
      </c>
      <c r="AH1431" s="1">
        <v>0</v>
      </c>
      <c r="AI1431" s="1">
        <v>1</v>
      </c>
      <c r="AJ1431" s="1" t="s">
        <v>5418</v>
      </c>
      <c r="AK1431" s="1" t="s">
        <v>206</v>
      </c>
      <c r="AL1431" s="1" t="s">
        <v>228</v>
      </c>
      <c r="AN1431" s="22" t="s">
        <v>9767</v>
      </c>
      <c r="AP1431" s="1">
        <v>1</v>
      </c>
      <c r="AX1431" s="1">
        <v>1</v>
      </c>
      <c r="AZ1431" s="1">
        <v>0.25</v>
      </c>
      <c r="BG1431" s="1" t="s">
        <v>5416</v>
      </c>
      <c r="BM1431" s="1" t="s">
        <v>4959</v>
      </c>
      <c r="BQ1431" s="1" t="s">
        <v>207</v>
      </c>
      <c r="BR1431" s="1" t="s">
        <v>208</v>
      </c>
      <c r="BS1431" s="1" t="s">
        <v>229</v>
      </c>
      <c r="BT1431" s="1" t="s">
        <v>210</v>
      </c>
      <c r="BX1431" s="1">
        <v>1</v>
      </c>
    </row>
    <row r="1432" spans="1:76" x14ac:dyDescent="0.25">
      <c r="A1432" s="1" t="s">
        <v>5419</v>
      </c>
      <c r="B1432" s="1" t="s">
        <v>203</v>
      </c>
      <c r="C1432" s="1">
        <v>1</v>
      </c>
      <c r="D1432" s="1" t="s">
        <v>5420</v>
      </c>
      <c r="E1432" s="1">
        <v>10152</v>
      </c>
      <c r="F1432" s="1" t="s">
        <v>5419</v>
      </c>
      <c r="G1432" s="1">
        <v>1</v>
      </c>
      <c r="L1432" s="1">
        <v>50000</v>
      </c>
      <c r="N1432" s="1">
        <v>3000</v>
      </c>
      <c r="P1432" s="1">
        <v>600</v>
      </c>
      <c r="R1432" s="1">
        <v>30</v>
      </c>
      <c r="Z1432" s="1">
        <v>0.05</v>
      </c>
      <c r="AA1432" s="1">
        <v>5.5</v>
      </c>
      <c r="AB1432" s="1">
        <v>3</v>
      </c>
      <c r="AC1432" s="1">
        <v>0.4</v>
      </c>
      <c r="AH1432" s="1">
        <v>0</v>
      </c>
      <c r="AI1432" s="1">
        <v>1</v>
      </c>
      <c r="AJ1432" s="1" t="s">
        <v>5421</v>
      </c>
      <c r="AK1432" s="1" t="s">
        <v>206</v>
      </c>
      <c r="AL1432" s="1" t="s">
        <v>228</v>
      </c>
      <c r="AN1432" s="22" t="s">
        <v>9767</v>
      </c>
      <c r="AP1432" s="1">
        <v>1</v>
      </c>
      <c r="AX1432" s="1">
        <v>1</v>
      </c>
      <c r="AZ1432" s="1">
        <v>0.25</v>
      </c>
      <c r="BG1432" s="1" t="s">
        <v>5419</v>
      </c>
      <c r="BM1432" s="1" t="s">
        <v>4959</v>
      </c>
      <c r="BQ1432" s="1" t="s">
        <v>207</v>
      </c>
      <c r="BR1432" s="1" t="s">
        <v>208</v>
      </c>
      <c r="BS1432" s="1" t="s">
        <v>229</v>
      </c>
      <c r="BT1432" s="1" t="s">
        <v>210</v>
      </c>
      <c r="BX1432" s="1">
        <v>1</v>
      </c>
    </row>
    <row r="1433" spans="1:76" x14ac:dyDescent="0.25">
      <c r="A1433" s="1" t="s">
        <v>5422</v>
      </c>
      <c r="B1433" s="1" t="s">
        <v>203</v>
      </c>
      <c r="C1433" s="1">
        <v>1</v>
      </c>
      <c r="D1433" s="1" t="s">
        <v>5423</v>
      </c>
      <c r="E1433" s="1">
        <v>10153</v>
      </c>
      <c r="F1433" s="1" t="s">
        <v>5422</v>
      </c>
      <c r="G1433" s="1">
        <v>1</v>
      </c>
      <c r="L1433" s="1">
        <v>8000</v>
      </c>
      <c r="N1433" s="1">
        <v>0</v>
      </c>
      <c r="P1433" s="1">
        <v>0</v>
      </c>
      <c r="R1433" s="1">
        <v>60</v>
      </c>
      <c r="Z1433" s="1">
        <v>0.05</v>
      </c>
      <c r="AA1433" s="1">
        <v>1</v>
      </c>
      <c r="AB1433" s="1">
        <v>0</v>
      </c>
      <c r="AC1433" s="1">
        <v>1.5</v>
      </c>
      <c r="AH1433" s="1">
        <v>0</v>
      </c>
      <c r="AI1433" s="1">
        <v>2</v>
      </c>
      <c r="AJ1433" s="1" t="s">
        <v>5424</v>
      </c>
      <c r="AK1433" s="1" t="s">
        <v>206</v>
      </c>
      <c r="AL1433" s="1" t="s">
        <v>228</v>
      </c>
      <c r="AN1433" s="22" t="s">
        <v>9767</v>
      </c>
      <c r="AP1433" s="1">
        <v>1</v>
      </c>
      <c r="AX1433" s="1">
        <v>1</v>
      </c>
      <c r="AZ1433" s="1">
        <v>0.25</v>
      </c>
      <c r="BG1433" s="1" t="s">
        <v>5422</v>
      </c>
      <c r="BM1433" s="1" t="s">
        <v>4959</v>
      </c>
      <c r="BQ1433" s="1" t="s">
        <v>207</v>
      </c>
      <c r="BR1433" s="1" t="s">
        <v>208</v>
      </c>
      <c r="BS1433" s="1" t="s">
        <v>229</v>
      </c>
      <c r="BT1433" s="1" t="s">
        <v>210</v>
      </c>
      <c r="BX1433" s="1">
        <v>1</v>
      </c>
    </row>
    <row r="1434" spans="1:76" x14ac:dyDescent="0.25">
      <c r="A1434" s="1" t="s">
        <v>5425</v>
      </c>
      <c r="B1434" s="1" t="s">
        <v>203</v>
      </c>
      <c r="C1434" s="1">
        <v>1</v>
      </c>
      <c r="D1434" s="1" t="s">
        <v>5426</v>
      </c>
      <c r="E1434" s="1">
        <v>10153</v>
      </c>
      <c r="F1434" s="1" t="s">
        <v>5425</v>
      </c>
      <c r="G1434" s="1">
        <v>1</v>
      </c>
      <c r="L1434" s="1">
        <v>10000</v>
      </c>
      <c r="N1434" s="1">
        <v>0</v>
      </c>
      <c r="P1434" s="1">
        <v>0</v>
      </c>
      <c r="R1434" s="1">
        <v>60</v>
      </c>
      <c r="Z1434" s="1">
        <v>0.05</v>
      </c>
      <c r="AA1434" s="1">
        <v>1</v>
      </c>
      <c r="AB1434" s="1">
        <v>0</v>
      </c>
      <c r="AC1434" s="1">
        <v>1.5</v>
      </c>
      <c r="AH1434" s="1">
        <v>0</v>
      </c>
      <c r="AI1434" s="1">
        <v>2</v>
      </c>
      <c r="AJ1434" s="1" t="s">
        <v>5427</v>
      </c>
      <c r="AK1434" s="1" t="s">
        <v>206</v>
      </c>
      <c r="AL1434" s="1" t="s">
        <v>228</v>
      </c>
      <c r="AN1434" s="22" t="s">
        <v>9767</v>
      </c>
      <c r="AP1434" s="1">
        <v>1</v>
      </c>
      <c r="AX1434" s="1">
        <v>1</v>
      </c>
      <c r="AZ1434" s="1">
        <v>0.25</v>
      </c>
      <c r="BG1434" s="1" t="s">
        <v>5425</v>
      </c>
      <c r="BM1434" s="1" t="s">
        <v>4959</v>
      </c>
      <c r="BQ1434" s="1" t="s">
        <v>207</v>
      </c>
      <c r="BR1434" s="1" t="s">
        <v>208</v>
      </c>
      <c r="BS1434" s="1" t="s">
        <v>229</v>
      </c>
      <c r="BT1434" s="1" t="s">
        <v>210</v>
      </c>
      <c r="BX1434" s="1">
        <v>1</v>
      </c>
    </row>
    <row r="1435" spans="1:76" x14ac:dyDescent="0.25">
      <c r="A1435" s="1" t="s">
        <v>5428</v>
      </c>
      <c r="B1435" s="1" t="s">
        <v>203</v>
      </c>
      <c r="C1435" s="1">
        <v>1</v>
      </c>
      <c r="D1435" s="1" t="s">
        <v>5429</v>
      </c>
      <c r="E1435" s="1">
        <v>1579</v>
      </c>
      <c r="F1435" s="1" t="s">
        <v>5428</v>
      </c>
      <c r="G1435" s="1">
        <v>1</v>
      </c>
      <c r="L1435" s="1">
        <v>70000</v>
      </c>
      <c r="N1435" s="1">
        <v>1200</v>
      </c>
      <c r="P1435" s="1">
        <v>2000</v>
      </c>
      <c r="R1435" s="1">
        <v>50</v>
      </c>
      <c r="Z1435" s="1">
        <v>0.05</v>
      </c>
      <c r="AA1435" s="1">
        <v>6</v>
      </c>
      <c r="AB1435" s="1">
        <v>5</v>
      </c>
      <c r="AC1435" s="1">
        <v>0.5</v>
      </c>
      <c r="AH1435" s="1">
        <v>0</v>
      </c>
      <c r="AI1435" s="1">
        <v>1</v>
      </c>
      <c r="AJ1435" s="1" t="s">
        <v>5430</v>
      </c>
      <c r="AK1435" s="1" t="s">
        <v>206</v>
      </c>
      <c r="AL1435" s="1" t="s">
        <v>228</v>
      </c>
      <c r="AN1435" s="22" t="s">
        <v>9767</v>
      </c>
      <c r="AP1435" s="1">
        <v>1</v>
      </c>
      <c r="AX1435" s="1">
        <v>1</v>
      </c>
      <c r="AZ1435" s="1">
        <v>0.25</v>
      </c>
      <c r="BG1435" s="1" t="s">
        <v>5428</v>
      </c>
      <c r="BM1435" s="1" t="s">
        <v>4959</v>
      </c>
      <c r="BQ1435" s="1" t="s">
        <v>207</v>
      </c>
      <c r="BR1435" s="1" t="s">
        <v>1935</v>
      </c>
      <c r="BS1435" s="1" t="s">
        <v>229</v>
      </c>
      <c r="BT1435" s="1" t="s">
        <v>210</v>
      </c>
      <c r="BX1435" s="1">
        <v>1</v>
      </c>
    </row>
    <row r="1436" spans="1:76" x14ac:dyDescent="0.25">
      <c r="A1436" s="1" t="s">
        <v>5431</v>
      </c>
      <c r="B1436" s="1" t="s">
        <v>203</v>
      </c>
      <c r="C1436" s="1">
        <v>1</v>
      </c>
      <c r="D1436" s="1" t="s">
        <v>5432</v>
      </c>
      <c r="E1436" s="1">
        <v>10154</v>
      </c>
      <c r="F1436" s="1" t="s">
        <v>5431</v>
      </c>
      <c r="G1436" s="1">
        <v>1</v>
      </c>
      <c r="L1436" s="1">
        <v>3</v>
      </c>
      <c r="N1436" s="1">
        <v>100</v>
      </c>
      <c r="P1436" s="1">
        <v>100</v>
      </c>
      <c r="R1436" s="1">
        <v>0</v>
      </c>
      <c r="Z1436" s="1">
        <v>0.05</v>
      </c>
      <c r="AA1436" s="1">
        <v>5</v>
      </c>
      <c r="AB1436" s="1">
        <v>1</v>
      </c>
      <c r="AC1436" s="1">
        <v>0.2</v>
      </c>
      <c r="AH1436" s="1">
        <v>0</v>
      </c>
      <c r="AI1436" s="1">
        <v>1</v>
      </c>
      <c r="AJ1436" s="1" t="s">
        <v>5433</v>
      </c>
      <c r="AK1436" s="1" t="s">
        <v>206</v>
      </c>
      <c r="AL1436" s="1" t="s">
        <v>228</v>
      </c>
      <c r="AN1436" s="22" t="s">
        <v>9767</v>
      </c>
      <c r="AP1436" s="1">
        <v>1</v>
      </c>
      <c r="AX1436" s="1">
        <v>1</v>
      </c>
      <c r="AZ1436" s="1">
        <v>0.25</v>
      </c>
      <c r="BG1436" s="1" t="s">
        <v>5431</v>
      </c>
      <c r="BM1436" s="1" t="s">
        <v>4959</v>
      </c>
      <c r="BQ1436" s="1" t="s">
        <v>207</v>
      </c>
      <c r="BR1436" s="1" t="s">
        <v>208</v>
      </c>
      <c r="BS1436" s="1" t="s">
        <v>229</v>
      </c>
      <c r="BT1436" s="1" t="s">
        <v>210</v>
      </c>
      <c r="BX1436" s="1">
        <v>1</v>
      </c>
    </row>
    <row r="1437" spans="1:76" x14ac:dyDescent="0.25">
      <c r="A1437" s="1" t="s">
        <v>5434</v>
      </c>
      <c r="B1437" s="1" t="s">
        <v>203</v>
      </c>
      <c r="C1437" s="1">
        <v>1</v>
      </c>
      <c r="D1437" s="1" t="s">
        <v>5435</v>
      </c>
      <c r="E1437" s="1">
        <v>10155</v>
      </c>
      <c r="F1437" s="1" t="s">
        <v>5434</v>
      </c>
      <c r="G1437" s="1">
        <v>1</v>
      </c>
      <c r="L1437" s="1">
        <v>4200</v>
      </c>
      <c r="N1437" s="1">
        <v>360</v>
      </c>
      <c r="P1437" s="1">
        <v>100</v>
      </c>
      <c r="R1437" s="1">
        <v>10</v>
      </c>
      <c r="Z1437" s="1">
        <v>0.05</v>
      </c>
      <c r="AA1437" s="1">
        <v>2.5</v>
      </c>
      <c r="AB1437" s="1">
        <v>1</v>
      </c>
      <c r="AC1437" s="1">
        <v>0.8</v>
      </c>
      <c r="AH1437" s="1">
        <v>0</v>
      </c>
      <c r="AI1437" s="1">
        <v>1</v>
      </c>
      <c r="AJ1437" s="1" t="s">
        <v>5436</v>
      </c>
      <c r="AK1437" s="1" t="s">
        <v>206</v>
      </c>
      <c r="AL1437" s="1" t="s">
        <v>228</v>
      </c>
      <c r="AN1437" s="22" t="s">
        <v>9767</v>
      </c>
      <c r="AX1437" s="1">
        <v>1</v>
      </c>
      <c r="AZ1437" s="1">
        <v>0.25</v>
      </c>
      <c r="BG1437" s="1" t="s">
        <v>5434</v>
      </c>
      <c r="BM1437" s="1" t="s">
        <v>4959</v>
      </c>
      <c r="BQ1437" s="1" t="s">
        <v>207</v>
      </c>
      <c r="BR1437" s="1" t="s">
        <v>208</v>
      </c>
      <c r="BS1437" s="1" t="s">
        <v>229</v>
      </c>
      <c r="BT1437" s="1" t="s">
        <v>210</v>
      </c>
      <c r="BX1437" s="1">
        <v>1</v>
      </c>
    </row>
    <row r="1438" spans="1:76" x14ac:dyDescent="0.25">
      <c r="A1438" s="1" t="s">
        <v>5437</v>
      </c>
      <c r="B1438" s="1" t="s">
        <v>203</v>
      </c>
      <c r="C1438" s="1">
        <v>1</v>
      </c>
      <c r="D1438" s="1" t="s">
        <v>5438</v>
      </c>
      <c r="E1438" s="1">
        <v>10155</v>
      </c>
      <c r="F1438" s="1" t="s">
        <v>5437</v>
      </c>
      <c r="G1438" s="1">
        <v>1</v>
      </c>
      <c r="L1438" s="1">
        <v>5400</v>
      </c>
      <c r="N1438" s="1">
        <v>450</v>
      </c>
      <c r="P1438" s="1">
        <v>150</v>
      </c>
      <c r="R1438" s="1">
        <v>10</v>
      </c>
      <c r="Z1438" s="1">
        <v>0.05</v>
      </c>
      <c r="AA1438" s="1">
        <v>2.5</v>
      </c>
      <c r="AB1438" s="1">
        <v>1</v>
      </c>
      <c r="AC1438" s="1">
        <v>0.8</v>
      </c>
      <c r="AH1438" s="1">
        <v>0</v>
      </c>
      <c r="AI1438" s="1">
        <v>1</v>
      </c>
      <c r="AJ1438" s="1" t="s">
        <v>5439</v>
      </c>
      <c r="AK1438" s="1" t="s">
        <v>206</v>
      </c>
      <c r="AL1438" s="1" t="s">
        <v>228</v>
      </c>
      <c r="AN1438" s="22" t="s">
        <v>9767</v>
      </c>
      <c r="AX1438" s="1">
        <v>1</v>
      </c>
      <c r="AZ1438" s="1">
        <v>0.25</v>
      </c>
      <c r="BG1438" s="1" t="s">
        <v>5437</v>
      </c>
      <c r="BM1438" s="1" t="s">
        <v>4959</v>
      </c>
      <c r="BQ1438" s="1" t="s">
        <v>207</v>
      </c>
      <c r="BR1438" s="1" t="s">
        <v>208</v>
      </c>
      <c r="BS1438" s="1" t="s">
        <v>229</v>
      </c>
      <c r="BT1438" s="1" t="s">
        <v>210</v>
      </c>
      <c r="BX1438" s="1">
        <v>1</v>
      </c>
    </row>
    <row r="1439" spans="1:76" x14ac:dyDescent="0.25">
      <c r="A1439" s="1" t="s">
        <v>5440</v>
      </c>
      <c r="B1439" s="1" t="s">
        <v>203</v>
      </c>
      <c r="C1439" s="1">
        <v>1</v>
      </c>
      <c r="D1439" s="1" t="s">
        <v>5441</v>
      </c>
      <c r="E1439" s="1">
        <v>10156</v>
      </c>
      <c r="F1439" s="1" t="s">
        <v>5440</v>
      </c>
      <c r="G1439" s="1">
        <v>1</v>
      </c>
      <c r="L1439" s="1">
        <v>4000</v>
      </c>
      <c r="N1439" s="1">
        <v>300</v>
      </c>
      <c r="P1439" s="1">
        <v>100</v>
      </c>
      <c r="R1439" s="1">
        <v>20</v>
      </c>
      <c r="Z1439" s="1">
        <v>0.05</v>
      </c>
      <c r="AA1439" s="1">
        <v>5</v>
      </c>
      <c r="AB1439" s="1">
        <v>1</v>
      </c>
      <c r="AC1439" s="1">
        <v>0.5</v>
      </c>
      <c r="AH1439" s="1">
        <v>0</v>
      </c>
      <c r="AI1439" s="1">
        <v>1</v>
      </c>
      <c r="AJ1439" s="1" t="s">
        <v>5442</v>
      </c>
      <c r="AK1439" s="1" t="s">
        <v>206</v>
      </c>
      <c r="AL1439" s="1" t="s">
        <v>228</v>
      </c>
      <c r="AN1439" s="22" t="s">
        <v>9767</v>
      </c>
      <c r="AX1439" s="1">
        <v>1</v>
      </c>
      <c r="AZ1439" s="1">
        <v>0.25</v>
      </c>
      <c r="BG1439" s="1" t="s">
        <v>5440</v>
      </c>
      <c r="BM1439" s="1" t="s">
        <v>4959</v>
      </c>
      <c r="BQ1439" s="1" t="s">
        <v>207</v>
      </c>
      <c r="BR1439" s="1" t="s">
        <v>208</v>
      </c>
      <c r="BS1439" s="1" t="s">
        <v>229</v>
      </c>
      <c r="BT1439" s="1" t="s">
        <v>210</v>
      </c>
      <c r="BX1439" s="1">
        <v>1</v>
      </c>
    </row>
    <row r="1440" spans="1:76" x14ac:dyDescent="0.25">
      <c r="A1440" s="1" t="s">
        <v>5443</v>
      </c>
      <c r="B1440" s="1" t="s">
        <v>203</v>
      </c>
      <c r="C1440" s="1">
        <v>1</v>
      </c>
      <c r="D1440" s="1" t="s">
        <v>5444</v>
      </c>
      <c r="E1440" s="1">
        <v>10156</v>
      </c>
      <c r="F1440" s="1" t="s">
        <v>5443</v>
      </c>
      <c r="G1440" s="1">
        <v>1</v>
      </c>
      <c r="L1440" s="1">
        <v>5500</v>
      </c>
      <c r="N1440" s="1">
        <v>360</v>
      </c>
      <c r="P1440" s="1">
        <v>100</v>
      </c>
      <c r="R1440" s="1">
        <v>20</v>
      </c>
      <c r="Z1440" s="1">
        <v>0.05</v>
      </c>
      <c r="AA1440" s="1">
        <v>5</v>
      </c>
      <c r="AB1440" s="1">
        <v>1</v>
      </c>
      <c r="AC1440" s="1">
        <v>0.5</v>
      </c>
      <c r="AH1440" s="1">
        <v>0</v>
      </c>
      <c r="AI1440" s="1">
        <v>1</v>
      </c>
      <c r="AJ1440" s="1" t="s">
        <v>5445</v>
      </c>
      <c r="AK1440" s="1" t="s">
        <v>206</v>
      </c>
      <c r="AL1440" s="1" t="s">
        <v>228</v>
      </c>
      <c r="AN1440" s="22" t="s">
        <v>9767</v>
      </c>
      <c r="AX1440" s="1">
        <v>1</v>
      </c>
      <c r="AZ1440" s="1">
        <v>0.25</v>
      </c>
      <c r="BG1440" s="1" t="s">
        <v>5443</v>
      </c>
      <c r="BM1440" s="1" t="s">
        <v>4959</v>
      </c>
      <c r="BQ1440" s="1" t="s">
        <v>207</v>
      </c>
      <c r="BR1440" s="1" t="s">
        <v>208</v>
      </c>
      <c r="BS1440" s="1" t="s">
        <v>229</v>
      </c>
      <c r="BT1440" s="1" t="s">
        <v>210</v>
      </c>
      <c r="BX1440" s="1">
        <v>1</v>
      </c>
    </row>
    <row r="1441" spans="1:76" x14ac:dyDescent="0.25">
      <c r="A1441" s="1" t="s">
        <v>5446</v>
      </c>
      <c r="B1441" s="1" t="s">
        <v>203</v>
      </c>
      <c r="C1441" s="1">
        <v>1</v>
      </c>
      <c r="D1441" s="1" t="s">
        <v>5447</v>
      </c>
      <c r="E1441" s="1">
        <v>10157</v>
      </c>
      <c r="F1441" s="1" t="s">
        <v>5446</v>
      </c>
      <c r="G1441" s="1">
        <v>1</v>
      </c>
      <c r="L1441" s="1">
        <v>6000</v>
      </c>
      <c r="N1441" s="1">
        <v>450</v>
      </c>
      <c r="P1441" s="1">
        <v>600</v>
      </c>
      <c r="R1441" s="1">
        <v>50</v>
      </c>
      <c r="Z1441" s="1">
        <v>0.05</v>
      </c>
      <c r="AA1441" s="1">
        <v>4</v>
      </c>
      <c r="AB1441" s="1">
        <v>2</v>
      </c>
      <c r="AC1441" s="1">
        <v>0.75</v>
      </c>
      <c r="AH1441" s="1">
        <v>0</v>
      </c>
      <c r="AI1441" s="1">
        <v>1</v>
      </c>
      <c r="AJ1441" s="1" t="s">
        <v>5448</v>
      </c>
      <c r="AK1441" s="1" t="s">
        <v>206</v>
      </c>
      <c r="AL1441" s="1" t="s">
        <v>228</v>
      </c>
      <c r="AN1441" s="22" t="s">
        <v>9767</v>
      </c>
      <c r="AP1441" s="1">
        <v>1</v>
      </c>
      <c r="AX1441" s="1">
        <v>1</v>
      </c>
      <c r="AZ1441" s="1">
        <v>0.25</v>
      </c>
      <c r="BG1441" s="1" t="s">
        <v>5446</v>
      </c>
      <c r="BM1441" s="1" t="s">
        <v>4959</v>
      </c>
      <c r="BQ1441" s="1" t="s">
        <v>3416</v>
      </c>
      <c r="BR1441" s="1" t="s">
        <v>2593</v>
      </c>
      <c r="BS1441" s="1" t="s">
        <v>2594</v>
      </c>
      <c r="BT1441" s="1" t="s">
        <v>3131</v>
      </c>
      <c r="BX1441" s="1">
        <v>1</v>
      </c>
    </row>
    <row r="1442" spans="1:76" x14ac:dyDescent="0.25">
      <c r="A1442" s="1" t="s">
        <v>5449</v>
      </c>
      <c r="B1442" s="1" t="s">
        <v>203</v>
      </c>
      <c r="C1442" s="1">
        <v>1</v>
      </c>
      <c r="D1442" s="1" t="s">
        <v>5450</v>
      </c>
      <c r="E1442" s="1">
        <v>10157</v>
      </c>
      <c r="F1442" s="1" t="s">
        <v>5449</v>
      </c>
      <c r="G1442" s="1">
        <v>1</v>
      </c>
      <c r="L1442" s="1">
        <v>8000</v>
      </c>
      <c r="N1442" s="1">
        <v>550</v>
      </c>
      <c r="P1442" s="1">
        <v>800</v>
      </c>
      <c r="R1442" s="1">
        <v>60</v>
      </c>
      <c r="Z1442" s="1">
        <v>0.05</v>
      </c>
      <c r="AA1442" s="1">
        <v>4</v>
      </c>
      <c r="AB1442" s="1">
        <v>2</v>
      </c>
      <c r="AC1442" s="1">
        <v>0.75</v>
      </c>
      <c r="AH1442" s="1">
        <v>0</v>
      </c>
      <c r="AI1442" s="1">
        <v>1</v>
      </c>
      <c r="AJ1442" s="1" t="s">
        <v>5451</v>
      </c>
      <c r="AK1442" s="1" t="s">
        <v>206</v>
      </c>
      <c r="AL1442" s="1" t="s">
        <v>228</v>
      </c>
      <c r="AN1442" s="22" t="s">
        <v>9767</v>
      </c>
      <c r="AP1442" s="1">
        <v>1</v>
      </c>
      <c r="AX1442" s="1">
        <v>1</v>
      </c>
      <c r="AZ1442" s="1">
        <v>0.25</v>
      </c>
      <c r="BG1442" s="1" t="s">
        <v>5449</v>
      </c>
      <c r="BM1442" s="1" t="s">
        <v>4959</v>
      </c>
      <c r="BQ1442" s="1" t="s">
        <v>3416</v>
      </c>
      <c r="BR1442" s="1" t="s">
        <v>2593</v>
      </c>
      <c r="BS1442" s="1" t="s">
        <v>2594</v>
      </c>
      <c r="BT1442" s="1" t="s">
        <v>3131</v>
      </c>
      <c r="BX1442" s="1">
        <v>1</v>
      </c>
    </row>
    <row r="1443" spans="1:76" x14ac:dyDescent="0.25">
      <c r="A1443" s="1" t="s">
        <v>5452</v>
      </c>
      <c r="B1443" s="1" t="s">
        <v>203</v>
      </c>
      <c r="C1443" s="1">
        <v>1</v>
      </c>
      <c r="D1443" s="1" t="s">
        <v>5453</v>
      </c>
      <c r="E1443" s="1">
        <v>10158</v>
      </c>
      <c r="F1443" s="1" t="s">
        <v>5452</v>
      </c>
      <c r="G1443" s="1">
        <v>1</v>
      </c>
      <c r="L1443" s="1">
        <v>8000</v>
      </c>
      <c r="N1443" s="1">
        <v>100</v>
      </c>
      <c r="P1443" s="1">
        <v>200</v>
      </c>
      <c r="R1443" s="1">
        <v>20</v>
      </c>
      <c r="Z1443" s="1">
        <v>0.05</v>
      </c>
      <c r="AA1443" s="1">
        <v>5</v>
      </c>
      <c r="AB1443" s="1">
        <v>1</v>
      </c>
      <c r="AC1443" s="1">
        <v>0.5</v>
      </c>
      <c r="AH1443" s="1">
        <v>0</v>
      </c>
      <c r="AI1443" s="1">
        <v>1</v>
      </c>
      <c r="AJ1443" s="1" t="s">
        <v>5454</v>
      </c>
      <c r="AK1443" s="1" t="s">
        <v>206</v>
      </c>
      <c r="AL1443" s="1" t="s">
        <v>1016</v>
      </c>
      <c r="AN1443" s="22" t="s">
        <v>9767</v>
      </c>
      <c r="AX1443" s="1">
        <v>1</v>
      </c>
      <c r="AZ1443" s="1">
        <v>0.25</v>
      </c>
      <c r="BG1443" s="1" t="s">
        <v>5452</v>
      </c>
      <c r="BM1443" s="1" t="s">
        <v>4959</v>
      </c>
      <c r="BQ1443" s="1" t="s">
        <v>207</v>
      </c>
      <c r="BR1443" s="1" t="s">
        <v>208</v>
      </c>
      <c r="BS1443" s="1" t="s">
        <v>229</v>
      </c>
      <c r="BT1443" s="1" t="s">
        <v>210</v>
      </c>
      <c r="BX1443" s="1">
        <v>1</v>
      </c>
    </row>
    <row r="1444" spans="1:76" x14ac:dyDescent="0.25">
      <c r="A1444" s="1" t="s">
        <v>5455</v>
      </c>
      <c r="B1444" s="1" t="s">
        <v>203</v>
      </c>
      <c r="C1444" s="1">
        <v>1</v>
      </c>
      <c r="D1444" s="1" t="s">
        <v>5456</v>
      </c>
      <c r="E1444" s="1">
        <v>10158</v>
      </c>
      <c r="F1444" s="1" t="s">
        <v>5455</v>
      </c>
      <c r="G1444" s="1">
        <v>1</v>
      </c>
      <c r="L1444" s="1">
        <v>9600</v>
      </c>
      <c r="N1444" s="1">
        <v>100</v>
      </c>
      <c r="P1444" s="1">
        <v>300</v>
      </c>
      <c r="R1444" s="1">
        <v>25</v>
      </c>
      <c r="Z1444" s="1">
        <v>0.05</v>
      </c>
      <c r="AA1444" s="1">
        <v>5</v>
      </c>
      <c r="AB1444" s="1">
        <v>1</v>
      </c>
      <c r="AC1444" s="1">
        <v>0.5</v>
      </c>
      <c r="AH1444" s="1">
        <v>0</v>
      </c>
      <c r="AI1444" s="1">
        <v>1</v>
      </c>
      <c r="AJ1444" s="1" t="s">
        <v>5457</v>
      </c>
      <c r="AK1444" s="1" t="s">
        <v>206</v>
      </c>
      <c r="AL1444" s="1" t="s">
        <v>1016</v>
      </c>
      <c r="AN1444" s="22" t="s">
        <v>9767</v>
      </c>
      <c r="AX1444" s="1">
        <v>1</v>
      </c>
      <c r="AZ1444" s="1">
        <v>0.25</v>
      </c>
      <c r="BG1444" s="1" t="s">
        <v>5455</v>
      </c>
      <c r="BM1444" s="1" t="s">
        <v>4959</v>
      </c>
      <c r="BQ1444" s="1" t="s">
        <v>207</v>
      </c>
      <c r="BR1444" s="1" t="s">
        <v>208</v>
      </c>
      <c r="BS1444" s="1" t="s">
        <v>229</v>
      </c>
      <c r="BT1444" s="1" t="s">
        <v>210</v>
      </c>
      <c r="BX1444" s="1">
        <v>1</v>
      </c>
    </row>
    <row r="1445" spans="1:76" x14ac:dyDescent="0.25">
      <c r="A1445" s="1" t="s">
        <v>5458</v>
      </c>
      <c r="B1445" s="1" t="s">
        <v>203</v>
      </c>
      <c r="C1445" s="1">
        <v>1</v>
      </c>
      <c r="D1445" s="1" t="s">
        <v>5459</v>
      </c>
      <c r="E1445" s="1">
        <v>10159</v>
      </c>
      <c r="F1445" s="1" t="s">
        <v>5458</v>
      </c>
      <c r="G1445" s="1">
        <v>1</v>
      </c>
      <c r="L1445" s="1">
        <v>28000</v>
      </c>
      <c r="N1445" s="1">
        <v>100</v>
      </c>
      <c r="P1445" s="1">
        <v>600</v>
      </c>
      <c r="R1445" s="1">
        <v>20</v>
      </c>
      <c r="Z1445" s="1">
        <v>0.05</v>
      </c>
      <c r="AA1445" s="1">
        <v>5</v>
      </c>
      <c r="AB1445" s="1">
        <v>6</v>
      </c>
      <c r="AC1445" s="1">
        <v>1</v>
      </c>
      <c r="AH1445" s="1">
        <v>0</v>
      </c>
      <c r="AI1445" s="1">
        <v>1</v>
      </c>
      <c r="AJ1445" s="1" t="s">
        <v>5460</v>
      </c>
      <c r="AK1445" s="1" t="s">
        <v>206</v>
      </c>
      <c r="AL1445" s="1" t="s">
        <v>228</v>
      </c>
      <c r="AN1445" s="22" t="s">
        <v>9767</v>
      </c>
      <c r="AX1445" s="1">
        <v>1</v>
      </c>
      <c r="AZ1445" s="1">
        <v>0.25</v>
      </c>
      <c r="BG1445" s="1" t="s">
        <v>5458</v>
      </c>
      <c r="BM1445" s="1" t="s">
        <v>4959</v>
      </c>
      <c r="BQ1445" s="1" t="s">
        <v>207</v>
      </c>
      <c r="BR1445" s="1" t="s">
        <v>208</v>
      </c>
      <c r="BS1445" s="1" t="s">
        <v>229</v>
      </c>
      <c r="BT1445" s="1" t="s">
        <v>210</v>
      </c>
      <c r="BX1445" s="1">
        <v>1</v>
      </c>
    </row>
    <row r="1446" spans="1:76" x14ac:dyDescent="0.25">
      <c r="A1446" s="1" t="s">
        <v>5461</v>
      </c>
      <c r="B1446" s="1" t="s">
        <v>203</v>
      </c>
      <c r="C1446" s="1">
        <v>1</v>
      </c>
      <c r="D1446" s="1" t="s">
        <v>5462</v>
      </c>
      <c r="E1446" s="1">
        <v>10159</v>
      </c>
      <c r="F1446" s="1" t="s">
        <v>5461</v>
      </c>
      <c r="G1446" s="1">
        <v>1</v>
      </c>
      <c r="L1446" s="1">
        <v>32000</v>
      </c>
      <c r="N1446" s="1">
        <v>100</v>
      </c>
      <c r="P1446" s="1">
        <v>600</v>
      </c>
      <c r="R1446" s="1">
        <v>20</v>
      </c>
      <c r="Z1446" s="1">
        <v>0.05</v>
      </c>
      <c r="AA1446" s="1">
        <v>5</v>
      </c>
      <c r="AB1446" s="1">
        <v>6</v>
      </c>
      <c r="AC1446" s="1">
        <v>1</v>
      </c>
      <c r="AH1446" s="1">
        <v>0</v>
      </c>
      <c r="AI1446" s="1">
        <v>1</v>
      </c>
      <c r="AJ1446" s="1" t="s">
        <v>5463</v>
      </c>
      <c r="AK1446" s="1" t="s">
        <v>206</v>
      </c>
      <c r="AL1446" s="1" t="s">
        <v>228</v>
      </c>
      <c r="AN1446" s="22" t="s">
        <v>9767</v>
      </c>
      <c r="AX1446" s="1">
        <v>1</v>
      </c>
      <c r="AZ1446" s="1">
        <v>0.25</v>
      </c>
      <c r="BG1446" s="1" t="s">
        <v>5461</v>
      </c>
      <c r="BM1446" s="1" t="s">
        <v>4959</v>
      </c>
      <c r="BQ1446" s="1" t="s">
        <v>207</v>
      </c>
      <c r="BR1446" s="1" t="s">
        <v>208</v>
      </c>
      <c r="BS1446" s="1" t="s">
        <v>229</v>
      </c>
      <c r="BT1446" s="1" t="s">
        <v>210</v>
      </c>
      <c r="BX1446" s="1">
        <v>1</v>
      </c>
    </row>
    <row r="1447" spans="1:76" x14ac:dyDescent="0.25">
      <c r="A1447" s="1" t="s">
        <v>5464</v>
      </c>
      <c r="B1447" s="1" t="s">
        <v>203</v>
      </c>
      <c r="C1447" s="1">
        <v>1</v>
      </c>
      <c r="D1447" s="1" t="s">
        <v>5465</v>
      </c>
      <c r="E1447" s="1">
        <v>10160</v>
      </c>
      <c r="F1447" s="1" t="s">
        <v>5464</v>
      </c>
      <c r="G1447" s="1">
        <v>1</v>
      </c>
      <c r="L1447" s="1">
        <v>8000</v>
      </c>
      <c r="N1447" s="1">
        <v>600</v>
      </c>
      <c r="P1447" s="1">
        <v>150</v>
      </c>
      <c r="R1447" s="1">
        <v>40</v>
      </c>
      <c r="Z1447" s="1">
        <v>0.05</v>
      </c>
      <c r="AA1447" s="1">
        <v>2</v>
      </c>
      <c r="AB1447" s="1">
        <v>2</v>
      </c>
      <c r="AC1447" s="1">
        <v>0.5</v>
      </c>
      <c r="AH1447" s="1">
        <v>0</v>
      </c>
      <c r="AI1447" s="1">
        <v>1</v>
      </c>
      <c r="AJ1447" s="1" t="s">
        <v>5466</v>
      </c>
      <c r="AK1447" s="1" t="s">
        <v>206</v>
      </c>
      <c r="AL1447" s="1" t="s">
        <v>228</v>
      </c>
      <c r="AN1447" s="22" t="s">
        <v>9767</v>
      </c>
      <c r="AX1447" s="1">
        <v>1</v>
      </c>
      <c r="AZ1447" s="1">
        <v>0.25</v>
      </c>
      <c r="BG1447" s="1" t="s">
        <v>5464</v>
      </c>
      <c r="BM1447" s="1" t="s">
        <v>4959</v>
      </c>
      <c r="BQ1447" s="1" t="s">
        <v>207</v>
      </c>
      <c r="BR1447" s="1" t="s">
        <v>208</v>
      </c>
      <c r="BS1447" s="1" t="s">
        <v>229</v>
      </c>
      <c r="BT1447" s="1" t="s">
        <v>210</v>
      </c>
      <c r="BX1447" s="1">
        <v>1</v>
      </c>
    </row>
    <row r="1448" spans="1:76" x14ac:dyDescent="0.25">
      <c r="A1448" s="1" t="s">
        <v>5467</v>
      </c>
      <c r="B1448" s="1" t="s">
        <v>203</v>
      </c>
      <c r="C1448" s="1">
        <v>1</v>
      </c>
      <c r="D1448" s="1" t="s">
        <v>5468</v>
      </c>
      <c r="E1448" s="1">
        <v>10160</v>
      </c>
      <c r="F1448" s="1" t="s">
        <v>5467</v>
      </c>
      <c r="G1448" s="1">
        <v>1</v>
      </c>
      <c r="L1448" s="1">
        <v>10000</v>
      </c>
      <c r="N1448" s="1">
        <v>800</v>
      </c>
      <c r="P1448" s="1">
        <v>150</v>
      </c>
      <c r="R1448" s="1">
        <v>40</v>
      </c>
      <c r="Z1448" s="1">
        <v>0.05</v>
      </c>
      <c r="AA1448" s="1">
        <v>2</v>
      </c>
      <c r="AB1448" s="1">
        <v>2</v>
      </c>
      <c r="AC1448" s="1">
        <v>0.5</v>
      </c>
      <c r="AH1448" s="1">
        <v>0</v>
      </c>
      <c r="AI1448" s="1">
        <v>1</v>
      </c>
      <c r="AJ1448" s="1" t="s">
        <v>5469</v>
      </c>
      <c r="AK1448" s="1" t="s">
        <v>206</v>
      </c>
      <c r="AL1448" s="1" t="s">
        <v>228</v>
      </c>
      <c r="AN1448" s="22" t="s">
        <v>9767</v>
      </c>
      <c r="AX1448" s="1">
        <v>1</v>
      </c>
      <c r="AZ1448" s="1">
        <v>0.25</v>
      </c>
      <c r="BG1448" s="1" t="s">
        <v>5467</v>
      </c>
      <c r="BM1448" s="1" t="s">
        <v>4959</v>
      </c>
      <c r="BQ1448" s="1" t="s">
        <v>207</v>
      </c>
      <c r="BR1448" s="1" t="s">
        <v>208</v>
      </c>
      <c r="BS1448" s="1" t="s">
        <v>229</v>
      </c>
      <c r="BT1448" s="1" t="s">
        <v>210</v>
      </c>
      <c r="BX1448" s="1">
        <v>1</v>
      </c>
    </row>
    <row r="1449" spans="1:76" x14ac:dyDescent="0.25">
      <c r="A1449" s="1" t="s">
        <v>5470</v>
      </c>
      <c r="B1449" s="1" t="s">
        <v>203</v>
      </c>
      <c r="C1449" s="1">
        <v>1</v>
      </c>
      <c r="D1449" s="1" t="s">
        <v>5471</v>
      </c>
      <c r="E1449" s="1">
        <v>10161</v>
      </c>
      <c r="F1449" s="1" t="s">
        <v>5470</v>
      </c>
      <c r="G1449" s="1">
        <v>1</v>
      </c>
      <c r="L1449" s="1">
        <v>22000</v>
      </c>
      <c r="N1449" s="1">
        <v>1100</v>
      </c>
      <c r="P1449" s="1">
        <v>330</v>
      </c>
      <c r="R1449" s="1">
        <v>50</v>
      </c>
      <c r="Z1449" s="1">
        <v>0.05</v>
      </c>
      <c r="AA1449" s="1">
        <v>3</v>
      </c>
      <c r="AB1449" s="1">
        <v>4</v>
      </c>
      <c r="AC1449" s="1">
        <v>0.7</v>
      </c>
      <c r="AH1449" s="1">
        <v>0</v>
      </c>
      <c r="AI1449" s="1">
        <v>1</v>
      </c>
      <c r="AJ1449" s="1" t="s">
        <v>5472</v>
      </c>
      <c r="AK1449" s="1" t="s">
        <v>206</v>
      </c>
      <c r="AL1449" s="1" t="s">
        <v>228</v>
      </c>
      <c r="AN1449" s="22" t="s">
        <v>9767</v>
      </c>
      <c r="AX1449" s="1">
        <v>1</v>
      </c>
      <c r="AZ1449" s="1">
        <v>0.25</v>
      </c>
      <c r="BG1449" s="1" t="s">
        <v>5470</v>
      </c>
      <c r="BM1449" s="1" t="s">
        <v>4959</v>
      </c>
      <c r="BQ1449" s="1" t="s">
        <v>207</v>
      </c>
      <c r="BR1449" s="1" t="s">
        <v>208</v>
      </c>
      <c r="BS1449" s="1" t="s">
        <v>229</v>
      </c>
      <c r="BT1449" s="1" t="s">
        <v>210</v>
      </c>
      <c r="BX1449" s="1">
        <v>1</v>
      </c>
    </row>
    <row r="1450" spans="1:76" x14ac:dyDescent="0.25">
      <c r="A1450" s="1" t="s">
        <v>5473</v>
      </c>
      <c r="B1450" s="1" t="s">
        <v>203</v>
      </c>
      <c r="C1450" s="1">
        <v>1</v>
      </c>
      <c r="D1450" s="1" t="s">
        <v>5474</v>
      </c>
      <c r="E1450" s="1">
        <v>10161</v>
      </c>
      <c r="F1450" s="1" t="s">
        <v>5473</v>
      </c>
      <c r="G1450" s="1">
        <v>1</v>
      </c>
      <c r="L1450" s="1">
        <v>25000</v>
      </c>
      <c r="N1450" s="1">
        <v>1250</v>
      </c>
      <c r="P1450" s="1">
        <v>360</v>
      </c>
      <c r="R1450" s="1">
        <v>50</v>
      </c>
      <c r="Z1450" s="1">
        <v>0.05</v>
      </c>
      <c r="AA1450" s="1">
        <v>3</v>
      </c>
      <c r="AB1450" s="1">
        <v>4</v>
      </c>
      <c r="AC1450" s="1">
        <v>0.7</v>
      </c>
      <c r="AH1450" s="1">
        <v>0</v>
      </c>
      <c r="AI1450" s="1">
        <v>1</v>
      </c>
      <c r="AJ1450" s="1" t="s">
        <v>5475</v>
      </c>
      <c r="AK1450" s="1" t="s">
        <v>206</v>
      </c>
      <c r="AL1450" s="1" t="s">
        <v>228</v>
      </c>
      <c r="AN1450" s="22" t="s">
        <v>9767</v>
      </c>
      <c r="AX1450" s="1">
        <v>1</v>
      </c>
      <c r="AZ1450" s="1">
        <v>0.25</v>
      </c>
      <c r="BG1450" s="1" t="s">
        <v>5473</v>
      </c>
      <c r="BM1450" s="1" t="s">
        <v>4959</v>
      </c>
      <c r="BQ1450" s="1" t="s">
        <v>207</v>
      </c>
      <c r="BR1450" s="1" t="s">
        <v>208</v>
      </c>
      <c r="BS1450" s="1" t="s">
        <v>229</v>
      </c>
      <c r="BT1450" s="1" t="s">
        <v>210</v>
      </c>
      <c r="BX1450" s="1">
        <v>1</v>
      </c>
    </row>
    <row r="1451" spans="1:76" x14ac:dyDescent="0.25">
      <c r="A1451" s="1" t="s">
        <v>5476</v>
      </c>
      <c r="B1451" s="1" t="s">
        <v>203</v>
      </c>
      <c r="C1451" s="1">
        <v>1</v>
      </c>
      <c r="D1451" s="1" t="s">
        <v>5477</v>
      </c>
      <c r="E1451" s="1">
        <v>10162</v>
      </c>
      <c r="F1451" s="1" t="s">
        <v>5476</v>
      </c>
      <c r="G1451" s="1">
        <v>1</v>
      </c>
      <c r="L1451" s="1">
        <v>16000</v>
      </c>
      <c r="N1451" s="1">
        <v>750</v>
      </c>
      <c r="P1451" s="1">
        <v>800</v>
      </c>
      <c r="R1451" s="1">
        <v>0</v>
      </c>
      <c r="Z1451" s="1">
        <v>0.05</v>
      </c>
      <c r="AA1451" s="1">
        <v>7</v>
      </c>
      <c r="AB1451" s="1">
        <v>4</v>
      </c>
      <c r="AC1451" s="1">
        <v>0.6</v>
      </c>
      <c r="AH1451" s="1">
        <v>0</v>
      </c>
      <c r="AI1451" s="1">
        <v>1</v>
      </c>
      <c r="AJ1451" s="1" t="s">
        <v>5478</v>
      </c>
      <c r="AK1451" s="1" t="s">
        <v>206</v>
      </c>
      <c r="AL1451" s="1" t="s">
        <v>228</v>
      </c>
      <c r="AN1451" s="22" t="s">
        <v>9767</v>
      </c>
      <c r="AX1451" s="1">
        <v>1</v>
      </c>
      <c r="AZ1451" s="1">
        <v>0.25</v>
      </c>
      <c r="BG1451" s="1" t="s">
        <v>5476</v>
      </c>
      <c r="BM1451" s="1" t="s">
        <v>4959</v>
      </c>
      <c r="BQ1451" s="1" t="s">
        <v>207</v>
      </c>
      <c r="BR1451" s="1" t="s">
        <v>208</v>
      </c>
      <c r="BS1451" s="1" t="s">
        <v>229</v>
      </c>
      <c r="BT1451" s="1" t="s">
        <v>210</v>
      </c>
      <c r="BX1451" s="1">
        <v>1</v>
      </c>
    </row>
    <row r="1452" spans="1:76" x14ac:dyDescent="0.25">
      <c r="A1452" s="1" t="s">
        <v>5479</v>
      </c>
      <c r="B1452" s="1" t="s">
        <v>203</v>
      </c>
      <c r="C1452" s="1">
        <v>1</v>
      </c>
      <c r="D1452" s="1" t="s">
        <v>5480</v>
      </c>
      <c r="E1452" s="1">
        <v>10162</v>
      </c>
      <c r="F1452" s="1" t="s">
        <v>5479</v>
      </c>
      <c r="G1452" s="1">
        <v>1</v>
      </c>
      <c r="L1452" s="1">
        <v>18000</v>
      </c>
      <c r="N1452" s="1">
        <v>1000</v>
      </c>
      <c r="P1452" s="1">
        <v>800</v>
      </c>
      <c r="R1452" s="1">
        <v>0</v>
      </c>
      <c r="Z1452" s="1">
        <v>0.05</v>
      </c>
      <c r="AA1452" s="1">
        <v>7</v>
      </c>
      <c r="AB1452" s="1">
        <v>4</v>
      </c>
      <c r="AC1452" s="1">
        <v>0.6</v>
      </c>
      <c r="AH1452" s="1">
        <v>0</v>
      </c>
      <c r="AI1452" s="1">
        <v>1</v>
      </c>
      <c r="AJ1452" s="1" t="s">
        <v>5481</v>
      </c>
      <c r="AK1452" s="1" t="s">
        <v>206</v>
      </c>
      <c r="AL1452" s="1" t="s">
        <v>228</v>
      </c>
      <c r="AN1452" s="22" t="s">
        <v>9767</v>
      </c>
      <c r="AX1452" s="1">
        <v>1</v>
      </c>
      <c r="AZ1452" s="1">
        <v>0.25</v>
      </c>
      <c r="BG1452" s="1" t="s">
        <v>5479</v>
      </c>
      <c r="BM1452" s="1" t="s">
        <v>4959</v>
      </c>
      <c r="BQ1452" s="1" t="s">
        <v>207</v>
      </c>
      <c r="BR1452" s="1" t="s">
        <v>208</v>
      </c>
      <c r="BS1452" s="1" t="s">
        <v>229</v>
      </c>
      <c r="BT1452" s="1" t="s">
        <v>210</v>
      </c>
      <c r="BX1452" s="1">
        <v>1</v>
      </c>
    </row>
    <row r="1453" spans="1:76" x14ac:dyDescent="0.25">
      <c r="A1453" s="1" t="s">
        <v>5482</v>
      </c>
      <c r="B1453" s="1" t="s">
        <v>203</v>
      </c>
      <c r="C1453" s="1">
        <v>1</v>
      </c>
      <c r="D1453" s="1" t="s">
        <v>5483</v>
      </c>
      <c r="E1453" s="1">
        <v>10163</v>
      </c>
      <c r="F1453" s="1" t="s">
        <v>5482</v>
      </c>
      <c r="G1453" s="1">
        <v>1</v>
      </c>
      <c r="L1453" s="1">
        <v>40000</v>
      </c>
      <c r="N1453" s="1">
        <v>1700</v>
      </c>
      <c r="P1453" s="1">
        <v>1000</v>
      </c>
      <c r="R1453" s="1">
        <v>30</v>
      </c>
      <c r="Z1453" s="1">
        <v>0.05</v>
      </c>
      <c r="AA1453" s="1">
        <v>7</v>
      </c>
      <c r="AB1453" s="1">
        <v>4</v>
      </c>
      <c r="AC1453" s="1">
        <v>0.6</v>
      </c>
      <c r="AH1453" s="1">
        <v>0</v>
      </c>
      <c r="AI1453" s="1">
        <v>1</v>
      </c>
      <c r="AJ1453" s="1" t="s">
        <v>5484</v>
      </c>
      <c r="AK1453" s="1" t="s">
        <v>206</v>
      </c>
      <c r="AL1453" s="1" t="s">
        <v>228</v>
      </c>
      <c r="AN1453" s="22" t="s">
        <v>9767</v>
      </c>
      <c r="AX1453" s="1">
        <v>1</v>
      </c>
      <c r="AZ1453" s="1">
        <v>0.25</v>
      </c>
      <c r="BG1453" s="1" t="s">
        <v>5482</v>
      </c>
      <c r="BM1453" s="1" t="s">
        <v>4959</v>
      </c>
      <c r="BQ1453" s="1" t="s">
        <v>207</v>
      </c>
      <c r="BR1453" s="1" t="s">
        <v>208</v>
      </c>
      <c r="BS1453" s="1" t="s">
        <v>229</v>
      </c>
      <c r="BT1453" s="1" t="s">
        <v>210</v>
      </c>
      <c r="BX1453" s="1">
        <v>1</v>
      </c>
    </row>
    <row r="1454" spans="1:76" x14ac:dyDescent="0.25">
      <c r="A1454" s="1" t="s">
        <v>5485</v>
      </c>
      <c r="B1454" s="1" t="s">
        <v>203</v>
      </c>
      <c r="C1454" s="1">
        <v>1</v>
      </c>
      <c r="D1454" s="1" t="s">
        <v>5486</v>
      </c>
      <c r="E1454" s="1">
        <v>10163</v>
      </c>
      <c r="F1454" s="1" t="s">
        <v>5485</v>
      </c>
      <c r="G1454" s="1">
        <v>1</v>
      </c>
      <c r="L1454" s="1">
        <v>44000</v>
      </c>
      <c r="N1454" s="1">
        <v>1900</v>
      </c>
      <c r="P1454" s="1">
        <v>1600</v>
      </c>
      <c r="R1454" s="1">
        <v>30</v>
      </c>
      <c r="Z1454" s="1">
        <v>0.05</v>
      </c>
      <c r="AA1454" s="1">
        <v>7</v>
      </c>
      <c r="AB1454" s="1">
        <v>4</v>
      </c>
      <c r="AC1454" s="1">
        <v>0.6</v>
      </c>
      <c r="AH1454" s="1">
        <v>0</v>
      </c>
      <c r="AI1454" s="1">
        <v>1</v>
      </c>
      <c r="AJ1454" s="1" t="s">
        <v>5487</v>
      </c>
      <c r="AK1454" s="1" t="s">
        <v>206</v>
      </c>
      <c r="AL1454" s="1" t="s">
        <v>228</v>
      </c>
      <c r="AN1454" s="22" t="s">
        <v>9767</v>
      </c>
      <c r="AX1454" s="1">
        <v>1</v>
      </c>
      <c r="AZ1454" s="1">
        <v>0.25</v>
      </c>
      <c r="BG1454" s="1" t="s">
        <v>5485</v>
      </c>
      <c r="BM1454" s="1" t="s">
        <v>4959</v>
      </c>
      <c r="BQ1454" s="1" t="s">
        <v>207</v>
      </c>
      <c r="BR1454" s="1" t="s">
        <v>208</v>
      </c>
      <c r="BS1454" s="1" t="s">
        <v>229</v>
      </c>
      <c r="BT1454" s="1" t="s">
        <v>210</v>
      </c>
      <c r="BX1454" s="1">
        <v>1</v>
      </c>
    </row>
    <row r="1455" spans="1:76" x14ac:dyDescent="0.25">
      <c r="A1455" s="1" t="s">
        <v>5488</v>
      </c>
      <c r="B1455" s="1" t="s">
        <v>203</v>
      </c>
      <c r="C1455" s="1">
        <v>1</v>
      </c>
      <c r="D1455" s="1" t="s">
        <v>5489</v>
      </c>
      <c r="E1455" s="1">
        <v>1580</v>
      </c>
      <c r="F1455" s="1" t="s">
        <v>5488</v>
      </c>
      <c r="G1455" s="1">
        <v>1</v>
      </c>
      <c r="L1455" s="1">
        <v>90000</v>
      </c>
      <c r="N1455" s="1">
        <v>1200</v>
      </c>
      <c r="P1455" s="1">
        <v>800</v>
      </c>
      <c r="R1455" s="1">
        <v>30</v>
      </c>
      <c r="Z1455" s="1">
        <v>0.05</v>
      </c>
      <c r="AA1455" s="1">
        <v>3.6</v>
      </c>
      <c r="AB1455" s="1">
        <v>7</v>
      </c>
      <c r="AC1455" s="1">
        <v>0.5</v>
      </c>
      <c r="AH1455" s="1">
        <v>0</v>
      </c>
      <c r="AI1455" s="1">
        <v>1</v>
      </c>
      <c r="AJ1455" s="1" t="s">
        <v>5490</v>
      </c>
      <c r="AK1455" s="1" t="s">
        <v>206</v>
      </c>
      <c r="AL1455" s="1" t="s">
        <v>228</v>
      </c>
      <c r="AN1455" s="22" t="s">
        <v>9767</v>
      </c>
      <c r="AX1455" s="1">
        <v>1</v>
      </c>
      <c r="AZ1455" s="1">
        <v>0.25</v>
      </c>
      <c r="BG1455" s="1" t="s">
        <v>5488</v>
      </c>
      <c r="BM1455" s="1" t="s">
        <v>4959</v>
      </c>
      <c r="BQ1455" s="1" t="s">
        <v>207</v>
      </c>
      <c r="BR1455" s="1" t="s">
        <v>208</v>
      </c>
      <c r="BS1455" s="1" t="s">
        <v>229</v>
      </c>
      <c r="BT1455" s="1" t="s">
        <v>210</v>
      </c>
      <c r="BX1455" s="1">
        <v>1</v>
      </c>
    </row>
    <row r="1456" spans="1:76" x14ac:dyDescent="0.25">
      <c r="A1456" s="1" t="s">
        <v>5491</v>
      </c>
      <c r="B1456" s="1" t="s">
        <v>203</v>
      </c>
      <c r="C1456" s="1">
        <v>1</v>
      </c>
      <c r="D1456" s="1" t="s">
        <v>5492</v>
      </c>
      <c r="E1456" s="1">
        <v>1581</v>
      </c>
      <c r="F1456" s="1" t="s">
        <v>5491</v>
      </c>
      <c r="G1456" s="1">
        <v>1</v>
      </c>
      <c r="L1456" s="1">
        <v>90000</v>
      </c>
      <c r="N1456" s="1">
        <v>900</v>
      </c>
      <c r="P1456" s="1">
        <v>300</v>
      </c>
      <c r="R1456" s="1">
        <v>30</v>
      </c>
      <c r="Z1456" s="1">
        <v>0.05</v>
      </c>
      <c r="AA1456" s="1">
        <v>3.6</v>
      </c>
      <c r="AB1456" s="1">
        <v>7</v>
      </c>
      <c r="AC1456" s="1">
        <v>0.5</v>
      </c>
      <c r="AH1456" s="1">
        <v>0</v>
      </c>
      <c r="AI1456" s="1">
        <v>1</v>
      </c>
      <c r="AJ1456" s="1" t="s">
        <v>5493</v>
      </c>
      <c r="AK1456" s="1" t="s">
        <v>206</v>
      </c>
      <c r="AL1456" s="1" t="s">
        <v>228</v>
      </c>
      <c r="AN1456" s="22" t="s">
        <v>9767</v>
      </c>
      <c r="AX1456" s="1">
        <v>1</v>
      </c>
      <c r="AZ1456" s="1">
        <v>0.25</v>
      </c>
      <c r="BG1456" s="1" t="s">
        <v>5491</v>
      </c>
      <c r="BM1456" s="1" t="s">
        <v>4959</v>
      </c>
      <c r="BQ1456" s="1" t="s">
        <v>207</v>
      </c>
      <c r="BR1456" s="1" t="s">
        <v>208</v>
      </c>
      <c r="BS1456" s="1" t="s">
        <v>229</v>
      </c>
      <c r="BT1456" s="1" t="s">
        <v>210</v>
      </c>
      <c r="BX1456" s="1">
        <v>1</v>
      </c>
    </row>
    <row r="1457" spans="1:76" x14ac:dyDescent="0.25">
      <c r="A1457" s="1" t="s">
        <v>5494</v>
      </c>
      <c r="B1457" s="1" t="s">
        <v>203</v>
      </c>
      <c r="C1457" s="1">
        <v>1</v>
      </c>
      <c r="D1457" s="1" t="s">
        <v>5495</v>
      </c>
      <c r="E1457" s="1">
        <v>10164</v>
      </c>
      <c r="F1457" s="1" t="s">
        <v>5494</v>
      </c>
      <c r="G1457" s="1">
        <v>1</v>
      </c>
      <c r="L1457" s="1">
        <v>4500</v>
      </c>
      <c r="N1457" s="1">
        <v>400</v>
      </c>
      <c r="P1457" s="1">
        <v>200</v>
      </c>
      <c r="R1457" s="1">
        <v>5</v>
      </c>
      <c r="Z1457" s="1">
        <v>0.05</v>
      </c>
      <c r="AA1457" s="1">
        <v>3</v>
      </c>
      <c r="AB1457" s="1">
        <v>1</v>
      </c>
      <c r="AC1457" s="1">
        <v>1</v>
      </c>
      <c r="AH1457" s="1">
        <v>0</v>
      </c>
      <c r="AI1457" s="1">
        <v>1</v>
      </c>
      <c r="AJ1457" s="1" t="s">
        <v>5496</v>
      </c>
      <c r="AK1457" s="1" t="s">
        <v>206</v>
      </c>
      <c r="AL1457" s="1" t="s">
        <v>228</v>
      </c>
      <c r="AN1457" s="22" t="s">
        <v>9767</v>
      </c>
      <c r="AX1457" s="1">
        <v>1</v>
      </c>
      <c r="AZ1457" s="1">
        <v>0.25</v>
      </c>
      <c r="BG1457" s="1" t="s">
        <v>5494</v>
      </c>
      <c r="BM1457" s="1" t="s">
        <v>4959</v>
      </c>
      <c r="BQ1457" s="1" t="s">
        <v>207</v>
      </c>
      <c r="BR1457" s="1" t="s">
        <v>208</v>
      </c>
      <c r="BS1457" s="1" t="s">
        <v>229</v>
      </c>
      <c r="BT1457" s="1" t="s">
        <v>210</v>
      </c>
      <c r="BX1457" s="1">
        <v>1</v>
      </c>
    </row>
    <row r="1458" spans="1:76" x14ac:dyDescent="0.25">
      <c r="A1458" s="1" t="s">
        <v>5497</v>
      </c>
      <c r="B1458" s="1" t="s">
        <v>203</v>
      </c>
      <c r="C1458" s="1">
        <v>1</v>
      </c>
      <c r="D1458" s="1" t="s">
        <v>5498</v>
      </c>
      <c r="E1458" s="1">
        <v>10164</v>
      </c>
      <c r="F1458" s="1" t="s">
        <v>5497</v>
      </c>
      <c r="G1458" s="1">
        <v>1</v>
      </c>
      <c r="L1458" s="1">
        <v>5400</v>
      </c>
      <c r="N1458" s="1">
        <v>500</v>
      </c>
      <c r="P1458" s="1">
        <v>250</v>
      </c>
      <c r="R1458" s="1">
        <v>5</v>
      </c>
      <c r="Z1458" s="1">
        <v>0.05</v>
      </c>
      <c r="AA1458" s="1">
        <v>3</v>
      </c>
      <c r="AB1458" s="1">
        <v>1</v>
      </c>
      <c r="AC1458" s="1">
        <v>1</v>
      </c>
      <c r="AH1458" s="1">
        <v>0</v>
      </c>
      <c r="AI1458" s="1">
        <v>1</v>
      </c>
      <c r="AJ1458" s="1" t="s">
        <v>5499</v>
      </c>
      <c r="AK1458" s="1" t="s">
        <v>206</v>
      </c>
      <c r="AL1458" s="1" t="s">
        <v>228</v>
      </c>
      <c r="AN1458" s="22" t="s">
        <v>9767</v>
      </c>
      <c r="AX1458" s="1">
        <v>1</v>
      </c>
      <c r="AZ1458" s="1">
        <v>0.25</v>
      </c>
      <c r="BG1458" s="1" t="s">
        <v>5497</v>
      </c>
      <c r="BM1458" s="1" t="s">
        <v>4959</v>
      </c>
      <c r="BQ1458" s="1" t="s">
        <v>207</v>
      </c>
      <c r="BR1458" s="1" t="s">
        <v>208</v>
      </c>
      <c r="BS1458" s="1" t="s">
        <v>229</v>
      </c>
      <c r="BT1458" s="1" t="s">
        <v>210</v>
      </c>
      <c r="BX1458" s="1">
        <v>1</v>
      </c>
    </row>
    <row r="1459" spans="1:76" x14ac:dyDescent="0.25">
      <c r="A1459" s="1" t="s">
        <v>5500</v>
      </c>
      <c r="B1459" s="1" t="s">
        <v>203</v>
      </c>
      <c r="C1459" s="1">
        <v>1</v>
      </c>
      <c r="D1459" s="1" t="s">
        <v>5501</v>
      </c>
      <c r="E1459" s="1">
        <v>10165</v>
      </c>
      <c r="F1459" s="1" t="s">
        <v>5500</v>
      </c>
      <c r="G1459" s="1">
        <v>1</v>
      </c>
      <c r="L1459" s="1">
        <v>7000</v>
      </c>
      <c r="N1459" s="1">
        <v>120</v>
      </c>
      <c r="P1459" s="1">
        <v>100</v>
      </c>
      <c r="R1459" s="1">
        <v>5</v>
      </c>
      <c r="Z1459" s="1">
        <v>0.05</v>
      </c>
      <c r="AA1459" s="1">
        <v>4</v>
      </c>
      <c r="AB1459" s="1">
        <v>1</v>
      </c>
      <c r="AC1459" s="1">
        <v>0.7</v>
      </c>
      <c r="AH1459" s="1">
        <v>0</v>
      </c>
      <c r="AI1459" s="1">
        <v>1</v>
      </c>
      <c r="AJ1459" s="1" t="s">
        <v>5502</v>
      </c>
      <c r="AK1459" s="1" t="s">
        <v>206</v>
      </c>
      <c r="AL1459" s="1" t="s">
        <v>228</v>
      </c>
      <c r="AN1459" s="22" t="s">
        <v>9767</v>
      </c>
      <c r="AX1459" s="1">
        <v>1</v>
      </c>
      <c r="AZ1459" s="1">
        <v>0.25</v>
      </c>
      <c r="BG1459" s="1" t="s">
        <v>5500</v>
      </c>
      <c r="BM1459" s="1" t="s">
        <v>4959</v>
      </c>
      <c r="BQ1459" s="1" t="s">
        <v>207</v>
      </c>
      <c r="BR1459" s="1" t="s">
        <v>208</v>
      </c>
      <c r="BS1459" s="1" t="s">
        <v>229</v>
      </c>
      <c r="BT1459" s="1" t="s">
        <v>210</v>
      </c>
      <c r="BX1459" s="1">
        <v>1</v>
      </c>
    </row>
    <row r="1460" spans="1:76" x14ac:dyDescent="0.25">
      <c r="A1460" s="1" t="s">
        <v>5503</v>
      </c>
      <c r="B1460" s="1" t="s">
        <v>203</v>
      </c>
      <c r="C1460" s="1">
        <v>1</v>
      </c>
      <c r="D1460" s="1" t="s">
        <v>5504</v>
      </c>
      <c r="E1460" s="1">
        <v>10165</v>
      </c>
      <c r="F1460" s="1" t="s">
        <v>5503</v>
      </c>
      <c r="G1460" s="1">
        <v>1</v>
      </c>
      <c r="L1460" s="1">
        <v>9000</v>
      </c>
      <c r="N1460" s="1">
        <v>210</v>
      </c>
      <c r="P1460" s="1">
        <v>150</v>
      </c>
      <c r="R1460" s="1">
        <v>5</v>
      </c>
      <c r="Z1460" s="1">
        <v>0.05</v>
      </c>
      <c r="AA1460" s="1">
        <v>4</v>
      </c>
      <c r="AB1460" s="1">
        <v>1</v>
      </c>
      <c r="AC1460" s="1">
        <v>0.7</v>
      </c>
      <c r="AH1460" s="1">
        <v>0</v>
      </c>
      <c r="AI1460" s="1">
        <v>1</v>
      </c>
      <c r="AJ1460" s="1" t="s">
        <v>5505</v>
      </c>
      <c r="AK1460" s="1" t="s">
        <v>206</v>
      </c>
      <c r="AL1460" s="1" t="s">
        <v>228</v>
      </c>
      <c r="AN1460" s="22" t="s">
        <v>9767</v>
      </c>
      <c r="AX1460" s="1">
        <v>1</v>
      </c>
      <c r="AZ1460" s="1">
        <v>0.25</v>
      </c>
      <c r="BG1460" s="1" t="s">
        <v>5503</v>
      </c>
      <c r="BM1460" s="1" t="s">
        <v>4959</v>
      </c>
      <c r="BQ1460" s="1" t="s">
        <v>207</v>
      </c>
      <c r="BR1460" s="1" t="s">
        <v>208</v>
      </c>
      <c r="BS1460" s="1" t="s">
        <v>229</v>
      </c>
      <c r="BT1460" s="1" t="s">
        <v>210</v>
      </c>
      <c r="BX1460" s="1">
        <v>1</v>
      </c>
    </row>
    <row r="1461" spans="1:76" x14ac:dyDescent="0.25">
      <c r="A1461" s="1" t="s">
        <v>5506</v>
      </c>
      <c r="B1461" s="1" t="s">
        <v>203</v>
      </c>
      <c r="C1461" s="1">
        <v>1</v>
      </c>
      <c r="D1461" s="1" t="s">
        <v>5507</v>
      </c>
      <c r="E1461" s="1">
        <v>10166</v>
      </c>
      <c r="F1461" s="1" t="s">
        <v>5506</v>
      </c>
      <c r="G1461" s="1">
        <v>1</v>
      </c>
      <c r="L1461" s="1">
        <v>16000</v>
      </c>
      <c r="N1461" s="1">
        <v>800</v>
      </c>
      <c r="P1461" s="1">
        <v>1300</v>
      </c>
      <c r="R1461" s="1">
        <v>5</v>
      </c>
      <c r="Z1461" s="1">
        <v>0.05</v>
      </c>
      <c r="AA1461" s="1">
        <v>3.8</v>
      </c>
      <c r="AB1461" s="1">
        <v>3</v>
      </c>
      <c r="AC1461" s="1">
        <v>0.7</v>
      </c>
      <c r="AH1461" s="1">
        <v>0</v>
      </c>
      <c r="AI1461" s="1">
        <v>1</v>
      </c>
      <c r="AJ1461" s="1" t="s">
        <v>5508</v>
      </c>
      <c r="AK1461" s="1" t="s">
        <v>206</v>
      </c>
      <c r="AL1461" s="1" t="s">
        <v>228</v>
      </c>
      <c r="AN1461" s="22" t="s">
        <v>9767</v>
      </c>
      <c r="AX1461" s="1">
        <v>1</v>
      </c>
      <c r="AZ1461" s="1">
        <v>0.25</v>
      </c>
      <c r="BG1461" s="1" t="s">
        <v>5506</v>
      </c>
      <c r="BM1461" s="1" t="s">
        <v>4959</v>
      </c>
      <c r="BQ1461" s="1" t="s">
        <v>207</v>
      </c>
      <c r="BR1461" s="1" t="s">
        <v>208</v>
      </c>
      <c r="BS1461" s="1" t="s">
        <v>229</v>
      </c>
      <c r="BT1461" s="1" t="s">
        <v>210</v>
      </c>
      <c r="BX1461" s="1">
        <v>1</v>
      </c>
    </row>
    <row r="1462" spans="1:76" x14ac:dyDescent="0.25">
      <c r="A1462" s="1" t="s">
        <v>5509</v>
      </c>
      <c r="B1462" s="1" t="s">
        <v>203</v>
      </c>
      <c r="C1462" s="1">
        <v>1</v>
      </c>
      <c r="D1462" s="1" t="s">
        <v>5510</v>
      </c>
      <c r="E1462" s="1">
        <v>10166</v>
      </c>
      <c r="F1462" s="1" t="s">
        <v>5509</v>
      </c>
      <c r="G1462" s="1">
        <v>1</v>
      </c>
      <c r="L1462" s="1">
        <v>20000</v>
      </c>
      <c r="N1462" s="1">
        <v>800</v>
      </c>
      <c r="P1462" s="1">
        <v>1550</v>
      </c>
      <c r="R1462" s="1">
        <v>5</v>
      </c>
      <c r="Z1462" s="1">
        <v>0.05</v>
      </c>
      <c r="AA1462" s="1">
        <v>3.8</v>
      </c>
      <c r="AB1462" s="1">
        <v>3</v>
      </c>
      <c r="AC1462" s="1">
        <v>0.7</v>
      </c>
      <c r="AH1462" s="1">
        <v>0</v>
      </c>
      <c r="AI1462" s="1">
        <v>1</v>
      </c>
      <c r="AJ1462" s="1" t="s">
        <v>5511</v>
      </c>
      <c r="AK1462" s="1" t="s">
        <v>206</v>
      </c>
      <c r="AL1462" s="1" t="s">
        <v>228</v>
      </c>
      <c r="AN1462" s="22" t="s">
        <v>9767</v>
      </c>
      <c r="AX1462" s="1">
        <v>1</v>
      </c>
      <c r="AZ1462" s="1">
        <v>0.25</v>
      </c>
      <c r="BG1462" s="1" t="s">
        <v>5509</v>
      </c>
      <c r="BM1462" s="1" t="s">
        <v>4959</v>
      </c>
      <c r="BQ1462" s="1" t="s">
        <v>207</v>
      </c>
      <c r="BR1462" s="1" t="s">
        <v>208</v>
      </c>
      <c r="BS1462" s="1" t="s">
        <v>229</v>
      </c>
      <c r="BT1462" s="1" t="s">
        <v>210</v>
      </c>
      <c r="BX1462" s="1">
        <v>1</v>
      </c>
    </row>
    <row r="1463" spans="1:76" x14ac:dyDescent="0.25">
      <c r="A1463" s="1" t="s">
        <v>11251</v>
      </c>
      <c r="B1463" s="1" t="s">
        <v>203</v>
      </c>
      <c r="C1463" s="1">
        <v>1</v>
      </c>
      <c r="D1463" s="1" t="s">
        <v>5513</v>
      </c>
      <c r="E1463" s="1">
        <v>10167</v>
      </c>
      <c r="F1463" s="1" t="s">
        <v>5512</v>
      </c>
      <c r="G1463" s="1">
        <v>1</v>
      </c>
      <c r="L1463" s="1">
        <v>8000</v>
      </c>
      <c r="N1463" s="1">
        <v>250</v>
      </c>
      <c r="P1463" s="1">
        <v>50</v>
      </c>
      <c r="R1463" s="1">
        <v>40</v>
      </c>
      <c r="Z1463" s="1">
        <v>0.05</v>
      </c>
      <c r="AA1463" s="1">
        <v>4.5</v>
      </c>
      <c r="AB1463" s="1">
        <v>1</v>
      </c>
      <c r="AC1463" s="1">
        <v>0.5</v>
      </c>
      <c r="AH1463" s="1">
        <v>0</v>
      </c>
      <c r="AI1463" s="1">
        <v>1</v>
      </c>
      <c r="AJ1463" s="1" t="s">
        <v>5514</v>
      </c>
      <c r="AK1463" s="1" t="s">
        <v>206</v>
      </c>
      <c r="AL1463" s="1" t="s">
        <v>228</v>
      </c>
      <c r="AN1463" s="22" t="s">
        <v>9767</v>
      </c>
      <c r="AX1463" s="1">
        <v>1</v>
      </c>
      <c r="AZ1463" s="1">
        <v>0.25</v>
      </c>
      <c r="BG1463" s="1" t="s">
        <v>5512</v>
      </c>
      <c r="BM1463" s="1" t="s">
        <v>4959</v>
      </c>
      <c r="BQ1463" s="1" t="s">
        <v>5515</v>
      </c>
      <c r="BR1463" s="1" t="s">
        <v>5516</v>
      </c>
      <c r="BS1463" s="1" t="s">
        <v>5517</v>
      </c>
      <c r="BT1463" s="1" t="s">
        <v>5518</v>
      </c>
      <c r="BX1463" s="1">
        <v>1</v>
      </c>
    </row>
    <row r="1464" spans="1:76" x14ac:dyDescent="0.25">
      <c r="A1464" s="1" t="s">
        <v>11252</v>
      </c>
      <c r="B1464" s="1" t="s">
        <v>203</v>
      </c>
      <c r="C1464" s="1">
        <v>1</v>
      </c>
      <c r="D1464" s="1" t="s">
        <v>5520</v>
      </c>
      <c r="E1464" s="1">
        <v>10167</v>
      </c>
      <c r="F1464" s="1" t="s">
        <v>5519</v>
      </c>
      <c r="G1464" s="1">
        <v>1</v>
      </c>
      <c r="L1464" s="1">
        <v>9600</v>
      </c>
      <c r="N1464" s="1">
        <v>300</v>
      </c>
      <c r="P1464" s="1">
        <v>100</v>
      </c>
      <c r="R1464" s="1">
        <v>40</v>
      </c>
      <c r="Z1464" s="1">
        <v>0.05</v>
      </c>
      <c r="AA1464" s="1">
        <v>4.5</v>
      </c>
      <c r="AB1464" s="1">
        <v>1</v>
      </c>
      <c r="AC1464" s="1">
        <v>0.5</v>
      </c>
      <c r="AH1464" s="1">
        <v>0</v>
      </c>
      <c r="AI1464" s="1">
        <v>1</v>
      </c>
      <c r="AJ1464" s="1" t="s">
        <v>5521</v>
      </c>
      <c r="AK1464" s="1" t="s">
        <v>206</v>
      </c>
      <c r="AL1464" s="1" t="s">
        <v>228</v>
      </c>
      <c r="AN1464" s="22" t="s">
        <v>9767</v>
      </c>
      <c r="AX1464" s="1">
        <v>1</v>
      </c>
      <c r="AZ1464" s="1">
        <v>0.25</v>
      </c>
      <c r="BG1464" s="1" t="s">
        <v>5519</v>
      </c>
      <c r="BM1464" s="1" t="s">
        <v>4959</v>
      </c>
      <c r="BQ1464" s="1" t="s">
        <v>5515</v>
      </c>
      <c r="BR1464" s="1" t="s">
        <v>5516</v>
      </c>
      <c r="BS1464" s="1" t="s">
        <v>5517</v>
      </c>
      <c r="BT1464" s="1" t="s">
        <v>5518</v>
      </c>
      <c r="BX1464" s="1">
        <v>1</v>
      </c>
    </row>
    <row r="1465" spans="1:76" x14ac:dyDescent="0.25">
      <c r="A1465" s="1" t="s">
        <v>11253</v>
      </c>
      <c r="B1465" s="1" t="s">
        <v>203</v>
      </c>
      <c r="C1465" s="1">
        <v>1</v>
      </c>
      <c r="D1465" s="1" t="s">
        <v>5513</v>
      </c>
      <c r="E1465" s="1">
        <v>10167</v>
      </c>
      <c r="F1465" s="1" t="s">
        <v>5512</v>
      </c>
      <c r="G1465" s="1">
        <v>1</v>
      </c>
      <c r="L1465" s="1">
        <v>8000</v>
      </c>
      <c r="N1465" s="1">
        <v>250</v>
      </c>
      <c r="P1465" s="1">
        <v>50</v>
      </c>
      <c r="R1465" s="1">
        <v>40</v>
      </c>
      <c r="Z1465" s="1">
        <v>0.05</v>
      </c>
      <c r="AA1465" s="1">
        <v>4.5</v>
      </c>
      <c r="AB1465" s="1">
        <v>1</v>
      </c>
      <c r="AC1465" s="1">
        <v>0.5</v>
      </c>
      <c r="AH1465" s="1">
        <v>0</v>
      </c>
      <c r="AI1465" s="1">
        <v>1</v>
      </c>
      <c r="AJ1465" s="1" t="s">
        <v>5522</v>
      </c>
      <c r="AK1465" s="1" t="s">
        <v>206</v>
      </c>
      <c r="AL1465" s="1" t="s">
        <v>228</v>
      </c>
      <c r="AN1465" s="22" t="s">
        <v>9767</v>
      </c>
      <c r="AX1465" s="1">
        <v>1</v>
      </c>
      <c r="AZ1465" s="1">
        <v>0.25</v>
      </c>
      <c r="BG1465" s="1" t="s">
        <v>5512</v>
      </c>
      <c r="BM1465" s="1" t="s">
        <v>4959</v>
      </c>
      <c r="BQ1465" s="1" t="s">
        <v>5523</v>
      </c>
      <c r="BR1465" s="1" t="s">
        <v>5524</v>
      </c>
      <c r="BS1465" s="1" t="s">
        <v>5525</v>
      </c>
      <c r="BT1465" s="1" t="s">
        <v>5526</v>
      </c>
      <c r="BX1465" s="1">
        <v>1</v>
      </c>
    </row>
    <row r="1466" spans="1:76" x14ac:dyDescent="0.25">
      <c r="A1466" s="1" t="s">
        <v>11254</v>
      </c>
      <c r="B1466" s="1" t="s">
        <v>203</v>
      </c>
      <c r="C1466" s="1">
        <v>1</v>
      </c>
      <c r="D1466" s="1" t="s">
        <v>5520</v>
      </c>
      <c r="E1466" s="1">
        <v>10167</v>
      </c>
      <c r="F1466" s="1" t="s">
        <v>5519</v>
      </c>
      <c r="G1466" s="1">
        <v>1</v>
      </c>
      <c r="L1466" s="1">
        <v>9600</v>
      </c>
      <c r="N1466" s="1">
        <v>300</v>
      </c>
      <c r="P1466" s="1">
        <v>100</v>
      </c>
      <c r="R1466" s="1">
        <v>40</v>
      </c>
      <c r="Z1466" s="1">
        <v>0.05</v>
      </c>
      <c r="AA1466" s="1">
        <v>4.5</v>
      </c>
      <c r="AB1466" s="1">
        <v>1</v>
      </c>
      <c r="AC1466" s="1">
        <v>0.5</v>
      </c>
      <c r="AH1466" s="1">
        <v>0</v>
      </c>
      <c r="AI1466" s="1">
        <v>1</v>
      </c>
      <c r="AJ1466" s="1" t="s">
        <v>5527</v>
      </c>
      <c r="AK1466" s="1" t="s">
        <v>206</v>
      </c>
      <c r="AL1466" s="1" t="s">
        <v>228</v>
      </c>
      <c r="AN1466" s="22" t="s">
        <v>9767</v>
      </c>
      <c r="AX1466" s="1">
        <v>1</v>
      </c>
      <c r="AZ1466" s="1">
        <v>0.25</v>
      </c>
      <c r="BG1466" s="1" t="s">
        <v>5519</v>
      </c>
      <c r="BM1466" s="1" t="s">
        <v>4959</v>
      </c>
      <c r="BQ1466" s="1" t="s">
        <v>5523</v>
      </c>
      <c r="BR1466" s="1" t="s">
        <v>5524</v>
      </c>
      <c r="BS1466" s="1" t="s">
        <v>5525</v>
      </c>
      <c r="BT1466" s="1" t="s">
        <v>5526</v>
      </c>
    </row>
    <row r="1467" spans="1:76" x14ac:dyDescent="0.25">
      <c r="A1467" s="1" t="s">
        <v>5528</v>
      </c>
      <c r="B1467" s="1" t="s">
        <v>203</v>
      </c>
      <c r="C1467" s="1">
        <v>1</v>
      </c>
      <c r="D1467" s="1" t="s">
        <v>5529</v>
      </c>
      <c r="E1467" s="1">
        <v>10168</v>
      </c>
      <c r="F1467" s="1" t="s">
        <v>5528</v>
      </c>
      <c r="G1467" s="1">
        <v>1</v>
      </c>
      <c r="L1467" s="1">
        <v>35000</v>
      </c>
      <c r="N1467" s="1">
        <v>550</v>
      </c>
      <c r="P1467" s="1">
        <v>0</v>
      </c>
      <c r="R1467" s="1">
        <v>0</v>
      </c>
      <c r="Z1467" s="1">
        <v>0.05</v>
      </c>
      <c r="AA1467" s="1">
        <v>2.5</v>
      </c>
      <c r="AB1467" s="1">
        <v>1</v>
      </c>
      <c r="AC1467" s="1">
        <v>1.2</v>
      </c>
      <c r="AH1467" s="1">
        <v>0</v>
      </c>
      <c r="AI1467" s="1">
        <v>1</v>
      </c>
      <c r="AJ1467" s="1" t="s">
        <v>5530</v>
      </c>
      <c r="AK1467" s="1" t="s">
        <v>206</v>
      </c>
      <c r="AL1467" s="1" t="s">
        <v>228</v>
      </c>
      <c r="AN1467" s="22" t="s">
        <v>9767</v>
      </c>
      <c r="AX1467" s="1">
        <v>1</v>
      </c>
      <c r="AZ1467" s="1">
        <v>0.25</v>
      </c>
      <c r="BG1467" s="1" t="s">
        <v>5528</v>
      </c>
      <c r="BM1467" s="1" t="s">
        <v>4959</v>
      </c>
      <c r="BQ1467" s="1" t="s">
        <v>3265</v>
      </c>
      <c r="BR1467" s="1" t="s">
        <v>3202</v>
      </c>
      <c r="BS1467" s="1" t="s">
        <v>3203</v>
      </c>
      <c r="BT1467" s="1" t="s">
        <v>3204</v>
      </c>
      <c r="BX1467" s="1">
        <v>1</v>
      </c>
    </row>
    <row r="1468" spans="1:76" x14ac:dyDescent="0.25">
      <c r="A1468" s="1" t="s">
        <v>5531</v>
      </c>
      <c r="B1468" s="1" t="s">
        <v>203</v>
      </c>
      <c r="C1468" s="1">
        <v>1</v>
      </c>
      <c r="D1468" s="1" t="s">
        <v>5532</v>
      </c>
      <c r="E1468" s="1">
        <v>10168</v>
      </c>
      <c r="F1468" s="1" t="s">
        <v>5531</v>
      </c>
      <c r="G1468" s="1">
        <v>1</v>
      </c>
      <c r="L1468" s="1">
        <v>50000</v>
      </c>
      <c r="N1468" s="1">
        <v>650</v>
      </c>
      <c r="P1468" s="1">
        <v>0</v>
      </c>
      <c r="R1468" s="1">
        <v>0</v>
      </c>
      <c r="Z1468" s="1">
        <v>0.05</v>
      </c>
      <c r="AA1468" s="1">
        <v>2.5</v>
      </c>
      <c r="AB1468" s="1">
        <v>1</v>
      </c>
      <c r="AC1468" s="1">
        <v>1.2</v>
      </c>
      <c r="AH1468" s="1">
        <v>0</v>
      </c>
      <c r="AI1468" s="1">
        <v>1</v>
      </c>
      <c r="AJ1468" s="1" t="s">
        <v>5533</v>
      </c>
      <c r="AK1468" s="1" t="s">
        <v>206</v>
      </c>
      <c r="AL1468" s="1" t="s">
        <v>228</v>
      </c>
      <c r="AN1468" s="22" t="s">
        <v>9767</v>
      </c>
      <c r="AX1468" s="1">
        <v>1</v>
      </c>
      <c r="AZ1468" s="1">
        <v>0.25</v>
      </c>
      <c r="BG1468" s="1" t="s">
        <v>5531</v>
      </c>
      <c r="BM1468" s="1" t="s">
        <v>4959</v>
      </c>
      <c r="BQ1468" s="1" t="s">
        <v>3265</v>
      </c>
      <c r="BR1468" s="1" t="s">
        <v>3202</v>
      </c>
      <c r="BS1468" s="1" t="s">
        <v>3203</v>
      </c>
      <c r="BT1468" s="1" t="s">
        <v>3204</v>
      </c>
      <c r="BX1468" s="1">
        <v>1</v>
      </c>
    </row>
    <row r="1469" spans="1:76" x14ac:dyDescent="0.25">
      <c r="A1469" s="1" t="s">
        <v>5534</v>
      </c>
      <c r="B1469" s="1" t="s">
        <v>203</v>
      </c>
      <c r="C1469" s="1">
        <v>1</v>
      </c>
      <c r="D1469" s="1" t="s">
        <v>5535</v>
      </c>
      <c r="E1469" s="1">
        <v>10169</v>
      </c>
      <c r="F1469" s="1" t="s">
        <v>5534</v>
      </c>
      <c r="G1469" s="1">
        <v>1</v>
      </c>
      <c r="L1469" s="1">
        <v>10000</v>
      </c>
      <c r="N1469" s="1">
        <v>450</v>
      </c>
      <c r="P1469" s="1">
        <v>450</v>
      </c>
      <c r="R1469" s="1">
        <v>20</v>
      </c>
      <c r="Z1469" s="1">
        <v>0.05</v>
      </c>
      <c r="AA1469" s="1">
        <v>4</v>
      </c>
      <c r="AB1469" s="1">
        <v>0</v>
      </c>
      <c r="AC1469" s="1">
        <v>1.3</v>
      </c>
      <c r="AH1469" s="1">
        <v>0</v>
      </c>
      <c r="AI1469" s="1">
        <v>1</v>
      </c>
      <c r="AJ1469" s="1" t="s">
        <v>5536</v>
      </c>
      <c r="AK1469" s="1" t="s">
        <v>206</v>
      </c>
      <c r="AL1469" s="1" t="s">
        <v>228</v>
      </c>
      <c r="AN1469" s="22" t="s">
        <v>9767</v>
      </c>
      <c r="AP1469" s="1">
        <v>1</v>
      </c>
      <c r="AX1469" s="1">
        <v>1</v>
      </c>
      <c r="AZ1469" s="1">
        <v>0.25</v>
      </c>
      <c r="BG1469" s="1" t="s">
        <v>5534</v>
      </c>
      <c r="BM1469" s="1" t="s">
        <v>4959</v>
      </c>
      <c r="BQ1469" s="1" t="s">
        <v>3416</v>
      </c>
      <c r="BR1469" s="1" t="s">
        <v>2593</v>
      </c>
      <c r="BS1469" s="1" t="s">
        <v>2594</v>
      </c>
      <c r="BT1469" s="1" t="s">
        <v>3131</v>
      </c>
      <c r="BX1469" s="1">
        <v>1</v>
      </c>
    </row>
    <row r="1470" spans="1:76" x14ac:dyDescent="0.25">
      <c r="A1470" s="1" t="s">
        <v>5537</v>
      </c>
      <c r="B1470" s="1" t="s">
        <v>203</v>
      </c>
      <c r="C1470" s="1">
        <v>1</v>
      </c>
      <c r="D1470" s="1" t="s">
        <v>5538</v>
      </c>
      <c r="E1470" s="1">
        <v>10169</v>
      </c>
      <c r="F1470" s="1" t="s">
        <v>5537</v>
      </c>
      <c r="G1470" s="1">
        <v>1</v>
      </c>
      <c r="L1470" s="1">
        <v>12000</v>
      </c>
      <c r="N1470" s="1">
        <v>550</v>
      </c>
      <c r="P1470" s="1">
        <v>550</v>
      </c>
      <c r="R1470" s="1">
        <v>10</v>
      </c>
      <c r="Z1470" s="1">
        <v>0.05</v>
      </c>
      <c r="AA1470" s="1">
        <v>4</v>
      </c>
      <c r="AB1470" s="1">
        <v>0</v>
      </c>
      <c r="AC1470" s="1">
        <v>1.3</v>
      </c>
      <c r="AH1470" s="1">
        <v>0</v>
      </c>
      <c r="AI1470" s="1">
        <v>1</v>
      </c>
      <c r="AJ1470" s="1" t="s">
        <v>5539</v>
      </c>
      <c r="AK1470" s="1" t="s">
        <v>206</v>
      </c>
      <c r="AL1470" s="1" t="s">
        <v>228</v>
      </c>
      <c r="AN1470" s="22" t="s">
        <v>9767</v>
      </c>
      <c r="AP1470" s="1">
        <v>1</v>
      </c>
      <c r="AX1470" s="1">
        <v>1</v>
      </c>
      <c r="AZ1470" s="1">
        <v>0.25</v>
      </c>
      <c r="BG1470" s="1" t="s">
        <v>5537</v>
      </c>
      <c r="BM1470" s="1" t="s">
        <v>4959</v>
      </c>
      <c r="BQ1470" s="1" t="s">
        <v>3416</v>
      </c>
      <c r="BR1470" s="1" t="s">
        <v>2593</v>
      </c>
      <c r="BS1470" s="1" t="s">
        <v>2594</v>
      </c>
      <c r="BT1470" s="1" t="s">
        <v>3131</v>
      </c>
      <c r="BX1470" s="1">
        <v>1</v>
      </c>
    </row>
    <row r="1471" spans="1:76" x14ac:dyDescent="0.25">
      <c r="A1471" s="1" t="s">
        <v>5540</v>
      </c>
      <c r="B1471" s="1" t="s">
        <v>203</v>
      </c>
      <c r="C1471" s="1">
        <v>1</v>
      </c>
      <c r="D1471" s="1" t="s">
        <v>5541</v>
      </c>
      <c r="E1471" s="1">
        <v>10170</v>
      </c>
      <c r="F1471" s="1" t="s">
        <v>5540</v>
      </c>
      <c r="G1471" s="1">
        <v>1</v>
      </c>
      <c r="L1471" s="1">
        <v>9000</v>
      </c>
      <c r="N1471" s="1">
        <v>280</v>
      </c>
      <c r="P1471" s="1">
        <v>300</v>
      </c>
      <c r="R1471" s="1">
        <v>15</v>
      </c>
      <c r="Z1471" s="1">
        <v>0.05</v>
      </c>
      <c r="AA1471" s="1">
        <v>3</v>
      </c>
      <c r="AB1471" s="1">
        <v>0</v>
      </c>
      <c r="AC1471" s="1">
        <v>0.7</v>
      </c>
      <c r="AH1471" s="1">
        <v>0</v>
      </c>
      <c r="AI1471" s="1">
        <v>1</v>
      </c>
      <c r="AJ1471" s="1" t="s">
        <v>5542</v>
      </c>
      <c r="AK1471" s="1" t="s">
        <v>206</v>
      </c>
      <c r="AL1471" s="1" t="s">
        <v>228</v>
      </c>
      <c r="AN1471" s="22" t="s">
        <v>9767</v>
      </c>
      <c r="AX1471" s="1">
        <v>1</v>
      </c>
      <c r="AZ1471" s="1">
        <v>0.25</v>
      </c>
      <c r="BG1471" s="1" t="s">
        <v>5540</v>
      </c>
      <c r="BM1471" s="1" t="s">
        <v>4959</v>
      </c>
      <c r="BQ1471" s="1" t="s">
        <v>207</v>
      </c>
      <c r="BR1471" s="1" t="s">
        <v>208</v>
      </c>
      <c r="BS1471" s="1" t="s">
        <v>229</v>
      </c>
      <c r="BT1471" s="1" t="s">
        <v>210</v>
      </c>
      <c r="BX1471" s="1">
        <v>1</v>
      </c>
    </row>
    <row r="1472" spans="1:76" x14ac:dyDescent="0.25">
      <c r="A1472" s="1" t="s">
        <v>5543</v>
      </c>
      <c r="B1472" s="1" t="s">
        <v>203</v>
      </c>
      <c r="C1472" s="1">
        <v>1</v>
      </c>
      <c r="D1472" s="1" t="s">
        <v>5544</v>
      </c>
      <c r="E1472" s="1">
        <v>10170</v>
      </c>
      <c r="F1472" s="1" t="s">
        <v>5543</v>
      </c>
      <c r="G1472" s="1">
        <v>1</v>
      </c>
      <c r="L1472" s="1">
        <v>11000</v>
      </c>
      <c r="N1472" s="1">
        <v>350</v>
      </c>
      <c r="P1472" s="1">
        <v>360</v>
      </c>
      <c r="R1472" s="1">
        <v>15</v>
      </c>
      <c r="Z1472" s="1">
        <v>0.05</v>
      </c>
      <c r="AA1472" s="1">
        <v>3</v>
      </c>
      <c r="AB1472" s="1">
        <v>0</v>
      </c>
      <c r="AC1472" s="1">
        <v>0.7</v>
      </c>
      <c r="AH1472" s="1">
        <v>0</v>
      </c>
      <c r="AI1472" s="1">
        <v>1</v>
      </c>
      <c r="AJ1472" s="1" t="s">
        <v>5545</v>
      </c>
      <c r="AK1472" s="1" t="s">
        <v>206</v>
      </c>
      <c r="AL1472" s="1" t="s">
        <v>228</v>
      </c>
      <c r="AN1472" s="22" t="s">
        <v>9767</v>
      </c>
      <c r="AX1472" s="1">
        <v>1</v>
      </c>
      <c r="AZ1472" s="1">
        <v>0.25</v>
      </c>
      <c r="BG1472" s="1" t="s">
        <v>5543</v>
      </c>
      <c r="BM1472" s="1" t="s">
        <v>4959</v>
      </c>
      <c r="BQ1472" s="1" t="s">
        <v>207</v>
      </c>
      <c r="BR1472" s="1" t="s">
        <v>208</v>
      </c>
      <c r="BS1472" s="1" t="s">
        <v>229</v>
      </c>
      <c r="BT1472" s="1" t="s">
        <v>210</v>
      </c>
      <c r="BX1472" s="1">
        <v>1</v>
      </c>
    </row>
    <row r="1473" spans="1:76" x14ac:dyDescent="0.25">
      <c r="A1473" s="1" t="s">
        <v>5546</v>
      </c>
      <c r="B1473" s="1" t="s">
        <v>203</v>
      </c>
      <c r="C1473" s="1">
        <v>1</v>
      </c>
      <c r="D1473" s="1" t="s">
        <v>5547</v>
      </c>
      <c r="E1473" s="1">
        <v>10171</v>
      </c>
      <c r="F1473" s="1" t="s">
        <v>5546</v>
      </c>
      <c r="G1473" s="1">
        <v>1</v>
      </c>
      <c r="L1473" s="1">
        <v>25000</v>
      </c>
      <c r="N1473" s="1">
        <v>450</v>
      </c>
      <c r="P1473" s="1">
        <v>250</v>
      </c>
      <c r="R1473" s="1">
        <v>35</v>
      </c>
      <c r="Z1473" s="1">
        <v>0.05</v>
      </c>
      <c r="AA1473" s="1">
        <v>3.5</v>
      </c>
      <c r="AB1473" s="1">
        <v>5</v>
      </c>
      <c r="AC1473" s="1">
        <v>0.6</v>
      </c>
      <c r="AH1473" s="1">
        <v>0</v>
      </c>
      <c r="AI1473" s="1">
        <v>1</v>
      </c>
      <c r="AJ1473" s="1" t="s">
        <v>5548</v>
      </c>
      <c r="AK1473" s="1" t="s">
        <v>206</v>
      </c>
      <c r="AL1473" s="1" t="s">
        <v>228</v>
      </c>
      <c r="AN1473" s="22" t="s">
        <v>9767</v>
      </c>
      <c r="AX1473" s="1">
        <v>1</v>
      </c>
      <c r="AZ1473" s="1">
        <v>0.25</v>
      </c>
      <c r="BG1473" s="1" t="s">
        <v>5546</v>
      </c>
      <c r="BM1473" s="1" t="s">
        <v>4959</v>
      </c>
      <c r="BQ1473" s="1" t="s">
        <v>207</v>
      </c>
      <c r="BR1473" s="1" t="s">
        <v>208</v>
      </c>
      <c r="BS1473" s="1" t="s">
        <v>229</v>
      </c>
      <c r="BT1473" s="1" t="s">
        <v>210</v>
      </c>
      <c r="BX1473" s="1">
        <v>1</v>
      </c>
    </row>
    <row r="1474" spans="1:76" x14ac:dyDescent="0.25">
      <c r="A1474" s="1" t="s">
        <v>5549</v>
      </c>
      <c r="B1474" s="1" t="s">
        <v>203</v>
      </c>
      <c r="C1474" s="1">
        <v>1</v>
      </c>
      <c r="D1474" s="1" t="s">
        <v>5550</v>
      </c>
      <c r="E1474" s="1">
        <v>10172</v>
      </c>
      <c r="F1474" s="1" t="s">
        <v>5549</v>
      </c>
      <c r="G1474" s="1">
        <v>1</v>
      </c>
      <c r="L1474" s="1">
        <v>10000</v>
      </c>
      <c r="N1474" s="1">
        <v>700</v>
      </c>
      <c r="P1474" s="1">
        <v>550</v>
      </c>
      <c r="R1474" s="1">
        <v>20</v>
      </c>
      <c r="Z1474" s="1">
        <v>0.05</v>
      </c>
      <c r="AA1474" s="1">
        <v>3</v>
      </c>
      <c r="AB1474" s="1">
        <v>0</v>
      </c>
      <c r="AC1474" s="1">
        <v>1</v>
      </c>
      <c r="AH1474" s="1">
        <v>0</v>
      </c>
      <c r="AI1474" s="1">
        <v>1</v>
      </c>
      <c r="AJ1474" s="1" t="s">
        <v>5551</v>
      </c>
      <c r="AK1474" s="1" t="s">
        <v>206</v>
      </c>
      <c r="AL1474" s="1" t="s">
        <v>228</v>
      </c>
      <c r="AN1474" s="22" t="s">
        <v>9767</v>
      </c>
      <c r="AX1474" s="1">
        <v>1</v>
      </c>
      <c r="AZ1474" s="1">
        <v>0.25</v>
      </c>
      <c r="BG1474" s="1" t="s">
        <v>5549</v>
      </c>
      <c r="BM1474" s="1" t="s">
        <v>4959</v>
      </c>
      <c r="BQ1474" s="1" t="s">
        <v>207</v>
      </c>
      <c r="BR1474" s="1" t="s">
        <v>208</v>
      </c>
      <c r="BS1474" s="1" t="s">
        <v>229</v>
      </c>
      <c r="BT1474" s="1" t="s">
        <v>210</v>
      </c>
      <c r="BX1474" s="1">
        <v>1</v>
      </c>
    </row>
    <row r="1475" spans="1:76" x14ac:dyDescent="0.25">
      <c r="A1475" s="1" t="s">
        <v>5552</v>
      </c>
      <c r="B1475" s="1" t="s">
        <v>203</v>
      </c>
      <c r="C1475" s="1">
        <v>1</v>
      </c>
      <c r="D1475" s="1" t="s">
        <v>5553</v>
      </c>
      <c r="E1475" s="1">
        <v>3012</v>
      </c>
      <c r="F1475" s="1" t="s">
        <v>5552</v>
      </c>
      <c r="G1475" s="1">
        <v>1</v>
      </c>
      <c r="L1475" s="1">
        <v>3000</v>
      </c>
      <c r="N1475" s="1">
        <v>100</v>
      </c>
      <c r="P1475" s="1">
        <v>50</v>
      </c>
      <c r="R1475" s="1">
        <v>0</v>
      </c>
      <c r="Z1475" s="1">
        <v>0.05</v>
      </c>
      <c r="AA1475" s="1">
        <v>3</v>
      </c>
      <c r="AB1475" s="1">
        <v>0</v>
      </c>
      <c r="AC1475" s="1">
        <v>1</v>
      </c>
      <c r="AH1475" s="1">
        <v>0</v>
      </c>
      <c r="AI1475" s="1">
        <v>2</v>
      </c>
      <c r="AJ1475" s="1" t="s">
        <v>5554</v>
      </c>
      <c r="AK1475" s="1" t="s">
        <v>206</v>
      </c>
      <c r="AL1475" s="1" t="s">
        <v>5555</v>
      </c>
      <c r="AN1475" s="22" t="s">
        <v>9767</v>
      </c>
      <c r="AX1475" s="1">
        <v>1</v>
      </c>
      <c r="AZ1475" s="1">
        <v>0.25</v>
      </c>
      <c r="BG1475" s="1" t="s">
        <v>5552</v>
      </c>
      <c r="BM1475" s="1" t="s">
        <v>4959</v>
      </c>
      <c r="BQ1475" s="1" t="s">
        <v>207</v>
      </c>
      <c r="BR1475" s="1" t="s">
        <v>208</v>
      </c>
      <c r="BS1475" s="1" t="s">
        <v>229</v>
      </c>
      <c r="BT1475" s="1" t="s">
        <v>210</v>
      </c>
      <c r="BX1475" s="1">
        <v>1</v>
      </c>
    </row>
    <row r="1476" spans="1:76" x14ac:dyDescent="0.25">
      <c r="A1476" s="1" t="s">
        <v>5556</v>
      </c>
      <c r="B1476" s="1" t="s">
        <v>203</v>
      </c>
      <c r="C1476" s="1">
        <v>1</v>
      </c>
      <c r="D1476" s="1" t="s">
        <v>5557</v>
      </c>
      <c r="E1476" s="1">
        <v>3013</v>
      </c>
      <c r="F1476" s="1" t="s">
        <v>5556</v>
      </c>
      <c r="G1476" s="1">
        <v>1</v>
      </c>
      <c r="L1476" s="1">
        <v>3000</v>
      </c>
      <c r="N1476" s="1">
        <v>100</v>
      </c>
      <c r="P1476" s="1">
        <v>50</v>
      </c>
      <c r="R1476" s="1">
        <v>0</v>
      </c>
      <c r="Z1476" s="1">
        <v>0.05</v>
      </c>
      <c r="AA1476" s="1">
        <v>3</v>
      </c>
      <c r="AB1476" s="1">
        <v>0</v>
      </c>
      <c r="AC1476" s="1">
        <v>1</v>
      </c>
      <c r="AH1476" s="1">
        <v>0</v>
      </c>
      <c r="AI1476" s="1">
        <v>2</v>
      </c>
      <c r="AJ1476" s="1" t="s">
        <v>5558</v>
      </c>
      <c r="AK1476" s="1" t="s">
        <v>206</v>
      </c>
      <c r="AL1476" s="1" t="s">
        <v>5555</v>
      </c>
      <c r="AN1476" s="22" t="s">
        <v>9767</v>
      </c>
      <c r="AX1476" s="1">
        <v>1</v>
      </c>
      <c r="AZ1476" s="1">
        <v>0.25</v>
      </c>
      <c r="BG1476" s="1" t="s">
        <v>5556</v>
      </c>
      <c r="BM1476" s="1" t="s">
        <v>4959</v>
      </c>
      <c r="BQ1476" s="1" t="s">
        <v>207</v>
      </c>
      <c r="BR1476" s="1" t="s">
        <v>208</v>
      </c>
      <c r="BS1476" s="1" t="s">
        <v>229</v>
      </c>
      <c r="BT1476" s="1" t="s">
        <v>210</v>
      </c>
      <c r="BX1476" s="1">
        <v>1</v>
      </c>
    </row>
    <row r="1477" spans="1:76" x14ac:dyDescent="0.25">
      <c r="A1477" s="1" t="s">
        <v>5559</v>
      </c>
      <c r="B1477" s="1" t="s">
        <v>203</v>
      </c>
      <c r="C1477" s="1">
        <v>1</v>
      </c>
      <c r="D1477" s="1" t="s">
        <v>5560</v>
      </c>
      <c r="E1477" s="1">
        <v>3014</v>
      </c>
      <c r="F1477" s="1" t="s">
        <v>5559</v>
      </c>
      <c r="G1477" s="1">
        <v>1</v>
      </c>
      <c r="L1477" s="1">
        <v>10000</v>
      </c>
      <c r="N1477" s="1">
        <v>300</v>
      </c>
      <c r="P1477" s="1">
        <v>250</v>
      </c>
      <c r="R1477" s="1">
        <v>0</v>
      </c>
      <c r="Z1477" s="1">
        <v>0.05</v>
      </c>
      <c r="AA1477" s="1">
        <v>3</v>
      </c>
      <c r="AB1477" s="1">
        <v>5</v>
      </c>
      <c r="AC1477" s="1">
        <v>1</v>
      </c>
      <c r="AH1477" s="1">
        <v>0</v>
      </c>
      <c r="AI1477" s="1">
        <v>1</v>
      </c>
      <c r="AJ1477" s="1" t="s">
        <v>5561</v>
      </c>
      <c r="AK1477" s="1" t="s">
        <v>206</v>
      </c>
      <c r="AL1477" s="1" t="s">
        <v>228</v>
      </c>
      <c r="AN1477" s="22" t="s">
        <v>9767</v>
      </c>
      <c r="AX1477" s="1">
        <v>1</v>
      </c>
      <c r="AZ1477" s="1">
        <v>0.25</v>
      </c>
      <c r="BG1477" s="1" t="s">
        <v>5559</v>
      </c>
      <c r="BM1477" s="1" t="s">
        <v>4959</v>
      </c>
      <c r="BQ1477" s="1" t="s">
        <v>207</v>
      </c>
      <c r="BR1477" s="1" t="s">
        <v>208</v>
      </c>
      <c r="BT1477" s="1" t="s">
        <v>210</v>
      </c>
      <c r="BX1477" s="1">
        <v>1</v>
      </c>
    </row>
    <row r="1478" spans="1:76" x14ac:dyDescent="0.25">
      <c r="A1478" s="1" t="s">
        <v>5562</v>
      </c>
      <c r="B1478" s="1" t="s">
        <v>203</v>
      </c>
      <c r="C1478" s="1">
        <v>1</v>
      </c>
      <c r="D1478" s="1" t="s">
        <v>5563</v>
      </c>
      <c r="E1478" s="1">
        <v>10193</v>
      </c>
      <c r="F1478" s="1" t="s">
        <v>5562</v>
      </c>
      <c r="G1478" s="1">
        <v>1</v>
      </c>
      <c r="L1478" s="1">
        <v>5000</v>
      </c>
      <c r="N1478" s="1">
        <v>350</v>
      </c>
      <c r="P1478" s="1">
        <v>80</v>
      </c>
      <c r="R1478" s="1">
        <v>0</v>
      </c>
      <c r="Z1478" s="1">
        <v>0.05</v>
      </c>
      <c r="AA1478" s="1">
        <v>1.8</v>
      </c>
      <c r="AB1478" s="1">
        <v>1</v>
      </c>
      <c r="AC1478" s="1">
        <v>0.75</v>
      </c>
      <c r="AH1478" s="1">
        <v>0</v>
      </c>
      <c r="AI1478" s="1">
        <v>1</v>
      </c>
      <c r="AJ1478" s="1" t="s">
        <v>5564</v>
      </c>
      <c r="AK1478" s="1" t="s">
        <v>206</v>
      </c>
      <c r="AL1478" s="1" t="s">
        <v>228</v>
      </c>
      <c r="AN1478" s="22" t="s">
        <v>9767</v>
      </c>
      <c r="AX1478" s="1">
        <v>1</v>
      </c>
      <c r="AZ1478" s="1">
        <v>0.25</v>
      </c>
      <c r="BG1478" s="1" t="s">
        <v>5562</v>
      </c>
      <c r="BM1478" s="1" t="s">
        <v>4959</v>
      </c>
      <c r="BQ1478" s="1" t="s">
        <v>207</v>
      </c>
      <c r="BR1478" s="1" t="s">
        <v>208</v>
      </c>
      <c r="BS1478" s="1" t="s">
        <v>229</v>
      </c>
      <c r="BT1478" s="1" t="s">
        <v>210</v>
      </c>
      <c r="BX1478" s="1">
        <v>1</v>
      </c>
    </row>
    <row r="1479" spans="1:76" x14ac:dyDescent="0.25">
      <c r="A1479" s="1" t="s">
        <v>5565</v>
      </c>
      <c r="B1479" s="1" t="s">
        <v>203</v>
      </c>
      <c r="C1479" s="1">
        <v>1</v>
      </c>
      <c r="D1479" s="1" t="s">
        <v>5566</v>
      </c>
      <c r="E1479" s="1">
        <v>10193</v>
      </c>
      <c r="F1479" s="1" t="s">
        <v>5565</v>
      </c>
      <c r="G1479" s="1">
        <v>1</v>
      </c>
      <c r="L1479" s="1">
        <v>6000</v>
      </c>
      <c r="N1479" s="1">
        <v>400</v>
      </c>
      <c r="P1479" s="1">
        <v>150</v>
      </c>
      <c r="R1479" s="1">
        <v>0</v>
      </c>
      <c r="Z1479" s="1">
        <v>0.05</v>
      </c>
      <c r="AA1479" s="1">
        <v>1.8</v>
      </c>
      <c r="AB1479" s="1">
        <v>1</v>
      </c>
      <c r="AC1479" s="1">
        <v>0.75</v>
      </c>
      <c r="AH1479" s="1">
        <v>0</v>
      </c>
      <c r="AI1479" s="1">
        <v>1</v>
      </c>
      <c r="AJ1479" s="1" t="s">
        <v>5567</v>
      </c>
      <c r="AK1479" s="1" t="s">
        <v>206</v>
      </c>
      <c r="AL1479" s="1" t="s">
        <v>228</v>
      </c>
      <c r="AN1479" s="22" t="s">
        <v>9767</v>
      </c>
      <c r="AX1479" s="1">
        <v>1</v>
      </c>
      <c r="AZ1479" s="1">
        <v>0.25</v>
      </c>
      <c r="BG1479" s="1" t="s">
        <v>5565</v>
      </c>
      <c r="BM1479" s="1" t="s">
        <v>4959</v>
      </c>
      <c r="BQ1479" s="1" t="s">
        <v>207</v>
      </c>
      <c r="BR1479" s="1" t="s">
        <v>208</v>
      </c>
      <c r="BS1479" s="1" t="s">
        <v>229</v>
      </c>
      <c r="BT1479" s="1" t="s">
        <v>210</v>
      </c>
      <c r="BX1479" s="1">
        <v>1</v>
      </c>
    </row>
    <row r="1480" spans="1:76" x14ac:dyDescent="0.25">
      <c r="A1480" s="1" t="s">
        <v>5568</v>
      </c>
      <c r="B1480" s="1" t="s">
        <v>203</v>
      </c>
      <c r="C1480" s="1">
        <v>1</v>
      </c>
      <c r="D1480" s="1" t="s">
        <v>5569</v>
      </c>
      <c r="E1480" s="1">
        <v>10194</v>
      </c>
      <c r="F1480" s="1" t="s">
        <v>5568</v>
      </c>
      <c r="G1480" s="1">
        <v>1</v>
      </c>
      <c r="L1480" s="1">
        <v>4500</v>
      </c>
      <c r="N1480" s="1">
        <v>300</v>
      </c>
      <c r="P1480" s="1">
        <v>40</v>
      </c>
      <c r="R1480" s="1">
        <v>0</v>
      </c>
      <c r="Z1480" s="1">
        <v>0.05</v>
      </c>
      <c r="AA1480" s="1">
        <v>2.5</v>
      </c>
      <c r="AB1480" s="1">
        <v>1</v>
      </c>
      <c r="AC1480" s="1">
        <v>0.7</v>
      </c>
      <c r="AH1480" s="1">
        <v>0</v>
      </c>
      <c r="AI1480" s="1">
        <v>1</v>
      </c>
      <c r="AJ1480" s="1" t="s">
        <v>5570</v>
      </c>
      <c r="AK1480" s="1" t="s">
        <v>206</v>
      </c>
      <c r="AL1480" s="1" t="s">
        <v>228</v>
      </c>
      <c r="AN1480" s="22" t="s">
        <v>9767</v>
      </c>
      <c r="AX1480" s="1">
        <v>1</v>
      </c>
      <c r="AZ1480" s="1">
        <v>0.25</v>
      </c>
      <c r="BG1480" s="1" t="s">
        <v>5568</v>
      </c>
      <c r="BM1480" s="1" t="s">
        <v>4959</v>
      </c>
      <c r="BQ1480" s="1" t="s">
        <v>207</v>
      </c>
      <c r="BR1480" s="1" t="s">
        <v>208</v>
      </c>
      <c r="BS1480" s="1" t="s">
        <v>229</v>
      </c>
      <c r="BT1480" s="1" t="s">
        <v>210</v>
      </c>
      <c r="BX1480" s="1">
        <v>1</v>
      </c>
    </row>
    <row r="1481" spans="1:76" x14ac:dyDescent="0.25">
      <c r="A1481" s="1" t="s">
        <v>5571</v>
      </c>
      <c r="B1481" s="1" t="s">
        <v>203</v>
      </c>
      <c r="C1481" s="1">
        <v>1</v>
      </c>
      <c r="D1481" s="1" t="s">
        <v>5572</v>
      </c>
      <c r="E1481" s="1">
        <v>10194</v>
      </c>
      <c r="F1481" s="1" t="s">
        <v>5571</v>
      </c>
      <c r="G1481" s="1">
        <v>1</v>
      </c>
      <c r="L1481" s="1">
        <v>6000</v>
      </c>
      <c r="N1481" s="1">
        <v>400</v>
      </c>
      <c r="P1481" s="1">
        <v>100</v>
      </c>
      <c r="R1481" s="1">
        <v>0</v>
      </c>
      <c r="Z1481" s="1">
        <v>0.05</v>
      </c>
      <c r="AA1481" s="1">
        <v>2.5</v>
      </c>
      <c r="AB1481" s="1">
        <v>1</v>
      </c>
      <c r="AC1481" s="1">
        <v>0.7</v>
      </c>
      <c r="AH1481" s="1">
        <v>0</v>
      </c>
      <c r="AI1481" s="1">
        <v>1</v>
      </c>
      <c r="AJ1481" s="1" t="s">
        <v>5573</v>
      </c>
      <c r="AK1481" s="1" t="s">
        <v>206</v>
      </c>
      <c r="AL1481" s="1" t="s">
        <v>228</v>
      </c>
      <c r="AN1481" s="22" t="s">
        <v>9767</v>
      </c>
      <c r="AX1481" s="1">
        <v>1</v>
      </c>
      <c r="AZ1481" s="1">
        <v>0.25</v>
      </c>
      <c r="BG1481" s="1" t="s">
        <v>5571</v>
      </c>
      <c r="BM1481" s="1" t="s">
        <v>4959</v>
      </c>
      <c r="BQ1481" s="1" t="s">
        <v>207</v>
      </c>
      <c r="BR1481" s="1" t="s">
        <v>208</v>
      </c>
      <c r="BS1481" s="1" t="s">
        <v>229</v>
      </c>
      <c r="BT1481" s="1" t="s">
        <v>210</v>
      </c>
      <c r="BX1481" s="1">
        <v>1</v>
      </c>
    </row>
    <row r="1482" spans="1:76" x14ac:dyDescent="0.25">
      <c r="A1482" s="1" t="s">
        <v>5574</v>
      </c>
      <c r="B1482" s="1" t="s">
        <v>203</v>
      </c>
      <c r="C1482" s="1">
        <v>1</v>
      </c>
      <c r="D1482" s="1" t="s">
        <v>5575</v>
      </c>
      <c r="E1482" s="1">
        <v>10195</v>
      </c>
      <c r="F1482" s="1" t="s">
        <v>5574</v>
      </c>
      <c r="G1482" s="1">
        <v>1</v>
      </c>
      <c r="L1482" s="1">
        <v>8000</v>
      </c>
      <c r="N1482" s="1">
        <v>250</v>
      </c>
      <c r="P1482" s="1">
        <v>250</v>
      </c>
      <c r="R1482" s="1">
        <v>5</v>
      </c>
      <c r="Z1482" s="1">
        <v>0.05</v>
      </c>
      <c r="AA1482" s="1">
        <v>3.2</v>
      </c>
      <c r="AB1482" s="1">
        <v>2</v>
      </c>
      <c r="AC1482" s="1">
        <v>0.5</v>
      </c>
      <c r="AH1482" s="1">
        <v>0</v>
      </c>
      <c r="AI1482" s="1">
        <v>1</v>
      </c>
      <c r="AJ1482" s="1" t="s">
        <v>5576</v>
      </c>
      <c r="AK1482" s="1" t="s">
        <v>206</v>
      </c>
      <c r="AL1482" s="1" t="s">
        <v>228</v>
      </c>
      <c r="AN1482" s="22" t="s">
        <v>9767</v>
      </c>
      <c r="AX1482" s="1">
        <v>1</v>
      </c>
      <c r="AZ1482" s="1">
        <v>0.25</v>
      </c>
      <c r="BG1482" s="1" t="s">
        <v>5574</v>
      </c>
      <c r="BM1482" s="1" t="s">
        <v>4959</v>
      </c>
      <c r="BQ1482" s="1" t="s">
        <v>207</v>
      </c>
      <c r="BR1482" s="1" t="s">
        <v>208</v>
      </c>
      <c r="BS1482" s="1" t="s">
        <v>229</v>
      </c>
      <c r="BT1482" s="1" t="s">
        <v>210</v>
      </c>
      <c r="BX1482" s="1">
        <v>1</v>
      </c>
    </row>
    <row r="1483" spans="1:76" x14ac:dyDescent="0.25">
      <c r="A1483" s="1" t="s">
        <v>5577</v>
      </c>
      <c r="B1483" s="1" t="s">
        <v>203</v>
      </c>
      <c r="C1483" s="1">
        <v>1</v>
      </c>
      <c r="D1483" s="1" t="s">
        <v>5578</v>
      </c>
      <c r="E1483" s="1">
        <v>10195</v>
      </c>
      <c r="F1483" s="1" t="s">
        <v>5577</v>
      </c>
      <c r="G1483" s="1">
        <v>1</v>
      </c>
      <c r="L1483" s="1">
        <v>10000</v>
      </c>
      <c r="N1483" s="1">
        <v>350</v>
      </c>
      <c r="P1483" s="1">
        <v>250</v>
      </c>
      <c r="R1483" s="1">
        <v>5</v>
      </c>
      <c r="Z1483" s="1">
        <v>0.05</v>
      </c>
      <c r="AA1483" s="1">
        <v>3.2</v>
      </c>
      <c r="AB1483" s="1">
        <v>2</v>
      </c>
      <c r="AC1483" s="1">
        <v>0.5</v>
      </c>
      <c r="AH1483" s="1">
        <v>0</v>
      </c>
      <c r="AI1483" s="1">
        <v>1</v>
      </c>
      <c r="AJ1483" s="1" t="s">
        <v>5579</v>
      </c>
      <c r="AK1483" s="1" t="s">
        <v>206</v>
      </c>
      <c r="AL1483" s="1" t="s">
        <v>228</v>
      </c>
      <c r="AN1483" s="22" t="s">
        <v>9767</v>
      </c>
      <c r="AX1483" s="1">
        <v>1</v>
      </c>
      <c r="AZ1483" s="1">
        <v>0.25</v>
      </c>
      <c r="BG1483" s="1" t="s">
        <v>5577</v>
      </c>
      <c r="BM1483" s="1" t="s">
        <v>4959</v>
      </c>
      <c r="BQ1483" s="1" t="s">
        <v>207</v>
      </c>
      <c r="BR1483" s="1" t="s">
        <v>208</v>
      </c>
      <c r="BS1483" s="1" t="s">
        <v>229</v>
      </c>
      <c r="BT1483" s="1" t="s">
        <v>210</v>
      </c>
      <c r="BX1483" s="1">
        <v>1</v>
      </c>
    </row>
    <row r="1484" spans="1:76" x14ac:dyDescent="0.25">
      <c r="A1484" s="1" t="s">
        <v>5580</v>
      </c>
      <c r="B1484" s="1" t="s">
        <v>203</v>
      </c>
      <c r="C1484" s="1">
        <v>1</v>
      </c>
      <c r="D1484" s="1" t="s">
        <v>5581</v>
      </c>
      <c r="E1484" s="1">
        <v>10196</v>
      </c>
      <c r="F1484" s="1" t="s">
        <v>5580</v>
      </c>
      <c r="G1484" s="1">
        <v>1</v>
      </c>
      <c r="L1484" s="1">
        <v>15000</v>
      </c>
      <c r="N1484" s="1">
        <v>650</v>
      </c>
      <c r="P1484" s="1">
        <v>1000</v>
      </c>
      <c r="R1484" s="1">
        <v>15</v>
      </c>
      <c r="Z1484" s="1">
        <v>0.05</v>
      </c>
      <c r="AA1484" s="1">
        <v>3</v>
      </c>
      <c r="AB1484" s="1">
        <v>3</v>
      </c>
      <c r="AC1484" s="1">
        <v>0.5</v>
      </c>
      <c r="AH1484" s="1">
        <v>0</v>
      </c>
      <c r="AI1484" s="1">
        <v>1</v>
      </c>
      <c r="AJ1484" s="1" t="s">
        <v>5582</v>
      </c>
      <c r="AK1484" s="1" t="s">
        <v>206</v>
      </c>
      <c r="AL1484" s="1" t="s">
        <v>228</v>
      </c>
      <c r="AN1484" s="22" t="s">
        <v>9767</v>
      </c>
      <c r="AX1484" s="1">
        <v>1</v>
      </c>
      <c r="AZ1484" s="1">
        <v>0.25</v>
      </c>
      <c r="BG1484" s="1" t="s">
        <v>5580</v>
      </c>
      <c r="BM1484" s="1" t="s">
        <v>4959</v>
      </c>
      <c r="BQ1484" s="1" t="s">
        <v>207</v>
      </c>
      <c r="BR1484" s="1" t="s">
        <v>208</v>
      </c>
      <c r="BS1484" s="1" t="s">
        <v>229</v>
      </c>
      <c r="BT1484" s="1" t="s">
        <v>210</v>
      </c>
      <c r="BX1484" s="1">
        <v>1</v>
      </c>
    </row>
    <row r="1485" spans="1:76" x14ac:dyDescent="0.25">
      <c r="A1485" s="1" t="s">
        <v>5583</v>
      </c>
      <c r="B1485" s="1" t="s">
        <v>203</v>
      </c>
      <c r="C1485" s="1">
        <v>1</v>
      </c>
      <c r="D1485" s="1" t="s">
        <v>5584</v>
      </c>
      <c r="E1485" s="1">
        <v>10196</v>
      </c>
      <c r="F1485" s="1" t="s">
        <v>5583</v>
      </c>
      <c r="G1485" s="1">
        <v>1</v>
      </c>
      <c r="L1485" s="1">
        <v>25000</v>
      </c>
      <c r="N1485" s="1">
        <v>700</v>
      </c>
      <c r="P1485" s="1">
        <v>1100</v>
      </c>
      <c r="R1485" s="1">
        <v>15</v>
      </c>
      <c r="Z1485" s="1">
        <v>0.05</v>
      </c>
      <c r="AA1485" s="1">
        <v>3</v>
      </c>
      <c r="AB1485" s="1">
        <v>3</v>
      </c>
      <c r="AC1485" s="1">
        <v>0.5</v>
      </c>
      <c r="AH1485" s="1">
        <v>0</v>
      </c>
      <c r="AI1485" s="1">
        <v>1</v>
      </c>
      <c r="AJ1485" s="1" t="s">
        <v>5585</v>
      </c>
      <c r="AK1485" s="1" t="s">
        <v>206</v>
      </c>
      <c r="AL1485" s="1" t="s">
        <v>228</v>
      </c>
      <c r="AN1485" s="22" t="s">
        <v>9767</v>
      </c>
      <c r="AX1485" s="1">
        <v>1</v>
      </c>
      <c r="AZ1485" s="1">
        <v>0.25</v>
      </c>
      <c r="BG1485" s="1" t="s">
        <v>5583</v>
      </c>
      <c r="BM1485" s="1" t="s">
        <v>4959</v>
      </c>
      <c r="BQ1485" s="1" t="s">
        <v>207</v>
      </c>
      <c r="BR1485" s="1" t="s">
        <v>208</v>
      </c>
      <c r="BS1485" s="1" t="s">
        <v>229</v>
      </c>
      <c r="BT1485" s="1" t="s">
        <v>210</v>
      </c>
      <c r="BX1485" s="1">
        <v>1</v>
      </c>
    </row>
    <row r="1486" spans="1:76" x14ac:dyDescent="0.25">
      <c r="A1486" s="1" t="s">
        <v>5586</v>
      </c>
      <c r="B1486" s="1" t="s">
        <v>203</v>
      </c>
      <c r="C1486" s="1">
        <v>1</v>
      </c>
      <c r="D1486" s="1" t="s">
        <v>5587</v>
      </c>
      <c r="E1486" s="1">
        <v>10197</v>
      </c>
      <c r="F1486" s="1" t="s">
        <v>5586</v>
      </c>
      <c r="G1486" s="1">
        <v>1</v>
      </c>
      <c r="L1486" s="1">
        <v>10000</v>
      </c>
      <c r="N1486" s="1">
        <v>600</v>
      </c>
      <c r="P1486" s="1">
        <v>150</v>
      </c>
      <c r="R1486" s="1">
        <v>20</v>
      </c>
      <c r="Z1486" s="1">
        <v>0.05</v>
      </c>
      <c r="AA1486" s="1">
        <v>2.2999999999999998</v>
      </c>
      <c r="AB1486" s="1">
        <v>2</v>
      </c>
      <c r="AC1486" s="1">
        <v>0.8</v>
      </c>
      <c r="AH1486" s="1">
        <v>0</v>
      </c>
      <c r="AI1486" s="1">
        <v>1</v>
      </c>
      <c r="AJ1486" s="1" t="s">
        <v>5588</v>
      </c>
      <c r="AK1486" s="1" t="s">
        <v>206</v>
      </c>
      <c r="AL1486" s="1" t="s">
        <v>228</v>
      </c>
      <c r="AN1486" s="22" t="s">
        <v>9767</v>
      </c>
      <c r="AX1486" s="1">
        <v>1</v>
      </c>
      <c r="AZ1486" s="1">
        <v>0.25</v>
      </c>
      <c r="BG1486" s="1" t="s">
        <v>5586</v>
      </c>
      <c r="BM1486" s="1" t="s">
        <v>4959</v>
      </c>
      <c r="BQ1486" s="1" t="s">
        <v>207</v>
      </c>
      <c r="BR1486" s="1" t="s">
        <v>208</v>
      </c>
      <c r="BS1486" s="1" t="s">
        <v>229</v>
      </c>
      <c r="BT1486" s="1" t="s">
        <v>210</v>
      </c>
      <c r="BX1486" s="1">
        <v>1</v>
      </c>
    </row>
    <row r="1487" spans="1:76" x14ac:dyDescent="0.25">
      <c r="A1487" s="1" t="s">
        <v>5589</v>
      </c>
      <c r="B1487" s="1" t="s">
        <v>203</v>
      </c>
      <c r="C1487" s="1">
        <v>1</v>
      </c>
      <c r="D1487" s="1" t="s">
        <v>5590</v>
      </c>
      <c r="E1487" s="1">
        <v>10197</v>
      </c>
      <c r="F1487" s="1" t="s">
        <v>5589</v>
      </c>
      <c r="G1487" s="1">
        <v>1</v>
      </c>
      <c r="L1487" s="1">
        <v>15000</v>
      </c>
      <c r="N1487" s="1">
        <v>800</v>
      </c>
      <c r="P1487" s="1">
        <v>240</v>
      </c>
      <c r="R1487" s="1">
        <v>20</v>
      </c>
      <c r="Z1487" s="1">
        <v>0.05</v>
      </c>
      <c r="AA1487" s="1">
        <v>2.2999999999999998</v>
      </c>
      <c r="AB1487" s="1">
        <v>2</v>
      </c>
      <c r="AC1487" s="1">
        <v>0.8</v>
      </c>
      <c r="AH1487" s="1">
        <v>0</v>
      </c>
      <c r="AI1487" s="1">
        <v>1</v>
      </c>
      <c r="AJ1487" s="1" t="s">
        <v>5591</v>
      </c>
      <c r="AK1487" s="1" t="s">
        <v>206</v>
      </c>
      <c r="AL1487" s="1" t="s">
        <v>228</v>
      </c>
      <c r="AN1487" s="22" t="s">
        <v>9767</v>
      </c>
      <c r="AX1487" s="1">
        <v>1</v>
      </c>
      <c r="AZ1487" s="1">
        <v>0.25</v>
      </c>
      <c r="BG1487" s="1" t="s">
        <v>5589</v>
      </c>
      <c r="BM1487" s="1" t="s">
        <v>4959</v>
      </c>
      <c r="BQ1487" s="1" t="s">
        <v>207</v>
      </c>
      <c r="BR1487" s="1" t="s">
        <v>208</v>
      </c>
      <c r="BS1487" s="1" t="s">
        <v>229</v>
      </c>
      <c r="BT1487" s="1" t="s">
        <v>210</v>
      </c>
      <c r="BX1487" s="1">
        <v>1</v>
      </c>
    </row>
    <row r="1488" spans="1:76" x14ac:dyDescent="0.25">
      <c r="A1488" s="1" t="s">
        <v>5592</v>
      </c>
      <c r="B1488" s="1" t="s">
        <v>203</v>
      </c>
      <c r="C1488" s="1">
        <v>1</v>
      </c>
      <c r="D1488" s="1" t="s">
        <v>5593</v>
      </c>
      <c r="E1488" s="1">
        <v>10198</v>
      </c>
      <c r="F1488" s="1" t="s">
        <v>5592</v>
      </c>
      <c r="G1488" s="1">
        <v>1</v>
      </c>
      <c r="L1488" s="1">
        <v>9000</v>
      </c>
      <c r="N1488" s="1">
        <v>650</v>
      </c>
      <c r="P1488" s="1">
        <v>100</v>
      </c>
      <c r="R1488" s="1">
        <v>30</v>
      </c>
      <c r="Z1488" s="1">
        <v>0.05</v>
      </c>
      <c r="AA1488" s="1">
        <v>4</v>
      </c>
      <c r="AB1488" s="1">
        <v>5</v>
      </c>
      <c r="AC1488" s="1">
        <v>0.4</v>
      </c>
      <c r="AH1488" s="1">
        <v>0</v>
      </c>
      <c r="AI1488" s="1">
        <v>1</v>
      </c>
      <c r="AJ1488" s="1" t="s">
        <v>5594</v>
      </c>
      <c r="AK1488" s="1" t="s">
        <v>206</v>
      </c>
      <c r="AL1488" s="1" t="s">
        <v>228</v>
      </c>
      <c r="AN1488" s="22" t="s">
        <v>9767</v>
      </c>
      <c r="AX1488" s="1">
        <v>1</v>
      </c>
      <c r="AZ1488" s="1">
        <v>0.25</v>
      </c>
      <c r="BG1488" s="1" t="s">
        <v>5592</v>
      </c>
      <c r="BM1488" s="1" t="s">
        <v>4959</v>
      </c>
      <c r="BQ1488" s="1" t="s">
        <v>207</v>
      </c>
      <c r="BR1488" s="1" t="s">
        <v>208</v>
      </c>
      <c r="BS1488" s="1" t="s">
        <v>229</v>
      </c>
      <c r="BT1488" s="1" t="s">
        <v>210</v>
      </c>
      <c r="BX1488" s="1">
        <v>1</v>
      </c>
    </row>
    <row r="1489" spans="1:76" x14ac:dyDescent="0.25">
      <c r="A1489" s="1" t="s">
        <v>5595</v>
      </c>
      <c r="B1489" s="1" t="s">
        <v>203</v>
      </c>
      <c r="C1489" s="1">
        <v>1</v>
      </c>
      <c r="D1489" s="1" t="s">
        <v>5596</v>
      </c>
      <c r="E1489" s="1">
        <v>10198</v>
      </c>
      <c r="F1489" s="1" t="s">
        <v>5595</v>
      </c>
      <c r="G1489" s="1">
        <v>1</v>
      </c>
      <c r="L1489" s="1">
        <v>13000</v>
      </c>
      <c r="N1489" s="1">
        <v>800</v>
      </c>
      <c r="P1489" s="1">
        <v>100</v>
      </c>
      <c r="R1489" s="1">
        <v>30</v>
      </c>
      <c r="Z1489" s="1">
        <v>0.05</v>
      </c>
      <c r="AA1489" s="1">
        <v>4</v>
      </c>
      <c r="AB1489" s="1">
        <v>5</v>
      </c>
      <c r="AC1489" s="1">
        <v>0.4</v>
      </c>
      <c r="AH1489" s="1">
        <v>0</v>
      </c>
      <c r="AI1489" s="1">
        <v>1</v>
      </c>
      <c r="AJ1489" s="1" t="s">
        <v>5597</v>
      </c>
      <c r="AK1489" s="1" t="s">
        <v>206</v>
      </c>
      <c r="AL1489" s="1" t="s">
        <v>228</v>
      </c>
      <c r="AN1489" s="22" t="s">
        <v>9767</v>
      </c>
      <c r="AX1489" s="1">
        <v>1</v>
      </c>
      <c r="AZ1489" s="1">
        <v>0.25</v>
      </c>
      <c r="BG1489" s="1" t="s">
        <v>5595</v>
      </c>
      <c r="BM1489" s="1" t="s">
        <v>4959</v>
      </c>
      <c r="BQ1489" s="1" t="s">
        <v>207</v>
      </c>
      <c r="BR1489" s="1" t="s">
        <v>208</v>
      </c>
      <c r="BS1489" s="1" t="s">
        <v>229</v>
      </c>
      <c r="BT1489" s="1" t="s">
        <v>210</v>
      </c>
      <c r="BX1489" s="1">
        <v>1</v>
      </c>
    </row>
    <row r="1490" spans="1:76" x14ac:dyDescent="0.25">
      <c r="A1490" s="1" t="s">
        <v>5598</v>
      </c>
      <c r="B1490" s="1" t="s">
        <v>203</v>
      </c>
      <c r="C1490" s="1">
        <v>1</v>
      </c>
      <c r="D1490" s="1" t="s">
        <v>5599</v>
      </c>
      <c r="E1490" s="1">
        <v>10199</v>
      </c>
      <c r="F1490" s="1" t="s">
        <v>5598</v>
      </c>
      <c r="G1490" s="1">
        <v>1</v>
      </c>
      <c r="L1490" s="1">
        <v>12000</v>
      </c>
      <c r="N1490" s="1">
        <v>550</v>
      </c>
      <c r="P1490" s="1">
        <v>400</v>
      </c>
      <c r="R1490" s="1">
        <v>15</v>
      </c>
      <c r="Z1490" s="1">
        <v>0.05</v>
      </c>
      <c r="AA1490" s="1">
        <v>3</v>
      </c>
      <c r="AB1490" s="1">
        <v>3</v>
      </c>
      <c r="AC1490" s="1">
        <v>1</v>
      </c>
      <c r="AH1490" s="1">
        <v>0</v>
      </c>
      <c r="AI1490" s="1">
        <v>1</v>
      </c>
      <c r="AJ1490" s="1" t="s">
        <v>5600</v>
      </c>
      <c r="AK1490" s="1" t="s">
        <v>206</v>
      </c>
      <c r="AL1490" s="1" t="s">
        <v>228</v>
      </c>
      <c r="AN1490" s="22" t="s">
        <v>9767</v>
      </c>
      <c r="AX1490" s="1">
        <v>1</v>
      </c>
      <c r="AZ1490" s="1">
        <v>0.25</v>
      </c>
      <c r="BG1490" s="1" t="s">
        <v>5598</v>
      </c>
      <c r="BM1490" s="1" t="s">
        <v>4959</v>
      </c>
      <c r="BQ1490" s="1" t="s">
        <v>207</v>
      </c>
      <c r="BR1490" s="1" t="s">
        <v>208</v>
      </c>
      <c r="BS1490" s="1" t="s">
        <v>229</v>
      </c>
      <c r="BT1490" s="1" t="s">
        <v>210</v>
      </c>
      <c r="BX1490" s="1">
        <v>1</v>
      </c>
    </row>
    <row r="1491" spans="1:76" x14ac:dyDescent="0.25">
      <c r="A1491" s="1" t="s">
        <v>5601</v>
      </c>
      <c r="B1491" s="1" t="s">
        <v>203</v>
      </c>
      <c r="C1491" s="1">
        <v>1</v>
      </c>
      <c r="D1491" s="1" t="s">
        <v>5602</v>
      </c>
      <c r="E1491" s="1">
        <v>10199</v>
      </c>
      <c r="F1491" s="1" t="s">
        <v>5601</v>
      </c>
      <c r="G1491" s="1">
        <v>1</v>
      </c>
      <c r="L1491" s="1">
        <v>18000</v>
      </c>
      <c r="N1491" s="1">
        <v>800</v>
      </c>
      <c r="P1491" s="1">
        <v>400</v>
      </c>
      <c r="R1491" s="1">
        <v>15</v>
      </c>
      <c r="Z1491" s="1">
        <v>0.05</v>
      </c>
      <c r="AA1491" s="1">
        <v>3</v>
      </c>
      <c r="AB1491" s="1">
        <v>3</v>
      </c>
      <c r="AC1491" s="1">
        <v>1</v>
      </c>
      <c r="AH1491" s="1">
        <v>0</v>
      </c>
      <c r="AI1491" s="1">
        <v>1</v>
      </c>
      <c r="AJ1491" s="1" t="s">
        <v>5603</v>
      </c>
      <c r="AK1491" s="1" t="s">
        <v>206</v>
      </c>
      <c r="AL1491" s="1" t="s">
        <v>228</v>
      </c>
      <c r="AN1491" s="22" t="s">
        <v>9767</v>
      </c>
      <c r="AX1491" s="1">
        <v>1</v>
      </c>
      <c r="AZ1491" s="1">
        <v>0.25</v>
      </c>
      <c r="BG1491" s="1" t="s">
        <v>5601</v>
      </c>
      <c r="BM1491" s="1" t="s">
        <v>4959</v>
      </c>
      <c r="BQ1491" s="1" t="s">
        <v>207</v>
      </c>
      <c r="BR1491" s="1" t="s">
        <v>208</v>
      </c>
      <c r="BS1491" s="1" t="s">
        <v>229</v>
      </c>
      <c r="BT1491" s="1" t="s">
        <v>210</v>
      </c>
      <c r="BX1491" s="1">
        <v>1</v>
      </c>
    </row>
    <row r="1492" spans="1:76" x14ac:dyDescent="0.25">
      <c r="A1492" s="1" t="s">
        <v>5604</v>
      </c>
      <c r="B1492" s="1" t="s">
        <v>203</v>
      </c>
      <c r="C1492" s="1">
        <v>1</v>
      </c>
      <c r="D1492" s="1" t="s">
        <v>5605</v>
      </c>
      <c r="E1492" s="1">
        <v>10200</v>
      </c>
      <c r="F1492" s="1" t="s">
        <v>5604</v>
      </c>
      <c r="G1492" s="1">
        <v>1</v>
      </c>
      <c r="L1492" s="1">
        <v>40000</v>
      </c>
      <c r="N1492" s="1">
        <v>1400</v>
      </c>
      <c r="P1492" s="1">
        <v>600</v>
      </c>
      <c r="R1492" s="1">
        <v>30</v>
      </c>
      <c r="Z1492" s="1">
        <v>0.05</v>
      </c>
      <c r="AA1492" s="1">
        <v>4</v>
      </c>
      <c r="AB1492" s="1">
        <v>5</v>
      </c>
      <c r="AC1492" s="1">
        <v>0.65</v>
      </c>
      <c r="AH1492" s="1">
        <v>0</v>
      </c>
      <c r="AI1492" s="1">
        <v>1</v>
      </c>
      <c r="AJ1492" s="1" t="s">
        <v>5606</v>
      </c>
      <c r="AK1492" s="1" t="s">
        <v>206</v>
      </c>
      <c r="AL1492" s="1" t="s">
        <v>228</v>
      </c>
      <c r="AN1492" s="22" t="s">
        <v>9767</v>
      </c>
      <c r="AX1492" s="1">
        <v>1</v>
      </c>
      <c r="AZ1492" s="1">
        <v>0.25</v>
      </c>
      <c r="BG1492" s="1" t="s">
        <v>5604</v>
      </c>
      <c r="BM1492" s="1" t="s">
        <v>4959</v>
      </c>
      <c r="BQ1492" s="1" t="s">
        <v>207</v>
      </c>
      <c r="BR1492" s="1" t="s">
        <v>208</v>
      </c>
      <c r="BS1492" s="1" t="s">
        <v>229</v>
      </c>
      <c r="BT1492" s="1" t="s">
        <v>210</v>
      </c>
      <c r="BX1492" s="1">
        <v>1</v>
      </c>
    </row>
    <row r="1493" spans="1:76" x14ac:dyDescent="0.25">
      <c r="A1493" s="1" t="s">
        <v>5607</v>
      </c>
      <c r="B1493" s="1" t="s">
        <v>203</v>
      </c>
      <c r="C1493" s="1">
        <v>1</v>
      </c>
      <c r="D1493" s="1" t="s">
        <v>5608</v>
      </c>
      <c r="E1493" s="1">
        <v>3015</v>
      </c>
      <c r="F1493" s="1" t="s">
        <v>5607</v>
      </c>
      <c r="G1493" s="1">
        <v>1</v>
      </c>
      <c r="L1493" s="1">
        <v>1000</v>
      </c>
      <c r="N1493" s="1">
        <v>100</v>
      </c>
      <c r="P1493" s="1">
        <v>100</v>
      </c>
      <c r="R1493" s="1">
        <v>0</v>
      </c>
      <c r="Z1493" s="1">
        <v>0.05</v>
      </c>
      <c r="AA1493" s="1">
        <v>10</v>
      </c>
      <c r="AB1493" s="1">
        <v>1</v>
      </c>
      <c r="AC1493" s="1">
        <v>0.75</v>
      </c>
      <c r="AH1493" s="1">
        <v>0</v>
      </c>
      <c r="AI1493" s="1">
        <v>2</v>
      </c>
      <c r="AJ1493" s="1" t="s">
        <v>5609</v>
      </c>
      <c r="AK1493" s="1" t="s">
        <v>206</v>
      </c>
      <c r="AL1493" s="1" t="s">
        <v>5555</v>
      </c>
      <c r="AN1493" s="22" t="s">
        <v>9767</v>
      </c>
      <c r="AX1493" s="1">
        <v>1</v>
      </c>
      <c r="AZ1493" s="1">
        <v>0.25</v>
      </c>
      <c r="BG1493" s="1" t="s">
        <v>5607</v>
      </c>
      <c r="BM1493" s="1" t="s">
        <v>4959</v>
      </c>
      <c r="BQ1493" s="1" t="s">
        <v>207</v>
      </c>
      <c r="BR1493" s="1" t="s">
        <v>208</v>
      </c>
      <c r="BS1493" s="1" t="s">
        <v>4414</v>
      </c>
      <c r="BT1493" s="1" t="s">
        <v>210</v>
      </c>
      <c r="BX1493" s="1">
        <v>1</v>
      </c>
    </row>
    <row r="1494" spans="1:76" x14ac:dyDescent="0.25">
      <c r="A1494" s="1" t="s">
        <v>5610</v>
      </c>
      <c r="B1494" s="1" t="s">
        <v>203</v>
      </c>
      <c r="C1494" s="1">
        <v>1</v>
      </c>
      <c r="D1494" s="1" t="s">
        <v>5611</v>
      </c>
      <c r="E1494" s="1">
        <v>1587</v>
      </c>
      <c r="F1494" s="1" t="s">
        <v>5610</v>
      </c>
      <c r="G1494" s="1">
        <v>1</v>
      </c>
      <c r="L1494" s="1">
        <v>60000</v>
      </c>
      <c r="N1494" s="1">
        <v>1200</v>
      </c>
      <c r="P1494" s="1">
        <v>600</v>
      </c>
      <c r="R1494" s="1">
        <v>15</v>
      </c>
      <c r="Z1494" s="1">
        <v>0.05</v>
      </c>
      <c r="AA1494" s="1">
        <v>3.5</v>
      </c>
      <c r="AB1494" s="1">
        <v>6</v>
      </c>
      <c r="AC1494" s="1">
        <v>0.5</v>
      </c>
      <c r="AH1494" s="1">
        <v>0</v>
      </c>
      <c r="AI1494" s="1">
        <v>1</v>
      </c>
      <c r="AJ1494" s="1" t="s">
        <v>5612</v>
      </c>
      <c r="AK1494" s="1" t="s">
        <v>206</v>
      </c>
      <c r="AL1494" s="1" t="s">
        <v>228</v>
      </c>
      <c r="AN1494" s="22" t="s">
        <v>9767</v>
      </c>
      <c r="AX1494" s="1">
        <v>1</v>
      </c>
      <c r="AZ1494" s="1">
        <v>0.25</v>
      </c>
      <c r="BG1494" s="1" t="s">
        <v>5610</v>
      </c>
      <c r="BM1494" s="1" t="s">
        <v>4959</v>
      </c>
      <c r="BQ1494" s="1" t="s">
        <v>3416</v>
      </c>
      <c r="BR1494" s="1" t="s">
        <v>2593</v>
      </c>
      <c r="BS1494" s="1" t="s">
        <v>2594</v>
      </c>
      <c r="BT1494" s="1" t="s">
        <v>2595</v>
      </c>
      <c r="BX1494" s="1">
        <v>1</v>
      </c>
    </row>
    <row r="1495" spans="1:76" x14ac:dyDescent="0.25">
      <c r="A1495" s="1" t="s">
        <v>5613</v>
      </c>
      <c r="B1495" s="1" t="s">
        <v>203</v>
      </c>
      <c r="C1495" s="1">
        <v>1</v>
      </c>
      <c r="D1495" s="1" t="s">
        <v>5614</v>
      </c>
      <c r="E1495" s="1">
        <v>1588</v>
      </c>
      <c r="F1495" s="1" t="s">
        <v>5613</v>
      </c>
      <c r="G1495" s="1">
        <v>1</v>
      </c>
      <c r="L1495" s="1">
        <v>50000</v>
      </c>
      <c r="N1495" s="1">
        <v>700</v>
      </c>
      <c r="P1495" s="1">
        <v>2000</v>
      </c>
      <c r="R1495" s="1">
        <v>50</v>
      </c>
      <c r="Z1495" s="1">
        <v>0.05</v>
      </c>
      <c r="AA1495" s="1">
        <v>3</v>
      </c>
      <c r="AB1495" s="1">
        <v>3</v>
      </c>
      <c r="AC1495" s="1">
        <v>0.5</v>
      </c>
      <c r="AH1495" s="1">
        <v>0</v>
      </c>
      <c r="AI1495" s="1">
        <v>1</v>
      </c>
      <c r="AJ1495" s="1" t="s">
        <v>5615</v>
      </c>
      <c r="AK1495" s="1" t="s">
        <v>206</v>
      </c>
      <c r="AL1495" s="1" t="s">
        <v>228</v>
      </c>
      <c r="AN1495" s="22" t="s">
        <v>9767</v>
      </c>
      <c r="AX1495" s="1">
        <v>1</v>
      </c>
      <c r="AZ1495" s="1">
        <v>0.25</v>
      </c>
      <c r="BG1495" s="1" t="s">
        <v>5613</v>
      </c>
      <c r="BM1495" s="1" t="s">
        <v>4959</v>
      </c>
      <c r="BQ1495" s="1" t="s">
        <v>207</v>
      </c>
      <c r="BR1495" s="1" t="s">
        <v>208</v>
      </c>
      <c r="BS1495" s="1" t="s">
        <v>229</v>
      </c>
      <c r="BT1495" s="1" t="s">
        <v>210</v>
      </c>
      <c r="BX1495" s="1">
        <v>1</v>
      </c>
    </row>
    <row r="1496" spans="1:76" x14ac:dyDescent="0.25">
      <c r="A1496" s="1" t="s">
        <v>5616</v>
      </c>
      <c r="B1496" s="1" t="s">
        <v>203</v>
      </c>
      <c r="C1496" s="1">
        <v>1</v>
      </c>
      <c r="D1496" s="1" t="s">
        <v>5617</v>
      </c>
      <c r="E1496" s="1">
        <v>10201</v>
      </c>
      <c r="F1496" s="1" t="s">
        <v>5616</v>
      </c>
      <c r="G1496" s="1">
        <v>1</v>
      </c>
      <c r="L1496" s="1">
        <v>4000</v>
      </c>
      <c r="N1496" s="1">
        <v>250</v>
      </c>
      <c r="P1496" s="1">
        <v>20</v>
      </c>
      <c r="R1496" s="1">
        <v>20</v>
      </c>
      <c r="Z1496" s="1">
        <v>0.05</v>
      </c>
      <c r="AA1496" s="1">
        <v>2</v>
      </c>
      <c r="AB1496" s="1">
        <v>0</v>
      </c>
      <c r="AC1496" s="1">
        <v>1.2</v>
      </c>
      <c r="AH1496" s="1">
        <v>0</v>
      </c>
      <c r="AI1496" s="1">
        <v>1</v>
      </c>
      <c r="AJ1496" s="1" t="s">
        <v>5618</v>
      </c>
      <c r="AK1496" s="1" t="s">
        <v>206</v>
      </c>
      <c r="AL1496" s="1" t="s">
        <v>228</v>
      </c>
      <c r="AN1496" s="22" t="s">
        <v>9767</v>
      </c>
      <c r="AX1496" s="1">
        <v>1</v>
      </c>
      <c r="AZ1496" s="1">
        <v>0.25</v>
      </c>
      <c r="BG1496" s="1" t="s">
        <v>5616</v>
      </c>
      <c r="BM1496" s="1" t="s">
        <v>4959</v>
      </c>
      <c r="BQ1496" s="1" t="s">
        <v>207</v>
      </c>
      <c r="BR1496" s="1" t="s">
        <v>208</v>
      </c>
      <c r="BS1496" s="1" t="s">
        <v>229</v>
      </c>
      <c r="BT1496" s="1" t="s">
        <v>210</v>
      </c>
      <c r="BX1496" s="1">
        <v>1</v>
      </c>
    </row>
    <row r="1497" spans="1:76" x14ac:dyDescent="0.25">
      <c r="A1497" s="1" t="s">
        <v>5619</v>
      </c>
      <c r="B1497" s="1" t="s">
        <v>203</v>
      </c>
      <c r="C1497" s="1">
        <v>1</v>
      </c>
      <c r="D1497" s="1" t="s">
        <v>5620</v>
      </c>
      <c r="E1497" s="1">
        <v>10201</v>
      </c>
      <c r="F1497" s="1" t="s">
        <v>5619</v>
      </c>
      <c r="G1497" s="1">
        <v>1</v>
      </c>
      <c r="L1497" s="1">
        <v>5000</v>
      </c>
      <c r="N1497" s="1">
        <v>300</v>
      </c>
      <c r="P1497" s="1">
        <v>20</v>
      </c>
      <c r="R1497" s="1">
        <v>20</v>
      </c>
      <c r="Z1497" s="1">
        <v>0.05</v>
      </c>
      <c r="AA1497" s="1">
        <v>2</v>
      </c>
      <c r="AB1497" s="1">
        <v>0</v>
      </c>
      <c r="AC1497" s="1">
        <v>1.2</v>
      </c>
      <c r="AH1497" s="1">
        <v>0</v>
      </c>
      <c r="AI1497" s="1">
        <v>1</v>
      </c>
      <c r="AJ1497" s="1" t="s">
        <v>5621</v>
      </c>
      <c r="AK1497" s="1" t="s">
        <v>206</v>
      </c>
      <c r="AL1497" s="1" t="s">
        <v>228</v>
      </c>
      <c r="AN1497" s="22" t="s">
        <v>9767</v>
      </c>
      <c r="AX1497" s="1">
        <v>1</v>
      </c>
      <c r="AZ1497" s="1">
        <v>0.25</v>
      </c>
      <c r="BG1497" s="1" t="s">
        <v>5619</v>
      </c>
      <c r="BM1497" s="1" t="s">
        <v>4959</v>
      </c>
      <c r="BQ1497" s="1" t="s">
        <v>207</v>
      </c>
      <c r="BR1497" s="1" t="s">
        <v>208</v>
      </c>
      <c r="BS1497" s="1" t="s">
        <v>229</v>
      </c>
      <c r="BT1497" s="1" t="s">
        <v>210</v>
      </c>
      <c r="BX1497" s="1">
        <v>1</v>
      </c>
    </row>
    <row r="1498" spans="1:76" x14ac:dyDescent="0.25">
      <c r="A1498" s="1" t="s">
        <v>5622</v>
      </c>
      <c r="B1498" s="1" t="s">
        <v>203</v>
      </c>
      <c r="C1498" s="1">
        <v>1</v>
      </c>
      <c r="D1498" s="1" t="s">
        <v>5623</v>
      </c>
      <c r="E1498" s="1">
        <v>10202</v>
      </c>
      <c r="F1498" s="1" t="s">
        <v>5622</v>
      </c>
      <c r="G1498" s="1">
        <v>1</v>
      </c>
      <c r="L1498" s="1">
        <v>4100</v>
      </c>
      <c r="N1498" s="1">
        <v>200</v>
      </c>
      <c r="P1498" s="1">
        <v>30</v>
      </c>
      <c r="R1498" s="1">
        <v>10</v>
      </c>
      <c r="Z1498" s="1">
        <v>0.05</v>
      </c>
      <c r="AA1498" s="1">
        <v>3</v>
      </c>
      <c r="AB1498" s="1">
        <v>1</v>
      </c>
      <c r="AC1498" s="1">
        <v>0.8</v>
      </c>
      <c r="AH1498" s="1">
        <v>0</v>
      </c>
      <c r="AI1498" s="1">
        <v>1</v>
      </c>
      <c r="AJ1498" s="1" t="s">
        <v>5624</v>
      </c>
      <c r="AK1498" s="1" t="s">
        <v>206</v>
      </c>
      <c r="AL1498" s="1" t="s">
        <v>228</v>
      </c>
      <c r="AN1498" s="22" t="s">
        <v>9767</v>
      </c>
      <c r="AX1498" s="1">
        <v>1</v>
      </c>
      <c r="AZ1498" s="1">
        <v>0.25</v>
      </c>
      <c r="BG1498" s="1" t="s">
        <v>5622</v>
      </c>
      <c r="BM1498" s="1" t="s">
        <v>4959</v>
      </c>
      <c r="BQ1498" s="1" t="s">
        <v>207</v>
      </c>
      <c r="BR1498" s="1" t="s">
        <v>208</v>
      </c>
      <c r="BS1498" s="1" t="s">
        <v>229</v>
      </c>
      <c r="BT1498" s="1" t="s">
        <v>210</v>
      </c>
      <c r="BX1498" s="1">
        <v>1</v>
      </c>
    </row>
    <row r="1499" spans="1:76" x14ac:dyDescent="0.25">
      <c r="A1499" s="1" t="s">
        <v>5625</v>
      </c>
      <c r="B1499" s="1" t="s">
        <v>203</v>
      </c>
      <c r="C1499" s="1">
        <v>1</v>
      </c>
      <c r="D1499" s="1" t="s">
        <v>5626</v>
      </c>
      <c r="E1499" s="1">
        <v>10202</v>
      </c>
      <c r="F1499" s="1" t="s">
        <v>5625</v>
      </c>
      <c r="G1499" s="1">
        <v>1</v>
      </c>
      <c r="L1499" s="1">
        <v>5200</v>
      </c>
      <c r="N1499" s="1">
        <v>250</v>
      </c>
      <c r="P1499" s="1">
        <v>30</v>
      </c>
      <c r="R1499" s="1">
        <v>10</v>
      </c>
      <c r="Z1499" s="1">
        <v>0.05</v>
      </c>
      <c r="AA1499" s="1">
        <v>3</v>
      </c>
      <c r="AB1499" s="1">
        <v>1</v>
      </c>
      <c r="AC1499" s="1">
        <v>0.8</v>
      </c>
      <c r="AH1499" s="1">
        <v>0</v>
      </c>
      <c r="AI1499" s="1">
        <v>1</v>
      </c>
      <c r="AJ1499" s="1" t="s">
        <v>5627</v>
      </c>
      <c r="AK1499" s="1" t="s">
        <v>206</v>
      </c>
      <c r="AL1499" s="1" t="s">
        <v>228</v>
      </c>
      <c r="AN1499" s="22" t="s">
        <v>9767</v>
      </c>
      <c r="AX1499" s="1">
        <v>1</v>
      </c>
      <c r="AZ1499" s="1">
        <v>0.25</v>
      </c>
      <c r="BG1499" s="1" t="s">
        <v>5625</v>
      </c>
      <c r="BM1499" s="1" t="s">
        <v>4959</v>
      </c>
      <c r="BQ1499" s="1" t="s">
        <v>207</v>
      </c>
      <c r="BR1499" s="1" t="s">
        <v>208</v>
      </c>
      <c r="BS1499" s="1" t="s">
        <v>229</v>
      </c>
      <c r="BT1499" s="1" t="s">
        <v>210</v>
      </c>
      <c r="BX1499" s="1">
        <v>1</v>
      </c>
    </row>
    <row r="1500" spans="1:76" x14ac:dyDescent="0.25">
      <c r="A1500" s="1" t="s">
        <v>5628</v>
      </c>
      <c r="B1500" s="1" t="s">
        <v>203</v>
      </c>
      <c r="C1500" s="1">
        <v>1</v>
      </c>
      <c r="D1500" s="1" t="s">
        <v>5629</v>
      </c>
      <c r="E1500" s="1">
        <v>10203</v>
      </c>
      <c r="F1500" s="1" t="s">
        <v>5628</v>
      </c>
      <c r="G1500" s="1">
        <v>1</v>
      </c>
      <c r="L1500" s="1">
        <v>5000</v>
      </c>
      <c r="N1500" s="1">
        <v>110</v>
      </c>
      <c r="P1500" s="1">
        <v>700</v>
      </c>
      <c r="R1500" s="1">
        <v>10</v>
      </c>
      <c r="Z1500" s="1">
        <v>0.05</v>
      </c>
      <c r="AA1500" s="1">
        <v>5</v>
      </c>
      <c r="AB1500" s="1">
        <v>1</v>
      </c>
      <c r="AC1500" s="1">
        <v>0.6</v>
      </c>
      <c r="AH1500" s="1">
        <v>0</v>
      </c>
      <c r="AI1500" s="1">
        <v>1</v>
      </c>
      <c r="AJ1500" s="1" t="s">
        <v>5630</v>
      </c>
      <c r="AK1500" s="1" t="s">
        <v>206</v>
      </c>
      <c r="AL1500" s="1" t="s">
        <v>228</v>
      </c>
      <c r="AN1500" s="22" t="s">
        <v>9767</v>
      </c>
      <c r="AX1500" s="1">
        <v>1</v>
      </c>
      <c r="AZ1500" s="1">
        <v>0.25</v>
      </c>
      <c r="BG1500" s="1" t="s">
        <v>5628</v>
      </c>
      <c r="BM1500" s="1" t="s">
        <v>4959</v>
      </c>
      <c r="BQ1500" s="1" t="s">
        <v>207</v>
      </c>
      <c r="BR1500" s="1" t="s">
        <v>208</v>
      </c>
      <c r="BS1500" s="1" t="s">
        <v>229</v>
      </c>
      <c r="BT1500" s="1" t="s">
        <v>210</v>
      </c>
      <c r="BX1500" s="1">
        <v>1</v>
      </c>
    </row>
    <row r="1501" spans="1:76" x14ac:dyDescent="0.25">
      <c r="A1501" s="1" t="s">
        <v>5631</v>
      </c>
      <c r="B1501" s="1" t="s">
        <v>203</v>
      </c>
      <c r="C1501" s="1">
        <v>1</v>
      </c>
      <c r="D1501" s="1" t="s">
        <v>5632</v>
      </c>
      <c r="E1501" s="1">
        <v>10203</v>
      </c>
      <c r="F1501" s="1" t="s">
        <v>5631</v>
      </c>
      <c r="G1501" s="1">
        <v>1</v>
      </c>
      <c r="L1501" s="1">
        <v>6250</v>
      </c>
      <c r="N1501" s="1">
        <v>130</v>
      </c>
      <c r="P1501" s="1">
        <v>700</v>
      </c>
      <c r="R1501" s="1">
        <v>10</v>
      </c>
      <c r="Z1501" s="1">
        <v>0.05</v>
      </c>
      <c r="AA1501" s="1">
        <v>5</v>
      </c>
      <c r="AB1501" s="1">
        <v>1</v>
      </c>
      <c r="AC1501" s="1">
        <v>0.6</v>
      </c>
      <c r="AH1501" s="1">
        <v>0</v>
      </c>
      <c r="AI1501" s="1">
        <v>1</v>
      </c>
      <c r="AJ1501" s="1" t="s">
        <v>5633</v>
      </c>
      <c r="AK1501" s="1" t="s">
        <v>206</v>
      </c>
      <c r="AL1501" s="1" t="s">
        <v>228</v>
      </c>
      <c r="AN1501" s="22" t="s">
        <v>9767</v>
      </c>
      <c r="AX1501" s="1">
        <v>1</v>
      </c>
      <c r="AZ1501" s="1">
        <v>0.25</v>
      </c>
      <c r="BG1501" s="1" t="s">
        <v>5631</v>
      </c>
      <c r="BM1501" s="1" t="s">
        <v>4959</v>
      </c>
      <c r="BQ1501" s="1" t="s">
        <v>207</v>
      </c>
      <c r="BR1501" s="1" t="s">
        <v>208</v>
      </c>
      <c r="BS1501" s="1" t="s">
        <v>229</v>
      </c>
      <c r="BT1501" s="1" t="s">
        <v>210</v>
      </c>
      <c r="BX1501" s="1">
        <v>1</v>
      </c>
    </row>
    <row r="1502" spans="1:76" x14ac:dyDescent="0.25">
      <c r="A1502" s="1" t="s">
        <v>5634</v>
      </c>
      <c r="B1502" s="1" t="s">
        <v>203</v>
      </c>
      <c r="C1502" s="1">
        <v>1</v>
      </c>
      <c r="D1502" s="1" t="s">
        <v>5635</v>
      </c>
      <c r="E1502" s="1">
        <v>10204</v>
      </c>
      <c r="F1502" s="1" t="s">
        <v>5634</v>
      </c>
      <c r="G1502" s="1">
        <v>1</v>
      </c>
      <c r="L1502" s="1">
        <v>4500</v>
      </c>
      <c r="N1502" s="1">
        <v>500</v>
      </c>
      <c r="P1502" s="1">
        <v>1500</v>
      </c>
      <c r="R1502" s="1">
        <v>60</v>
      </c>
      <c r="Z1502" s="1">
        <v>0.05</v>
      </c>
      <c r="AA1502" s="1">
        <v>2.2999999999999998</v>
      </c>
      <c r="AB1502" s="1">
        <v>1</v>
      </c>
      <c r="AC1502" s="1">
        <v>0.7</v>
      </c>
      <c r="AH1502" s="1">
        <v>0</v>
      </c>
      <c r="AI1502" s="1">
        <v>1</v>
      </c>
      <c r="AJ1502" s="1" t="s">
        <v>5636</v>
      </c>
      <c r="AK1502" s="1" t="s">
        <v>206</v>
      </c>
      <c r="AL1502" s="1" t="s">
        <v>228</v>
      </c>
      <c r="AN1502" s="22" t="s">
        <v>9767</v>
      </c>
      <c r="AX1502" s="1">
        <v>1</v>
      </c>
      <c r="AZ1502" s="1">
        <v>0.25</v>
      </c>
      <c r="BG1502" s="1" t="s">
        <v>5634</v>
      </c>
      <c r="BM1502" s="1" t="s">
        <v>4959</v>
      </c>
      <c r="BQ1502" s="1" t="s">
        <v>207</v>
      </c>
      <c r="BR1502" s="1" t="s">
        <v>208</v>
      </c>
      <c r="BS1502" s="1" t="s">
        <v>229</v>
      </c>
      <c r="BT1502" s="1" t="s">
        <v>210</v>
      </c>
      <c r="BX1502" s="1">
        <v>1</v>
      </c>
    </row>
    <row r="1503" spans="1:76" x14ac:dyDescent="0.25">
      <c r="A1503" s="1" t="s">
        <v>5637</v>
      </c>
      <c r="B1503" s="1" t="s">
        <v>203</v>
      </c>
      <c r="C1503" s="1">
        <v>1</v>
      </c>
      <c r="D1503" s="1" t="s">
        <v>5638</v>
      </c>
      <c r="E1503" s="1">
        <v>10204</v>
      </c>
      <c r="F1503" s="1" t="s">
        <v>5637</v>
      </c>
      <c r="G1503" s="1">
        <v>1</v>
      </c>
      <c r="L1503" s="1">
        <v>5000</v>
      </c>
      <c r="N1503" s="1">
        <v>500</v>
      </c>
      <c r="P1503" s="1">
        <v>1700</v>
      </c>
      <c r="R1503" s="1">
        <v>60</v>
      </c>
      <c r="Z1503" s="1">
        <v>0.05</v>
      </c>
      <c r="AA1503" s="1">
        <v>2.2999999999999998</v>
      </c>
      <c r="AB1503" s="1">
        <v>1</v>
      </c>
      <c r="AC1503" s="1">
        <v>0.7</v>
      </c>
      <c r="AH1503" s="1">
        <v>0</v>
      </c>
      <c r="AI1503" s="1">
        <v>1</v>
      </c>
      <c r="AJ1503" s="1" t="s">
        <v>5639</v>
      </c>
      <c r="AK1503" s="1" t="s">
        <v>206</v>
      </c>
      <c r="AL1503" s="1" t="s">
        <v>228</v>
      </c>
      <c r="AN1503" s="22" t="s">
        <v>9767</v>
      </c>
      <c r="AX1503" s="1">
        <v>1</v>
      </c>
      <c r="AZ1503" s="1">
        <v>0.25</v>
      </c>
      <c r="BG1503" s="1" t="s">
        <v>5637</v>
      </c>
      <c r="BM1503" s="1" t="s">
        <v>4959</v>
      </c>
      <c r="BQ1503" s="1" t="s">
        <v>207</v>
      </c>
      <c r="BR1503" s="1" t="s">
        <v>208</v>
      </c>
      <c r="BS1503" s="1" t="s">
        <v>229</v>
      </c>
      <c r="BT1503" s="1" t="s">
        <v>210</v>
      </c>
      <c r="BX1503" s="1">
        <v>1</v>
      </c>
    </row>
    <row r="1504" spans="1:76" x14ac:dyDescent="0.25">
      <c r="A1504" s="1" t="s">
        <v>5640</v>
      </c>
      <c r="B1504" s="1" t="s">
        <v>203</v>
      </c>
      <c r="C1504" s="1">
        <v>1</v>
      </c>
      <c r="D1504" s="1" t="s">
        <v>5641</v>
      </c>
      <c r="E1504" s="1">
        <v>10205</v>
      </c>
      <c r="F1504" s="1" t="s">
        <v>5640</v>
      </c>
      <c r="G1504" s="1">
        <v>1</v>
      </c>
      <c r="L1504" s="1">
        <v>4800</v>
      </c>
      <c r="N1504" s="1">
        <v>350</v>
      </c>
      <c r="P1504" s="1">
        <v>80</v>
      </c>
      <c r="R1504" s="1">
        <v>20</v>
      </c>
      <c r="Z1504" s="1">
        <v>0.05</v>
      </c>
      <c r="AA1504" s="1">
        <v>3</v>
      </c>
      <c r="AB1504" s="1">
        <v>1</v>
      </c>
      <c r="AC1504" s="1">
        <v>0.55000000000000004</v>
      </c>
      <c r="AH1504" s="1">
        <v>0</v>
      </c>
      <c r="AI1504" s="1">
        <v>1</v>
      </c>
      <c r="AJ1504" s="1" t="s">
        <v>5642</v>
      </c>
      <c r="AK1504" s="1" t="s">
        <v>206</v>
      </c>
      <c r="AL1504" s="1" t="s">
        <v>228</v>
      </c>
      <c r="AN1504" s="22" t="s">
        <v>9767</v>
      </c>
      <c r="AP1504" s="1">
        <v>1</v>
      </c>
      <c r="AX1504" s="1">
        <v>1</v>
      </c>
      <c r="AZ1504" s="1">
        <v>0.25</v>
      </c>
      <c r="BG1504" s="1" t="s">
        <v>5640</v>
      </c>
      <c r="BM1504" s="1" t="s">
        <v>4959</v>
      </c>
      <c r="BQ1504" s="1" t="s">
        <v>3739</v>
      </c>
      <c r="BR1504" s="1" t="s">
        <v>271</v>
      </c>
      <c r="BS1504" s="1" t="s">
        <v>1612</v>
      </c>
      <c r="BT1504" s="1" t="s">
        <v>3196</v>
      </c>
      <c r="BX1504" s="1">
        <v>1</v>
      </c>
    </row>
    <row r="1505" spans="1:76" x14ac:dyDescent="0.25">
      <c r="A1505" s="1" t="s">
        <v>5643</v>
      </c>
      <c r="B1505" s="1" t="s">
        <v>203</v>
      </c>
      <c r="C1505" s="1">
        <v>1</v>
      </c>
      <c r="D1505" s="1" t="s">
        <v>5644</v>
      </c>
      <c r="E1505" s="1">
        <v>10205</v>
      </c>
      <c r="F1505" s="1" t="s">
        <v>5643</v>
      </c>
      <c r="G1505" s="1">
        <v>1</v>
      </c>
      <c r="L1505" s="1">
        <v>6000</v>
      </c>
      <c r="N1505" s="1">
        <v>400</v>
      </c>
      <c r="P1505" s="1">
        <v>80</v>
      </c>
      <c r="R1505" s="1">
        <v>20</v>
      </c>
      <c r="Z1505" s="1">
        <v>0.05</v>
      </c>
      <c r="AA1505" s="1">
        <v>3</v>
      </c>
      <c r="AB1505" s="1">
        <v>1</v>
      </c>
      <c r="AC1505" s="1">
        <v>0.55000000000000004</v>
      </c>
      <c r="AH1505" s="1">
        <v>0</v>
      </c>
      <c r="AI1505" s="1">
        <v>1</v>
      </c>
      <c r="AJ1505" s="1" t="s">
        <v>5645</v>
      </c>
      <c r="AK1505" s="1" t="s">
        <v>206</v>
      </c>
      <c r="AL1505" s="1" t="s">
        <v>228</v>
      </c>
      <c r="AN1505" s="22" t="s">
        <v>9767</v>
      </c>
      <c r="AP1505" s="1">
        <v>1</v>
      </c>
      <c r="AX1505" s="1">
        <v>1</v>
      </c>
      <c r="AZ1505" s="1">
        <v>0.25</v>
      </c>
      <c r="BG1505" s="1" t="s">
        <v>5643</v>
      </c>
      <c r="BM1505" s="1" t="s">
        <v>4959</v>
      </c>
      <c r="BQ1505" s="1" t="s">
        <v>3739</v>
      </c>
      <c r="BR1505" s="1" t="s">
        <v>271</v>
      </c>
      <c r="BS1505" s="1" t="s">
        <v>1612</v>
      </c>
      <c r="BT1505" s="1" t="s">
        <v>3196</v>
      </c>
      <c r="BX1505" s="1">
        <v>1</v>
      </c>
    </row>
    <row r="1506" spans="1:76" x14ac:dyDescent="0.25">
      <c r="A1506" s="1" t="s">
        <v>5646</v>
      </c>
      <c r="B1506" s="1" t="s">
        <v>203</v>
      </c>
      <c r="C1506" s="1">
        <v>1</v>
      </c>
      <c r="D1506" s="1" t="s">
        <v>5647</v>
      </c>
      <c r="E1506" s="1">
        <v>10206</v>
      </c>
      <c r="F1506" s="1" t="s">
        <v>5646</v>
      </c>
      <c r="G1506" s="1">
        <v>1</v>
      </c>
      <c r="L1506" s="1">
        <v>22500</v>
      </c>
      <c r="N1506" s="1">
        <v>500</v>
      </c>
      <c r="P1506" s="1">
        <v>300</v>
      </c>
      <c r="R1506" s="1">
        <v>10</v>
      </c>
      <c r="Z1506" s="1">
        <v>0.05</v>
      </c>
      <c r="AA1506" s="1">
        <v>4</v>
      </c>
      <c r="AB1506" s="1">
        <v>4</v>
      </c>
      <c r="AC1506" s="1">
        <v>0.6</v>
      </c>
      <c r="AH1506" s="1">
        <v>0</v>
      </c>
      <c r="AI1506" s="1">
        <v>1</v>
      </c>
      <c r="AJ1506" s="1" t="s">
        <v>5648</v>
      </c>
      <c r="AK1506" s="1" t="s">
        <v>206</v>
      </c>
      <c r="AL1506" s="1" t="s">
        <v>228</v>
      </c>
      <c r="AN1506" s="22" t="s">
        <v>9767</v>
      </c>
      <c r="AX1506" s="1">
        <v>1</v>
      </c>
      <c r="AZ1506" s="1">
        <v>0.25</v>
      </c>
      <c r="BG1506" s="1" t="s">
        <v>5646</v>
      </c>
      <c r="BM1506" s="1" t="s">
        <v>4959</v>
      </c>
      <c r="BQ1506" s="1" t="s">
        <v>207</v>
      </c>
      <c r="BR1506" s="1" t="s">
        <v>208</v>
      </c>
      <c r="BS1506" s="1" t="s">
        <v>229</v>
      </c>
      <c r="BT1506" s="1" t="s">
        <v>210</v>
      </c>
      <c r="BX1506" s="1">
        <v>1</v>
      </c>
    </row>
    <row r="1507" spans="1:76" x14ac:dyDescent="0.25">
      <c r="A1507" s="1" t="s">
        <v>5649</v>
      </c>
      <c r="B1507" s="1" t="s">
        <v>203</v>
      </c>
      <c r="C1507" s="1">
        <v>1</v>
      </c>
      <c r="D1507" s="1" t="s">
        <v>5650</v>
      </c>
      <c r="E1507" s="1">
        <v>10206</v>
      </c>
      <c r="F1507" s="1" t="s">
        <v>5649</v>
      </c>
      <c r="G1507" s="1">
        <v>1</v>
      </c>
      <c r="L1507" s="1">
        <v>27500</v>
      </c>
      <c r="N1507" s="1">
        <v>600</v>
      </c>
      <c r="P1507" s="1">
        <v>300</v>
      </c>
      <c r="R1507" s="1">
        <v>10</v>
      </c>
      <c r="Z1507" s="1">
        <v>0.05</v>
      </c>
      <c r="AA1507" s="1">
        <v>4</v>
      </c>
      <c r="AB1507" s="1">
        <v>4</v>
      </c>
      <c r="AC1507" s="1">
        <v>0.6</v>
      </c>
      <c r="AH1507" s="1">
        <v>0</v>
      </c>
      <c r="AI1507" s="1">
        <v>1</v>
      </c>
      <c r="AJ1507" s="1" t="s">
        <v>5651</v>
      </c>
      <c r="AK1507" s="1" t="s">
        <v>206</v>
      </c>
      <c r="AL1507" s="1" t="s">
        <v>228</v>
      </c>
      <c r="AN1507" s="22" t="s">
        <v>9767</v>
      </c>
      <c r="AX1507" s="1">
        <v>1</v>
      </c>
      <c r="AZ1507" s="1">
        <v>0.25</v>
      </c>
      <c r="BG1507" s="1" t="s">
        <v>5649</v>
      </c>
      <c r="BM1507" s="1" t="s">
        <v>4959</v>
      </c>
      <c r="BQ1507" s="1" t="s">
        <v>207</v>
      </c>
      <c r="BR1507" s="1" t="s">
        <v>208</v>
      </c>
      <c r="BS1507" s="1" t="s">
        <v>229</v>
      </c>
      <c r="BT1507" s="1" t="s">
        <v>210</v>
      </c>
      <c r="BX1507" s="1">
        <v>1</v>
      </c>
    </row>
    <row r="1508" spans="1:76" x14ac:dyDescent="0.25">
      <c r="A1508" s="1" t="s">
        <v>5652</v>
      </c>
      <c r="B1508" s="1" t="s">
        <v>203</v>
      </c>
      <c r="C1508" s="1">
        <v>1</v>
      </c>
      <c r="D1508" s="1" t="s">
        <v>5653</v>
      </c>
      <c r="E1508" s="1">
        <v>10207</v>
      </c>
      <c r="F1508" s="1" t="s">
        <v>5652</v>
      </c>
      <c r="G1508" s="1">
        <v>1</v>
      </c>
      <c r="L1508" s="1">
        <v>9000</v>
      </c>
      <c r="N1508" s="1">
        <v>1800</v>
      </c>
      <c r="P1508" s="1">
        <v>800</v>
      </c>
      <c r="R1508" s="1">
        <v>25</v>
      </c>
      <c r="Z1508" s="1">
        <v>0.05</v>
      </c>
      <c r="AA1508" s="1">
        <v>6</v>
      </c>
      <c r="AB1508" s="1">
        <v>3</v>
      </c>
      <c r="AC1508" s="1">
        <v>0.5</v>
      </c>
      <c r="AH1508" s="1">
        <v>0</v>
      </c>
      <c r="AI1508" s="1">
        <v>1</v>
      </c>
      <c r="AJ1508" s="1" t="s">
        <v>5654</v>
      </c>
      <c r="AK1508" s="1" t="s">
        <v>206</v>
      </c>
      <c r="AL1508" s="1" t="s">
        <v>228</v>
      </c>
      <c r="AN1508" s="22" t="s">
        <v>9767</v>
      </c>
      <c r="AX1508" s="1">
        <v>1</v>
      </c>
      <c r="AZ1508" s="1">
        <v>0.25</v>
      </c>
      <c r="BG1508" s="1" t="s">
        <v>5652</v>
      </c>
      <c r="BM1508" s="1" t="s">
        <v>4959</v>
      </c>
      <c r="BQ1508" s="1" t="s">
        <v>207</v>
      </c>
      <c r="BR1508" s="1" t="s">
        <v>208</v>
      </c>
      <c r="BS1508" s="1" t="s">
        <v>229</v>
      </c>
      <c r="BT1508" s="1" t="s">
        <v>210</v>
      </c>
      <c r="BX1508" s="1">
        <v>1</v>
      </c>
    </row>
    <row r="1509" spans="1:76" x14ac:dyDescent="0.25">
      <c r="A1509" s="1" t="s">
        <v>5655</v>
      </c>
      <c r="B1509" s="1" t="s">
        <v>203</v>
      </c>
      <c r="C1509" s="1">
        <v>1</v>
      </c>
      <c r="D1509" s="1" t="s">
        <v>5656</v>
      </c>
      <c r="E1509" s="1">
        <v>10207</v>
      </c>
      <c r="F1509" s="1" t="s">
        <v>5655</v>
      </c>
      <c r="G1509" s="1">
        <v>1</v>
      </c>
      <c r="L1509" s="1">
        <v>12000</v>
      </c>
      <c r="N1509" s="1">
        <v>2100</v>
      </c>
      <c r="P1509" s="1">
        <v>800</v>
      </c>
      <c r="R1509" s="1">
        <v>25</v>
      </c>
      <c r="Z1509" s="1">
        <v>0.05</v>
      </c>
      <c r="AA1509" s="1">
        <v>6</v>
      </c>
      <c r="AB1509" s="1">
        <v>3</v>
      </c>
      <c r="AC1509" s="1">
        <v>0.5</v>
      </c>
      <c r="AH1509" s="1">
        <v>0</v>
      </c>
      <c r="AI1509" s="1">
        <v>1</v>
      </c>
      <c r="AJ1509" s="1" t="s">
        <v>5657</v>
      </c>
      <c r="AK1509" s="1" t="s">
        <v>206</v>
      </c>
      <c r="AL1509" s="1" t="s">
        <v>228</v>
      </c>
      <c r="AN1509" s="22" t="s">
        <v>9767</v>
      </c>
      <c r="AX1509" s="1">
        <v>1</v>
      </c>
      <c r="AZ1509" s="1">
        <v>0.25</v>
      </c>
      <c r="BG1509" s="1" t="s">
        <v>5655</v>
      </c>
      <c r="BM1509" s="1" t="s">
        <v>4959</v>
      </c>
      <c r="BQ1509" s="1" t="s">
        <v>207</v>
      </c>
      <c r="BR1509" s="1" t="s">
        <v>208</v>
      </c>
      <c r="BS1509" s="1" t="s">
        <v>229</v>
      </c>
      <c r="BT1509" s="1" t="s">
        <v>210</v>
      </c>
      <c r="BX1509" s="1">
        <v>1</v>
      </c>
    </row>
    <row r="1510" spans="1:76" x14ac:dyDescent="0.25">
      <c r="A1510" s="1" t="s">
        <v>5658</v>
      </c>
      <c r="B1510" s="1" t="s">
        <v>203</v>
      </c>
      <c r="C1510" s="1">
        <v>1</v>
      </c>
      <c r="D1510" s="1" t="s">
        <v>5659</v>
      </c>
      <c r="E1510" s="1">
        <v>10208</v>
      </c>
      <c r="F1510" s="1" t="s">
        <v>5658</v>
      </c>
      <c r="G1510" s="1">
        <v>1</v>
      </c>
      <c r="L1510" s="1">
        <v>75000</v>
      </c>
      <c r="N1510" s="1">
        <v>1000</v>
      </c>
      <c r="P1510" s="1">
        <v>0</v>
      </c>
      <c r="R1510" s="1">
        <v>0</v>
      </c>
      <c r="Z1510" s="1">
        <v>0.05</v>
      </c>
      <c r="AA1510" s="1">
        <v>4.2</v>
      </c>
      <c r="AB1510" s="1">
        <v>5</v>
      </c>
      <c r="AC1510" s="1">
        <v>0.3</v>
      </c>
      <c r="AH1510" s="1">
        <v>0</v>
      </c>
      <c r="AI1510" s="1">
        <v>1</v>
      </c>
      <c r="AJ1510" s="1" t="s">
        <v>5660</v>
      </c>
      <c r="AK1510" s="1" t="s">
        <v>206</v>
      </c>
      <c r="AL1510" s="1" t="s">
        <v>228</v>
      </c>
      <c r="AN1510" s="22" t="s">
        <v>9767</v>
      </c>
      <c r="AX1510" s="1">
        <v>1</v>
      </c>
      <c r="AZ1510" s="1">
        <v>0.25</v>
      </c>
      <c r="BG1510" s="1" t="s">
        <v>5658</v>
      </c>
      <c r="BM1510" s="1" t="s">
        <v>4959</v>
      </c>
      <c r="BQ1510" s="1" t="s">
        <v>207</v>
      </c>
      <c r="BR1510" s="1" t="s">
        <v>208</v>
      </c>
      <c r="BS1510" s="1" t="s">
        <v>229</v>
      </c>
      <c r="BT1510" s="1" t="s">
        <v>210</v>
      </c>
      <c r="BX1510" s="1">
        <v>1</v>
      </c>
    </row>
    <row r="1511" spans="1:76" x14ac:dyDescent="0.25">
      <c r="A1511" s="1" t="s">
        <v>5661</v>
      </c>
      <c r="B1511" s="1" t="s">
        <v>203</v>
      </c>
      <c r="C1511" s="1">
        <v>1</v>
      </c>
      <c r="D1511" s="1" t="s">
        <v>5662</v>
      </c>
      <c r="E1511" s="1">
        <v>10208</v>
      </c>
      <c r="F1511" s="1" t="s">
        <v>5661</v>
      </c>
      <c r="G1511" s="1">
        <v>1</v>
      </c>
      <c r="L1511" s="1">
        <v>100000</v>
      </c>
      <c r="N1511" s="1">
        <v>1200</v>
      </c>
      <c r="P1511" s="1">
        <v>0</v>
      </c>
      <c r="R1511" s="1">
        <v>0</v>
      </c>
      <c r="Z1511" s="1">
        <v>0.05</v>
      </c>
      <c r="AA1511" s="1">
        <v>4.2</v>
      </c>
      <c r="AB1511" s="1">
        <v>5</v>
      </c>
      <c r="AC1511" s="1">
        <v>0.3</v>
      </c>
      <c r="AH1511" s="1">
        <v>0</v>
      </c>
      <c r="AI1511" s="1">
        <v>1</v>
      </c>
      <c r="AJ1511" s="1" t="s">
        <v>5663</v>
      </c>
      <c r="AK1511" s="1" t="s">
        <v>206</v>
      </c>
      <c r="AL1511" s="1" t="s">
        <v>228</v>
      </c>
      <c r="AN1511" s="22" t="s">
        <v>9767</v>
      </c>
      <c r="AX1511" s="1">
        <v>1</v>
      </c>
      <c r="AZ1511" s="1">
        <v>0.25</v>
      </c>
      <c r="BG1511" s="1" t="s">
        <v>5661</v>
      </c>
      <c r="BM1511" s="1" t="s">
        <v>4959</v>
      </c>
      <c r="BQ1511" s="1" t="s">
        <v>207</v>
      </c>
      <c r="BR1511" s="1" t="s">
        <v>208</v>
      </c>
      <c r="BS1511" s="1" t="s">
        <v>229</v>
      </c>
      <c r="BT1511" s="1" t="s">
        <v>210</v>
      </c>
      <c r="BX1511" s="1">
        <v>1</v>
      </c>
    </row>
    <row r="1512" spans="1:76" x14ac:dyDescent="0.25">
      <c r="A1512" s="1" t="s">
        <v>5664</v>
      </c>
      <c r="B1512" s="1" t="s">
        <v>203</v>
      </c>
      <c r="C1512" s="1">
        <v>1</v>
      </c>
      <c r="D1512" s="1" t="s">
        <v>5665</v>
      </c>
      <c r="E1512" s="1">
        <v>10209</v>
      </c>
      <c r="F1512" s="1" t="s">
        <v>5664</v>
      </c>
      <c r="G1512" s="1">
        <v>1</v>
      </c>
      <c r="L1512" s="1">
        <v>30000</v>
      </c>
      <c r="N1512" s="1">
        <v>150</v>
      </c>
      <c r="P1512" s="1">
        <v>100</v>
      </c>
      <c r="R1512" s="1">
        <v>20</v>
      </c>
      <c r="Z1512" s="1">
        <v>0.05</v>
      </c>
      <c r="AA1512" s="1">
        <v>1</v>
      </c>
      <c r="AB1512" s="1">
        <v>0</v>
      </c>
      <c r="AC1512" s="1">
        <v>0.35</v>
      </c>
      <c r="AH1512" s="1">
        <v>0</v>
      </c>
      <c r="AI1512" s="1">
        <v>1</v>
      </c>
      <c r="AJ1512" s="1" t="s">
        <v>5666</v>
      </c>
      <c r="AK1512" s="1" t="s">
        <v>206</v>
      </c>
      <c r="AL1512" s="1" t="s">
        <v>228</v>
      </c>
      <c r="AN1512" s="22" t="s">
        <v>9767</v>
      </c>
      <c r="AP1512" s="1">
        <v>1</v>
      </c>
      <c r="AX1512" s="1">
        <v>1</v>
      </c>
      <c r="AZ1512" s="1">
        <v>0.25</v>
      </c>
      <c r="BG1512" s="1" t="s">
        <v>5664</v>
      </c>
      <c r="BM1512" s="1" t="s">
        <v>4959</v>
      </c>
      <c r="BQ1512" s="1" t="s">
        <v>207</v>
      </c>
      <c r="BR1512" s="1" t="s">
        <v>208</v>
      </c>
      <c r="BS1512" s="1" t="s">
        <v>229</v>
      </c>
      <c r="BT1512" s="1" t="s">
        <v>210</v>
      </c>
      <c r="BX1512" s="1">
        <v>1</v>
      </c>
    </row>
    <row r="1513" spans="1:76" x14ac:dyDescent="0.25">
      <c r="A1513" s="1" t="s">
        <v>5667</v>
      </c>
      <c r="B1513" s="1" t="s">
        <v>203</v>
      </c>
      <c r="C1513" s="1">
        <v>1</v>
      </c>
      <c r="D1513" s="1" t="s">
        <v>5668</v>
      </c>
      <c r="E1513" s="1">
        <v>10209</v>
      </c>
      <c r="F1513" s="1" t="s">
        <v>5667</v>
      </c>
      <c r="G1513" s="1">
        <v>1</v>
      </c>
      <c r="L1513" s="1">
        <v>37500</v>
      </c>
      <c r="N1513" s="1">
        <v>180</v>
      </c>
      <c r="P1513" s="1">
        <v>100</v>
      </c>
      <c r="R1513" s="1">
        <v>20</v>
      </c>
      <c r="Z1513" s="1">
        <v>0.05</v>
      </c>
      <c r="AA1513" s="1">
        <v>1</v>
      </c>
      <c r="AB1513" s="1">
        <v>0</v>
      </c>
      <c r="AC1513" s="1">
        <v>0.35</v>
      </c>
      <c r="AH1513" s="1">
        <v>0</v>
      </c>
      <c r="AI1513" s="1">
        <v>1</v>
      </c>
      <c r="AJ1513" s="1" t="s">
        <v>5669</v>
      </c>
      <c r="AK1513" s="1" t="s">
        <v>206</v>
      </c>
      <c r="AL1513" s="1" t="s">
        <v>228</v>
      </c>
      <c r="AN1513" s="22" t="s">
        <v>9767</v>
      </c>
      <c r="AP1513" s="1">
        <v>1</v>
      </c>
      <c r="AX1513" s="1">
        <v>1</v>
      </c>
      <c r="AZ1513" s="1">
        <v>0.25</v>
      </c>
      <c r="BG1513" s="1" t="s">
        <v>5667</v>
      </c>
      <c r="BM1513" s="1" t="s">
        <v>4959</v>
      </c>
      <c r="BQ1513" s="1" t="s">
        <v>207</v>
      </c>
      <c r="BR1513" s="1" t="s">
        <v>208</v>
      </c>
      <c r="BS1513" s="1" t="s">
        <v>229</v>
      </c>
      <c r="BT1513" s="1" t="s">
        <v>210</v>
      </c>
      <c r="BX1513" s="1">
        <v>1</v>
      </c>
    </row>
    <row r="1514" spans="1:76" x14ac:dyDescent="0.25">
      <c r="A1514" s="1" t="s">
        <v>5670</v>
      </c>
      <c r="B1514" s="1" t="s">
        <v>203</v>
      </c>
      <c r="C1514" s="1">
        <v>1</v>
      </c>
      <c r="D1514" s="1" t="s">
        <v>5671</v>
      </c>
      <c r="E1514" s="1">
        <v>10210</v>
      </c>
      <c r="F1514" s="1" t="s">
        <v>5670</v>
      </c>
      <c r="G1514" s="1">
        <v>1</v>
      </c>
      <c r="L1514" s="1">
        <v>38000</v>
      </c>
      <c r="N1514" s="1">
        <v>750</v>
      </c>
      <c r="P1514" s="1">
        <v>900</v>
      </c>
      <c r="R1514" s="1">
        <v>40</v>
      </c>
      <c r="Z1514" s="1">
        <v>0.05</v>
      </c>
      <c r="AA1514" s="1">
        <v>5</v>
      </c>
      <c r="AB1514" s="1">
        <v>3</v>
      </c>
      <c r="AC1514" s="1">
        <v>0.55000000000000004</v>
      </c>
      <c r="AH1514" s="1">
        <v>0</v>
      </c>
      <c r="AI1514" s="1">
        <v>1</v>
      </c>
      <c r="AJ1514" s="1" t="s">
        <v>5672</v>
      </c>
      <c r="AK1514" s="1" t="s">
        <v>206</v>
      </c>
      <c r="AL1514" s="1" t="s">
        <v>228</v>
      </c>
      <c r="AN1514" s="22" t="s">
        <v>9767</v>
      </c>
      <c r="AX1514" s="1">
        <v>1</v>
      </c>
      <c r="AZ1514" s="1">
        <v>0.25</v>
      </c>
      <c r="BG1514" s="1" t="s">
        <v>5670</v>
      </c>
      <c r="BM1514" s="1" t="s">
        <v>4959</v>
      </c>
      <c r="BQ1514" s="1" t="s">
        <v>207</v>
      </c>
      <c r="BR1514" s="1" t="s">
        <v>208</v>
      </c>
      <c r="BS1514" s="1" t="s">
        <v>229</v>
      </c>
      <c r="BT1514" s="1" t="s">
        <v>5673</v>
      </c>
      <c r="BX1514" s="1">
        <v>1</v>
      </c>
    </row>
    <row r="1515" spans="1:76" x14ac:dyDescent="0.25">
      <c r="A1515" s="1" t="s">
        <v>5674</v>
      </c>
      <c r="B1515" s="1" t="s">
        <v>203</v>
      </c>
      <c r="C1515" s="1">
        <v>1</v>
      </c>
      <c r="D1515" s="1" t="s">
        <v>5675</v>
      </c>
      <c r="E1515" s="1">
        <v>10211</v>
      </c>
      <c r="F1515" s="1" t="s">
        <v>5674</v>
      </c>
      <c r="G1515" s="1">
        <v>1</v>
      </c>
      <c r="L1515" s="1">
        <v>100000</v>
      </c>
      <c r="N1515" s="1">
        <v>15</v>
      </c>
      <c r="P1515" s="1">
        <v>0</v>
      </c>
      <c r="R1515" s="1">
        <v>0</v>
      </c>
      <c r="Z1515" s="1">
        <v>0.05</v>
      </c>
      <c r="AH1515" s="1">
        <v>0</v>
      </c>
      <c r="AI1515" s="1">
        <v>3</v>
      </c>
      <c r="AJ1515" s="1" t="s">
        <v>5676</v>
      </c>
      <c r="AK1515" s="1" t="s">
        <v>206</v>
      </c>
      <c r="AL1515" s="1" t="s">
        <v>228</v>
      </c>
      <c r="AN1515" s="22" t="s">
        <v>9767</v>
      </c>
      <c r="AX1515" s="1">
        <v>1</v>
      </c>
      <c r="AZ1515" s="1">
        <v>0.25</v>
      </c>
      <c r="BG1515" s="1" t="s">
        <v>5674</v>
      </c>
      <c r="BM1515" s="1" t="s">
        <v>4959</v>
      </c>
      <c r="BQ1515" s="1" t="s">
        <v>207</v>
      </c>
      <c r="BR1515" s="1" t="s">
        <v>208</v>
      </c>
      <c r="BS1515" s="1" t="s">
        <v>229</v>
      </c>
      <c r="BT1515" s="1" t="s">
        <v>210</v>
      </c>
      <c r="BX1515" s="1">
        <v>1</v>
      </c>
    </row>
    <row r="1516" spans="1:76" x14ac:dyDescent="0.25">
      <c r="A1516" s="1" t="s">
        <v>5677</v>
      </c>
      <c r="B1516" s="1" t="s">
        <v>203</v>
      </c>
      <c r="C1516" s="1">
        <v>1</v>
      </c>
      <c r="D1516" s="1" t="s">
        <v>5678</v>
      </c>
      <c r="E1516" s="1">
        <v>10129</v>
      </c>
      <c r="F1516" s="1" t="s">
        <v>5677</v>
      </c>
      <c r="G1516" s="1">
        <v>1</v>
      </c>
      <c r="L1516" s="1">
        <v>4000</v>
      </c>
      <c r="N1516" s="1">
        <v>300</v>
      </c>
      <c r="P1516" s="1">
        <v>100</v>
      </c>
      <c r="R1516" s="1">
        <v>20</v>
      </c>
      <c r="Z1516" s="1">
        <v>0.05</v>
      </c>
      <c r="AA1516" s="1">
        <v>2</v>
      </c>
      <c r="AB1516" s="1">
        <v>0</v>
      </c>
      <c r="AC1516" s="1">
        <v>0.9</v>
      </c>
      <c r="AH1516" s="1">
        <v>0</v>
      </c>
      <c r="AI1516" s="1">
        <v>1</v>
      </c>
      <c r="AJ1516" s="1" t="s">
        <v>5679</v>
      </c>
      <c r="AK1516" s="1" t="s">
        <v>206</v>
      </c>
      <c r="AL1516" s="1" t="s">
        <v>228</v>
      </c>
      <c r="AN1516" s="22" t="s">
        <v>9767</v>
      </c>
      <c r="AX1516" s="1">
        <v>1</v>
      </c>
      <c r="AZ1516" s="1">
        <v>0.25</v>
      </c>
      <c r="BG1516" s="1" t="s">
        <v>5677</v>
      </c>
      <c r="BM1516" s="1" t="s">
        <v>4959</v>
      </c>
      <c r="BQ1516" s="1" t="s">
        <v>3328</v>
      </c>
      <c r="BR1516" s="1" t="s">
        <v>1935</v>
      </c>
      <c r="BS1516" s="1" t="s">
        <v>1936</v>
      </c>
      <c r="BT1516" s="1" t="s">
        <v>3296</v>
      </c>
      <c r="BX1516" s="1">
        <v>1</v>
      </c>
    </row>
    <row r="1517" spans="1:76" x14ac:dyDescent="0.25">
      <c r="A1517" s="1" t="s">
        <v>5680</v>
      </c>
      <c r="B1517" s="1" t="s">
        <v>203</v>
      </c>
      <c r="C1517" s="1">
        <v>1</v>
      </c>
      <c r="D1517" s="1" t="s">
        <v>5681</v>
      </c>
      <c r="E1517" s="1">
        <v>10129</v>
      </c>
      <c r="F1517" s="1" t="s">
        <v>5680</v>
      </c>
      <c r="G1517" s="1">
        <v>1</v>
      </c>
      <c r="L1517" s="1">
        <v>5500</v>
      </c>
      <c r="N1517" s="1">
        <v>380</v>
      </c>
      <c r="P1517" s="1">
        <v>135</v>
      </c>
      <c r="R1517" s="1">
        <v>25</v>
      </c>
      <c r="Z1517" s="1">
        <v>0.05</v>
      </c>
      <c r="AA1517" s="1">
        <v>2</v>
      </c>
      <c r="AB1517" s="1">
        <v>0</v>
      </c>
      <c r="AC1517" s="1">
        <v>0.9</v>
      </c>
      <c r="AH1517" s="1">
        <v>0</v>
      </c>
      <c r="AI1517" s="1">
        <v>1</v>
      </c>
      <c r="AJ1517" s="1" t="s">
        <v>5682</v>
      </c>
      <c r="AK1517" s="1" t="s">
        <v>206</v>
      </c>
      <c r="AL1517" s="1" t="s">
        <v>228</v>
      </c>
      <c r="AN1517" s="22" t="s">
        <v>9767</v>
      </c>
      <c r="AX1517" s="1">
        <v>1</v>
      </c>
      <c r="AZ1517" s="1">
        <v>0.25</v>
      </c>
      <c r="BG1517" s="1" t="s">
        <v>5680</v>
      </c>
      <c r="BM1517" s="1" t="s">
        <v>4959</v>
      </c>
      <c r="BQ1517" s="1" t="s">
        <v>3328</v>
      </c>
      <c r="BR1517" s="1" t="s">
        <v>1935</v>
      </c>
      <c r="BS1517" s="1" t="s">
        <v>1936</v>
      </c>
      <c r="BT1517" s="1" t="s">
        <v>3296</v>
      </c>
      <c r="BX1517" s="1">
        <v>1</v>
      </c>
    </row>
    <row r="1518" spans="1:76" x14ac:dyDescent="0.25">
      <c r="A1518" s="1" t="s">
        <v>5683</v>
      </c>
      <c r="B1518" s="1" t="s">
        <v>203</v>
      </c>
      <c r="C1518" s="1">
        <v>1</v>
      </c>
      <c r="D1518" s="1" t="s">
        <v>5684</v>
      </c>
      <c r="E1518" s="1">
        <v>10130</v>
      </c>
      <c r="F1518" s="1" t="s">
        <v>5683</v>
      </c>
      <c r="G1518" s="1">
        <v>1</v>
      </c>
      <c r="L1518" s="1">
        <v>8000</v>
      </c>
      <c r="N1518" s="1">
        <v>350</v>
      </c>
      <c r="P1518" s="1">
        <v>250</v>
      </c>
      <c r="R1518" s="1">
        <v>20</v>
      </c>
      <c r="Z1518" s="1">
        <v>0.05</v>
      </c>
      <c r="AA1518" s="1">
        <v>4</v>
      </c>
      <c r="AB1518" s="1">
        <v>1</v>
      </c>
      <c r="AC1518" s="1">
        <v>0.75</v>
      </c>
      <c r="AH1518" s="1">
        <v>0</v>
      </c>
      <c r="AI1518" s="1">
        <v>1</v>
      </c>
      <c r="AJ1518" s="1" t="s">
        <v>5685</v>
      </c>
      <c r="AK1518" s="1" t="s">
        <v>206</v>
      </c>
      <c r="AL1518" s="1" t="s">
        <v>228</v>
      </c>
      <c r="AN1518" s="22" t="s">
        <v>9767</v>
      </c>
      <c r="AX1518" s="1">
        <v>1</v>
      </c>
      <c r="AZ1518" s="1">
        <v>0.25</v>
      </c>
      <c r="BG1518" s="1" t="s">
        <v>5683</v>
      </c>
      <c r="BM1518" s="1" t="s">
        <v>4959</v>
      </c>
      <c r="BQ1518" s="1" t="s">
        <v>3328</v>
      </c>
      <c r="BR1518" s="1" t="s">
        <v>1935</v>
      </c>
      <c r="BS1518" s="1" t="s">
        <v>1936</v>
      </c>
      <c r="BT1518" s="1" t="s">
        <v>3296</v>
      </c>
      <c r="BX1518" s="1">
        <v>1</v>
      </c>
    </row>
    <row r="1519" spans="1:76" x14ac:dyDescent="0.25">
      <c r="A1519" s="1" t="s">
        <v>5686</v>
      </c>
      <c r="B1519" s="1" t="s">
        <v>203</v>
      </c>
      <c r="C1519" s="1">
        <v>1</v>
      </c>
      <c r="D1519" s="1" t="s">
        <v>5687</v>
      </c>
      <c r="E1519" s="1">
        <v>10130</v>
      </c>
      <c r="F1519" s="1" t="s">
        <v>5686</v>
      </c>
      <c r="G1519" s="1">
        <v>1</v>
      </c>
      <c r="L1519" s="1">
        <v>10000</v>
      </c>
      <c r="N1519" s="1">
        <v>450</v>
      </c>
      <c r="P1519" s="1">
        <v>300</v>
      </c>
      <c r="R1519" s="1">
        <v>25</v>
      </c>
      <c r="Z1519" s="1">
        <v>0.05</v>
      </c>
      <c r="AA1519" s="1">
        <v>4</v>
      </c>
      <c r="AB1519" s="1">
        <v>1</v>
      </c>
      <c r="AC1519" s="1">
        <v>0.75</v>
      </c>
      <c r="AH1519" s="1">
        <v>0</v>
      </c>
      <c r="AI1519" s="1">
        <v>1</v>
      </c>
      <c r="AJ1519" s="1" t="s">
        <v>5688</v>
      </c>
      <c r="AK1519" s="1" t="s">
        <v>206</v>
      </c>
      <c r="AL1519" s="1" t="s">
        <v>228</v>
      </c>
      <c r="AN1519" s="22" t="s">
        <v>9767</v>
      </c>
      <c r="AX1519" s="1">
        <v>1</v>
      </c>
      <c r="AZ1519" s="1">
        <v>0.25</v>
      </c>
      <c r="BG1519" s="1" t="s">
        <v>5686</v>
      </c>
      <c r="BM1519" s="1" t="s">
        <v>4959</v>
      </c>
      <c r="BQ1519" s="1" t="s">
        <v>3328</v>
      </c>
      <c r="BR1519" s="1" t="s">
        <v>1935</v>
      </c>
      <c r="BS1519" s="1" t="s">
        <v>1936</v>
      </c>
      <c r="BT1519" s="1" t="s">
        <v>3296</v>
      </c>
      <c r="BX1519" s="1">
        <v>1</v>
      </c>
    </row>
    <row r="1520" spans="1:76" x14ac:dyDescent="0.25">
      <c r="A1520" s="1" t="s">
        <v>5689</v>
      </c>
      <c r="B1520" s="1" t="s">
        <v>203</v>
      </c>
      <c r="C1520" s="1">
        <v>1</v>
      </c>
      <c r="D1520" s="1" t="s">
        <v>5690</v>
      </c>
      <c r="E1520" s="1">
        <v>10131</v>
      </c>
      <c r="F1520" s="1" t="s">
        <v>5689</v>
      </c>
      <c r="G1520" s="1">
        <v>1</v>
      </c>
      <c r="L1520" s="1">
        <v>10000</v>
      </c>
      <c r="N1520" s="1">
        <v>400</v>
      </c>
      <c r="P1520" s="1">
        <v>400</v>
      </c>
      <c r="R1520" s="1">
        <v>35</v>
      </c>
      <c r="Z1520" s="1">
        <v>0.05</v>
      </c>
      <c r="AA1520" s="1">
        <v>3</v>
      </c>
      <c r="AB1520" s="1">
        <v>3</v>
      </c>
      <c r="AC1520" s="1">
        <v>0.6</v>
      </c>
      <c r="AH1520" s="1">
        <v>0</v>
      </c>
      <c r="AI1520" s="1">
        <v>1</v>
      </c>
      <c r="AJ1520" s="1" t="s">
        <v>5691</v>
      </c>
      <c r="AK1520" s="1" t="s">
        <v>206</v>
      </c>
      <c r="AL1520" s="1" t="s">
        <v>228</v>
      </c>
      <c r="AN1520" s="22" t="s">
        <v>9767</v>
      </c>
      <c r="AX1520" s="1">
        <v>1</v>
      </c>
      <c r="AZ1520" s="1">
        <v>0.25</v>
      </c>
      <c r="BG1520" s="1" t="s">
        <v>5689</v>
      </c>
      <c r="BM1520" s="1" t="s">
        <v>4959</v>
      </c>
      <c r="BQ1520" s="1" t="s">
        <v>207</v>
      </c>
      <c r="BR1520" s="1" t="s">
        <v>1935</v>
      </c>
      <c r="BS1520" s="1" t="s">
        <v>1936</v>
      </c>
      <c r="BT1520" s="1" t="s">
        <v>3296</v>
      </c>
      <c r="BX1520" s="1">
        <v>1</v>
      </c>
    </row>
    <row r="1521" spans="1:76" x14ac:dyDescent="0.25">
      <c r="A1521" s="1" t="s">
        <v>5692</v>
      </c>
      <c r="B1521" s="1" t="s">
        <v>203</v>
      </c>
      <c r="C1521" s="1">
        <v>1</v>
      </c>
      <c r="D1521" s="1" t="s">
        <v>5693</v>
      </c>
      <c r="E1521" s="1">
        <v>10131</v>
      </c>
      <c r="F1521" s="1" t="s">
        <v>5692</v>
      </c>
      <c r="G1521" s="1">
        <v>1</v>
      </c>
      <c r="L1521" s="1">
        <v>12000</v>
      </c>
      <c r="N1521" s="1">
        <v>440</v>
      </c>
      <c r="P1521" s="1">
        <v>450</v>
      </c>
      <c r="R1521" s="1">
        <v>40</v>
      </c>
      <c r="Z1521" s="1">
        <v>0.05</v>
      </c>
      <c r="AA1521" s="1">
        <v>3</v>
      </c>
      <c r="AB1521" s="1">
        <v>3</v>
      </c>
      <c r="AC1521" s="1">
        <v>0.6</v>
      </c>
      <c r="AH1521" s="1">
        <v>0</v>
      </c>
      <c r="AI1521" s="1">
        <v>1</v>
      </c>
      <c r="AJ1521" s="1" t="s">
        <v>5694</v>
      </c>
      <c r="AK1521" s="1" t="s">
        <v>206</v>
      </c>
      <c r="AL1521" s="1" t="s">
        <v>228</v>
      </c>
      <c r="AN1521" s="22" t="s">
        <v>9767</v>
      </c>
      <c r="AX1521" s="1">
        <v>1</v>
      </c>
      <c r="AZ1521" s="1">
        <v>0.25</v>
      </c>
      <c r="BG1521" s="1" t="s">
        <v>5692</v>
      </c>
      <c r="BM1521" s="1" t="s">
        <v>4959</v>
      </c>
      <c r="BQ1521" s="1" t="s">
        <v>207</v>
      </c>
      <c r="BR1521" s="1" t="s">
        <v>1935</v>
      </c>
      <c r="BS1521" s="1" t="s">
        <v>1936</v>
      </c>
      <c r="BT1521" s="1" t="s">
        <v>3296</v>
      </c>
      <c r="BX1521" s="1">
        <v>1</v>
      </c>
    </row>
    <row r="1522" spans="1:76" x14ac:dyDescent="0.25">
      <c r="A1522" s="1" t="s">
        <v>5695</v>
      </c>
      <c r="B1522" s="1" t="s">
        <v>203</v>
      </c>
      <c r="C1522" s="1">
        <v>1</v>
      </c>
      <c r="D1522" s="1" t="s">
        <v>5696</v>
      </c>
      <c r="E1522" s="1">
        <v>10132</v>
      </c>
      <c r="F1522" s="1" t="s">
        <v>5695</v>
      </c>
      <c r="G1522" s="1">
        <v>1</v>
      </c>
      <c r="L1522" s="1">
        <v>12000</v>
      </c>
      <c r="N1522" s="1">
        <v>550</v>
      </c>
      <c r="P1522" s="1">
        <v>800</v>
      </c>
      <c r="R1522" s="1">
        <v>20</v>
      </c>
      <c r="Z1522" s="1">
        <v>0.05</v>
      </c>
      <c r="AA1522" s="1">
        <v>4</v>
      </c>
      <c r="AB1522" s="1">
        <v>4</v>
      </c>
      <c r="AC1522" s="1">
        <v>0.6</v>
      </c>
      <c r="AH1522" s="1">
        <v>0</v>
      </c>
      <c r="AI1522" s="1">
        <v>1</v>
      </c>
      <c r="AJ1522" s="1" t="s">
        <v>5697</v>
      </c>
      <c r="AK1522" s="1" t="s">
        <v>206</v>
      </c>
      <c r="AL1522" s="1" t="s">
        <v>228</v>
      </c>
      <c r="AN1522" s="22" t="s">
        <v>9767</v>
      </c>
      <c r="AX1522" s="1">
        <v>1</v>
      </c>
      <c r="AZ1522" s="1">
        <v>0.25</v>
      </c>
      <c r="BG1522" s="1" t="s">
        <v>5695</v>
      </c>
      <c r="BM1522" s="1" t="s">
        <v>4959</v>
      </c>
      <c r="BQ1522" s="1" t="s">
        <v>207</v>
      </c>
      <c r="BR1522" s="1" t="s">
        <v>1935</v>
      </c>
      <c r="BS1522" s="1" t="s">
        <v>1936</v>
      </c>
      <c r="BT1522" s="1" t="s">
        <v>3296</v>
      </c>
      <c r="BX1522" s="1">
        <v>1</v>
      </c>
    </row>
    <row r="1523" spans="1:76" x14ac:dyDescent="0.25">
      <c r="A1523" s="1" t="s">
        <v>5698</v>
      </c>
      <c r="B1523" s="1" t="s">
        <v>203</v>
      </c>
      <c r="C1523" s="1">
        <v>1</v>
      </c>
      <c r="D1523" s="1" t="s">
        <v>5699</v>
      </c>
      <c r="E1523" s="1">
        <v>10132</v>
      </c>
      <c r="F1523" s="1" t="s">
        <v>5698</v>
      </c>
      <c r="G1523" s="1">
        <v>1</v>
      </c>
      <c r="L1523" s="1">
        <v>14500</v>
      </c>
      <c r="N1523" s="1">
        <v>625</v>
      </c>
      <c r="P1523" s="1">
        <v>880</v>
      </c>
      <c r="R1523" s="1">
        <v>25</v>
      </c>
      <c r="Z1523" s="1">
        <v>0.05</v>
      </c>
      <c r="AA1523" s="1">
        <v>4</v>
      </c>
      <c r="AB1523" s="1">
        <v>4</v>
      </c>
      <c r="AC1523" s="1">
        <v>0.6</v>
      </c>
      <c r="AH1523" s="1">
        <v>0</v>
      </c>
      <c r="AI1523" s="1">
        <v>1</v>
      </c>
      <c r="AJ1523" s="1" t="s">
        <v>5700</v>
      </c>
      <c r="AK1523" s="1" t="s">
        <v>206</v>
      </c>
      <c r="AL1523" s="1" t="s">
        <v>228</v>
      </c>
      <c r="AN1523" s="22" t="s">
        <v>9767</v>
      </c>
      <c r="AX1523" s="1">
        <v>1</v>
      </c>
      <c r="AZ1523" s="1">
        <v>0.25</v>
      </c>
      <c r="BG1523" s="1" t="s">
        <v>5698</v>
      </c>
      <c r="BM1523" s="1" t="s">
        <v>4959</v>
      </c>
      <c r="BQ1523" s="1" t="s">
        <v>207</v>
      </c>
      <c r="BR1523" s="1" t="s">
        <v>1935</v>
      </c>
      <c r="BS1523" s="1" t="s">
        <v>1936</v>
      </c>
      <c r="BT1523" s="1" t="s">
        <v>3296</v>
      </c>
      <c r="BX1523" s="1">
        <v>1</v>
      </c>
    </row>
    <row r="1524" spans="1:76" x14ac:dyDescent="0.25">
      <c r="A1524" s="1" t="s">
        <v>5701</v>
      </c>
      <c r="B1524" s="1" t="s">
        <v>203</v>
      </c>
      <c r="C1524" s="1">
        <v>1</v>
      </c>
      <c r="D1524" s="1" t="s">
        <v>5702</v>
      </c>
      <c r="E1524" s="1">
        <v>10133</v>
      </c>
      <c r="F1524" s="1" t="s">
        <v>5701</v>
      </c>
      <c r="G1524" s="1">
        <v>1</v>
      </c>
      <c r="L1524" s="1">
        <v>16000</v>
      </c>
      <c r="N1524" s="1">
        <v>450</v>
      </c>
      <c r="P1524" s="1">
        <v>700</v>
      </c>
      <c r="R1524" s="1">
        <v>35</v>
      </c>
      <c r="Z1524" s="1">
        <v>0.05</v>
      </c>
      <c r="AA1524" s="1">
        <v>0.8</v>
      </c>
      <c r="AB1524" s="1">
        <v>4</v>
      </c>
      <c r="AC1524" s="1">
        <v>1</v>
      </c>
      <c r="AH1524" s="1">
        <v>0</v>
      </c>
      <c r="AI1524" s="1">
        <v>1</v>
      </c>
      <c r="AJ1524" s="1" t="s">
        <v>5703</v>
      </c>
      <c r="AK1524" s="1" t="s">
        <v>206</v>
      </c>
      <c r="AL1524" s="1" t="s">
        <v>228</v>
      </c>
      <c r="AN1524" s="22" t="s">
        <v>9767</v>
      </c>
      <c r="AX1524" s="1">
        <v>1</v>
      </c>
      <c r="AZ1524" s="1">
        <v>0.25</v>
      </c>
      <c r="BG1524" s="1" t="s">
        <v>5701</v>
      </c>
      <c r="BM1524" s="1" t="s">
        <v>4959</v>
      </c>
      <c r="BQ1524" s="1" t="s">
        <v>207</v>
      </c>
      <c r="BR1524" s="1" t="s">
        <v>208</v>
      </c>
      <c r="BS1524" s="1" t="s">
        <v>229</v>
      </c>
      <c r="BT1524" s="1" t="s">
        <v>210</v>
      </c>
      <c r="BX1524" s="1">
        <v>1</v>
      </c>
    </row>
    <row r="1525" spans="1:76" x14ac:dyDescent="0.25">
      <c r="A1525" s="1" t="s">
        <v>5704</v>
      </c>
      <c r="B1525" s="1" t="s">
        <v>203</v>
      </c>
      <c r="C1525" s="1">
        <v>1</v>
      </c>
      <c r="D1525" s="1" t="s">
        <v>5705</v>
      </c>
      <c r="E1525" s="1">
        <v>10133</v>
      </c>
      <c r="F1525" s="1" t="s">
        <v>5704</v>
      </c>
      <c r="G1525" s="1">
        <v>1</v>
      </c>
      <c r="L1525" s="1">
        <v>18500</v>
      </c>
      <c r="N1525" s="1">
        <v>500</v>
      </c>
      <c r="P1525" s="1">
        <v>750</v>
      </c>
      <c r="R1525" s="1">
        <v>40</v>
      </c>
      <c r="Z1525" s="1">
        <v>0.05</v>
      </c>
      <c r="AA1525" s="1">
        <v>0.8</v>
      </c>
      <c r="AB1525" s="1">
        <v>4</v>
      </c>
      <c r="AC1525" s="1">
        <v>1</v>
      </c>
      <c r="AH1525" s="1">
        <v>0</v>
      </c>
      <c r="AI1525" s="1">
        <v>1</v>
      </c>
      <c r="AJ1525" s="1" t="s">
        <v>5706</v>
      </c>
      <c r="AK1525" s="1" t="s">
        <v>206</v>
      </c>
      <c r="AL1525" s="1" t="s">
        <v>228</v>
      </c>
      <c r="AN1525" s="22" t="s">
        <v>9767</v>
      </c>
      <c r="AX1525" s="1">
        <v>1</v>
      </c>
      <c r="AZ1525" s="1">
        <v>0.25</v>
      </c>
      <c r="BG1525" s="1" t="s">
        <v>5704</v>
      </c>
      <c r="BM1525" s="1" t="s">
        <v>4959</v>
      </c>
      <c r="BQ1525" s="1" t="s">
        <v>207</v>
      </c>
      <c r="BR1525" s="1" t="s">
        <v>208</v>
      </c>
      <c r="BS1525" s="1" t="s">
        <v>229</v>
      </c>
      <c r="BT1525" s="1" t="s">
        <v>210</v>
      </c>
      <c r="BX1525" s="1">
        <v>1</v>
      </c>
    </row>
    <row r="1526" spans="1:76" x14ac:dyDescent="0.25">
      <c r="A1526" s="1" t="s">
        <v>5707</v>
      </c>
      <c r="B1526" s="1" t="s">
        <v>203</v>
      </c>
      <c r="C1526" s="1">
        <v>1</v>
      </c>
      <c r="D1526" s="1" t="s">
        <v>5708</v>
      </c>
      <c r="E1526" s="1">
        <v>10134</v>
      </c>
      <c r="F1526" s="1" t="s">
        <v>5707</v>
      </c>
      <c r="G1526" s="1">
        <v>1</v>
      </c>
      <c r="L1526" s="1">
        <v>18000</v>
      </c>
      <c r="N1526" s="1">
        <v>275</v>
      </c>
      <c r="P1526" s="1">
        <v>660</v>
      </c>
      <c r="R1526" s="1">
        <v>30</v>
      </c>
      <c r="Z1526" s="1">
        <v>0.05</v>
      </c>
      <c r="AA1526" s="1">
        <v>2.5</v>
      </c>
      <c r="AB1526" s="1">
        <v>4</v>
      </c>
      <c r="AC1526" s="1">
        <v>1</v>
      </c>
      <c r="AH1526" s="1">
        <v>0</v>
      </c>
      <c r="AI1526" s="1">
        <v>1</v>
      </c>
      <c r="AJ1526" s="1" t="s">
        <v>5709</v>
      </c>
      <c r="AK1526" s="1" t="s">
        <v>206</v>
      </c>
      <c r="AL1526" s="1" t="s">
        <v>228</v>
      </c>
      <c r="AN1526" s="22" t="s">
        <v>9767</v>
      </c>
      <c r="AX1526" s="1">
        <v>1</v>
      </c>
      <c r="AZ1526" s="1">
        <v>0.25</v>
      </c>
      <c r="BG1526" s="1" t="s">
        <v>5707</v>
      </c>
      <c r="BM1526" s="1" t="s">
        <v>4959</v>
      </c>
      <c r="BQ1526" s="1" t="s">
        <v>207</v>
      </c>
      <c r="BR1526" s="1" t="s">
        <v>208</v>
      </c>
      <c r="BT1526" s="1" t="s">
        <v>210</v>
      </c>
      <c r="BX1526" s="1">
        <v>1</v>
      </c>
    </row>
    <row r="1527" spans="1:76" x14ac:dyDescent="0.25">
      <c r="A1527" s="1" t="s">
        <v>5710</v>
      </c>
      <c r="B1527" s="1" t="s">
        <v>203</v>
      </c>
      <c r="C1527" s="1">
        <v>1</v>
      </c>
      <c r="D1527" s="1" t="s">
        <v>5711</v>
      </c>
      <c r="E1527" s="1">
        <v>10134</v>
      </c>
      <c r="F1527" s="1" t="s">
        <v>5710</v>
      </c>
      <c r="G1527" s="1">
        <v>1</v>
      </c>
      <c r="L1527" s="1">
        <v>19500</v>
      </c>
      <c r="N1527" s="1">
        <v>325</v>
      </c>
      <c r="P1527" s="1">
        <v>700</v>
      </c>
      <c r="R1527" s="1">
        <v>30</v>
      </c>
      <c r="Z1527" s="1">
        <v>0.05</v>
      </c>
      <c r="AA1527" s="1">
        <v>2.5</v>
      </c>
      <c r="AB1527" s="1">
        <v>4</v>
      </c>
      <c r="AC1527" s="1">
        <v>1</v>
      </c>
      <c r="AH1527" s="1">
        <v>0</v>
      </c>
      <c r="AI1527" s="1">
        <v>1</v>
      </c>
      <c r="AJ1527" s="1" t="s">
        <v>5712</v>
      </c>
      <c r="AK1527" s="1" t="s">
        <v>206</v>
      </c>
      <c r="AL1527" s="1" t="s">
        <v>228</v>
      </c>
      <c r="AN1527" s="22" t="s">
        <v>9767</v>
      </c>
      <c r="AX1527" s="1">
        <v>1</v>
      </c>
      <c r="AZ1527" s="1">
        <v>0.25</v>
      </c>
      <c r="BG1527" s="1" t="s">
        <v>5710</v>
      </c>
      <c r="BM1527" s="1" t="s">
        <v>4959</v>
      </c>
      <c r="BQ1527" s="1" t="s">
        <v>207</v>
      </c>
      <c r="BR1527" s="1" t="s">
        <v>208</v>
      </c>
      <c r="BT1527" s="1" t="s">
        <v>210</v>
      </c>
      <c r="BX1527" s="1">
        <v>1</v>
      </c>
    </row>
    <row r="1528" spans="1:76" x14ac:dyDescent="0.25">
      <c r="A1528" s="1" t="s">
        <v>5713</v>
      </c>
      <c r="B1528" s="1" t="s">
        <v>203</v>
      </c>
      <c r="C1528" s="1">
        <v>1</v>
      </c>
      <c r="D1528" s="1" t="s">
        <v>5714</v>
      </c>
      <c r="E1528" s="1">
        <v>10135</v>
      </c>
      <c r="F1528" s="1" t="s">
        <v>5713</v>
      </c>
      <c r="G1528" s="1">
        <v>1</v>
      </c>
      <c r="L1528" s="1">
        <v>15000</v>
      </c>
      <c r="N1528" s="1">
        <v>350</v>
      </c>
      <c r="P1528" s="1">
        <v>550</v>
      </c>
      <c r="R1528" s="1">
        <v>45</v>
      </c>
      <c r="Z1528" s="1">
        <v>0.05</v>
      </c>
      <c r="AA1528" s="1">
        <v>6</v>
      </c>
      <c r="AB1528" s="1">
        <v>4</v>
      </c>
      <c r="AC1528" s="1">
        <v>0.75</v>
      </c>
      <c r="AH1528" s="1">
        <v>0</v>
      </c>
      <c r="AI1528" s="1">
        <v>1</v>
      </c>
      <c r="AJ1528" s="1" t="s">
        <v>5715</v>
      </c>
      <c r="AK1528" s="1" t="s">
        <v>206</v>
      </c>
      <c r="AL1528" s="1" t="s">
        <v>228</v>
      </c>
      <c r="AN1528" s="22" t="s">
        <v>9767</v>
      </c>
      <c r="AX1528" s="1">
        <v>1</v>
      </c>
      <c r="AZ1528" s="1">
        <v>0.25</v>
      </c>
      <c r="BG1528" s="1" t="s">
        <v>5713</v>
      </c>
      <c r="BM1528" s="1" t="s">
        <v>4959</v>
      </c>
      <c r="BQ1528" s="1" t="s">
        <v>207</v>
      </c>
      <c r="BR1528" s="1" t="s">
        <v>208</v>
      </c>
      <c r="BS1528" s="1" t="s">
        <v>229</v>
      </c>
      <c r="BT1528" s="1" t="s">
        <v>210</v>
      </c>
      <c r="BX1528" s="1">
        <v>1</v>
      </c>
    </row>
    <row r="1529" spans="1:76" x14ac:dyDescent="0.25">
      <c r="A1529" s="1" t="s">
        <v>5716</v>
      </c>
      <c r="B1529" s="1" t="s">
        <v>203</v>
      </c>
      <c r="C1529" s="1">
        <v>1</v>
      </c>
      <c r="D1529" s="1" t="s">
        <v>5717</v>
      </c>
      <c r="E1529" s="1">
        <v>10135</v>
      </c>
      <c r="F1529" s="1" t="s">
        <v>5716</v>
      </c>
      <c r="G1529" s="1">
        <v>1</v>
      </c>
      <c r="L1529" s="1">
        <v>17000</v>
      </c>
      <c r="N1529" s="1">
        <v>400</v>
      </c>
      <c r="P1529" s="1">
        <v>600</v>
      </c>
      <c r="R1529" s="1">
        <v>50</v>
      </c>
      <c r="Z1529" s="1">
        <v>0.05</v>
      </c>
      <c r="AA1529" s="1">
        <v>6</v>
      </c>
      <c r="AB1529" s="1">
        <v>4</v>
      </c>
      <c r="AC1529" s="1">
        <v>0.75</v>
      </c>
      <c r="AH1529" s="1">
        <v>0</v>
      </c>
      <c r="AI1529" s="1">
        <v>1</v>
      </c>
      <c r="AJ1529" s="1" t="s">
        <v>5718</v>
      </c>
      <c r="AK1529" s="1" t="s">
        <v>206</v>
      </c>
      <c r="AL1529" s="1" t="s">
        <v>228</v>
      </c>
      <c r="AN1529" s="22" t="s">
        <v>9767</v>
      </c>
      <c r="AX1529" s="1">
        <v>1</v>
      </c>
      <c r="AZ1529" s="1">
        <v>0.25</v>
      </c>
      <c r="BG1529" s="1" t="s">
        <v>5716</v>
      </c>
      <c r="BM1529" s="1" t="s">
        <v>4959</v>
      </c>
      <c r="BQ1529" s="1" t="s">
        <v>207</v>
      </c>
      <c r="BR1529" s="1" t="s">
        <v>208</v>
      </c>
      <c r="BS1529" s="1" t="s">
        <v>229</v>
      </c>
      <c r="BT1529" s="1" t="s">
        <v>210</v>
      </c>
      <c r="BX1529" s="1">
        <v>1</v>
      </c>
    </row>
    <row r="1530" spans="1:76" x14ac:dyDescent="0.25">
      <c r="A1530" s="1" t="s">
        <v>5719</v>
      </c>
      <c r="B1530" s="1" t="s">
        <v>203</v>
      </c>
      <c r="C1530" s="1">
        <v>1</v>
      </c>
      <c r="D1530" s="1" t="s">
        <v>5720</v>
      </c>
      <c r="E1530" s="1">
        <v>10136</v>
      </c>
      <c r="F1530" s="1" t="s">
        <v>5719</v>
      </c>
      <c r="G1530" s="1">
        <v>1</v>
      </c>
      <c r="L1530" s="1">
        <v>18000</v>
      </c>
      <c r="N1530" s="1">
        <v>840</v>
      </c>
      <c r="P1530" s="1">
        <v>850</v>
      </c>
      <c r="R1530" s="1">
        <v>30</v>
      </c>
      <c r="Z1530" s="1">
        <v>0.05</v>
      </c>
      <c r="AA1530" s="1">
        <v>4</v>
      </c>
      <c r="AB1530" s="1">
        <v>5</v>
      </c>
      <c r="AC1530" s="1">
        <v>0.55000000000000004</v>
      </c>
      <c r="AH1530" s="1">
        <v>0</v>
      </c>
      <c r="AI1530" s="1">
        <v>1</v>
      </c>
      <c r="AJ1530" s="1" t="s">
        <v>5721</v>
      </c>
      <c r="AK1530" s="1" t="s">
        <v>206</v>
      </c>
      <c r="AL1530" s="1" t="s">
        <v>228</v>
      </c>
      <c r="AN1530" s="22" t="s">
        <v>9767</v>
      </c>
      <c r="AX1530" s="1">
        <v>1</v>
      </c>
      <c r="AZ1530" s="1">
        <v>0.25</v>
      </c>
      <c r="BG1530" s="1" t="s">
        <v>5719</v>
      </c>
      <c r="BM1530" s="1" t="s">
        <v>4959</v>
      </c>
      <c r="BQ1530" s="1" t="s">
        <v>207</v>
      </c>
      <c r="BR1530" s="1" t="s">
        <v>208</v>
      </c>
      <c r="BS1530" s="1" t="s">
        <v>229</v>
      </c>
      <c r="BT1530" s="1" t="s">
        <v>210</v>
      </c>
      <c r="BX1530" s="1">
        <v>1</v>
      </c>
    </row>
    <row r="1531" spans="1:76" x14ac:dyDescent="0.25">
      <c r="A1531" s="1" t="s">
        <v>5722</v>
      </c>
      <c r="B1531" s="1" t="s">
        <v>203</v>
      </c>
      <c r="C1531" s="1">
        <v>1</v>
      </c>
      <c r="D1531" s="1" t="s">
        <v>5723</v>
      </c>
      <c r="E1531" s="1">
        <v>10136</v>
      </c>
      <c r="F1531" s="1" t="s">
        <v>5722</v>
      </c>
      <c r="G1531" s="1">
        <v>1</v>
      </c>
      <c r="L1531" s="1">
        <v>19500</v>
      </c>
      <c r="N1531" s="1">
        <v>950</v>
      </c>
      <c r="P1531" s="1">
        <v>950</v>
      </c>
      <c r="R1531" s="1">
        <v>30</v>
      </c>
      <c r="Z1531" s="1">
        <v>0.05</v>
      </c>
      <c r="AA1531" s="1">
        <v>4</v>
      </c>
      <c r="AB1531" s="1">
        <v>5</v>
      </c>
      <c r="AC1531" s="1">
        <v>0.55000000000000004</v>
      </c>
      <c r="AH1531" s="1">
        <v>0</v>
      </c>
      <c r="AI1531" s="1">
        <v>1</v>
      </c>
      <c r="AJ1531" s="1" t="s">
        <v>5724</v>
      </c>
      <c r="AK1531" s="1" t="s">
        <v>206</v>
      </c>
      <c r="AL1531" s="1" t="s">
        <v>228</v>
      </c>
      <c r="AN1531" s="22" t="s">
        <v>9767</v>
      </c>
      <c r="AX1531" s="1">
        <v>1</v>
      </c>
      <c r="AZ1531" s="1">
        <v>0.25</v>
      </c>
      <c r="BG1531" s="1" t="s">
        <v>5722</v>
      </c>
      <c r="BM1531" s="1" t="s">
        <v>4959</v>
      </c>
      <c r="BQ1531" s="1" t="s">
        <v>207</v>
      </c>
      <c r="BR1531" s="1" t="s">
        <v>208</v>
      </c>
      <c r="BS1531" s="1" t="s">
        <v>229</v>
      </c>
      <c r="BT1531" s="1" t="s">
        <v>210</v>
      </c>
      <c r="BX1531" s="1">
        <v>1</v>
      </c>
    </row>
    <row r="1532" spans="1:76" x14ac:dyDescent="0.25">
      <c r="A1532" s="1" t="s">
        <v>5725</v>
      </c>
      <c r="B1532" s="1" t="s">
        <v>203</v>
      </c>
      <c r="C1532" s="1">
        <v>1</v>
      </c>
      <c r="D1532" s="1" t="s">
        <v>5726</v>
      </c>
      <c r="E1532" s="1">
        <v>10137</v>
      </c>
      <c r="F1532" s="1" t="s">
        <v>5725</v>
      </c>
      <c r="G1532" s="1">
        <v>1</v>
      </c>
      <c r="L1532" s="1">
        <v>50000</v>
      </c>
      <c r="N1532" s="1">
        <v>300</v>
      </c>
      <c r="P1532" s="1">
        <v>350</v>
      </c>
      <c r="R1532" s="1">
        <v>75</v>
      </c>
      <c r="Z1532" s="1">
        <v>0.05</v>
      </c>
      <c r="AA1532" s="1">
        <v>4</v>
      </c>
      <c r="AB1532" s="1">
        <v>5</v>
      </c>
      <c r="AC1532" s="1">
        <v>0.65</v>
      </c>
      <c r="AH1532" s="1">
        <v>0</v>
      </c>
      <c r="AI1532" s="1">
        <v>1</v>
      </c>
      <c r="AJ1532" s="1" t="s">
        <v>5727</v>
      </c>
      <c r="AK1532" s="1" t="s">
        <v>206</v>
      </c>
      <c r="AL1532" s="1" t="s">
        <v>228</v>
      </c>
      <c r="AN1532" s="22" t="s">
        <v>9767</v>
      </c>
      <c r="AX1532" s="1">
        <v>1</v>
      </c>
      <c r="AZ1532" s="1">
        <v>0.25</v>
      </c>
      <c r="BG1532" s="1" t="s">
        <v>5725</v>
      </c>
      <c r="BM1532" s="1" t="s">
        <v>4959</v>
      </c>
      <c r="BQ1532" s="1" t="s">
        <v>207</v>
      </c>
      <c r="BR1532" s="1" t="s">
        <v>208</v>
      </c>
      <c r="BS1532" s="1" t="s">
        <v>229</v>
      </c>
      <c r="BT1532" s="1" t="s">
        <v>210</v>
      </c>
      <c r="BX1532" s="1">
        <v>1</v>
      </c>
    </row>
    <row r="1541" spans="1:76" x14ac:dyDescent="0.25">
      <c r="A1541" s="1" t="s">
        <v>5728</v>
      </c>
      <c r="B1541" s="1" t="s">
        <v>203</v>
      </c>
      <c r="C1541" s="1">
        <v>1</v>
      </c>
      <c r="D1541" s="1" t="s">
        <v>1737</v>
      </c>
      <c r="E1541" s="1">
        <v>2001</v>
      </c>
      <c r="F1541" s="1" t="s">
        <v>1736</v>
      </c>
      <c r="G1541" s="1">
        <v>1</v>
      </c>
      <c r="L1541" s="1">
        <v>18000</v>
      </c>
      <c r="N1541" s="1">
        <v>100</v>
      </c>
      <c r="P1541" s="1">
        <v>200</v>
      </c>
      <c r="R1541" s="1">
        <v>30</v>
      </c>
      <c r="Z1541" s="1">
        <v>0.05</v>
      </c>
      <c r="AA1541" s="1">
        <v>1</v>
      </c>
      <c r="AB1541" s="1">
        <v>3</v>
      </c>
      <c r="AC1541" s="1">
        <v>0.4</v>
      </c>
      <c r="AH1541" s="1">
        <v>0</v>
      </c>
      <c r="AI1541" s="1">
        <v>1</v>
      </c>
      <c r="AJ1541" s="1" t="s">
        <v>5729</v>
      </c>
      <c r="AK1541" s="1" t="s">
        <v>265</v>
      </c>
      <c r="AL1541" s="1" t="s">
        <v>228</v>
      </c>
      <c r="AN1541" s="22" t="s">
        <v>9767</v>
      </c>
      <c r="AX1541" s="1">
        <v>1</v>
      </c>
      <c r="AZ1541" s="1">
        <v>0.1</v>
      </c>
      <c r="BG1541" s="1" t="s">
        <v>1736</v>
      </c>
      <c r="BM1541" s="1" t="s">
        <v>3114</v>
      </c>
      <c r="BN1541" s="1" t="s">
        <v>1740</v>
      </c>
      <c r="BQ1541" s="1" t="s">
        <v>207</v>
      </c>
      <c r="BR1541" s="1" t="s">
        <v>208</v>
      </c>
      <c r="BS1541" s="1" t="s">
        <v>229</v>
      </c>
      <c r="BT1541" s="1" t="s">
        <v>210</v>
      </c>
      <c r="BX1541" s="1">
        <v>1</v>
      </c>
    </row>
    <row r="1542" spans="1:76" x14ac:dyDescent="0.25">
      <c r="A1542" s="1" t="s">
        <v>5730</v>
      </c>
      <c r="B1542" s="1" t="s">
        <v>203</v>
      </c>
      <c r="C1542" s="1">
        <v>1</v>
      </c>
      <c r="D1542" s="1" t="s">
        <v>1737</v>
      </c>
      <c r="E1542" s="1">
        <v>2001</v>
      </c>
      <c r="F1542" s="1" t="s">
        <v>1736</v>
      </c>
      <c r="G1542" s="1">
        <v>1</v>
      </c>
      <c r="L1542" s="1">
        <v>35000</v>
      </c>
      <c r="N1542" s="1">
        <v>100</v>
      </c>
      <c r="P1542" s="1">
        <v>300</v>
      </c>
      <c r="R1542" s="1">
        <v>30</v>
      </c>
      <c r="Z1542" s="1">
        <v>0.05</v>
      </c>
      <c r="AA1542" s="1">
        <v>1</v>
      </c>
      <c r="AB1542" s="1">
        <v>3</v>
      </c>
      <c r="AC1542" s="1">
        <v>0.4</v>
      </c>
      <c r="AH1542" s="1">
        <v>0</v>
      </c>
      <c r="AI1542" s="1">
        <v>1</v>
      </c>
      <c r="AJ1542" s="1" t="s">
        <v>5731</v>
      </c>
      <c r="AK1542" s="1" t="s">
        <v>265</v>
      </c>
      <c r="AL1542" s="1" t="s">
        <v>228</v>
      </c>
      <c r="AN1542" s="22" t="s">
        <v>9767</v>
      </c>
      <c r="AX1542" s="1">
        <v>1</v>
      </c>
      <c r="AZ1542" s="1">
        <v>0.1</v>
      </c>
      <c r="BG1542" s="1" t="s">
        <v>1736</v>
      </c>
      <c r="BM1542" s="1" t="s">
        <v>3114</v>
      </c>
      <c r="BN1542" s="1" t="s">
        <v>1740</v>
      </c>
      <c r="BQ1542" s="1" t="s">
        <v>207</v>
      </c>
      <c r="BR1542" s="1" t="s">
        <v>208</v>
      </c>
      <c r="BS1542" s="1" t="s">
        <v>229</v>
      </c>
      <c r="BT1542" s="1" t="s">
        <v>210</v>
      </c>
      <c r="BX1542" s="1">
        <v>1</v>
      </c>
    </row>
    <row r="1543" spans="1:76" x14ac:dyDescent="0.25">
      <c r="A1543" s="1" t="s">
        <v>5732</v>
      </c>
      <c r="B1543" s="1" t="s">
        <v>203</v>
      </c>
      <c r="C1543" s="1">
        <v>1</v>
      </c>
      <c r="D1543" s="1" t="s">
        <v>1737</v>
      </c>
      <c r="E1543" s="1">
        <v>2001</v>
      </c>
      <c r="F1543" s="1" t="s">
        <v>1736</v>
      </c>
      <c r="G1543" s="1">
        <v>1</v>
      </c>
      <c r="L1543" s="1">
        <v>45000</v>
      </c>
      <c r="N1543" s="1">
        <v>100</v>
      </c>
      <c r="P1543" s="1">
        <v>400</v>
      </c>
      <c r="R1543" s="1">
        <v>30</v>
      </c>
      <c r="Z1543" s="1">
        <v>0.05</v>
      </c>
      <c r="AA1543" s="1">
        <v>1</v>
      </c>
      <c r="AB1543" s="1">
        <v>3</v>
      </c>
      <c r="AC1543" s="1">
        <v>0.4</v>
      </c>
      <c r="AH1543" s="1">
        <v>0</v>
      </c>
      <c r="AI1543" s="1">
        <v>1</v>
      </c>
      <c r="AJ1543" s="1" t="s">
        <v>5733</v>
      </c>
      <c r="AK1543" s="1" t="s">
        <v>265</v>
      </c>
      <c r="AL1543" s="1" t="s">
        <v>228</v>
      </c>
      <c r="AN1543" s="22" t="s">
        <v>9767</v>
      </c>
      <c r="AX1543" s="1">
        <v>1</v>
      </c>
      <c r="AZ1543" s="1">
        <v>0.1</v>
      </c>
      <c r="BG1543" s="1" t="s">
        <v>1736</v>
      </c>
      <c r="BM1543" s="1" t="s">
        <v>3114</v>
      </c>
      <c r="BN1543" s="1" t="s">
        <v>1740</v>
      </c>
      <c r="BQ1543" s="1" t="s">
        <v>207</v>
      </c>
      <c r="BR1543" s="1" t="s">
        <v>208</v>
      </c>
      <c r="BS1543" s="1" t="s">
        <v>229</v>
      </c>
      <c r="BT1543" s="1" t="s">
        <v>210</v>
      </c>
      <c r="BX1543" s="1">
        <v>1</v>
      </c>
    </row>
    <row r="1544" spans="1:76" x14ac:dyDescent="0.25">
      <c r="A1544" s="1" t="s">
        <v>5734</v>
      </c>
      <c r="B1544" s="1" t="s">
        <v>203</v>
      </c>
      <c r="C1544" s="1">
        <v>1</v>
      </c>
      <c r="D1544" s="1" t="s">
        <v>1742</v>
      </c>
      <c r="E1544" s="1">
        <v>2002</v>
      </c>
      <c r="F1544" s="1" t="s">
        <v>1741</v>
      </c>
      <c r="G1544" s="1">
        <v>1</v>
      </c>
      <c r="L1544" s="1">
        <v>30000</v>
      </c>
      <c r="N1544" s="1">
        <v>2000</v>
      </c>
      <c r="P1544" s="1">
        <v>200</v>
      </c>
      <c r="R1544" s="1">
        <v>50</v>
      </c>
      <c r="Z1544" s="1">
        <v>0.05</v>
      </c>
      <c r="AA1544" s="1">
        <v>3.5</v>
      </c>
      <c r="AB1544" s="1">
        <v>4</v>
      </c>
      <c r="AC1544" s="1">
        <v>0.5</v>
      </c>
      <c r="AH1544" s="1">
        <v>0</v>
      </c>
      <c r="AI1544" s="1">
        <v>1</v>
      </c>
      <c r="AJ1544" s="1" t="s">
        <v>5735</v>
      </c>
      <c r="AK1544" s="1" t="s">
        <v>3494</v>
      </c>
      <c r="AL1544" s="1" t="s">
        <v>228</v>
      </c>
      <c r="AN1544" s="22" t="s">
        <v>9767</v>
      </c>
      <c r="AX1544" s="1">
        <v>1</v>
      </c>
      <c r="AZ1544" s="1">
        <v>0.1</v>
      </c>
      <c r="BG1544" s="1" t="s">
        <v>1741</v>
      </c>
      <c r="BM1544" s="1" t="s">
        <v>989</v>
      </c>
      <c r="BN1544" s="1" t="s">
        <v>1744</v>
      </c>
      <c r="BQ1544" s="1" t="s">
        <v>207</v>
      </c>
      <c r="BR1544" s="1" t="s">
        <v>208</v>
      </c>
      <c r="BS1544" s="1" t="s">
        <v>229</v>
      </c>
      <c r="BT1544" s="1" t="s">
        <v>210</v>
      </c>
      <c r="BX1544" s="1">
        <v>1</v>
      </c>
    </row>
    <row r="1545" spans="1:76" x14ac:dyDescent="0.25">
      <c r="A1545" s="1" t="s">
        <v>5736</v>
      </c>
      <c r="B1545" s="1" t="s">
        <v>203</v>
      </c>
      <c r="C1545" s="1">
        <v>1</v>
      </c>
      <c r="D1545" s="1" t="s">
        <v>1742</v>
      </c>
      <c r="E1545" s="1">
        <v>2002</v>
      </c>
      <c r="F1545" s="1" t="s">
        <v>1741</v>
      </c>
      <c r="G1545" s="1">
        <v>1</v>
      </c>
      <c r="L1545" s="1">
        <v>70000</v>
      </c>
      <c r="N1545" s="1">
        <v>3000</v>
      </c>
      <c r="P1545" s="1">
        <v>450</v>
      </c>
      <c r="R1545" s="1">
        <v>50</v>
      </c>
      <c r="Z1545" s="1">
        <v>0.05</v>
      </c>
      <c r="AA1545" s="1">
        <v>3.5</v>
      </c>
      <c r="AB1545" s="1">
        <v>4</v>
      </c>
      <c r="AC1545" s="1">
        <v>0.5</v>
      </c>
      <c r="AH1545" s="1">
        <v>0</v>
      </c>
      <c r="AI1545" s="1">
        <v>1</v>
      </c>
      <c r="AJ1545" s="1" t="s">
        <v>5737</v>
      </c>
      <c r="AK1545" s="1" t="s">
        <v>3494</v>
      </c>
      <c r="AL1545" s="1" t="s">
        <v>228</v>
      </c>
      <c r="AN1545" s="22" t="s">
        <v>9767</v>
      </c>
      <c r="AX1545" s="1">
        <v>1</v>
      </c>
      <c r="AZ1545" s="1">
        <v>0.1</v>
      </c>
      <c r="BG1545" s="1" t="s">
        <v>1741</v>
      </c>
      <c r="BM1545" s="1" t="s">
        <v>989</v>
      </c>
      <c r="BN1545" s="1" t="s">
        <v>1744</v>
      </c>
      <c r="BQ1545" s="1" t="s">
        <v>207</v>
      </c>
      <c r="BR1545" s="1" t="s">
        <v>208</v>
      </c>
      <c r="BS1545" s="1" t="s">
        <v>229</v>
      </c>
      <c r="BT1545" s="1" t="s">
        <v>210</v>
      </c>
      <c r="BX1545" s="1">
        <v>1</v>
      </c>
    </row>
    <row r="1546" spans="1:76" x14ac:dyDescent="0.25">
      <c r="A1546" s="1" t="s">
        <v>5738</v>
      </c>
      <c r="B1546" s="1" t="s">
        <v>203</v>
      </c>
      <c r="C1546" s="1">
        <v>1</v>
      </c>
      <c r="D1546" s="1" t="s">
        <v>1742</v>
      </c>
      <c r="E1546" s="1">
        <v>2002</v>
      </c>
      <c r="F1546" s="1" t="s">
        <v>1741</v>
      </c>
      <c r="G1546" s="1">
        <v>1</v>
      </c>
      <c r="L1546" s="1">
        <v>90000</v>
      </c>
      <c r="N1546" s="1">
        <v>4000</v>
      </c>
      <c r="P1546" s="1">
        <v>550</v>
      </c>
      <c r="R1546" s="1">
        <v>50</v>
      </c>
      <c r="Z1546" s="1">
        <v>0.05</v>
      </c>
      <c r="AA1546" s="1">
        <v>3.5</v>
      </c>
      <c r="AB1546" s="1">
        <v>4</v>
      </c>
      <c r="AC1546" s="1">
        <v>0.5</v>
      </c>
      <c r="AH1546" s="1">
        <v>0</v>
      </c>
      <c r="AI1546" s="1">
        <v>1</v>
      </c>
      <c r="AJ1546" s="1" t="s">
        <v>5739</v>
      </c>
      <c r="AK1546" s="1" t="s">
        <v>3494</v>
      </c>
      <c r="AL1546" s="1" t="s">
        <v>228</v>
      </c>
      <c r="AN1546" s="22" t="s">
        <v>9767</v>
      </c>
      <c r="AX1546" s="1">
        <v>1</v>
      </c>
      <c r="AZ1546" s="1">
        <v>0.1</v>
      </c>
      <c r="BG1546" s="1" t="s">
        <v>1741</v>
      </c>
      <c r="BM1546" s="1" t="s">
        <v>989</v>
      </c>
      <c r="BN1546" s="1" t="s">
        <v>1744</v>
      </c>
      <c r="BQ1546" s="1" t="s">
        <v>207</v>
      </c>
      <c r="BR1546" s="1" t="s">
        <v>208</v>
      </c>
      <c r="BS1546" s="1" t="s">
        <v>229</v>
      </c>
      <c r="BT1546" s="1" t="s">
        <v>210</v>
      </c>
      <c r="BX1546" s="1">
        <v>1</v>
      </c>
    </row>
    <row r="1547" spans="1:76" x14ac:dyDescent="0.25">
      <c r="A1547" s="1" t="s">
        <v>1745</v>
      </c>
      <c r="B1547" s="1" t="s">
        <v>203</v>
      </c>
      <c r="C1547" s="1">
        <v>1</v>
      </c>
      <c r="D1547" s="1" t="s">
        <v>1746</v>
      </c>
      <c r="E1547" s="1">
        <v>2003</v>
      </c>
      <c r="F1547" s="1" t="s">
        <v>1745</v>
      </c>
      <c r="G1547" s="1">
        <v>1</v>
      </c>
      <c r="L1547" s="1">
        <v>75000</v>
      </c>
      <c r="N1547" s="1">
        <v>1500</v>
      </c>
      <c r="P1547" s="1">
        <v>600</v>
      </c>
      <c r="R1547" s="1">
        <v>0</v>
      </c>
      <c r="Z1547" s="1">
        <v>0.05</v>
      </c>
      <c r="AA1547" s="1">
        <v>4.4000000000000004</v>
      </c>
      <c r="AB1547" s="1">
        <v>4</v>
      </c>
      <c r="AC1547" s="1">
        <v>0.5</v>
      </c>
      <c r="AH1547" s="1">
        <v>0</v>
      </c>
      <c r="AI1547" s="1">
        <v>1</v>
      </c>
      <c r="AJ1547" s="1" t="s">
        <v>1747</v>
      </c>
      <c r="AK1547" s="1" t="s">
        <v>5740</v>
      </c>
      <c r="AL1547" s="1" t="s">
        <v>228</v>
      </c>
      <c r="AN1547" s="22" t="s">
        <v>9767</v>
      </c>
      <c r="AX1547" s="1">
        <v>1</v>
      </c>
      <c r="AZ1547" s="1">
        <v>0.1</v>
      </c>
      <c r="BG1547" s="1" t="s">
        <v>1745</v>
      </c>
      <c r="BM1547" s="1" t="s">
        <v>996</v>
      </c>
      <c r="BN1547" s="1" t="s">
        <v>1749</v>
      </c>
      <c r="BQ1547" s="1" t="s">
        <v>207</v>
      </c>
      <c r="BR1547" s="1" t="s">
        <v>208</v>
      </c>
      <c r="BS1547" s="1" t="s">
        <v>229</v>
      </c>
      <c r="BT1547" s="1" t="s">
        <v>210</v>
      </c>
      <c r="BX1547" s="1">
        <v>1</v>
      </c>
    </row>
    <row r="1548" spans="1:76" x14ac:dyDescent="0.25">
      <c r="A1548" s="1" t="s">
        <v>1750</v>
      </c>
      <c r="B1548" s="1" t="s">
        <v>203</v>
      </c>
      <c r="C1548" s="1">
        <v>1</v>
      </c>
      <c r="D1548" s="1" t="s">
        <v>1751</v>
      </c>
      <c r="E1548" s="1">
        <v>2004</v>
      </c>
      <c r="F1548" s="1" t="s">
        <v>1750</v>
      </c>
      <c r="G1548" s="1">
        <v>1</v>
      </c>
      <c r="L1548" s="1">
        <v>58000</v>
      </c>
      <c r="N1548" s="1">
        <v>400</v>
      </c>
      <c r="P1548" s="1">
        <v>280</v>
      </c>
      <c r="R1548" s="1">
        <v>30</v>
      </c>
      <c r="Z1548" s="1">
        <v>0.05</v>
      </c>
      <c r="AA1548" s="1">
        <v>2</v>
      </c>
      <c r="AB1548" s="1">
        <v>3</v>
      </c>
      <c r="AC1548" s="1">
        <v>0.8</v>
      </c>
      <c r="AH1548" s="1">
        <v>0</v>
      </c>
      <c r="AI1548" s="1">
        <v>1</v>
      </c>
      <c r="AJ1548" s="1" t="s">
        <v>1752</v>
      </c>
      <c r="AK1548" s="1" t="s">
        <v>3507</v>
      </c>
      <c r="AL1548" s="1" t="s">
        <v>228</v>
      </c>
      <c r="AN1548" s="22" t="s">
        <v>9767</v>
      </c>
      <c r="AX1548" s="1">
        <v>1</v>
      </c>
      <c r="AZ1548" s="1">
        <v>0.1</v>
      </c>
      <c r="BG1548" s="1" t="s">
        <v>1750</v>
      </c>
      <c r="BM1548" s="1" t="s">
        <v>996</v>
      </c>
      <c r="BN1548" s="1" t="s">
        <v>1753</v>
      </c>
      <c r="BQ1548" s="1" t="s">
        <v>207</v>
      </c>
      <c r="BR1548" s="1" t="s">
        <v>208</v>
      </c>
      <c r="BS1548" s="1" t="s">
        <v>1321</v>
      </c>
      <c r="BT1548" s="1" t="s">
        <v>210</v>
      </c>
      <c r="BX1548" s="1">
        <v>1</v>
      </c>
    </row>
    <row r="1549" spans="1:76" x14ac:dyDescent="0.25">
      <c r="A1549" s="1" t="s">
        <v>1754</v>
      </c>
      <c r="B1549" s="1" t="s">
        <v>203</v>
      </c>
      <c r="C1549" s="1">
        <v>1</v>
      </c>
      <c r="D1549" s="1" t="s">
        <v>1755</v>
      </c>
      <c r="E1549" s="1">
        <v>2005</v>
      </c>
      <c r="F1549" s="1" t="s">
        <v>1754</v>
      </c>
      <c r="G1549" s="1">
        <v>1</v>
      </c>
      <c r="L1549" s="1">
        <v>50000</v>
      </c>
      <c r="N1549" s="1">
        <v>500</v>
      </c>
      <c r="P1549" s="1">
        <v>300</v>
      </c>
      <c r="R1549" s="1">
        <v>30</v>
      </c>
      <c r="Z1549" s="1">
        <v>0.05</v>
      </c>
      <c r="AA1549" s="1">
        <v>3</v>
      </c>
      <c r="AB1549" s="1">
        <v>3</v>
      </c>
      <c r="AC1549" s="1">
        <v>0.6</v>
      </c>
      <c r="AH1549" s="1">
        <v>0</v>
      </c>
      <c r="AI1549" s="1">
        <v>1</v>
      </c>
      <c r="AJ1549" s="1" t="s">
        <v>1756</v>
      </c>
      <c r="AK1549" s="1" t="s">
        <v>206</v>
      </c>
      <c r="AL1549" s="1" t="s">
        <v>228</v>
      </c>
      <c r="AN1549" s="22" t="s">
        <v>9767</v>
      </c>
      <c r="AX1549" s="1">
        <v>1</v>
      </c>
      <c r="AZ1549" s="1">
        <v>0.1</v>
      </c>
      <c r="BG1549" s="1" t="s">
        <v>1754</v>
      </c>
      <c r="BM1549" s="1" t="s">
        <v>1328</v>
      </c>
      <c r="BN1549" s="1" t="s">
        <v>1757</v>
      </c>
      <c r="BQ1549" s="1" t="s">
        <v>207</v>
      </c>
      <c r="BR1549" s="1" t="s">
        <v>208</v>
      </c>
      <c r="BS1549" s="1" t="s">
        <v>229</v>
      </c>
      <c r="BT1549" s="1" t="s">
        <v>210</v>
      </c>
      <c r="BX1549" s="1">
        <v>1</v>
      </c>
    </row>
    <row r="1550" spans="1:76" x14ac:dyDescent="0.25">
      <c r="A1550" s="1" t="s">
        <v>1758</v>
      </c>
      <c r="B1550" s="1" t="s">
        <v>203</v>
      </c>
      <c r="C1550" s="1">
        <v>1</v>
      </c>
      <c r="D1550" s="1" t="s">
        <v>1759</v>
      </c>
      <c r="E1550" s="1">
        <v>2006</v>
      </c>
      <c r="F1550" s="1" t="s">
        <v>1758</v>
      </c>
      <c r="G1550" s="1">
        <v>1</v>
      </c>
      <c r="L1550" s="1">
        <v>40000</v>
      </c>
      <c r="N1550" s="1">
        <v>1200</v>
      </c>
      <c r="P1550" s="1">
        <v>550</v>
      </c>
      <c r="R1550" s="1">
        <v>40</v>
      </c>
      <c r="Z1550" s="1">
        <v>0.05</v>
      </c>
      <c r="AA1550" s="1">
        <v>5</v>
      </c>
      <c r="AB1550" s="1">
        <v>5</v>
      </c>
      <c r="AC1550" s="1">
        <v>0.4</v>
      </c>
      <c r="AH1550" s="1">
        <v>0</v>
      </c>
      <c r="AI1550" s="1">
        <v>1</v>
      </c>
      <c r="AJ1550" s="1" t="s">
        <v>1760</v>
      </c>
      <c r="AK1550" s="1" t="s">
        <v>206</v>
      </c>
      <c r="AL1550" s="1" t="s">
        <v>228</v>
      </c>
      <c r="AN1550" s="22" t="s">
        <v>9767</v>
      </c>
      <c r="AX1550" s="1">
        <v>1</v>
      </c>
      <c r="AZ1550" s="1">
        <v>0.1</v>
      </c>
      <c r="BG1550" s="1" t="s">
        <v>1758</v>
      </c>
      <c r="BM1550" s="1" t="s">
        <v>1328</v>
      </c>
      <c r="BN1550" s="1" t="s">
        <v>1761</v>
      </c>
      <c r="BQ1550" s="1" t="s">
        <v>207</v>
      </c>
      <c r="BR1550" s="1" t="s">
        <v>208</v>
      </c>
      <c r="BS1550" s="1" t="s">
        <v>229</v>
      </c>
      <c r="BT1550" s="1" t="s">
        <v>210</v>
      </c>
      <c r="BX1550" s="1">
        <v>1</v>
      </c>
    </row>
    <row r="1551" spans="1:76" x14ac:dyDescent="0.25">
      <c r="A1551" s="1" t="s">
        <v>1762</v>
      </c>
      <c r="B1551" s="1" t="s">
        <v>203</v>
      </c>
      <c r="C1551" s="1">
        <v>1</v>
      </c>
      <c r="D1551" s="1" t="s">
        <v>1763</v>
      </c>
      <c r="E1551" s="1">
        <v>2007</v>
      </c>
      <c r="F1551" s="1" t="s">
        <v>1762</v>
      </c>
      <c r="G1551" s="1">
        <v>1</v>
      </c>
      <c r="L1551" s="1">
        <v>27000</v>
      </c>
      <c r="N1551" s="1">
        <v>350</v>
      </c>
      <c r="P1551" s="1">
        <v>1500</v>
      </c>
      <c r="R1551" s="1">
        <v>80</v>
      </c>
      <c r="Z1551" s="1">
        <v>0.05</v>
      </c>
      <c r="AA1551" s="1">
        <v>4</v>
      </c>
      <c r="AB1551" s="1">
        <v>5</v>
      </c>
      <c r="AC1551" s="1">
        <v>0.5</v>
      </c>
      <c r="AH1551" s="1">
        <v>0</v>
      </c>
      <c r="AI1551" s="1">
        <v>1</v>
      </c>
      <c r="AJ1551" s="1" t="s">
        <v>1764</v>
      </c>
      <c r="AK1551" s="1" t="s">
        <v>265</v>
      </c>
      <c r="AL1551" s="1" t="s">
        <v>228</v>
      </c>
      <c r="AN1551" s="22" t="s">
        <v>9767</v>
      </c>
      <c r="AX1551" s="1">
        <v>1</v>
      </c>
      <c r="AZ1551" s="1">
        <v>0.1</v>
      </c>
      <c r="BG1551" s="1" t="s">
        <v>1762</v>
      </c>
      <c r="BM1551" s="1" t="s">
        <v>1328</v>
      </c>
      <c r="BN1551" s="1" t="s">
        <v>1765</v>
      </c>
      <c r="BQ1551" s="1" t="s">
        <v>207</v>
      </c>
      <c r="BR1551" s="1" t="s">
        <v>208</v>
      </c>
      <c r="BS1551" s="1" t="s">
        <v>229</v>
      </c>
      <c r="BT1551" s="1" t="s">
        <v>210</v>
      </c>
      <c r="BX1551" s="1">
        <v>1</v>
      </c>
    </row>
    <row r="1552" spans="1:76" x14ac:dyDescent="0.25">
      <c r="A1552" s="1" t="s">
        <v>1766</v>
      </c>
      <c r="B1552" s="1" t="s">
        <v>203</v>
      </c>
      <c r="C1552" s="1">
        <v>1</v>
      </c>
      <c r="D1552" s="1" t="s">
        <v>1767</v>
      </c>
      <c r="E1552" s="1">
        <v>2008</v>
      </c>
      <c r="F1552" s="1" t="s">
        <v>1766</v>
      </c>
      <c r="G1552" s="1">
        <v>1</v>
      </c>
      <c r="L1552" s="1">
        <v>60000</v>
      </c>
      <c r="N1552" s="1">
        <v>2000</v>
      </c>
      <c r="P1552" s="1">
        <v>330</v>
      </c>
      <c r="R1552" s="1">
        <v>55</v>
      </c>
      <c r="Z1552" s="1">
        <v>0.05</v>
      </c>
      <c r="AA1552" s="1">
        <v>3.5</v>
      </c>
      <c r="AB1552" s="1">
        <v>6</v>
      </c>
      <c r="AC1552" s="1">
        <v>0.5</v>
      </c>
      <c r="AH1552" s="1">
        <v>0</v>
      </c>
      <c r="AI1552" s="1">
        <v>1</v>
      </c>
      <c r="AJ1552" s="1" t="s">
        <v>1768</v>
      </c>
      <c r="AK1552" s="1" t="s">
        <v>265</v>
      </c>
      <c r="AL1552" s="1" t="s">
        <v>228</v>
      </c>
      <c r="AN1552" s="22" t="s">
        <v>9767</v>
      </c>
      <c r="AX1552" s="1">
        <v>1</v>
      </c>
      <c r="AZ1552" s="1">
        <v>0.1</v>
      </c>
      <c r="BG1552" s="1" t="s">
        <v>1766</v>
      </c>
      <c r="BM1552" s="1" t="s">
        <v>1328</v>
      </c>
      <c r="BN1552" s="1" t="s">
        <v>1769</v>
      </c>
      <c r="BQ1552" s="1" t="s">
        <v>207</v>
      </c>
      <c r="BR1552" s="1" t="s">
        <v>208</v>
      </c>
      <c r="BS1552" s="1" t="s">
        <v>229</v>
      </c>
      <c r="BT1552" s="1" t="s">
        <v>210</v>
      </c>
      <c r="BX1552" s="1">
        <v>1</v>
      </c>
    </row>
    <row r="1553" spans="1:76" x14ac:dyDescent="0.25">
      <c r="A1553" s="1" t="s">
        <v>2660</v>
      </c>
      <c r="B1553" s="1" t="s">
        <v>203</v>
      </c>
      <c r="C1553" s="1">
        <v>1</v>
      </c>
      <c r="D1553" s="1" t="s">
        <v>2661</v>
      </c>
      <c r="E1553" s="1">
        <v>2009</v>
      </c>
      <c r="F1553" s="1" t="s">
        <v>2660</v>
      </c>
      <c r="G1553" s="1">
        <v>1</v>
      </c>
      <c r="L1553" s="1">
        <v>8000</v>
      </c>
      <c r="N1553" s="1">
        <v>750</v>
      </c>
      <c r="P1553" s="1">
        <v>600</v>
      </c>
      <c r="R1553" s="1">
        <v>30</v>
      </c>
      <c r="Z1553" s="1">
        <v>0.05</v>
      </c>
      <c r="AA1553" s="1">
        <v>3</v>
      </c>
      <c r="AB1553" s="1">
        <v>2</v>
      </c>
      <c r="AC1553" s="1">
        <v>1.2</v>
      </c>
      <c r="AH1553" s="1">
        <v>0</v>
      </c>
      <c r="AI1553" s="1">
        <v>1</v>
      </c>
      <c r="AJ1553" s="1" t="s">
        <v>2662</v>
      </c>
      <c r="AK1553" s="1" t="s">
        <v>206</v>
      </c>
      <c r="AL1553" s="1" t="s">
        <v>228</v>
      </c>
      <c r="AN1553" s="22" t="s">
        <v>9767</v>
      </c>
      <c r="AX1553" s="1">
        <v>1</v>
      </c>
      <c r="AZ1553" s="1">
        <v>0.1</v>
      </c>
      <c r="BG1553" s="1" t="s">
        <v>2660</v>
      </c>
      <c r="BM1553" s="1" t="s">
        <v>989</v>
      </c>
      <c r="BN1553" s="1" t="s">
        <v>2663</v>
      </c>
      <c r="BQ1553" s="1" t="s">
        <v>207</v>
      </c>
      <c r="BR1553" s="1" t="s">
        <v>208</v>
      </c>
      <c r="BS1553" s="1" t="s">
        <v>229</v>
      </c>
      <c r="BT1553" s="1" t="s">
        <v>210</v>
      </c>
      <c r="BX1553" s="1">
        <v>1</v>
      </c>
    </row>
    <row r="1554" spans="1:76" x14ac:dyDescent="0.25">
      <c r="A1554" s="1" t="s">
        <v>2664</v>
      </c>
      <c r="B1554" s="1" t="s">
        <v>203</v>
      </c>
      <c r="C1554" s="1">
        <v>1</v>
      </c>
      <c r="D1554" s="1" t="s">
        <v>2665</v>
      </c>
      <c r="E1554" s="1">
        <v>2010</v>
      </c>
      <c r="F1554" s="1" t="s">
        <v>2664</v>
      </c>
      <c r="G1554" s="1">
        <v>1</v>
      </c>
      <c r="L1554" s="1">
        <v>12000</v>
      </c>
      <c r="N1554" s="1">
        <v>500</v>
      </c>
      <c r="P1554" s="1">
        <v>300</v>
      </c>
      <c r="R1554" s="1">
        <v>60</v>
      </c>
      <c r="Z1554" s="1">
        <v>0.05</v>
      </c>
      <c r="AA1554" s="1">
        <v>4</v>
      </c>
      <c r="AB1554" s="1">
        <v>3</v>
      </c>
      <c r="AC1554" s="1">
        <v>0.8</v>
      </c>
      <c r="AH1554" s="1">
        <v>0</v>
      </c>
      <c r="AI1554" s="1">
        <v>1</v>
      </c>
      <c r="AJ1554" s="1" t="s">
        <v>2666</v>
      </c>
      <c r="AK1554" s="1" t="s">
        <v>5741</v>
      </c>
      <c r="AL1554" s="1" t="s">
        <v>228</v>
      </c>
      <c r="AN1554" s="22" t="s">
        <v>9767</v>
      </c>
      <c r="AX1554" s="1">
        <v>1</v>
      </c>
      <c r="AZ1554" s="1">
        <v>0.1</v>
      </c>
      <c r="BG1554" s="1" t="s">
        <v>2664</v>
      </c>
      <c r="BM1554" s="1" t="s">
        <v>957</v>
      </c>
      <c r="BN1554" s="1" t="s">
        <v>2667</v>
      </c>
      <c r="BQ1554" s="1" t="s">
        <v>207</v>
      </c>
      <c r="BR1554" s="1" t="s">
        <v>208</v>
      </c>
      <c r="BS1554" s="1" t="s">
        <v>229</v>
      </c>
      <c r="BT1554" s="1" t="s">
        <v>210</v>
      </c>
      <c r="BX1554" s="1">
        <v>1</v>
      </c>
    </row>
    <row r="1555" spans="1:76" x14ac:dyDescent="0.25">
      <c r="A1555" s="1" t="s">
        <v>5742</v>
      </c>
      <c r="B1555" s="1" t="s">
        <v>203</v>
      </c>
      <c r="C1555" s="1">
        <v>1</v>
      </c>
      <c r="D1555" s="1" t="s">
        <v>5743</v>
      </c>
      <c r="E1555" s="1">
        <v>2010</v>
      </c>
      <c r="F1555" s="1" t="s">
        <v>5742</v>
      </c>
      <c r="G1555" s="1">
        <v>1</v>
      </c>
      <c r="L1555" s="1">
        <v>15000</v>
      </c>
      <c r="N1555" s="1">
        <v>600</v>
      </c>
      <c r="P1555" s="1">
        <v>400</v>
      </c>
      <c r="R1555" s="1">
        <v>60</v>
      </c>
      <c r="Z1555" s="1">
        <v>0.05</v>
      </c>
      <c r="AA1555" s="1">
        <v>4</v>
      </c>
      <c r="AB1555" s="1">
        <v>3</v>
      </c>
      <c r="AC1555" s="1">
        <v>0.8</v>
      </c>
      <c r="AH1555" s="1">
        <v>0</v>
      </c>
      <c r="AI1555" s="1">
        <v>1</v>
      </c>
      <c r="AJ1555" s="1" t="s">
        <v>5744</v>
      </c>
      <c r="AK1555" s="1" t="s">
        <v>5741</v>
      </c>
      <c r="AL1555" s="1" t="s">
        <v>228</v>
      </c>
      <c r="AN1555" s="22" t="s">
        <v>9767</v>
      </c>
      <c r="AX1555" s="1">
        <v>1</v>
      </c>
      <c r="AZ1555" s="1">
        <v>0.1</v>
      </c>
      <c r="BG1555" s="1" t="s">
        <v>2664</v>
      </c>
      <c r="BM1555" s="1" t="s">
        <v>957</v>
      </c>
      <c r="BN1555" s="1" t="s">
        <v>2667</v>
      </c>
      <c r="BQ1555" s="1" t="s">
        <v>207</v>
      </c>
      <c r="BR1555" s="1" t="s">
        <v>208</v>
      </c>
      <c r="BS1555" s="1" t="s">
        <v>229</v>
      </c>
      <c r="BT1555" s="1" t="s">
        <v>210</v>
      </c>
      <c r="BX1555" s="1">
        <v>1</v>
      </c>
    </row>
    <row r="1556" spans="1:76" x14ac:dyDescent="0.25">
      <c r="A1556" s="1" t="s">
        <v>2668</v>
      </c>
      <c r="B1556" s="1" t="s">
        <v>203</v>
      </c>
      <c r="C1556" s="1">
        <v>1</v>
      </c>
      <c r="D1556" s="1" t="s">
        <v>2669</v>
      </c>
      <c r="E1556" s="1">
        <v>2011</v>
      </c>
      <c r="F1556" s="1" t="s">
        <v>2668</v>
      </c>
      <c r="G1556" s="1">
        <v>1</v>
      </c>
      <c r="L1556" s="1">
        <v>24000</v>
      </c>
      <c r="N1556" s="1">
        <v>1200</v>
      </c>
      <c r="P1556" s="1">
        <v>300</v>
      </c>
      <c r="R1556" s="1">
        <v>30</v>
      </c>
      <c r="Z1556" s="1">
        <v>0.05</v>
      </c>
      <c r="AA1556" s="1">
        <v>5</v>
      </c>
      <c r="AB1556" s="1">
        <v>5</v>
      </c>
      <c r="AC1556" s="1">
        <v>0.5</v>
      </c>
      <c r="AH1556" s="1">
        <v>0</v>
      </c>
      <c r="AI1556" s="1">
        <v>1</v>
      </c>
      <c r="AJ1556" s="1" t="s">
        <v>2670</v>
      </c>
      <c r="AK1556" s="1" t="s">
        <v>3494</v>
      </c>
      <c r="AL1556" s="1" t="s">
        <v>228</v>
      </c>
      <c r="AN1556" s="22" t="s">
        <v>9767</v>
      </c>
      <c r="AR1556" s="1">
        <v>4</v>
      </c>
      <c r="AX1556" s="1">
        <v>1</v>
      </c>
      <c r="AZ1556" s="1">
        <v>0.1</v>
      </c>
      <c r="BG1556" s="1" t="s">
        <v>2668</v>
      </c>
      <c r="BM1556" s="1" t="s">
        <v>2671</v>
      </c>
      <c r="BN1556" s="1" t="s">
        <v>2672</v>
      </c>
      <c r="BQ1556" s="1" t="s">
        <v>207</v>
      </c>
      <c r="BR1556" s="1" t="s">
        <v>208</v>
      </c>
      <c r="BS1556" s="1" t="s">
        <v>229</v>
      </c>
      <c r="BT1556" s="1" t="s">
        <v>210</v>
      </c>
      <c r="BX1556" s="1">
        <v>1</v>
      </c>
    </row>
    <row r="1557" spans="1:76" x14ac:dyDescent="0.25">
      <c r="A1557" s="1" t="s">
        <v>2673</v>
      </c>
      <c r="B1557" s="1" t="s">
        <v>203</v>
      </c>
      <c r="C1557" s="1">
        <v>1</v>
      </c>
      <c r="D1557" s="1" t="s">
        <v>2674</v>
      </c>
      <c r="E1557" s="1">
        <v>2012</v>
      </c>
      <c r="F1557" s="1" t="s">
        <v>2673</v>
      </c>
      <c r="G1557" s="1">
        <v>1</v>
      </c>
      <c r="L1557" s="1">
        <v>4000</v>
      </c>
      <c r="N1557" s="1">
        <v>400</v>
      </c>
      <c r="P1557" s="1">
        <v>0</v>
      </c>
      <c r="R1557" s="1">
        <v>0</v>
      </c>
      <c r="Z1557" s="1">
        <v>0.05</v>
      </c>
      <c r="AA1557" s="1">
        <v>1</v>
      </c>
      <c r="AB1557" s="1">
        <v>0</v>
      </c>
      <c r="AC1557" s="1">
        <v>0.5</v>
      </c>
      <c r="AH1557" s="1">
        <v>0</v>
      </c>
      <c r="AI1557" s="1">
        <v>1</v>
      </c>
      <c r="AJ1557" s="1" t="s">
        <v>2675</v>
      </c>
      <c r="AK1557" s="1" t="s">
        <v>5745</v>
      </c>
      <c r="AL1557" s="1" t="s">
        <v>228</v>
      </c>
      <c r="AN1557" s="22" t="s">
        <v>9767</v>
      </c>
      <c r="AP1557" s="1">
        <v>1</v>
      </c>
      <c r="AX1557" s="1">
        <v>1</v>
      </c>
      <c r="AZ1557" s="1">
        <v>0.1</v>
      </c>
      <c r="BG1557" s="1" t="s">
        <v>2673</v>
      </c>
      <c r="BM1557" s="1" t="s">
        <v>3410</v>
      </c>
      <c r="BN1557" s="1" t="s">
        <v>2676</v>
      </c>
      <c r="BQ1557" s="1" t="s">
        <v>207</v>
      </c>
      <c r="BR1557" s="1" t="s">
        <v>208</v>
      </c>
      <c r="BS1557" s="1" t="s">
        <v>229</v>
      </c>
      <c r="BT1557" s="1" t="s">
        <v>210</v>
      </c>
      <c r="BX1557" s="1">
        <v>1</v>
      </c>
    </row>
    <row r="1558" spans="1:76" x14ac:dyDescent="0.25">
      <c r="A1558" s="1" t="s">
        <v>2677</v>
      </c>
      <c r="B1558" s="1" t="s">
        <v>203</v>
      </c>
      <c r="C1558" s="1">
        <v>1</v>
      </c>
      <c r="D1558" s="1" t="s">
        <v>2678</v>
      </c>
      <c r="E1558" s="1">
        <v>2013</v>
      </c>
      <c r="F1558" s="1" t="s">
        <v>2677</v>
      </c>
      <c r="G1558" s="1">
        <v>1</v>
      </c>
      <c r="L1558" s="1">
        <v>40000</v>
      </c>
      <c r="N1558" s="1">
        <v>900</v>
      </c>
      <c r="P1558" s="1">
        <v>800</v>
      </c>
      <c r="R1558" s="1">
        <v>50</v>
      </c>
      <c r="Z1558" s="1">
        <v>0.05</v>
      </c>
      <c r="AA1558" s="1">
        <v>1.5</v>
      </c>
      <c r="AB1558" s="1">
        <v>4</v>
      </c>
      <c r="AC1558" s="1">
        <v>0.5</v>
      </c>
      <c r="AH1558" s="1">
        <v>0</v>
      </c>
      <c r="AI1558" s="1">
        <v>1</v>
      </c>
      <c r="AJ1558" s="1" t="s">
        <v>2679</v>
      </c>
      <c r="AK1558" s="1" t="s">
        <v>206</v>
      </c>
      <c r="AL1558" s="1" t="s">
        <v>228</v>
      </c>
      <c r="AN1558" s="22" t="s">
        <v>9767</v>
      </c>
      <c r="AX1558" s="1">
        <v>1</v>
      </c>
      <c r="AZ1558" s="1">
        <v>0.1</v>
      </c>
      <c r="BG1558" s="1" t="s">
        <v>2677</v>
      </c>
      <c r="BM1558" s="1" t="s">
        <v>1748</v>
      </c>
      <c r="BN1558" s="1" t="s">
        <v>2680</v>
      </c>
      <c r="BQ1558" s="1" t="s">
        <v>207</v>
      </c>
      <c r="BR1558" s="1" t="s">
        <v>271</v>
      </c>
      <c r="BS1558" s="1" t="s">
        <v>229</v>
      </c>
      <c r="BT1558" s="1" t="s">
        <v>210</v>
      </c>
      <c r="BX1558" s="1">
        <v>1</v>
      </c>
    </row>
    <row r="1559" spans="1:76" x14ac:dyDescent="0.25">
      <c r="A1559" s="1" t="s">
        <v>2681</v>
      </c>
      <c r="B1559" s="1" t="s">
        <v>203</v>
      </c>
      <c r="C1559" s="1">
        <v>1</v>
      </c>
      <c r="D1559" s="1" t="s">
        <v>2682</v>
      </c>
      <c r="E1559" s="1">
        <v>2014</v>
      </c>
      <c r="F1559" s="1" t="s">
        <v>2681</v>
      </c>
      <c r="G1559" s="1">
        <v>1</v>
      </c>
      <c r="L1559" s="1">
        <v>40000</v>
      </c>
      <c r="N1559" s="1">
        <v>700</v>
      </c>
      <c r="P1559" s="1">
        <v>300</v>
      </c>
      <c r="R1559" s="1">
        <v>30</v>
      </c>
      <c r="Z1559" s="1">
        <v>0.05</v>
      </c>
      <c r="AA1559" s="1">
        <v>4</v>
      </c>
      <c r="AB1559" s="1">
        <v>4</v>
      </c>
      <c r="AC1559" s="1">
        <v>0.6</v>
      </c>
      <c r="AH1559" s="1">
        <v>0</v>
      </c>
      <c r="AI1559" s="1">
        <v>1</v>
      </c>
      <c r="AJ1559" s="1" t="s">
        <v>2683</v>
      </c>
      <c r="AK1559" s="1" t="s">
        <v>5741</v>
      </c>
      <c r="AL1559" s="1" t="s">
        <v>228</v>
      </c>
      <c r="AN1559" s="22" t="s">
        <v>9767</v>
      </c>
      <c r="AX1559" s="1">
        <v>5</v>
      </c>
      <c r="AZ1559" s="1">
        <v>0.1</v>
      </c>
      <c r="BG1559" s="1" t="s">
        <v>2681</v>
      </c>
      <c r="BM1559" s="1" t="s">
        <v>5746</v>
      </c>
      <c r="BN1559" s="1" t="s">
        <v>2684</v>
      </c>
      <c r="BQ1559" s="1" t="s">
        <v>5747</v>
      </c>
      <c r="BR1559" s="1" t="s">
        <v>2341</v>
      </c>
      <c r="BS1559" s="1" t="s">
        <v>2342</v>
      </c>
      <c r="BT1559" s="1" t="s">
        <v>5748</v>
      </c>
      <c r="BX1559" s="1">
        <v>1</v>
      </c>
    </row>
    <row r="1560" spans="1:76" x14ac:dyDescent="0.25">
      <c r="A1560" s="1" t="s">
        <v>2685</v>
      </c>
      <c r="B1560" s="1" t="s">
        <v>203</v>
      </c>
      <c r="C1560" s="1">
        <v>1</v>
      </c>
      <c r="D1560" s="1" t="s">
        <v>2686</v>
      </c>
      <c r="E1560" s="1">
        <v>2015</v>
      </c>
      <c r="F1560" s="1" t="s">
        <v>2685</v>
      </c>
      <c r="G1560" s="1">
        <v>1</v>
      </c>
      <c r="L1560" s="1">
        <v>60000</v>
      </c>
      <c r="N1560" s="1">
        <v>1200</v>
      </c>
      <c r="P1560" s="1">
        <v>300</v>
      </c>
      <c r="R1560" s="1">
        <v>30</v>
      </c>
      <c r="Z1560" s="1">
        <v>0.05</v>
      </c>
      <c r="AA1560" s="1">
        <v>6</v>
      </c>
      <c r="AB1560" s="1">
        <v>4</v>
      </c>
      <c r="AC1560" s="1">
        <v>0.6</v>
      </c>
      <c r="AH1560" s="1">
        <v>0</v>
      </c>
      <c r="AI1560" s="1">
        <v>1</v>
      </c>
      <c r="AJ1560" s="1" t="s">
        <v>2687</v>
      </c>
      <c r="AK1560" s="1" t="s">
        <v>5741</v>
      </c>
      <c r="AL1560" s="1" t="s">
        <v>228</v>
      </c>
      <c r="AN1560" s="22" t="s">
        <v>9767</v>
      </c>
      <c r="AX1560" s="1">
        <v>5</v>
      </c>
      <c r="AZ1560" s="1">
        <v>0.1</v>
      </c>
      <c r="BG1560" s="1" t="s">
        <v>2685</v>
      </c>
      <c r="BM1560" s="1" t="s">
        <v>5749</v>
      </c>
      <c r="BN1560" s="1" t="s">
        <v>2688</v>
      </c>
      <c r="BQ1560" s="1" t="s">
        <v>207</v>
      </c>
      <c r="BR1560" s="1" t="s">
        <v>208</v>
      </c>
      <c r="BS1560" s="1" t="s">
        <v>229</v>
      </c>
      <c r="BT1560" s="1" t="s">
        <v>210</v>
      </c>
      <c r="BX1560" s="1">
        <v>1</v>
      </c>
    </row>
    <row r="1561" spans="1:76" x14ac:dyDescent="0.25">
      <c r="A1561" s="1" t="s">
        <v>2689</v>
      </c>
      <c r="B1561" s="1" t="s">
        <v>203</v>
      </c>
      <c r="C1561" s="1">
        <v>1</v>
      </c>
      <c r="D1561" s="1" t="s">
        <v>2690</v>
      </c>
      <c r="E1561" s="1">
        <v>2016</v>
      </c>
      <c r="F1561" s="1" t="s">
        <v>2689</v>
      </c>
      <c r="G1561" s="1">
        <v>1</v>
      </c>
      <c r="L1561" s="1">
        <v>80000</v>
      </c>
      <c r="N1561" s="1">
        <v>1500</v>
      </c>
      <c r="P1561" s="1">
        <v>600</v>
      </c>
      <c r="R1561" s="1">
        <v>40</v>
      </c>
      <c r="Z1561" s="1">
        <v>0.05</v>
      </c>
      <c r="AA1561" s="1">
        <v>3</v>
      </c>
      <c r="AB1561" s="1">
        <v>6</v>
      </c>
      <c r="AC1561" s="1">
        <v>0.6</v>
      </c>
      <c r="AH1561" s="1">
        <v>0</v>
      </c>
      <c r="AI1561" s="1">
        <v>1</v>
      </c>
      <c r="AJ1561" s="1" t="s">
        <v>2691</v>
      </c>
      <c r="AK1561" s="1" t="s">
        <v>3507</v>
      </c>
      <c r="AL1561" s="1" t="s">
        <v>228</v>
      </c>
      <c r="AN1561" s="22" t="s">
        <v>9767</v>
      </c>
      <c r="AX1561" s="1">
        <v>30</v>
      </c>
      <c r="AZ1561" s="1">
        <v>0.1</v>
      </c>
      <c r="BG1561" s="1" t="s">
        <v>2689</v>
      </c>
      <c r="BM1561" s="1" t="s">
        <v>996</v>
      </c>
      <c r="BN1561" s="1" t="s">
        <v>2692</v>
      </c>
      <c r="BQ1561" s="1" t="s">
        <v>207</v>
      </c>
      <c r="BR1561" s="1" t="s">
        <v>208</v>
      </c>
      <c r="BS1561" s="1" t="s">
        <v>229</v>
      </c>
      <c r="BT1561" s="1" t="s">
        <v>210</v>
      </c>
      <c r="BX1561" s="1">
        <v>1</v>
      </c>
    </row>
    <row r="1562" spans="1:76" x14ac:dyDescent="0.25">
      <c r="A1562" s="1" t="s">
        <v>2693</v>
      </c>
      <c r="B1562" s="1" t="s">
        <v>203</v>
      </c>
      <c r="C1562" s="1">
        <v>1</v>
      </c>
      <c r="D1562" s="1" t="s">
        <v>2694</v>
      </c>
      <c r="E1562" s="1">
        <v>2017</v>
      </c>
      <c r="F1562" s="1" t="s">
        <v>2693</v>
      </c>
      <c r="G1562" s="1">
        <v>1</v>
      </c>
      <c r="L1562" s="1">
        <v>10000</v>
      </c>
      <c r="N1562" s="1">
        <v>750</v>
      </c>
      <c r="P1562" s="1">
        <v>400</v>
      </c>
      <c r="R1562" s="1">
        <v>20</v>
      </c>
      <c r="Z1562" s="1">
        <v>0.05</v>
      </c>
      <c r="AA1562" s="1">
        <v>3</v>
      </c>
      <c r="AB1562" s="1">
        <v>2</v>
      </c>
      <c r="AC1562" s="1">
        <v>0.6</v>
      </c>
      <c r="AH1562" s="1">
        <v>0</v>
      </c>
      <c r="AI1562" s="1">
        <v>1</v>
      </c>
      <c r="AJ1562" s="1" t="s">
        <v>2695</v>
      </c>
      <c r="AK1562" s="1" t="s">
        <v>4596</v>
      </c>
      <c r="AL1562" s="1" t="s">
        <v>228</v>
      </c>
      <c r="AN1562" s="22" t="s">
        <v>9767</v>
      </c>
      <c r="AX1562" s="1">
        <v>1</v>
      </c>
      <c r="AZ1562" s="1">
        <v>0.1</v>
      </c>
      <c r="BG1562" s="1" t="s">
        <v>2693</v>
      </c>
      <c r="BM1562" s="1" t="s">
        <v>989</v>
      </c>
      <c r="BN1562" s="1" t="s">
        <v>2696</v>
      </c>
      <c r="BQ1562" s="1" t="s">
        <v>207</v>
      </c>
      <c r="BR1562" s="1" t="s">
        <v>208</v>
      </c>
      <c r="BS1562" s="1" t="s">
        <v>229</v>
      </c>
      <c r="BT1562" s="1" t="s">
        <v>210</v>
      </c>
      <c r="BX1562" s="1">
        <v>1</v>
      </c>
    </row>
    <row r="1563" spans="1:76" x14ac:dyDescent="0.25">
      <c r="A1563" s="1" t="s">
        <v>2697</v>
      </c>
      <c r="B1563" s="1" t="s">
        <v>203</v>
      </c>
      <c r="C1563" s="1">
        <v>1</v>
      </c>
      <c r="D1563" s="1" t="s">
        <v>2698</v>
      </c>
      <c r="E1563" s="1">
        <v>2018</v>
      </c>
      <c r="F1563" s="1" t="s">
        <v>2697</v>
      </c>
      <c r="G1563" s="1">
        <v>1</v>
      </c>
      <c r="L1563" s="1">
        <v>300000</v>
      </c>
      <c r="N1563" s="1">
        <v>800</v>
      </c>
      <c r="P1563" s="1">
        <v>700</v>
      </c>
      <c r="R1563" s="1">
        <v>60</v>
      </c>
      <c r="Z1563" s="1">
        <v>0.05</v>
      </c>
      <c r="AA1563" s="1">
        <v>4</v>
      </c>
      <c r="AB1563" s="1">
        <v>10</v>
      </c>
      <c r="AC1563" s="1">
        <v>1</v>
      </c>
      <c r="AH1563" s="1">
        <v>0</v>
      </c>
      <c r="AI1563" s="1">
        <v>1</v>
      </c>
      <c r="AJ1563" s="1" t="s">
        <v>2699</v>
      </c>
      <c r="AK1563" s="1" t="s">
        <v>3494</v>
      </c>
      <c r="AL1563" s="1" t="s">
        <v>228</v>
      </c>
      <c r="AN1563" s="22" t="s">
        <v>9767</v>
      </c>
      <c r="AX1563" s="1">
        <v>30</v>
      </c>
      <c r="AZ1563" s="1">
        <v>0.1</v>
      </c>
      <c r="BA1563" s="1" t="s">
        <v>5750</v>
      </c>
      <c r="BG1563" s="1" t="s">
        <v>2697</v>
      </c>
      <c r="BM1563" s="1" t="s">
        <v>3130</v>
      </c>
      <c r="BN1563" s="1" t="s">
        <v>2700</v>
      </c>
      <c r="BQ1563" s="1" t="s">
        <v>207</v>
      </c>
      <c r="BR1563" s="1" t="s">
        <v>208</v>
      </c>
      <c r="BS1563" s="1" t="s">
        <v>208</v>
      </c>
      <c r="BT1563" s="1" t="s">
        <v>210</v>
      </c>
      <c r="BX1563" s="1">
        <v>1</v>
      </c>
    </row>
    <row r="1564" spans="1:76" x14ac:dyDescent="0.25">
      <c r="A1564" s="1" t="s">
        <v>2701</v>
      </c>
      <c r="B1564" s="1" t="s">
        <v>203</v>
      </c>
      <c r="C1564" s="1">
        <v>1</v>
      </c>
      <c r="D1564" s="1" t="s">
        <v>2702</v>
      </c>
      <c r="E1564" s="1">
        <v>2019</v>
      </c>
      <c r="F1564" s="1" t="s">
        <v>2701</v>
      </c>
      <c r="G1564" s="1">
        <v>1</v>
      </c>
      <c r="L1564" s="1">
        <v>100000</v>
      </c>
      <c r="N1564" s="1">
        <v>1000</v>
      </c>
      <c r="P1564" s="1">
        <v>0</v>
      </c>
      <c r="R1564" s="1">
        <v>0</v>
      </c>
      <c r="Z1564" s="1">
        <v>0.05</v>
      </c>
      <c r="AA1564" s="1">
        <v>4</v>
      </c>
      <c r="AB1564" s="1">
        <v>7</v>
      </c>
      <c r="AC1564" s="1">
        <v>0.5</v>
      </c>
      <c r="AH1564" s="1">
        <v>0</v>
      </c>
      <c r="AI1564" s="1">
        <v>1</v>
      </c>
      <c r="AJ1564" s="1" t="s">
        <v>2703</v>
      </c>
      <c r="AK1564" s="1" t="s">
        <v>3391</v>
      </c>
      <c r="AL1564" s="1" t="s">
        <v>228</v>
      </c>
      <c r="AN1564" s="22" t="s">
        <v>9767</v>
      </c>
      <c r="AX1564" s="1">
        <v>30</v>
      </c>
      <c r="AZ1564" s="1">
        <v>0.1</v>
      </c>
      <c r="BG1564" s="1" t="s">
        <v>2701</v>
      </c>
      <c r="BM1564" s="1" t="s">
        <v>5751</v>
      </c>
      <c r="BN1564" s="1" t="s">
        <v>2704</v>
      </c>
      <c r="BQ1564" s="1" t="s">
        <v>207</v>
      </c>
      <c r="BR1564" s="1" t="s">
        <v>208</v>
      </c>
      <c r="BS1564" s="1" t="s">
        <v>229</v>
      </c>
      <c r="BT1564" s="1" t="s">
        <v>210</v>
      </c>
      <c r="BX1564" s="1">
        <v>1</v>
      </c>
    </row>
    <row r="1565" spans="1:76" x14ac:dyDescent="0.25">
      <c r="A1565" s="1" t="s">
        <v>5752</v>
      </c>
      <c r="B1565" s="1" t="s">
        <v>203</v>
      </c>
      <c r="C1565" s="1">
        <v>1</v>
      </c>
      <c r="D1565" s="1" t="s">
        <v>5753</v>
      </c>
      <c r="E1565" s="1" t="s">
        <v>5754</v>
      </c>
      <c r="F1565" s="1" t="s">
        <v>5752</v>
      </c>
      <c r="G1565" s="1">
        <v>1</v>
      </c>
      <c r="L1565" s="1">
        <v>80000</v>
      </c>
      <c r="N1565" s="1">
        <v>800</v>
      </c>
      <c r="P1565" s="1">
        <v>1000</v>
      </c>
      <c r="R1565" s="1">
        <v>50</v>
      </c>
      <c r="Z1565" s="1">
        <v>0.05</v>
      </c>
      <c r="AA1565" s="1">
        <v>4</v>
      </c>
      <c r="AB1565" s="1">
        <v>7</v>
      </c>
      <c r="AC1565" s="1">
        <v>0.6</v>
      </c>
      <c r="AH1565" s="1">
        <v>0</v>
      </c>
      <c r="AI1565" s="1">
        <v>1</v>
      </c>
      <c r="AJ1565" s="1" t="s">
        <v>5755</v>
      </c>
      <c r="AK1565" s="1" t="s">
        <v>5756</v>
      </c>
      <c r="AL1565" s="1" t="s">
        <v>228</v>
      </c>
      <c r="AN1565" s="22" t="s">
        <v>9767</v>
      </c>
      <c r="AX1565" s="1">
        <v>30</v>
      </c>
      <c r="AZ1565" s="1">
        <v>0.1</v>
      </c>
      <c r="BG1565" s="1" t="s">
        <v>5752</v>
      </c>
      <c r="BM1565" s="1" t="s">
        <v>1328</v>
      </c>
      <c r="BN1565" s="1" t="s">
        <v>5757</v>
      </c>
      <c r="BQ1565" s="1" t="s">
        <v>207</v>
      </c>
      <c r="BR1565" s="1" t="s">
        <v>208</v>
      </c>
      <c r="BS1565" s="1" t="s">
        <v>229</v>
      </c>
      <c r="BT1565" s="1" t="s">
        <v>210</v>
      </c>
      <c r="BX1565" s="1">
        <v>1</v>
      </c>
    </row>
    <row r="1566" spans="1:76" x14ac:dyDescent="0.25">
      <c r="A1566" s="1" t="s">
        <v>5758</v>
      </c>
      <c r="B1566" s="1" t="s">
        <v>203</v>
      </c>
      <c r="C1566" s="1">
        <v>1</v>
      </c>
      <c r="D1566" s="1" t="s">
        <v>5759</v>
      </c>
      <c r="E1566" s="1">
        <v>2021</v>
      </c>
      <c r="F1566" s="1" t="s">
        <v>5758</v>
      </c>
      <c r="G1566" s="1">
        <v>1</v>
      </c>
      <c r="L1566" s="1">
        <v>4000</v>
      </c>
      <c r="N1566" s="1">
        <v>250</v>
      </c>
      <c r="P1566" s="1">
        <v>150</v>
      </c>
      <c r="R1566" s="1">
        <v>10</v>
      </c>
      <c r="Z1566" s="1">
        <v>0.05</v>
      </c>
      <c r="AA1566" s="1">
        <v>2</v>
      </c>
      <c r="AB1566" s="1">
        <v>1</v>
      </c>
      <c r="AC1566" s="1">
        <v>1.2</v>
      </c>
      <c r="AH1566" s="1">
        <v>0</v>
      </c>
      <c r="AI1566" s="1">
        <v>1</v>
      </c>
      <c r="AJ1566" s="1" t="s">
        <v>5760</v>
      </c>
      <c r="AK1566" s="1" t="s">
        <v>265</v>
      </c>
      <c r="AL1566" s="1" t="s">
        <v>228</v>
      </c>
      <c r="AN1566" s="22" t="s">
        <v>9767</v>
      </c>
      <c r="AX1566" s="1">
        <v>1</v>
      </c>
      <c r="AZ1566" s="1">
        <v>0.1</v>
      </c>
      <c r="BG1566" s="1" t="s">
        <v>5758</v>
      </c>
      <c r="BM1566" s="1" t="s">
        <v>2250</v>
      </c>
      <c r="BQ1566" s="1" t="s">
        <v>207</v>
      </c>
      <c r="BR1566" s="1" t="s">
        <v>208</v>
      </c>
      <c r="BS1566" s="1" t="s">
        <v>229</v>
      </c>
      <c r="BT1566" s="1" t="s">
        <v>210</v>
      </c>
      <c r="BX1566" s="1">
        <v>1</v>
      </c>
    </row>
    <row r="1567" spans="1:76" x14ac:dyDescent="0.25">
      <c r="A1567" s="1" t="s">
        <v>5761</v>
      </c>
      <c r="B1567" s="1" t="s">
        <v>203</v>
      </c>
      <c r="C1567" s="1">
        <v>1</v>
      </c>
      <c r="D1567" s="1" t="s">
        <v>5762</v>
      </c>
      <c r="E1567" s="1">
        <v>2021</v>
      </c>
      <c r="F1567" s="1" t="s">
        <v>5761</v>
      </c>
      <c r="G1567" s="1">
        <v>1</v>
      </c>
      <c r="L1567" s="1">
        <v>5000</v>
      </c>
      <c r="N1567" s="1">
        <v>350</v>
      </c>
      <c r="P1567" s="1">
        <v>200</v>
      </c>
      <c r="R1567" s="1">
        <v>10</v>
      </c>
      <c r="Z1567" s="1">
        <v>0.05</v>
      </c>
      <c r="AA1567" s="1">
        <v>2</v>
      </c>
      <c r="AB1567" s="1">
        <v>1</v>
      </c>
      <c r="AC1567" s="1">
        <v>1.2</v>
      </c>
      <c r="AH1567" s="1">
        <v>0</v>
      </c>
      <c r="AI1567" s="1">
        <v>1</v>
      </c>
      <c r="AJ1567" s="1" t="s">
        <v>5763</v>
      </c>
      <c r="AK1567" s="1" t="s">
        <v>265</v>
      </c>
      <c r="AL1567" s="1" t="s">
        <v>228</v>
      </c>
      <c r="AN1567" s="22" t="s">
        <v>9767</v>
      </c>
      <c r="AX1567" s="1">
        <v>1</v>
      </c>
      <c r="AZ1567" s="1">
        <v>0.1</v>
      </c>
      <c r="BG1567" s="1" t="s">
        <v>5761</v>
      </c>
      <c r="BM1567" s="1" t="s">
        <v>2250</v>
      </c>
      <c r="BQ1567" s="1" t="s">
        <v>207</v>
      </c>
      <c r="BR1567" s="1" t="s">
        <v>208</v>
      </c>
      <c r="BS1567" s="1" t="s">
        <v>229</v>
      </c>
      <c r="BT1567" s="1" t="s">
        <v>210</v>
      </c>
      <c r="BX1567" s="1">
        <v>1</v>
      </c>
    </row>
    <row r="1568" spans="1:76" x14ac:dyDescent="0.25">
      <c r="A1568" s="1" t="s">
        <v>5764</v>
      </c>
      <c r="B1568" s="1" t="s">
        <v>203</v>
      </c>
      <c r="C1568" s="1">
        <v>1</v>
      </c>
      <c r="D1568" s="1" t="s">
        <v>5765</v>
      </c>
      <c r="E1568" s="1">
        <v>2022</v>
      </c>
      <c r="F1568" s="1" t="s">
        <v>5764</v>
      </c>
      <c r="G1568" s="1">
        <v>1</v>
      </c>
      <c r="L1568" s="1">
        <v>6000</v>
      </c>
      <c r="N1568" s="1">
        <v>300</v>
      </c>
      <c r="P1568" s="1">
        <v>200</v>
      </c>
      <c r="R1568" s="1">
        <v>10</v>
      </c>
      <c r="Z1568" s="1">
        <v>0.05</v>
      </c>
      <c r="AA1568" s="1">
        <v>2.5</v>
      </c>
      <c r="AB1568" s="1">
        <v>2</v>
      </c>
      <c r="AC1568" s="1">
        <v>0.9</v>
      </c>
      <c r="AH1568" s="1">
        <v>0</v>
      </c>
      <c r="AI1568" s="1">
        <v>1</v>
      </c>
      <c r="AJ1568" s="1" t="s">
        <v>5766</v>
      </c>
      <c r="AK1568" s="1" t="s">
        <v>265</v>
      </c>
      <c r="AL1568" s="1" t="s">
        <v>228</v>
      </c>
      <c r="AN1568" s="22" t="s">
        <v>9767</v>
      </c>
      <c r="AX1568" s="1">
        <v>1</v>
      </c>
      <c r="AZ1568" s="1">
        <v>0.1</v>
      </c>
      <c r="BG1568" s="1" t="s">
        <v>5764</v>
      </c>
      <c r="BM1568" s="1" t="s">
        <v>2269</v>
      </c>
      <c r="BQ1568" s="1" t="s">
        <v>207</v>
      </c>
      <c r="BR1568" s="1" t="s">
        <v>208</v>
      </c>
      <c r="BS1568" s="1" t="s">
        <v>229</v>
      </c>
      <c r="BT1568" s="1" t="s">
        <v>210</v>
      </c>
      <c r="BX1568" s="1">
        <v>1</v>
      </c>
    </row>
    <row r="1569" spans="1:76" x14ac:dyDescent="0.25">
      <c r="A1569" s="1" t="s">
        <v>5767</v>
      </c>
      <c r="B1569" s="1" t="s">
        <v>203</v>
      </c>
      <c r="C1569" s="1">
        <v>1</v>
      </c>
      <c r="D1569" s="1" t="s">
        <v>5768</v>
      </c>
      <c r="E1569" s="1">
        <v>2022</v>
      </c>
      <c r="F1569" s="1" t="s">
        <v>5767</v>
      </c>
      <c r="G1569" s="1">
        <v>1</v>
      </c>
      <c r="L1569" s="1">
        <v>7500</v>
      </c>
      <c r="N1569" s="1">
        <v>400</v>
      </c>
      <c r="P1569" s="1">
        <v>300</v>
      </c>
      <c r="R1569" s="1">
        <v>10</v>
      </c>
      <c r="Z1569" s="1">
        <v>0.05</v>
      </c>
      <c r="AA1569" s="1">
        <v>2.5</v>
      </c>
      <c r="AB1569" s="1">
        <v>2</v>
      </c>
      <c r="AC1569" s="1">
        <v>0.9</v>
      </c>
      <c r="AH1569" s="1">
        <v>0</v>
      </c>
      <c r="AI1569" s="1">
        <v>1</v>
      </c>
      <c r="AJ1569" s="1" t="s">
        <v>5769</v>
      </c>
      <c r="AK1569" s="1" t="s">
        <v>265</v>
      </c>
      <c r="AL1569" s="1" t="s">
        <v>228</v>
      </c>
      <c r="AN1569" s="22" t="s">
        <v>9767</v>
      </c>
      <c r="AX1569" s="1">
        <v>1</v>
      </c>
      <c r="AZ1569" s="1">
        <v>0.1</v>
      </c>
      <c r="BG1569" s="1" t="s">
        <v>5767</v>
      </c>
      <c r="BM1569" s="1" t="s">
        <v>2269</v>
      </c>
      <c r="BQ1569" s="1" t="s">
        <v>207</v>
      </c>
      <c r="BR1569" s="1" t="s">
        <v>208</v>
      </c>
      <c r="BS1569" s="1" t="s">
        <v>229</v>
      </c>
      <c r="BT1569" s="1" t="s">
        <v>210</v>
      </c>
      <c r="BX1569" s="1">
        <v>1</v>
      </c>
    </row>
    <row r="1570" spans="1:76" x14ac:dyDescent="0.25">
      <c r="A1570" s="1" t="s">
        <v>5770</v>
      </c>
      <c r="B1570" s="1" t="s">
        <v>203</v>
      </c>
      <c r="C1570" s="1">
        <v>1</v>
      </c>
      <c r="D1570" s="1" t="s">
        <v>5771</v>
      </c>
      <c r="E1570" s="1">
        <v>2023</v>
      </c>
      <c r="F1570" s="1" t="s">
        <v>5770</v>
      </c>
      <c r="G1570" s="1">
        <v>1</v>
      </c>
      <c r="L1570" s="1">
        <v>16000</v>
      </c>
      <c r="N1570" s="1">
        <v>600</v>
      </c>
      <c r="P1570" s="1">
        <v>600</v>
      </c>
      <c r="R1570" s="1">
        <v>10</v>
      </c>
      <c r="Z1570" s="1">
        <v>0.05</v>
      </c>
      <c r="AA1570" s="1">
        <v>8</v>
      </c>
      <c r="AB1570" s="1">
        <v>3</v>
      </c>
      <c r="AC1570" s="1">
        <v>0.4</v>
      </c>
      <c r="AH1570" s="1">
        <v>0</v>
      </c>
      <c r="AI1570" s="1">
        <v>1</v>
      </c>
      <c r="AJ1570" s="1" t="s">
        <v>5772</v>
      </c>
      <c r="AK1570" s="1" t="s">
        <v>265</v>
      </c>
      <c r="AL1570" s="1" t="s">
        <v>228</v>
      </c>
      <c r="AN1570" s="22" t="s">
        <v>9767</v>
      </c>
      <c r="AX1570" s="1">
        <v>1</v>
      </c>
      <c r="AZ1570" s="1">
        <v>0.1</v>
      </c>
      <c r="BG1570" s="1" t="s">
        <v>5770</v>
      </c>
      <c r="BM1570" s="1" t="s">
        <v>2307</v>
      </c>
      <c r="BQ1570" s="1" t="s">
        <v>207</v>
      </c>
      <c r="BR1570" s="1" t="s">
        <v>208</v>
      </c>
      <c r="BS1570" s="1" t="s">
        <v>229</v>
      </c>
      <c r="BT1570" s="1" t="s">
        <v>210</v>
      </c>
      <c r="BX1570" s="1">
        <v>1</v>
      </c>
    </row>
    <row r="1571" spans="1:76" x14ac:dyDescent="0.25">
      <c r="A1571" s="1" t="s">
        <v>5773</v>
      </c>
      <c r="B1571" s="1" t="s">
        <v>203</v>
      </c>
      <c r="C1571" s="1">
        <v>1</v>
      </c>
      <c r="D1571" s="1" t="s">
        <v>9714</v>
      </c>
      <c r="E1571" s="1">
        <v>2023</v>
      </c>
      <c r="F1571" s="1" t="s">
        <v>5773</v>
      </c>
      <c r="G1571" s="1">
        <v>1</v>
      </c>
      <c r="L1571" s="1">
        <v>20000</v>
      </c>
      <c r="N1571" s="1">
        <v>800</v>
      </c>
      <c r="P1571" s="1">
        <v>800</v>
      </c>
      <c r="R1571" s="1">
        <v>10</v>
      </c>
      <c r="Z1571" s="1">
        <v>0.05</v>
      </c>
      <c r="AA1571" s="1">
        <v>8</v>
      </c>
      <c r="AB1571" s="1">
        <v>3</v>
      </c>
      <c r="AC1571" s="1">
        <v>0.4</v>
      </c>
      <c r="AH1571" s="1">
        <v>0</v>
      </c>
      <c r="AI1571" s="1">
        <v>1</v>
      </c>
      <c r="AJ1571" s="1" t="s">
        <v>5774</v>
      </c>
      <c r="AK1571" s="1" t="s">
        <v>265</v>
      </c>
      <c r="AL1571" s="1" t="s">
        <v>228</v>
      </c>
      <c r="AN1571" s="22" t="s">
        <v>9767</v>
      </c>
      <c r="AX1571" s="1">
        <v>1</v>
      </c>
      <c r="AZ1571" s="1">
        <v>0.1</v>
      </c>
      <c r="BG1571" s="1" t="s">
        <v>5773</v>
      </c>
      <c r="BM1571" s="1" t="s">
        <v>2307</v>
      </c>
      <c r="BQ1571" s="1" t="s">
        <v>207</v>
      </c>
      <c r="BR1571" s="1" t="s">
        <v>208</v>
      </c>
      <c r="BS1571" s="1" t="s">
        <v>229</v>
      </c>
      <c r="BT1571" s="1" t="s">
        <v>210</v>
      </c>
      <c r="BX1571" s="1">
        <v>1</v>
      </c>
    </row>
    <row r="1572" spans="1:76" x14ac:dyDescent="0.25">
      <c r="A1572" s="1" t="s">
        <v>5775</v>
      </c>
      <c r="B1572" s="1" t="s">
        <v>203</v>
      </c>
      <c r="C1572" s="1">
        <v>1</v>
      </c>
      <c r="D1572" s="1" t="s">
        <v>5776</v>
      </c>
      <c r="E1572" s="1">
        <v>2024</v>
      </c>
      <c r="F1572" s="1" t="s">
        <v>5775</v>
      </c>
      <c r="G1572" s="1">
        <v>1</v>
      </c>
      <c r="L1572" s="1">
        <v>2400</v>
      </c>
      <c r="N1572" s="1">
        <v>200</v>
      </c>
      <c r="P1572" s="1">
        <v>150</v>
      </c>
      <c r="R1572" s="1">
        <v>0</v>
      </c>
      <c r="Z1572" s="1">
        <v>0.05</v>
      </c>
      <c r="AA1572" s="1">
        <v>1.6</v>
      </c>
      <c r="AB1572" s="1">
        <v>1</v>
      </c>
      <c r="AC1572" s="1">
        <v>0</v>
      </c>
      <c r="AH1572" s="1">
        <v>0</v>
      </c>
      <c r="AI1572" s="1">
        <v>1</v>
      </c>
      <c r="AJ1572" s="1" t="s">
        <v>5777</v>
      </c>
      <c r="AK1572" s="1" t="s">
        <v>265</v>
      </c>
      <c r="AL1572" s="1" t="s">
        <v>228</v>
      </c>
      <c r="AN1572" s="22" t="s">
        <v>9767</v>
      </c>
      <c r="AV1572" s="1">
        <v>-100</v>
      </c>
      <c r="AX1572" s="1">
        <v>1</v>
      </c>
      <c r="AZ1572" s="1">
        <v>0.1</v>
      </c>
      <c r="BG1572" s="1" t="s">
        <v>5775</v>
      </c>
      <c r="BM1572" s="1" t="s">
        <v>2269</v>
      </c>
      <c r="BQ1572" s="1" t="s">
        <v>207</v>
      </c>
      <c r="BR1572" s="1" t="s">
        <v>208</v>
      </c>
      <c r="BS1572" s="1" t="s">
        <v>208</v>
      </c>
      <c r="BT1572" s="1" t="s">
        <v>210</v>
      </c>
      <c r="BX1572" s="1">
        <v>1</v>
      </c>
    </row>
    <row r="1573" spans="1:76" x14ac:dyDescent="0.25">
      <c r="A1573" s="1" t="s">
        <v>5778</v>
      </c>
      <c r="B1573" s="1" t="s">
        <v>203</v>
      </c>
      <c r="C1573" s="1">
        <v>1</v>
      </c>
      <c r="D1573" s="1" t="s">
        <v>5779</v>
      </c>
      <c r="E1573" s="1">
        <v>2025</v>
      </c>
      <c r="F1573" s="1" t="s">
        <v>5778</v>
      </c>
      <c r="G1573" s="1">
        <v>1</v>
      </c>
      <c r="L1573" s="1">
        <v>20000</v>
      </c>
      <c r="N1573" s="1">
        <v>500</v>
      </c>
      <c r="P1573" s="1">
        <v>250</v>
      </c>
      <c r="R1573" s="1">
        <v>40</v>
      </c>
      <c r="Z1573" s="1">
        <v>0.05</v>
      </c>
      <c r="AA1573" s="1">
        <v>4</v>
      </c>
      <c r="AB1573" s="1">
        <v>4</v>
      </c>
      <c r="AC1573" s="1">
        <v>0.6</v>
      </c>
      <c r="AH1573" s="1">
        <v>0</v>
      </c>
      <c r="AI1573" s="1">
        <v>1</v>
      </c>
      <c r="AJ1573" s="1" t="s">
        <v>5780</v>
      </c>
      <c r="AK1573" s="1" t="s">
        <v>5781</v>
      </c>
      <c r="AL1573" s="1" t="s">
        <v>228</v>
      </c>
      <c r="AN1573" s="22" t="s">
        <v>9767</v>
      </c>
      <c r="AX1573" s="1">
        <v>1</v>
      </c>
      <c r="AZ1573" s="1">
        <v>0.1</v>
      </c>
      <c r="BG1573" s="1" t="s">
        <v>5778</v>
      </c>
      <c r="BM1573" s="1" t="s">
        <v>2307</v>
      </c>
      <c r="BQ1573" s="1" t="s">
        <v>5782</v>
      </c>
      <c r="BR1573" s="1" t="s">
        <v>5783</v>
      </c>
      <c r="BS1573" s="1" t="s">
        <v>1321</v>
      </c>
      <c r="BT1573" s="1" t="s">
        <v>3191</v>
      </c>
      <c r="BX1573" s="1">
        <v>1</v>
      </c>
    </row>
    <row r="1574" spans="1:76" x14ac:dyDescent="0.25">
      <c r="A1574" s="1" t="s">
        <v>5784</v>
      </c>
      <c r="B1574" s="1" t="s">
        <v>203</v>
      </c>
      <c r="C1574" s="1">
        <v>1</v>
      </c>
      <c r="D1574" s="1" t="s">
        <v>5785</v>
      </c>
      <c r="E1574" s="1">
        <v>2025</v>
      </c>
      <c r="F1574" s="1" t="s">
        <v>5784</v>
      </c>
      <c r="G1574" s="1">
        <v>1</v>
      </c>
      <c r="L1574" s="1">
        <v>25000</v>
      </c>
      <c r="N1574" s="1">
        <v>600</v>
      </c>
      <c r="P1574" s="1">
        <v>300</v>
      </c>
      <c r="R1574" s="1">
        <v>40</v>
      </c>
      <c r="Z1574" s="1">
        <v>0.05</v>
      </c>
      <c r="AA1574" s="1">
        <v>4</v>
      </c>
      <c r="AB1574" s="1">
        <v>4</v>
      </c>
      <c r="AC1574" s="1">
        <v>0.6</v>
      </c>
      <c r="AH1574" s="1">
        <v>0</v>
      </c>
      <c r="AI1574" s="1">
        <v>1</v>
      </c>
      <c r="AJ1574" s="1" t="s">
        <v>5786</v>
      </c>
      <c r="AK1574" s="1" t="s">
        <v>5781</v>
      </c>
      <c r="AL1574" s="1" t="s">
        <v>228</v>
      </c>
      <c r="AN1574" s="22" t="s">
        <v>9767</v>
      </c>
      <c r="AX1574" s="1">
        <v>1</v>
      </c>
      <c r="AZ1574" s="1">
        <v>0.1</v>
      </c>
      <c r="BG1574" s="1" t="s">
        <v>5784</v>
      </c>
      <c r="BM1574" s="1" t="s">
        <v>2307</v>
      </c>
      <c r="BQ1574" s="1" t="s">
        <v>5782</v>
      </c>
      <c r="BR1574" s="1" t="s">
        <v>5783</v>
      </c>
      <c r="BS1574" s="1" t="s">
        <v>1321</v>
      </c>
      <c r="BT1574" s="1" t="s">
        <v>3191</v>
      </c>
      <c r="BX1574" s="1">
        <v>1</v>
      </c>
    </row>
    <row r="1575" spans="1:76" x14ac:dyDescent="0.25">
      <c r="A1575" s="1" t="s">
        <v>5787</v>
      </c>
      <c r="B1575" s="1" t="s">
        <v>203</v>
      </c>
      <c r="C1575" s="1">
        <v>1</v>
      </c>
      <c r="D1575" s="1" t="s">
        <v>5788</v>
      </c>
      <c r="E1575" s="1">
        <v>2026</v>
      </c>
      <c r="F1575" s="1" t="s">
        <v>5787</v>
      </c>
      <c r="G1575" s="1">
        <v>1</v>
      </c>
      <c r="L1575" s="1">
        <v>50000</v>
      </c>
      <c r="N1575" s="1">
        <v>1200</v>
      </c>
      <c r="P1575" s="1">
        <v>400</v>
      </c>
      <c r="R1575" s="1">
        <v>20</v>
      </c>
      <c r="Z1575" s="1">
        <v>0.05</v>
      </c>
      <c r="AA1575" s="1">
        <v>4</v>
      </c>
      <c r="AB1575" s="1">
        <v>4</v>
      </c>
      <c r="AC1575" s="1">
        <v>0.5</v>
      </c>
      <c r="AH1575" s="1">
        <v>0</v>
      </c>
      <c r="AI1575" s="1">
        <v>1</v>
      </c>
      <c r="AJ1575" s="1" t="s">
        <v>5789</v>
      </c>
      <c r="AK1575" s="1" t="s">
        <v>5790</v>
      </c>
      <c r="AL1575" s="1" t="s">
        <v>228</v>
      </c>
      <c r="AN1575" s="22" t="s">
        <v>9767</v>
      </c>
      <c r="AO1575" s="22" t="s">
        <v>9771</v>
      </c>
      <c r="AX1575" s="1">
        <v>1</v>
      </c>
      <c r="AZ1575" s="1">
        <v>0.1</v>
      </c>
      <c r="BG1575" s="1" t="s">
        <v>5787</v>
      </c>
      <c r="BM1575" s="1" t="s">
        <v>1328</v>
      </c>
      <c r="BQ1575" s="1" t="s">
        <v>207</v>
      </c>
      <c r="BR1575" s="1" t="s">
        <v>208</v>
      </c>
      <c r="BS1575" s="1" t="s">
        <v>229</v>
      </c>
      <c r="BT1575" s="1" t="s">
        <v>210</v>
      </c>
      <c r="BX1575" s="1">
        <v>1</v>
      </c>
    </row>
    <row r="1576" spans="1:76" x14ac:dyDescent="0.25">
      <c r="A1576" s="1" t="s">
        <v>5791</v>
      </c>
      <c r="B1576" s="1" t="s">
        <v>203</v>
      </c>
      <c r="C1576" s="1">
        <v>1</v>
      </c>
      <c r="D1576" s="1" t="s">
        <v>5792</v>
      </c>
      <c r="E1576" s="1">
        <v>2027</v>
      </c>
      <c r="F1576" s="1" t="s">
        <v>5791</v>
      </c>
      <c r="G1576" s="1">
        <v>1</v>
      </c>
      <c r="L1576" s="1">
        <v>70000</v>
      </c>
      <c r="N1576" s="1">
        <v>2200</v>
      </c>
      <c r="P1576" s="1">
        <v>400</v>
      </c>
      <c r="R1576" s="1">
        <v>20</v>
      </c>
      <c r="Z1576" s="1">
        <v>0.05</v>
      </c>
      <c r="AA1576" s="1">
        <v>4</v>
      </c>
      <c r="AB1576" s="1">
        <v>4</v>
      </c>
      <c r="AC1576" s="1">
        <v>0.5</v>
      </c>
      <c r="AH1576" s="1">
        <v>0</v>
      </c>
      <c r="AI1576" s="1">
        <v>1</v>
      </c>
      <c r="AJ1576" s="1" t="s">
        <v>5793</v>
      </c>
      <c r="AK1576" s="1" t="s">
        <v>5790</v>
      </c>
      <c r="AL1576" s="1" t="s">
        <v>228</v>
      </c>
      <c r="AN1576" s="22" t="s">
        <v>9767</v>
      </c>
      <c r="AO1576" s="22" t="s">
        <v>9771</v>
      </c>
      <c r="AX1576" s="1">
        <v>1</v>
      </c>
      <c r="AZ1576" s="1">
        <v>0.1</v>
      </c>
      <c r="BG1576" s="1" t="s">
        <v>5791</v>
      </c>
      <c r="BM1576" s="1" t="s">
        <v>1328</v>
      </c>
      <c r="BQ1576" s="1" t="s">
        <v>207</v>
      </c>
      <c r="BR1576" s="1" t="s">
        <v>208</v>
      </c>
      <c r="BS1576" s="1" t="s">
        <v>229</v>
      </c>
      <c r="BT1576" s="1" t="s">
        <v>210</v>
      </c>
      <c r="BX1576" s="1">
        <v>1</v>
      </c>
    </row>
    <row r="1577" spans="1:76" x14ac:dyDescent="0.25">
      <c r="A1577" s="1" t="s">
        <v>5794</v>
      </c>
      <c r="B1577" s="1" t="s">
        <v>203</v>
      </c>
      <c r="C1577" s="1">
        <v>1</v>
      </c>
      <c r="D1577" s="1" t="s">
        <v>5795</v>
      </c>
      <c r="E1577" s="1">
        <v>2028</v>
      </c>
      <c r="F1577" s="1" t="s">
        <v>5794</v>
      </c>
      <c r="G1577" s="1">
        <v>1</v>
      </c>
      <c r="L1577" s="1">
        <v>40000</v>
      </c>
      <c r="N1577" s="1">
        <v>600</v>
      </c>
      <c r="P1577" s="1">
        <v>300</v>
      </c>
      <c r="R1577" s="1">
        <v>70</v>
      </c>
      <c r="Z1577" s="1">
        <v>0.05</v>
      </c>
      <c r="AA1577" s="1">
        <v>4.5</v>
      </c>
      <c r="AB1577" s="1">
        <v>3</v>
      </c>
      <c r="AC1577" s="1">
        <v>0.4</v>
      </c>
      <c r="AH1577" s="1">
        <v>0</v>
      </c>
      <c r="AI1577" s="1">
        <v>1</v>
      </c>
      <c r="AJ1577" s="1" t="s">
        <v>5796</v>
      </c>
      <c r="AK1577" s="1" t="s">
        <v>4596</v>
      </c>
      <c r="AL1577" s="1" t="s">
        <v>228</v>
      </c>
      <c r="AN1577" s="22" t="s">
        <v>9767</v>
      </c>
      <c r="AX1577" s="1">
        <v>1</v>
      </c>
      <c r="AZ1577" s="1">
        <v>0.1</v>
      </c>
      <c r="BG1577" s="1" t="s">
        <v>5794</v>
      </c>
      <c r="BM1577" s="1" t="s">
        <v>5797</v>
      </c>
      <c r="BQ1577" s="1" t="s">
        <v>207</v>
      </c>
      <c r="BR1577" s="1" t="s">
        <v>208</v>
      </c>
      <c r="BS1577" s="1" t="s">
        <v>229</v>
      </c>
      <c r="BT1577" s="1" t="s">
        <v>210</v>
      </c>
      <c r="BX1577" s="1">
        <v>1</v>
      </c>
    </row>
    <row r="1578" spans="1:76" x14ac:dyDescent="0.25">
      <c r="A1578" s="1" t="s">
        <v>5798</v>
      </c>
      <c r="B1578" s="1" t="s">
        <v>203</v>
      </c>
      <c r="C1578" s="1">
        <v>1</v>
      </c>
      <c r="D1578" s="1" t="s">
        <v>5799</v>
      </c>
      <c r="E1578" s="1">
        <v>2029</v>
      </c>
      <c r="F1578" s="1" t="s">
        <v>5798</v>
      </c>
      <c r="G1578" s="1">
        <v>1</v>
      </c>
      <c r="L1578" s="1">
        <v>8000</v>
      </c>
      <c r="N1578" s="1">
        <v>600</v>
      </c>
      <c r="P1578" s="1">
        <v>800</v>
      </c>
      <c r="R1578" s="1">
        <v>0</v>
      </c>
      <c r="Z1578" s="1">
        <v>0.05</v>
      </c>
      <c r="AA1578" s="1">
        <v>1.7</v>
      </c>
      <c r="AB1578" s="1">
        <v>1</v>
      </c>
      <c r="AC1578" s="1">
        <v>0.6</v>
      </c>
      <c r="AH1578" s="1">
        <v>0</v>
      </c>
      <c r="AI1578" s="1">
        <v>1</v>
      </c>
      <c r="AJ1578" s="1" t="s">
        <v>5800</v>
      </c>
      <c r="AK1578" s="1" t="s">
        <v>4596</v>
      </c>
      <c r="AL1578" s="1" t="s">
        <v>228</v>
      </c>
      <c r="AN1578" s="22" t="s">
        <v>9767</v>
      </c>
      <c r="AX1578" s="1">
        <v>1</v>
      </c>
      <c r="AZ1578" s="1">
        <v>0.1</v>
      </c>
      <c r="BG1578" s="1" t="s">
        <v>5798</v>
      </c>
      <c r="BM1578" s="1" t="s">
        <v>5801</v>
      </c>
      <c r="BQ1578" s="1" t="s">
        <v>207</v>
      </c>
      <c r="BR1578" s="1" t="s">
        <v>208</v>
      </c>
      <c r="BS1578" s="1" t="s">
        <v>229</v>
      </c>
      <c r="BT1578" s="1" t="s">
        <v>210</v>
      </c>
      <c r="BX1578" s="1">
        <v>1</v>
      </c>
    </row>
    <row r="1579" spans="1:76" x14ac:dyDescent="0.25">
      <c r="A1579" s="1" t="s">
        <v>5802</v>
      </c>
      <c r="B1579" s="1" t="s">
        <v>203</v>
      </c>
      <c r="C1579" s="1">
        <v>1</v>
      </c>
      <c r="D1579" s="1" t="s">
        <v>5803</v>
      </c>
      <c r="E1579" s="1">
        <v>2030</v>
      </c>
      <c r="F1579" s="1" t="s">
        <v>5802</v>
      </c>
      <c r="G1579" s="1">
        <v>1</v>
      </c>
      <c r="L1579" s="1">
        <v>5000</v>
      </c>
      <c r="N1579" s="1">
        <v>500</v>
      </c>
      <c r="P1579" s="1">
        <v>800</v>
      </c>
      <c r="R1579" s="1">
        <v>0</v>
      </c>
      <c r="Z1579" s="1">
        <v>0.05</v>
      </c>
      <c r="AA1579" s="1">
        <v>0.7</v>
      </c>
      <c r="AB1579" s="1">
        <v>1</v>
      </c>
      <c r="AC1579" s="1">
        <v>0.9</v>
      </c>
      <c r="AH1579" s="1">
        <v>0</v>
      </c>
      <c r="AI1579" s="1">
        <v>1</v>
      </c>
      <c r="AJ1579" s="1" t="s">
        <v>5804</v>
      </c>
      <c r="AK1579" s="1" t="s">
        <v>4596</v>
      </c>
      <c r="AL1579" s="1" t="s">
        <v>228</v>
      </c>
      <c r="AN1579" s="22" t="s">
        <v>9767</v>
      </c>
      <c r="AX1579" s="1">
        <v>1</v>
      </c>
      <c r="AZ1579" s="1">
        <v>0.1</v>
      </c>
      <c r="BG1579" s="1" t="s">
        <v>5802</v>
      </c>
      <c r="BM1579" s="1" t="s">
        <v>5801</v>
      </c>
      <c r="BQ1579" s="1" t="s">
        <v>207</v>
      </c>
      <c r="BR1579" s="1" t="s">
        <v>208</v>
      </c>
      <c r="BS1579" s="1" t="s">
        <v>229</v>
      </c>
      <c r="BT1579" s="1" t="s">
        <v>210</v>
      </c>
      <c r="BX1579" s="1">
        <v>1</v>
      </c>
    </row>
    <row r="1580" spans="1:76" x14ac:dyDescent="0.25">
      <c r="A1580" s="1" t="s">
        <v>5805</v>
      </c>
      <c r="B1580" s="1" t="s">
        <v>203</v>
      </c>
      <c r="C1580" s="1">
        <v>1</v>
      </c>
      <c r="D1580" s="1" t="s">
        <v>5806</v>
      </c>
      <c r="E1580" s="1">
        <v>2031</v>
      </c>
      <c r="F1580" s="1" t="s">
        <v>5805</v>
      </c>
      <c r="G1580" s="1">
        <v>1</v>
      </c>
      <c r="L1580" s="1">
        <v>35000</v>
      </c>
      <c r="N1580" s="1">
        <v>800</v>
      </c>
      <c r="P1580" s="1">
        <v>800</v>
      </c>
      <c r="R1580" s="1">
        <v>50</v>
      </c>
      <c r="Z1580" s="1">
        <v>0.05</v>
      </c>
      <c r="AA1580" s="1">
        <v>2.8</v>
      </c>
      <c r="AB1580" s="1">
        <v>4</v>
      </c>
      <c r="AC1580" s="1">
        <v>0.5</v>
      </c>
      <c r="AH1580" s="1">
        <v>1</v>
      </c>
      <c r="AI1580" s="1">
        <v>1</v>
      </c>
      <c r="AJ1580" s="1" t="s">
        <v>5807</v>
      </c>
      <c r="AK1580" s="1" t="s">
        <v>5790</v>
      </c>
      <c r="AL1580" s="1" t="s">
        <v>228</v>
      </c>
      <c r="AN1580" s="22" t="s">
        <v>9767</v>
      </c>
      <c r="AX1580" s="1">
        <v>1</v>
      </c>
      <c r="AZ1580" s="1">
        <v>0.1</v>
      </c>
      <c r="BG1580" s="1" t="s">
        <v>5805</v>
      </c>
      <c r="BM1580" s="1" t="s">
        <v>5808</v>
      </c>
      <c r="BQ1580" s="1" t="s">
        <v>207</v>
      </c>
      <c r="BR1580" s="1" t="s">
        <v>208</v>
      </c>
      <c r="BS1580" s="1" t="s">
        <v>229</v>
      </c>
      <c r="BT1580" s="1" t="s">
        <v>210</v>
      </c>
      <c r="BX1580" s="1">
        <v>1</v>
      </c>
    </row>
    <row r="1581" spans="1:76" x14ac:dyDescent="0.25">
      <c r="A1581" s="1" t="s">
        <v>5809</v>
      </c>
      <c r="B1581" s="1" t="s">
        <v>203</v>
      </c>
      <c r="C1581" s="1">
        <v>1</v>
      </c>
      <c r="D1581" s="1" t="s">
        <v>5810</v>
      </c>
      <c r="E1581" s="1">
        <v>2032</v>
      </c>
      <c r="F1581" s="1" t="s">
        <v>5809</v>
      </c>
      <c r="G1581" s="1">
        <v>1</v>
      </c>
      <c r="L1581" s="1">
        <v>70000</v>
      </c>
      <c r="N1581" s="1">
        <v>1000</v>
      </c>
      <c r="P1581" s="1">
        <v>800</v>
      </c>
      <c r="R1581" s="1">
        <v>50</v>
      </c>
      <c r="Z1581" s="1">
        <v>0.05</v>
      </c>
      <c r="AA1581" s="1">
        <v>5</v>
      </c>
      <c r="AB1581" s="1">
        <v>4</v>
      </c>
      <c r="AC1581" s="1">
        <v>0.5</v>
      </c>
      <c r="AH1581" s="1">
        <v>0</v>
      </c>
      <c r="AI1581" s="1">
        <v>1</v>
      </c>
      <c r="AJ1581" s="1" t="s">
        <v>5811</v>
      </c>
      <c r="AK1581" s="1" t="s">
        <v>5790</v>
      </c>
      <c r="AL1581" s="1" t="s">
        <v>228</v>
      </c>
      <c r="AN1581" s="22" t="s">
        <v>9767</v>
      </c>
      <c r="AX1581" s="1">
        <v>1</v>
      </c>
      <c r="AZ1581" s="1">
        <v>0.1</v>
      </c>
      <c r="BG1581" s="1" t="s">
        <v>5809</v>
      </c>
      <c r="BM1581" s="1" t="s">
        <v>5808</v>
      </c>
      <c r="BQ1581" s="1" t="s">
        <v>207</v>
      </c>
      <c r="BR1581" s="1" t="s">
        <v>208</v>
      </c>
      <c r="BS1581" s="1" t="s">
        <v>229</v>
      </c>
      <c r="BT1581" s="1" t="s">
        <v>210</v>
      </c>
      <c r="BX1581" s="1">
        <v>1</v>
      </c>
    </row>
    <row r="1582" spans="1:76" x14ac:dyDescent="0.25">
      <c r="A1582" s="1" t="s">
        <v>5812</v>
      </c>
      <c r="B1582" s="1" t="s">
        <v>203</v>
      </c>
      <c r="C1582" s="1">
        <v>1</v>
      </c>
      <c r="D1582" s="1" t="s">
        <v>5813</v>
      </c>
      <c r="E1582" s="1">
        <v>2033</v>
      </c>
      <c r="F1582" s="1" t="s">
        <v>5812</v>
      </c>
      <c r="G1582" s="1">
        <v>0.5</v>
      </c>
      <c r="L1582" s="1">
        <v>20000</v>
      </c>
      <c r="N1582" s="1">
        <v>600</v>
      </c>
      <c r="P1582" s="1">
        <v>100</v>
      </c>
      <c r="R1582" s="1">
        <v>10</v>
      </c>
      <c r="Z1582" s="1">
        <v>0.05</v>
      </c>
      <c r="AA1582" s="1">
        <v>3</v>
      </c>
      <c r="AB1582" s="1">
        <v>0</v>
      </c>
      <c r="AC1582" s="1">
        <v>0.4</v>
      </c>
      <c r="AH1582" s="1">
        <v>0</v>
      </c>
      <c r="AI1582" s="1">
        <v>1</v>
      </c>
      <c r="AJ1582" s="1" t="s">
        <v>5814</v>
      </c>
      <c r="AK1582" s="1" t="s">
        <v>5790</v>
      </c>
      <c r="AL1582" s="1" t="s">
        <v>228</v>
      </c>
      <c r="AN1582" s="22" t="s">
        <v>9767</v>
      </c>
      <c r="AX1582" s="1">
        <v>1</v>
      </c>
      <c r="AZ1582" s="1">
        <v>0.1</v>
      </c>
      <c r="BG1582" s="1" t="s">
        <v>5812</v>
      </c>
      <c r="BM1582" s="1" t="s">
        <v>5815</v>
      </c>
      <c r="BQ1582" s="1" t="s">
        <v>207</v>
      </c>
      <c r="BR1582" s="1" t="s">
        <v>208</v>
      </c>
      <c r="BS1582" s="1" t="s">
        <v>229</v>
      </c>
      <c r="BT1582" s="1" t="s">
        <v>210</v>
      </c>
      <c r="BX1582" s="1">
        <v>1</v>
      </c>
    </row>
    <row r="1583" spans="1:76" x14ac:dyDescent="0.25">
      <c r="A1583" s="1" t="s">
        <v>5816</v>
      </c>
      <c r="B1583" s="1" t="s">
        <v>203</v>
      </c>
      <c r="C1583" s="1">
        <v>1</v>
      </c>
      <c r="D1583" s="1" t="s">
        <v>5817</v>
      </c>
      <c r="E1583" s="1">
        <v>2034</v>
      </c>
      <c r="F1583" s="1" t="s">
        <v>5816</v>
      </c>
      <c r="G1583" s="1">
        <v>1</v>
      </c>
      <c r="L1583" s="1">
        <v>8000</v>
      </c>
      <c r="N1583" s="1">
        <v>300</v>
      </c>
      <c r="P1583" s="1">
        <v>150</v>
      </c>
      <c r="R1583" s="1">
        <v>20</v>
      </c>
      <c r="Z1583" s="1">
        <v>0.05</v>
      </c>
      <c r="AA1583" s="1">
        <v>2</v>
      </c>
      <c r="AB1583" s="1">
        <v>2</v>
      </c>
      <c r="AC1583" s="1">
        <v>0.8</v>
      </c>
      <c r="AH1583" s="1">
        <v>0</v>
      </c>
      <c r="AI1583" s="1">
        <v>1</v>
      </c>
      <c r="AJ1583" s="1" t="s">
        <v>5818</v>
      </c>
      <c r="AK1583" s="1" t="s">
        <v>5819</v>
      </c>
      <c r="AL1583" s="1" t="s">
        <v>228</v>
      </c>
      <c r="AN1583" s="22" t="s">
        <v>9767</v>
      </c>
      <c r="AX1583" s="1">
        <v>1</v>
      </c>
      <c r="AZ1583" s="1">
        <v>0.1</v>
      </c>
      <c r="BG1583" s="1" t="s">
        <v>5816</v>
      </c>
      <c r="BM1583" s="1" t="s">
        <v>989</v>
      </c>
      <c r="BQ1583" s="1" t="s">
        <v>207</v>
      </c>
      <c r="BR1583" s="1" t="s">
        <v>208</v>
      </c>
      <c r="BS1583" s="1" t="s">
        <v>229</v>
      </c>
      <c r="BT1583" s="1" t="s">
        <v>210</v>
      </c>
      <c r="BX1583" s="1">
        <v>1</v>
      </c>
    </row>
    <row r="1584" spans="1:76" x14ac:dyDescent="0.25">
      <c r="A1584" s="1" t="s">
        <v>5820</v>
      </c>
      <c r="B1584" s="1" t="s">
        <v>203</v>
      </c>
      <c r="C1584" s="1">
        <v>1</v>
      </c>
      <c r="D1584" s="1" t="s">
        <v>5821</v>
      </c>
      <c r="E1584" s="1">
        <v>2035</v>
      </c>
      <c r="F1584" s="1" t="s">
        <v>5820</v>
      </c>
      <c r="G1584" s="1">
        <v>1</v>
      </c>
      <c r="L1584" s="1">
        <v>10000</v>
      </c>
      <c r="N1584" s="1">
        <v>600</v>
      </c>
      <c r="P1584" s="1">
        <v>500</v>
      </c>
      <c r="R1584" s="1">
        <v>30</v>
      </c>
      <c r="Z1584" s="1">
        <v>0.05</v>
      </c>
      <c r="AA1584" s="1">
        <v>1.2</v>
      </c>
      <c r="AB1584" s="1">
        <v>3</v>
      </c>
      <c r="AC1584" s="1">
        <v>0.7</v>
      </c>
      <c r="AH1584" s="1">
        <v>0</v>
      </c>
      <c r="AI1584" s="1">
        <v>1</v>
      </c>
      <c r="AJ1584" s="1" t="s">
        <v>5822</v>
      </c>
      <c r="AK1584" s="1" t="s">
        <v>265</v>
      </c>
      <c r="AL1584" s="1" t="s">
        <v>228</v>
      </c>
      <c r="AN1584" s="22" t="s">
        <v>9767</v>
      </c>
      <c r="AX1584" s="1">
        <v>1</v>
      </c>
      <c r="AZ1584" s="1">
        <v>0.1</v>
      </c>
      <c r="BG1584" s="1" t="s">
        <v>5820</v>
      </c>
      <c r="BM1584" s="1" t="s">
        <v>2288</v>
      </c>
      <c r="BQ1584" s="1" t="s">
        <v>207</v>
      </c>
      <c r="BR1584" s="1" t="s">
        <v>208</v>
      </c>
      <c r="BS1584" s="1" t="s">
        <v>229</v>
      </c>
      <c r="BT1584" s="1" t="s">
        <v>210</v>
      </c>
      <c r="BX1584" s="1">
        <v>1</v>
      </c>
    </row>
    <row r="1585" spans="1:76" x14ac:dyDescent="0.25">
      <c r="A1585" s="1" t="s">
        <v>5823</v>
      </c>
      <c r="B1585" s="1" t="s">
        <v>203</v>
      </c>
      <c r="C1585" s="1">
        <v>1</v>
      </c>
      <c r="D1585" s="1" t="s">
        <v>5824</v>
      </c>
      <c r="E1585" s="1">
        <v>2036</v>
      </c>
      <c r="F1585" s="1" t="s">
        <v>5823</v>
      </c>
      <c r="G1585" s="1">
        <v>1</v>
      </c>
      <c r="L1585" s="1">
        <v>100000</v>
      </c>
      <c r="N1585" s="1">
        <v>0</v>
      </c>
      <c r="P1585" s="1">
        <v>4000</v>
      </c>
      <c r="R1585" s="1">
        <v>80</v>
      </c>
      <c r="Z1585" s="1">
        <v>0.05</v>
      </c>
      <c r="AA1585" s="1">
        <v>1</v>
      </c>
      <c r="AB1585" s="1">
        <v>5</v>
      </c>
      <c r="AC1585" s="1">
        <v>0.4</v>
      </c>
      <c r="AH1585" s="1">
        <v>0</v>
      </c>
      <c r="AI1585" s="1">
        <v>1</v>
      </c>
      <c r="AJ1585" s="1" t="s">
        <v>5825</v>
      </c>
      <c r="AK1585" s="1" t="s">
        <v>265</v>
      </c>
      <c r="AL1585" s="1" t="s">
        <v>228</v>
      </c>
      <c r="AN1585" s="22" t="s">
        <v>9767</v>
      </c>
      <c r="AX1585" s="1">
        <v>0</v>
      </c>
      <c r="AZ1585" s="1">
        <v>0.1</v>
      </c>
      <c r="BG1585" s="1" t="s">
        <v>5823</v>
      </c>
      <c r="BM1585" s="1" t="s">
        <v>3339</v>
      </c>
      <c r="BQ1585" s="1" t="s">
        <v>207</v>
      </c>
      <c r="BR1585" s="1" t="s">
        <v>208</v>
      </c>
      <c r="BS1585" s="1" t="s">
        <v>229</v>
      </c>
      <c r="BT1585" s="1" t="s">
        <v>624</v>
      </c>
      <c r="BX1585" s="1">
        <v>1</v>
      </c>
    </row>
    <row r="1586" spans="1:76" x14ac:dyDescent="0.25">
      <c r="A1586" s="1" t="s">
        <v>5826</v>
      </c>
      <c r="B1586" s="1" t="s">
        <v>203</v>
      </c>
      <c r="C1586" s="1">
        <v>1</v>
      </c>
      <c r="D1586" s="1" t="s">
        <v>5827</v>
      </c>
      <c r="E1586" s="1">
        <v>2037</v>
      </c>
      <c r="F1586" s="1" t="s">
        <v>5826</v>
      </c>
      <c r="G1586" s="1">
        <v>1</v>
      </c>
      <c r="L1586" s="1">
        <v>45000</v>
      </c>
      <c r="N1586" s="1">
        <v>500</v>
      </c>
      <c r="P1586" s="1">
        <v>700</v>
      </c>
      <c r="R1586" s="1">
        <v>70</v>
      </c>
      <c r="Z1586" s="1">
        <v>0.05</v>
      </c>
      <c r="AA1586" s="1">
        <v>5</v>
      </c>
      <c r="AB1586" s="1">
        <v>6</v>
      </c>
      <c r="AC1586" s="1">
        <v>0.5</v>
      </c>
      <c r="AH1586" s="1">
        <v>0</v>
      </c>
      <c r="AI1586" s="1">
        <v>1</v>
      </c>
      <c r="AJ1586" s="1" t="s">
        <v>5828</v>
      </c>
      <c r="AK1586" s="1" t="s">
        <v>265</v>
      </c>
      <c r="AL1586" s="1" t="s">
        <v>228</v>
      </c>
      <c r="AN1586" s="22" t="s">
        <v>9767</v>
      </c>
      <c r="AX1586" s="1">
        <v>1</v>
      </c>
      <c r="AZ1586" s="1">
        <v>0.1</v>
      </c>
      <c r="BG1586" s="1" t="s">
        <v>5826</v>
      </c>
      <c r="BM1586" s="1" t="s">
        <v>2327</v>
      </c>
      <c r="BQ1586" s="1" t="s">
        <v>207</v>
      </c>
      <c r="BR1586" s="1" t="s">
        <v>2011</v>
      </c>
      <c r="BS1586" s="1" t="s">
        <v>2012</v>
      </c>
      <c r="BT1586" s="1" t="s">
        <v>2013</v>
      </c>
      <c r="BX1586" s="1">
        <v>1</v>
      </c>
    </row>
    <row r="1587" spans="1:76" x14ac:dyDescent="0.25">
      <c r="A1587" s="1" t="s">
        <v>5829</v>
      </c>
      <c r="B1587" s="1" t="s">
        <v>203</v>
      </c>
      <c r="C1587" s="1">
        <v>1</v>
      </c>
      <c r="D1587" s="1" t="s">
        <v>5830</v>
      </c>
      <c r="E1587" s="1">
        <v>2038</v>
      </c>
      <c r="F1587" s="1" t="s">
        <v>5829</v>
      </c>
      <c r="G1587" s="1">
        <v>1</v>
      </c>
      <c r="L1587" s="1">
        <v>100000</v>
      </c>
      <c r="N1587" s="1">
        <v>2000</v>
      </c>
      <c r="P1587" s="1">
        <v>4000</v>
      </c>
      <c r="R1587" s="1">
        <v>70</v>
      </c>
      <c r="Z1587" s="1">
        <v>0.05</v>
      </c>
      <c r="AA1587" s="1">
        <v>3.5</v>
      </c>
      <c r="AB1587" s="1">
        <v>5</v>
      </c>
      <c r="AC1587" s="1">
        <v>0.6</v>
      </c>
      <c r="AH1587" s="1">
        <v>0</v>
      </c>
      <c r="AI1587" s="1">
        <v>1</v>
      </c>
      <c r="AJ1587" s="1" t="s">
        <v>5831</v>
      </c>
      <c r="AK1587" s="1" t="s">
        <v>265</v>
      </c>
      <c r="AL1587" s="1" t="s">
        <v>228</v>
      </c>
      <c r="AN1587" s="22" t="s">
        <v>9767</v>
      </c>
      <c r="AX1587" s="1">
        <v>1</v>
      </c>
      <c r="AZ1587" s="1">
        <v>0.1</v>
      </c>
      <c r="BG1587" s="1" t="s">
        <v>5829</v>
      </c>
      <c r="BM1587" s="1" t="s">
        <v>996</v>
      </c>
      <c r="BQ1587" s="1" t="s">
        <v>207</v>
      </c>
      <c r="BR1587" s="1" t="s">
        <v>208</v>
      </c>
      <c r="BS1587" s="1" t="s">
        <v>229</v>
      </c>
      <c r="BT1587" s="1" t="s">
        <v>210</v>
      </c>
      <c r="BX1587" s="1">
        <v>1</v>
      </c>
    </row>
    <row r="1588" spans="1:76" x14ac:dyDescent="0.25">
      <c r="A1588" s="1" t="s">
        <v>5832</v>
      </c>
      <c r="B1588" s="1" t="s">
        <v>203</v>
      </c>
      <c r="C1588" s="1">
        <v>1</v>
      </c>
      <c r="D1588" s="1" t="s">
        <v>5833</v>
      </c>
      <c r="E1588" s="1">
        <v>2039</v>
      </c>
      <c r="F1588" s="1" t="s">
        <v>5832</v>
      </c>
      <c r="G1588" s="1">
        <v>1</v>
      </c>
      <c r="L1588" s="1">
        <v>90000</v>
      </c>
      <c r="N1588" s="1">
        <v>1600</v>
      </c>
      <c r="P1588" s="1">
        <v>1200</v>
      </c>
      <c r="R1588" s="1">
        <v>70</v>
      </c>
      <c r="Z1588" s="1">
        <v>0.05</v>
      </c>
      <c r="AA1588" s="1">
        <v>6</v>
      </c>
      <c r="AB1588" s="1">
        <v>6</v>
      </c>
      <c r="AC1588" s="1">
        <v>0.6</v>
      </c>
      <c r="AH1588" s="1">
        <v>0</v>
      </c>
      <c r="AI1588" s="1">
        <v>1</v>
      </c>
      <c r="AJ1588" s="1" t="s">
        <v>5834</v>
      </c>
      <c r="AK1588" s="1" t="s">
        <v>206</v>
      </c>
      <c r="AL1588" s="1" t="s">
        <v>228</v>
      </c>
      <c r="AN1588" s="22" t="s">
        <v>9767</v>
      </c>
      <c r="AX1588" s="1">
        <v>1</v>
      </c>
      <c r="AZ1588" s="1">
        <v>0.1</v>
      </c>
      <c r="BG1588" s="1" t="s">
        <v>5832</v>
      </c>
      <c r="BM1588" s="1" t="s">
        <v>989</v>
      </c>
      <c r="BQ1588" s="1" t="s">
        <v>207</v>
      </c>
      <c r="BR1588" s="1" t="s">
        <v>208</v>
      </c>
      <c r="BS1588" s="1" t="s">
        <v>229</v>
      </c>
      <c r="BT1588" s="1" t="s">
        <v>210</v>
      </c>
      <c r="BX1588" s="1">
        <v>1</v>
      </c>
    </row>
    <row r="1589" spans="1:76" x14ac:dyDescent="0.25">
      <c r="A1589" s="1" t="s">
        <v>5835</v>
      </c>
      <c r="B1589" s="1" t="s">
        <v>203</v>
      </c>
      <c r="C1589" s="1">
        <v>1</v>
      </c>
      <c r="D1589" s="1" t="s">
        <v>5833</v>
      </c>
      <c r="E1589" s="1">
        <v>2039</v>
      </c>
      <c r="F1589" s="1" t="s">
        <v>5832</v>
      </c>
      <c r="G1589" s="1">
        <v>1</v>
      </c>
      <c r="L1589" s="1">
        <v>45000</v>
      </c>
      <c r="N1589" s="1">
        <v>1000</v>
      </c>
      <c r="P1589" s="1">
        <v>360</v>
      </c>
      <c r="R1589" s="1">
        <v>35</v>
      </c>
      <c r="Z1589" s="1">
        <v>0.05</v>
      </c>
      <c r="AA1589" s="1">
        <v>3</v>
      </c>
      <c r="AB1589" s="1">
        <v>6</v>
      </c>
      <c r="AC1589" s="1">
        <v>0.48</v>
      </c>
      <c r="AH1589" s="1">
        <v>0</v>
      </c>
      <c r="AI1589" s="1">
        <v>1</v>
      </c>
      <c r="AJ1589" s="1" t="s">
        <v>5836</v>
      </c>
      <c r="AK1589" s="1" t="s">
        <v>206</v>
      </c>
      <c r="AL1589" s="1" t="s">
        <v>228</v>
      </c>
      <c r="AN1589" s="22" t="s">
        <v>9767</v>
      </c>
      <c r="AX1589" s="1">
        <v>1</v>
      </c>
      <c r="AZ1589" s="1">
        <v>0.1</v>
      </c>
      <c r="BG1589" s="1" t="s">
        <v>5832</v>
      </c>
      <c r="BM1589" s="1" t="s">
        <v>936</v>
      </c>
      <c r="BQ1589" s="1" t="s">
        <v>9715</v>
      </c>
      <c r="BR1589" s="1" t="s">
        <v>9715</v>
      </c>
      <c r="BS1589" s="1" t="s">
        <v>9716</v>
      </c>
      <c r="BT1589" s="1" t="s">
        <v>5837</v>
      </c>
      <c r="BX1589" s="1">
        <v>1</v>
      </c>
    </row>
    <row r="1590" spans="1:76" x14ac:dyDescent="0.25">
      <c r="A1590" s="1" t="s">
        <v>5838</v>
      </c>
      <c r="B1590" s="1" t="s">
        <v>203</v>
      </c>
      <c r="C1590" s="1">
        <v>1</v>
      </c>
      <c r="D1590" s="1" t="s">
        <v>5833</v>
      </c>
      <c r="E1590" s="1">
        <v>2039</v>
      </c>
      <c r="F1590" s="1" t="s">
        <v>5832</v>
      </c>
      <c r="G1590" s="1">
        <v>1</v>
      </c>
      <c r="L1590" s="1">
        <v>45000</v>
      </c>
      <c r="N1590" s="1">
        <v>1000</v>
      </c>
      <c r="P1590" s="1">
        <v>360</v>
      </c>
      <c r="R1590" s="1">
        <v>35</v>
      </c>
      <c r="Z1590" s="1">
        <v>0.05</v>
      </c>
      <c r="AA1590" s="1">
        <v>3</v>
      </c>
      <c r="AB1590" s="1">
        <v>6</v>
      </c>
      <c r="AC1590" s="1">
        <v>0.48</v>
      </c>
      <c r="AH1590" s="1">
        <v>0</v>
      </c>
      <c r="AI1590" s="1">
        <v>1</v>
      </c>
      <c r="AJ1590" s="1" t="s">
        <v>5839</v>
      </c>
      <c r="AK1590" s="1" t="s">
        <v>206</v>
      </c>
      <c r="AL1590" s="1" t="s">
        <v>228</v>
      </c>
      <c r="AN1590" s="22" t="s">
        <v>9767</v>
      </c>
      <c r="AX1590" s="1">
        <v>1</v>
      </c>
      <c r="AZ1590" s="1">
        <v>0.1</v>
      </c>
      <c r="BG1590" s="1" t="s">
        <v>5832</v>
      </c>
      <c r="BM1590" s="1" t="s">
        <v>936</v>
      </c>
      <c r="BQ1590" s="1" t="s">
        <v>9715</v>
      </c>
      <c r="BR1590" s="1" t="s">
        <v>9715</v>
      </c>
      <c r="BS1590" s="1" t="s">
        <v>9716</v>
      </c>
      <c r="BT1590" s="1" t="s">
        <v>5837</v>
      </c>
      <c r="BX1590" s="1">
        <v>1</v>
      </c>
    </row>
    <row r="1591" spans="1:76" x14ac:dyDescent="0.25">
      <c r="A1591" s="1" t="s">
        <v>5840</v>
      </c>
      <c r="B1591" s="1" t="s">
        <v>203</v>
      </c>
      <c r="C1591" s="1">
        <v>1</v>
      </c>
      <c r="D1591" s="1" t="s">
        <v>5841</v>
      </c>
      <c r="E1591" s="1">
        <v>2041</v>
      </c>
      <c r="F1591" s="1" t="s">
        <v>5840</v>
      </c>
      <c r="G1591" s="1">
        <v>1</v>
      </c>
      <c r="L1591" s="1">
        <v>20000</v>
      </c>
      <c r="N1591" s="1">
        <v>800</v>
      </c>
      <c r="P1591" s="1">
        <v>2000</v>
      </c>
      <c r="R1591" s="1">
        <v>70</v>
      </c>
      <c r="Z1591" s="1">
        <v>0.05</v>
      </c>
      <c r="AA1591" s="1">
        <v>3.5</v>
      </c>
      <c r="AB1591" s="1">
        <v>0</v>
      </c>
      <c r="AC1591" s="1">
        <v>0.4</v>
      </c>
      <c r="AH1591" s="1">
        <v>0</v>
      </c>
      <c r="AI1591" s="1">
        <v>1</v>
      </c>
      <c r="AJ1591" s="1" t="s">
        <v>5842</v>
      </c>
      <c r="AK1591" s="1" t="s">
        <v>265</v>
      </c>
      <c r="AL1591" s="1" t="s">
        <v>228</v>
      </c>
      <c r="AN1591" s="22" t="s">
        <v>9767</v>
      </c>
      <c r="AX1591" s="1">
        <v>1</v>
      </c>
      <c r="AZ1591" s="1">
        <v>0.1</v>
      </c>
      <c r="BG1591" s="1" t="s">
        <v>5840</v>
      </c>
      <c r="BM1591" s="1" t="s">
        <v>5843</v>
      </c>
      <c r="BQ1591" s="1" t="s">
        <v>207</v>
      </c>
      <c r="BR1591" s="1" t="s">
        <v>208</v>
      </c>
      <c r="BS1591" s="1" t="s">
        <v>229</v>
      </c>
      <c r="BT1591" s="1" t="s">
        <v>210</v>
      </c>
      <c r="BX1591" s="1">
        <v>1</v>
      </c>
    </row>
    <row r="1592" spans="1:76" x14ac:dyDescent="0.25">
      <c r="A1592" s="1" t="s">
        <v>5844</v>
      </c>
      <c r="B1592" s="1" t="s">
        <v>203</v>
      </c>
      <c r="C1592" s="1">
        <v>1</v>
      </c>
      <c r="D1592" s="1" t="s">
        <v>5845</v>
      </c>
      <c r="E1592" s="1">
        <v>2042</v>
      </c>
      <c r="F1592" s="1" t="s">
        <v>5844</v>
      </c>
      <c r="G1592" s="1">
        <v>1</v>
      </c>
      <c r="L1592" s="1">
        <v>150000</v>
      </c>
      <c r="N1592" s="1">
        <v>1200</v>
      </c>
      <c r="P1592" s="1">
        <v>2000</v>
      </c>
      <c r="R1592" s="1">
        <v>70</v>
      </c>
      <c r="Z1592" s="1">
        <v>0.05</v>
      </c>
      <c r="AA1592" s="1">
        <v>4</v>
      </c>
      <c r="AB1592" s="1">
        <v>6</v>
      </c>
      <c r="AC1592" s="1">
        <v>0.4</v>
      </c>
      <c r="AH1592" s="1">
        <v>0</v>
      </c>
      <c r="AI1592" s="1">
        <v>1</v>
      </c>
      <c r="AJ1592" s="1" t="s">
        <v>5846</v>
      </c>
      <c r="AK1592" s="1" t="s">
        <v>265</v>
      </c>
      <c r="AL1592" s="1" t="s">
        <v>228</v>
      </c>
      <c r="AN1592" s="22" t="s">
        <v>9767</v>
      </c>
      <c r="AX1592" s="1">
        <v>30</v>
      </c>
      <c r="AZ1592" s="1">
        <v>0.1</v>
      </c>
      <c r="BG1592" s="1" t="s">
        <v>5844</v>
      </c>
      <c r="BM1592" s="1" t="s">
        <v>1328</v>
      </c>
      <c r="BQ1592" s="1" t="s">
        <v>207</v>
      </c>
      <c r="BR1592" s="1" t="s">
        <v>208</v>
      </c>
      <c r="BS1592" s="1" t="s">
        <v>229</v>
      </c>
      <c r="BT1592" s="1" t="s">
        <v>210</v>
      </c>
      <c r="BX1592" s="1">
        <v>1</v>
      </c>
    </row>
    <row r="1593" spans="1:76" x14ac:dyDescent="0.25">
      <c r="A1593" s="1" t="s">
        <v>5847</v>
      </c>
      <c r="B1593" s="1" t="s">
        <v>203</v>
      </c>
      <c r="C1593" s="1">
        <v>1</v>
      </c>
      <c r="D1593" s="1" t="s">
        <v>5848</v>
      </c>
      <c r="E1593" s="21" t="s">
        <v>5849</v>
      </c>
      <c r="F1593" s="1" t="s">
        <v>5847</v>
      </c>
      <c r="G1593" s="1">
        <v>1</v>
      </c>
      <c r="L1593" s="1">
        <v>5000</v>
      </c>
      <c r="N1593" s="1">
        <v>0</v>
      </c>
      <c r="P1593" s="1">
        <v>200</v>
      </c>
      <c r="R1593" s="1">
        <v>0</v>
      </c>
      <c r="Z1593" s="1">
        <v>0.05</v>
      </c>
      <c r="AB1593" s="1">
        <v>5</v>
      </c>
      <c r="AC1593" s="1">
        <v>0</v>
      </c>
      <c r="AH1593" s="1">
        <v>0</v>
      </c>
      <c r="AI1593" s="1">
        <v>1</v>
      </c>
      <c r="AJ1593" s="1" t="s">
        <v>5850</v>
      </c>
      <c r="AK1593" s="1" t="s">
        <v>206</v>
      </c>
      <c r="AL1593" s="1" t="s">
        <v>228</v>
      </c>
      <c r="AN1593" s="22" t="s">
        <v>9767</v>
      </c>
      <c r="AX1593" s="1">
        <v>0</v>
      </c>
      <c r="AZ1593" s="1">
        <v>0.1</v>
      </c>
      <c r="BG1593" s="1" t="s">
        <v>5820</v>
      </c>
      <c r="BM1593" s="1" t="s">
        <v>3114</v>
      </c>
      <c r="BQ1593" s="1" t="s">
        <v>207</v>
      </c>
      <c r="BR1593" s="1" t="s">
        <v>208</v>
      </c>
      <c r="BS1593" s="1" t="s">
        <v>208</v>
      </c>
      <c r="BT1593" s="1" t="s">
        <v>210</v>
      </c>
      <c r="BX1593" s="1">
        <v>1</v>
      </c>
    </row>
    <row r="1594" spans="1:76" x14ac:dyDescent="0.25">
      <c r="A1594" s="1" t="s">
        <v>5851</v>
      </c>
      <c r="B1594" s="1" t="s">
        <v>203</v>
      </c>
      <c r="C1594" s="1">
        <v>1</v>
      </c>
      <c r="D1594" s="1" t="s">
        <v>5852</v>
      </c>
      <c r="E1594" s="21" t="s">
        <v>5853</v>
      </c>
      <c r="F1594" s="1" t="s">
        <v>5851</v>
      </c>
      <c r="G1594" s="1">
        <v>1</v>
      </c>
      <c r="L1594" s="1">
        <v>5000</v>
      </c>
      <c r="N1594" s="1">
        <v>0</v>
      </c>
      <c r="P1594" s="1">
        <v>200</v>
      </c>
      <c r="R1594" s="1">
        <v>0</v>
      </c>
      <c r="Z1594" s="1">
        <v>0.05</v>
      </c>
      <c r="AB1594" s="1">
        <v>5</v>
      </c>
      <c r="AC1594" s="1">
        <v>0</v>
      </c>
      <c r="AH1594" s="1">
        <v>0</v>
      </c>
      <c r="AI1594" s="1">
        <v>1</v>
      </c>
      <c r="AJ1594" s="1" t="s">
        <v>5854</v>
      </c>
      <c r="AK1594" s="1" t="s">
        <v>206</v>
      </c>
      <c r="AL1594" s="1" t="s">
        <v>228</v>
      </c>
      <c r="AN1594" s="22" t="s">
        <v>9767</v>
      </c>
      <c r="AX1594" s="1">
        <v>0</v>
      </c>
      <c r="AZ1594" s="1">
        <v>0.1</v>
      </c>
      <c r="BG1594" s="1" t="s">
        <v>5820</v>
      </c>
      <c r="BM1594" s="1" t="s">
        <v>3114</v>
      </c>
      <c r="BQ1594" s="1" t="s">
        <v>207</v>
      </c>
      <c r="BR1594" s="1" t="s">
        <v>208</v>
      </c>
      <c r="BS1594" s="1" t="s">
        <v>208</v>
      </c>
      <c r="BT1594" s="1" t="s">
        <v>208</v>
      </c>
      <c r="BX1594" s="1">
        <v>1</v>
      </c>
    </row>
    <row r="1595" spans="1:76" x14ac:dyDescent="0.25">
      <c r="A1595" s="1" t="s">
        <v>5855</v>
      </c>
      <c r="B1595" s="1" t="s">
        <v>203</v>
      </c>
      <c r="C1595" s="1">
        <v>1</v>
      </c>
      <c r="D1595" s="1" t="s">
        <v>5856</v>
      </c>
      <c r="E1595" s="1">
        <v>2043</v>
      </c>
      <c r="F1595" s="1" t="s">
        <v>5855</v>
      </c>
      <c r="G1595" s="1">
        <v>1</v>
      </c>
      <c r="L1595" s="1">
        <v>4000</v>
      </c>
      <c r="N1595" s="1">
        <v>400</v>
      </c>
      <c r="P1595" s="1">
        <v>200</v>
      </c>
      <c r="R1595" s="1">
        <v>0</v>
      </c>
      <c r="Z1595" s="1">
        <v>0.05</v>
      </c>
      <c r="AA1595" s="1">
        <v>1.5</v>
      </c>
      <c r="AB1595" s="1">
        <v>1</v>
      </c>
      <c r="AC1595" s="1">
        <v>1</v>
      </c>
      <c r="AH1595" s="1">
        <v>0</v>
      </c>
      <c r="AI1595" s="1">
        <v>1</v>
      </c>
      <c r="AJ1595" s="1" t="s">
        <v>5857</v>
      </c>
      <c r="AK1595" s="1" t="s">
        <v>265</v>
      </c>
      <c r="AL1595" s="1" t="s">
        <v>228</v>
      </c>
      <c r="AN1595" s="22" t="s">
        <v>9767</v>
      </c>
      <c r="AX1595" s="1">
        <v>1</v>
      </c>
      <c r="AZ1595" s="1">
        <v>0.1</v>
      </c>
      <c r="BG1595" s="1" t="s">
        <v>5855</v>
      </c>
      <c r="BM1595" s="1" t="s">
        <v>5858</v>
      </c>
      <c r="BQ1595" s="1" t="s">
        <v>207</v>
      </c>
      <c r="BR1595" s="1" t="s">
        <v>208</v>
      </c>
      <c r="BS1595" s="1" t="s">
        <v>229</v>
      </c>
      <c r="BT1595" s="1" t="s">
        <v>210</v>
      </c>
      <c r="BX1595" s="1">
        <v>1</v>
      </c>
    </row>
    <row r="1596" spans="1:76" x14ac:dyDescent="0.25">
      <c r="A1596" s="1" t="s">
        <v>5859</v>
      </c>
      <c r="B1596" s="1" t="s">
        <v>203</v>
      </c>
      <c r="C1596" s="1">
        <v>1</v>
      </c>
      <c r="D1596" s="1" t="s">
        <v>5860</v>
      </c>
      <c r="E1596" s="1">
        <v>2043</v>
      </c>
      <c r="F1596" s="1" t="s">
        <v>5859</v>
      </c>
      <c r="G1596" s="1">
        <v>1</v>
      </c>
      <c r="L1596" s="1">
        <v>6400</v>
      </c>
      <c r="N1596" s="1">
        <v>480</v>
      </c>
      <c r="P1596" s="1">
        <v>300</v>
      </c>
      <c r="R1596" s="1">
        <v>0</v>
      </c>
      <c r="Z1596" s="1">
        <v>0.05</v>
      </c>
      <c r="AA1596" s="1">
        <v>1.5</v>
      </c>
      <c r="AB1596" s="1">
        <v>1</v>
      </c>
      <c r="AC1596" s="1">
        <v>1</v>
      </c>
      <c r="AH1596" s="1">
        <v>0</v>
      </c>
      <c r="AI1596" s="1">
        <v>1</v>
      </c>
      <c r="AJ1596" s="1" t="s">
        <v>5861</v>
      </c>
      <c r="AK1596" s="1" t="s">
        <v>265</v>
      </c>
      <c r="AL1596" s="1" t="s">
        <v>228</v>
      </c>
      <c r="AN1596" s="22" t="s">
        <v>9767</v>
      </c>
      <c r="AX1596" s="1">
        <v>1</v>
      </c>
      <c r="AZ1596" s="1">
        <v>0.1</v>
      </c>
      <c r="BG1596" s="1" t="s">
        <v>5859</v>
      </c>
      <c r="BM1596" s="1" t="s">
        <v>5858</v>
      </c>
      <c r="BQ1596" s="1" t="s">
        <v>207</v>
      </c>
      <c r="BR1596" s="1" t="s">
        <v>208</v>
      </c>
      <c r="BS1596" s="1" t="s">
        <v>229</v>
      </c>
      <c r="BT1596" s="1" t="s">
        <v>210</v>
      </c>
      <c r="BX1596" s="1">
        <v>1</v>
      </c>
    </row>
    <row r="1597" spans="1:76" x14ac:dyDescent="0.25">
      <c r="A1597" s="1" t="s">
        <v>5862</v>
      </c>
      <c r="B1597" s="1" t="s">
        <v>203</v>
      </c>
      <c r="C1597" s="1">
        <v>1</v>
      </c>
      <c r="D1597" s="1" t="s">
        <v>5863</v>
      </c>
      <c r="E1597" s="1">
        <v>2044</v>
      </c>
      <c r="F1597" s="1" t="s">
        <v>5862</v>
      </c>
      <c r="G1597" s="1">
        <v>1</v>
      </c>
      <c r="L1597" s="1">
        <v>8000</v>
      </c>
      <c r="N1597" s="1">
        <v>350</v>
      </c>
      <c r="P1597" s="1">
        <v>300</v>
      </c>
      <c r="R1597" s="1">
        <v>50</v>
      </c>
      <c r="Z1597" s="1">
        <v>0.05</v>
      </c>
      <c r="AA1597" s="1">
        <v>2.5</v>
      </c>
      <c r="AB1597" s="1">
        <v>1</v>
      </c>
      <c r="AC1597" s="1">
        <v>0.6</v>
      </c>
      <c r="AH1597" s="1">
        <v>0</v>
      </c>
      <c r="AI1597" s="1">
        <v>1</v>
      </c>
      <c r="AJ1597" s="1" t="s">
        <v>5864</v>
      </c>
      <c r="AK1597" s="1" t="s">
        <v>265</v>
      </c>
      <c r="AL1597" s="1" t="s">
        <v>228</v>
      </c>
      <c r="AN1597" s="22" t="s">
        <v>9767</v>
      </c>
      <c r="AX1597" s="1">
        <v>1</v>
      </c>
      <c r="AZ1597" s="1">
        <v>0.1</v>
      </c>
      <c r="BG1597" s="1" t="s">
        <v>5862</v>
      </c>
      <c r="BM1597" s="1" t="s">
        <v>5865</v>
      </c>
      <c r="BQ1597" s="1" t="s">
        <v>207</v>
      </c>
      <c r="BR1597" s="1" t="s">
        <v>208</v>
      </c>
      <c r="BS1597" s="1" t="s">
        <v>229</v>
      </c>
      <c r="BT1597" s="1" t="s">
        <v>210</v>
      </c>
      <c r="BX1597" s="1">
        <v>1</v>
      </c>
    </row>
    <row r="1598" spans="1:76" x14ac:dyDescent="0.25">
      <c r="A1598" s="1" t="s">
        <v>5866</v>
      </c>
      <c r="B1598" s="1" t="s">
        <v>203</v>
      </c>
      <c r="C1598" s="1">
        <v>1</v>
      </c>
      <c r="D1598" s="1" t="s">
        <v>5867</v>
      </c>
      <c r="E1598" s="1">
        <v>2044</v>
      </c>
      <c r="F1598" s="1" t="s">
        <v>5866</v>
      </c>
      <c r="G1598" s="1">
        <v>1</v>
      </c>
      <c r="L1598" s="1">
        <v>12000</v>
      </c>
      <c r="N1598" s="1">
        <v>520</v>
      </c>
      <c r="P1598" s="1">
        <v>480</v>
      </c>
      <c r="R1598" s="1">
        <v>50</v>
      </c>
      <c r="Z1598" s="1">
        <v>0.05</v>
      </c>
      <c r="AA1598" s="1">
        <v>2.5</v>
      </c>
      <c r="AB1598" s="1">
        <v>1</v>
      </c>
      <c r="AC1598" s="1">
        <v>0.6</v>
      </c>
      <c r="AH1598" s="1">
        <v>0</v>
      </c>
      <c r="AI1598" s="1">
        <v>1</v>
      </c>
      <c r="AJ1598" s="1" t="s">
        <v>5868</v>
      </c>
      <c r="AK1598" s="1" t="s">
        <v>265</v>
      </c>
      <c r="AL1598" s="1" t="s">
        <v>228</v>
      </c>
      <c r="AN1598" s="22" t="s">
        <v>9767</v>
      </c>
      <c r="AX1598" s="1">
        <v>1</v>
      </c>
      <c r="AZ1598" s="1">
        <v>0.1</v>
      </c>
      <c r="BG1598" s="1" t="s">
        <v>5866</v>
      </c>
      <c r="BM1598" s="1" t="s">
        <v>5865</v>
      </c>
      <c r="BQ1598" s="1" t="s">
        <v>207</v>
      </c>
      <c r="BR1598" s="1" t="s">
        <v>208</v>
      </c>
      <c r="BS1598" s="1" t="s">
        <v>229</v>
      </c>
      <c r="BT1598" s="1" t="s">
        <v>210</v>
      </c>
      <c r="BX1598" s="1">
        <v>1</v>
      </c>
    </row>
    <row r="1599" spans="1:76" x14ac:dyDescent="0.25">
      <c r="A1599" s="1" t="s">
        <v>5869</v>
      </c>
      <c r="B1599" s="1" t="s">
        <v>203</v>
      </c>
      <c r="C1599" s="1">
        <v>1</v>
      </c>
      <c r="D1599" s="1" t="s">
        <v>5870</v>
      </c>
      <c r="E1599" s="1">
        <v>2045</v>
      </c>
      <c r="F1599" s="1" t="s">
        <v>5869</v>
      </c>
      <c r="G1599" s="1">
        <v>1</v>
      </c>
      <c r="L1599" s="1">
        <v>3500</v>
      </c>
      <c r="N1599" s="1">
        <v>200</v>
      </c>
      <c r="P1599" s="1">
        <v>100</v>
      </c>
      <c r="R1599" s="1">
        <v>65</v>
      </c>
      <c r="Z1599" s="1">
        <v>0.05</v>
      </c>
      <c r="AA1599" s="1">
        <v>2</v>
      </c>
      <c r="AB1599" s="1">
        <v>1</v>
      </c>
      <c r="AC1599" s="1">
        <v>2</v>
      </c>
      <c r="AH1599" s="1">
        <v>0</v>
      </c>
      <c r="AI1599" s="1">
        <v>1</v>
      </c>
      <c r="AJ1599" s="1" t="s">
        <v>5871</v>
      </c>
      <c r="AK1599" s="1" t="s">
        <v>265</v>
      </c>
      <c r="AL1599" s="1" t="s">
        <v>228</v>
      </c>
      <c r="AN1599" s="22" t="s">
        <v>9767</v>
      </c>
      <c r="AP1599" s="1">
        <v>1</v>
      </c>
      <c r="AX1599" s="1">
        <v>1</v>
      </c>
      <c r="AZ1599" s="1">
        <v>0.1</v>
      </c>
      <c r="BG1599" s="1" t="s">
        <v>5869</v>
      </c>
      <c r="BM1599" s="1" t="s">
        <v>5865</v>
      </c>
      <c r="BQ1599" s="1" t="s">
        <v>207</v>
      </c>
      <c r="BR1599" s="1" t="s">
        <v>208</v>
      </c>
      <c r="BS1599" s="1" t="s">
        <v>229</v>
      </c>
      <c r="BT1599" s="1" t="s">
        <v>210</v>
      </c>
      <c r="BX1599" s="1">
        <v>1</v>
      </c>
    </row>
    <row r="1600" spans="1:76" x14ac:dyDescent="0.25">
      <c r="A1600" s="1" t="s">
        <v>5872</v>
      </c>
      <c r="B1600" s="1" t="s">
        <v>203</v>
      </c>
      <c r="C1600" s="1">
        <v>1</v>
      </c>
      <c r="D1600" s="1" t="s">
        <v>5873</v>
      </c>
      <c r="E1600" s="1">
        <v>2045</v>
      </c>
      <c r="F1600" s="1" t="s">
        <v>5872</v>
      </c>
      <c r="G1600" s="1">
        <v>1.5</v>
      </c>
      <c r="L1600" s="1">
        <v>7500</v>
      </c>
      <c r="N1600" s="1">
        <v>550</v>
      </c>
      <c r="P1600" s="1">
        <v>140</v>
      </c>
      <c r="R1600" s="1">
        <v>65</v>
      </c>
      <c r="Z1600" s="1">
        <v>0.05</v>
      </c>
      <c r="AA1600" s="1">
        <v>3.3</v>
      </c>
      <c r="AB1600" s="1">
        <v>1</v>
      </c>
      <c r="AC1600" s="1">
        <v>1</v>
      </c>
      <c r="AH1600" s="1">
        <v>0</v>
      </c>
      <c r="AI1600" s="1">
        <v>1</v>
      </c>
      <c r="AJ1600" s="1" t="s">
        <v>5874</v>
      </c>
      <c r="AK1600" s="1" t="s">
        <v>265</v>
      </c>
      <c r="AL1600" s="1" t="s">
        <v>228</v>
      </c>
      <c r="AN1600" s="22" t="s">
        <v>9767</v>
      </c>
      <c r="AP1600" s="1">
        <v>1</v>
      </c>
      <c r="AX1600" s="1">
        <v>1</v>
      </c>
      <c r="AZ1600" s="1">
        <v>0.1</v>
      </c>
      <c r="BG1600" s="1" t="s">
        <v>5872</v>
      </c>
      <c r="BM1600" s="1" t="s">
        <v>5865</v>
      </c>
      <c r="BQ1600" s="1" t="s">
        <v>207</v>
      </c>
      <c r="BR1600" s="1" t="s">
        <v>208</v>
      </c>
      <c r="BS1600" s="1" t="s">
        <v>229</v>
      </c>
      <c r="BT1600" s="1" t="s">
        <v>210</v>
      </c>
      <c r="BX1600" s="1">
        <v>1</v>
      </c>
    </row>
    <row r="1601" spans="1:76" x14ac:dyDescent="0.25">
      <c r="A1601" s="1" t="s">
        <v>5875</v>
      </c>
      <c r="B1601" s="1" t="s">
        <v>203</v>
      </c>
      <c r="C1601" s="1">
        <v>1</v>
      </c>
      <c r="D1601" s="1" t="s">
        <v>5876</v>
      </c>
      <c r="E1601" s="1">
        <v>2046</v>
      </c>
      <c r="F1601" s="1" t="s">
        <v>5875</v>
      </c>
      <c r="G1601" s="1">
        <v>1</v>
      </c>
      <c r="L1601" s="1">
        <v>20000</v>
      </c>
      <c r="N1601" s="1">
        <v>700</v>
      </c>
      <c r="P1601" s="1">
        <v>800</v>
      </c>
      <c r="R1601" s="1">
        <v>20</v>
      </c>
      <c r="Z1601" s="1">
        <v>0.05</v>
      </c>
      <c r="AA1601" s="1">
        <v>1.2</v>
      </c>
      <c r="AB1601" s="1">
        <v>3</v>
      </c>
      <c r="AC1601" s="1">
        <v>2.5</v>
      </c>
      <c r="AH1601" s="1">
        <v>0</v>
      </c>
      <c r="AI1601" s="1">
        <v>1</v>
      </c>
      <c r="AJ1601" s="1" t="s">
        <v>5877</v>
      </c>
      <c r="AK1601" s="1" t="s">
        <v>265</v>
      </c>
      <c r="AL1601" s="1" t="s">
        <v>228</v>
      </c>
      <c r="AN1601" s="22" t="s">
        <v>9767</v>
      </c>
      <c r="AX1601" s="1">
        <v>1</v>
      </c>
      <c r="AZ1601" s="1">
        <v>0.1</v>
      </c>
      <c r="BG1601" s="1" t="s">
        <v>5875</v>
      </c>
      <c r="BM1601" s="1" t="s">
        <v>5878</v>
      </c>
      <c r="BQ1601" s="1" t="s">
        <v>207</v>
      </c>
      <c r="BR1601" s="1" t="s">
        <v>208</v>
      </c>
      <c r="BS1601" s="1" t="s">
        <v>229</v>
      </c>
      <c r="BT1601" s="1" t="s">
        <v>210</v>
      </c>
      <c r="BX1601" s="1">
        <v>1</v>
      </c>
    </row>
    <row r="1602" spans="1:76" x14ac:dyDescent="0.25">
      <c r="A1602" s="1" t="s">
        <v>5879</v>
      </c>
      <c r="B1602" s="1" t="s">
        <v>203</v>
      </c>
      <c r="C1602" s="1">
        <v>1</v>
      </c>
      <c r="D1602" s="1" t="s">
        <v>5880</v>
      </c>
      <c r="E1602" s="1">
        <v>2046</v>
      </c>
      <c r="F1602" s="1" t="s">
        <v>5879</v>
      </c>
      <c r="G1602" s="1">
        <v>1</v>
      </c>
      <c r="L1602" s="1">
        <v>30000</v>
      </c>
      <c r="N1602" s="1">
        <v>1200</v>
      </c>
      <c r="P1602" s="1">
        <v>900</v>
      </c>
      <c r="R1602" s="1">
        <v>20</v>
      </c>
      <c r="Z1602" s="1">
        <v>0.05</v>
      </c>
      <c r="AA1602" s="1">
        <v>1.2</v>
      </c>
      <c r="AB1602" s="1">
        <v>3</v>
      </c>
      <c r="AC1602" s="1">
        <v>3</v>
      </c>
      <c r="AH1602" s="1">
        <v>0</v>
      </c>
      <c r="AI1602" s="1">
        <v>1</v>
      </c>
      <c r="AJ1602" s="1" t="s">
        <v>5881</v>
      </c>
      <c r="AK1602" s="1" t="s">
        <v>265</v>
      </c>
      <c r="AL1602" s="1" t="s">
        <v>228</v>
      </c>
      <c r="AN1602" s="22" t="s">
        <v>9767</v>
      </c>
      <c r="AX1602" s="1">
        <v>1</v>
      </c>
      <c r="AZ1602" s="1">
        <v>0.1</v>
      </c>
      <c r="BG1602" s="1" t="s">
        <v>5879</v>
      </c>
      <c r="BM1602" s="1" t="s">
        <v>5878</v>
      </c>
      <c r="BQ1602" s="1" t="s">
        <v>207</v>
      </c>
      <c r="BR1602" s="1" t="s">
        <v>208</v>
      </c>
      <c r="BS1602" s="1" t="s">
        <v>229</v>
      </c>
      <c r="BT1602" s="1" t="s">
        <v>210</v>
      </c>
      <c r="BX1602" s="1">
        <v>1</v>
      </c>
    </row>
    <row r="1603" spans="1:76" x14ac:dyDescent="0.25">
      <c r="A1603" s="1" t="s">
        <v>5882</v>
      </c>
      <c r="B1603" s="1" t="s">
        <v>203</v>
      </c>
      <c r="C1603" s="1">
        <v>1</v>
      </c>
      <c r="D1603" s="1" t="s">
        <v>5883</v>
      </c>
      <c r="E1603" s="1">
        <v>1134</v>
      </c>
      <c r="F1603" s="1" t="s">
        <v>5882</v>
      </c>
      <c r="G1603" s="1">
        <v>1</v>
      </c>
      <c r="L1603" s="1">
        <v>4000</v>
      </c>
      <c r="N1603" s="1">
        <v>1000</v>
      </c>
      <c r="P1603" s="1">
        <v>2000</v>
      </c>
      <c r="R1603" s="1">
        <v>80</v>
      </c>
      <c r="Z1603" s="1">
        <v>0.05</v>
      </c>
      <c r="AA1603" s="1">
        <v>4</v>
      </c>
      <c r="AB1603" s="1">
        <v>4</v>
      </c>
      <c r="AC1603" s="1">
        <v>0.7</v>
      </c>
      <c r="AH1603" s="1">
        <v>0</v>
      </c>
      <c r="AI1603" s="1">
        <v>1</v>
      </c>
      <c r="AJ1603" s="1" t="s">
        <v>5884</v>
      </c>
      <c r="AK1603" s="1" t="s">
        <v>206</v>
      </c>
      <c r="AL1603" s="1" t="s">
        <v>228</v>
      </c>
      <c r="AN1603" s="22" t="s">
        <v>9767</v>
      </c>
      <c r="AX1603" s="1">
        <v>1</v>
      </c>
      <c r="AZ1603" s="1">
        <v>0.1</v>
      </c>
      <c r="BG1603" s="1" t="s">
        <v>5882</v>
      </c>
      <c r="BM1603" s="1" t="s">
        <v>2139</v>
      </c>
      <c r="BN1603" s="1" t="s">
        <v>2140</v>
      </c>
      <c r="BQ1603" s="1" t="s">
        <v>207</v>
      </c>
      <c r="BR1603" s="1" t="s">
        <v>208</v>
      </c>
      <c r="BS1603" s="1" t="s">
        <v>229</v>
      </c>
      <c r="BT1603" s="1" t="s">
        <v>210</v>
      </c>
      <c r="BX1603" s="1">
        <v>1</v>
      </c>
    </row>
    <row r="1604" spans="1:76" x14ac:dyDescent="0.25">
      <c r="A1604" s="1" t="s">
        <v>5885</v>
      </c>
      <c r="B1604" s="1" t="s">
        <v>203</v>
      </c>
      <c r="C1604" s="1">
        <v>1</v>
      </c>
      <c r="D1604" s="1" t="s">
        <v>5886</v>
      </c>
      <c r="E1604" s="1">
        <v>1134</v>
      </c>
      <c r="F1604" s="1" t="s">
        <v>5885</v>
      </c>
      <c r="G1604" s="1">
        <v>1</v>
      </c>
      <c r="L1604" s="1">
        <v>7000</v>
      </c>
      <c r="N1604" s="1">
        <v>1500</v>
      </c>
      <c r="P1604" s="1">
        <v>2000</v>
      </c>
      <c r="R1604" s="1">
        <v>80</v>
      </c>
      <c r="Z1604" s="1">
        <v>0.05</v>
      </c>
      <c r="AA1604" s="1">
        <v>4</v>
      </c>
      <c r="AB1604" s="1">
        <v>4</v>
      </c>
      <c r="AC1604" s="1">
        <v>0.7</v>
      </c>
      <c r="AH1604" s="1">
        <v>0</v>
      </c>
      <c r="AI1604" s="1">
        <v>1</v>
      </c>
      <c r="AJ1604" s="1" t="s">
        <v>9717</v>
      </c>
      <c r="AK1604" s="1" t="s">
        <v>206</v>
      </c>
      <c r="AL1604" s="1" t="s">
        <v>228</v>
      </c>
      <c r="AN1604" s="22" t="s">
        <v>9767</v>
      </c>
      <c r="AX1604" s="1">
        <v>1</v>
      </c>
      <c r="AZ1604" s="1">
        <v>0.1</v>
      </c>
      <c r="BG1604" s="1" t="s">
        <v>5885</v>
      </c>
      <c r="BM1604" s="1" t="s">
        <v>2139</v>
      </c>
      <c r="BN1604" s="1" t="s">
        <v>2144</v>
      </c>
      <c r="BQ1604" s="1" t="s">
        <v>207</v>
      </c>
      <c r="BR1604" s="1" t="s">
        <v>208</v>
      </c>
      <c r="BS1604" s="1" t="s">
        <v>229</v>
      </c>
      <c r="BT1604" s="1" t="s">
        <v>210</v>
      </c>
      <c r="BX1604" s="1">
        <v>1</v>
      </c>
    </row>
    <row r="1605" spans="1:76" x14ac:dyDescent="0.25">
      <c r="A1605" s="1" t="s">
        <v>5887</v>
      </c>
      <c r="B1605" s="1" t="s">
        <v>203</v>
      </c>
      <c r="C1605" s="1">
        <v>1</v>
      </c>
      <c r="D1605" s="1" t="s">
        <v>5888</v>
      </c>
      <c r="E1605" s="1">
        <v>2048</v>
      </c>
      <c r="F1605" s="1" t="s">
        <v>5887</v>
      </c>
      <c r="G1605" s="1">
        <v>1</v>
      </c>
      <c r="L1605" s="1">
        <v>50000</v>
      </c>
      <c r="N1605" s="1">
        <v>800</v>
      </c>
      <c r="P1605" s="1">
        <v>300</v>
      </c>
      <c r="R1605" s="1">
        <v>30</v>
      </c>
      <c r="Z1605" s="1">
        <v>0.05</v>
      </c>
      <c r="AA1605" s="1">
        <v>4</v>
      </c>
      <c r="AB1605" s="1">
        <v>4</v>
      </c>
      <c r="AC1605" s="1">
        <v>0.6</v>
      </c>
      <c r="AH1605" s="1">
        <v>0</v>
      </c>
      <c r="AI1605" s="1">
        <v>1</v>
      </c>
      <c r="AJ1605" s="1" t="s">
        <v>5889</v>
      </c>
      <c r="AK1605" s="1" t="s">
        <v>265</v>
      </c>
      <c r="AL1605" s="1" t="s">
        <v>228</v>
      </c>
      <c r="AN1605" s="22" t="s">
        <v>9767</v>
      </c>
      <c r="AX1605" s="1">
        <v>5</v>
      </c>
      <c r="AZ1605" s="1">
        <v>0.1</v>
      </c>
      <c r="BG1605" s="1" t="s">
        <v>5887</v>
      </c>
      <c r="BM1605" s="1" t="s">
        <v>5890</v>
      </c>
      <c r="BQ1605" s="1" t="s">
        <v>207</v>
      </c>
      <c r="BR1605" s="1" t="s">
        <v>208</v>
      </c>
      <c r="BS1605" s="1" t="s">
        <v>229</v>
      </c>
      <c r="BT1605" s="1" t="s">
        <v>210</v>
      </c>
      <c r="BX1605" s="1">
        <v>1</v>
      </c>
    </row>
    <row r="1606" spans="1:76" x14ac:dyDescent="0.25">
      <c r="A1606" s="1" t="s">
        <v>5891</v>
      </c>
      <c r="B1606" s="1" t="s">
        <v>203</v>
      </c>
      <c r="C1606" s="1">
        <v>1</v>
      </c>
      <c r="D1606" s="1" t="s">
        <v>5892</v>
      </c>
      <c r="E1606" s="1">
        <v>2049</v>
      </c>
      <c r="F1606" s="1" t="s">
        <v>5891</v>
      </c>
      <c r="G1606" s="1">
        <v>1</v>
      </c>
      <c r="L1606" s="1">
        <v>60000</v>
      </c>
      <c r="N1606" s="1">
        <v>800</v>
      </c>
      <c r="P1606" s="1">
        <v>300</v>
      </c>
      <c r="R1606" s="1">
        <v>30</v>
      </c>
      <c r="Z1606" s="1">
        <v>0.05</v>
      </c>
      <c r="AA1606" s="1">
        <v>4</v>
      </c>
      <c r="AB1606" s="1">
        <v>4</v>
      </c>
      <c r="AC1606" s="1">
        <v>0.4</v>
      </c>
      <c r="AH1606" s="1">
        <v>0</v>
      </c>
      <c r="AI1606" s="1">
        <v>1</v>
      </c>
      <c r="AJ1606" s="1" t="s">
        <v>5893</v>
      </c>
      <c r="AK1606" s="1" t="s">
        <v>265</v>
      </c>
      <c r="AL1606" s="1" t="s">
        <v>228</v>
      </c>
      <c r="AN1606" s="22" t="s">
        <v>9767</v>
      </c>
      <c r="AX1606" s="1">
        <v>5</v>
      </c>
      <c r="AZ1606" s="1">
        <v>0.1</v>
      </c>
      <c r="BG1606" s="1" t="s">
        <v>5891</v>
      </c>
      <c r="BM1606" s="1" t="s">
        <v>5890</v>
      </c>
      <c r="BQ1606" s="1" t="s">
        <v>207</v>
      </c>
      <c r="BR1606" s="1" t="s">
        <v>208</v>
      </c>
      <c r="BS1606" s="1" t="s">
        <v>229</v>
      </c>
      <c r="BT1606" s="1" t="s">
        <v>210</v>
      </c>
      <c r="BX1606" s="1">
        <v>1</v>
      </c>
    </row>
    <row r="1607" spans="1:76" x14ac:dyDescent="0.25">
      <c r="A1607" s="1" t="s">
        <v>5894</v>
      </c>
      <c r="B1607" s="1" t="s">
        <v>203</v>
      </c>
      <c r="C1607" s="1">
        <v>1</v>
      </c>
      <c r="D1607" s="1" t="s">
        <v>5895</v>
      </c>
      <c r="E1607" s="1">
        <v>2050</v>
      </c>
      <c r="F1607" s="1" t="s">
        <v>5894</v>
      </c>
      <c r="G1607" s="1">
        <v>1</v>
      </c>
      <c r="L1607" s="1">
        <v>40000</v>
      </c>
      <c r="N1607" s="1">
        <v>600</v>
      </c>
      <c r="P1607" s="1">
        <v>300</v>
      </c>
      <c r="R1607" s="1">
        <v>60</v>
      </c>
      <c r="Z1607" s="1">
        <v>0.05</v>
      </c>
      <c r="AA1607" s="1">
        <v>5</v>
      </c>
      <c r="AB1607" s="1">
        <v>3</v>
      </c>
      <c r="AC1607" s="1">
        <v>2.5</v>
      </c>
      <c r="AH1607" s="1">
        <v>0</v>
      </c>
      <c r="AI1607" s="1">
        <v>1</v>
      </c>
      <c r="AJ1607" s="1" t="s">
        <v>5896</v>
      </c>
      <c r="AK1607" s="1" t="s">
        <v>265</v>
      </c>
      <c r="AL1607" s="1" t="s">
        <v>228</v>
      </c>
      <c r="AN1607" s="22" t="s">
        <v>9767</v>
      </c>
      <c r="AX1607" s="1">
        <v>5</v>
      </c>
      <c r="AZ1607" s="1">
        <v>0.1</v>
      </c>
      <c r="BG1607" s="1" t="s">
        <v>5894</v>
      </c>
      <c r="BM1607" s="1" t="s">
        <v>5890</v>
      </c>
      <c r="BQ1607" s="1" t="s">
        <v>207</v>
      </c>
      <c r="BR1607" s="1" t="s">
        <v>208</v>
      </c>
      <c r="BS1607" s="1" t="s">
        <v>229</v>
      </c>
      <c r="BT1607" s="1" t="s">
        <v>210</v>
      </c>
      <c r="BX1607" s="1">
        <v>1</v>
      </c>
    </row>
    <row r="1608" spans="1:76" x14ac:dyDescent="0.25">
      <c r="A1608" s="1" t="s">
        <v>5897</v>
      </c>
      <c r="B1608" s="1" t="s">
        <v>203</v>
      </c>
      <c r="C1608" s="1">
        <v>1</v>
      </c>
      <c r="D1608" s="1" t="s">
        <v>5898</v>
      </c>
      <c r="E1608" s="1">
        <v>2051</v>
      </c>
      <c r="F1608" s="1" t="s">
        <v>5897</v>
      </c>
      <c r="G1608" s="1">
        <v>1</v>
      </c>
      <c r="L1608" s="1">
        <v>45000</v>
      </c>
      <c r="N1608" s="1">
        <v>750</v>
      </c>
      <c r="P1608" s="1">
        <v>300</v>
      </c>
      <c r="R1608" s="1">
        <v>60</v>
      </c>
      <c r="Z1608" s="1">
        <v>0.05</v>
      </c>
      <c r="AA1608" s="1">
        <v>5</v>
      </c>
      <c r="AB1608" s="1">
        <v>3</v>
      </c>
      <c r="AC1608" s="1">
        <v>2.5</v>
      </c>
      <c r="AH1608" s="1">
        <v>0</v>
      </c>
      <c r="AI1608" s="1">
        <v>1</v>
      </c>
      <c r="AJ1608" s="1" t="s">
        <v>5899</v>
      </c>
      <c r="AK1608" s="1" t="s">
        <v>265</v>
      </c>
      <c r="AL1608" s="1" t="s">
        <v>228</v>
      </c>
      <c r="AN1608" s="22" t="s">
        <v>9767</v>
      </c>
      <c r="AX1608" s="1">
        <v>5</v>
      </c>
      <c r="AZ1608" s="1">
        <v>0.1</v>
      </c>
      <c r="BG1608" s="1" t="s">
        <v>5897</v>
      </c>
      <c r="BM1608" s="1" t="s">
        <v>5890</v>
      </c>
      <c r="BQ1608" s="1" t="s">
        <v>207</v>
      </c>
      <c r="BR1608" s="1" t="s">
        <v>208</v>
      </c>
      <c r="BS1608" s="1" t="s">
        <v>229</v>
      </c>
      <c r="BT1608" s="1" t="s">
        <v>210</v>
      </c>
      <c r="BX1608" s="1">
        <v>1</v>
      </c>
    </row>
    <row r="1609" spans="1:76" x14ac:dyDescent="0.25">
      <c r="A1609" s="1" t="s">
        <v>5900</v>
      </c>
      <c r="B1609" s="1" t="s">
        <v>203</v>
      </c>
      <c r="C1609" s="1">
        <v>1</v>
      </c>
      <c r="D1609" s="1" t="s">
        <v>5901</v>
      </c>
      <c r="E1609" s="1">
        <v>2052</v>
      </c>
      <c r="F1609" s="1" t="s">
        <v>5900</v>
      </c>
      <c r="G1609" s="1">
        <v>1</v>
      </c>
      <c r="L1609" s="1">
        <v>90000</v>
      </c>
      <c r="N1609" s="1">
        <v>1200</v>
      </c>
      <c r="P1609" s="1">
        <v>700</v>
      </c>
      <c r="R1609" s="1">
        <v>30</v>
      </c>
      <c r="Z1609" s="1">
        <v>0.05</v>
      </c>
      <c r="AA1609" s="1">
        <v>3</v>
      </c>
      <c r="AB1609" s="1">
        <v>5</v>
      </c>
      <c r="AC1609" s="1">
        <v>0.5</v>
      </c>
      <c r="AH1609" s="1">
        <v>0</v>
      </c>
      <c r="AI1609" s="1">
        <v>1</v>
      </c>
      <c r="AJ1609" s="1" t="s">
        <v>5902</v>
      </c>
      <c r="AK1609" s="1" t="s">
        <v>265</v>
      </c>
      <c r="AL1609" s="1" t="s">
        <v>228</v>
      </c>
      <c r="AN1609" s="22" t="s">
        <v>9767</v>
      </c>
      <c r="AX1609" s="1">
        <v>5</v>
      </c>
      <c r="AZ1609" s="1">
        <v>0.1</v>
      </c>
      <c r="BG1609" s="1" t="s">
        <v>5900</v>
      </c>
      <c r="BM1609" s="1" t="s">
        <v>1748</v>
      </c>
      <c r="BQ1609" s="1" t="s">
        <v>207</v>
      </c>
      <c r="BR1609" s="1" t="s">
        <v>208</v>
      </c>
      <c r="BS1609" s="1" t="s">
        <v>229</v>
      </c>
      <c r="BT1609" s="1" t="s">
        <v>210</v>
      </c>
      <c r="BX1609" s="1">
        <v>1</v>
      </c>
    </row>
    <row r="1610" spans="1:76" x14ac:dyDescent="0.25">
      <c r="A1610" s="1" t="s">
        <v>5903</v>
      </c>
      <c r="B1610" s="1" t="s">
        <v>203</v>
      </c>
      <c r="C1610" s="1">
        <v>1</v>
      </c>
      <c r="D1610" s="1" t="s">
        <v>5904</v>
      </c>
      <c r="E1610" s="1">
        <v>2053</v>
      </c>
      <c r="F1610" s="1" t="s">
        <v>5903</v>
      </c>
      <c r="G1610" s="1">
        <v>1</v>
      </c>
      <c r="L1610" s="1">
        <v>100000</v>
      </c>
      <c r="N1610" s="1">
        <v>1200</v>
      </c>
      <c r="P1610" s="1">
        <v>1200</v>
      </c>
      <c r="R1610" s="1">
        <v>40</v>
      </c>
      <c r="Z1610" s="1">
        <v>0.05</v>
      </c>
      <c r="AA1610" s="1">
        <v>2.5</v>
      </c>
      <c r="AB1610" s="1">
        <v>5</v>
      </c>
      <c r="AC1610" s="1">
        <v>0.5</v>
      </c>
      <c r="AH1610" s="1">
        <v>0</v>
      </c>
      <c r="AI1610" s="1">
        <v>1</v>
      </c>
      <c r="AJ1610" s="1" t="s">
        <v>5905</v>
      </c>
      <c r="AK1610" s="1" t="s">
        <v>265</v>
      </c>
      <c r="AL1610" s="1" t="s">
        <v>228</v>
      </c>
      <c r="AN1610" s="22" t="s">
        <v>9767</v>
      </c>
      <c r="AX1610" s="1">
        <v>5</v>
      </c>
      <c r="AZ1610" s="1">
        <v>0.1</v>
      </c>
      <c r="BG1610" s="1" t="s">
        <v>5903</v>
      </c>
      <c r="BM1610" s="1" t="s">
        <v>1748</v>
      </c>
      <c r="BQ1610" s="1" t="s">
        <v>207</v>
      </c>
      <c r="BR1610" s="1" t="s">
        <v>208</v>
      </c>
      <c r="BS1610" s="1" t="s">
        <v>229</v>
      </c>
      <c r="BT1610" s="1" t="s">
        <v>210</v>
      </c>
      <c r="BX1610" s="1">
        <v>1</v>
      </c>
    </row>
    <row r="1611" spans="1:76" x14ac:dyDescent="0.25">
      <c r="A1611" s="1" t="s">
        <v>5906</v>
      </c>
      <c r="B1611" s="1" t="s">
        <v>203</v>
      </c>
      <c r="C1611" s="1">
        <v>1</v>
      </c>
      <c r="D1611" s="1" t="s">
        <v>5907</v>
      </c>
      <c r="E1611" s="1">
        <v>2054</v>
      </c>
      <c r="F1611" s="1" t="s">
        <v>5906</v>
      </c>
      <c r="G1611" s="1">
        <v>1</v>
      </c>
      <c r="L1611" s="1">
        <v>240000</v>
      </c>
      <c r="N1611" s="1">
        <v>800</v>
      </c>
      <c r="P1611" s="1">
        <v>800</v>
      </c>
      <c r="R1611" s="1">
        <v>40</v>
      </c>
      <c r="Z1611" s="1">
        <v>0.05</v>
      </c>
      <c r="AA1611" s="1">
        <v>6</v>
      </c>
      <c r="AB1611" s="1">
        <v>10</v>
      </c>
      <c r="AC1611" s="1">
        <v>0</v>
      </c>
      <c r="AH1611" s="1">
        <v>0</v>
      </c>
      <c r="AI1611" s="1">
        <v>1</v>
      </c>
      <c r="AJ1611" s="1" t="s">
        <v>5908</v>
      </c>
      <c r="AK1611" s="1" t="s">
        <v>265</v>
      </c>
      <c r="AL1611" s="1" t="s">
        <v>228</v>
      </c>
      <c r="AN1611" s="22" t="s">
        <v>9767</v>
      </c>
      <c r="AX1611" s="1">
        <v>30</v>
      </c>
      <c r="AZ1611" s="1">
        <v>0.1</v>
      </c>
      <c r="BA1611" s="1" t="s">
        <v>5750</v>
      </c>
      <c r="BG1611" s="1" t="s">
        <v>5906</v>
      </c>
      <c r="BM1611" s="1" t="s">
        <v>1328</v>
      </c>
      <c r="BQ1611" s="1" t="s">
        <v>207</v>
      </c>
      <c r="BR1611" s="1" t="s">
        <v>208</v>
      </c>
      <c r="BS1611" s="1" t="s">
        <v>208</v>
      </c>
      <c r="BT1611" s="1" t="s">
        <v>210</v>
      </c>
      <c r="BX1611" s="1">
        <v>1</v>
      </c>
    </row>
    <row r="1612" spans="1:76" x14ac:dyDescent="0.25">
      <c r="A1612" s="1" t="s">
        <v>5909</v>
      </c>
      <c r="B1612" s="1" t="s">
        <v>203</v>
      </c>
      <c r="C1612" s="1">
        <v>1</v>
      </c>
      <c r="D1612" s="1" t="s">
        <v>5910</v>
      </c>
      <c r="E1612" s="1">
        <v>2055</v>
      </c>
      <c r="F1612" s="1" t="s">
        <v>5909</v>
      </c>
      <c r="G1612" s="1">
        <v>1</v>
      </c>
      <c r="L1612" s="1">
        <v>150000</v>
      </c>
      <c r="N1612" s="1">
        <v>1000</v>
      </c>
      <c r="P1612" s="1">
        <v>3000</v>
      </c>
      <c r="R1612" s="1">
        <v>30</v>
      </c>
      <c r="Z1612" s="1">
        <v>0.05</v>
      </c>
      <c r="AA1612" s="1">
        <v>2</v>
      </c>
      <c r="AB1612" s="1">
        <v>7</v>
      </c>
      <c r="AC1612" s="1">
        <v>1.1000000000000001</v>
      </c>
      <c r="AH1612" s="1">
        <v>0</v>
      </c>
      <c r="AI1612" s="1">
        <v>1</v>
      </c>
      <c r="AJ1612" s="1" t="s">
        <v>5911</v>
      </c>
      <c r="AK1612" s="1" t="s">
        <v>265</v>
      </c>
      <c r="AL1612" s="1" t="s">
        <v>228</v>
      </c>
      <c r="AN1612" s="22" t="s">
        <v>9767</v>
      </c>
      <c r="AX1612" s="1">
        <v>30</v>
      </c>
      <c r="AZ1612" s="1">
        <v>0.1</v>
      </c>
      <c r="BG1612" s="1" t="s">
        <v>5909</v>
      </c>
      <c r="BM1612" s="1" t="s">
        <v>5912</v>
      </c>
      <c r="BQ1612" s="1" t="s">
        <v>207</v>
      </c>
      <c r="BR1612" s="1" t="s">
        <v>208</v>
      </c>
      <c r="BS1612" s="1" t="s">
        <v>1936</v>
      </c>
      <c r="BT1612" s="1" t="s">
        <v>210</v>
      </c>
      <c r="BX1612" s="1">
        <v>1</v>
      </c>
    </row>
    <row r="1613" spans="1:76" x14ac:dyDescent="0.25">
      <c r="A1613" s="1" t="s">
        <v>5913</v>
      </c>
      <c r="B1613" s="1" t="s">
        <v>203</v>
      </c>
      <c r="C1613" s="1">
        <v>1</v>
      </c>
      <c r="D1613" s="1" t="s">
        <v>5914</v>
      </c>
      <c r="E1613" s="1">
        <v>2056</v>
      </c>
      <c r="F1613" s="1" t="s">
        <v>5913</v>
      </c>
      <c r="G1613" s="1">
        <v>1</v>
      </c>
      <c r="L1613" s="1">
        <v>80000</v>
      </c>
      <c r="N1613" s="1">
        <v>1000</v>
      </c>
      <c r="P1613" s="1">
        <v>1500</v>
      </c>
      <c r="R1613" s="1">
        <v>50</v>
      </c>
      <c r="Z1613" s="1">
        <v>0.05</v>
      </c>
      <c r="AA1613" s="1">
        <v>5</v>
      </c>
      <c r="AB1613" s="1">
        <v>0</v>
      </c>
      <c r="AC1613" s="1">
        <v>0</v>
      </c>
      <c r="AH1613" s="1">
        <v>0</v>
      </c>
      <c r="AI1613" s="1">
        <v>1</v>
      </c>
      <c r="AJ1613" s="1" t="s">
        <v>5915</v>
      </c>
      <c r="AK1613" s="1" t="s">
        <v>265</v>
      </c>
      <c r="AL1613" s="1" t="s">
        <v>228</v>
      </c>
      <c r="AN1613" s="22" t="s">
        <v>9767</v>
      </c>
      <c r="AX1613" s="1">
        <v>30</v>
      </c>
      <c r="AZ1613" s="1">
        <v>0.1</v>
      </c>
      <c r="BG1613" s="1" t="s">
        <v>5913</v>
      </c>
      <c r="BM1613" s="1" t="s">
        <v>5890</v>
      </c>
      <c r="BQ1613" s="1" t="s">
        <v>207</v>
      </c>
      <c r="BR1613" s="1" t="s">
        <v>208</v>
      </c>
      <c r="BS1613" s="1" t="s">
        <v>208</v>
      </c>
      <c r="BT1613" s="1" t="s">
        <v>210</v>
      </c>
      <c r="BX1613" s="1">
        <v>1</v>
      </c>
    </row>
    <row r="1614" spans="1:76" x14ac:dyDescent="0.25">
      <c r="A1614" s="1" t="s">
        <v>5916</v>
      </c>
      <c r="B1614" s="1" t="s">
        <v>203</v>
      </c>
      <c r="C1614" s="1">
        <v>1</v>
      </c>
      <c r="D1614" s="1" t="s">
        <v>5917</v>
      </c>
      <c r="E1614" s="1" t="s">
        <v>5918</v>
      </c>
      <c r="F1614" s="1" t="s">
        <v>5916</v>
      </c>
      <c r="G1614" s="1">
        <v>1.05</v>
      </c>
      <c r="L1614" s="1">
        <v>180000</v>
      </c>
      <c r="N1614" s="1">
        <v>1000</v>
      </c>
      <c r="P1614" s="1">
        <v>5000</v>
      </c>
      <c r="R1614" s="1">
        <v>50</v>
      </c>
      <c r="Z1614" s="1">
        <v>0.05</v>
      </c>
      <c r="AA1614" s="1">
        <v>5</v>
      </c>
      <c r="AB1614" s="1">
        <v>7</v>
      </c>
      <c r="AC1614" s="1">
        <v>0.6</v>
      </c>
      <c r="AH1614" s="1">
        <v>0</v>
      </c>
      <c r="AI1614" s="1">
        <v>1</v>
      </c>
      <c r="AJ1614" s="1" t="s">
        <v>5919</v>
      </c>
      <c r="AK1614" s="1" t="s">
        <v>265</v>
      </c>
      <c r="AL1614" s="1" t="s">
        <v>228</v>
      </c>
      <c r="AN1614" s="22" t="s">
        <v>9767</v>
      </c>
      <c r="AX1614" s="1">
        <v>30</v>
      </c>
      <c r="AZ1614" s="1">
        <v>0.1</v>
      </c>
      <c r="BG1614" s="1" t="s">
        <v>5916</v>
      </c>
      <c r="BM1614" s="1" t="s">
        <v>5920</v>
      </c>
      <c r="BQ1614" s="1" t="s">
        <v>207</v>
      </c>
      <c r="BR1614" s="1" t="s">
        <v>208</v>
      </c>
      <c r="BS1614" s="1" t="s">
        <v>229</v>
      </c>
      <c r="BT1614" s="1" t="s">
        <v>210</v>
      </c>
      <c r="BX1614" s="1">
        <v>1</v>
      </c>
    </row>
    <row r="1615" spans="1:76" x14ac:dyDescent="0.25">
      <c r="A1615" s="1" t="s">
        <v>5921</v>
      </c>
      <c r="B1615" s="1" t="s">
        <v>203</v>
      </c>
      <c r="C1615" s="1">
        <v>1</v>
      </c>
      <c r="D1615" s="1" t="s">
        <v>5922</v>
      </c>
      <c r="E1615" s="1">
        <v>2058</v>
      </c>
      <c r="F1615" s="1" t="s">
        <v>5921</v>
      </c>
      <c r="G1615" s="1">
        <v>1</v>
      </c>
      <c r="L1615" s="1">
        <v>180000</v>
      </c>
      <c r="N1615" s="1">
        <v>1000</v>
      </c>
      <c r="P1615" s="1">
        <v>1000</v>
      </c>
      <c r="R1615" s="1">
        <v>90</v>
      </c>
      <c r="Z1615" s="1">
        <v>0.05</v>
      </c>
      <c r="AA1615" s="1">
        <v>4</v>
      </c>
      <c r="AB1615" s="1">
        <v>7</v>
      </c>
      <c r="AC1615" s="1">
        <v>0.6</v>
      </c>
      <c r="AH1615" s="1">
        <v>0</v>
      </c>
      <c r="AI1615" s="1">
        <v>1</v>
      </c>
      <c r="AJ1615" s="1" t="s">
        <v>5923</v>
      </c>
      <c r="AK1615" s="1" t="s">
        <v>265</v>
      </c>
      <c r="AL1615" s="1" t="s">
        <v>228</v>
      </c>
      <c r="AN1615" s="22" t="s">
        <v>9767</v>
      </c>
      <c r="AX1615" s="1">
        <v>30</v>
      </c>
      <c r="AZ1615" s="1">
        <v>0.1</v>
      </c>
      <c r="BG1615" s="1" t="s">
        <v>5921</v>
      </c>
      <c r="BM1615" s="1" t="s">
        <v>5924</v>
      </c>
      <c r="BQ1615" s="1" t="s">
        <v>207</v>
      </c>
      <c r="BR1615" s="1" t="s">
        <v>208</v>
      </c>
      <c r="BS1615" s="1" t="s">
        <v>229</v>
      </c>
      <c r="BT1615" s="1" t="s">
        <v>210</v>
      </c>
      <c r="BX1615" s="1">
        <v>1</v>
      </c>
    </row>
    <row r="1616" spans="1:76" x14ac:dyDescent="0.25">
      <c r="A1616" s="1" t="s">
        <v>5925</v>
      </c>
      <c r="B1616" s="1" t="s">
        <v>203</v>
      </c>
      <c r="C1616" s="1">
        <v>1</v>
      </c>
      <c r="D1616" s="1" t="s">
        <v>5926</v>
      </c>
      <c r="E1616" s="1">
        <v>2059</v>
      </c>
      <c r="F1616" s="1" t="s">
        <v>5925</v>
      </c>
      <c r="G1616" s="1">
        <v>1</v>
      </c>
      <c r="L1616" s="1">
        <v>10000</v>
      </c>
      <c r="N1616" s="1">
        <v>600</v>
      </c>
      <c r="P1616" s="1">
        <v>500</v>
      </c>
      <c r="R1616" s="1">
        <v>30</v>
      </c>
      <c r="Z1616" s="1">
        <v>0.05</v>
      </c>
      <c r="AA1616" s="1">
        <v>1.2</v>
      </c>
      <c r="AB1616" s="1">
        <v>3</v>
      </c>
      <c r="AC1616" s="1">
        <v>0.7</v>
      </c>
      <c r="AH1616" s="1">
        <v>0</v>
      </c>
      <c r="AI1616" s="1">
        <v>1</v>
      </c>
      <c r="AJ1616" s="1" t="s">
        <v>5927</v>
      </c>
      <c r="AK1616" s="1" t="s">
        <v>265</v>
      </c>
      <c r="AL1616" s="1" t="s">
        <v>228</v>
      </c>
      <c r="AN1616" s="22" t="s">
        <v>9767</v>
      </c>
      <c r="AX1616" s="1">
        <v>2</v>
      </c>
      <c r="AZ1616" s="1">
        <v>0.1</v>
      </c>
      <c r="BG1616" s="1" t="s">
        <v>5925</v>
      </c>
      <c r="BM1616" s="1" t="s">
        <v>5878</v>
      </c>
      <c r="BQ1616" s="1" t="s">
        <v>207</v>
      </c>
      <c r="BR1616" s="1" t="s">
        <v>208</v>
      </c>
      <c r="BS1616" s="1" t="s">
        <v>229</v>
      </c>
      <c r="BT1616" s="1" t="s">
        <v>210</v>
      </c>
      <c r="BX1616" s="1">
        <v>1</v>
      </c>
    </row>
    <row r="1617" spans="1:76" x14ac:dyDescent="0.25">
      <c r="A1617" s="1" t="s">
        <v>5928</v>
      </c>
      <c r="B1617" s="1" t="s">
        <v>203</v>
      </c>
      <c r="C1617" s="1">
        <v>1</v>
      </c>
      <c r="D1617" s="1" t="s">
        <v>5929</v>
      </c>
      <c r="E1617" s="1">
        <v>2060</v>
      </c>
      <c r="F1617" s="1" t="s">
        <v>5928</v>
      </c>
      <c r="G1617" s="1">
        <v>1</v>
      </c>
      <c r="L1617" s="1">
        <v>4000</v>
      </c>
      <c r="N1617" s="1">
        <v>700</v>
      </c>
      <c r="P1617" s="1">
        <v>500</v>
      </c>
      <c r="R1617" s="1">
        <v>30</v>
      </c>
      <c r="Z1617" s="1">
        <v>0.05</v>
      </c>
      <c r="AA1617" s="1">
        <v>3</v>
      </c>
      <c r="AB1617" s="1">
        <v>2</v>
      </c>
      <c r="AC1617" s="1">
        <v>1.1000000000000001</v>
      </c>
      <c r="AH1617" s="1">
        <v>0</v>
      </c>
      <c r="AI1617" s="1">
        <v>1</v>
      </c>
      <c r="AJ1617" s="1" t="s">
        <v>5930</v>
      </c>
      <c r="AK1617" s="1" t="s">
        <v>265</v>
      </c>
      <c r="AL1617" s="1" t="s">
        <v>228</v>
      </c>
      <c r="AN1617" s="22" t="s">
        <v>9767</v>
      </c>
      <c r="AX1617" s="1">
        <v>1</v>
      </c>
      <c r="AZ1617" s="1">
        <v>0.1</v>
      </c>
      <c r="BG1617" s="1" t="s">
        <v>5928</v>
      </c>
      <c r="BM1617" s="1" t="s">
        <v>930</v>
      </c>
      <c r="BQ1617" s="1" t="s">
        <v>207</v>
      </c>
      <c r="BR1617" s="1" t="s">
        <v>208</v>
      </c>
      <c r="BS1617" s="1" t="s">
        <v>229</v>
      </c>
      <c r="BT1617" s="1" t="s">
        <v>210</v>
      </c>
      <c r="BX1617" s="1">
        <v>1</v>
      </c>
    </row>
    <row r="1618" spans="1:76" x14ac:dyDescent="0.25">
      <c r="A1618" s="1" t="s">
        <v>5931</v>
      </c>
      <c r="B1618" s="1" t="s">
        <v>203</v>
      </c>
      <c r="C1618" s="1">
        <v>1</v>
      </c>
      <c r="D1618" s="1" t="s">
        <v>5932</v>
      </c>
      <c r="E1618" s="1">
        <v>2061</v>
      </c>
      <c r="F1618" s="1" t="s">
        <v>5931</v>
      </c>
      <c r="G1618" s="1">
        <v>1</v>
      </c>
      <c r="L1618" s="1">
        <v>20000</v>
      </c>
      <c r="N1618" s="1">
        <v>1200</v>
      </c>
      <c r="P1618" s="1">
        <v>300</v>
      </c>
      <c r="R1618" s="1">
        <v>50</v>
      </c>
      <c r="Z1618" s="1">
        <v>0.05</v>
      </c>
      <c r="AA1618" s="1">
        <v>3</v>
      </c>
      <c r="AB1618" s="1">
        <v>4</v>
      </c>
      <c r="AC1618" s="1">
        <v>1.8</v>
      </c>
      <c r="AH1618" s="1">
        <v>0</v>
      </c>
      <c r="AI1618" s="1">
        <v>1</v>
      </c>
      <c r="AJ1618" s="1" t="s">
        <v>5933</v>
      </c>
      <c r="AK1618" s="1" t="s">
        <v>265</v>
      </c>
      <c r="AL1618" s="1" t="s">
        <v>228</v>
      </c>
      <c r="AN1618" s="22" t="s">
        <v>9767</v>
      </c>
      <c r="AX1618" s="1">
        <v>1</v>
      </c>
      <c r="AZ1618" s="1">
        <v>0.1</v>
      </c>
      <c r="BG1618" s="1" t="s">
        <v>5931</v>
      </c>
      <c r="BM1618" s="1" t="s">
        <v>930</v>
      </c>
      <c r="BQ1618" s="1" t="s">
        <v>207</v>
      </c>
      <c r="BR1618" s="1" t="s">
        <v>208</v>
      </c>
      <c r="BS1618" s="1" t="s">
        <v>229</v>
      </c>
      <c r="BT1618" s="1" t="s">
        <v>210</v>
      </c>
      <c r="BX1618" s="1">
        <v>1</v>
      </c>
    </row>
    <row r="1619" spans="1:76" x14ac:dyDescent="0.25">
      <c r="A1619" s="1" t="s">
        <v>5934</v>
      </c>
      <c r="B1619" s="1" t="s">
        <v>203</v>
      </c>
      <c r="C1619" s="1">
        <v>1</v>
      </c>
      <c r="D1619" s="1" t="s">
        <v>5935</v>
      </c>
      <c r="E1619" s="21" t="s">
        <v>5936</v>
      </c>
      <c r="F1619" s="1" t="s">
        <v>5934</v>
      </c>
      <c r="G1619" s="1">
        <v>1</v>
      </c>
      <c r="L1619" s="1">
        <v>12000</v>
      </c>
      <c r="N1619" s="1">
        <v>0</v>
      </c>
      <c r="P1619" s="1">
        <v>1200</v>
      </c>
      <c r="R1619" s="1">
        <v>50</v>
      </c>
      <c r="Z1619" s="1">
        <v>0.05</v>
      </c>
      <c r="AA1619" s="1">
        <v>1</v>
      </c>
      <c r="AB1619" s="1">
        <v>0</v>
      </c>
      <c r="AC1619" s="1">
        <v>0</v>
      </c>
      <c r="AH1619" s="1">
        <v>1</v>
      </c>
      <c r="AI1619" s="1">
        <v>1</v>
      </c>
      <c r="AJ1619" s="1" t="s">
        <v>5937</v>
      </c>
      <c r="AK1619" s="1" t="s">
        <v>206</v>
      </c>
      <c r="AL1619" s="1" t="s">
        <v>228</v>
      </c>
      <c r="AN1619" s="22" t="s">
        <v>9767</v>
      </c>
      <c r="AX1619" s="1">
        <v>1</v>
      </c>
      <c r="AZ1619" s="1">
        <v>0.1</v>
      </c>
      <c r="BG1619" s="1" t="s">
        <v>5934</v>
      </c>
      <c r="BM1619" s="1" t="s">
        <v>3410</v>
      </c>
      <c r="BQ1619" s="1" t="s">
        <v>207</v>
      </c>
      <c r="BR1619" s="1" t="s">
        <v>208</v>
      </c>
      <c r="BS1619" s="1" t="s">
        <v>208</v>
      </c>
      <c r="BT1619" s="1" t="s">
        <v>210</v>
      </c>
      <c r="BX1619" s="1">
        <v>1</v>
      </c>
    </row>
    <row r="1620" spans="1:76" x14ac:dyDescent="0.25">
      <c r="A1620" s="1" t="s">
        <v>5938</v>
      </c>
      <c r="B1620" s="1" t="s">
        <v>203</v>
      </c>
      <c r="C1620" s="1">
        <v>1</v>
      </c>
      <c r="D1620" s="1" t="s">
        <v>5939</v>
      </c>
      <c r="E1620" s="1">
        <v>2063</v>
      </c>
      <c r="F1620" s="1" t="s">
        <v>5938</v>
      </c>
      <c r="G1620" s="1">
        <v>1</v>
      </c>
      <c r="L1620" s="1">
        <v>5000</v>
      </c>
      <c r="N1620" s="1">
        <v>260</v>
      </c>
      <c r="P1620" s="1">
        <v>100</v>
      </c>
      <c r="R1620" s="1">
        <v>50</v>
      </c>
      <c r="Z1620" s="1">
        <v>0.05</v>
      </c>
      <c r="AA1620" s="1">
        <v>3.2</v>
      </c>
      <c r="AB1620" s="1">
        <v>1</v>
      </c>
      <c r="AC1620" s="1">
        <v>0.7</v>
      </c>
      <c r="AH1620" s="1">
        <v>0</v>
      </c>
      <c r="AI1620" s="1">
        <v>1</v>
      </c>
      <c r="AJ1620" s="1" t="s">
        <v>5940</v>
      </c>
      <c r="AK1620" s="1" t="s">
        <v>265</v>
      </c>
      <c r="AL1620" s="1" t="s">
        <v>228</v>
      </c>
      <c r="AN1620" s="22" t="s">
        <v>9767</v>
      </c>
      <c r="AX1620" s="1">
        <v>1</v>
      </c>
      <c r="AZ1620" s="1">
        <v>0.1</v>
      </c>
      <c r="BG1620" s="1" t="s">
        <v>5938</v>
      </c>
      <c r="BM1620" s="1" t="s">
        <v>3272</v>
      </c>
      <c r="BQ1620" s="1" t="s">
        <v>207</v>
      </c>
      <c r="BR1620" s="1" t="s">
        <v>208</v>
      </c>
      <c r="BS1620" s="1" t="s">
        <v>229</v>
      </c>
      <c r="BT1620" s="1" t="s">
        <v>210</v>
      </c>
      <c r="BX1620" s="1">
        <v>1</v>
      </c>
    </row>
    <row r="1621" spans="1:76" x14ac:dyDescent="0.25">
      <c r="A1621" s="1" t="s">
        <v>5941</v>
      </c>
      <c r="B1621" s="1" t="s">
        <v>203</v>
      </c>
      <c r="C1621" s="1">
        <v>1</v>
      </c>
      <c r="D1621" s="1" t="s">
        <v>5942</v>
      </c>
      <c r="E1621" s="1">
        <v>2064</v>
      </c>
      <c r="F1621" s="1" t="s">
        <v>5941</v>
      </c>
      <c r="G1621" s="1">
        <v>1</v>
      </c>
      <c r="L1621" s="1">
        <v>10000</v>
      </c>
      <c r="N1621" s="1">
        <v>800</v>
      </c>
      <c r="P1621" s="1">
        <v>700</v>
      </c>
      <c r="R1621" s="1">
        <v>20</v>
      </c>
      <c r="Z1621" s="1">
        <v>0.05</v>
      </c>
      <c r="AA1621" s="1">
        <v>3.5</v>
      </c>
      <c r="AB1621" s="1">
        <v>3</v>
      </c>
      <c r="AC1621" s="1">
        <v>0.6</v>
      </c>
      <c r="AH1621" s="1">
        <v>0</v>
      </c>
      <c r="AI1621" s="1">
        <v>1</v>
      </c>
      <c r="AJ1621" s="1" t="s">
        <v>5943</v>
      </c>
      <c r="AK1621" s="1" t="s">
        <v>265</v>
      </c>
      <c r="AL1621" s="1" t="s">
        <v>228</v>
      </c>
      <c r="AN1621" s="22" t="s">
        <v>9767</v>
      </c>
      <c r="AX1621" s="1">
        <v>1</v>
      </c>
      <c r="AZ1621" s="1">
        <v>0.1</v>
      </c>
      <c r="BG1621" s="1" t="s">
        <v>5941</v>
      </c>
      <c r="BM1621" s="1" t="s">
        <v>1473</v>
      </c>
      <c r="BQ1621" s="1" t="s">
        <v>207</v>
      </c>
      <c r="BR1621" s="1" t="s">
        <v>208</v>
      </c>
      <c r="BS1621" s="1" t="s">
        <v>229</v>
      </c>
      <c r="BT1621" s="1" t="s">
        <v>210</v>
      </c>
      <c r="BX1621" s="1">
        <v>1</v>
      </c>
    </row>
    <row r="1622" spans="1:76" x14ac:dyDescent="0.25">
      <c r="A1622" s="1" t="s">
        <v>5944</v>
      </c>
      <c r="B1622" s="1" t="s">
        <v>203</v>
      </c>
      <c r="C1622" s="1">
        <v>1</v>
      </c>
      <c r="D1622" s="1" t="s">
        <v>5945</v>
      </c>
      <c r="E1622" s="1">
        <v>2064</v>
      </c>
      <c r="F1622" s="1" t="s">
        <v>5944</v>
      </c>
      <c r="G1622" s="1">
        <v>1</v>
      </c>
      <c r="L1622" s="1">
        <v>12000</v>
      </c>
      <c r="N1622" s="1">
        <v>900</v>
      </c>
      <c r="P1622" s="1">
        <v>800</v>
      </c>
      <c r="R1622" s="1">
        <v>20</v>
      </c>
      <c r="Z1622" s="1">
        <v>0.05</v>
      </c>
      <c r="AA1622" s="1">
        <v>3.5</v>
      </c>
      <c r="AB1622" s="1">
        <v>3</v>
      </c>
      <c r="AC1622" s="1">
        <v>0.6</v>
      </c>
      <c r="AH1622" s="1">
        <v>0</v>
      </c>
      <c r="AI1622" s="1">
        <v>1</v>
      </c>
      <c r="AJ1622" s="1" t="s">
        <v>5946</v>
      </c>
      <c r="AK1622" s="1" t="s">
        <v>265</v>
      </c>
      <c r="AL1622" s="1" t="s">
        <v>228</v>
      </c>
      <c r="AN1622" s="22" t="s">
        <v>9767</v>
      </c>
      <c r="AX1622" s="1">
        <v>1</v>
      </c>
      <c r="AZ1622" s="1">
        <v>0.1</v>
      </c>
      <c r="BG1622" s="1" t="s">
        <v>5941</v>
      </c>
      <c r="BM1622" s="1" t="s">
        <v>1473</v>
      </c>
      <c r="BQ1622" s="1" t="s">
        <v>207</v>
      </c>
      <c r="BR1622" s="1" t="s">
        <v>208</v>
      </c>
      <c r="BS1622" s="1" t="s">
        <v>229</v>
      </c>
      <c r="BT1622" s="1" t="s">
        <v>210</v>
      </c>
      <c r="BX1622" s="1">
        <v>1</v>
      </c>
    </row>
    <row r="1623" spans="1:76" x14ac:dyDescent="0.25">
      <c r="A1623" s="1" t="s">
        <v>5947</v>
      </c>
      <c r="B1623" s="1" t="s">
        <v>203</v>
      </c>
      <c r="C1623" s="1">
        <v>1</v>
      </c>
      <c r="D1623" s="1" t="s">
        <v>5948</v>
      </c>
      <c r="E1623" s="1">
        <v>2065</v>
      </c>
      <c r="F1623" s="1" t="s">
        <v>5947</v>
      </c>
      <c r="G1623" s="1">
        <v>1</v>
      </c>
      <c r="L1623" s="1">
        <v>15000</v>
      </c>
      <c r="N1623" s="1">
        <v>800</v>
      </c>
      <c r="P1623" s="1">
        <v>350</v>
      </c>
      <c r="R1623" s="1">
        <v>50</v>
      </c>
      <c r="Z1623" s="1">
        <v>0.05</v>
      </c>
      <c r="AA1623" s="1">
        <v>2.2000000000000002</v>
      </c>
      <c r="AB1623" s="1">
        <v>2</v>
      </c>
      <c r="AC1623" s="1">
        <v>0.8</v>
      </c>
      <c r="AH1623" s="1">
        <v>0</v>
      </c>
      <c r="AI1623" s="1">
        <v>1</v>
      </c>
      <c r="AJ1623" s="1" t="s">
        <v>5949</v>
      </c>
      <c r="AK1623" s="1" t="s">
        <v>265</v>
      </c>
      <c r="AL1623" s="1" t="s">
        <v>228</v>
      </c>
      <c r="AN1623" s="22" t="s">
        <v>9767</v>
      </c>
      <c r="AX1623" s="1">
        <v>1</v>
      </c>
      <c r="AZ1623" s="1">
        <v>0.1</v>
      </c>
      <c r="BG1623" s="1" t="s">
        <v>5947</v>
      </c>
      <c r="BM1623" s="1" t="s">
        <v>930</v>
      </c>
      <c r="BQ1623" s="1" t="s">
        <v>207</v>
      </c>
      <c r="BR1623" s="1" t="s">
        <v>208</v>
      </c>
      <c r="BS1623" s="1" t="s">
        <v>229</v>
      </c>
      <c r="BT1623" s="1" t="s">
        <v>210</v>
      </c>
      <c r="BX1623" s="1">
        <v>1</v>
      </c>
    </row>
    <row r="1624" spans="1:76" x14ac:dyDescent="0.25">
      <c r="A1624" s="1" t="s">
        <v>5950</v>
      </c>
      <c r="B1624" s="1" t="s">
        <v>203</v>
      </c>
      <c r="C1624" s="1">
        <v>1</v>
      </c>
      <c r="D1624" s="1" t="s">
        <v>5951</v>
      </c>
      <c r="E1624" s="1">
        <v>2066</v>
      </c>
      <c r="F1624" s="1" t="s">
        <v>5950</v>
      </c>
      <c r="G1624" s="1">
        <v>1</v>
      </c>
      <c r="L1624" s="1">
        <v>15000</v>
      </c>
      <c r="N1624" s="1">
        <v>600</v>
      </c>
      <c r="P1624" s="1">
        <v>350</v>
      </c>
      <c r="R1624" s="1">
        <v>60</v>
      </c>
      <c r="Z1624" s="1">
        <v>0.05</v>
      </c>
      <c r="AA1624" s="1">
        <v>3.5</v>
      </c>
      <c r="AB1624" s="1">
        <v>3</v>
      </c>
      <c r="AC1624" s="1">
        <v>0.6</v>
      </c>
      <c r="AH1624" s="1">
        <v>0</v>
      </c>
      <c r="AI1624" s="1">
        <v>1</v>
      </c>
      <c r="AJ1624" s="1" t="s">
        <v>5952</v>
      </c>
      <c r="AK1624" s="1" t="s">
        <v>265</v>
      </c>
      <c r="AL1624" s="1" t="s">
        <v>228</v>
      </c>
      <c r="AN1624" s="22" t="s">
        <v>9767</v>
      </c>
      <c r="AX1624" s="1">
        <v>1</v>
      </c>
      <c r="AZ1624" s="1">
        <v>0.1</v>
      </c>
      <c r="BG1624" s="1" t="s">
        <v>5950</v>
      </c>
      <c r="BM1624" s="1" t="s">
        <v>1073</v>
      </c>
      <c r="BQ1624" s="1" t="s">
        <v>207</v>
      </c>
      <c r="BR1624" s="1" t="s">
        <v>208</v>
      </c>
      <c r="BS1624" s="1" t="s">
        <v>229</v>
      </c>
      <c r="BT1624" s="1" t="s">
        <v>210</v>
      </c>
      <c r="BX1624" s="1">
        <v>1</v>
      </c>
    </row>
    <row r="1625" spans="1:76" x14ac:dyDescent="0.25">
      <c r="A1625" s="1" t="s">
        <v>5953</v>
      </c>
      <c r="B1625" s="1" t="s">
        <v>203</v>
      </c>
      <c r="C1625" s="1">
        <v>1</v>
      </c>
      <c r="D1625" s="1" t="s">
        <v>5954</v>
      </c>
      <c r="E1625" s="1">
        <v>2067</v>
      </c>
      <c r="F1625" s="1" t="s">
        <v>5953</v>
      </c>
      <c r="G1625" s="1">
        <v>1</v>
      </c>
      <c r="L1625" s="1">
        <v>50000</v>
      </c>
      <c r="N1625" s="1">
        <v>1000</v>
      </c>
      <c r="P1625" s="1">
        <v>300</v>
      </c>
      <c r="R1625" s="1">
        <v>10</v>
      </c>
      <c r="Z1625" s="1">
        <v>0.05</v>
      </c>
      <c r="AA1625" s="1">
        <v>3.5</v>
      </c>
      <c r="AB1625" s="1">
        <v>5</v>
      </c>
      <c r="AC1625" s="1">
        <v>0.7</v>
      </c>
      <c r="AH1625" s="1">
        <v>0</v>
      </c>
      <c r="AI1625" s="1">
        <v>1</v>
      </c>
      <c r="AJ1625" s="1" t="s">
        <v>5955</v>
      </c>
      <c r="AK1625" s="1" t="s">
        <v>265</v>
      </c>
      <c r="AL1625" s="1" t="s">
        <v>228</v>
      </c>
      <c r="AN1625" s="22" t="s">
        <v>9767</v>
      </c>
      <c r="AX1625" s="1">
        <v>1</v>
      </c>
      <c r="AZ1625" s="1">
        <v>0.1</v>
      </c>
      <c r="BG1625" s="1" t="s">
        <v>5953</v>
      </c>
      <c r="BM1625" s="1" t="s">
        <v>989</v>
      </c>
      <c r="BQ1625" s="1" t="s">
        <v>207</v>
      </c>
      <c r="BR1625" s="1" t="s">
        <v>208</v>
      </c>
      <c r="BS1625" s="1" t="s">
        <v>229</v>
      </c>
      <c r="BT1625" s="1" t="s">
        <v>210</v>
      </c>
      <c r="BX1625" s="1">
        <v>1</v>
      </c>
    </row>
    <row r="1626" spans="1:76" x14ac:dyDescent="0.25">
      <c r="A1626" s="1" t="s">
        <v>5956</v>
      </c>
      <c r="B1626" s="1" t="s">
        <v>203</v>
      </c>
      <c r="C1626" s="1">
        <v>1</v>
      </c>
      <c r="D1626" s="1" t="s">
        <v>5957</v>
      </c>
      <c r="E1626" s="1">
        <v>2068</v>
      </c>
      <c r="F1626" s="1" t="s">
        <v>5956</v>
      </c>
      <c r="G1626" s="1">
        <v>1</v>
      </c>
      <c r="L1626" s="1">
        <v>10000</v>
      </c>
      <c r="N1626" s="1">
        <v>800</v>
      </c>
      <c r="P1626" s="1">
        <v>500</v>
      </c>
      <c r="R1626" s="1">
        <v>0</v>
      </c>
      <c r="Z1626" s="1">
        <v>0.05</v>
      </c>
      <c r="AA1626" s="1">
        <v>5</v>
      </c>
      <c r="AB1626" s="1">
        <v>2</v>
      </c>
      <c r="AC1626" s="1">
        <v>0.2</v>
      </c>
      <c r="AH1626" s="1">
        <v>0</v>
      </c>
      <c r="AI1626" s="1">
        <v>1</v>
      </c>
      <c r="AJ1626" s="1" t="s">
        <v>5958</v>
      </c>
      <c r="AK1626" s="1" t="s">
        <v>265</v>
      </c>
      <c r="AL1626" s="1" t="s">
        <v>228</v>
      </c>
      <c r="AN1626" s="22" t="s">
        <v>9767</v>
      </c>
      <c r="AX1626" s="1">
        <v>0</v>
      </c>
      <c r="AZ1626" s="1">
        <v>0.1</v>
      </c>
      <c r="BG1626" s="1" t="s">
        <v>5956</v>
      </c>
      <c r="BM1626" s="1" t="s">
        <v>4125</v>
      </c>
      <c r="BQ1626" s="1" t="s">
        <v>207</v>
      </c>
      <c r="BR1626" s="1" t="s">
        <v>208</v>
      </c>
      <c r="BS1626" s="1" t="s">
        <v>229</v>
      </c>
      <c r="BT1626" s="1" t="s">
        <v>210</v>
      </c>
      <c r="BX1626" s="1">
        <v>1</v>
      </c>
    </row>
    <row r="1627" spans="1:76" x14ac:dyDescent="0.25">
      <c r="A1627" s="1" t="s">
        <v>5959</v>
      </c>
      <c r="B1627" s="1" t="s">
        <v>203</v>
      </c>
      <c r="C1627" s="1">
        <v>1</v>
      </c>
      <c r="D1627" s="1" t="s">
        <v>5960</v>
      </c>
      <c r="E1627" s="1">
        <v>2069</v>
      </c>
      <c r="F1627" s="1" t="s">
        <v>5959</v>
      </c>
      <c r="G1627" s="1">
        <v>1</v>
      </c>
      <c r="L1627" s="1">
        <v>8000</v>
      </c>
      <c r="N1627" s="1">
        <v>700</v>
      </c>
      <c r="P1627" s="1">
        <v>550</v>
      </c>
      <c r="R1627" s="1">
        <v>20</v>
      </c>
      <c r="Z1627" s="1">
        <v>0.05</v>
      </c>
      <c r="AA1627" s="1">
        <v>2</v>
      </c>
      <c r="AB1627" s="1">
        <v>2</v>
      </c>
      <c r="AC1627" s="1">
        <v>0.7</v>
      </c>
      <c r="AH1627" s="1">
        <v>0</v>
      </c>
      <c r="AI1627" s="1">
        <v>1</v>
      </c>
      <c r="AJ1627" s="1" t="s">
        <v>5961</v>
      </c>
      <c r="AK1627" s="1" t="s">
        <v>265</v>
      </c>
      <c r="AL1627" s="1" t="s">
        <v>228</v>
      </c>
      <c r="AN1627" s="22" t="s">
        <v>9767</v>
      </c>
      <c r="AX1627" s="1">
        <v>1</v>
      </c>
      <c r="AZ1627" s="1">
        <v>0.1</v>
      </c>
      <c r="BG1627" s="1" t="s">
        <v>5959</v>
      </c>
      <c r="BM1627" s="1" t="s">
        <v>2382</v>
      </c>
      <c r="BQ1627" s="1" t="s">
        <v>207</v>
      </c>
      <c r="BR1627" s="1" t="s">
        <v>208</v>
      </c>
      <c r="BS1627" s="1" t="s">
        <v>229</v>
      </c>
      <c r="BT1627" s="1" t="s">
        <v>210</v>
      </c>
      <c r="BX1627" s="1">
        <v>1</v>
      </c>
    </row>
    <row r="1628" spans="1:76" x14ac:dyDescent="0.25">
      <c r="A1628" s="1" t="s">
        <v>5962</v>
      </c>
      <c r="B1628" s="1" t="s">
        <v>203</v>
      </c>
      <c r="C1628" s="1">
        <v>1</v>
      </c>
      <c r="D1628" s="1" t="s">
        <v>5963</v>
      </c>
      <c r="E1628" s="1">
        <v>2070</v>
      </c>
      <c r="F1628" s="1" t="s">
        <v>5962</v>
      </c>
      <c r="G1628" s="1">
        <v>1</v>
      </c>
      <c r="L1628" s="1">
        <v>8000</v>
      </c>
      <c r="N1628" s="1">
        <v>700</v>
      </c>
      <c r="P1628" s="1">
        <v>550</v>
      </c>
      <c r="R1628" s="1">
        <v>20</v>
      </c>
      <c r="Z1628" s="1">
        <v>0.05</v>
      </c>
      <c r="AA1628" s="1">
        <v>2</v>
      </c>
      <c r="AB1628" s="1">
        <v>2</v>
      </c>
      <c r="AC1628" s="1">
        <v>0.35</v>
      </c>
      <c r="AH1628" s="1">
        <v>0</v>
      </c>
      <c r="AI1628" s="1">
        <v>1</v>
      </c>
      <c r="AJ1628" s="1" t="s">
        <v>5964</v>
      </c>
      <c r="AK1628" s="1" t="s">
        <v>265</v>
      </c>
      <c r="AL1628" s="1" t="s">
        <v>228</v>
      </c>
      <c r="AN1628" s="22" t="s">
        <v>9767</v>
      </c>
      <c r="AX1628" s="1">
        <v>1</v>
      </c>
      <c r="AZ1628" s="1">
        <v>0.1</v>
      </c>
      <c r="BG1628" s="1" t="s">
        <v>5962</v>
      </c>
      <c r="BM1628" s="1" t="s">
        <v>2382</v>
      </c>
      <c r="BQ1628" s="1" t="s">
        <v>207</v>
      </c>
      <c r="BR1628" s="1" t="s">
        <v>2899</v>
      </c>
      <c r="BS1628" s="1" t="s">
        <v>2900</v>
      </c>
      <c r="BT1628" s="1" t="s">
        <v>5965</v>
      </c>
      <c r="BX1628" s="1">
        <v>1</v>
      </c>
    </row>
    <row r="1629" spans="1:76" x14ac:dyDescent="0.25">
      <c r="A1629" s="1" t="s">
        <v>5966</v>
      </c>
      <c r="B1629" s="1" t="s">
        <v>203</v>
      </c>
      <c r="C1629" s="1">
        <v>1</v>
      </c>
      <c r="D1629" s="1" t="s">
        <v>5967</v>
      </c>
      <c r="E1629" s="1">
        <v>2071</v>
      </c>
      <c r="F1629" s="1" t="s">
        <v>5966</v>
      </c>
      <c r="G1629" s="1">
        <v>1</v>
      </c>
      <c r="L1629" s="1">
        <v>55000</v>
      </c>
      <c r="N1629" s="1">
        <v>900</v>
      </c>
      <c r="P1629" s="1">
        <v>500</v>
      </c>
      <c r="R1629" s="1">
        <v>70</v>
      </c>
      <c r="Z1629" s="1">
        <v>0.05</v>
      </c>
      <c r="AA1629" s="1">
        <v>3.9</v>
      </c>
      <c r="AB1629" s="1">
        <v>5</v>
      </c>
      <c r="AC1629" s="1">
        <v>0.5</v>
      </c>
      <c r="AH1629" s="1">
        <v>0</v>
      </c>
      <c r="AI1629" s="1">
        <v>1</v>
      </c>
      <c r="AJ1629" s="1" t="s">
        <v>5968</v>
      </c>
      <c r="AK1629" s="1" t="s">
        <v>265</v>
      </c>
      <c r="AL1629" s="1" t="s">
        <v>228</v>
      </c>
      <c r="AN1629" s="22" t="s">
        <v>9767</v>
      </c>
      <c r="AX1629" s="1">
        <v>5</v>
      </c>
      <c r="AZ1629" s="1">
        <v>0.1</v>
      </c>
      <c r="BG1629" s="1" t="s">
        <v>5966</v>
      </c>
      <c r="BM1629" s="1" t="s">
        <v>1091</v>
      </c>
      <c r="BQ1629" s="1" t="s">
        <v>207</v>
      </c>
      <c r="BR1629" s="1" t="s">
        <v>208</v>
      </c>
      <c r="BS1629" s="1" t="s">
        <v>229</v>
      </c>
      <c r="BT1629" s="1" t="s">
        <v>210</v>
      </c>
      <c r="BX1629" s="1">
        <v>1</v>
      </c>
    </row>
    <row r="1630" spans="1:76" x14ac:dyDescent="0.25">
      <c r="A1630" s="1" t="s">
        <v>5969</v>
      </c>
      <c r="B1630" s="1" t="s">
        <v>203</v>
      </c>
      <c r="C1630" s="1">
        <v>1</v>
      </c>
      <c r="D1630" s="1" t="s">
        <v>5970</v>
      </c>
      <c r="E1630" s="1">
        <v>2072</v>
      </c>
      <c r="F1630" s="1" t="s">
        <v>5969</v>
      </c>
      <c r="G1630" s="1">
        <v>1</v>
      </c>
      <c r="L1630" s="1">
        <v>55000</v>
      </c>
      <c r="N1630" s="1">
        <v>350</v>
      </c>
      <c r="P1630" s="1">
        <v>500</v>
      </c>
      <c r="R1630" s="1">
        <v>70</v>
      </c>
      <c r="Z1630" s="1">
        <v>0.05</v>
      </c>
      <c r="AA1630" s="1">
        <v>3.9</v>
      </c>
      <c r="AB1630" s="1">
        <v>5</v>
      </c>
      <c r="AC1630" s="1">
        <v>0.5</v>
      </c>
      <c r="AH1630" s="1">
        <v>0</v>
      </c>
      <c r="AI1630" s="1">
        <v>1</v>
      </c>
      <c r="AJ1630" s="1" t="s">
        <v>5971</v>
      </c>
      <c r="AK1630" s="1" t="s">
        <v>265</v>
      </c>
      <c r="AL1630" s="1" t="s">
        <v>228</v>
      </c>
      <c r="AN1630" s="22" t="s">
        <v>9767</v>
      </c>
      <c r="AX1630" s="1">
        <v>5</v>
      </c>
      <c r="AZ1630" s="1">
        <v>0.1</v>
      </c>
      <c r="BG1630" s="1" t="s">
        <v>5969</v>
      </c>
      <c r="BM1630" s="1" t="s">
        <v>1091</v>
      </c>
      <c r="BQ1630" s="1" t="s">
        <v>207</v>
      </c>
      <c r="BR1630" s="1" t="s">
        <v>208</v>
      </c>
      <c r="BS1630" s="1" t="s">
        <v>229</v>
      </c>
      <c r="BT1630" s="1" t="s">
        <v>210</v>
      </c>
      <c r="BX1630" s="1">
        <v>1</v>
      </c>
    </row>
    <row r="1631" spans="1:76" x14ac:dyDescent="0.25">
      <c r="A1631" s="1" t="s">
        <v>5972</v>
      </c>
      <c r="B1631" s="1" t="s">
        <v>203</v>
      </c>
      <c r="C1631" s="1">
        <v>1</v>
      </c>
      <c r="D1631" s="1" t="s">
        <v>5973</v>
      </c>
      <c r="E1631" s="1">
        <v>2073</v>
      </c>
      <c r="F1631" s="1" t="s">
        <v>5972</v>
      </c>
      <c r="G1631" s="1">
        <v>1</v>
      </c>
      <c r="L1631" s="1">
        <v>50000</v>
      </c>
      <c r="N1631" s="1">
        <v>0</v>
      </c>
      <c r="P1631" s="1">
        <v>1000</v>
      </c>
      <c r="R1631" s="1">
        <v>50</v>
      </c>
      <c r="Z1631" s="1">
        <v>0.05</v>
      </c>
      <c r="AA1631" s="1">
        <v>5</v>
      </c>
      <c r="AB1631" s="1">
        <v>3</v>
      </c>
      <c r="AC1631" s="1">
        <v>0</v>
      </c>
      <c r="AH1631" s="1">
        <v>1</v>
      </c>
      <c r="AI1631" s="1">
        <v>1</v>
      </c>
      <c r="AJ1631" s="1" t="s">
        <v>5974</v>
      </c>
      <c r="AK1631" s="1" t="s">
        <v>265</v>
      </c>
      <c r="AL1631" s="1" t="s">
        <v>228</v>
      </c>
      <c r="AN1631" s="22" t="s">
        <v>9767</v>
      </c>
      <c r="AX1631" s="1">
        <v>5</v>
      </c>
      <c r="AZ1631" s="1">
        <v>0.1</v>
      </c>
      <c r="BG1631" s="1" t="s">
        <v>5972</v>
      </c>
      <c r="BM1631" s="1" t="s">
        <v>3410</v>
      </c>
      <c r="BQ1631" s="1" t="s">
        <v>207</v>
      </c>
      <c r="BR1631" s="1" t="s">
        <v>208</v>
      </c>
      <c r="BS1631" s="1" t="s">
        <v>229</v>
      </c>
      <c r="BT1631" s="1" t="s">
        <v>210</v>
      </c>
      <c r="BX1631" s="1">
        <v>1</v>
      </c>
    </row>
    <row r="1632" spans="1:76" x14ac:dyDescent="0.25">
      <c r="A1632" s="1" t="s">
        <v>5975</v>
      </c>
      <c r="B1632" s="1" t="s">
        <v>203</v>
      </c>
      <c r="C1632" s="1">
        <v>1</v>
      </c>
      <c r="D1632" s="1" t="s">
        <v>5976</v>
      </c>
      <c r="E1632" s="1">
        <v>2074</v>
      </c>
      <c r="F1632" s="1" t="s">
        <v>5975</v>
      </c>
      <c r="G1632" s="1">
        <v>1</v>
      </c>
      <c r="L1632" s="1">
        <v>80000</v>
      </c>
      <c r="N1632" s="1">
        <v>2350</v>
      </c>
      <c r="P1632" s="1">
        <v>1000</v>
      </c>
      <c r="R1632" s="1">
        <v>25</v>
      </c>
      <c r="Z1632" s="1">
        <v>0.05</v>
      </c>
      <c r="AA1632" s="1">
        <v>6</v>
      </c>
      <c r="AB1632" s="1">
        <v>5</v>
      </c>
      <c r="AC1632" s="1">
        <v>0.5</v>
      </c>
      <c r="AH1632" s="1">
        <v>0</v>
      </c>
      <c r="AI1632" s="1">
        <v>1</v>
      </c>
      <c r="AJ1632" s="1" t="s">
        <v>5977</v>
      </c>
      <c r="AK1632" s="1" t="s">
        <v>265</v>
      </c>
      <c r="AL1632" s="1" t="s">
        <v>228</v>
      </c>
      <c r="AN1632" s="22" t="s">
        <v>9767</v>
      </c>
      <c r="AX1632" s="1">
        <v>5</v>
      </c>
      <c r="AZ1632" s="1">
        <v>0.1</v>
      </c>
      <c r="BG1632" s="1" t="s">
        <v>5975</v>
      </c>
      <c r="BM1632" s="1" t="s">
        <v>1674</v>
      </c>
      <c r="BQ1632" s="1" t="s">
        <v>207</v>
      </c>
      <c r="BR1632" s="1" t="s">
        <v>208</v>
      </c>
      <c r="BS1632" s="1" t="s">
        <v>229</v>
      </c>
      <c r="BT1632" s="1" t="s">
        <v>210</v>
      </c>
      <c r="BX1632" s="1">
        <v>1</v>
      </c>
    </row>
    <row r="1633" spans="1:76" x14ac:dyDescent="0.25">
      <c r="A1633" s="1" t="s">
        <v>5978</v>
      </c>
      <c r="B1633" s="1" t="s">
        <v>203</v>
      </c>
      <c r="C1633" s="1">
        <v>1</v>
      </c>
      <c r="D1633" s="1" t="s">
        <v>5979</v>
      </c>
      <c r="E1633" s="1">
        <v>2075</v>
      </c>
      <c r="F1633" s="1" t="s">
        <v>5978</v>
      </c>
      <c r="G1633" s="1">
        <v>1</v>
      </c>
      <c r="L1633" s="1">
        <v>80000</v>
      </c>
      <c r="N1633" s="1">
        <v>1850</v>
      </c>
      <c r="P1633" s="1">
        <v>1000</v>
      </c>
      <c r="R1633" s="1">
        <v>20</v>
      </c>
      <c r="Z1633" s="1">
        <v>0.05</v>
      </c>
      <c r="AA1633" s="1">
        <v>6</v>
      </c>
      <c r="AB1633" s="1">
        <v>5</v>
      </c>
      <c r="AC1633" s="1">
        <v>0.5</v>
      </c>
      <c r="AH1633" s="1">
        <v>0</v>
      </c>
      <c r="AI1633" s="1">
        <v>1</v>
      </c>
      <c r="AJ1633" s="1" t="s">
        <v>5980</v>
      </c>
      <c r="AK1633" s="1" t="s">
        <v>265</v>
      </c>
      <c r="AL1633" s="1" t="s">
        <v>228</v>
      </c>
      <c r="AN1633" s="22" t="s">
        <v>9767</v>
      </c>
      <c r="AX1633" s="1">
        <v>5</v>
      </c>
      <c r="AZ1633" s="1">
        <v>0.1</v>
      </c>
      <c r="BG1633" s="1" t="s">
        <v>5978</v>
      </c>
      <c r="BM1633" s="1" t="s">
        <v>1674</v>
      </c>
      <c r="BQ1633" s="1" t="s">
        <v>207</v>
      </c>
      <c r="BR1633" s="1" t="s">
        <v>208</v>
      </c>
      <c r="BS1633" s="1" t="s">
        <v>229</v>
      </c>
      <c r="BT1633" s="1" t="s">
        <v>210</v>
      </c>
      <c r="BX1633" s="1">
        <v>1</v>
      </c>
    </row>
    <row r="1634" spans="1:76" x14ac:dyDescent="0.25">
      <c r="A1634" s="1" t="s">
        <v>5981</v>
      </c>
      <c r="B1634" s="1" t="s">
        <v>203</v>
      </c>
      <c r="C1634" s="1">
        <v>1</v>
      </c>
      <c r="D1634" s="1" t="s">
        <v>5982</v>
      </c>
      <c r="E1634" s="1">
        <v>2076</v>
      </c>
      <c r="F1634" s="1" t="s">
        <v>5981</v>
      </c>
      <c r="G1634" s="1">
        <v>1</v>
      </c>
      <c r="L1634" s="1">
        <v>50000</v>
      </c>
      <c r="N1634" s="1">
        <v>1000</v>
      </c>
      <c r="P1634" s="1">
        <v>500</v>
      </c>
      <c r="R1634" s="1">
        <v>50</v>
      </c>
      <c r="Z1634" s="1">
        <v>0.05</v>
      </c>
      <c r="AA1634" s="1">
        <v>2</v>
      </c>
      <c r="AB1634" s="1">
        <v>10</v>
      </c>
      <c r="AC1634" s="1">
        <v>0.39</v>
      </c>
      <c r="AH1634" s="1">
        <v>0</v>
      </c>
      <c r="AI1634" s="1">
        <v>1</v>
      </c>
      <c r="AJ1634" s="1" t="s">
        <v>76</v>
      </c>
      <c r="AK1634" s="1" t="s">
        <v>265</v>
      </c>
      <c r="AL1634" s="1" t="s">
        <v>228</v>
      </c>
      <c r="AN1634" s="22" t="s">
        <v>9767</v>
      </c>
      <c r="AX1634" s="1">
        <v>5</v>
      </c>
      <c r="AZ1634" s="1">
        <v>0.1</v>
      </c>
      <c r="BG1634" s="1" t="s">
        <v>5981</v>
      </c>
      <c r="BM1634" s="1" t="s">
        <v>5983</v>
      </c>
      <c r="BQ1634" s="1" t="s">
        <v>207</v>
      </c>
      <c r="BR1634" s="1" t="s">
        <v>208</v>
      </c>
      <c r="BS1634" s="1" t="s">
        <v>229</v>
      </c>
      <c r="BT1634" s="1" t="s">
        <v>210</v>
      </c>
      <c r="BX1634" s="1">
        <v>1</v>
      </c>
    </row>
    <row r="1635" spans="1:76" x14ac:dyDescent="0.25">
      <c r="A1635" s="1" t="s">
        <v>5984</v>
      </c>
      <c r="B1635" s="1" t="s">
        <v>203</v>
      </c>
      <c r="C1635" s="1">
        <v>1</v>
      </c>
      <c r="D1635" s="1" t="s">
        <v>5985</v>
      </c>
      <c r="E1635" s="1">
        <v>2077</v>
      </c>
      <c r="F1635" s="1" t="s">
        <v>5984</v>
      </c>
      <c r="G1635" s="1">
        <v>1</v>
      </c>
      <c r="L1635" s="1">
        <v>37500</v>
      </c>
      <c r="N1635" s="1">
        <v>1500</v>
      </c>
      <c r="P1635" s="1">
        <v>500</v>
      </c>
      <c r="R1635" s="1">
        <v>50</v>
      </c>
      <c r="Z1635" s="1">
        <v>0.05</v>
      </c>
      <c r="AA1635" s="1">
        <v>2</v>
      </c>
      <c r="AB1635" s="1">
        <v>10</v>
      </c>
      <c r="AC1635" s="1">
        <v>0.39</v>
      </c>
      <c r="AH1635" s="1">
        <v>0</v>
      </c>
      <c r="AI1635" s="1">
        <v>1</v>
      </c>
      <c r="AJ1635" s="1" t="s">
        <v>5986</v>
      </c>
      <c r="AK1635" s="1" t="s">
        <v>265</v>
      </c>
      <c r="AL1635" s="1" t="s">
        <v>228</v>
      </c>
      <c r="AN1635" s="22" t="s">
        <v>9767</v>
      </c>
      <c r="AX1635" s="1">
        <v>5</v>
      </c>
      <c r="AZ1635" s="1">
        <v>0.1</v>
      </c>
      <c r="BG1635" s="1" t="s">
        <v>5984</v>
      </c>
      <c r="BM1635" s="1" t="s">
        <v>5983</v>
      </c>
      <c r="BQ1635" s="1" t="s">
        <v>207</v>
      </c>
      <c r="BR1635" s="1" t="s">
        <v>208</v>
      </c>
      <c r="BS1635" s="1" t="s">
        <v>229</v>
      </c>
      <c r="BT1635" s="1" t="s">
        <v>210</v>
      </c>
      <c r="BX1635" s="1">
        <v>1</v>
      </c>
    </row>
    <row r="1636" spans="1:76" x14ac:dyDescent="0.25">
      <c r="A1636" s="1" t="s">
        <v>5987</v>
      </c>
      <c r="B1636" s="1" t="s">
        <v>203</v>
      </c>
      <c r="C1636" s="1">
        <v>1</v>
      </c>
      <c r="D1636" s="1" t="s">
        <v>5988</v>
      </c>
      <c r="E1636" s="1">
        <v>2078</v>
      </c>
      <c r="F1636" s="1" t="s">
        <v>5987</v>
      </c>
      <c r="G1636" s="1">
        <v>1</v>
      </c>
      <c r="L1636" s="1">
        <v>50000</v>
      </c>
      <c r="N1636" s="1">
        <v>800</v>
      </c>
      <c r="P1636" s="1">
        <v>1000</v>
      </c>
      <c r="R1636" s="1">
        <v>0</v>
      </c>
      <c r="Z1636" s="1">
        <v>0.05</v>
      </c>
      <c r="AA1636" s="1">
        <v>5</v>
      </c>
      <c r="AB1636" s="1">
        <v>5</v>
      </c>
      <c r="AC1636" s="1">
        <v>0.39</v>
      </c>
      <c r="AH1636" s="1">
        <v>0</v>
      </c>
      <c r="AI1636" s="1">
        <v>1</v>
      </c>
      <c r="AJ1636" s="1" t="s">
        <v>5989</v>
      </c>
      <c r="AK1636" s="1" t="s">
        <v>265</v>
      </c>
      <c r="AL1636" s="1" t="s">
        <v>228</v>
      </c>
      <c r="AN1636" s="22" t="s">
        <v>9767</v>
      </c>
      <c r="AX1636" s="1">
        <v>5</v>
      </c>
      <c r="AZ1636" s="1">
        <v>0.1</v>
      </c>
      <c r="BG1636" s="1" t="s">
        <v>5987</v>
      </c>
      <c r="BM1636" s="1" t="s">
        <v>5990</v>
      </c>
      <c r="BQ1636" s="1" t="s">
        <v>207</v>
      </c>
      <c r="BR1636" s="1" t="s">
        <v>208</v>
      </c>
      <c r="BS1636" s="1" t="s">
        <v>229</v>
      </c>
      <c r="BT1636" s="1" t="s">
        <v>210</v>
      </c>
      <c r="BX1636" s="1">
        <v>1</v>
      </c>
    </row>
    <row r="1637" spans="1:76" x14ac:dyDescent="0.25">
      <c r="A1637" s="1" t="s">
        <v>5991</v>
      </c>
      <c r="B1637" s="1" t="s">
        <v>203</v>
      </c>
      <c r="C1637" s="1">
        <v>1</v>
      </c>
      <c r="D1637" s="1" t="s">
        <v>5992</v>
      </c>
      <c r="E1637" s="1">
        <v>2078</v>
      </c>
      <c r="F1637" s="1" t="s">
        <v>5993</v>
      </c>
      <c r="G1637" s="1">
        <v>1</v>
      </c>
      <c r="L1637" s="1">
        <v>35000</v>
      </c>
      <c r="N1637" s="1">
        <v>1200</v>
      </c>
      <c r="P1637" s="1">
        <v>1000</v>
      </c>
      <c r="R1637" s="1">
        <v>0</v>
      </c>
      <c r="Z1637" s="1">
        <v>0.05</v>
      </c>
      <c r="AA1637" s="1">
        <v>5</v>
      </c>
      <c r="AB1637" s="1">
        <v>5</v>
      </c>
      <c r="AC1637" s="1">
        <v>0.39</v>
      </c>
      <c r="AH1637" s="1">
        <v>0</v>
      </c>
      <c r="AI1637" s="1">
        <v>1</v>
      </c>
      <c r="AJ1637" s="1" t="s">
        <v>5994</v>
      </c>
      <c r="AK1637" s="1" t="s">
        <v>265</v>
      </c>
      <c r="AL1637" s="1" t="s">
        <v>228</v>
      </c>
      <c r="AN1637" s="22" t="s">
        <v>9767</v>
      </c>
      <c r="AX1637" s="1">
        <v>5</v>
      </c>
      <c r="AZ1637" s="1">
        <v>0.1</v>
      </c>
      <c r="BG1637" s="1" t="s">
        <v>5993</v>
      </c>
      <c r="BM1637" s="1" t="s">
        <v>5990</v>
      </c>
      <c r="BQ1637" s="1" t="s">
        <v>207</v>
      </c>
      <c r="BR1637" s="1" t="s">
        <v>208</v>
      </c>
      <c r="BS1637" s="1" t="s">
        <v>229</v>
      </c>
      <c r="BT1637" s="1" t="s">
        <v>210</v>
      </c>
      <c r="BX1637" s="1">
        <v>1</v>
      </c>
    </row>
    <row r="1638" spans="1:76" x14ac:dyDescent="0.25">
      <c r="A1638" s="1" t="s">
        <v>5995</v>
      </c>
      <c r="B1638" s="1" t="s">
        <v>203</v>
      </c>
      <c r="C1638" s="1">
        <v>1</v>
      </c>
      <c r="D1638" s="1" t="s">
        <v>5996</v>
      </c>
      <c r="E1638" s="1">
        <v>2080</v>
      </c>
      <c r="F1638" s="1" t="s">
        <v>5995</v>
      </c>
      <c r="G1638" s="1">
        <v>1</v>
      </c>
      <c r="L1638" s="1">
        <v>100000</v>
      </c>
      <c r="N1638" s="1">
        <v>1250</v>
      </c>
      <c r="P1638" s="1">
        <v>1500</v>
      </c>
      <c r="R1638" s="1">
        <v>80</v>
      </c>
      <c r="Z1638" s="1">
        <v>0.05</v>
      </c>
      <c r="AA1638" s="1">
        <v>3.5</v>
      </c>
      <c r="AB1638" s="1">
        <v>7</v>
      </c>
      <c r="AC1638" s="1">
        <v>0.5</v>
      </c>
      <c r="AH1638" s="1">
        <v>0</v>
      </c>
      <c r="AI1638" s="1">
        <v>1</v>
      </c>
      <c r="AJ1638" s="1" t="s">
        <v>5997</v>
      </c>
      <c r="AK1638" s="1" t="s">
        <v>265</v>
      </c>
      <c r="AL1638" s="1" t="s">
        <v>228</v>
      </c>
      <c r="AN1638" s="22" t="s">
        <v>9767</v>
      </c>
      <c r="AX1638" s="1">
        <v>30</v>
      </c>
      <c r="AZ1638" s="1">
        <v>0.1</v>
      </c>
      <c r="BG1638" s="1" t="s">
        <v>5995</v>
      </c>
      <c r="BM1638" s="1" t="s">
        <v>1091</v>
      </c>
      <c r="BQ1638" s="1" t="s">
        <v>207</v>
      </c>
      <c r="BR1638" s="1" t="s">
        <v>208</v>
      </c>
      <c r="BS1638" s="1" t="s">
        <v>229</v>
      </c>
      <c r="BT1638" s="1" t="s">
        <v>5998</v>
      </c>
      <c r="BX1638" s="1">
        <v>1</v>
      </c>
    </row>
    <row r="1639" spans="1:76" x14ac:dyDescent="0.25">
      <c r="A1639" s="1" t="s">
        <v>5999</v>
      </c>
      <c r="B1639" s="1" t="s">
        <v>203</v>
      </c>
      <c r="C1639" s="1">
        <v>1</v>
      </c>
      <c r="D1639" s="1" t="s">
        <v>6000</v>
      </c>
      <c r="E1639" s="1">
        <v>2081</v>
      </c>
      <c r="F1639" s="1" t="s">
        <v>5999</v>
      </c>
      <c r="G1639" s="1">
        <v>1</v>
      </c>
      <c r="L1639" s="1">
        <v>120000</v>
      </c>
      <c r="N1639" s="1">
        <v>1800</v>
      </c>
      <c r="P1639" s="1">
        <v>2000</v>
      </c>
      <c r="R1639" s="1">
        <v>60</v>
      </c>
      <c r="Z1639" s="1">
        <v>0.05</v>
      </c>
      <c r="AA1639" s="1">
        <v>3.8</v>
      </c>
      <c r="AB1639" s="1">
        <v>5</v>
      </c>
      <c r="AC1639" s="1">
        <v>0.35</v>
      </c>
      <c r="AH1639" s="1">
        <v>0</v>
      </c>
      <c r="AI1639" s="1">
        <v>1</v>
      </c>
      <c r="AJ1639" s="1" t="s">
        <v>6001</v>
      </c>
      <c r="AK1639" s="1" t="s">
        <v>265</v>
      </c>
      <c r="AL1639" s="1" t="s">
        <v>228</v>
      </c>
      <c r="AN1639" s="22" t="s">
        <v>9767</v>
      </c>
      <c r="AX1639" s="1">
        <v>30</v>
      </c>
      <c r="AZ1639" s="1">
        <v>0.1</v>
      </c>
      <c r="BG1639" s="1" t="s">
        <v>5999</v>
      </c>
      <c r="BM1639" s="1" t="s">
        <v>6002</v>
      </c>
      <c r="BQ1639" s="1" t="s">
        <v>2010</v>
      </c>
      <c r="BR1639" s="1" t="s">
        <v>2011</v>
      </c>
      <c r="BS1639" s="1" t="s">
        <v>2012</v>
      </c>
      <c r="BT1639" s="1" t="s">
        <v>6003</v>
      </c>
      <c r="BX1639" s="1">
        <v>1</v>
      </c>
    </row>
    <row r="1640" spans="1:76" x14ac:dyDescent="0.25">
      <c r="A1640" s="1" t="s">
        <v>6004</v>
      </c>
      <c r="B1640" s="1" t="s">
        <v>203</v>
      </c>
      <c r="C1640" s="1">
        <v>1</v>
      </c>
      <c r="D1640" s="1" t="s">
        <v>6000</v>
      </c>
      <c r="E1640" s="1">
        <v>2081</v>
      </c>
      <c r="F1640" s="1" t="s">
        <v>5999</v>
      </c>
      <c r="G1640" s="1">
        <v>1</v>
      </c>
      <c r="L1640" s="1">
        <v>120000</v>
      </c>
      <c r="N1640" s="1">
        <v>1800</v>
      </c>
      <c r="P1640" s="1">
        <v>2000</v>
      </c>
      <c r="R1640" s="1">
        <v>60</v>
      </c>
      <c r="Z1640" s="1">
        <v>0.05</v>
      </c>
      <c r="AA1640" s="1">
        <v>3.8</v>
      </c>
      <c r="AB1640" s="1">
        <v>5</v>
      </c>
      <c r="AC1640" s="1">
        <v>0</v>
      </c>
      <c r="AH1640" s="1">
        <v>0</v>
      </c>
      <c r="AI1640" s="1">
        <v>1</v>
      </c>
      <c r="AJ1640" s="1" t="s">
        <v>6005</v>
      </c>
      <c r="AK1640" s="1" t="s">
        <v>265</v>
      </c>
      <c r="AL1640" s="1" t="s">
        <v>228</v>
      </c>
      <c r="AN1640" s="22" t="s">
        <v>9767</v>
      </c>
      <c r="AX1640" s="1">
        <v>30</v>
      </c>
      <c r="AZ1640" s="1">
        <v>0.1</v>
      </c>
      <c r="BG1640" s="1" t="s">
        <v>5999</v>
      </c>
      <c r="BM1640" s="1" t="s">
        <v>6002</v>
      </c>
      <c r="BQ1640" s="1" t="s">
        <v>6006</v>
      </c>
      <c r="BR1640" s="1" t="s">
        <v>6007</v>
      </c>
      <c r="BS1640" s="1" t="s">
        <v>6007</v>
      </c>
      <c r="BT1640" s="1" t="s">
        <v>6008</v>
      </c>
      <c r="BX1640" s="1">
        <v>1</v>
      </c>
    </row>
    <row r="1641" spans="1:76" x14ac:dyDescent="0.25">
      <c r="A1641" s="1" t="s">
        <v>6009</v>
      </c>
      <c r="B1641" s="1" t="s">
        <v>203</v>
      </c>
      <c r="C1641" s="1">
        <v>1</v>
      </c>
      <c r="D1641" s="1" t="s">
        <v>6010</v>
      </c>
      <c r="E1641" s="1">
        <v>762</v>
      </c>
      <c r="F1641" s="1" t="s">
        <v>6009</v>
      </c>
      <c r="G1641" s="1">
        <v>1</v>
      </c>
      <c r="L1641" s="1">
        <v>100000</v>
      </c>
      <c r="N1641" s="1">
        <v>1000</v>
      </c>
      <c r="P1641" s="1">
        <v>500</v>
      </c>
      <c r="R1641" s="1">
        <v>10</v>
      </c>
      <c r="Z1641" s="1">
        <v>0.05</v>
      </c>
      <c r="AA1641" s="1">
        <v>5</v>
      </c>
      <c r="AB1641" s="1">
        <v>10</v>
      </c>
      <c r="AC1641" s="1">
        <v>0</v>
      </c>
      <c r="AH1641" s="1">
        <v>0</v>
      </c>
      <c r="AI1641" s="1">
        <v>1</v>
      </c>
      <c r="AJ1641" s="1" t="s">
        <v>6011</v>
      </c>
      <c r="AK1641" s="1" t="s">
        <v>265</v>
      </c>
      <c r="AL1641" s="1" t="s">
        <v>228</v>
      </c>
      <c r="AN1641" s="22" t="s">
        <v>9767</v>
      </c>
      <c r="AX1641" s="1">
        <v>30</v>
      </c>
      <c r="AZ1641" s="1">
        <v>0.1</v>
      </c>
      <c r="BC1641" s="1">
        <v>1</v>
      </c>
      <c r="BG1641" s="1" t="s">
        <v>6012</v>
      </c>
      <c r="BM1641" s="1" t="s">
        <v>6013</v>
      </c>
      <c r="BQ1641" s="1" t="s">
        <v>2010</v>
      </c>
      <c r="BR1641" s="1" t="s">
        <v>2011</v>
      </c>
      <c r="BS1641" s="1" t="s">
        <v>2011</v>
      </c>
      <c r="BT1641" s="1" t="s">
        <v>6008</v>
      </c>
      <c r="BX1641" s="1">
        <v>1</v>
      </c>
    </row>
    <row r="1642" spans="1:76" x14ac:dyDescent="0.25">
      <c r="A1642" s="1" t="s">
        <v>6014</v>
      </c>
      <c r="B1642" s="1" t="s">
        <v>203</v>
      </c>
      <c r="C1642" s="1">
        <v>1</v>
      </c>
      <c r="D1642" s="1" t="s">
        <v>6015</v>
      </c>
      <c r="E1642" s="1">
        <v>761</v>
      </c>
      <c r="F1642" s="1" t="s">
        <v>6016</v>
      </c>
      <c r="G1642" s="1">
        <v>1</v>
      </c>
      <c r="L1642" s="1">
        <v>12000</v>
      </c>
      <c r="N1642" s="1">
        <v>1500</v>
      </c>
      <c r="P1642" s="1">
        <v>0</v>
      </c>
      <c r="R1642" s="1">
        <v>0</v>
      </c>
      <c r="Z1642" s="1">
        <v>0.05</v>
      </c>
      <c r="AA1642" s="1">
        <v>5</v>
      </c>
      <c r="AB1642" s="1">
        <v>10</v>
      </c>
      <c r="AC1642" s="1">
        <v>0</v>
      </c>
      <c r="AH1642" s="1">
        <v>0</v>
      </c>
      <c r="AI1642" s="1">
        <v>1</v>
      </c>
      <c r="AJ1642" s="1" t="s">
        <v>6017</v>
      </c>
      <c r="AK1642" s="1" t="s">
        <v>265</v>
      </c>
      <c r="AL1642" s="1" t="s">
        <v>228</v>
      </c>
      <c r="AN1642" s="22" t="s">
        <v>9767</v>
      </c>
      <c r="AX1642" s="1">
        <v>30</v>
      </c>
      <c r="AZ1642" s="1">
        <v>0.1</v>
      </c>
      <c r="BG1642" s="1" t="s">
        <v>6012</v>
      </c>
      <c r="BM1642" s="1" t="s">
        <v>6018</v>
      </c>
      <c r="BQ1642" s="1" t="s">
        <v>207</v>
      </c>
      <c r="BR1642" s="1" t="s">
        <v>208</v>
      </c>
      <c r="BS1642" s="1" t="s">
        <v>208</v>
      </c>
      <c r="BT1642" s="1" t="s">
        <v>210</v>
      </c>
      <c r="BX1642" s="1">
        <v>1</v>
      </c>
    </row>
    <row r="1643" spans="1:76" x14ac:dyDescent="0.25">
      <c r="A1643" s="1" t="s">
        <v>6019</v>
      </c>
      <c r="B1643" s="1" t="s">
        <v>203</v>
      </c>
      <c r="C1643" s="1">
        <v>1</v>
      </c>
      <c r="D1643" s="1" t="s">
        <v>6015</v>
      </c>
      <c r="E1643" s="1">
        <v>761</v>
      </c>
      <c r="F1643" s="1" t="s">
        <v>6016</v>
      </c>
      <c r="G1643" s="1">
        <v>1</v>
      </c>
      <c r="L1643" s="1">
        <v>12000</v>
      </c>
      <c r="N1643" s="1">
        <v>1500</v>
      </c>
      <c r="P1643" s="1">
        <v>0</v>
      </c>
      <c r="R1643" s="1">
        <v>0</v>
      </c>
      <c r="Z1643" s="1">
        <v>0.05</v>
      </c>
      <c r="AA1643" s="1">
        <v>5</v>
      </c>
      <c r="AB1643" s="1">
        <v>10</v>
      </c>
      <c r="AC1643" s="1">
        <v>0</v>
      </c>
      <c r="AH1643" s="1">
        <v>0</v>
      </c>
      <c r="AI1643" s="1">
        <v>1</v>
      </c>
      <c r="AJ1643" s="1" t="s">
        <v>6020</v>
      </c>
      <c r="AK1643" s="1" t="s">
        <v>265</v>
      </c>
      <c r="AL1643" s="1" t="s">
        <v>228</v>
      </c>
      <c r="AN1643" s="22" t="s">
        <v>9767</v>
      </c>
      <c r="AX1643" s="1">
        <v>30</v>
      </c>
      <c r="AZ1643" s="1">
        <v>0.1</v>
      </c>
      <c r="BG1643" s="1" t="s">
        <v>6012</v>
      </c>
      <c r="BM1643" s="1" t="s">
        <v>6018</v>
      </c>
      <c r="BQ1643" s="1" t="s">
        <v>207</v>
      </c>
      <c r="BR1643" s="1" t="s">
        <v>208</v>
      </c>
      <c r="BS1643" s="1" t="s">
        <v>208</v>
      </c>
      <c r="BT1643" s="1" t="s">
        <v>210</v>
      </c>
      <c r="BX1643" s="1">
        <v>1</v>
      </c>
    </row>
    <row r="1644" spans="1:76" x14ac:dyDescent="0.25">
      <c r="A1644" s="1" t="s">
        <v>6021</v>
      </c>
      <c r="B1644" s="1" t="s">
        <v>203</v>
      </c>
      <c r="C1644" s="1">
        <v>1</v>
      </c>
      <c r="D1644" s="1" t="s">
        <v>6015</v>
      </c>
      <c r="E1644" s="1">
        <v>761</v>
      </c>
      <c r="F1644" s="1" t="s">
        <v>6016</v>
      </c>
      <c r="G1644" s="1">
        <v>1</v>
      </c>
      <c r="L1644" s="1">
        <v>12000</v>
      </c>
      <c r="N1644" s="1">
        <v>1500</v>
      </c>
      <c r="P1644" s="1">
        <v>0</v>
      </c>
      <c r="R1644" s="1">
        <v>0</v>
      </c>
      <c r="Z1644" s="1">
        <v>0.05</v>
      </c>
      <c r="AA1644" s="1">
        <v>5</v>
      </c>
      <c r="AB1644" s="1">
        <v>10</v>
      </c>
      <c r="AC1644" s="1">
        <v>0</v>
      </c>
      <c r="AH1644" s="1">
        <v>0</v>
      </c>
      <c r="AI1644" s="1">
        <v>1</v>
      </c>
      <c r="AJ1644" s="1" t="s">
        <v>6022</v>
      </c>
      <c r="AK1644" s="1" t="s">
        <v>265</v>
      </c>
      <c r="AL1644" s="1" t="s">
        <v>228</v>
      </c>
      <c r="AN1644" s="22" t="s">
        <v>9767</v>
      </c>
      <c r="AX1644" s="1">
        <v>30</v>
      </c>
      <c r="AZ1644" s="1">
        <v>0.1</v>
      </c>
      <c r="BG1644" s="1" t="s">
        <v>6012</v>
      </c>
      <c r="BM1644" s="1" t="s">
        <v>6018</v>
      </c>
      <c r="BQ1644" s="1" t="s">
        <v>207</v>
      </c>
      <c r="BR1644" s="1" t="s">
        <v>6023</v>
      </c>
      <c r="BS1644" s="1" t="s">
        <v>6023</v>
      </c>
      <c r="BT1644" s="1" t="s">
        <v>210</v>
      </c>
      <c r="BX1644" s="1">
        <v>1</v>
      </c>
    </row>
    <row r="1645" spans="1:76" x14ac:dyDescent="0.25">
      <c r="A1645" s="1" t="s">
        <v>6024</v>
      </c>
      <c r="B1645" s="1" t="s">
        <v>203</v>
      </c>
      <c r="C1645" s="1">
        <v>1</v>
      </c>
      <c r="D1645" s="1" t="s">
        <v>6015</v>
      </c>
      <c r="E1645" s="1">
        <v>761</v>
      </c>
      <c r="F1645" s="1" t="s">
        <v>6016</v>
      </c>
      <c r="G1645" s="1">
        <v>1</v>
      </c>
      <c r="L1645" s="1">
        <v>12000</v>
      </c>
      <c r="N1645" s="1">
        <v>1500</v>
      </c>
      <c r="P1645" s="1">
        <v>0</v>
      </c>
      <c r="R1645" s="1">
        <v>0</v>
      </c>
      <c r="Z1645" s="1">
        <v>0.05</v>
      </c>
      <c r="AA1645" s="1">
        <v>5</v>
      </c>
      <c r="AB1645" s="1">
        <v>10</v>
      </c>
      <c r="AC1645" s="1">
        <v>0</v>
      </c>
      <c r="AH1645" s="1">
        <v>0</v>
      </c>
      <c r="AI1645" s="1">
        <v>1</v>
      </c>
      <c r="AJ1645" s="1" t="s">
        <v>6025</v>
      </c>
      <c r="AK1645" s="1" t="s">
        <v>265</v>
      </c>
      <c r="AL1645" s="1" t="s">
        <v>228</v>
      </c>
      <c r="AN1645" s="22" t="s">
        <v>9767</v>
      </c>
      <c r="AX1645" s="1">
        <v>30</v>
      </c>
      <c r="AZ1645" s="1">
        <v>0.1</v>
      </c>
      <c r="BG1645" s="1" t="s">
        <v>6012</v>
      </c>
      <c r="BM1645" s="1" t="s">
        <v>6018</v>
      </c>
      <c r="BQ1645" s="1" t="s">
        <v>207</v>
      </c>
      <c r="BR1645" s="1" t="s">
        <v>6026</v>
      </c>
      <c r="BS1645" s="1" t="s">
        <v>6026</v>
      </c>
      <c r="BT1645" s="1" t="s">
        <v>210</v>
      </c>
      <c r="BX1645" s="1">
        <v>1</v>
      </c>
    </row>
    <row r="1646" spans="1:76" x14ac:dyDescent="0.25">
      <c r="A1646" s="1" t="s">
        <v>6027</v>
      </c>
      <c r="B1646" s="1" t="s">
        <v>203</v>
      </c>
      <c r="C1646" s="1">
        <v>1</v>
      </c>
      <c r="D1646" s="1" t="s">
        <v>6028</v>
      </c>
      <c r="E1646" s="1">
        <v>2090</v>
      </c>
      <c r="F1646" s="1" t="s">
        <v>6027</v>
      </c>
      <c r="G1646" s="1">
        <v>1</v>
      </c>
      <c r="L1646" s="1">
        <v>50000</v>
      </c>
      <c r="N1646" s="1">
        <v>500</v>
      </c>
      <c r="P1646" s="1">
        <v>2000</v>
      </c>
      <c r="R1646" s="1">
        <v>50</v>
      </c>
      <c r="Z1646" s="1">
        <v>0.05</v>
      </c>
      <c r="AA1646" s="1">
        <v>3</v>
      </c>
      <c r="AB1646" s="1">
        <v>5</v>
      </c>
      <c r="AC1646" s="1">
        <v>0.8</v>
      </c>
      <c r="AH1646" s="1">
        <v>0</v>
      </c>
      <c r="AI1646" s="1">
        <v>1</v>
      </c>
      <c r="AJ1646" s="1" t="s">
        <v>6029</v>
      </c>
      <c r="AK1646" s="1" t="s">
        <v>265</v>
      </c>
      <c r="AL1646" s="1" t="s">
        <v>228</v>
      </c>
      <c r="AN1646" s="22" t="s">
        <v>9767</v>
      </c>
      <c r="AP1646" s="1">
        <v>1</v>
      </c>
      <c r="AX1646" s="1">
        <v>1</v>
      </c>
      <c r="AZ1646" s="1">
        <v>0.1</v>
      </c>
      <c r="BG1646" s="1" t="s">
        <v>6027</v>
      </c>
      <c r="BM1646" s="1" t="s">
        <v>6030</v>
      </c>
      <c r="BQ1646" s="1" t="s">
        <v>207</v>
      </c>
      <c r="BR1646" s="1" t="s">
        <v>208</v>
      </c>
      <c r="BS1646" s="1" t="s">
        <v>229</v>
      </c>
      <c r="BT1646" s="1" t="s">
        <v>210</v>
      </c>
      <c r="BX1646" s="1">
        <v>1</v>
      </c>
    </row>
    <row r="1647" spans="1:76" x14ac:dyDescent="0.25">
      <c r="A1647" s="1" t="s">
        <v>6031</v>
      </c>
      <c r="B1647" s="1" t="s">
        <v>203</v>
      </c>
      <c r="C1647" s="1">
        <v>1</v>
      </c>
      <c r="D1647" s="1" t="s">
        <v>6032</v>
      </c>
      <c r="E1647" s="1">
        <v>2089</v>
      </c>
      <c r="F1647" s="1" t="s">
        <v>6031</v>
      </c>
      <c r="G1647" s="1">
        <v>1</v>
      </c>
      <c r="L1647" s="1">
        <v>300000</v>
      </c>
      <c r="N1647" s="1">
        <v>1800</v>
      </c>
      <c r="P1647" s="1">
        <v>2000</v>
      </c>
      <c r="R1647" s="1">
        <v>75</v>
      </c>
      <c r="Z1647" s="1">
        <v>0.05</v>
      </c>
      <c r="AA1647" s="1">
        <v>5</v>
      </c>
      <c r="AB1647" s="1">
        <v>9</v>
      </c>
      <c r="AC1647" s="1">
        <v>0.5</v>
      </c>
      <c r="AH1647" s="1">
        <v>0</v>
      </c>
      <c r="AI1647" s="1">
        <v>1</v>
      </c>
      <c r="AJ1647" s="1" t="s">
        <v>6033</v>
      </c>
      <c r="AK1647" s="1" t="s">
        <v>265</v>
      </c>
      <c r="AL1647" s="1" t="s">
        <v>228</v>
      </c>
      <c r="AN1647" s="22" t="s">
        <v>9767</v>
      </c>
      <c r="AX1647" s="1">
        <v>1</v>
      </c>
      <c r="AZ1647" s="1">
        <v>0.1</v>
      </c>
      <c r="BG1647" s="1" t="s">
        <v>6031</v>
      </c>
      <c r="BM1647" s="1" t="s">
        <v>1674</v>
      </c>
      <c r="BQ1647" s="1" t="s">
        <v>207</v>
      </c>
      <c r="BR1647" s="1" t="s">
        <v>4020</v>
      </c>
      <c r="BS1647" s="1" t="s">
        <v>4021</v>
      </c>
      <c r="BT1647" s="1" t="s">
        <v>6034</v>
      </c>
      <c r="BX1647" s="1">
        <v>1</v>
      </c>
    </row>
    <row r="1648" spans="1:76" x14ac:dyDescent="0.25">
      <c r="A1648" s="1" t="s">
        <v>6035</v>
      </c>
      <c r="B1648" s="1" t="s">
        <v>203</v>
      </c>
      <c r="C1648" s="1">
        <v>1</v>
      </c>
      <c r="D1648" s="1" t="s">
        <v>6032</v>
      </c>
      <c r="E1648" s="1">
        <v>2089</v>
      </c>
      <c r="F1648" s="1" t="s">
        <v>6031</v>
      </c>
      <c r="G1648" s="1">
        <v>1</v>
      </c>
      <c r="L1648" s="1">
        <v>300000</v>
      </c>
      <c r="N1648" s="1">
        <v>1800</v>
      </c>
      <c r="P1648" s="1">
        <v>2000</v>
      </c>
      <c r="R1648" s="1">
        <v>75</v>
      </c>
      <c r="Z1648" s="1">
        <v>0.05</v>
      </c>
      <c r="AA1648" s="1">
        <v>5</v>
      </c>
      <c r="AB1648" s="1">
        <v>9</v>
      </c>
      <c r="AC1648" s="1">
        <v>0.5</v>
      </c>
      <c r="AH1648" s="1">
        <v>0</v>
      </c>
      <c r="AI1648" s="1">
        <v>1</v>
      </c>
      <c r="AJ1648" s="1" t="s">
        <v>6036</v>
      </c>
      <c r="AK1648" s="1" t="s">
        <v>265</v>
      </c>
      <c r="AL1648" s="1" t="s">
        <v>228</v>
      </c>
      <c r="AN1648" s="22" t="s">
        <v>9767</v>
      </c>
      <c r="AX1648" s="1">
        <v>1</v>
      </c>
      <c r="AZ1648" s="1">
        <v>0.1</v>
      </c>
      <c r="BG1648" s="1" t="s">
        <v>6031</v>
      </c>
      <c r="BM1648" s="1" t="s">
        <v>1674</v>
      </c>
      <c r="BQ1648" s="1" t="s">
        <v>207</v>
      </c>
      <c r="BR1648" s="1" t="s">
        <v>2149</v>
      </c>
      <c r="BS1648" s="1" t="s">
        <v>2150</v>
      </c>
      <c r="BT1648" s="1" t="s">
        <v>2151</v>
      </c>
      <c r="BX1648" s="1">
        <v>1</v>
      </c>
    </row>
    <row r="1649" spans="1:76" x14ac:dyDescent="0.25">
      <c r="A1649" s="1" t="s">
        <v>6037</v>
      </c>
      <c r="B1649" s="1" t="s">
        <v>203</v>
      </c>
      <c r="C1649" s="1">
        <v>1</v>
      </c>
      <c r="D1649" s="1" t="s">
        <v>6038</v>
      </c>
      <c r="E1649" s="1">
        <v>2082</v>
      </c>
      <c r="F1649" s="1" t="s">
        <v>6037</v>
      </c>
      <c r="G1649" s="1">
        <v>1</v>
      </c>
      <c r="L1649" s="1">
        <v>150000</v>
      </c>
      <c r="N1649" s="1">
        <v>3000</v>
      </c>
      <c r="P1649" s="1">
        <v>5000</v>
      </c>
      <c r="R1649" s="1">
        <v>80</v>
      </c>
      <c r="Z1649" s="1">
        <v>0.05</v>
      </c>
      <c r="AA1649" s="1">
        <v>3.8</v>
      </c>
      <c r="AB1649" s="1">
        <v>10</v>
      </c>
      <c r="AC1649" s="1">
        <v>0.35</v>
      </c>
      <c r="AH1649" s="1">
        <v>1</v>
      </c>
      <c r="AI1649" s="1">
        <v>1</v>
      </c>
      <c r="AJ1649" s="1" t="s">
        <v>6039</v>
      </c>
      <c r="AK1649" s="1" t="s">
        <v>265</v>
      </c>
      <c r="AL1649" s="1" t="s">
        <v>228</v>
      </c>
      <c r="AN1649" s="22" t="s">
        <v>9767</v>
      </c>
      <c r="AX1649" s="1">
        <v>1</v>
      </c>
      <c r="AZ1649" s="1">
        <v>0.1</v>
      </c>
      <c r="BG1649" s="1" t="s">
        <v>6037</v>
      </c>
      <c r="BM1649" s="1" t="s">
        <v>6040</v>
      </c>
      <c r="BQ1649" s="1" t="s">
        <v>2010</v>
      </c>
      <c r="BR1649" s="1" t="s">
        <v>2011</v>
      </c>
      <c r="BS1649" s="1" t="s">
        <v>2012</v>
      </c>
      <c r="BT1649" s="1" t="s">
        <v>3549</v>
      </c>
      <c r="BX1649" s="1">
        <v>1</v>
      </c>
    </row>
    <row r="1650" spans="1:76" x14ac:dyDescent="0.25">
      <c r="A1650" s="1" t="s">
        <v>6041</v>
      </c>
      <c r="B1650" s="1" t="s">
        <v>203</v>
      </c>
      <c r="C1650" s="1">
        <v>1</v>
      </c>
      <c r="D1650" s="1" t="s">
        <v>6042</v>
      </c>
      <c r="E1650" s="1" t="s">
        <v>6043</v>
      </c>
      <c r="F1650" s="1" t="s">
        <v>6041</v>
      </c>
      <c r="G1650" s="1">
        <v>1</v>
      </c>
      <c r="L1650" s="1">
        <v>80000</v>
      </c>
      <c r="N1650" s="1">
        <v>500</v>
      </c>
      <c r="P1650" s="1">
        <v>1000</v>
      </c>
      <c r="R1650" s="1">
        <v>50</v>
      </c>
      <c r="Z1650" s="1">
        <v>0.05</v>
      </c>
      <c r="AA1650" s="1">
        <v>1</v>
      </c>
      <c r="AB1650" s="1">
        <v>7</v>
      </c>
      <c r="AC1650" s="1">
        <v>0.2</v>
      </c>
      <c r="AH1650" s="1">
        <v>0</v>
      </c>
      <c r="AI1650" s="1">
        <v>1</v>
      </c>
      <c r="AJ1650" s="1" t="s">
        <v>6044</v>
      </c>
      <c r="AK1650" s="1" t="s">
        <v>265</v>
      </c>
      <c r="AL1650" s="1" t="s">
        <v>228</v>
      </c>
      <c r="AN1650" s="22" t="s">
        <v>9767</v>
      </c>
      <c r="AX1650" s="1">
        <v>5</v>
      </c>
      <c r="AZ1650" s="1">
        <v>0.1</v>
      </c>
      <c r="BG1650" s="1" t="s">
        <v>6041</v>
      </c>
      <c r="BM1650" s="1" t="s">
        <v>3339</v>
      </c>
      <c r="BN1650" s="1" t="s">
        <v>2704</v>
      </c>
      <c r="BQ1650" s="1" t="s">
        <v>207</v>
      </c>
      <c r="BR1650" s="1" t="s">
        <v>208</v>
      </c>
      <c r="BS1650" s="1" t="s">
        <v>2900</v>
      </c>
      <c r="BT1650" s="1" t="s">
        <v>210</v>
      </c>
      <c r="BX1650" s="1">
        <v>1</v>
      </c>
    </row>
    <row r="1651" spans="1:76" x14ac:dyDescent="0.25">
      <c r="A1651" s="1" t="s">
        <v>6045</v>
      </c>
      <c r="B1651" s="1" t="s">
        <v>203</v>
      </c>
      <c r="C1651" s="1">
        <v>1</v>
      </c>
      <c r="D1651" s="1" t="s">
        <v>6046</v>
      </c>
      <c r="E1651" s="1" t="s">
        <v>6047</v>
      </c>
      <c r="F1651" s="1" t="s">
        <v>6045</v>
      </c>
      <c r="G1651" s="1">
        <v>1.1000000000000001</v>
      </c>
      <c r="L1651" s="1">
        <v>50000</v>
      </c>
      <c r="N1651" s="1">
        <v>500</v>
      </c>
      <c r="P1651" s="1">
        <v>0</v>
      </c>
      <c r="R1651" s="1">
        <v>50</v>
      </c>
      <c r="Z1651" s="1">
        <v>0.05</v>
      </c>
      <c r="AA1651" s="1">
        <v>1</v>
      </c>
      <c r="AB1651" s="1">
        <v>5</v>
      </c>
      <c r="AC1651" s="1">
        <v>0.35</v>
      </c>
      <c r="AH1651" s="1">
        <v>0</v>
      </c>
      <c r="AI1651" s="1">
        <v>1</v>
      </c>
      <c r="AJ1651" s="1" t="s">
        <v>6048</v>
      </c>
      <c r="AK1651" s="1" t="s">
        <v>265</v>
      </c>
      <c r="AL1651" s="1" t="s">
        <v>228</v>
      </c>
      <c r="AN1651" s="22" t="s">
        <v>9767</v>
      </c>
      <c r="AX1651" s="1">
        <v>1</v>
      </c>
      <c r="AZ1651" s="1">
        <v>0.1</v>
      </c>
      <c r="BG1651" s="1" t="s">
        <v>6045</v>
      </c>
      <c r="BM1651" s="1" t="s">
        <v>3114</v>
      </c>
      <c r="BQ1651" s="1" t="s">
        <v>207</v>
      </c>
      <c r="BR1651" s="1" t="s">
        <v>208</v>
      </c>
      <c r="BS1651" s="1" t="s">
        <v>229</v>
      </c>
      <c r="BT1651" s="1" t="s">
        <v>210</v>
      </c>
      <c r="BX1651" s="1">
        <v>1</v>
      </c>
    </row>
    <row r="1652" spans="1:76" x14ac:dyDescent="0.25">
      <c r="A1652" s="1" t="s">
        <v>6049</v>
      </c>
      <c r="B1652" s="1" t="s">
        <v>203</v>
      </c>
      <c r="C1652" s="1">
        <v>1</v>
      </c>
      <c r="D1652" s="1" t="s">
        <v>6050</v>
      </c>
      <c r="E1652" s="1" t="s">
        <v>6051</v>
      </c>
      <c r="F1652" s="1" t="s">
        <v>6049</v>
      </c>
      <c r="G1652" s="1">
        <v>1</v>
      </c>
      <c r="L1652" s="1">
        <v>50000</v>
      </c>
      <c r="N1652" s="1">
        <v>1000</v>
      </c>
      <c r="P1652" s="1">
        <v>300</v>
      </c>
      <c r="R1652" s="1">
        <v>10</v>
      </c>
      <c r="Z1652" s="1">
        <v>0.05</v>
      </c>
      <c r="AA1652" s="1">
        <v>2.5</v>
      </c>
      <c r="AB1652" s="1">
        <v>5</v>
      </c>
      <c r="AC1652" s="1">
        <v>0.7</v>
      </c>
      <c r="AH1652" s="1">
        <v>0</v>
      </c>
      <c r="AI1652" s="1">
        <v>1</v>
      </c>
      <c r="AJ1652" s="1" t="s">
        <v>6052</v>
      </c>
      <c r="AK1652" s="1" t="s">
        <v>206</v>
      </c>
      <c r="AL1652" s="1" t="s">
        <v>228</v>
      </c>
      <c r="AN1652" s="22" t="s">
        <v>9767</v>
      </c>
      <c r="AX1652" s="1">
        <v>1</v>
      </c>
      <c r="AZ1652" s="1">
        <v>0.1</v>
      </c>
      <c r="BG1652" s="1" t="s">
        <v>6049</v>
      </c>
      <c r="BM1652" s="1" t="s">
        <v>957</v>
      </c>
      <c r="BQ1652" s="1" t="s">
        <v>207</v>
      </c>
      <c r="BR1652" s="1" t="s">
        <v>208</v>
      </c>
      <c r="BS1652" s="1" t="s">
        <v>229</v>
      </c>
      <c r="BT1652" s="1" t="s">
        <v>210</v>
      </c>
      <c r="BX1652" s="1">
        <v>1</v>
      </c>
    </row>
    <row r="1653" spans="1:76" x14ac:dyDescent="0.25">
      <c r="A1653" s="1" t="s">
        <v>6053</v>
      </c>
      <c r="B1653" s="1" t="s">
        <v>203</v>
      </c>
      <c r="C1653" s="1">
        <v>1</v>
      </c>
      <c r="D1653" s="1" t="s">
        <v>6054</v>
      </c>
      <c r="E1653" s="1" t="s">
        <v>6055</v>
      </c>
      <c r="F1653" s="1" t="s">
        <v>6053</v>
      </c>
      <c r="G1653" s="1">
        <v>1</v>
      </c>
      <c r="L1653" s="1">
        <v>12</v>
      </c>
      <c r="N1653" s="1">
        <v>40</v>
      </c>
      <c r="P1653" s="1">
        <v>100</v>
      </c>
      <c r="R1653" s="1">
        <v>30</v>
      </c>
      <c r="Z1653" s="1">
        <v>0.05</v>
      </c>
      <c r="AA1653" s="1">
        <v>1</v>
      </c>
      <c r="AB1653" s="1">
        <v>1</v>
      </c>
      <c r="AC1653" s="1">
        <v>1</v>
      </c>
      <c r="AH1653" s="1">
        <v>0</v>
      </c>
      <c r="AI1653" s="1">
        <v>1</v>
      </c>
      <c r="AJ1653" s="1" t="s">
        <v>6056</v>
      </c>
      <c r="AK1653" s="1" t="s">
        <v>206</v>
      </c>
      <c r="AL1653" s="1" t="s">
        <v>228</v>
      </c>
      <c r="AN1653" s="22" t="s">
        <v>9767</v>
      </c>
      <c r="AP1653" s="1">
        <v>1</v>
      </c>
      <c r="AW1653" s="1">
        <v>1</v>
      </c>
      <c r="AZ1653" s="1">
        <v>0.1</v>
      </c>
      <c r="BG1653" s="1" t="s">
        <v>6053</v>
      </c>
      <c r="BM1653" s="1" t="s">
        <v>4959</v>
      </c>
      <c r="BQ1653" s="1" t="s">
        <v>207</v>
      </c>
      <c r="BR1653" s="1" t="s">
        <v>208</v>
      </c>
      <c r="BS1653" s="1" t="s">
        <v>229</v>
      </c>
      <c r="BT1653" s="1" t="s">
        <v>210</v>
      </c>
      <c r="BX1653" s="1">
        <v>1</v>
      </c>
    </row>
    <row r="1654" spans="1:76" x14ac:dyDescent="0.25">
      <c r="A1654" s="1" t="s">
        <v>6057</v>
      </c>
      <c r="B1654" s="1" t="s">
        <v>203</v>
      </c>
      <c r="C1654" s="1">
        <v>1</v>
      </c>
      <c r="D1654" s="1" t="s">
        <v>6058</v>
      </c>
      <c r="E1654" s="1" t="s">
        <v>6059</v>
      </c>
      <c r="F1654" s="1" t="s">
        <v>6057</v>
      </c>
      <c r="G1654" s="1">
        <v>1</v>
      </c>
      <c r="L1654" s="1">
        <v>13000</v>
      </c>
      <c r="N1654" s="1">
        <v>350</v>
      </c>
      <c r="P1654" s="1">
        <v>50</v>
      </c>
      <c r="R1654" s="1">
        <v>10</v>
      </c>
      <c r="Z1654" s="1">
        <v>0.05</v>
      </c>
      <c r="AA1654" s="1">
        <v>2</v>
      </c>
      <c r="AB1654" s="1">
        <v>1</v>
      </c>
      <c r="AC1654" s="1">
        <v>0.9</v>
      </c>
      <c r="AH1654" s="1">
        <v>0</v>
      </c>
      <c r="AI1654" s="1">
        <v>1</v>
      </c>
      <c r="AJ1654" s="1" t="s">
        <v>6060</v>
      </c>
      <c r="AK1654" s="1" t="s">
        <v>206</v>
      </c>
      <c r="AL1654" s="1" t="s">
        <v>228</v>
      </c>
      <c r="AN1654" s="22" t="s">
        <v>9767</v>
      </c>
      <c r="AX1654" s="1">
        <v>1</v>
      </c>
      <c r="AZ1654" s="1">
        <v>0.1</v>
      </c>
      <c r="BG1654" s="1" t="s">
        <v>6057</v>
      </c>
      <c r="BM1654" s="1" t="s">
        <v>4959</v>
      </c>
      <c r="BQ1654" s="1" t="s">
        <v>207</v>
      </c>
      <c r="BR1654" s="1" t="s">
        <v>208</v>
      </c>
      <c r="BS1654" s="1" t="s">
        <v>229</v>
      </c>
      <c r="BT1654" s="1" t="s">
        <v>210</v>
      </c>
      <c r="BX1654" s="1">
        <v>1</v>
      </c>
    </row>
    <row r="1655" spans="1:76" x14ac:dyDescent="0.25">
      <c r="A1655" s="1" t="s">
        <v>6061</v>
      </c>
      <c r="B1655" s="1" t="s">
        <v>203</v>
      </c>
      <c r="C1655" s="1">
        <v>1</v>
      </c>
      <c r="D1655" s="1" t="s">
        <v>6062</v>
      </c>
      <c r="E1655" s="1" t="s">
        <v>6063</v>
      </c>
      <c r="F1655" s="1" t="s">
        <v>6061</v>
      </c>
      <c r="G1655" s="1">
        <v>1</v>
      </c>
      <c r="L1655" s="1">
        <v>14000</v>
      </c>
      <c r="N1655" s="1">
        <v>500</v>
      </c>
      <c r="P1655" s="1">
        <v>400</v>
      </c>
      <c r="R1655" s="1">
        <v>30</v>
      </c>
      <c r="Z1655" s="1">
        <v>0.05</v>
      </c>
      <c r="AA1655" s="1">
        <v>4</v>
      </c>
      <c r="AB1655" s="1">
        <v>3</v>
      </c>
      <c r="AC1655" s="1">
        <v>1</v>
      </c>
      <c r="AH1655" s="1">
        <v>0</v>
      </c>
      <c r="AI1655" s="1">
        <v>1</v>
      </c>
      <c r="AJ1655" s="1" t="s">
        <v>6064</v>
      </c>
      <c r="AK1655" s="1" t="s">
        <v>206</v>
      </c>
      <c r="AL1655" s="1" t="s">
        <v>228</v>
      </c>
      <c r="AN1655" s="22" t="s">
        <v>9767</v>
      </c>
      <c r="AX1655" s="1">
        <v>1</v>
      </c>
      <c r="AZ1655" s="1">
        <v>0.1</v>
      </c>
      <c r="BG1655" s="1" t="s">
        <v>6061</v>
      </c>
      <c r="BM1655" s="1" t="s">
        <v>4959</v>
      </c>
      <c r="BQ1655" s="1" t="s">
        <v>207</v>
      </c>
      <c r="BR1655" s="1" t="s">
        <v>208</v>
      </c>
      <c r="BS1655" s="1" t="s">
        <v>229</v>
      </c>
      <c r="BT1655" s="1" t="s">
        <v>210</v>
      </c>
      <c r="BX1655" s="1">
        <v>1</v>
      </c>
    </row>
    <row r="1656" spans="1:76" x14ac:dyDescent="0.25">
      <c r="A1656" s="1" t="s">
        <v>6065</v>
      </c>
      <c r="B1656" s="1" t="s">
        <v>203</v>
      </c>
      <c r="C1656" s="1">
        <v>1</v>
      </c>
      <c r="D1656" s="1" t="s">
        <v>6066</v>
      </c>
      <c r="E1656" s="1" t="s">
        <v>6067</v>
      </c>
      <c r="F1656" s="1" t="s">
        <v>6065</v>
      </c>
      <c r="G1656" s="1">
        <v>1</v>
      </c>
      <c r="L1656" s="1">
        <v>16000</v>
      </c>
      <c r="N1656" s="1">
        <v>300</v>
      </c>
      <c r="P1656" s="1">
        <v>150</v>
      </c>
      <c r="R1656" s="1">
        <v>30</v>
      </c>
      <c r="Z1656" s="1">
        <v>0.05</v>
      </c>
      <c r="AA1656" s="1">
        <v>5</v>
      </c>
      <c r="AB1656" s="1">
        <v>2</v>
      </c>
      <c r="AC1656" s="1">
        <v>0.4</v>
      </c>
      <c r="AH1656" s="1">
        <v>0</v>
      </c>
      <c r="AI1656" s="1">
        <v>1</v>
      </c>
      <c r="AJ1656" s="1" t="s">
        <v>6068</v>
      </c>
      <c r="AK1656" s="1" t="s">
        <v>206</v>
      </c>
      <c r="AL1656" s="1" t="s">
        <v>228</v>
      </c>
      <c r="AN1656" s="22" t="s">
        <v>9767</v>
      </c>
      <c r="AX1656" s="1">
        <v>1</v>
      </c>
      <c r="AZ1656" s="1">
        <v>0.1</v>
      </c>
      <c r="BG1656" s="1" t="s">
        <v>6065</v>
      </c>
      <c r="BM1656" s="1" t="s">
        <v>4959</v>
      </c>
      <c r="BQ1656" s="1" t="s">
        <v>207</v>
      </c>
      <c r="BR1656" s="1" t="s">
        <v>208</v>
      </c>
      <c r="BS1656" s="1" t="s">
        <v>229</v>
      </c>
      <c r="BT1656" s="1" t="s">
        <v>210</v>
      </c>
      <c r="BX1656" s="1">
        <v>1</v>
      </c>
    </row>
    <row r="1657" spans="1:76" x14ac:dyDescent="0.25">
      <c r="A1657" s="1" t="s">
        <v>6069</v>
      </c>
      <c r="B1657" s="1" t="s">
        <v>203</v>
      </c>
      <c r="C1657" s="1">
        <v>1</v>
      </c>
      <c r="D1657" s="1" t="s">
        <v>6070</v>
      </c>
      <c r="E1657" s="1" t="s">
        <v>6071</v>
      </c>
      <c r="F1657" s="1" t="s">
        <v>6069</v>
      </c>
      <c r="G1657" s="1">
        <v>1</v>
      </c>
      <c r="L1657" s="1">
        <v>35000</v>
      </c>
      <c r="N1657" s="1">
        <v>450</v>
      </c>
      <c r="P1657" s="1">
        <v>1500</v>
      </c>
      <c r="R1657" s="1">
        <v>40</v>
      </c>
      <c r="Z1657" s="1">
        <v>0.05</v>
      </c>
      <c r="AA1657" s="1">
        <v>4</v>
      </c>
      <c r="AB1657" s="1">
        <v>5</v>
      </c>
      <c r="AC1657" s="1">
        <v>0.6</v>
      </c>
      <c r="AH1657" s="1">
        <v>0</v>
      </c>
      <c r="AI1657" s="1">
        <v>1</v>
      </c>
      <c r="AJ1657" s="1" t="s">
        <v>6072</v>
      </c>
      <c r="AK1657" s="1" t="s">
        <v>206</v>
      </c>
      <c r="AL1657" s="1" t="s">
        <v>228</v>
      </c>
      <c r="AN1657" s="22" t="s">
        <v>9767</v>
      </c>
      <c r="AX1657" s="1">
        <v>1</v>
      </c>
      <c r="AZ1657" s="1">
        <v>0.1</v>
      </c>
      <c r="BG1657" s="1" t="s">
        <v>6069</v>
      </c>
      <c r="BM1657" s="1" t="s">
        <v>4959</v>
      </c>
      <c r="BQ1657" s="1" t="s">
        <v>3416</v>
      </c>
      <c r="BR1657" s="1" t="s">
        <v>2593</v>
      </c>
      <c r="BS1657" s="1" t="s">
        <v>2594</v>
      </c>
      <c r="BT1657" s="1" t="s">
        <v>3131</v>
      </c>
      <c r="BX1657" s="1">
        <v>1</v>
      </c>
    </row>
    <row r="1658" spans="1:76" x14ac:dyDescent="0.25">
      <c r="A1658" s="1" t="s">
        <v>6073</v>
      </c>
      <c r="B1658" s="1" t="s">
        <v>203</v>
      </c>
      <c r="C1658" s="1">
        <v>1</v>
      </c>
      <c r="D1658" s="1" t="s">
        <v>6074</v>
      </c>
      <c r="E1658" s="1" t="s">
        <v>6075</v>
      </c>
      <c r="F1658" s="1" t="s">
        <v>6073</v>
      </c>
      <c r="G1658" s="1">
        <v>1</v>
      </c>
      <c r="L1658" s="1">
        <v>12000</v>
      </c>
      <c r="N1658" s="1">
        <v>600</v>
      </c>
      <c r="P1658" s="1">
        <v>500</v>
      </c>
      <c r="R1658" s="1">
        <v>30</v>
      </c>
      <c r="Z1658" s="1">
        <v>0.05</v>
      </c>
      <c r="AA1658" s="1">
        <v>1.2</v>
      </c>
      <c r="AB1658" s="1">
        <v>4</v>
      </c>
      <c r="AC1658" s="1">
        <v>0.9</v>
      </c>
      <c r="AH1658" s="1">
        <v>0</v>
      </c>
      <c r="AI1658" s="1">
        <v>1</v>
      </c>
      <c r="AJ1658" s="1" t="s">
        <v>6076</v>
      </c>
      <c r="AK1658" s="1" t="s">
        <v>206</v>
      </c>
      <c r="AL1658" s="1" t="s">
        <v>228</v>
      </c>
      <c r="AN1658" s="22" t="s">
        <v>9767</v>
      </c>
      <c r="AX1658" s="1">
        <v>1</v>
      </c>
      <c r="AZ1658" s="1">
        <v>0.1</v>
      </c>
      <c r="BG1658" s="1" t="s">
        <v>6073</v>
      </c>
      <c r="BM1658" s="1" t="s">
        <v>4959</v>
      </c>
      <c r="BQ1658" s="1" t="s">
        <v>207</v>
      </c>
      <c r="BR1658" s="1" t="s">
        <v>208</v>
      </c>
      <c r="BS1658" s="1" t="s">
        <v>229</v>
      </c>
      <c r="BT1658" s="1" t="s">
        <v>210</v>
      </c>
      <c r="BX1658" s="1">
        <v>1</v>
      </c>
    </row>
    <row r="1659" spans="1:76" x14ac:dyDescent="0.25">
      <c r="A1659" s="1" t="s">
        <v>6077</v>
      </c>
      <c r="B1659" s="1" t="s">
        <v>203</v>
      </c>
      <c r="C1659" s="1">
        <v>1</v>
      </c>
      <c r="D1659" s="1" t="s">
        <v>6078</v>
      </c>
      <c r="E1659" s="1" t="s">
        <v>6079</v>
      </c>
      <c r="F1659" s="1" t="s">
        <v>6077</v>
      </c>
      <c r="G1659" s="1">
        <v>1</v>
      </c>
      <c r="L1659" s="1">
        <v>36000</v>
      </c>
      <c r="N1659" s="1">
        <v>400</v>
      </c>
      <c r="P1659" s="1">
        <v>200</v>
      </c>
      <c r="R1659" s="1">
        <v>60</v>
      </c>
      <c r="Z1659" s="1">
        <v>0.05</v>
      </c>
      <c r="AA1659" s="1">
        <v>4</v>
      </c>
      <c r="AB1659" s="1">
        <v>4</v>
      </c>
      <c r="AC1659" s="1">
        <v>0.7</v>
      </c>
      <c r="AH1659" s="1">
        <v>0</v>
      </c>
      <c r="AI1659" s="1">
        <v>1</v>
      </c>
      <c r="AJ1659" s="1" t="s">
        <v>6080</v>
      </c>
      <c r="AK1659" s="1" t="s">
        <v>206</v>
      </c>
      <c r="AL1659" s="1" t="s">
        <v>228</v>
      </c>
      <c r="AN1659" s="22" t="s">
        <v>9767</v>
      </c>
      <c r="AP1659" s="1">
        <v>1</v>
      </c>
      <c r="AX1659" s="1">
        <v>1</v>
      </c>
      <c r="AZ1659" s="1">
        <v>0.1</v>
      </c>
      <c r="BG1659" s="1" t="s">
        <v>6077</v>
      </c>
      <c r="BM1659" s="1" t="s">
        <v>4959</v>
      </c>
      <c r="BQ1659" s="1" t="s">
        <v>207</v>
      </c>
      <c r="BR1659" s="1" t="s">
        <v>1935</v>
      </c>
      <c r="BS1659" s="1" t="s">
        <v>1936</v>
      </c>
      <c r="BT1659" s="1" t="s">
        <v>3296</v>
      </c>
      <c r="BX1659" s="1">
        <v>1</v>
      </c>
    </row>
    <row r="1660" spans="1:76" x14ac:dyDescent="0.25">
      <c r="A1660" s="1" t="s">
        <v>6081</v>
      </c>
      <c r="B1660" s="1" t="s">
        <v>203</v>
      </c>
      <c r="C1660" s="1">
        <v>1</v>
      </c>
      <c r="D1660" s="1" t="s">
        <v>6082</v>
      </c>
      <c r="E1660" s="1" t="s">
        <v>6083</v>
      </c>
      <c r="F1660" s="1" t="s">
        <v>6081</v>
      </c>
      <c r="G1660" s="1">
        <v>1</v>
      </c>
      <c r="L1660" s="1">
        <v>40000</v>
      </c>
      <c r="N1660" s="1">
        <v>600</v>
      </c>
      <c r="P1660" s="1">
        <v>300</v>
      </c>
      <c r="R1660" s="1">
        <v>60</v>
      </c>
      <c r="Z1660" s="1">
        <v>0.05</v>
      </c>
      <c r="AA1660" s="1">
        <v>4</v>
      </c>
      <c r="AB1660" s="1">
        <v>4</v>
      </c>
      <c r="AC1660" s="1">
        <v>0.7</v>
      </c>
      <c r="AH1660" s="1">
        <v>0</v>
      </c>
      <c r="AI1660" s="1">
        <v>1</v>
      </c>
      <c r="AJ1660" s="1" t="s">
        <v>6084</v>
      </c>
      <c r="AK1660" s="1" t="s">
        <v>206</v>
      </c>
      <c r="AL1660" s="1" t="s">
        <v>228</v>
      </c>
      <c r="AN1660" s="22" t="s">
        <v>9767</v>
      </c>
      <c r="AP1660" s="1">
        <v>1</v>
      </c>
      <c r="AX1660" s="1">
        <v>1</v>
      </c>
      <c r="AZ1660" s="1">
        <v>0.1</v>
      </c>
      <c r="BG1660" s="1" t="s">
        <v>6081</v>
      </c>
      <c r="BM1660" s="1" t="s">
        <v>4959</v>
      </c>
      <c r="BQ1660" s="1" t="s">
        <v>207</v>
      </c>
      <c r="BR1660" s="1" t="s">
        <v>1935</v>
      </c>
      <c r="BS1660" s="1" t="s">
        <v>1936</v>
      </c>
      <c r="BT1660" s="1" t="s">
        <v>3296</v>
      </c>
      <c r="BX1660" s="1">
        <v>1</v>
      </c>
    </row>
    <row r="1661" spans="1:76" x14ac:dyDescent="0.25">
      <c r="A1661" s="1" t="s">
        <v>6085</v>
      </c>
      <c r="B1661" s="1" t="s">
        <v>203</v>
      </c>
      <c r="C1661" s="1">
        <v>1</v>
      </c>
      <c r="D1661" s="1" t="s">
        <v>6086</v>
      </c>
      <c r="E1661" s="1" t="s">
        <v>6087</v>
      </c>
      <c r="F1661" s="1" t="s">
        <v>6085</v>
      </c>
      <c r="G1661" s="1">
        <v>1</v>
      </c>
      <c r="L1661" s="1">
        <v>16000</v>
      </c>
      <c r="N1661" s="1">
        <v>600</v>
      </c>
      <c r="P1661" s="1">
        <v>400</v>
      </c>
      <c r="R1661" s="1">
        <v>35</v>
      </c>
      <c r="Z1661" s="1">
        <v>0.05</v>
      </c>
      <c r="AA1661" s="1">
        <v>4</v>
      </c>
      <c r="AB1661" s="1">
        <v>5</v>
      </c>
      <c r="AC1661" s="1">
        <v>0.7</v>
      </c>
      <c r="AH1661" s="1">
        <v>0</v>
      </c>
      <c r="AI1661" s="1">
        <v>1</v>
      </c>
      <c r="AJ1661" s="1" t="s">
        <v>6088</v>
      </c>
      <c r="AK1661" s="1" t="s">
        <v>206</v>
      </c>
      <c r="AL1661" s="1" t="s">
        <v>228</v>
      </c>
      <c r="AN1661" s="22" t="s">
        <v>9767</v>
      </c>
      <c r="AX1661" s="1">
        <v>1</v>
      </c>
      <c r="AZ1661" s="1">
        <v>0.1</v>
      </c>
      <c r="BG1661" s="1" t="s">
        <v>6085</v>
      </c>
      <c r="BM1661" s="1" t="s">
        <v>4959</v>
      </c>
      <c r="BQ1661" s="1" t="s">
        <v>4109</v>
      </c>
      <c r="BR1661" s="1" t="s">
        <v>4020</v>
      </c>
      <c r="BS1661" s="1" t="s">
        <v>4021</v>
      </c>
      <c r="BT1661" s="1" t="s">
        <v>2595</v>
      </c>
      <c r="BX1661" s="1">
        <v>1</v>
      </c>
    </row>
    <row r="1662" spans="1:76" x14ac:dyDescent="0.25">
      <c r="A1662" s="1" t="s">
        <v>11255</v>
      </c>
      <c r="B1662" s="1" t="s">
        <v>203</v>
      </c>
      <c r="C1662" s="1">
        <v>1</v>
      </c>
      <c r="D1662" s="1" t="s">
        <v>6090</v>
      </c>
      <c r="E1662" s="1" t="s">
        <v>6091</v>
      </c>
      <c r="F1662" s="1" t="s">
        <v>6089</v>
      </c>
      <c r="G1662" s="1">
        <v>1</v>
      </c>
      <c r="L1662" s="1">
        <v>35000</v>
      </c>
      <c r="N1662" s="1">
        <v>800</v>
      </c>
      <c r="P1662" s="1">
        <v>800</v>
      </c>
      <c r="R1662" s="1">
        <v>60</v>
      </c>
      <c r="Z1662" s="1">
        <v>0.05</v>
      </c>
      <c r="AA1662" s="1">
        <v>2.5</v>
      </c>
      <c r="AB1662" s="1">
        <v>4</v>
      </c>
      <c r="AC1662" s="1">
        <v>0.7</v>
      </c>
      <c r="AH1662" s="1">
        <v>0</v>
      </c>
      <c r="AI1662" s="1">
        <v>1</v>
      </c>
      <c r="AJ1662" s="1" t="s">
        <v>6092</v>
      </c>
      <c r="AK1662" s="1" t="s">
        <v>206</v>
      </c>
      <c r="AL1662" s="1" t="s">
        <v>228</v>
      </c>
      <c r="AN1662" s="22" t="s">
        <v>9767</v>
      </c>
      <c r="AX1662" s="1">
        <v>1</v>
      </c>
      <c r="AZ1662" s="1">
        <v>0.1</v>
      </c>
      <c r="BG1662" s="1" t="s">
        <v>6089</v>
      </c>
      <c r="BM1662" s="1" t="s">
        <v>4959</v>
      </c>
      <c r="BQ1662" s="1" t="s">
        <v>4109</v>
      </c>
      <c r="BR1662" s="1" t="s">
        <v>4020</v>
      </c>
      <c r="BS1662" s="1" t="s">
        <v>4021</v>
      </c>
      <c r="BT1662" s="1" t="s">
        <v>2595</v>
      </c>
      <c r="BX1662" s="1">
        <v>1</v>
      </c>
    </row>
    <row r="1663" spans="1:76" x14ac:dyDescent="0.25">
      <c r="A1663" s="1" t="s">
        <v>6093</v>
      </c>
      <c r="B1663" s="1" t="s">
        <v>203</v>
      </c>
      <c r="C1663" s="1">
        <v>1</v>
      </c>
      <c r="D1663" s="1" t="s">
        <v>6094</v>
      </c>
      <c r="E1663" s="1" t="s">
        <v>6095</v>
      </c>
      <c r="F1663" s="1" t="s">
        <v>6093</v>
      </c>
      <c r="G1663" s="1">
        <v>1</v>
      </c>
      <c r="L1663" s="1">
        <v>100000</v>
      </c>
      <c r="N1663" s="1">
        <v>1200</v>
      </c>
      <c r="P1663" s="1">
        <v>400</v>
      </c>
      <c r="R1663" s="1">
        <v>60</v>
      </c>
      <c r="Z1663" s="1">
        <v>0.05</v>
      </c>
      <c r="AA1663" s="1">
        <v>5</v>
      </c>
      <c r="AB1663" s="1">
        <v>4</v>
      </c>
      <c r="AC1663" s="1">
        <v>0.7</v>
      </c>
      <c r="AH1663" s="1">
        <v>0</v>
      </c>
      <c r="AI1663" s="1">
        <v>1</v>
      </c>
      <c r="AJ1663" s="1" t="s">
        <v>6096</v>
      </c>
      <c r="AK1663" s="1" t="s">
        <v>206</v>
      </c>
      <c r="AL1663" s="1" t="s">
        <v>228</v>
      </c>
      <c r="AN1663" s="22" t="s">
        <v>9767</v>
      </c>
      <c r="AX1663" s="1">
        <v>1</v>
      </c>
      <c r="AZ1663" s="1">
        <v>0.1</v>
      </c>
      <c r="BG1663" s="1" t="s">
        <v>6093</v>
      </c>
      <c r="BM1663" s="1" t="s">
        <v>4959</v>
      </c>
      <c r="BQ1663" s="1" t="s">
        <v>4109</v>
      </c>
      <c r="BR1663" s="1" t="s">
        <v>4020</v>
      </c>
      <c r="BS1663" s="1" t="s">
        <v>4021</v>
      </c>
      <c r="BT1663" s="1" t="s">
        <v>2595</v>
      </c>
      <c r="BX1663" s="1">
        <v>1</v>
      </c>
    </row>
    <row r="1664" spans="1:76" x14ac:dyDescent="0.25">
      <c r="A1664" s="1" t="s">
        <v>6097</v>
      </c>
      <c r="B1664" s="1" t="s">
        <v>203</v>
      </c>
      <c r="C1664" s="1">
        <v>1</v>
      </c>
      <c r="D1664" s="1" t="s">
        <v>6098</v>
      </c>
      <c r="E1664" s="1" t="s">
        <v>6099</v>
      </c>
      <c r="F1664" s="1" t="s">
        <v>6100</v>
      </c>
      <c r="G1664" s="1">
        <v>1</v>
      </c>
      <c r="L1664" s="1">
        <v>42000</v>
      </c>
      <c r="N1664" s="1">
        <v>1100</v>
      </c>
      <c r="P1664" s="1">
        <v>700</v>
      </c>
      <c r="R1664" s="1">
        <v>50</v>
      </c>
      <c r="Z1664" s="1">
        <v>0.05</v>
      </c>
      <c r="AA1664" s="1">
        <v>4</v>
      </c>
      <c r="AB1664" s="1">
        <v>5</v>
      </c>
      <c r="AC1664" s="1">
        <v>0.7</v>
      </c>
      <c r="AH1664" s="1">
        <v>0</v>
      </c>
      <c r="AI1664" s="1">
        <v>1</v>
      </c>
      <c r="AJ1664" s="1" t="s">
        <v>6101</v>
      </c>
      <c r="AK1664" s="1" t="s">
        <v>206</v>
      </c>
      <c r="AL1664" s="1" t="s">
        <v>228</v>
      </c>
      <c r="AN1664" s="22" t="s">
        <v>9767</v>
      </c>
      <c r="AX1664" s="1">
        <v>1</v>
      </c>
      <c r="AZ1664" s="1">
        <v>0.1</v>
      </c>
      <c r="BG1664" s="1" t="s">
        <v>6097</v>
      </c>
      <c r="BM1664" s="1" t="s">
        <v>4959</v>
      </c>
      <c r="BQ1664" s="1" t="s">
        <v>4109</v>
      </c>
      <c r="BR1664" s="1" t="s">
        <v>4020</v>
      </c>
      <c r="BS1664" s="1" t="s">
        <v>4021</v>
      </c>
      <c r="BT1664" s="1" t="s">
        <v>2595</v>
      </c>
      <c r="BX1664" s="1">
        <v>1</v>
      </c>
    </row>
    <row r="1665" spans="1:76" x14ac:dyDescent="0.25">
      <c r="A1665" s="1" t="s">
        <v>11256</v>
      </c>
      <c r="B1665" s="1" t="s">
        <v>203</v>
      </c>
      <c r="C1665" s="1">
        <v>1</v>
      </c>
      <c r="D1665" s="1" t="s">
        <v>6090</v>
      </c>
      <c r="E1665" s="1" t="s">
        <v>6091</v>
      </c>
      <c r="F1665" s="1" t="s">
        <v>6089</v>
      </c>
      <c r="G1665" s="1">
        <v>1</v>
      </c>
      <c r="L1665" s="1">
        <v>24000</v>
      </c>
      <c r="N1665" s="1">
        <v>600</v>
      </c>
      <c r="P1665" s="1">
        <v>600</v>
      </c>
      <c r="R1665" s="1">
        <v>60</v>
      </c>
      <c r="Z1665" s="1">
        <v>0.05</v>
      </c>
      <c r="AA1665" s="1">
        <v>2.5</v>
      </c>
      <c r="AB1665" s="1">
        <v>4</v>
      </c>
      <c r="AC1665" s="1">
        <v>0.7</v>
      </c>
      <c r="AH1665" s="1">
        <v>0</v>
      </c>
      <c r="AI1665" s="1">
        <v>1</v>
      </c>
      <c r="AJ1665" s="1" t="s">
        <v>6102</v>
      </c>
      <c r="AK1665" s="1" t="s">
        <v>206</v>
      </c>
      <c r="AL1665" s="1" t="s">
        <v>228</v>
      </c>
      <c r="AN1665" s="22" t="s">
        <v>9767</v>
      </c>
      <c r="AX1665" s="1">
        <v>1</v>
      </c>
      <c r="AZ1665" s="1">
        <v>0.1</v>
      </c>
      <c r="BG1665" s="1" t="s">
        <v>6089</v>
      </c>
      <c r="BM1665" s="1" t="s">
        <v>4959</v>
      </c>
      <c r="BQ1665" s="1" t="s">
        <v>4109</v>
      </c>
      <c r="BR1665" s="1" t="s">
        <v>4020</v>
      </c>
      <c r="BS1665" s="1" t="s">
        <v>6103</v>
      </c>
      <c r="BT1665" s="1" t="s">
        <v>2595</v>
      </c>
      <c r="BX1665" s="1">
        <v>1</v>
      </c>
    </row>
    <row r="1666" spans="1:76" x14ac:dyDescent="0.25">
      <c r="A1666" s="1" t="s">
        <v>6104</v>
      </c>
      <c r="B1666" s="1" t="s">
        <v>203</v>
      </c>
      <c r="C1666" s="1">
        <v>1</v>
      </c>
      <c r="D1666" s="1" t="s">
        <v>6105</v>
      </c>
      <c r="E1666" s="1" t="s">
        <v>6106</v>
      </c>
      <c r="F1666" s="1" t="s">
        <v>6104</v>
      </c>
      <c r="G1666" s="1">
        <v>1</v>
      </c>
      <c r="L1666" s="1">
        <v>100000</v>
      </c>
      <c r="N1666" s="1">
        <v>1000</v>
      </c>
      <c r="P1666" s="1">
        <v>400</v>
      </c>
      <c r="R1666" s="1">
        <v>60</v>
      </c>
      <c r="Z1666" s="1">
        <v>0.05</v>
      </c>
      <c r="AA1666" s="1">
        <v>5</v>
      </c>
      <c r="AB1666" s="1">
        <v>4</v>
      </c>
      <c r="AC1666" s="1">
        <v>0.7</v>
      </c>
      <c r="AH1666" s="1">
        <v>0</v>
      </c>
      <c r="AI1666" s="1">
        <v>1</v>
      </c>
      <c r="AJ1666" s="1" t="s">
        <v>6107</v>
      </c>
      <c r="AK1666" s="1" t="s">
        <v>206</v>
      </c>
      <c r="AL1666" s="1" t="s">
        <v>228</v>
      </c>
      <c r="AN1666" s="22" t="s">
        <v>9767</v>
      </c>
      <c r="AX1666" s="1">
        <v>1</v>
      </c>
      <c r="AZ1666" s="1">
        <v>0.1</v>
      </c>
      <c r="BG1666" s="1" t="s">
        <v>6104</v>
      </c>
      <c r="BM1666" s="1" t="s">
        <v>4959</v>
      </c>
      <c r="BQ1666" s="1" t="s">
        <v>4109</v>
      </c>
      <c r="BR1666" s="1" t="s">
        <v>4020</v>
      </c>
      <c r="BS1666" s="1" t="s">
        <v>4021</v>
      </c>
      <c r="BT1666" s="1" t="s">
        <v>2595</v>
      </c>
      <c r="BX1666" s="1">
        <v>1</v>
      </c>
    </row>
    <row r="1667" spans="1:76" x14ac:dyDescent="0.25">
      <c r="A1667" s="1" t="s">
        <v>6108</v>
      </c>
      <c r="B1667" s="1" t="s">
        <v>203</v>
      </c>
      <c r="C1667" s="1">
        <v>1</v>
      </c>
      <c r="D1667" s="1" t="s">
        <v>6109</v>
      </c>
      <c r="E1667" s="1" t="s">
        <v>6110</v>
      </c>
      <c r="F1667" s="1" t="s">
        <v>6108</v>
      </c>
      <c r="G1667" s="1">
        <v>1</v>
      </c>
      <c r="L1667" s="1">
        <v>60000</v>
      </c>
      <c r="N1667" s="1">
        <v>400</v>
      </c>
      <c r="P1667" s="1">
        <v>300</v>
      </c>
      <c r="R1667" s="1">
        <v>40</v>
      </c>
      <c r="Z1667" s="1">
        <v>0.05</v>
      </c>
      <c r="AA1667" s="1">
        <v>5</v>
      </c>
      <c r="AB1667" s="1">
        <v>5</v>
      </c>
      <c r="AC1667" s="1">
        <v>1</v>
      </c>
      <c r="AH1667" s="1">
        <v>0</v>
      </c>
      <c r="AI1667" s="1">
        <v>1</v>
      </c>
      <c r="AJ1667" s="1" t="s">
        <v>6111</v>
      </c>
      <c r="AK1667" s="1" t="s">
        <v>206</v>
      </c>
      <c r="AL1667" s="1" t="s">
        <v>228</v>
      </c>
      <c r="AN1667" s="22" t="s">
        <v>9767</v>
      </c>
      <c r="AX1667" s="1">
        <v>1</v>
      </c>
      <c r="AZ1667" s="1">
        <v>0.1</v>
      </c>
      <c r="BG1667" s="1" t="s">
        <v>6108</v>
      </c>
      <c r="BM1667" s="1" t="s">
        <v>4959</v>
      </c>
      <c r="BQ1667" s="1" t="s">
        <v>207</v>
      </c>
      <c r="BR1667" s="1" t="s">
        <v>208</v>
      </c>
      <c r="BS1667" s="1" t="s">
        <v>229</v>
      </c>
      <c r="BT1667" s="1" t="s">
        <v>210</v>
      </c>
      <c r="BX1667" s="1">
        <v>1</v>
      </c>
    </row>
    <row r="1668" spans="1:76" x14ac:dyDescent="0.25">
      <c r="A1668" s="1" t="s">
        <v>6112</v>
      </c>
      <c r="B1668" s="1" t="s">
        <v>203</v>
      </c>
      <c r="C1668" s="1">
        <v>1</v>
      </c>
      <c r="D1668" s="1" t="s">
        <v>6113</v>
      </c>
      <c r="E1668" s="1" t="s">
        <v>6114</v>
      </c>
      <c r="F1668" s="1" t="s">
        <v>6112</v>
      </c>
      <c r="G1668" s="1">
        <v>1</v>
      </c>
      <c r="L1668" s="1">
        <v>60000</v>
      </c>
      <c r="N1668" s="1">
        <v>800</v>
      </c>
      <c r="P1668" s="1">
        <v>400</v>
      </c>
      <c r="R1668" s="1">
        <v>60</v>
      </c>
      <c r="Z1668" s="1">
        <v>0.05</v>
      </c>
      <c r="AA1668" s="1">
        <v>4</v>
      </c>
      <c r="AB1668" s="1">
        <v>5</v>
      </c>
      <c r="AC1668" s="1">
        <v>1</v>
      </c>
      <c r="AH1668" s="1">
        <v>0</v>
      </c>
      <c r="AI1668" s="1">
        <v>1</v>
      </c>
      <c r="AJ1668" s="1" t="s">
        <v>6115</v>
      </c>
      <c r="AK1668" s="1" t="s">
        <v>206</v>
      </c>
      <c r="AL1668" s="1" t="s">
        <v>228</v>
      </c>
      <c r="AN1668" s="22" t="s">
        <v>9767</v>
      </c>
      <c r="AX1668" s="1">
        <v>1</v>
      </c>
      <c r="AZ1668" s="1">
        <v>0.1</v>
      </c>
      <c r="BG1668" s="1" t="s">
        <v>6112</v>
      </c>
      <c r="BM1668" s="1" t="s">
        <v>4959</v>
      </c>
      <c r="BQ1668" s="1" t="s">
        <v>207</v>
      </c>
      <c r="BR1668" s="1" t="s">
        <v>208</v>
      </c>
      <c r="BS1668" s="1" t="s">
        <v>229</v>
      </c>
      <c r="BT1668" s="1" t="s">
        <v>210</v>
      </c>
      <c r="BX1668" s="1">
        <v>1</v>
      </c>
    </row>
    <row r="1669" spans="1:76" x14ac:dyDescent="0.25">
      <c r="A1669" s="1" t="s">
        <v>6116</v>
      </c>
      <c r="B1669" s="1" t="s">
        <v>203</v>
      </c>
      <c r="C1669" s="1">
        <v>1</v>
      </c>
      <c r="D1669" s="1" t="s">
        <v>6117</v>
      </c>
      <c r="E1669" s="1" t="s">
        <v>6118</v>
      </c>
      <c r="F1669" s="1" t="s">
        <v>6116</v>
      </c>
      <c r="G1669" s="1">
        <v>1</v>
      </c>
      <c r="L1669" s="1">
        <v>150000</v>
      </c>
      <c r="N1669" s="1">
        <v>1200</v>
      </c>
      <c r="P1669" s="1">
        <v>1500</v>
      </c>
      <c r="R1669" s="1">
        <v>60</v>
      </c>
      <c r="Z1669" s="1">
        <v>0.05</v>
      </c>
      <c r="AA1669" s="1">
        <v>3.5</v>
      </c>
      <c r="AB1669" s="1">
        <v>7</v>
      </c>
      <c r="AC1669" s="1">
        <v>0.5</v>
      </c>
      <c r="AH1669" s="1">
        <v>0</v>
      </c>
      <c r="AI1669" s="1">
        <v>1</v>
      </c>
      <c r="AJ1669" s="1" t="s">
        <v>6119</v>
      </c>
      <c r="AK1669" s="1" t="s">
        <v>206</v>
      </c>
      <c r="AL1669" s="1" t="s">
        <v>228</v>
      </c>
      <c r="AN1669" s="22" t="s">
        <v>9767</v>
      </c>
      <c r="AX1669" s="1">
        <v>1</v>
      </c>
      <c r="AZ1669" s="1">
        <v>0.1</v>
      </c>
      <c r="BG1669" s="1" t="s">
        <v>6116</v>
      </c>
      <c r="BM1669" s="1" t="s">
        <v>4959</v>
      </c>
      <c r="BQ1669" s="1" t="s">
        <v>207</v>
      </c>
      <c r="BR1669" s="1" t="s">
        <v>208</v>
      </c>
      <c r="BS1669" s="1" t="s">
        <v>229</v>
      </c>
      <c r="BT1669" s="1" t="s">
        <v>210</v>
      </c>
      <c r="BX1669" s="1">
        <v>1</v>
      </c>
    </row>
    <row r="1670" spans="1:76" x14ac:dyDescent="0.25">
      <c r="A1670" s="1" t="s">
        <v>6120</v>
      </c>
      <c r="B1670" s="1" t="s">
        <v>203</v>
      </c>
      <c r="C1670" s="1">
        <v>1</v>
      </c>
      <c r="D1670" s="1" t="s">
        <v>6121</v>
      </c>
      <c r="E1670" s="1" t="s">
        <v>6122</v>
      </c>
      <c r="F1670" s="1" t="s">
        <v>6120</v>
      </c>
      <c r="G1670" s="1">
        <v>1</v>
      </c>
      <c r="L1670" s="1">
        <v>560000</v>
      </c>
      <c r="N1670" s="1">
        <v>800</v>
      </c>
      <c r="P1670" s="1">
        <v>800</v>
      </c>
      <c r="R1670" s="1">
        <v>50</v>
      </c>
      <c r="Z1670" s="1">
        <v>0.05</v>
      </c>
      <c r="AA1670" s="1">
        <v>4</v>
      </c>
      <c r="AB1670" s="1">
        <v>10</v>
      </c>
      <c r="AC1670" s="1">
        <v>1</v>
      </c>
      <c r="AH1670" s="1">
        <v>0</v>
      </c>
      <c r="AI1670" s="1">
        <v>1</v>
      </c>
      <c r="AJ1670" s="1" t="s">
        <v>6123</v>
      </c>
      <c r="AK1670" s="1" t="s">
        <v>206</v>
      </c>
      <c r="AL1670" s="1" t="s">
        <v>228</v>
      </c>
      <c r="AN1670" s="22" t="s">
        <v>9767</v>
      </c>
      <c r="AX1670" s="1">
        <v>1</v>
      </c>
      <c r="AZ1670" s="1">
        <v>0.1</v>
      </c>
      <c r="BG1670" s="1" t="s">
        <v>6120</v>
      </c>
      <c r="BM1670" s="1" t="s">
        <v>4959</v>
      </c>
      <c r="BQ1670" s="1" t="s">
        <v>207</v>
      </c>
      <c r="BR1670" s="1" t="s">
        <v>208</v>
      </c>
      <c r="BS1670" s="1" t="s">
        <v>229</v>
      </c>
      <c r="BT1670" s="1" t="s">
        <v>210</v>
      </c>
      <c r="BX1670" s="1">
        <v>1</v>
      </c>
    </row>
    <row r="1671" spans="1:76" x14ac:dyDescent="0.25">
      <c r="A1671" s="1" t="s">
        <v>6124</v>
      </c>
      <c r="B1671" s="1" t="s">
        <v>203</v>
      </c>
      <c r="C1671" s="1">
        <v>1</v>
      </c>
      <c r="D1671" s="1" t="s">
        <v>6125</v>
      </c>
      <c r="E1671" s="1" t="s">
        <v>6126</v>
      </c>
      <c r="F1671" s="1" t="s">
        <v>6124</v>
      </c>
      <c r="G1671" s="1">
        <v>1</v>
      </c>
      <c r="L1671" s="1">
        <v>200000</v>
      </c>
      <c r="N1671" s="1">
        <v>800</v>
      </c>
      <c r="P1671" s="1">
        <v>1200</v>
      </c>
      <c r="R1671" s="1">
        <v>60</v>
      </c>
      <c r="Z1671" s="1">
        <v>0.05</v>
      </c>
      <c r="AA1671" s="1">
        <v>4</v>
      </c>
      <c r="AB1671" s="1">
        <v>7</v>
      </c>
      <c r="AC1671" s="1">
        <v>0.6</v>
      </c>
      <c r="AH1671" s="1">
        <v>0</v>
      </c>
      <c r="AI1671" s="1">
        <v>1</v>
      </c>
      <c r="AJ1671" s="1" t="s">
        <v>6127</v>
      </c>
      <c r="AK1671" s="1" t="s">
        <v>206</v>
      </c>
      <c r="AL1671" s="1" t="s">
        <v>228</v>
      </c>
      <c r="AN1671" s="22" t="s">
        <v>9767</v>
      </c>
      <c r="AX1671" s="1">
        <v>1</v>
      </c>
      <c r="AZ1671" s="1">
        <v>0.1</v>
      </c>
      <c r="BG1671" s="1" t="s">
        <v>6124</v>
      </c>
      <c r="BM1671" s="1" t="s">
        <v>4959</v>
      </c>
      <c r="BQ1671" s="1" t="s">
        <v>4109</v>
      </c>
      <c r="BR1671" s="1" t="s">
        <v>4020</v>
      </c>
      <c r="BS1671" s="1" t="s">
        <v>4021</v>
      </c>
      <c r="BT1671" s="1" t="s">
        <v>2151</v>
      </c>
      <c r="BX1671" s="1">
        <v>1</v>
      </c>
    </row>
    <row r="1672" spans="1:76" x14ac:dyDescent="0.25">
      <c r="A1672" s="1" t="s">
        <v>6128</v>
      </c>
      <c r="B1672" s="1" t="s">
        <v>203</v>
      </c>
      <c r="C1672" s="1">
        <v>1</v>
      </c>
      <c r="D1672" s="1" t="s">
        <v>6129</v>
      </c>
      <c r="E1672" s="1" t="s">
        <v>6130</v>
      </c>
      <c r="F1672" s="1" t="s">
        <v>6128</v>
      </c>
      <c r="G1672" s="1">
        <v>1</v>
      </c>
      <c r="L1672" s="1">
        <v>10</v>
      </c>
      <c r="N1672" s="1">
        <v>800</v>
      </c>
      <c r="P1672" s="1">
        <v>400</v>
      </c>
      <c r="R1672" s="1">
        <v>20</v>
      </c>
      <c r="Z1672" s="1">
        <v>0.05</v>
      </c>
      <c r="AA1672" s="1">
        <v>2</v>
      </c>
      <c r="AB1672" s="1">
        <v>3</v>
      </c>
      <c r="AC1672" s="1">
        <v>1.2</v>
      </c>
      <c r="AH1672" s="1">
        <v>0</v>
      </c>
      <c r="AI1672" s="1">
        <v>1</v>
      </c>
      <c r="AJ1672" s="1" t="s">
        <v>6131</v>
      </c>
      <c r="AK1672" s="1" t="s">
        <v>206</v>
      </c>
      <c r="AL1672" s="1" t="s">
        <v>228</v>
      </c>
      <c r="AN1672" s="22" t="s">
        <v>9767</v>
      </c>
      <c r="AP1672" s="1">
        <v>1</v>
      </c>
      <c r="AX1672" s="1">
        <v>1</v>
      </c>
      <c r="AZ1672" s="1">
        <v>0.1</v>
      </c>
      <c r="BG1672" s="1" t="s">
        <v>6128</v>
      </c>
      <c r="BM1672" s="1" t="s">
        <v>4959</v>
      </c>
      <c r="BQ1672" s="1" t="s">
        <v>207</v>
      </c>
      <c r="BR1672" s="1" t="s">
        <v>208</v>
      </c>
      <c r="BS1672" s="1" t="s">
        <v>229</v>
      </c>
      <c r="BT1672" s="1" t="s">
        <v>210</v>
      </c>
      <c r="BX1672" s="1">
        <v>1</v>
      </c>
    </row>
    <row r="1673" spans="1:76" x14ac:dyDescent="0.25">
      <c r="A1673" s="1" t="s">
        <v>6132</v>
      </c>
      <c r="B1673" s="1" t="s">
        <v>203</v>
      </c>
      <c r="C1673" s="1">
        <v>1</v>
      </c>
      <c r="D1673" s="1" t="s">
        <v>6133</v>
      </c>
      <c r="E1673" s="1" t="s">
        <v>6134</v>
      </c>
      <c r="F1673" s="1" t="s">
        <v>6132</v>
      </c>
      <c r="G1673" s="1">
        <v>1</v>
      </c>
      <c r="L1673" s="1">
        <v>1000000</v>
      </c>
      <c r="N1673" s="1">
        <v>800</v>
      </c>
      <c r="P1673" s="1">
        <v>100</v>
      </c>
      <c r="R1673" s="1">
        <v>10</v>
      </c>
      <c r="Z1673" s="1">
        <v>0.05</v>
      </c>
      <c r="AA1673" s="1">
        <v>6</v>
      </c>
      <c r="AB1673" s="1">
        <v>10</v>
      </c>
      <c r="AC1673" s="1">
        <v>10</v>
      </c>
      <c r="AH1673" s="1">
        <v>0</v>
      </c>
      <c r="AI1673" s="1">
        <v>1</v>
      </c>
      <c r="AJ1673" s="1" t="s">
        <v>6135</v>
      </c>
      <c r="AK1673" s="1" t="s">
        <v>206</v>
      </c>
      <c r="AL1673" s="1" t="s">
        <v>228</v>
      </c>
      <c r="AN1673" s="22" t="s">
        <v>9767</v>
      </c>
      <c r="AX1673" s="1">
        <v>1</v>
      </c>
      <c r="AZ1673" s="1">
        <v>0.1</v>
      </c>
      <c r="BG1673" s="1" t="s">
        <v>6132</v>
      </c>
      <c r="BM1673" s="1" t="s">
        <v>4959</v>
      </c>
      <c r="BQ1673" s="1" t="s">
        <v>6136</v>
      </c>
      <c r="BR1673" s="1" t="s">
        <v>1935</v>
      </c>
      <c r="BS1673" s="1" t="s">
        <v>209</v>
      </c>
      <c r="BT1673" s="1" t="s">
        <v>3296</v>
      </c>
      <c r="BX1673" s="1">
        <v>1</v>
      </c>
    </row>
    <row r="1674" spans="1:76" x14ac:dyDescent="0.25">
      <c r="A1674" s="1" t="s">
        <v>6137</v>
      </c>
      <c r="B1674" s="1" t="s">
        <v>203</v>
      </c>
      <c r="C1674" s="1">
        <v>1</v>
      </c>
      <c r="D1674" s="1" t="s">
        <v>6138</v>
      </c>
      <c r="E1674" s="1" t="s">
        <v>6139</v>
      </c>
      <c r="F1674" s="1" t="s">
        <v>6137</v>
      </c>
      <c r="G1674" s="1">
        <v>1</v>
      </c>
      <c r="L1674" s="1">
        <v>350000</v>
      </c>
      <c r="N1674" s="1">
        <v>1500</v>
      </c>
      <c r="P1674" s="1">
        <v>1000</v>
      </c>
      <c r="R1674" s="1">
        <v>10</v>
      </c>
      <c r="Z1674" s="1">
        <v>0.05</v>
      </c>
      <c r="AA1674" s="1">
        <v>6</v>
      </c>
      <c r="AB1674" s="1">
        <v>10</v>
      </c>
      <c r="AC1674" s="1">
        <v>0.3</v>
      </c>
      <c r="AH1674" s="1">
        <v>0</v>
      </c>
      <c r="AI1674" s="1">
        <v>1</v>
      </c>
      <c r="AJ1674" s="1" t="s">
        <v>6140</v>
      </c>
      <c r="AK1674" s="1" t="s">
        <v>206</v>
      </c>
      <c r="AL1674" s="1" t="s">
        <v>228</v>
      </c>
      <c r="AN1674" s="22" t="s">
        <v>9767</v>
      </c>
      <c r="AX1674" s="1">
        <v>1</v>
      </c>
      <c r="AZ1674" s="1">
        <v>0.1</v>
      </c>
      <c r="BG1674" s="1" t="s">
        <v>6137</v>
      </c>
      <c r="BM1674" s="1" t="s">
        <v>4959</v>
      </c>
      <c r="BQ1674" s="1" t="s">
        <v>207</v>
      </c>
      <c r="BR1674" s="1" t="s">
        <v>208</v>
      </c>
      <c r="BS1674" s="1" t="s">
        <v>229</v>
      </c>
      <c r="BT1674" s="1" t="s">
        <v>210</v>
      </c>
      <c r="BX1674" s="1">
        <v>1</v>
      </c>
    </row>
    <row r="1675" spans="1:76" x14ac:dyDescent="0.25">
      <c r="A1675" s="1" t="s">
        <v>6141</v>
      </c>
      <c r="B1675" s="1" t="s">
        <v>203</v>
      </c>
      <c r="C1675" s="1">
        <v>1</v>
      </c>
      <c r="D1675" s="1" t="s">
        <v>6142</v>
      </c>
      <c r="E1675" s="1" t="s">
        <v>6143</v>
      </c>
      <c r="F1675" s="1" t="s">
        <v>6141</v>
      </c>
      <c r="G1675" s="1">
        <v>1</v>
      </c>
      <c r="L1675" s="1">
        <v>25000</v>
      </c>
      <c r="N1675" s="1">
        <v>500</v>
      </c>
      <c r="P1675" s="1">
        <v>200</v>
      </c>
      <c r="R1675" s="1">
        <v>30</v>
      </c>
      <c r="Z1675" s="1">
        <v>0.05</v>
      </c>
      <c r="AA1675" s="1">
        <v>1</v>
      </c>
      <c r="AB1675" s="1">
        <v>3</v>
      </c>
      <c r="AC1675" s="1">
        <v>0.6</v>
      </c>
      <c r="AH1675" s="1">
        <v>0</v>
      </c>
      <c r="AI1675" s="1">
        <v>1</v>
      </c>
      <c r="AJ1675" s="1" t="s">
        <v>6144</v>
      </c>
      <c r="AK1675" s="1" t="s">
        <v>206</v>
      </c>
      <c r="AL1675" s="1" t="s">
        <v>228</v>
      </c>
      <c r="AN1675" s="22" t="s">
        <v>9767</v>
      </c>
      <c r="AP1675" s="1">
        <v>1</v>
      </c>
      <c r="AX1675" s="1">
        <v>1</v>
      </c>
      <c r="AZ1675" s="1">
        <v>0.1</v>
      </c>
      <c r="BG1675" s="1" t="s">
        <v>6141</v>
      </c>
      <c r="BM1675" s="1" t="s">
        <v>4959</v>
      </c>
      <c r="BQ1675" s="1" t="s">
        <v>207</v>
      </c>
      <c r="BR1675" s="1" t="s">
        <v>271</v>
      </c>
      <c r="BS1675" s="1" t="s">
        <v>1612</v>
      </c>
      <c r="BT1675" s="1" t="s">
        <v>3196</v>
      </c>
      <c r="BX1675" s="1">
        <v>1</v>
      </c>
    </row>
    <row r="1676" spans="1:76" x14ac:dyDescent="0.25">
      <c r="A1676" s="1" t="s">
        <v>6145</v>
      </c>
      <c r="B1676" s="1" t="s">
        <v>203</v>
      </c>
      <c r="C1676" s="1">
        <v>1</v>
      </c>
      <c r="D1676" s="1" t="s">
        <v>6146</v>
      </c>
      <c r="E1676" s="1" t="s">
        <v>6147</v>
      </c>
      <c r="F1676" s="1" t="s">
        <v>6145</v>
      </c>
      <c r="G1676" s="1">
        <v>1</v>
      </c>
      <c r="L1676" s="1">
        <v>500000</v>
      </c>
      <c r="N1676" s="1">
        <v>1800</v>
      </c>
      <c r="P1676" s="1">
        <v>2500</v>
      </c>
      <c r="R1676" s="1">
        <v>60</v>
      </c>
      <c r="Z1676" s="1">
        <v>0.05</v>
      </c>
      <c r="AA1676" s="1">
        <v>4.5</v>
      </c>
      <c r="AB1676" s="1">
        <v>9</v>
      </c>
      <c r="AC1676" s="1">
        <v>0.6</v>
      </c>
      <c r="AH1676" s="1">
        <v>0</v>
      </c>
      <c r="AI1676" s="1">
        <v>1</v>
      </c>
      <c r="AJ1676" s="1" t="s">
        <v>6148</v>
      </c>
      <c r="AK1676" s="1" t="s">
        <v>206</v>
      </c>
      <c r="AL1676" s="1" t="s">
        <v>228</v>
      </c>
      <c r="AN1676" s="22" t="s">
        <v>9767</v>
      </c>
      <c r="AX1676" s="1">
        <v>1</v>
      </c>
      <c r="AZ1676" s="1">
        <v>0.1</v>
      </c>
      <c r="BG1676" s="1" t="s">
        <v>6145</v>
      </c>
      <c r="BM1676" s="1" t="s">
        <v>4959</v>
      </c>
      <c r="BQ1676" s="1" t="s">
        <v>207</v>
      </c>
      <c r="BR1676" s="1" t="s">
        <v>208</v>
      </c>
      <c r="BS1676" s="1" t="s">
        <v>229</v>
      </c>
      <c r="BT1676" s="1" t="s">
        <v>210</v>
      </c>
      <c r="BX1676" s="1">
        <v>1</v>
      </c>
    </row>
    <row r="1677" spans="1:76" x14ac:dyDescent="0.25">
      <c r="A1677" s="1" t="s">
        <v>6149</v>
      </c>
      <c r="B1677" s="1" t="s">
        <v>203</v>
      </c>
      <c r="C1677" s="1">
        <v>1</v>
      </c>
      <c r="D1677" s="1" t="s">
        <v>6150</v>
      </c>
      <c r="E1677" s="1" t="s">
        <v>6151</v>
      </c>
      <c r="F1677" s="1" t="s">
        <v>6149</v>
      </c>
      <c r="G1677" s="1">
        <v>1</v>
      </c>
      <c r="L1677" s="1">
        <v>500000</v>
      </c>
      <c r="N1677" s="1">
        <v>2400</v>
      </c>
      <c r="P1677" s="1">
        <v>3000</v>
      </c>
      <c r="R1677" s="1">
        <v>60</v>
      </c>
      <c r="Z1677" s="1">
        <v>0.05</v>
      </c>
      <c r="AA1677" s="1">
        <v>5</v>
      </c>
      <c r="AB1677" s="1">
        <v>13</v>
      </c>
      <c r="AC1677" s="1">
        <v>0.75</v>
      </c>
      <c r="AH1677" s="1">
        <v>0</v>
      </c>
      <c r="AI1677" s="1">
        <v>1</v>
      </c>
      <c r="AJ1677" s="1" t="s">
        <v>6152</v>
      </c>
      <c r="AK1677" s="1" t="s">
        <v>206</v>
      </c>
      <c r="AL1677" s="1" t="s">
        <v>228</v>
      </c>
      <c r="AN1677" s="22" t="s">
        <v>9767</v>
      </c>
      <c r="AX1677" s="1">
        <v>1</v>
      </c>
      <c r="AZ1677" s="1">
        <v>0.1</v>
      </c>
      <c r="BG1677" s="1" t="s">
        <v>6149</v>
      </c>
      <c r="BM1677" s="1" t="s">
        <v>4959</v>
      </c>
      <c r="BQ1677" s="1" t="s">
        <v>207</v>
      </c>
      <c r="BR1677" s="1" t="s">
        <v>208</v>
      </c>
      <c r="BS1677" s="1" t="s">
        <v>229</v>
      </c>
      <c r="BT1677" s="1" t="s">
        <v>210</v>
      </c>
      <c r="BX1677" s="1">
        <v>1</v>
      </c>
    </row>
    <row r="1678" spans="1:76" x14ac:dyDescent="0.25">
      <c r="A1678" s="1" t="s">
        <v>6153</v>
      </c>
      <c r="B1678" s="1" t="s">
        <v>203</v>
      </c>
      <c r="C1678" s="1">
        <v>1</v>
      </c>
      <c r="D1678" s="1" t="s">
        <v>6154</v>
      </c>
      <c r="E1678" s="1" t="s">
        <v>6155</v>
      </c>
      <c r="F1678" s="1" t="s">
        <v>6153</v>
      </c>
      <c r="G1678" s="1">
        <v>1</v>
      </c>
      <c r="L1678" s="1">
        <v>80000</v>
      </c>
      <c r="N1678" s="1">
        <v>200</v>
      </c>
      <c r="P1678" s="1">
        <v>1000</v>
      </c>
      <c r="R1678" s="1">
        <v>30</v>
      </c>
      <c r="Z1678" s="1">
        <v>0.05</v>
      </c>
      <c r="AA1678" s="1">
        <v>5</v>
      </c>
      <c r="AB1678" s="1">
        <v>13</v>
      </c>
      <c r="AC1678" s="1">
        <v>0.6</v>
      </c>
      <c r="AH1678" s="1">
        <v>0</v>
      </c>
      <c r="AI1678" s="1">
        <v>1</v>
      </c>
      <c r="AJ1678" s="1" t="s">
        <v>6156</v>
      </c>
      <c r="AK1678" s="1" t="s">
        <v>206</v>
      </c>
      <c r="AL1678" s="1" t="s">
        <v>228</v>
      </c>
      <c r="AN1678" s="22" t="s">
        <v>9767</v>
      </c>
      <c r="AX1678" s="1">
        <v>1</v>
      </c>
      <c r="AZ1678" s="1">
        <v>0.1</v>
      </c>
      <c r="BG1678" s="1" t="s">
        <v>6153</v>
      </c>
      <c r="BM1678" s="1" t="s">
        <v>4959</v>
      </c>
      <c r="BQ1678" s="1" t="s">
        <v>207</v>
      </c>
      <c r="BR1678" s="1" t="s">
        <v>208</v>
      </c>
      <c r="BT1678" s="1" t="s">
        <v>210</v>
      </c>
      <c r="BX1678" s="1">
        <v>1</v>
      </c>
    </row>
    <row r="1679" spans="1:76" x14ac:dyDescent="0.25">
      <c r="A1679" s="1" t="s">
        <v>6157</v>
      </c>
      <c r="B1679" s="1" t="s">
        <v>203</v>
      </c>
      <c r="C1679" s="1">
        <v>1</v>
      </c>
      <c r="D1679" s="1" t="s">
        <v>6158</v>
      </c>
      <c r="E1679" s="1" t="s">
        <v>6159</v>
      </c>
      <c r="F1679" s="1" t="s">
        <v>6157</v>
      </c>
      <c r="G1679" s="1">
        <v>1</v>
      </c>
      <c r="L1679" s="1">
        <v>40000</v>
      </c>
      <c r="N1679" s="1">
        <v>600</v>
      </c>
      <c r="P1679" s="1">
        <v>500</v>
      </c>
      <c r="R1679" s="1">
        <v>20</v>
      </c>
      <c r="Z1679" s="1">
        <v>0.05</v>
      </c>
      <c r="AA1679" s="1">
        <v>5</v>
      </c>
      <c r="AB1679" s="1">
        <v>13</v>
      </c>
      <c r="AC1679" s="1">
        <v>0.75</v>
      </c>
      <c r="AH1679" s="1">
        <v>0</v>
      </c>
      <c r="AI1679" s="1">
        <v>1</v>
      </c>
      <c r="AJ1679" s="1" t="s">
        <v>6160</v>
      </c>
      <c r="AK1679" s="1" t="s">
        <v>206</v>
      </c>
      <c r="AL1679" s="1" t="s">
        <v>228</v>
      </c>
      <c r="AN1679" s="22" t="s">
        <v>9767</v>
      </c>
      <c r="AX1679" s="1">
        <v>1</v>
      </c>
      <c r="AZ1679" s="1">
        <v>0.1</v>
      </c>
      <c r="BG1679" s="1" t="s">
        <v>6157</v>
      </c>
      <c r="BM1679" s="1" t="s">
        <v>4959</v>
      </c>
      <c r="BQ1679" s="1" t="s">
        <v>207</v>
      </c>
      <c r="BR1679" s="1" t="s">
        <v>208</v>
      </c>
      <c r="BS1679" s="1" t="s">
        <v>229</v>
      </c>
      <c r="BT1679" s="1" t="s">
        <v>210</v>
      </c>
      <c r="BX1679" s="1">
        <v>1</v>
      </c>
    </row>
    <row r="1680" spans="1:76" x14ac:dyDescent="0.25">
      <c r="A1680" s="1" t="s">
        <v>6161</v>
      </c>
      <c r="B1680" s="1" t="s">
        <v>203</v>
      </c>
      <c r="C1680" s="1">
        <v>1</v>
      </c>
      <c r="D1680" s="1" t="s">
        <v>6162</v>
      </c>
      <c r="E1680" s="1" t="s">
        <v>6163</v>
      </c>
      <c r="F1680" s="1" t="s">
        <v>6161</v>
      </c>
      <c r="G1680" s="1">
        <v>1</v>
      </c>
      <c r="L1680" s="1">
        <v>20000</v>
      </c>
      <c r="N1680" s="1">
        <v>1800</v>
      </c>
      <c r="P1680" s="1">
        <v>500</v>
      </c>
      <c r="R1680" s="1">
        <v>20</v>
      </c>
      <c r="Z1680" s="1">
        <v>0.05</v>
      </c>
      <c r="AA1680" s="1">
        <v>5</v>
      </c>
      <c r="AB1680" s="1">
        <v>3</v>
      </c>
      <c r="AC1680" s="1">
        <v>1</v>
      </c>
      <c r="AH1680" s="1">
        <v>0</v>
      </c>
      <c r="AI1680" s="1">
        <v>1</v>
      </c>
      <c r="AJ1680" s="1" t="s">
        <v>6164</v>
      </c>
      <c r="AK1680" s="1" t="s">
        <v>206</v>
      </c>
      <c r="AL1680" s="1" t="s">
        <v>228</v>
      </c>
      <c r="AN1680" s="22" t="s">
        <v>9767</v>
      </c>
      <c r="AP1680" s="1">
        <v>1</v>
      </c>
      <c r="AX1680" s="1">
        <v>1</v>
      </c>
      <c r="AZ1680" s="1">
        <v>0.1</v>
      </c>
      <c r="BG1680" s="1" t="s">
        <v>6161</v>
      </c>
      <c r="BM1680" s="1" t="s">
        <v>4959</v>
      </c>
      <c r="BQ1680" s="1" t="s">
        <v>207</v>
      </c>
      <c r="BR1680" s="1" t="s">
        <v>208</v>
      </c>
      <c r="BS1680" s="1" t="s">
        <v>229</v>
      </c>
      <c r="BT1680" s="1" t="s">
        <v>210</v>
      </c>
      <c r="BX1680" s="1">
        <v>1</v>
      </c>
    </row>
    <row r="1681" spans="1:76" x14ac:dyDescent="0.25">
      <c r="A1681" s="1" t="s">
        <v>6165</v>
      </c>
      <c r="B1681" s="1" t="s">
        <v>203</v>
      </c>
      <c r="C1681" s="1">
        <v>1</v>
      </c>
      <c r="D1681" s="1" t="s">
        <v>6166</v>
      </c>
      <c r="E1681" s="1" t="s">
        <v>6167</v>
      </c>
      <c r="F1681" s="1" t="s">
        <v>6165</v>
      </c>
      <c r="G1681" s="1">
        <v>1</v>
      </c>
      <c r="L1681" s="1">
        <v>20000</v>
      </c>
      <c r="N1681" s="1">
        <v>1800</v>
      </c>
      <c r="P1681" s="1">
        <v>500</v>
      </c>
      <c r="R1681" s="1">
        <v>20</v>
      </c>
      <c r="Z1681" s="1">
        <v>0.05</v>
      </c>
      <c r="AA1681" s="1">
        <v>5</v>
      </c>
      <c r="AB1681" s="1">
        <v>3</v>
      </c>
      <c r="AC1681" s="1">
        <v>1</v>
      </c>
      <c r="AH1681" s="1">
        <v>0</v>
      </c>
      <c r="AI1681" s="1">
        <v>1</v>
      </c>
      <c r="AJ1681" s="1" t="s">
        <v>6168</v>
      </c>
      <c r="AK1681" s="1" t="s">
        <v>206</v>
      </c>
      <c r="AL1681" s="1" t="s">
        <v>228</v>
      </c>
      <c r="AN1681" s="22" t="s">
        <v>9767</v>
      </c>
      <c r="AP1681" s="1">
        <v>1</v>
      </c>
      <c r="AX1681" s="1">
        <v>1</v>
      </c>
      <c r="AZ1681" s="1">
        <v>0.1</v>
      </c>
      <c r="BG1681" s="1" t="s">
        <v>6165</v>
      </c>
      <c r="BM1681" s="1" t="s">
        <v>4959</v>
      </c>
      <c r="BQ1681" s="1" t="s">
        <v>207</v>
      </c>
      <c r="BR1681" s="1" t="s">
        <v>208</v>
      </c>
      <c r="BS1681" s="1" t="s">
        <v>229</v>
      </c>
      <c r="BT1681" s="1" t="s">
        <v>210</v>
      </c>
      <c r="BX1681" s="1">
        <v>1</v>
      </c>
    </row>
    <row r="1683" spans="1:76" x14ac:dyDescent="0.25">
      <c r="A1683" s="1" t="s">
        <v>6169</v>
      </c>
      <c r="B1683" s="1" t="s">
        <v>203</v>
      </c>
      <c r="C1683" s="1">
        <v>1</v>
      </c>
      <c r="D1683" s="1" t="s">
        <v>6170</v>
      </c>
      <c r="E1683" s="1" t="s">
        <v>6171</v>
      </c>
      <c r="F1683" s="1" t="s">
        <v>6169</v>
      </c>
      <c r="G1683" s="1">
        <v>1</v>
      </c>
      <c r="L1683" s="1">
        <v>5000</v>
      </c>
      <c r="N1683" s="1">
        <v>320</v>
      </c>
      <c r="P1683" s="1">
        <v>100</v>
      </c>
      <c r="R1683" s="1">
        <v>20</v>
      </c>
      <c r="Z1683" s="1">
        <v>0.05</v>
      </c>
      <c r="AA1683" s="1">
        <v>1.4</v>
      </c>
      <c r="AB1683" s="1">
        <v>0</v>
      </c>
      <c r="AC1683" s="1">
        <v>1.5</v>
      </c>
      <c r="AH1683" s="1">
        <v>0</v>
      </c>
      <c r="AI1683" s="1">
        <v>1</v>
      </c>
      <c r="AJ1683" s="1" t="s">
        <v>6172</v>
      </c>
      <c r="AK1683" s="1" t="s">
        <v>206</v>
      </c>
      <c r="AL1683" s="1" t="s">
        <v>228</v>
      </c>
      <c r="AN1683" s="22" t="s">
        <v>9767</v>
      </c>
      <c r="AX1683" s="1">
        <v>1</v>
      </c>
      <c r="AZ1683" s="1">
        <v>0.1</v>
      </c>
      <c r="BG1683" s="1" t="s">
        <v>6169</v>
      </c>
      <c r="BM1683" s="1" t="s">
        <v>4959</v>
      </c>
      <c r="BQ1683" s="1" t="s">
        <v>207</v>
      </c>
      <c r="BR1683" s="1" t="s">
        <v>208</v>
      </c>
      <c r="BS1683" s="1" t="s">
        <v>229</v>
      </c>
      <c r="BT1683" s="1" t="s">
        <v>210</v>
      </c>
      <c r="BX1683" s="1">
        <v>1</v>
      </c>
    </row>
    <row r="1684" spans="1:76" x14ac:dyDescent="0.25">
      <c r="A1684" s="1" t="s">
        <v>6173</v>
      </c>
      <c r="B1684" s="1" t="s">
        <v>203</v>
      </c>
      <c r="C1684" s="1">
        <v>1</v>
      </c>
      <c r="D1684" s="1" t="s">
        <v>6174</v>
      </c>
      <c r="E1684" s="1" t="s">
        <v>6175</v>
      </c>
      <c r="F1684" s="1" t="s">
        <v>6173</v>
      </c>
      <c r="G1684" s="1">
        <v>1</v>
      </c>
      <c r="L1684" s="1">
        <v>8000</v>
      </c>
      <c r="N1684" s="1">
        <v>400</v>
      </c>
      <c r="P1684" s="1">
        <v>200</v>
      </c>
      <c r="R1684" s="1">
        <v>50</v>
      </c>
      <c r="Z1684" s="1">
        <v>0.05</v>
      </c>
      <c r="AA1684" s="1">
        <v>3</v>
      </c>
      <c r="AB1684" s="1">
        <v>1</v>
      </c>
      <c r="AC1684" s="1">
        <v>0.8</v>
      </c>
      <c r="AH1684" s="1">
        <v>0</v>
      </c>
      <c r="AI1684" s="1">
        <v>1</v>
      </c>
      <c r="AJ1684" s="1" t="s">
        <v>6176</v>
      </c>
      <c r="AK1684" s="1" t="s">
        <v>206</v>
      </c>
      <c r="AL1684" s="1" t="s">
        <v>228</v>
      </c>
      <c r="AN1684" s="22" t="s">
        <v>9767</v>
      </c>
      <c r="AX1684" s="1">
        <v>1</v>
      </c>
      <c r="AZ1684" s="1">
        <v>0.1</v>
      </c>
      <c r="BG1684" s="1" t="s">
        <v>6173</v>
      </c>
      <c r="BM1684" s="1" t="s">
        <v>4959</v>
      </c>
      <c r="BQ1684" s="1" t="s">
        <v>207</v>
      </c>
      <c r="BR1684" s="1" t="s">
        <v>208</v>
      </c>
      <c r="BS1684" s="1" t="s">
        <v>229</v>
      </c>
      <c r="BT1684" s="1" t="s">
        <v>210</v>
      </c>
      <c r="BX1684" s="1">
        <v>1</v>
      </c>
    </row>
    <row r="1685" spans="1:76" x14ac:dyDescent="0.25">
      <c r="A1685" s="1" t="s">
        <v>6177</v>
      </c>
      <c r="B1685" s="1" t="s">
        <v>203</v>
      </c>
      <c r="C1685" s="1">
        <v>1</v>
      </c>
      <c r="D1685" s="1" t="s">
        <v>6178</v>
      </c>
      <c r="E1685" s="1" t="s">
        <v>6179</v>
      </c>
      <c r="F1685" s="1" t="s">
        <v>6177</v>
      </c>
      <c r="G1685" s="1">
        <v>1</v>
      </c>
      <c r="L1685" s="1">
        <v>15000</v>
      </c>
      <c r="N1685" s="1">
        <v>600</v>
      </c>
      <c r="P1685" s="1">
        <v>300</v>
      </c>
      <c r="R1685" s="1">
        <v>20</v>
      </c>
      <c r="Z1685" s="1">
        <v>0.05</v>
      </c>
      <c r="AA1685" s="1">
        <v>1.2</v>
      </c>
      <c r="AB1685" s="1">
        <v>2</v>
      </c>
      <c r="AC1685" s="1">
        <v>0.7</v>
      </c>
      <c r="AH1685" s="1">
        <v>0</v>
      </c>
      <c r="AI1685" s="1">
        <v>1</v>
      </c>
      <c r="AJ1685" s="1" t="s">
        <v>6180</v>
      </c>
      <c r="AK1685" s="1" t="s">
        <v>206</v>
      </c>
      <c r="AL1685" s="1" t="s">
        <v>228</v>
      </c>
      <c r="AN1685" s="22" t="s">
        <v>9767</v>
      </c>
      <c r="AX1685" s="1">
        <v>1</v>
      </c>
      <c r="AZ1685" s="1">
        <v>0.1</v>
      </c>
      <c r="BG1685" s="1" t="s">
        <v>6177</v>
      </c>
      <c r="BM1685" s="1" t="s">
        <v>4959</v>
      </c>
      <c r="BQ1685" s="1" t="s">
        <v>207</v>
      </c>
      <c r="BR1685" s="1" t="s">
        <v>208</v>
      </c>
      <c r="BS1685" s="1" t="s">
        <v>229</v>
      </c>
      <c r="BT1685" s="1" t="s">
        <v>210</v>
      </c>
      <c r="BX1685" s="1">
        <v>1</v>
      </c>
    </row>
    <row r="1686" spans="1:76" x14ac:dyDescent="0.25">
      <c r="A1686" s="1" t="s">
        <v>6181</v>
      </c>
      <c r="B1686" s="1" t="s">
        <v>203</v>
      </c>
      <c r="C1686" s="1">
        <v>1</v>
      </c>
      <c r="D1686" s="1" t="s">
        <v>6182</v>
      </c>
      <c r="E1686" s="1" t="s">
        <v>6183</v>
      </c>
      <c r="F1686" s="1" t="s">
        <v>6181</v>
      </c>
      <c r="G1686" s="1">
        <v>1</v>
      </c>
      <c r="L1686" s="1">
        <v>120000</v>
      </c>
      <c r="N1686" s="1">
        <v>2000</v>
      </c>
      <c r="P1686" s="1">
        <v>2000</v>
      </c>
      <c r="R1686" s="1">
        <v>70</v>
      </c>
      <c r="Z1686" s="1">
        <v>0.05</v>
      </c>
      <c r="AA1686" s="1">
        <v>7</v>
      </c>
      <c r="AB1686" s="1">
        <v>4</v>
      </c>
      <c r="AC1686" s="1">
        <v>0.4</v>
      </c>
      <c r="AH1686" s="1">
        <v>0</v>
      </c>
      <c r="AI1686" s="1">
        <v>1</v>
      </c>
      <c r="AJ1686" s="1" t="s">
        <v>6184</v>
      </c>
      <c r="AK1686" s="1" t="s">
        <v>206</v>
      </c>
      <c r="AL1686" s="1" t="s">
        <v>228</v>
      </c>
      <c r="AN1686" s="22" t="s">
        <v>9767</v>
      </c>
      <c r="AX1686" s="1">
        <v>1</v>
      </c>
      <c r="AZ1686" s="1">
        <v>0.1</v>
      </c>
      <c r="BG1686" s="1" t="s">
        <v>6181</v>
      </c>
      <c r="BM1686" s="1" t="s">
        <v>4959</v>
      </c>
      <c r="BQ1686" s="1" t="s">
        <v>207</v>
      </c>
      <c r="BR1686" s="1" t="s">
        <v>208</v>
      </c>
      <c r="BS1686" s="1" t="s">
        <v>229</v>
      </c>
      <c r="BT1686" s="1" t="s">
        <v>210</v>
      </c>
      <c r="BX1686" s="1">
        <v>1</v>
      </c>
    </row>
    <row r="1687" spans="1:76" x14ac:dyDescent="0.25">
      <c r="A1687" s="1" t="s">
        <v>6185</v>
      </c>
      <c r="B1687" s="1" t="s">
        <v>203</v>
      </c>
      <c r="C1687" s="1">
        <v>1</v>
      </c>
      <c r="D1687" s="1" t="s">
        <v>6186</v>
      </c>
      <c r="E1687" s="1" t="s">
        <v>6187</v>
      </c>
      <c r="F1687" s="1" t="s">
        <v>6185</v>
      </c>
      <c r="G1687" s="1">
        <v>1</v>
      </c>
      <c r="L1687" s="1">
        <v>18000</v>
      </c>
      <c r="N1687" s="1">
        <v>280</v>
      </c>
      <c r="P1687" s="1">
        <v>300</v>
      </c>
      <c r="R1687" s="1">
        <v>20</v>
      </c>
      <c r="Z1687" s="1">
        <v>0.05</v>
      </c>
      <c r="AA1687" s="1">
        <v>1.8</v>
      </c>
      <c r="AB1687" s="1">
        <v>3</v>
      </c>
      <c r="AC1687" s="1">
        <v>1.3</v>
      </c>
      <c r="AH1687" s="1">
        <v>0</v>
      </c>
      <c r="AI1687" s="1">
        <v>1</v>
      </c>
      <c r="AJ1687" s="1" t="s">
        <v>6188</v>
      </c>
      <c r="AK1687" s="1" t="s">
        <v>206</v>
      </c>
      <c r="AL1687" s="1" t="s">
        <v>228</v>
      </c>
      <c r="AN1687" s="22" t="s">
        <v>9767</v>
      </c>
      <c r="AX1687" s="1">
        <v>1</v>
      </c>
      <c r="AZ1687" s="1">
        <v>0.1</v>
      </c>
      <c r="BG1687" s="1" t="s">
        <v>6185</v>
      </c>
      <c r="BM1687" s="1" t="s">
        <v>4959</v>
      </c>
      <c r="BQ1687" s="1" t="s">
        <v>207</v>
      </c>
      <c r="BR1687" s="1" t="s">
        <v>208</v>
      </c>
      <c r="BS1687" s="1" t="s">
        <v>229</v>
      </c>
      <c r="BT1687" s="1" t="s">
        <v>210</v>
      </c>
      <c r="BX1687" s="1">
        <v>1</v>
      </c>
    </row>
    <row r="1688" spans="1:76" x14ac:dyDescent="0.25">
      <c r="A1688" s="1" t="s">
        <v>6189</v>
      </c>
      <c r="B1688" s="1" t="s">
        <v>203</v>
      </c>
      <c r="C1688" s="1">
        <v>1</v>
      </c>
      <c r="D1688" s="1" t="s">
        <v>6190</v>
      </c>
      <c r="E1688" s="1" t="s">
        <v>6191</v>
      </c>
      <c r="F1688" s="1" t="s">
        <v>6189</v>
      </c>
      <c r="G1688" s="1">
        <v>1</v>
      </c>
      <c r="L1688" s="1">
        <v>100000</v>
      </c>
      <c r="N1688" s="1">
        <v>100</v>
      </c>
      <c r="P1688" s="1">
        <v>0</v>
      </c>
      <c r="R1688" s="1">
        <v>0</v>
      </c>
      <c r="Z1688" s="1">
        <v>0.05</v>
      </c>
      <c r="AA1688" s="1">
        <v>1</v>
      </c>
      <c r="AB1688" s="1">
        <v>1</v>
      </c>
      <c r="AC1688" s="1">
        <v>1</v>
      </c>
      <c r="AH1688" s="1">
        <v>0</v>
      </c>
      <c r="AI1688" s="1">
        <v>1</v>
      </c>
      <c r="AJ1688" s="1" t="s">
        <v>6192</v>
      </c>
      <c r="AK1688" s="1" t="s">
        <v>206</v>
      </c>
      <c r="AL1688" s="1" t="s">
        <v>228</v>
      </c>
      <c r="AN1688" s="22" t="s">
        <v>9767</v>
      </c>
      <c r="AX1688" s="1">
        <v>1</v>
      </c>
      <c r="AZ1688" s="1">
        <v>0.1</v>
      </c>
      <c r="BG1688" s="1" t="s">
        <v>6189</v>
      </c>
      <c r="BM1688" s="1" t="s">
        <v>4959</v>
      </c>
      <c r="BQ1688" s="1" t="s">
        <v>207</v>
      </c>
      <c r="BR1688" s="1" t="s">
        <v>208</v>
      </c>
      <c r="BT1688" s="1" t="s">
        <v>210</v>
      </c>
      <c r="BX1688" s="1">
        <v>1</v>
      </c>
    </row>
    <row r="1689" spans="1:76" x14ac:dyDescent="0.25">
      <c r="A1689" s="1" t="s">
        <v>6193</v>
      </c>
      <c r="B1689" s="1" t="s">
        <v>203</v>
      </c>
      <c r="C1689" s="1">
        <v>1</v>
      </c>
      <c r="D1689" s="1" t="s">
        <v>6194</v>
      </c>
      <c r="E1689" s="1" t="s">
        <v>6195</v>
      </c>
      <c r="F1689" s="1" t="s">
        <v>6193</v>
      </c>
      <c r="G1689" s="1">
        <v>1</v>
      </c>
      <c r="L1689" s="1">
        <v>2500</v>
      </c>
      <c r="N1689" s="1">
        <v>300</v>
      </c>
      <c r="P1689" s="1">
        <v>50</v>
      </c>
      <c r="R1689" s="1">
        <v>80</v>
      </c>
      <c r="Z1689" s="1">
        <v>0.05</v>
      </c>
      <c r="AA1689" s="1">
        <v>2</v>
      </c>
      <c r="AB1689" s="1">
        <v>0</v>
      </c>
      <c r="AC1689" s="1">
        <v>0.7</v>
      </c>
      <c r="AH1689" s="1">
        <v>0</v>
      </c>
      <c r="AI1689" s="1">
        <v>1</v>
      </c>
      <c r="AJ1689" s="1" t="s">
        <v>6196</v>
      </c>
      <c r="AK1689" s="1" t="s">
        <v>206</v>
      </c>
      <c r="AL1689" s="1" t="s">
        <v>228</v>
      </c>
      <c r="AN1689" s="22" t="s">
        <v>9767</v>
      </c>
      <c r="AX1689" s="1">
        <v>1</v>
      </c>
      <c r="AZ1689" s="1">
        <v>0.1</v>
      </c>
      <c r="BG1689" s="1" t="s">
        <v>6193</v>
      </c>
      <c r="BM1689" s="1" t="s">
        <v>4959</v>
      </c>
      <c r="BQ1689" s="1" t="s">
        <v>207</v>
      </c>
      <c r="BR1689" s="1" t="s">
        <v>208</v>
      </c>
      <c r="BS1689" s="1" t="s">
        <v>229</v>
      </c>
      <c r="BT1689" s="1" t="s">
        <v>210</v>
      </c>
      <c r="BX1689" s="1">
        <v>1</v>
      </c>
    </row>
    <row r="1690" spans="1:76" x14ac:dyDescent="0.25">
      <c r="A1690" s="1" t="s">
        <v>6197</v>
      </c>
      <c r="B1690" s="1" t="s">
        <v>203</v>
      </c>
      <c r="C1690" s="1">
        <v>1</v>
      </c>
      <c r="D1690" s="1" t="s">
        <v>6198</v>
      </c>
      <c r="E1690" s="1" t="s">
        <v>6199</v>
      </c>
      <c r="F1690" s="1" t="s">
        <v>6197</v>
      </c>
      <c r="G1690" s="1">
        <v>1</v>
      </c>
      <c r="L1690" s="1">
        <v>10000</v>
      </c>
      <c r="N1690" s="1">
        <v>600</v>
      </c>
      <c r="P1690" s="1">
        <v>500</v>
      </c>
      <c r="R1690" s="1">
        <v>30</v>
      </c>
      <c r="Z1690" s="1">
        <v>0.05</v>
      </c>
      <c r="AA1690" s="1">
        <v>1</v>
      </c>
      <c r="AB1690" s="1">
        <v>4</v>
      </c>
      <c r="AC1690" s="1">
        <v>0.7</v>
      </c>
      <c r="AH1690" s="1">
        <v>0</v>
      </c>
      <c r="AI1690" s="1">
        <v>1</v>
      </c>
      <c r="AJ1690" s="1" t="s">
        <v>6200</v>
      </c>
      <c r="AK1690" s="1" t="s">
        <v>206</v>
      </c>
      <c r="AL1690" s="1" t="s">
        <v>228</v>
      </c>
      <c r="AN1690" s="22" t="s">
        <v>9767</v>
      </c>
      <c r="AX1690" s="1">
        <v>1</v>
      </c>
      <c r="AZ1690" s="1">
        <v>0.1</v>
      </c>
      <c r="BG1690" s="1" t="s">
        <v>6197</v>
      </c>
      <c r="BM1690" s="1" t="s">
        <v>4959</v>
      </c>
      <c r="BQ1690" s="1" t="s">
        <v>207</v>
      </c>
      <c r="BR1690" s="1" t="s">
        <v>208</v>
      </c>
      <c r="BS1690" s="1" t="s">
        <v>229</v>
      </c>
      <c r="BT1690" s="1" t="s">
        <v>210</v>
      </c>
      <c r="BX1690" s="1">
        <v>1</v>
      </c>
    </row>
    <row r="1691" spans="1:76" x14ac:dyDescent="0.25">
      <c r="A1691" s="1" t="s">
        <v>6201</v>
      </c>
      <c r="B1691" s="1" t="s">
        <v>203</v>
      </c>
      <c r="C1691" s="1">
        <v>1</v>
      </c>
      <c r="D1691" s="1" t="s">
        <v>6202</v>
      </c>
      <c r="E1691" s="1" t="s">
        <v>6203</v>
      </c>
      <c r="F1691" s="1" t="s">
        <v>6201</v>
      </c>
      <c r="G1691" s="1">
        <v>1.06</v>
      </c>
      <c r="L1691" s="1">
        <v>60000</v>
      </c>
      <c r="N1691" s="1">
        <v>550</v>
      </c>
      <c r="P1691" s="1">
        <v>500</v>
      </c>
      <c r="R1691" s="1">
        <v>30</v>
      </c>
      <c r="Z1691" s="1">
        <v>0.05</v>
      </c>
      <c r="AA1691" s="1">
        <v>4</v>
      </c>
      <c r="AB1691" s="1">
        <v>3</v>
      </c>
      <c r="AC1691" s="1">
        <v>0.8</v>
      </c>
      <c r="AH1691" s="1">
        <v>0</v>
      </c>
      <c r="AI1691" s="1">
        <v>1</v>
      </c>
      <c r="AJ1691" s="1" t="s">
        <v>6204</v>
      </c>
      <c r="AK1691" s="1" t="s">
        <v>206</v>
      </c>
      <c r="AL1691" s="1" t="s">
        <v>228</v>
      </c>
      <c r="AN1691" s="22" t="s">
        <v>9767</v>
      </c>
      <c r="AX1691" s="1">
        <v>1</v>
      </c>
      <c r="AZ1691" s="1">
        <v>0.1</v>
      </c>
      <c r="BG1691" s="1" t="s">
        <v>6201</v>
      </c>
      <c r="BM1691" s="1" t="s">
        <v>4959</v>
      </c>
      <c r="BQ1691" s="1" t="s">
        <v>207</v>
      </c>
      <c r="BR1691" s="1" t="s">
        <v>208</v>
      </c>
      <c r="BS1691" s="1" t="s">
        <v>229</v>
      </c>
      <c r="BT1691" s="1" t="s">
        <v>210</v>
      </c>
      <c r="BX1691" s="1">
        <v>1</v>
      </c>
    </row>
    <row r="1692" spans="1:76" x14ac:dyDescent="0.25">
      <c r="A1692" s="1" t="s">
        <v>6205</v>
      </c>
      <c r="B1692" s="1" t="s">
        <v>203</v>
      </c>
      <c r="C1692" s="1">
        <v>1</v>
      </c>
      <c r="D1692" s="1" t="s">
        <v>6206</v>
      </c>
      <c r="E1692" s="1" t="s">
        <v>6207</v>
      </c>
      <c r="F1692" s="1" t="s">
        <v>6205</v>
      </c>
      <c r="G1692" s="1">
        <v>1.06</v>
      </c>
      <c r="L1692" s="1">
        <v>80000</v>
      </c>
      <c r="N1692" s="1">
        <v>550</v>
      </c>
      <c r="P1692" s="1">
        <v>500</v>
      </c>
      <c r="R1692" s="1">
        <v>30</v>
      </c>
      <c r="Z1692" s="1">
        <v>0.05</v>
      </c>
      <c r="AA1692" s="1">
        <v>4</v>
      </c>
      <c r="AB1692" s="1">
        <v>3</v>
      </c>
      <c r="AC1692" s="1">
        <v>0.8</v>
      </c>
      <c r="AH1692" s="1">
        <v>0</v>
      </c>
      <c r="AI1692" s="1">
        <v>1</v>
      </c>
      <c r="AJ1692" s="1" t="s">
        <v>6208</v>
      </c>
      <c r="AK1692" s="1" t="s">
        <v>206</v>
      </c>
      <c r="AL1692" s="1" t="s">
        <v>228</v>
      </c>
      <c r="AN1692" s="22" t="s">
        <v>9767</v>
      </c>
      <c r="AX1692" s="1">
        <v>1</v>
      </c>
      <c r="AZ1692" s="1">
        <v>0.1</v>
      </c>
      <c r="BG1692" s="1" t="s">
        <v>6205</v>
      </c>
      <c r="BM1692" s="1" t="s">
        <v>4959</v>
      </c>
      <c r="BQ1692" s="1" t="s">
        <v>207</v>
      </c>
      <c r="BR1692" s="1" t="s">
        <v>208</v>
      </c>
      <c r="BS1692" s="1" t="s">
        <v>229</v>
      </c>
      <c r="BT1692" s="1" t="s">
        <v>210</v>
      </c>
      <c r="BX1692" s="1">
        <v>1</v>
      </c>
    </row>
    <row r="1693" spans="1:76" x14ac:dyDescent="0.25">
      <c r="A1693" s="1" t="s">
        <v>6209</v>
      </c>
      <c r="B1693" s="1" t="s">
        <v>203</v>
      </c>
      <c r="C1693" s="1">
        <v>1</v>
      </c>
      <c r="D1693" s="1" t="s">
        <v>6210</v>
      </c>
      <c r="E1693" s="1" t="s">
        <v>6211</v>
      </c>
      <c r="F1693" s="1" t="s">
        <v>6209</v>
      </c>
      <c r="G1693" s="1">
        <v>1</v>
      </c>
      <c r="L1693" s="1">
        <v>60000</v>
      </c>
      <c r="N1693" s="1">
        <v>500</v>
      </c>
      <c r="P1693" s="1">
        <v>250</v>
      </c>
      <c r="R1693" s="1">
        <v>40</v>
      </c>
      <c r="Z1693" s="1">
        <v>0.05</v>
      </c>
      <c r="AA1693" s="1">
        <v>2</v>
      </c>
      <c r="AB1693" s="1">
        <v>4</v>
      </c>
      <c r="AC1693" s="1">
        <v>0.7</v>
      </c>
      <c r="AH1693" s="1">
        <v>0</v>
      </c>
      <c r="AI1693" s="1">
        <v>1</v>
      </c>
      <c r="AJ1693" s="1" t="s">
        <v>6212</v>
      </c>
      <c r="AK1693" s="1" t="s">
        <v>206</v>
      </c>
      <c r="AL1693" s="1" t="s">
        <v>228</v>
      </c>
      <c r="AN1693" s="22" t="s">
        <v>9767</v>
      </c>
      <c r="AX1693" s="1">
        <v>1</v>
      </c>
      <c r="AZ1693" s="1">
        <v>0.1</v>
      </c>
      <c r="BG1693" s="1" t="s">
        <v>6209</v>
      </c>
      <c r="BM1693" s="1" t="s">
        <v>4959</v>
      </c>
      <c r="BQ1693" s="1" t="s">
        <v>4925</v>
      </c>
      <c r="BR1693" s="1" t="s">
        <v>3481</v>
      </c>
      <c r="BS1693" s="1" t="s">
        <v>3482</v>
      </c>
      <c r="BT1693" s="1" t="s">
        <v>4926</v>
      </c>
      <c r="BX1693" s="1">
        <v>1</v>
      </c>
    </row>
    <row r="1694" spans="1:76" x14ac:dyDescent="0.25">
      <c r="A1694" s="1" t="s">
        <v>6213</v>
      </c>
      <c r="B1694" s="1" t="s">
        <v>203</v>
      </c>
      <c r="C1694" s="1">
        <v>1</v>
      </c>
      <c r="D1694" s="1" t="s">
        <v>6214</v>
      </c>
      <c r="E1694" s="1" t="s">
        <v>6215</v>
      </c>
      <c r="F1694" s="1" t="s">
        <v>6213</v>
      </c>
      <c r="G1694" s="1">
        <v>1</v>
      </c>
      <c r="L1694" s="1">
        <v>150000</v>
      </c>
      <c r="N1694" s="1">
        <v>500</v>
      </c>
      <c r="P1694" s="1">
        <v>250</v>
      </c>
      <c r="R1694" s="1">
        <v>40</v>
      </c>
      <c r="Z1694" s="1">
        <v>0.05</v>
      </c>
      <c r="AA1694" s="1">
        <v>2</v>
      </c>
      <c r="AB1694" s="1">
        <v>4</v>
      </c>
      <c r="AC1694" s="1">
        <v>0.7</v>
      </c>
      <c r="AH1694" s="1">
        <v>0</v>
      </c>
      <c r="AI1694" s="1">
        <v>1</v>
      </c>
      <c r="AJ1694" s="1" t="s">
        <v>6216</v>
      </c>
      <c r="AK1694" s="1" t="s">
        <v>206</v>
      </c>
      <c r="AL1694" s="1" t="s">
        <v>228</v>
      </c>
      <c r="AN1694" s="22" t="s">
        <v>9767</v>
      </c>
      <c r="AX1694" s="1">
        <v>1</v>
      </c>
      <c r="AZ1694" s="1">
        <v>0.1</v>
      </c>
      <c r="BG1694" s="1" t="s">
        <v>6213</v>
      </c>
      <c r="BM1694" s="1" t="s">
        <v>4959</v>
      </c>
      <c r="BQ1694" s="1" t="s">
        <v>4925</v>
      </c>
      <c r="BR1694" s="1" t="s">
        <v>3481</v>
      </c>
      <c r="BS1694" s="1" t="s">
        <v>3482</v>
      </c>
      <c r="BT1694" s="1" t="s">
        <v>4926</v>
      </c>
      <c r="BX1694" s="1">
        <v>1</v>
      </c>
    </row>
    <row r="1695" spans="1:76" x14ac:dyDescent="0.25">
      <c r="A1695" s="1" t="s">
        <v>6217</v>
      </c>
      <c r="B1695" s="1" t="s">
        <v>203</v>
      </c>
      <c r="C1695" s="1">
        <v>1</v>
      </c>
      <c r="D1695" s="1" t="s">
        <v>6218</v>
      </c>
      <c r="E1695" s="1" t="s">
        <v>6219</v>
      </c>
      <c r="F1695" s="1" t="s">
        <v>6217</v>
      </c>
      <c r="G1695" s="1">
        <v>1</v>
      </c>
      <c r="L1695" s="1">
        <v>80000</v>
      </c>
      <c r="N1695" s="1">
        <v>800</v>
      </c>
      <c r="P1695" s="1">
        <v>500</v>
      </c>
      <c r="R1695" s="1">
        <v>20</v>
      </c>
      <c r="Z1695" s="1">
        <v>0.05</v>
      </c>
      <c r="AA1695" s="1">
        <v>5</v>
      </c>
      <c r="AB1695" s="1">
        <v>5</v>
      </c>
      <c r="AC1695" s="1">
        <v>0.3</v>
      </c>
      <c r="AH1695" s="1">
        <v>0</v>
      </c>
      <c r="AI1695" s="1">
        <v>1</v>
      </c>
      <c r="AJ1695" s="1" t="s">
        <v>6220</v>
      </c>
      <c r="AK1695" s="1" t="s">
        <v>206</v>
      </c>
      <c r="AL1695" s="1" t="s">
        <v>228</v>
      </c>
      <c r="AN1695" s="22" t="s">
        <v>9767</v>
      </c>
      <c r="AX1695" s="1">
        <v>1</v>
      </c>
      <c r="AZ1695" s="1">
        <v>0.1</v>
      </c>
      <c r="BG1695" s="1" t="s">
        <v>6217</v>
      </c>
      <c r="BM1695" s="1" t="s">
        <v>4959</v>
      </c>
      <c r="BQ1695" s="1" t="s">
        <v>207</v>
      </c>
      <c r="BR1695" s="1" t="s">
        <v>208</v>
      </c>
      <c r="BS1695" s="1" t="s">
        <v>229</v>
      </c>
      <c r="BT1695" s="1" t="s">
        <v>210</v>
      </c>
      <c r="BX1695" s="1">
        <v>1</v>
      </c>
    </row>
    <row r="1696" spans="1:76" x14ac:dyDescent="0.25">
      <c r="A1696" s="1" t="s">
        <v>6221</v>
      </c>
      <c r="B1696" s="1" t="s">
        <v>203</v>
      </c>
      <c r="C1696" s="1">
        <v>1</v>
      </c>
      <c r="D1696" s="1" t="s">
        <v>6222</v>
      </c>
      <c r="E1696" s="1" t="s">
        <v>6223</v>
      </c>
      <c r="F1696" s="1" t="s">
        <v>6221</v>
      </c>
      <c r="G1696" s="1">
        <v>1</v>
      </c>
      <c r="L1696" s="1">
        <v>100000</v>
      </c>
      <c r="N1696" s="1">
        <v>1200</v>
      </c>
      <c r="P1696" s="1">
        <v>600</v>
      </c>
      <c r="R1696" s="1">
        <v>50</v>
      </c>
      <c r="Z1696" s="1">
        <v>0.05</v>
      </c>
      <c r="AA1696" s="1">
        <v>5</v>
      </c>
      <c r="AB1696" s="1">
        <v>5</v>
      </c>
      <c r="AC1696" s="1">
        <v>0.3</v>
      </c>
      <c r="AH1696" s="1">
        <v>0</v>
      </c>
      <c r="AI1696" s="1">
        <v>1</v>
      </c>
      <c r="AJ1696" s="1" t="s">
        <v>6224</v>
      </c>
      <c r="AK1696" s="1" t="s">
        <v>206</v>
      </c>
      <c r="AL1696" s="1" t="s">
        <v>228</v>
      </c>
      <c r="AN1696" s="22" t="s">
        <v>9767</v>
      </c>
      <c r="AX1696" s="1">
        <v>1</v>
      </c>
      <c r="AZ1696" s="1">
        <v>0.1</v>
      </c>
      <c r="BG1696" s="1" t="s">
        <v>6221</v>
      </c>
      <c r="BM1696" s="1" t="s">
        <v>4959</v>
      </c>
      <c r="BQ1696" s="1" t="s">
        <v>207</v>
      </c>
      <c r="BR1696" s="1" t="s">
        <v>208</v>
      </c>
      <c r="BS1696" s="1" t="s">
        <v>229</v>
      </c>
      <c r="BT1696" s="1" t="s">
        <v>210</v>
      </c>
      <c r="BX1696" s="1">
        <v>1</v>
      </c>
    </row>
    <row r="1697" spans="1:76" x14ac:dyDescent="0.25">
      <c r="A1697" s="1" t="s">
        <v>6225</v>
      </c>
      <c r="B1697" s="1" t="s">
        <v>203</v>
      </c>
      <c r="C1697" s="1">
        <v>1</v>
      </c>
      <c r="D1697" s="1" t="s">
        <v>6226</v>
      </c>
      <c r="E1697" s="1" t="s">
        <v>6227</v>
      </c>
      <c r="F1697" s="1" t="s">
        <v>6225</v>
      </c>
      <c r="G1697" s="1">
        <v>1</v>
      </c>
      <c r="L1697" s="1">
        <v>150000</v>
      </c>
      <c r="N1697" s="1">
        <v>900</v>
      </c>
      <c r="P1697" s="1">
        <v>1000</v>
      </c>
      <c r="R1697" s="1">
        <v>50</v>
      </c>
      <c r="Z1697" s="1">
        <v>0.05</v>
      </c>
      <c r="AA1697" s="1">
        <v>3</v>
      </c>
      <c r="AB1697" s="1">
        <v>10</v>
      </c>
      <c r="AC1697" s="1">
        <v>15</v>
      </c>
      <c r="AH1697" s="1">
        <v>0</v>
      </c>
      <c r="AI1697" s="1">
        <v>1</v>
      </c>
      <c r="AJ1697" s="1" t="s">
        <v>6228</v>
      </c>
      <c r="AK1697" s="1" t="s">
        <v>206</v>
      </c>
      <c r="AL1697" s="1" t="s">
        <v>228</v>
      </c>
      <c r="AN1697" s="22" t="s">
        <v>9767</v>
      </c>
      <c r="AX1697" s="1">
        <v>1</v>
      </c>
      <c r="AZ1697" s="1">
        <v>0.1</v>
      </c>
      <c r="BG1697" s="1" t="s">
        <v>6225</v>
      </c>
      <c r="BM1697" s="1" t="s">
        <v>4959</v>
      </c>
      <c r="BQ1697" s="1" t="s">
        <v>207</v>
      </c>
      <c r="BR1697" s="1" t="s">
        <v>208</v>
      </c>
      <c r="BS1697" s="1" t="s">
        <v>6229</v>
      </c>
      <c r="BT1697" s="1" t="s">
        <v>210</v>
      </c>
      <c r="BX1697" s="1">
        <v>1</v>
      </c>
    </row>
    <row r="1698" spans="1:76" x14ac:dyDescent="0.25">
      <c r="A1698" s="1" t="s">
        <v>6230</v>
      </c>
      <c r="B1698" s="1" t="s">
        <v>203</v>
      </c>
      <c r="C1698" s="1">
        <v>1</v>
      </c>
      <c r="D1698" s="1" t="s">
        <v>6231</v>
      </c>
      <c r="E1698" s="1" t="s">
        <v>6232</v>
      </c>
      <c r="F1698" s="1" t="s">
        <v>6230</v>
      </c>
      <c r="G1698" s="1">
        <v>1</v>
      </c>
      <c r="L1698" s="1">
        <v>100000</v>
      </c>
      <c r="N1698" s="1">
        <v>650</v>
      </c>
      <c r="P1698" s="1">
        <v>700</v>
      </c>
      <c r="R1698" s="1">
        <v>30</v>
      </c>
      <c r="Z1698" s="1">
        <v>0.05</v>
      </c>
      <c r="AA1698" s="1">
        <v>3</v>
      </c>
      <c r="AB1698" s="1">
        <v>10</v>
      </c>
      <c r="AC1698" s="1">
        <v>15</v>
      </c>
      <c r="AH1698" s="1">
        <v>0</v>
      </c>
      <c r="AI1698" s="1">
        <v>1</v>
      </c>
      <c r="AJ1698" s="1" t="s">
        <v>6233</v>
      </c>
      <c r="AK1698" s="1" t="s">
        <v>206</v>
      </c>
      <c r="AL1698" s="1" t="s">
        <v>228</v>
      </c>
      <c r="AN1698" s="22" t="s">
        <v>9767</v>
      </c>
      <c r="AX1698" s="1">
        <v>1</v>
      </c>
      <c r="AZ1698" s="1">
        <v>0.1</v>
      </c>
      <c r="BG1698" s="1" t="s">
        <v>6230</v>
      </c>
      <c r="BM1698" s="1" t="s">
        <v>4959</v>
      </c>
      <c r="BQ1698" s="1" t="s">
        <v>207</v>
      </c>
      <c r="BR1698" s="1" t="s">
        <v>208</v>
      </c>
      <c r="BS1698" s="1" t="s">
        <v>6229</v>
      </c>
      <c r="BT1698" s="1" t="s">
        <v>210</v>
      </c>
      <c r="BX1698" s="1">
        <v>1</v>
      </c>
    </row>
    <row r="1699" spans="1:76" x14ac:dyDescent="0.25">
      <c r="A1699" s="1" t="s">
        <v>6234</v>
      </c>
      <c r="B1699" s="1" t="s">
        <v>203</v>
      </c>
      <c r="C1699" s="1">
        <v>1</v>
      </c>
      <c r="D1699" s="1" t="s">
        <v>6235</v>
      </c>
      <c r="E1699" s="1" t="s">
        <v>6236</v>
      </c>
      <c r="F1699" s="1" t="s">
        <v>6234</v>
      </c>
      <c r="G1699" s="1">
        <v>1</v>
      </c>
      <c r="L1699" s="1">
        <v>100000</v>
      </c>
      <c r="N1699" s="1">
        <v>550</v>
      </c>
      <c r="P1699" s="1">
        <v>700</v>
      </c>
      <c r="R1699" s="1">
        <v>50</v>
      </c>
      <c r="Z1699" s="1">
        <v>0.05</v>
      </c>
      <c r="AA1699" s="1">
        <v>4</v>
      </c>
      <c r="AB1699" s="1">
        <v>3</v>
      </c>
      <c r="AC1699" s="1">
        <v>0.4</v>
      </c>
      <c r="AH1699" s="1">
        <v>0</v>
      </c>
      <c r="AI1699" s="1">
        <v>1</v>
      </c>
      <c r="AJ1699" s="1" t="s">
        <v>6237</v>
      </c>
      <c r="AK1699" s="1" t="s">
        <v>206</v>
      </c>
      <c r="AL1699" s="1" t="s">
        <v>228</v>
      </c>
      <c r="AN1699" s="22" t="s">
        <v>9767</v>
      </c>
      <c r="AX1699" s="1">
        <v>1</v>
      </c>
      <c r="AZ1699" s="1">
        <v>0.1</v>
      </c>
      <c r="BG1699" s="1" t="s">
        <v>6234</v>
      </c>
      <c r="BM1699" s="1" t="s">
        <v>4959</v>
      </c>
      <c r="BQ1699" s="1" t="s">
        <v>207</v>
      </c>
      <c r="BR1699" s="1" t="s">
        <v>208</v>
      </c>
      <c r="BS1699" s="1" t="s">
        <v>229</v>
      </c>
      <c r="BT1699" s="1" t="s">
        <v>210</v>
      </c>
      <c r="BX1699" s="1">
        <v>1</v>
      </c>
    </row>
    <row r="1700" spans="1:76" x14ac:dyDescent="0.25">
      <c r="A1700" s="1" t="s">
        <v>6238</v>
      </c>
      <c r="B1700" s="1" t="s">
        <v>203</v>
      </c>
      <c r="C1700" s="1">
        <v>1</v>
      </c>
      <c r="D1700" s="1" t="s">
        <v>6239</v>
      </c>
      <c r="E1700" s="1" t="s">
        <v>6240</v>
      </c>
      <c r="F1700" s="1" t="s">
        <v>6238</v>
      </c>
      <c r="G1700" s="1">
        <v>1</v>
      </c>
      <c r="L1700" s="1">
        <v>750000</v>
      </c>
      <c r="N1700" s="1">
        <v>1500</v>
      </c>
      <c r="P1700" s="1">
        <v>1500</v>
      </c>
      <c r="R1700" s="1">
        <v>50</v>
      </c>
      <c r="Z1700" s="1">
        <v>0.05</v>
      </c>
      <c r="AA1700" s="1">
        <v>1</v>
      </c>
      <c r="AB1700" s="1">
        <v>10</v>
      </c>
      <c r="AC1700" s="1">
        <v>1</v>
      </c>
      <c r="AH1700" s="1">
        <v>0</v>
      </c>
      <c r="AI1700" s="1">
        <v>1</v>
      </c>
      <c r="AJ1700" s="1" t="s">
        <v>6241</v>
      </c>
      <c r="AK1700" s="1" t="s">
        <v>206</v>
      </c>
      <c r="AL1700" s="1" t="s">
        <v>228</v>
      </c>
      <c r="AN1700" s="22" t="s">
        <v>9767</v>
      </c>
      <c r="AX1700" s="1">
        <v>1</v>
      </c>
      <c r="AZ1700" s="1">
        <v>0.1</v>
      </c>
      <c r="BG1700" s="1" t="s">
        <v>6238</v>
      </c>
      <c r="BM1700" s="1" t="s">
        <v>4959</v>
      </c>
      <c r="BQ1700" s="1" t="s">
        <v>3416</v>
      </c>
      <c r="BR1700" s="1" t="s">
        <v>2593</v>
      </c>
      <c r="BS1700" s="1" t="s">
        <v>229</v>
      </c>
      <c r="BT1700" s="1" t="s">
        <v>210</v>
      </c>
      <c r="BX1700" s="1">
        <v>1</v>
      </c>
    </row>
    <row r="1701" spans="1:76" x14ac:dyDescent="0.25">
      <c r="A1701" s="1" t="s">
        <v>6242</v>
      </c>
      <c r="B1701" s="1" t="s">
        <v>203</v>
      </c>
      <c r="C1701" s="1">
        <v>1</v>
      </c>
      <c r="D1701" s="1" t="s">
        <v>6243</v>
      </c>
      <c r="E1701" s="1" t="s">
        <v>6244</v>
      </c>
      <c r="F1701" s="1" t="s">
        <v>6242</v>
      </c>
      <c r="G1701" s="1">
        <v>1</v>
      </c>
      <c r="L1701" s="1">
        <v>100000</v>
      </c>
      <c r="N1701" s="1">
        <v>800</v>
      </c>
      <c r="P1701" s="1">
        <v>600</v>
      </c>
      <c r="R1701" s="1">
        <v>40</v>
      </c>
      <c r="Z1701" s="1">
        <v>0.05</v>
      </c>
      <c r="AA1701" s="1">
        <v>1.6</v>
      </c>
      <c r="AB1701" s="1">
        <v>6</v>
      </c>
      <c r="AC1701" s="1">
        <v>0.6</v>
      </c>
      <c r="AH1701" s="1">
        <v>0</v>
      </c>
      <c r="AI1701" s="1">
        <v>1</v>
      </c>
      <c r="AJ1701" s="1" t="s">
        <v>6245</v>
      </c>
      <c r="AK1701" s="1" t="s">
        <v>206</v>
      </c>
      <c r="AL1701" s="1" t="s">
        <v>228</v>
      </c>
      <c r="AN1701" s="22" t="s">
        <v>9767</v>
      </c>
      <c r="AX1701" s="1">
        <v>1</v>
      </c>
      <c r="AZ1701" s="1">
        <v>0.1</v>
      </c>
      <c r="BG1701" s="1" t="s">
        <v>6242</v>
      </c>
      <c r="BM1701" s="1" t="s">
        <v>4959</v>
      </c>
      <c r="BQ1701" s="1" t="s">
        <v>207</v>
      </c>
      <c r="BR1701" s="1" t="s">
        <v>208</v>
      </c>
      <c r="BS1701" s="1" t="s">
        <v>229</v>
      </c>
      <c r="BT1701" s="1" t="s">
        <v>210</v>
      </c>
      <c r="BX1701" s="1">
        <v>1</v>
      </c>
    </row>
    <row r="1702" spans="1:76" x14ac:dyDescent="0.25">
      <c r="A1702" s="1" t="s">
        <v>6246</v>
      </c>
      <c r="B1702" s="1" t="s">
        <v>203</v>
      </c>
      <c r="C1702" s="1">
        <v>1</v>
      </c>
      <c r="D1702" s="1" t="s">
        <v>6247</v>
      </c>
      <c r="E1702" s="1" t="s">
        <v>6248</v>
      </c>
      <c r="F1702" s="1" t="s">
        <v>6246</v>
      </c>
      <c r="G1702" s="1">
        <v>1</v>
      </c>
      <c r="L1702" s="1">
        <v>300000</v>
      </c>
      <c r="N1702" s="1">
        <v>1600</v>
      </c>
      <c r="P1702" s="1">
        <v>4000</v>
      </c>
      <c r="R1702" s="1">
        <v>50</v>
      </c>
      <c r="Z1702" s="1">
        <v>0.05</v>
      </c>
      <c r="AA1702" s="1">
        <v>2.5</v>
      </c>
      <c r="AB1702" s="1">
        <v>10</v>
      </c>
      <c r="AC1702" s="1">
        <v>0.6</v>
      </c>
      <c r="AH1702" s="1">
        <v>0</v>
      </c>
      <c r="AI1702" s="1">
        <v>1</v>
      </c>
      <c r="AJ1702" s="1" t="s">
        <v>6249</v>
      </c>
      <c r="AK1702" s="1" t="s">
        <v>206</v>
      </c>
      <c r="AL1702" s="1" t="s">
        <v>228</v>
      </c>
      <c r="AN1702" s="22" t="s">
        <v>9767</v>
      </c>
      <c r="AX1702" s="1">
        <v>1</v>
      </c>
      <c r="AZ1702" s="1">
        <v>0.1</v>
      </c>
      <c r="BG1702" s="1" t="s">
        <v>6246</v>
      </c>
      <c r="BM1702" s="1" t="s">
        <v>4959</v>
      </c>
      <c r="BQ1702" s="1" t="s">
        <v>3416</v>
      </c>
      <c r="BR1702" s="1" t="s">
        <v>2593</v>
      </c>
      <c r="BS1702" s="1" t="s">
        <v>2594</v>
      </c>
      <c r="BT1702" s="1" t="s">
        <v>6250</v>
      </c>
      <c r="BX1702" s="1">
        <v>1</v>
      </c>
    </row>
    <row r="1703" spans="1:76" x14ac:dyDescent="0.25">
      <c r="A1703" s="1" t="s">
        <v>2083</v>
      </c>
      <c r="B1703" s="1" t="s">
        <v>203</v>
      </c>
      <c r="C1703" s="1">
        <v>1</v>
      </c>
      <c r="D1703" s="1" t="s">
        <v>2084</v>
      </c>
      <c r="E1703" s="1">
        <v>4001</v>
      </c>
      <c r="F1703" s="1" t="s">
        <v>2083</v>
      </c>
      <c r="G1703" s="1">
        <v>1</v>
      </c>
      <c r="L1703" s="1">
        <v>12000</v>
      </c>
      <c r="N1703" s="1">
        <v>500</v>
      </c>
      <c r="P1703" s="1">
        <v>400</v>
      </c>
      <c r="R1703" s="1">
        <v>30</v>
      </c>
      <c r="Z1703" s="1">
        <v>0.05</v>
      </c>
      <c r="AA1703" s="1">
        <v>3.5</v>
      </c>
      <c r="AB1703" s="1">
        <v>5</v>
      </c>
      <c r="AC1703" s="1">
        <v>0.7</v>
      </c>
      <c r="AH1703" s="1">
        <v>0</v>
      </c>
      <c r="AI1703" s="1">
        <v>1</v>
      </c>
      <c r="AJ1703" s="1" t="s">
        <v>2085</v>
      </c>
      <c r="AK1703" s="1" t="s">
        <v>265</v>
      </c>
      <c r="AL1703" s="1" t="s">
        <v>228</v>
      </c>
      <c r="AN1703" s="22" t="s">
        <v>9767</v>
      </c>
      <c r="AX1703" s="1">
        <v>1</v>
      </c>
      <c r="AZ1703" s="1">
        <v>0.1</v>
      </c>
      <c r="BG1703" s="1" t="s">
        <v>2083</v>
      </c>
      <c r="BM1703" s="1" t="s">
        <v>2382</v>
      </c>
      <c r="BN1703" s="1" t="s">
        <v>2086</v>
      </c>
      <c r="BQ1703" s="1" t="s">
        <v>207</v>
      </c>
      <c r="BR1703" s="1" t="s">
        <v>208</v>
      </c>
      <c r="BS1703" s="1" t="s">
        <v>229</v>
      </c>
      <c r="BT1703" s="1" t="s">
        <v>210</v>
      </c>
      <c r="BX1703" s="1">
        <v>1</v>
      </c>
    </row>
    <row r="1704" spans="1:76" x14ac:dyDescent="0.25">
      <c r="A1704" s="1" t="s">
        <v>2087</v>
      </c>
      <c r="B1704" s="1" t="s">
        <v>203</v>
      </c>
      <c r="C1704" s="1">
        <v>1</v>
      </c>
      <c r="D1704" s="1" t="s">
        <v>2088</v>
      </c>
      <c r="E1704" s="1">
        <v>4001</v>
      </c>
      <c r="F1704" s="1" t="s">
        <v>2087</v>
      </c>
      <c r="G1704" s="1">
        <v>1</v>
      </c>
      <c r="L1704" s="1">
        <v>15000</v>
      </c>
      <c r="N1704" s="1">
        <v>550</v>
      </c>
      <c r="P1704" s="1">
        <v>500</v>
      </c>
      <c r="R1704" s="1">
        <v>30</v>
      </c>
      <c r="Z1704" s="1">
        <v>0.05</v>
      </c>
      <c r="AA1704" s="1">
        <v>3.5</v>
      </c>
      <c r="AB1704" s="1">
        <v>5</v>
      </c>
      <c r="AC1704" s="1">
        <v>0.7</v>
      </c>
      <c r="AH1704" s="1">
        <v>0</v>
      </c>
      <c r="AI1704" s="1">
        <v>1</v>
      </c>
      <c r="AJ1704" s="1" t="s">
        <v>2089</v>
      </c>
      <c r="AK1704" s="1" t="s">
        <v>265</v>
      </c>
      <c r="AL1704" s="1" t="s">
        <v>228</v>
      </c>
      <c r="AN1704" s="22" t="s">
        <v>9767</v>
      </c>
      <c r="AX1704" s="1">
        <v>1</v>
      </c>
      <c r="AZ1704" s="1">
        <v>0.1</v>
      </c>
      <c r="BG1704" s="1" t="s">
        <v>2087</v>
      </c>
      <c r="BM1704" s="1" t="s">
        <v>2382</v>
      </c>
      <c r="BN1704" s="1" t="s">
        <v>2086</v>
      </c>
      <c r="BQ1704" s="1" t="s">
        <v>207</v>
      </c>
      <c r="BR1704" s="1" t="s">
        <v>208</v>
      </c>
      <c r="BS1704" s="1" t="s">
        <v>229</v>
      </c>
      <c r="BT1704" s="1" t="s">
        <v>210</v>
      </c>
      <c r="BX1704" s="1">
        <v>1</v>
      </c>
    </row>
    <row r="1705" spans="1:76" x14ac:dyDescent="0.25">
      <c r="A1705" s="1" t="s">
        <v>6251</v>
      </c>
      <c r="B1705" s="1" t="s">
        <v>203</v>
      </c>
      <c r="C1705" s="1">
        <v>1</v>
      </c>
      <c r="D1705" s="1" t="s">
        <v>2084</v>
      </c>
      <c r="E1705" s="1">
        <v>4001</v>
      </c>
      <c r="F1705" s="1" t="s">
        <v>2083</v>
      </c>
      <c r="G1705" s="1">
        <v>0.8</v>
      </c>
      <c r="L1705" s="1">
        <v>12000</v>
      </c>
      <c r="N1705" s="1">
        <v>500</v>
      </c>
      <c r="P1705" s="1">
        <v>400</v>
      </c>
      <c r="R1705" s="1">
        <v>30</v>
      </c>
      <c r="Z1705" s="1">
        <v>0.05</v>
      </c>
      <c r="AA1705" s="1">
        <v>3.5</v>
      </c>
      <c r="AB1705" s="1">
        <v>5</v>
      </c>
      <c r="AC1705" s="1">
        <v>0.7</v>
      </c>
      <c r="AH1705" s="1">
        <v>0</v>
      </c>
      <c r="AI1705" s="1">
        <v>1</v>
      </c>
      <c r="AJ1705" s="1" t="s">
        <v>6252</v>
      </c>
      <c r="AK1705" s="1" t="s">
        <v>265</v>
      </c>
      <c r="AL1705" s="1" t="s">
        <v>228</v>
      </c>
      <c r="AN1705" s="22" t="s">
        <v>9767</v>
      </c>
      <c r="AX1705" s="1">
        <v>1</v>
      </c>
      <c r="AZ1705" s="1">
        <v>0.1</v>
      </c>
      <c r="BG1705" s="1" t="s">
        <v>2083</v>
      </c>
      <c r="BM1705" s="1" t="s">
        <v>2382</v>
      </c>
      <c r="BN1705" s="1" t="s">
        <v>2086</v>
      </c>
      <c r="BQ1705" s="1" t="s">
        <v>207</v>
      </c>
      <c r="BR1705" s="1" t="s">
        <v>208</v>
      </c>
      <c r="BS1705" s="1" t="s">
        <v>229</v>
      </c>
      <c r="BT1705" s="1" t="s">
        <v>210</v>
      </c>
      <c r="BX1705" s="1">
        <v>1</v>
      </c>
    </row>
    <row r="1706" spans="1:76" x14ac:dyDescent="0.25">
      <c r="A1706" s="1" t="s">
        <v>6253</v>
      </c>
      <c r="B1706" s="1" t="s">
        <v>203</v>
      </c>
      <c r="C1706" s="1">
        <v>1</v>
      </c>
      <c r="D1706" s="1" t="s">
        <v>2088</v>
      </c>
      <c r="E1706" s="1">
        <v>4001</v>
      </c>
      <c r="F1706" s="1" t="s">
        <v>2087</v>
      </c>
      <c r="G1706" s="1">
        <v>0.8</v>
      </c>
      <c r="L1706" s="1">
        <v>15000</v>
      </c>
      <c r="N1706" s="1">
        <v>550</v>
      </c>
      <c r="P1706" s="1">
        <v>500</v>
      </c>
      <c r="R1706" s="1">
        <v>30</v>
      </c>
      <c r="Z1706" s="1">
        <v>0.05</v>
      </c>
      <c r="AA1706" s="1">
        <v>3.5</v>
      </c>
      <c r="AB1706" s="1">
        <v>5</v>
      </c>
      <c r="AC1706" s="1">
        <v>0.7</v>
      </c>
      <c r="AH1706" s="1">
        <v>0</v>
      </c>
      <c r="AI1706" s="1">
        <v>1</v>
      </c>
      <c r="AJ1706" s="1" t="s">
        <v>6254</v>
      </c>
      <c r="AK1706" s="1" t="s">
        <v>265</v>
      </c>
      <c r="AL1706" s="1" t="s">
        <v>228</v>
      </c>
      <c r="AN1706" s="22" t="s">
        <v>9767</v>
      </c>
      <c r="AX1706" s="1">
        <v>1</v>
      </c>
      <c r="AZ1706" s="1">
        <v>0.1</v>
      </c>
      <c r="BG1706" s="1" t="s">
        <v>2087</v>
      </c>
      <c r="BM1706" s="1" t="s">
        <v>2382</v>
      </c>
      <c r="BN1706" s="1" t="s">
        <v>2086</v>
      </c>
      <c r="BQ1706" s="1" t="s">
        <v>207</v>
      </c>
      <c r="BR1706" s="1" t="s">
        <v>208</v>
      </c>
      <c r="BS1706" s="1" t="s">
        <v>229</v>
      </c>
      <c r="BT1706" s="1" t="s">
        <v>210</v>
      </c>
      <c r="BX1706" s="1">
        <v>1</v>
      </c>
    </row>
    <row r="1707" spans="1:76" x14ac:dyDescent="0.25">
      <c r="A1707" s="1" t="s">
        <v>2090</v>
      </c>
      <c r="B1707" s="1" t="s">
        <v>203</v>
      </c>
      <c r="C1707" s="1">
        <v>1</v>
      </c>
      <c r="D1707" s="1" t="s">
        <v>2091</v>
      </c>
      <c r="E1707" s="1">
        <v>4002</v>
      </c>
      <c r="F1707" s="1" t="s">
        <v>2090</v>
      </c>
      <c r="G1707" s="1">
        <v>1</v>
      </c>
      <c r="L1707" s="1">
        <v>5000</v>
      </c>
      <c r="N1707" s="1">
        <v>0</v>
      </c>
      <c r="P1707" s="1">
        <v>100</v>
      </c>
      <c r="R1707" s="1">
        <v>20</v>
      </c>
      <c r="Z1707" s="1">
        <v>0.05</v>
      </c>
      <c r="AA1707" s="1">
        <v>1</v>
      </c>
      <c r="AB1707" s="1">
        <v>0</v>
      </c>
      <c r="AC1707" s="1">
        <v>0.7</v>
      </c>
      <c r="AH1707" s="1">
        <v>0</v>
      </c>
      <c r="AI1707" s="1">
        <v>1</v>
      </c>
      <c r="AJ1707" s="1" t="s">
        <v>2092</v>
      </c>
      <c r="AK1707" s="1" t="s">
        <v>265</v>
      </c>
      <c r="AL1707" s="1" t="s">
        <v>228</v>
      </c>
      <c r="AN1707" s="22" t="s">
        <v>9767</v>
      </c>
      <c r="AX1707" s="1">
        <v>1</v>
      </c>
      <c r="AZ1707" s="1">
        <v>0.1</v>
      </c>
      <c r="BG1707" s="1" t="s">
        <v>2090</v>
      </c>
      <c r="BM1707" s="1" t="s">
        <v>3922</v>
      </c>
      <c r="BN1707" s="1" t="s">
        <v>2093</v>
      </c>
      <c r="BQ1707" s="1" t="s">
        <v>207</v>
      </c>
      <c r="BR1707" s="1" t="s">
        <v>208</v>
      </c>
      <c r="BS1707" s="1" t="s">
        <v>229</v>
      </c>
      <c r="BT1707" s="1" t="s">
        <v>210</v>
      </c>
      <c r="BX1707" s="1">
        <v>1</v>
      </c>
    </row>
    <row r="1708" spans="1:76" x14ac:dyDescent="0.25">
      <c r="A1708" s="1" t="s">
        <v>2094</v>
      </c>
      <c r="B1708" s="1" t="s">
        <v>203</v>
      </c>
      <c r="C1708" s="1">
        <v>1</v>
      </c>
      <c r="D1708" s="1" t="s">
        <v>2095</v>
      </c>
      <c r="E1708" s="1">
        <v>4002</v>
      </c>
      <c r="F1708" s="1" t="s">
        <v>2094</v>
      </c>
      <c r="G1708" s="1">
        <v>1</v>
      </c>
      <c r="L1708" s="1">
        <v>10000</v>
      </c>
      <c r="N1708" s="1">
        <v>0</v>
      </c>
      <c r="P1708" s="1">
        <v>200</v>
      </c>
      <c r="R1708" s="1">
        <v>30</v>
      </c>
      <c r="Z1708" s="1">
        <v>0.05</v>
      </c>
      <c r="AA1708" s="1">
        <v>1</v>
      </c>
      <c r="AB1708" s="1">
        <v>0</v>
      </c>
      <c r="AC1708" s="1">
        <v>0.7</v>
      </c>
      <c r="AH1708" s="1">
        <v>0</v>
      </c>
      <c r="AI1708" s="1">
        <v>1</v>
      </c>
      <c r="AJ1708" s="1" t="s">
        <v>2096</v>
      </c>
      <c r="AK1708" s="1" t="s">
        <v>265</v>
      </c>
      <c r="AL1708" s="1" t="s">
        <v>228</v>
      </c>
      <c r="AN1708" s="22" t="s">
        <v>9767</v>
      </c>
      <c r="AX1708" s="1">
        <v>1</v>
      </c>
      <c r="AZ1708" s="1">
        <v>0.1</v>
      </c>
      <c r="BG1708" s="1" t="s">
        <v>2094</v>
      </c>
      <c r="BM1708" s="1" t="s">
        <v>3922</v>
      </c>
      <c r="BN1708" s="1" t="s">
        <v>2093</v>
      </c>
      <c r="BQ1708" s="1" t="s">
        <v>207</v>
      </c>
      <c r="BR1708" s="1" t="s">
        <v>208</v>
      </c>
      <c r="BS1708" s="1" t="s">
        <v>229</v>
      </c>
      <c r="BT1708" s="1" t="s">
        <v>210</v>
      </c>
      <c r="BX1708" s="1">
        <v>1</v>
      </c>
    </row>
    <row r="1709" spans="1:76" x14ac:dyDescent="0.25">
      <c r="A1709" s="1" t="s">
        <v>2097</v>
      </c>
      <c r="B1709" s="1" t="s">
        <v>203</v>
      </c>
      <c r="C1709" s="1">
        <v>1</v>
      </c>
      <c r="D1709" s="1" t="s">
        <v>2098</v>
      </c>
      <c r="E1709" s="1">
        <v>4003</v>
      </c>
      <c r="F1709" s="1" t="s">
        <v>2097</v>
      </c>
      <c r="G1709" s="1">
        <v>1.1000000000000001</v>
      </c>
      <c r="L1709" s="1">
        <v>7500</v>
      </c>
      <c r="N1709" s="1">
        <v>0</v>
      </c>
      <c r="P1709" s="1">
        <v>250</v>
      </c>
      <c r="R1709" s="1">
        <v>30</v>
      </c>
      <c r="Z1709" s="1">
        <v>0.05</v>
      </c>
      <c r="AA1709" s="1">
        <v>3</v>
      </c>
      <c r="AB1709" s="1">
        <v>0</v>
      </c>
      <c r="AC1709" s="1">
        <v>1.9</v>
      </c>
      <c r="AH1709" s="1">
        <v>0</v>
      </c>
      <c r="AI1709" s="1">
        <v>1</v>
      </c>
      <c r="AJ1709" s="1" t="s">
        <v>2099</v>
      </c>
      <c r="AK1709" s="1" t="s">
        <v>265</v>
      </c>
      <c r="AL1709" s="1" t="s">
        <v>228</v>
      </c>
      <c r="AN1709" s="22" t="s">
        <v>9767</v>
      </c>
      <c r="AX1709" s="1">
        <v>0</v>
      </c>
      <c r="AZ1709" s="1">
        <v>0.1</v>
      </c>
      <c r="BG1709" s="1" t="s">
        <v>2097</v>
      </c>
      <c r="BM1709" s="1" t="s">
        <v>6255</v>
      </c>
      <c r="BN1709" s="1" t="s">
        <v>2101</v>
      </c>
      <c r="BQ1709" s="1" t="s">
        <v>207</v>
      </c>
      <c r="BR1709" s="1" t="s">
        <v>208</v>
      </c>
      <c r="BS1709" s="1" t="s">
        <v>229</v>
      </c>
      <c r="BT1709" s="1" t="s">
        <v>210</v>
      </c>
      <c r="BX1709" s="1">
        <v>1</v>
      </c>
    </row>
    <row r="1710" spans="1:76" x14ac:dyDescent="0.25">
      <c r="A1710" s="1" t="s">
        <v>6256</v>
      </c>
      <c r="B1710" s="1" t="s">
        <v>203</v>
      </c>
      <c r="C1710" s="1">
        <v>1</v>
      </c>
      <c r="D1710" s="1" t="s">
        <v>6257</v>
      </c>
      <c r="E1710" s="1">
        <v>4004</v>
      </c>
      <c r="F1710" s="1" t="s">
        <v>6256</v>
      </c>
      <c r="G1710" s="1">
        <v>1</v>
      </c>
      <c r="L1710" s="1">
        <v>25000</v>
      </c>
      <c r="N1710" s="1">
        <v>800</v>
      </c>
      <c r="P1710" s="1">
        <v>600</v>
      </c>
      <c r="R1710" s="1">
        <v>50</v>
      </c>
      <c r="Z1710" s="1">
        <v>0.05</v>
      </c>
      <c r="AA1710" s="1">
        <v>1</v>
      </c>
      <c r="AB1710" s="1">
        <v>2</v>
      </c>
      <c r="AC1710" s="1">
        <v>2.5</v>
      </c>
      <c r="AH1710" s="1">
        <v>0</v>
      </c>
      <c r="AI1710" s="1">
        <v>1</v>
      </c>
      <c r="AJ1710" s="1" t="s">
        <v>6258</v>
      </c>
      <c r="AK1710" s="1" t="s">
        <v>265</v>
      </c>
      <c r="AL1710" s="1" t="s">
        <v>228</v>
      </c>
      <c r="AN1710" s="22" t="s">
        <v>9767</v>
      </c>
      <c r="AX1710" s="1">
        <v>1</v>
      </c>
      <c r="AZ1710" s="1">
        <v>0.1</v>
      </c>
      <c r="BG1710" s="1" t="s">
        <v>6256</v>
      </c>
      <c r="BM1710" s="1" t="s">
        <v>6255</v>
      </c>
      <c r="BQ1710" s="1" t="s">
        <v>207</v>
      </c>
      <c r="BR1710" s="1" t="s">
        <v>208</v>
      </c>
      <c r="BS1710" s="1" t="s">
        <v>229</v>
      </c>
      <c r="BT1710" s="1" t="s">
        <v>210</v>
      </c>
      <c r="BX1710" s="1">
        <v>1</v>
      </c>
    </row>
    <row r="1711" spans="1:76" x14ac:dyDescent="0.25">
      <c r="A1711" s="1" t="s">
        <v>6259</v>
      </c>
      <c r="B1711" s="1" t="s">
        <v>203</v>
      </c>
      <c r="C1711" s="1">
        <v>1</v>
      </c>
      <c r="D1711" s="1" t="s">
        <v>6260</v>
      </c>
      <c r="E1711" s="1">
        <v>4004</v>
      </c>
      <c r="F1711" s="1" t="s">
        <v>6259</v>
      </c>
      <c r="G1711" s="1">
        <v>1</v>
      </c>
      <c r="L1711" s="1">
        <v>40000</v>
      </c>
      <c r="N1711" s="1">
        <v>1000</v>
      </c>
      <c r="P1711" s="1">
        <v>600</v>
      </c>
      <c r="R1711" s="1">
        <v>50</v>
      </c>
      <c r="Z1711" s="1">
        <v>0.05</v>
      </c>
      <c r="AA1711" s="1">
        <v>1</v>
      </c>
      <c r="AB1711" s="1">
        <v>2</v>
      </c>
      <c r="AC1711" s="1">
        <v>3</v>
      </c>
      <c r="AH1711" s="1">
        <v>0</v>
      </c>
      <c r="AI1711" s="1">
        <v>1</v>
      </c>
      <c r="AJ1711" s="1" t="s">
        <v>6261</v>
      </c>
      <c r="AK1711" s="1" t="s">
        <v>265</v>
      </c>
      <c r="AL1711" s="1" t="s">
        <v>228</v>
      </c>
      <c r="AN1711" s="22" t="s">
        <v>9767</v>
      </c>
      <c r="AX1711" s="1">
        <v>1</v>
      </c>
      <c r="AZ1711" s="1">
        <v>0.1</v>
      </c>
      <c r="BG1711" s="1" t="s">
        <v>6259</v>
      </c>
      <c r="BM1711" s="1" t="s">
        <v>6255</v>
      </c>
      <c r="BQ1711" s="1" t="s">
        <v>207</v>
      </c>
      <c r="BR1711" s="1" t="s">
        <v>208</v>
      </c>
      <c r="BS1711" s="1" t="s">
        <v>229</v>
      </c>
      <c r="BT1711" s="1" t="s">
        <v>210</v>
      </c>
      <c r="BX1711" s="1">
        <v>1</v>
      </c>
    </row>
    <row r="1712" spans="1:76" x14ac:dyDescent="0.25">
      <c r="A1712" s="1" t="s">
        <v>6262</v>
      </c>
      <c r="B1712" s="1" t="s">
        <v>203</v>
      </c>
      <c r="C1712" s="1">
        <v>1</v>
      </c>
      <c r="D1712" s="1" t="s">
        <v>6263</v>
      </c>
      <c r="E1712" s="1" t="s">
        <v>6264</v>
      </c>
      <c r="F1712" s="1" t="s">
        <v>6265</v>
      </c>
      <c r="G1712" s="1">
        <v>1</v>
      </c>
      <c r="L1712" s="1">
        <v>100</v>
      </c>
      <c r="N1712" s="1">
        <v>800</v>
      </c>
      <c r="P1712" s="1">
        <v>0</v>
      </c>
      <c r="R1712" s="1">
        <v>0</v>
      </c>
      <c r="Z1712" s="1">
        <v>0.05</v>
      </c>
      <c r="AA1712" s="1">
        <v>3</v>
      </c>
      <c r="AB1712" s="1">
        <v>10</v>
      </c>
      <c r="AC1712" s="1">
        <v>0</v>
      </c>
      <c r="AH1712" s="1">
        <v>0</v>
      </c>
      <c r="AI1712" s="1">
        <v>1</v>
      </c>
      <c r="AJ1712" s="1" t="s">
        <v>6266</v>
      </c>
      <c r="AK1712" s="1" t="s">
        <v>265</v>
      </c>
      <c r="AL1712" s="1" t="s">
        <v>228</v>
      </c>
      <c r="AN1712" s="22" t="s">
        <v>9767</v>
      </c>
      <c r="AX1712" s="1">
        <v>0</v>
      </c>
      <c r="AZ1712" s="1">
        <v>0.1</v>
      </c>
      <c r="BC1712" s="1">
        <v>1</v>
      </c>
      <c r="BG1712" s="1" t="s">
        <v>6256</v>
      </c>
      <c r="BQ1712" s="1" t="s">
        <v>207</v>
      </c>
      <c r="BR1712" s="1" t="s">
        <v>208</v>
      </c>
      <c r="BS1712" s="1" t="s">
        <v>208</v>
      </c>
      <c r="BT1712" s="1" t="s">
        <v>210</v>
      </c>
      <c r="BX1712" s="1">
        <v>1</v>
      </c>
    </row>
    <row r="1713" spans="1:76" x14ac:dyDescent="0.25">
      <c r="A1713" s="1" t="s">
        <v>6267</v>
      </c>
      <c r="B1713" s="1" t="s">
        <v>203</v>
      </c>
      <c r="C1713" s="1">
        <v>1</v>
      </c>
      <c r="D1713" s="1" t="s">
        <v>6268</v>
      </c>
      <c r="E1713" s="1">
        <v>4005</v>
      </c>
      <c r="F1713" s="1" t="s">
        <v>6267</v>
      </c>
      <c r="G1713" s="1">
        <v>1</v>
      </c>
      <c r="L1713" s="1">
        <v>25000</v>
      </c>
      <c r="N1713" s="1">
        <v>1000</v>
      </c>
      <c r="P1713" s="1">
        <v>1000</v>
      </c>
      <c r="R1713" s="1">
        <v>20</v>
      </c>
      <c r="Z1713" s="1">
        <v>0.05</v>
      </c>
      <c r="AA1713" s="1">
        <v>0.8</v>
      </c>
      <c r="AB1713" s="1">
        <v>1</v>
      </c>
      <c r="AC1713" s="1">
        <v>1.3</v>
      </c>
      <c r="AH1713" s="1">
        <v>0</v>
      </c>
      <c r="AI1713" s="1">
        <v>1</v>
      </c>
      <c r="AJ1713" s="1" t="s">
        <v>6269</v>
      </c>
      <c r="AK1713" s="1" t="s">
        <v>265</v>
      </c>
      <c r="AL1713" s="1" t="s">
        <v>228</v>
      </c>
      <c r="AN1713" s="22" t="s">
        <v>9767</v>
      </c>
      <c r="AX1713" s="1">
        <v>1</v>
      </c>
      <c r="AZ1713" s="1">
        <v>0.1</v>
      </c>
      <c r="BG1713" s="1" t="s">
        <v>6267</v>
      </c>
      <c r="BM1713" s="1" t="s">
        <v>6270</v>
      </c>
      <c r="BQ1713" s="1" t="s">
        <v>207</v>
      </c>
      <c r="BR1713" s="1" t="s">
        <v>1935</v>
      </c>
      <c r="BS1713" s="1" t="s">
        <v>1936</v>
      </c>
      <c r="BT1713" s="1" t="s">
        <v>3296</v>
      </c>
      <c r="BX1713" s="1">
        <v>1</v>
      </c>
    </row>
    <row r="1714" spans="1:76" x14ac:dyDescent="0.25">
      <c r="A1714" s="1" t="s">
        <v>6271</v>
      </c>
      <c r="B1714" s="1" t="s">
        <v>203</v>
      </c>
      <c r="C1714" s="1">
        <v>1</v>
      </c>
      <c r="D1714" s="1" t="s">
        <v>6272</v>
      </c>
      <c r="E1714" s="1">
        <v>4005</v>
      </c>
      <c r="F1714" s="1" t="s">
        <v>6271</v>
      </c>
      <c r="G1714" s="1">
        <v>1</v>
      </c>
      <c r="L1714" s="1">
        <v>40000</v>
      </c>
      <c r="N1714" s="1">
        <v>1200</v>
      </c>
      <c r="P1714" s="1">
        <v>800</v>
      </c>
      <c r="R1714" s="1">
        <v>20</v>
      </c>
      <c r="Z1714" s="1">
        <v>0.05</v>
      </c>
      <c r="AA1714" s="1">
        <v>0.8</v>
      </c>
      <c r="AB1714" s="1">
        <v>1</v>
      </c>
      <c r="AC1714" s="1">
        <v>1.3</v>
      </c>
      <c r="AH1714" s="1">
        <v>0</v>
      </c>
      <c r="AI1714" s="1">
        <v>1</v>
      </c>
      <c r="AJ1714" s="1" t="s">
        <v>6273</v>
      </c>
      <c r="AK1714" s="1" t="s">
        <v>265</v>
      </c>
      <c r="AL1714" s="1" t="s">
        <v>228</v>
      </c>
      <c r="AN1714" s="22" t="s">
        <v>9767</v>
      </c>
      <c r="AX1714" s="1">
        <v>1</v>
      </c>
      <c r="AZ1714" s="1">
        <v>0.1</v>
      </c>
      <c r="BG1714" s="1" t="s">
        <v>6271</v>
      </c>
      <c r="BM1714" s="1" t="s">
        <v>6270</v>
      </c>
      <c r="BQ1714" s="1" t="s">
        <v>207</v>
      </c>
      <c r="BR1714" s="1" t="s">
        <v>1935</v>
      </c>
      <c r="BS1714" s="1" t="s">
        <v>1936</v>
      </c>
      <c r="BT1714" s="1" t="s">
        <v>3296</v>
      </c>
      <c r="BX1714" s="1">
        <v>1</v>
      </c>
    </row>
    <row r="1715" spans="1:76" x14ac:dyDescent="0.25">
      <c r="A1715" s="1" t="s">
        <v>6274</v>
      </c>
      <c r="B1715" s="1" t="s">
        <v>203</v>
      </c>
      <c r="C1715" s="1">
        <v>1</v>
      </c>
      <c r="D1715" s="1" t="s">
        <v>6275</v>
      </c>
      <c r="E1715" s="1">
        <v>4006</v>
      </c>
      <c r="F1715" s="1" t="s">
        <v>6274</v>
      </c>
      <c r="G1715" s="1">
        <v>1</v>
      </c>
      <c r="L1715" s="1">
        <v>15000</v>
      </c>
      <c r="N1715" s="1">
        <v>0</v>
      </c>
      <c r="P1715" s="1">
        <v>0</v>
      </c>
      <c r="R1715" s="1">
        <v>0</v>
      </c>
      <c r="Z1715" s="1">
        <v>0.05</v>
      </c>
      <c r="AA1715" s="1">
        <v>1</v>
      </c>
      <c r="AB1715" s="1">
        <v>1</v>
      </c>
      <c r="AC1715" s="1">
        <v>0.5</v>
      </c>
      <c r="AH1715" s="1">
        <v>0</v>
      </c>
      <c r="AI1715" s="1">
        <v>1</v>
      </c>
      <c r="AJ1715" s="1" t="s">
        <v>6276</v>
      </c>
      <c r="AK1715" s="1" t="s">
        <v>265</v>
      </c>
      <c r="AL1715" s="1" t="s">
        <v>228</v>
      </c>
      <c r="AN1715" s="22" t="s">
        <v>9767</v>
      </c>
      <c r="AR1715" s="1">
        <v>3</v>
      </c>
      <c r="AX1715" s="1">
        <v>1</v>
      </c>
      <c r="AZ1715" s="1">
        <v>0.1</v>
      </c>
      <c r="BG1715" s="1" t="s">
        <v>6274</v>
      </c>
      <c r="BM1715" s="1" t="s">
        <v>4816</v>
      </c>
      <c r="BQ1715" s="1" t="s">
        <v>207</v>
      </c>
      <c r="BR1715" s="1" t="s">
        <v>208</v>
      </c>
      <c r="BS1715" s="1" t="s">
        <v>229</v>
      </c>
      <c r="BT1715" s="1" t="s">
        <v>210</v>
      </c>
      <c r="BX1715" s="1">
        <v>1</v>
      </c>
    </row>
    <row r="1716" spans="1:76" x14ac:dyDescent="0.25">
      <c r="A1716" s="1" t="s">
        <v>6277</v>
      </c>
      <c r="B1716" s="1" t="s">
        <v>203</v>
      </c>
      <c r="C1716" s="1">
        <v>1</v>
      </c>
      <c r="D1716" s="1" t="s">
        <v>6278</v>
      </c>
      <c r="E1716" s="1">
        <v>4006</v>
      </c>
      <c r="F1716" s="1" t="s">
        <v>6277</v>
      </c>
      <c r="G1716" s="1">
        <v>1</v>
      </c>
      <c r="L1716" s="1">
        <v>30000</v>
      </c>
      <c r="N1716" s="1">
        <v>0</v>
      </c>
      <c r="P1716" s="1">
        <v>0</v>
      </c>
      <c r="R1716" s="1">
        <v>0</v>
      </c>
      <c r="Z1716" s="1">
        <v>0.05</v>
      </c>
      <c r="AA1716" s="1">
        <v>1</v>
      </c>
      <c r="AB1716" s="1">
        <v>1</v>
      </c>
      <c r="AC1716" s="1">
        <v>0.5</v>
      </c>
      <c r="AH1716" s="1">
        <v>0</v>
      </c>
      <c r="AI1716" s="1">
        <v>1</v>
      </c>
      <c r="AJ1716" s="1" t="s">
        <v>6279</v>
      </c>
      <c r="AK1716" s="1" t="s">
        <v>265</v>
      </c>
      <c r="AL1716" s="1" t="s">
        <v>228</v>
      </c>
      <c r="AN1716" s="22" t="s">
        <v>9767</v>
      </c>
      <c r="AR1716" s="1">
        <v>3</v>
      </c>
      <c r="AX1716" s="1">
        <v>1</v>
      </c>
      <c r="AZ1716" s="1">
        <v>0.1</v>
      </c>
      <c r="BG1716" s="1" t="s">
        <v>6277</v>
      </c>
      <c r="BM1716" s="1" t="s">
        <v>4816</v>
      </c>
      <c r="BQ1716" s="1" t="s">
        <v>207</v>
      </c>
      <c r="BR1716" s="1" t="s">
        <v>208</v>
      </c>
      <c r="BS1716" s="1" t="s">
        <v>229</v>
      </c>
      <c r="BT1716" s="1" t="s">
        <v>210</v>
      </c>
      <c r="BX1716" s="1">
        <v>1</v>
      </c>
    </row>
    <row r="1717" spans="1:76" x14ac:dyDescent="0.25">
      <c r="A1717" s="1" t="s">
        <v>6280</v>
      </c>
      <c r="B1717" s="1" t="s">
        <v>203</v>
      </c>
      <c r="C1717" s="1">
        <v>1</v>
      </c>
      <c r="D1717" s="1" t="s">
        <v>6281</v>
      </c>
      <c r="E1717" s="1">
        <v>4007</v>
      </c>
      <c r="F1717" s="1" t="s">
        <v>6280</v>
      </c>
      <c r="G1717" s="1">
        <v>1</v>
      </c>
      <c r="L1717" s="1">
        <v>45000</v>
      </c>
      <c r="N1717" s="1">
        <v>1800</v>
      </c>
      <c r="P1717" s="1">
        <v>0</v>
      </c>
      <c r="R1717" s="1">
        <v>0</v>
      </c>
      <c r="Z1717" s="1">
        <v>0.05</v>
      </c>
      <c r="AA1717" s="1">
        <v>3.5</v>
      </c>
      <c r="AB1717" s="1">
        <v>2</v>
      </c>
      <c r="AC1717" s="1">
        <v>0.8</v>
      </c>
      <c r="AH1717" s="1">
        <v>0</v>
      </c>
      <c r="AI1717" s="1">
        <v>1</v>
      </c>
      <c r="AJ1717" s="1" t="s">
        <v>6282</v>
      </c>
      <c r="AK1717" s="1" t="s">
        <v>265</v>
      </c>
      <c r="AL1717" s="1" t="s">
        <v>228</v>
      </c>
      <c r="AN1717" s="22" t="s">
        <v>9767</v>
      </c>
      <c r="AX1717" s="1">
        <v>1</v>
      </c>
      <c r="AZ1717" s="1">
        <v>0.1</v>
      </c>
      <c r="BG1717" s="1" t="s">
        <v>6280</v>
      </c>
      <c r="BM1717" s="1" t="s">
        <v>6270</v>
      </c>
      <c r="BQ1717" s="1" t="s">
        <v>207</v>
      </c>
      <c r="BR1717" s="1" t="s">
        <v>208</v>
      </c>
      <c r="BS1717" s="1" t="s">
        <v>229</v>
      </c>
      <c r="BT1717" s="1" t="s">
        <v>210</v>
      </c>
      <c r="BX1717" s="1">
        <v>1</v>
      </c>
    </row>
    <row r="1718" spans="1:76" x14ac:dyDescent="0.25">
      <c r="A1718" s="1" t="s">
        <v>6283</v>
      </c>
      <c r="B1718" s="1" t="s">
        <v>203</v>
      </c>
      <c r="C1718" s="1">
        <v>1</v>
      </c>
      <c r="D1718" s="1" t="s">
        <v>6284</v>
      </c>
      <c r="E1718" s="1">
        <v>4007</v>
      </c>
      <c r="F1718" s="1" t="s">
        <v>6283</v>
      </c>
      <c r="G1718" s="1">
        <v>1</v>
      </c>
      <c r="L1718" s="1">
        <v>70000</v>
      </c>
      <c r="N1718" s="1">
        <v>1800</v>
      </c>
      <c r="P1718" s="1">
        <v>0</v>
      </c>
      <c r="R1718" s="1">
        <v>0</v>
      </c>
      <c r="Z1718" s="1">
        <v>0.05</v>
      </c>
      <c r="AA1718" s="1">
        <v>3.5</v>
      </c>
      <c r="AB1718" s="1">
        <v>2</v>
      </c>
      <c r="AC1718" s="1">
        <v>0.8</v>
      </c>
      <c r="AH1718" s="1">
        <v>0</v>
      </c>
      <c r="AI1718" s="1">
        <v>1</v>
      </c>
      <c r="AJ1718" s="1" t="s">
        <v>6285</v>
      </c>
      <c r="AK1718" s="1" t="s">
        <v>265</v>
      </c>
      <c r="AL1718" s="1" t="s">
        <v>228</v>
      </c>
      <c r="AN1718" s="22" t="s">
        <v>9767</v>
      </c>
      <c r="AX1718" s="1">
        <v>1</v>
      </c>
      <c r="AZ1718" s="1">
        <v>0.1</v>
      </c>
      <c r="BG1718" s="1" t="s">
        <v>6283</v>
      </c>
      <c r="BM1718" s="1" t="s">
        <v>6270</v>
      </c>
      <c r="BQ1718" s="1" t="s">
        <v>207</v>
      </c>
      <c r="BR1718" s="1" t="s">
        <v>208</v>
      </c>
      <c r="BS1718" s="1" t="s">
        <v>229</v>
      </c>
      <c r="BT1718" s="1" t="s">
        <v>210</v>
      </c>
      <c r="BX1718" s="1">
        <v>1</v>
      </c>
    </row>
    <row r="1719" spans="1:76" x14ac:dyDescent="0.25">
      <c r="A1719" s="1" t="s">
        <v>6286</v>
      </c>
      <c r="B1719" s="1" t="s">
        <v>203</v>
      </c>
      <c r="C1719" s="1">
        <v>1</v>
      </c>
      <c r="D1719" s="1" t="s">
        <v>6287</v>
      </c>
      <c r="E1719" s="1">
        <v>4008</v>
      </c>
      <c r="F1719" s="1" t="s">
        <v>6286</v>
      </c>
      <c r="G1719" s="1">
        <v>1</v>
      </c>
      <c r="L1719" s="1">
        <v>30000</v>
      </c>
      <c r="N1719" s="1">
        <v>480</v>
      </c>
      <c r="P1719" s="1">
        <v>2000</v>
      </c>
      <c r="R1719" s="1">
        <v>70</v>
      </c>
      <c r="Z1719" s="1">
        <v>0.05</v>
      </c>
      <c r="AA1719" s="1">
        <v>1.7</v>
      </c>
      <c r="AB1719" s="1">
        <v>2</v>
      </c>
      <c r="AC1719" s="1">
        <v>1.4</v>
      </c>
      <c r="AH1719" s="1">
        <v>0</v>
      </c>
      <c r="AI1719" s="1">
        <v>1</v>
      </c>
      <c r="AJ1719" s="1" t="s">
        <v>6288</v>
      </c>
      <c r="AK1719" s="1" t="s">
        <v>265</v>
      </c>
      <c r="AL1719" s="1" t="s">
        <v>228</v>
      </c>
      <c r="AN1719" s="22" t="s">
        <v>9767</v>
      </c>
      <c r="AX1719" s="1">
        <v>1</v>
      </c>
      <c r="AZ1719" s="1">
        <v>0.1</v>
      </c>
      <c r="BG1719" s="1" t="s">
        <v>6286</v>
      </c>
      <c r="BM1719" s="1" t="s">
        <v>6270</v>
      </c>
      <c r="BQ1719" s="1" t="s">
        <v>207</v>
      </c>
      <c r="BR1719" s="1" t="s">
        <v>271</v>
      </c>
      <c r="BS1719" s="1" t="s">
        <v>229</v>
      </c>
      <c r="BT1719" s="1" t="s">
        <v>210</v>
      </c>
      <c r="BX1719" s="1">
        <v>1</v>
      </c>
    </row>
    <row r="1720" spans="1:76" x14ac:dyDescent="0.25">
      <c r="A1720" s="1" t="s">
        <v>6289</v>
      </c>
      <c r="B1720" s="1" t="s">
        <v>203</v>
      </c>
      <c r="C1720" s="1">
        <v>1</v>
      </c>
      <c r="D1720" s="1" t="s">
        <v>6290</v>
      </c>
      <c r="E1720" s="1">
        <v>4008</v>
      </c>
      <c r="F1720" s="1" t="s">
        <v>6289</v>
      </c>
      <c r="G1720" s="1">
        <v>1</v>
      </c>
      <c r="L1720" s="1">
        <v>40000</v>
      </c>
      <c r="N1720" s="1">
        <v>550</v>
      </c>
      <c r="P1720" s="1">
        <v>2000</v>
      </c>
      <c r="R1720" s="1">
        <v>70</v>
      </c>
      <c r="Z1720" s="1">
        <v>0.05</v>
      </c>
      <c r="AA1720" s="1">
        <v>1.7</v>
      </c>
      <c r="AB1720" s="1">
        <v>2</v>
      </c>
      <c r="AC1720" s="1">
        <v>1.4</v>
      </c>
      <c r="AH1720" s="1">
        <v>0</v>
      </c>
      <c r="AI1720" s="1">
        <v>1</v>
      </c>
      <c r="AJ1720" s="1" t="s">
        <v>6291</v>
      </c>
      <c r="AK1720" s="1" t="s">
        <v>265</v>
      </c>
      <c r="AL1720" s="1" t="s">
        <v>228</v>
      </c>
      <c r="AN1720" s="22" t="s">
        <v>9767</v>
      </c>
      <c r="AX1720" s="1">
        <v>1</v>
      </c>
      <c r="AZ1720" s="1">
        <v>0.1</v>
      </c>
      <c r="BG1720" s="1" t="s">
        <v>6289</v>
      </c>
      <c r="BM1720" s="1" t="s">
        <v>6270</v>
      </c>
      <c r="BQ1720" s="1" t="s">
        <v>207</v>
      </c>
      <c r="BR1720" s="1" t="s">
        <v>271</v>
      </c>
      <c r="BS1720" s="1" t="s">
        <v>229</v>
      </c>
      <c r="BT1720" s="1" t="s">
        <v>210</v>
      </c>
      <c r="BX1720" s="1">
        <v>1</v>
      </c>
    </row>
    <row r="1721" spans="1:76" x14ac:dyDescent="0.25">
      <c r="A1721" s="1" t="s">
        <v>6292</v>
      </c>
      <c r="B1721" s="1" t="s">
        <v>203</v>
      </c>
      <c r="C1721" s="1">
        <v>1</v>
      </c>
      <c r="D1721" s="1" t="s">
        <v>6293</v>
      </c>
      <c r="E1721" s="1">
        <v>4009</v>
      </c>
      <c r="F1721" s="1" t="s">
        <v>6292</v>
      </c>
      <c r="G1721" s="1">
        <v>1</v>
      </c>
      <c r="L1721" s="1">
        <v>30000</v>
      </c>
      <c r="N1721" s="1">
        <v>1600</v>
      </c>
      <c r="P1721" s="1">
        <v>200</v>
      </c>
      <c r="R1721" s="1">
        <v>0</v>
      </c>
      <c r="Z1721" s="1">
        <v>0.05</v>
      </c>
      <c r="AA1721" s="1">
        <v>3</v>
      </c>
      <c r="AB1721" s="1">
        <v>3</v>
      </c>
      <c r="AC1721" s="1">
        <v>0.75</v>
      </c>
      <c r="AH1721" s="1">
        <v>0</v>
      </c>
      <c r="AI1721" s="1">
        <v>1</v>
      </c>
      <c r="AJ1721" s="1" t="s">
        <v>6294</v>
      </c>
      <c r="AK1721" s="1" t="s">
        <v>265</v>
      </c>
      <c r="AL1721" s="1" t="s">
        <v>228</v>
      </c>
      <c r="AN1721" s="22" t="s">
        <v>9767</v>
      </c>
      <c r="AX1721" s="1">
        <v>1</v>
      </c>
      <c r="AZ1721" s="1">
        <v>0.1</v>
      </c>
      <c r="BG1721" s="1" t="s">
        <v>6292</v>
      </c>
      <c r="BM1721" s="1" t="s">
        <v>930</v>
      </c>
      <c r="BQ1721" s="1" t="s">
        <v>207</v>
      </c>
      <c r="BR1721" s="1" t="s">
        <v>208</v>
      </c>
      <c r="BS1721" s="1" t="s">
        <v>229</v>
      </c>
      <c r="BT1721" s="1" t="s">
        <v>210</v>
      </c>
      <c r="BX1721" s="1">
        <v>1</v>
      </c>
    </row>
    <row r="1722" spans="1:76" x14ac:dyDescent="0.25">
      <c r="A1722" s="1" t="s">
        <v>6295</v>
      </c>
      <c r="B1722" s="1" t="s">
        <v>203</v>
      </c>
      <c r="C1722" s="1">
        <v>1</v>
      </c>
      <c r="D1722" s="1" t="s">
        <v>6296</v>
      </c>
      <c r="E1722" s="1">
        <v>4009</v>
      </c>
      <c r="F1722" s="1" t="s">
        <v>6295</v>
      </c>
      <c r="G1722" s="1">
        <v>1</v>
      </c>
      <c r="L1722" s="1">
        <v>40000</v>
      </c>
      <c r="N1722" s="1">
        <v>1750</v>
      </c>
      <c r="P1722" s="1">
        <v>200</v>
      </c>
      <c r="R1722" s="1">
        <v>50</v>
      </c>
      <c r="Z1722" s="1">
        <v>0.05</v>
      </c>
      <c r="AA1722" s="1">
        <v>3</v>
      </c>
      <c r="AB1722" s="1">
        <v>3</v>
      </c>
      <c r="AC1722" s="1">
        <v>0.75</v>
      </c>
      <c r="AH1722" s="1">
        <v>0</v>
      </c>
      <c r="AI1722" s="1">
        <v>1</v>
      </c>
      <c r="AJ1722" s="1" t="s">
        <v>6297</v>
      </c>
      <c r="AK1722" s="1" t="s">
        <v>265</v>
      </c>
      <c r="AL1722" s="1" t="s">
        <v>228</v>
      </c>
      <c r="AN1722" s="22" t="s">
        <v>9767</v>
      </c>
      <c r="AX1722" s="1">
        <v>1</v>
      </c>
      <c r="AZ1722" s="1">
        <v>0.1</v>
      </c>
      <c r="BG1722" s="1" t="s">
        <v>6295</v>
      </c>
      <c r="BM1722" s="1" t="s">
        <v>930</v>
      </c>
      <c r="BQ1722" s="1" t="s">
        <v>207</v>
      </c>
      <c r="BR1722" s="1" t="s">
        <v>208</v>
      </c>
      <c r="BS1722" s="1" t="s">
        <v>229</v>
      </c>
      <c r="BT1722" s="1" t="s">
        <v>210</v>
      </c>
      <c r="BX1722" s="1">
        <v>1</v>
      </c>
    </row>
    <row r="1723" spans="1:76" x14ac:dyDescent="0.25">
      <c r="A1723" s="1" t="s">
        <v>6298</v>
      </c>
      <c r="B1723" s="1" t="s">
        <v>203</v>
      </c>
      <c r="C1723" s="1">
        <v>1</v>
      </c>
      <c r="D1723" s="1" t="s">
        <v>6299</v>
      </c>
      <c r="E1723" s="1">
        <v>4010</v>
      </c>
      <c r="F1723" s="1" t="s">
        <v>6298</v>
      </c>
      <c r="G1723" s="1">
        <v>1</v>
      </c>
      <c r="L1723" s="1">
        <v>20000</v>
      </c>
      <c r="N1723" s="1">
        <v>700</v>
      </c>
      <c r="P1723" s="1">
        <v>300</v>
      </c>
      <c r="R1723" s="1">
        <v>20</v>
      </c>
      <c r="Z1723" s="1">
        <v>0.05</v>
      </c>
      <c r="AA1723" s="1">
        <v>3.5</v>
      </c>
      <c r="AB1723" s="1">
        <v>3</v>
      </c>
      <c r="AC1723" s="1">
        <v>0.75</v>
      </c>
      <c r="AH1723" s="1">
        <v>0</v>
      </c>
      <c r="AI1723" s="1">
        <v>1</v>
      </c>
      <c r="AJ1723" s="1" t="s">
        <v>6300</v>
      </c>
      <c r="AK1723" s="1" t="s">
        <v>265</v>
      </c>
      <c r="AL1723" s="1" t="s">
        <v>228</v>
      </c>
      <c r="AN1723" s="22" t="s">
        <v>9767</v>
      </c>
      <c r="AX1723" s="1">
        <v>1</v>
      </c>
      <c r="AZ1723" s="1">
        <v>0.1</v>
      </c>
      <c r="BG1723" s="1" t="s">
        <v>6298</v>
      </c>
      <c r="BM1723" s="1" t="s">
        <v>936</v>
      </c>
      <c r="BQ1723" s="1" t="s">
        <v>207</v>
      </c>
      <c r="BR1723" s="1" t="s">
        <v>208</v>
      </c>
      <c r="BS1723" s="1" t="s">
        <v>229</v>
      </c>
      <c r="BT1723" s="1" t="s">
        <v>210</v>
      </c>
      <c r="BX1723" s="1">
        <v>1</v>
      </c>
    </row>
    <row r="1724" spans="1:76" x14ac:dyDescent="0.25">
      <c r="A1724" s="1" t="s">
        <v>6301</v>
      </c>
      <c r="B1724" s="1" t="s">
        <v>203</v>
      </c>
      <c r="C1724" s="1">
        <v>1</v>
      </c>
      <c r="D1724" s="1" t="s">
        <v>6302</v>
      </c>
      <c r="E1724" s="1">
        <v>4010</v>
      </c>
      <c r="F1724" s="1" t="s">
        <v>6301</v>
      </c>
      <c r="G1724" s="1">
        <v>1</v>
      </c>
      <c r="L1724" s="1">
        <v>26000</v>
      </c>
      <c r="N1724" s="1">
        <v>800</v>
      </c>
      <c r="P1724" s="1">
        <v>300</v>
      </c>
      <c r="R1724" s="1">
        <v>20</v>
      </c>
      <c r="Z1724" s="1">
        <v>0.05</v>
      </c>
      <c r="AA1724" s="1">
        <v>3.5</v>
      </c>
      <c r="AB1724" s="1">
        <v>3</v>
      </c>
      <c r="AC1724" s="1">
        <v>0.75</v>
      </c>
      <c r="AH1724" s="1">
        <v>0</v>
      </c>
      <c r="AI1724" s="1">
        <v>1</v>
      </c>
      <c r="AJ1724" s="1" t="s">
        <v>6303</v>
      </c>
      <c r="AK1724" s="1" t="s">
        <v>265</v>
      </c>
      <c r="AL1724" s="1" t="s">
        <v>228</v>
      </c>
      <c r="AN1724" s="22" t="s">
        <v>9767</v>
      </c>
      <c r="AX1724" s="1">
        <v>1</v>
      </c>
      <c r="AZ1724" s="1">
        <v>0.1</v>
      </c>
      <c r="BG1724" s="1" t="s">
        <v>6301</v>
      </c>
      <c r="BM1724" s="1" t="s">
        <v>936</v>
      </c>
      <c r="BQ1724" s="1" t="s">
        <v>207</v>
      </c>
      <c r="BR1724" s="1" t="s">
        <v>208</v>
      </c>
      <c r="BS1724" s="1" t="s">
        <v>229</v>
      </c>
      <c r="BT1724" s="1" t="s">
        <v>210</v>
      </c>
      <c r="BX1724" s="1">
        <v>1</v>
      </c>
    </row>
    <row r="1725" spans="1:76" x14ac:dyDescent="0.25">
      <c r="A1725" s="1" t="s">
        <v>6304</v>
      </c>
      <c r="B1725" s="1" t="s">
        <v>203</v>
      </c>
      <c r="C1725" s="1">
        <v>1</v>
      </c>
      <c r="D1725" s="1" t="s">
        <v>6305</v>
      </c>
      <c r="E1725" s="1">
        <v>4012</v>
      </c>
      <c r="F1725" s="1" t="s">
        <v>6304</v>
      </c>
      <c r="G1725" s="1">
        <v>1</v>
      </c>
      <c r="L1725" s="1">
        <v>30000</v>
      </c>
      <c r="N1725" s="1">
        <v>1100</v>
      </c>
      <c r="P1725" s="1">
        <v>300</v>
      </c>
      <c r="R1725" s="1">
        <v>20</v>
      </c>
      <c r="Z1725" s="1">
        <v>0.05</v>
      </c>
      <c r="AA1725" s="1">
        <v>3</v>
      </c>
      <c r="AB1725" s="1">
        <v>0</v>
      </c>
      <c r="AC1725" s="1">
        <v>2</v>
      </c>
      <c r="AH1725" s="1">
        <v>0</v>
      </c>
      <c r="AI1725" s="1">
        <v>1</v>
      </c>
      <c r="AJ1725" s="1" t="s">
        <v>6306</v>
      </c>
      <c r="AK1725" s="1" t="s">
        <v>265</v>
      </c>
      <c r="AL1725" s="1" t="s">
        <v>228</v>
      </c>
      <c r="AN1725" s="22" t="s">
        <v>9767</v>
      </c>
      <c r="AX1725" s="1">
        <v>1</v>
      </c>
      <c r="AZ1725" s="1">
        <v>0.1</v>
      </c>
      <c r="BG1725" s="1" t="s">
        <v>6304</v>
      </c>
      <c r="BM1725" s="1" t="s">
        <v>6307</v>
      </c>
      <c r="BQ1725" s="1" t="s">
        <v>207</v>
      </c>
      <c r="BR1725" s="1" t="s">
        <v>2899</v>
      </c>
      <c r="BS1725" s="1" t="s">
        <v>229</v>
      </c>
      <c r="BT1725" s="1" t="s">
        <v>210</v>
      </c>
      <c r="BX1725" s="1">
        <v>1</v>
      </c>
    </row>
    <row r="1726" spans="1:76" x14ac:dyDescent="0.25">
      <c r="A1726" s="1" t="s">
        <v>6308</v>
      </c>
      <c r="B1726" s="1" t="s">
        <v>203</v>
      </c>
      <c r="C1726" s="1">
        <v>1</v>
      </c>
      <c r="D1726" s="1" t="s">
        <v>6309</v>
      </c>
      <c r="E1726" s="1">
        <v>4012</v>
      </c>
      <c r="F1726" s="1" t="s">
        <v>6308</v>
      </c>
      <c r="G1726" s="1">
        <v>1</v>
      </c>
      <c r="L1726" s="1">
        <v>40000</v>
      </c>
      <c r="N1726" s="1">
        <v>1350</v>
      </c>
      <c r="P1726" s="1">
        <v>300</v>
      </c>
      <c r="R1726" s="1">
        <v>20</v>
      </c>
      <c r="Z1726" s="1">
        <v>0.05</v>
      </c>
      <c r="AA1726" s="1">
        <v>3</v>
      </c>
      <c r="AB1726" s="1">
        <v>0</v>
      </c>
      <c r="AC1726" s="1">
        <v>2</v>
      </c>
      <c r="AH1726" s="1">
        <v>0</v>
      </c>
      <c r="AI1726" s="1">
        <v>1</v>
      </c>
      <c r="AJ1726" s="1" t="s">
        <v>6310</v>
      </c>
      <c r="AK1726" s="1" t="s">
        <v>265</v>
      </c>
      <c r="AL1726" s="1" t="s">
        <v>228</v>
      </c>
      <c r="AN1726" s="22" t="s">
        <v>9767</v>
      </c>
      <c r="AX1726" s="1">
        <v>1</v>
      </c>
      <c r="AZ1726" s="1">
        <v>0.1</v>
      </c>
      <c r="BG1726" s="1" t="s">
        <v>6308</v>
      </c>
      <c r="BM1726" s="1" t="s">
        <v>6307</v>
      </c>
      <c r="BQ1726" s="1" t="s">
        <v>207</v>
      </c>
      <c r="BR1726" s="1" t="s">
        <v>2899</v>
      </c>
      <c r="BS1726" s="1" t="s">
        <v>229</v>
      </c>
      <c r="BT1726" s="1" t="s">
        <v>210</v>
      </c>
      <c r="BX1726" s="1">
        <v>1</v>
      </c>
    </row>
    <row r="1727" spans="1:76" x14ac:dyDescent="0.25">
      <c r="A1727" s="1" t="s">
        <v>6311</v>
      </c>
      <c r="B1727" s="1" t="s">
        <v>203</v>
      </c>
      <c r="C1727" s="1">
        <v>1</v>
      </c>
      <c r="D1727" s="1" t="s">
        <v>6312</v>
      </c>
      <c r="E1727" s="1">
        <v>4013</v>
      </c>
      <c r="F1727" s="1" t="s">
        <v>6311</v>
      </c>
      <c r="G1727" s="1">
        <v>1</v>
      </c>
      <c r="L1727" s="1">
        <v>35000</v>
      </c>
      <c r="N1727" s="1">
        <v>2000</v>
      </c>
      <c r="P1727" s="1">
        <v>400</v>
      </c>
      <c r="R1727" s="1">
        <v>20</v>
      </c>
      <c r="Z1727" s="1">
        <v>0.05</v>
      </c>
      <c r="AA1727" s="1">
        <v>2</v>
      </c>
      <c r="AB1727" s="1">
        <v>0</v>
      </c>
      <c r="AC1727" s="1">
        <v>2</v>
      </c>
      <c r="AH1727" s="1">
        <v>0</v>
      </c>
      <c r="AI1727" s="1">
        <v>1</v>
      </c>
      <c r="AJ1727" s="1" t="s">
        <v>6313</v>
      </c>
      <c r="AK1727" s="1" t="s">
        <v>265</v>
      </c>
      <c r="AL1727" s="1" t="s">
        <v>228</v>
      </c>
      <c r="AN1727" s="22" t="s">
        <v>9767</v>
      </c>
      <c r="AX1727" s="1">
        <v>1</v>
      </c>
      <c r="AZ1727" s="1">
        <v>0.1</v>
      </c>
      <c r="BG1727" s="1" t="s">
        <v>6311</v>
      </c>
      <c r="BM1727" s="1" t="s">
        <v>6307</v>
      </c>
      <c r="BQ1727" s="1" t="s">
        <v>207</v>
      </c>
      <c r="BR1727" s="1" t="s">
        <v>2899</v>
      </c>
      <c r="BS1727" s="1" t="s">
        <v>229</v>
      </c>
      <c r="BT1727" s="1" t="s">
        <v>210</v>
      </c>
      <c r="BX1727" s="1">
        <v>1</v>
      </c>
    </row>
    <row r="1728" spans="1:76" x14ac:dyDescent="0.25">
      <c r="A1728" s="1" t="s">
        <v>6314</v>
      </c>
      <c r="B1728" s="1" t="s">
        <v>203</v>
      </c>
      <c r="C1728" s="1">
        <v>1</v>
      </c>
      <c r="D1728" s="1" t="s">
        <v>6315</v>
      </c>
      <c r="E1728" s="1">
        <v>4013</v>
      </c>
      <c r="F1728" s="1" t="s">
        <v>6314</v>
      </c>
      <c r="G1728" s="1">
        <v>1</v>
      </c>
      <c r="L1728" s="1">
        <v>45000</v>
      </c>
      <c r="N1728" s="1">
        <v>2350</v>
      </c>
      <c r="P1728" s="1">
        <v>400</v>
      </c>
      <c r="R1728" s="1">
        <v>20</v>
      </c>
      <c r="Z1728" s="1">
        <v>0.05</v>
      </c>
      <c r="AA1728" s="1">
        <v>2</v>
      </c>
      <c r="AB1728" s="1">
        <v>0</v>
      </c>
      <c r="AC1728" s="1">
        <v>2</v>
      </c>
      <c r="AH1728" s="1">
        <v>0</v>
      </c>
      <c r="AI1728" s="1">
        <v>1</v>
      </c>
      <c r="AJ1728" s="1" t="s">
        <v>6316</v>
      </c>
      <c r="AK1728" s="1" t="s">
        <v>265</v>
      </c>
      <c r="AL1728" s="1" t="s">
        <v>228</v>
      </c>
      <c r="AN1728" s="22" t="s">
        <v>9767</v>
      </c>
      <c r="AX1728" s="1">
        <v>1</v>
      </c>
      <c r="AZ1728" s="1">
        <v>0.1</v>
      </c>
      <c r="BG1728" s="1" t="s">
        <v>6314</v>
      </c>
      <c r="BM1728" s="1" t="s">
        <v>6307</v>
      </c>
      <c r="BQ1728" s="1" t="s">
        <v>207</v>
      </c>
      <c r="BR1728" s="1" t="s">
        <v>2899</v>
      </c>
      <c r="BS1728" s="1" t="s">
        <v>229</v>
      </c>
      <c r="BT1728" s="1" t="s">
        <v>210</v>
      </c>
      <c r="BX1728" s="1">
        <v>1</v>
      </c>
    </row>
    <row r="1729" spans="1:76" x14ac:dyDescent="0.25">
      <c r="A1729" s="1" t="s">
        <v>6317</v>
      </c>
      <c r="B1729" s="1" t="s">
        <v>203</v>
      </c>
      <c r="C1729" s="1">
        <v>1</v>
      </c>
      <c r="D1729" s="1" t="s">
        <v>6318</v>
      </c>
      <c r="E1729" s="1">
        <v>4014</v>
      </c>
      <c r="F1729" s="1" t="s">
        <v>6317</v>
      </c>
      <c r="G1729" s="1">
        <v>1</v>
      </c>
      <c r="L1729" s="1">
        <v>40000</v>
      </c>
      <c r="N1729" s="1">
        <v>1500</v>
      </c>
      <c r="P1729" s="1">
        <v>500</v>
      </c>
      <c r="R1729" s="1">
        <v>20</v>
      </c>
      <c r="Z1729" s="1">
        <v>0.05</v>
      </c>
      <c r="AA1729" s="1">
        <v>2</v>
      </c>
      <c r="AB1729" s="1">
        <v>0</v>
      </c>
      <c r="AC1729" s="1">
        <v>1</v>
      </c>
      <c r="AH1729" s="1">
        <v>0</v>
      </c>
      <c r="AI1729" s="1">
        <v>1</v>
      </c>
      <c r="AJ1729" s="1" t="s">
        <v>6319</v>
      </c>
      <c r="AK1729" s="1" t="s">
        <v>265</v>
      </c>
      <c r="AL1729" s="1" t="s">
        <v>228</v>
      </c>
      <c r="AN1729" s="22" t="s">
        <v>9767</v>
      </c>
      <c r="AX1729" s="1">
        <v>1</v>
      </c>
      <c r="AZ1729" s="1">
        <v>0.1</v>
      </c>
      <c r="BG1729" s="1" t="s">
        <v>6317</v>
      </c>
      <c r="BM1729" s="1" t="s">
        <v>6307</v>
      </c>
      <c r="BQ1729" s="1" t="s">
        <v>207</v>
      </c>
      <c r="BR1729" s="1" t="s">
        <v>208</v>
      </c>
      <c r="BS1729" s="1" t="s">
        <v>229</v>
      </c>
      <c r="BT1729" s="1" t="s">
        <v>210</v>
      </c>
      <c r="BX1729" s="1">
        <v>1</v>
      </c>
    </row>
    <row r="1730" spans="1:76" x14ac:dyDescent="0.25">
      <c r="A1730" s="1" t="s">
        <v>6320</v>
      </c>
      <c r="B1730" s="1" t="s">
        <v>203</v>
      </c>
      <c r="C1730" s="1">
        <v>1</v>
      </c>
      <c r="D1730" s="1" t="s">
        <v>6321</v>
      </c>
      <c r="E1730" s="1">
        <v>4014</v>
      </c>
      <c r="F1730" s="1" t="s">
        <v>6320</v>
      </c>
      <c r="G1730" s="1">
        <v>1</v>
      </c>
      <c r="L1730" s="1">
        <v>60000</v>
      </c>
      <c r="N1730" s="1">
        <v>2000</v>
      </c>
      <c r="P1730" s="1">
        <v>0</v>
      </c>
      <c r="R1730" s="1">
        <v>0</v>
      </c>
      <c r="Z1730" s="1">
        <v>0.05</v>
      </c>
      <c r="AA1730" s="1">
        <v>2</v>
      </c>
      <c r="AB1730" s="1">
        <v>0</v>
      </c>
      <c r="AC1730" s="1">
        <v>1</v>
      </c>
      <c r="AH1730" s="1">
        <v>0</v>
      </c>
      <c r="AI1730" s="1">
        <v>1</v>
      </c>
      <c r="AJ1730" s="1" t="s">
        <v>6322</v>
      </c>
      <c r="AK1730" s="1" t="s">
        <v>265</v>
      </c>
      <c r="AL1730" s="1" t="s">
        <v>228</v>
      </c>
      <c r="AN1730" s="22" t="s">
        <v>9767</v>
      </c>
      <c r="AX1730" s="1">
        <v>1</v>
      </c>
      <c r="AZ1730" s="1">
        <v>0.1</v>
      </c>
      <c r="BG1730" s="1" t="s">
        <v>6320</v>
      </c>
      <c r="BM1730" s="1" t="s">
        <v>6307</v>
      </c>
      <c r="BQ1730" s="1" t="s">
        <v>207</v>
      </c>
      <c r="BR1730" s="1" t="s">
        <v>208</v>
      </c>
      <c r="BS1730" s="1" t="s">
        <v>229</v>
      </c>
      <c r="BT1730" s="1" t="s">
        <v>210</v>
      </c>
      <c r="BX1730" s="1">
        <v>1</v>
      </c>
    </row>
    <row r="1731" spans="1:76" x14ac:dyDescent="0.25">
      <c r="A1731" s="1" t="s">
        <v>6323</v>
      </c>
      <c r="B1731" s="1" t="s">
        <v>203</v>
      </c>
      <c r="C1731" s="1">
        <v>1</v>
      </c>
      <c r="D1731" s="1" t="s">
        <v>6324</v>
      </c>
      <c r="E1731" s="1" t="s">
        <v>6325</v>
      </c>
      <c r="F1731" s="1" t="s">
        <v>6323</v>
      </c>
      <c r="G1731" s="1">
        <v>1</v>
      </c>
      <c r="L1731" s="1">
        <v>25000</v>
      </c>
      <c r="N1731" s="1">
        <v>1400</v>
      </c>
      <c r="P1731" s="1">
        <v>1500</v>
      </c>
      <c r="R1731" s="1">
        <v>60</v>
      </c>
      <c r="Z1731" s="1">
        <v>0.05</v>
      </c>
      <c r="AA1731" s="1">
        <v>5</v>
      </c>
      <c r="AB1731" s="1">
        <v>5</v>
      </c>
      <c r="AC1731" s="1">
        <v>0.4</v>
      </c>
      <c r="AH1731" s="1">
        <v>0</v>
      </c>
      <c r="AI1731" s="1">
        <v>1</v>
      </c>
      <c r="AJ1731" s="1" t="s">
        <v>6326</v>
      </c>
      <c r="AK1731" s="1" t="s">
        <v>206</v>
      </c>
      <c r="AL1731" s="1" t="s">
        <v>228</v>
      </c>
      <c r="AN1731" s="22" t="s">
        <v>9767</v>
      </c>
      <c r="AX1731" s="1">
        <v>1</v>
      </c>
      <c r="AZ1731" s="1">
        <v>0.1</v>
      </c>
      <c r="BG1731" s="1" t="s">
        <v>6323</v>
      </c>
      <c r="BM1731" s="1" t="s">
        <v>989</v>
      </c>
      <c r="BQ1731" s="1" t="s">
        <v>207</v>
      </c>
      <c r="BR1731" s="1" t="s">
        <v>208</v>
      </c>
      <c r="BS1731" s="1" t="s">
        <v>229</v>
      </c>
      <c r="BT1731" s="1" t="s">
        <v>210</v>
      </c>
      <c r="BX1731" s="1">
        <v>1</v>
      </c>
    </row>
    <row r="1732" spans="1:76" x14ac:dyDescent="0.25">
      <c r="A1732" s="1" t="s">
        <v>6327</v>
      </c>
      <c r="B1732" s="1" t="s">
        <v>203</v>
      </c>
      <c r="C1732" s="1">
        <v>1</v>
      </c>
      <c r="D1732" s="1" t="s">
        <v>6328</v>
      </c>
      <c r="E1732" s="1" t="s">
        <v>6329</v>
      </c>
      <c r="F1732" s="1" t="s">
        <v>6327</v>
      </c>
      <c r="G1732" s="1">
        <v>1</v>
      </c>
      <c r="L1732" s="1">
        <v>18000</v>
      </c>
      <c r="N1732" s="1">
        <v>0</v>
      </c>
      <c r="P1732" s="1">
        <v>50</v>
      </c>
      <c r="R1732" s="1">
        <v>0</v>
      </c>
      <c r="Z1732" s="1">
        <v>0.05</v>
      </c>
      <c r="AA1732" s="1">
        <v>10</v>
      </c>
      <c r="AB1732" s="1">
        <v>3</v>
      </c>
      <c r="AC1732" s="1">
        <v>1</v>
      </c>
      <c r="AH1732" s="1">
        <v>0</v>
      </c>
      <c r="AI1732" s="1">
        <v>1</v>
      </c>
      <c r="AJ1732" s="1" t="s">
        <v>6330</v>
      </c>
      <c r="AK1732" s="1" t="s">
        <v>206</v>
      </c>
      <c r="AL1732" s="1" t="s">
        <v>228</v>
      </c>
      <c r="AN1732" s="22" t="s">
        <v>9767</v>
      </c>
      <c r="AX1732" s="1">
        <v>1</v>
      </c>
      <c r="AZ1732" s="1">
        <v>0.1</v>
      </c>
      <c r="BG1732" s="1" t="s">
        <v>6327</v>
      </c>
      <c r="BM1732" s="1" t="s">
        <v>3114</v>
      </c>
      <c r="BQ1732" s="1" t="s">
        <v>207</v>
      </c>
      <c r="BR1732" s="1" t="s">
        <v>208</v>
      </c>
      <c r="BS1732" s="1" t="s">
        <v>229</v>
      </c>
      <c r="BT1732" s="1" t="s">
        <v>210</v>
      </c>
      <c r="BX1732" s="1">
        <v>1</v>
      </c>
    </row>
    <row r="1733" spans="1:76" x14ac:dyDescent="0.25">
      <c r="A1733" s="1" t="s">
        <v>6331</v>
      </c>
      <c r="B1733" s="1" t="s">
        <v>203</v>
      </c>
      <c r="C1733" s="1">
        <v>1</v>
      </c>
      <c r="D1733" s="1" t="s">
        <v>6332</v>
      </c>
      <c r="E1733" s="1" t="s">
        <v>6333</v>
      </c>
      <c r="F1733" s="1" t="s">
        <v>6331</v>
      </c>
      <c r="G1733" s="1">
        <v>1</v>
      </c>
      <c r="L1733" s="1">
        <v>18000</v>
      </c>
      <c r="N1733" s="1">
        <v>1100</v>
      </c>
      <c r="P1733" s="1">
        <v>0</v>
      </c>
      <c r="R1733" s="1">
        <v>0</v>
      </c>
      <c r="Z1733" s="1">
        <v>0.05</v>
      </c>
      <c r="AA1733" s="1">
        <v>4</v>
      </c>
      <c r="AB1733" s="1">
        <v>0</v>
      </c>
      <c r="AC1733" s="1">
        <v>0.2</v>
      </c>
      <c r="AH1733" s="1">
        <v>0</v>
      </c>
      <c r="AI1733" s="1">
        <v>1</v>
      </c>
      <c r="AJ1733" s="1" t="s">
        <v>6334</v>
      </c>
      <c r="AK1733" s="1" t="s">
        <v>206</v>
      </c>
      <c r="AL1733" s="1" t="s">
        <v>228</v>
      </c>
      <c r="AN1733" s="22" t="s">
        <v>9767</v>
      </c>
      <c r="AX1733" s="1">
        <v>1</v>
      </c>
      <c r="AZ1733" s="1">
        <v>0.1</v>
      </c>
      <c r="BG1733" s="1" t="s">
        <v>6331</v>
      </c>
      <c r="BM1733" s="1" t="s">
        <v>989</v>
      </c>
      <c r="BQ1733" s="1" t="s">
        <v>6335</v>
      </c>
      <c r="BR1733" s="1" t="s">
        <v>208</v>
      </c>
      <c r="BS1733" s="1" t="s">
        <v>229</v>
      </c>
      <c r="BT1733" s="1" t="s">
        <v>210</v>
      </c>
      <c r="BX1733" s="1">
        <v>1</v>
      </c>
    </row>
    <row r="1734" spans="1:76" x14ac:dyDescent="0.25">
      <c r="A1734" s="1" t="s">
        <v>6336</v>
      </c>
      <c r="B1734" s="1" t="s">
        <v>203</v>
      </c>
      <c r="C1734" s="1">
        <v>1</v>
      </c>
      <c r="D1734" s="1" t="s">
        <v>6337</v>
      </c>
      <c r="E1734" s="1" t="s">
        <v>6338</v>
      </c>
      <c r="F1734" s="1" t="s">
        <v>6336</v>
      </c>
      <c r="G1734" s="1">
        <v>1</v>
      </c>
      <c r="L1734" s="1">
        <v>2500</v>
      </c>
      <c r="N1734" s="1">
        <v>290</v>
      </c>
      <c r="P1734" s="1">
        <v>100</v>
      </c>
      <c r="R1734" s="1">
        <v>20</v>
      </c>
      <c r="Z1734" s="1">
        <v>0.05</v>
      </c>
      <c r="AA1734" s="1">
        <v>1.5</v>
      </c>
      <c r="AB1734" s="1">
        <v>0</v>
      </c>
      <c r="AC1734" s="1">
        <v>1.9</v>
      </c>
      <c r="AH1734" s="1">
        <v>0</v>
      </c>
      <c r="AI1734" s="1">
        <v>1</v>
      </c>
      <c r="AJ1734" s="1" t="s">
        <v>6339</v>
      </c>
      <c r="AK1734" s="1" t="s">
        <v>206</v>
      </c>
      <c r="AL1734" s="1" t="s">
        <v>228</v>
      </c>
      <c r="AN1734" s="22" t="s">
        <v>9767</v>
      </c>
      <c r="AX1734" s="1">
        <v>1</v>
      </c>
      <c r="AZ1734" s="1">
        <v>0.1</v>
      </c>
      <c r="BG1734" s="1" t="s">
        <v>6336</v>
      </c>
      <c r="BM1734" s="1" t="s">
        <v>930</v>
      </c>
      <c r="BQ1734" s="1" t="s">
        <v>207</v>
      </c>
      <c r="BR1734" s="1" t="s">
        <v>208</v>
      </c>
      <c r="BS1734" s="1" t="s">
        <v>229</v>
      </c>
      <c r="BT1734" s="1" t="s">
        <v>210</v>
      </c>
      <c r="BX1734" s="1">
        <v>1</v>
      </c>
    </row>
    <row r="1735" spans="1:76" x14ac:dyDescent="0.25">
      <c r="A1735" s="1" t="s">
        <v>6340</v>
      </c>
      <c r="B1735" s="1" t="s">
        <v>203</v>
      </c>
      <c r="C1735" s="1">
        <v>1</v>
      </c>
      <c r="D1735" s="1" t="s">
        <v>6341</v>
      </c>
      <c r="E1735" s="1">
        <v>5506</v>
      </c>
      <c r="F1735" s="1" t="s">
        <v>6342</v>
      </c>
      <c r="G1735" s="1">
        <v>1</v>
      </c>
      <c r="L1735" s="1">
        <v>100</v>
      </c>
      <c r="N1735" s="1">
        <v>100</v>
      </c>
      <c r="P1735" s="1">
        <v>0</v>
      </c>
      <c r="R1735" s="1">
        <v>0</v>
      </c>
      <c r="Z1735" s="1">
        <v>0.05</v>
      </c>
      <c r="AA1735" s="1">
        <v>1</v>
      </c>
      <c r="AB1735" s="1">
        <v>0</v>
      </c>
      <c r="AC1735" s="1">
        <v>0</v>
      </c>
      <c r="AH1735" s="1">
        <v>0</v>
      </c>
      <c r="AI1735" s="1">
        <v>1</v>
      </c>
      <c r="AJ1735" s="1" t="s">
        <v>6343</v>
      </c>
      <c r="AK1735" s="1" t="s">
        <v>265</v>
      </c>
      <c r="AL1735" s="1" t="s">
        <v>228</v>
      </c>
      <c r="AN1735" s="22" t="s">
        <v>9767</v>
      </c>
      <c r="AX1735" s="1">
        <v>0</v>
      </c>
      <c r="AZ1735" s="1">
        <v>0.1</v>
      </c>
      <c r="BC1735" s="1">
        <v>1</v>
      </c>
      <c r="BG1735" s="1" t="s">
        <v>6342</v>
      </c>
      <c r="BM1735" s="1" t="s">
        <v>6344</v>
      </c>
      <c r="BQ1735" s="1" t="s">
        <v>207</v>
      </c>
      <c r="BR1735" s="1" t="s">
        <v>208</v>
      </c>
      <c r="BS1735" s="1" t="s">
        <v>208</v>
      </c>
      <c r="BT1735" s="1" t="s">
        <v>207</v>
      </c>
      <c r="BX1735" s="1">
        <v>1</v>
      </c>
    </row>
    <row r="1736" spans="1:76" x14ac:dyDescent="0.25">
      <c r="A1736" s="1" t="s">
        <v>6345</v>
      </c>
      <c r="B1736" s="1" t="s">
        <v>203</v>
      </c>
      <c r="C1736" s="1">
        <v>1</v>
      </c>
      <c r="D1736" s="1" t="s">
        <v>6341</v>
      </c>
      <c r="E1736" s="1">
        <v>5506</v>
      </c>
      <c r="F1736" s="1" t="s">
        <v>6342</v>
      </c>
      <c r="G1736" s="1">
        <v>1</v>
      </c>
      <c r="L1736" s="1">
        <v>100</v>
      </c>
      <c r="N1736" s="1">
        <v>100</v>
      </c>
      <c r="P1736" s="1">
        <v>0</v>
      </c>
      <c r="R1736" s="1">
        <v>0</v>
      </c>
      <c r="Z1736" s="1">
        <v>0.05</v>
      </c>
      <c r="AA1736" s="1">
        <v>1</v>
      </c>
      <c r="AB1736" s="1">
        <v>0</v>
      </c>
      <c r="AC1736" s="1">
        <v>0</v>
      </c>
      <c r="AH1736" s="1">
        <v>0</v>
      </c>
      <c r="AI1736" s="1">
        <v>1</v>
      </c>
      <c r="AJ1736" s="1" t="s">
        <v>6346</v>
      </c>
      <c r="AK1736" s="1" t="s">
        <v>265</v>
      </c>
      <c r="AL1736" s="1" t="s">
        <v>228</v>
      </c>
      <c r="AN1736" s="22" t="s">
        <v>9767</v>
      </c>
      <c r="AX1736" s="1">
        <v>0</v>
      </c>
      <c r="AZ1736" s="1">
        <v>0.1</v>
      </c>
      <c r="BC1736" s="1">
        <v>1</v>
      </c>
      <c r="BG1736" s="1" t="s">
        <v>6342</v>
      </c>
      <c r="BM1736" s="1" t="s">
        <v>6344</v>
      </c>
      <c r="BQ1736" s="1" t="s">
        <v>4422</v>
      </c>
      <c r="BR1736" s="1" t="s">
        <v>4423</v>
      </c>
      <c r="BS1736" s="1" t="s">
        <v>4423</v>
      </c>
      <c r="BT1736" s="1" t="s">
        <v>4422</v>
      </c>
      <c r="BX1736" s="1">
        <v>1</v>
      </c>
    </row>
    <row r="1737" spans="1:76" x14ac:dyDescent="0.25">
      <c r="A1737" s="1" t="s">
        <v>6347</v>
      </c>
      <c r="B1737" s="1" t="s">
        <v>203</v>
      </c>
      <c r="C1737" s="1">
        <v>1</v>
      </c>
      <c r="D1737" s="1" t="s">
        <v>6341</v>
      </c>
      <c r="E1737" s="1">
        <v>5506</v>
      </c>
      <c r="F1737" s="1" t="s">
        <v>6342</v>
      </c>
      <c r="G1737" s="1">
        <v>1</v>
      </c>
      <c r="L1737" s="1">
        <v>100</v>
      </c>
      <c r="N1737" s="1">
        <v>100</v>
      </c>
      <c r="P1737" s="1">
        <v>0</v>
      </c>
      <c r="R1737" s="1">
        <v>0</v>
      </c>
      <c r="Z1737" s="1">
        <v>0.05</v>
      </c>
      <c r="AA1737" s="1">
        <v>1</v>
      </c>
      <c r="AB1737" s="1">
        <v>0</v>
      </c>
      <c r="AC1737" s="1">
        <v>0</v>
      </c>
      <c r="AH1737" s="1">
        <v>0</v>
      </c>
      <c r="AI1737" s="1">
        <v>1</v>
      </c>
      <c r="AJ1737" s="1" t="s">
        <v>6348</v>
      </c>
      <c r="AK1737" s="1" t="s">
        <v>265</v>
      </c>
      <c r="AL1737" s="1" t="s">
        <v>228</v>
      </c>
      <c r="AN1737" s="22" t="s">
        <v>9767</v>
      </c>
      <c r="AX1737" s="1">
        <v>0</v>
      </c>
      <c r="AZ1737" s="1">
        <v>0.1</v>
      </c>
      <c r="BC1737" s="1">
        <v>1</v>
      </c>
      <c r="BG1737" s="1" t="s">
        <v>6342</v>
      </c>
      <c r="BM1737" s="1" t="s">
        <v>6344</v>
      </c>
      <c r="BQ1737" s="1" t="s">
        <v>6349</v>
      </c>
      <c r="BR1737" s="1" t="s">
        <v>6350</v>
      </c>
      <c r="BS1737" s="1" t="s">
        <v>6350</v>
      </c>
      <c r="BT1737" s="1" t="s">
        <v>6349</v>
      </c>
      <c r="BX1737" s="1">
        <v>1</v>
      </c>
    </row>
    <row r="1738" spans="1:76" x14ac:dyDescent="0.25">
      <c r="A1738" s="1" t="s">
        <v>6351</v>
      </c>
      <c r="B1738" s="1" t="s">
        <v>203</v>
      </c>
      <c r="C1738" s="1">
        <v>1</v>
      </c>
      <c r="D1738" s="1" t="s">
        <v>6352</v>
      </c>
      <c r="E1738" s="1" t="s">
        <v>6353</v>
      </c>
      <c r="F1738" s="1" t="s">
        <v>6351</v>
      </c>
      <c r="G1738" s="1">
        <v>1</v>
      </c>
      <c r="L1738" s="1">
        <v>100</v>
      </c>
      <c r="N1738" s="1">
        <v>0</v>
      </c>
      <c r="P1738" s="1">
        <v>150</v>
      </c>
      <c r="R1738" s="1">
        <v>0</v>
      </c>
      <c r="Z1738" s="1">
        <v>0.05</v>
      </c>
      <c r="AA1738" s="1">
        <v>10</v>
      </c>
      <c r="AB1738" s="1">
        <v>0</v>
      </c>
      <c r="AC1738" s="1">
        <v>1</v>
      </c>
      <c r="AH1738" s="1">
        <v>0</v>
      </c>
      <c r="AI1738" s="1">
        <v>0</v>
      </c>
      <c r="AJ1738" s="1" t="s">
        <v>6354</v>
      </c>
      <c r="AK1738" s="1" t="s">
        <v>206</v>
      </c>
      <c r="AL1738" s="1" t="s">
        <v>228</v>
      </c>
      <c r="AN1738" s="22" t="s">
        <v>9767</v>
      </c>
      <c r="AX1738" s="1">
        <v>0</v>
      </c>
      <c r="AZ1738" s="1">
        <v>0.1</v>
      </c>
      <c r="BC1738" s="1">
        <v>1</v>
      </c>
      <c r="BG1738" s="1" t="s">
        <v>6351</v>
      </c>
      <c r="BM1738" s="1" t="s">
        <v>4678</v>
      </c>
      <c r="BQ1738" s="1" t="s">
        <v>207</v>
      </c>
      <c r="BR1738" s="1" t="s">
        <v>208</v>
      </c>
      <c r="BS1738" s="1" t="s">
        <v>229</v>
      </c>
      <c r="BT1738" s="1" t="s">
        <v>624</v>
      </c>
      <c r="BX1738" s="1">
        <v>1</v>
      </c>
    </row>
    <row r="1739" spans="1:76" x14ac:dyDescent="0.25">
      <c r="A1739" s="1" t="s">
        <v>6355</v>
      </c>
      <c r="B1739" s="1" t="s">
        <v>203</v>
      </c>
      <c r="C1739" s="1">
        <v>1</v>
      </c>
      <c r="D1739" s="1" t="s">
        <v>6356</v>
      </c>
      <c r="E1739" s="1">
        <v>6001</v>
      </c>
      <c r="F1739" s="1" t="s">
        <v>6355</v>
      </c>
      <c r="G1739" s="1">
        <v>1</v>
      </c>
      <c r="L1739" s="1">
        <v>22000</v>
      </c>
      <c r="N1739" s="1">
        <v>0</v>
      </c>
      <c r="P1739" s="1">
        <v>700</v>
      </c>
      <c r="R1739" s="1">
        <v>50</v>
      </c>
      <c r="Z1739" s="1">
        <v>0.05</v>
      </c>
      <c r="AA1739" s="1">
        <v>1</v>
      </c>
      <c r="AB1739" s="1">
        <v>1</v>
      </c>
      <c r="AC1739" s="1">
        <v>1</v>
      </c>
      <c r="AH1739" s="1">
        <v>0</v>
      </c>
      <c r="AI1739" s="1">
        <v>1</v>
      </c>
      <c r="AJ1739" s="1" t="s">
        <v>6357</v>
      </c>
      <c r="AK1739" s="1" t="s">
        <v>265</v>
      </c>
      <c r="AL1739" s="1" t="s">
        <v>228</v>
      </c>
      <c r="AN1739" s="22" t="s">
        <v>9767</v>
      </c>
      <c r="AX1739" s="1">
        <v>1</v>
      </c>
      <c r="AZ1739" s="1">
        <v>0.1</v>
      </c>
      <c r="BG1739" s="1" t="s">
        <v>6355</v>
      </c>
      <c r="BM1739" s="1" t="s">
        <v>3410</v>
      </c>
      <c r="BQ1739" s="1" t="s">
        <v>207</v>
      </c>
      <c r="BR1739" s="1" t="s">
        <v>208</v>
      </c>
      <c r="BS1739" s="1" t="s">
        <v>229</v>
      </c>
      <c r="BT1739" s="1" t="s">
        <v>210</v>
      </c>
      <c r="BX1739" s="1">
        <v>1</v>
      </c>
    </row>
    <row r="1740" spans="1:76" x14ac:dyDescent="0.25">
      <c r="A1740" s="1" t="s">
        <v>6358</v>
      </c>
      <c r="B1740" s="1" t="s">
        <v>203</v>
      </c>
      <c r="C1740" s="1">
        <v>1</v>
      </c>
      <c r="D1740" s="1" t="s">
        <v>6359</v>
      </c>
      <c r="E1740" s="1">
        <v>6002</v>
      </c>
      <c r="F1740" s="1" t="s">
        <v>6358</v>
      </c>
      <c r="G1740" s="1">
        <v>1</v>
      </c>
      <c r="L1740" s="1">
        <v>10000</v>
      </c>
      <c r="Z1740" s="1">
        <v>0.05</v>
      </c>
      <c r="AA1740" s="1">
        <v>1</v>
      </c>
      <c r="AC1740" s="1">
        <v>0.9</v>
      </c>
      <c r="AH1740" s="1">
        <v>0</v>
      </c>
      <c r="AI1740" s="1">
        <v>1</v>
      </c>
      <c r="AJ1740" s="1" t="s">
        <v>6360</v>
      </c>
      <c r="AK1740" s="1" t="s">
        <v>265</v>
      </c>
      <c r="AL1740" s="1" t="s">
        <v>228</v>
      </c>
      <c r="AN1740" s="22" t="s">
        <v>9767</v>
      </c>
      <c r="AX1740" s="1">
        <v>1</v>
      </c>
      <c r="AZ1740" s="1">
        <v>0.1</v>
      </c>
      <c r="BG1740" s="1" t="s">
        <v>6358</v>
      </c>
      <c r="BM1740" s="1" t="s">
        <v>888</v>
      </c>
      <c r="BQ1740" s="1" t="s">
        <v>207</v>
      </c>
      <c r="BR1740" s="1" t="s">
        <v>208</v>
      </c>
      <c r="BS1740" s="1" t="s">
        <v>229</v>
      </c>
      <c r="BT1740" s="1" t="s">
        <v>210</v>
      </c>
      <c r="BX1740" s="1">
        <v>1</v>
      </c>
    </row>
    <row r="1741" spans="1:76" x14ac:dyDescent="0.25">
      <c r="A1741" s="1" t="s">
        <v>6361</v>
      </c>
      <c r="B1741" s="1" t="s">
        <v>203</v>
      </c>
      <c r="C1741" s="1">
        <v>1</v>
      </c>
      <c r="D1741" s="1" t="s">
        <v>6362</v>
      </c>
      <c r="E1741" s="1">
        <v>6003</v>
      </c>
      <c r="F1741" s="1" t="s">
        <v>6361</v>
      </c>
      <c r="G1741" s="1">
        <v>1</v>
      </c>
      <c r="L1741" s="1">
        <v>10000</v>
      </c>
      <c r="Z1741" s="1">
        <v>0.05</v>
      </c>
      <c r="AA1741" s="1">
        <v>1</v>
      </c>
      <c r="AC1741" s="1">
        <v>0.85</v>
      </c>
      <c r="AH1741" s="1">
        <v>0</v>
      </c>
      <c r="AI1741" s="1">
        <v>1</v>
      </c>
      <c r="AJ1741" s="1" t="s">
        <v>6363</v>
      </c>
      <c r="AK1741" s="1" t="s">
        <v>265</v>
      </c>
      <c r="AL1741" s="1" t="s">
        <v>228</v>
      </c>
      <c r="AN1741" s="22" t="s">
        <v>9767</v>
      </c>
      <c r="AX1741" s="1">
        <v>1</v>
      </c>
      <c r="AZ1741" s="1">
        <v>0.1</v>
      </c>
      <c r="BG1741" s="1" t="s">
        <v>6361</v>
      </c>
      <c r="BM1741" s="1" t="s">
        <v>888</v>
      </c>
      <c r="BQ1741" s="1" t="s">
        <v>207</v>
      </c>
      <c r="BR1741" s="1" t="s">
        <v>208</v>
      </c>
      <c r="BS1741" s="1" t="s">
        <v>229</v>
      </c>
      <c r="BT1741" s="1" t="s">
        <v>210</v>
      </c>
      <c r="BX1741" s="1">
        <v>1</v>
      </c>
    </row>
    <row r="1742" spans="1:76" x14ac:dyDescent="0.25">
      <c r="A1742" s="1" t="s">
        <v>6364</v>
      </c>
      <c r="B1742" s="1" t="s">
        <v>203</v>
      </c>
      <c r="C1742" s="1">
        <v>1</v>
      </c>
      <c r="D1742" s="1" t="s">
        <v>6365</v>
      </c>
      <c r="E1742" s="1">
        <v>6004</v>
      </c>
      <c r="F1742" s="1" t="s">
        <v>6364</v>
      </c>
      <c r="G1742" s="1">
        <v>1</v>
      </c>
      <c r="L1742" s="1">
        <v>60000</v>
      </c>
      <c r="N1742" s="1">
        <v>1000</v>
      </c>
      <c r="P1742" s="1">
        <v>800</v>
      </c>
      <c r="R1742" s="1">
        <v>50</v>
      </c>
      <c r="Z1742" s="1">
        <v>0.05</v>
      </c>
      <c r="AA1742" s="1">
        <v>5</v>
      </c>
      <c r="AB1742" s="1">
        <v>6</v>
      </c>
      <c r="AC1742" s="1">
        <v>0.5</v>
      </c>
      <c r="AH1742" s="1">
        <v>0</v>
      </c>
      <c r="AI1742" s="1">
        <v>1</v>
      </c>
      <c r="AJ1742" s="1" t="s">
        <v>6366</v>
      </c>
      <c r="AK1742" s="1" t="s">
        <v>6367</v>
      </c>
      <c r="AL1742" s="1" t="s">
        <v>228</v>
      </c>
      <c r="AN1742" s="22" t="s">
        <v>9767</v>
      </c>
      <c r="AX1742" s="1">
        <v>3</v>
      </c>
      <c r="AZ1742" s="1">
        <v>0.1</v>
      </c>
      <c r="BG1742" s="1" t="s">
        <v>6364</v>
      </c>
      <c r="BM1742" s="1" t="s">
        <v>6368</v>
      </c>
      <c r="BQ1742" s="1" t="s">
        <v>207</v>
      </c>
      <c r="BR1742" s="1" t="s">
        <v>208</v>
      </c>
      <c r="BS1742" s="1" t="s">
        <v>229</v>
      </c>
      <c r="BT1742" s="1" t="s">
        <v>210</v>
      </c>
      <c r="BX1742" s="1">
        <v>1</v>
      </c>
    </row>
    <row r="1743" spans="1:76" x14ac:dyDescent="0.25">
      <c r="A1743" s="1" t="s">
        <v>6369</v>
      </c>
      <c r="B1743" s="1" t="s">
        <v>203</v>
      </c>
      <c r="C1743" s="1">
        <v>1</v>
      </c>
      <c r="D1743" s="1" t="s">
        <v>6370</v>
      </c>
      <c r="E1743" s="1">
        <v>6005</v>
      </c>
      <c r="F1743" s="1" t="s">
        <v>6369</v>
      </c>
      <c r="G1743" s="1">
        <v>1</v>
      </c>
      <c r="L1743" s="1">
        <v>58000</v>
      </c>
      <c r="N1743" s="1">
        <v>1800</v>
      </c>
      <c r="P1743" s="1">
        <v>1200</v>
      </c>
      <c r="R1743" s="1">
        <v>50</v>
      </c>
      <c r="Z1743" s="1">
        <v>0.05</v>
      </c>
      <c r="AA1743" s="1">
        <v>7</v>
      </c>
      <c r="AB1743" s="1">
        <v>6</v>
      </c>
      <c r="AC1743" s="1">
        <v>0.4</v>
      </c>
      <c r="AH1743" s="1">
        <v>0</v>
      </c>
      <c r="AI1743" s="1">
        <v>1</v>
      </c>
      <c r="AJ1743" s="1" t="s">
        <v>6371</v>
      </c>
      <c r="AK1743" s="1" t="s">
        <v>265</v>
      </c>
      <c r="AL1743" s="1" t="s">
        <v>228</v>
      </c>
      <c r="AN1743" s="22" t="s">
        <v>9767</v>
      </c>
      <c r="AX1743" s="1">
        <v>3</v>
      </c>
      <c r="AZ1743" s="1">
        <v>0.1</v>
      </c>
      <c r="BG1743" s="1" t="s">
        <v>6369</v>
      </c>
      <c r="BM1743" s="1" t="s">
        <v>1748</v>
      </c>
      <c r="BQ1743" s="1" t="s">
        <v>207</v>
      </c>
      <c r="BR1743" s="1" t="s">
        <v>208</v>
      </c>
      <c r="BS1743" s="1" t="s">
        <v>229</v>
      </c>
      <c r="BT1743" s="1" t="s">
        <v>210</v>
      </c>
      <c r="BX1743" s="1">
        <v>1</v>
      </c>
    </row>
    <row r="1744" spans="1:76" x14ac:dyDescent="0.25">
      <c r="A1744" s="1" t="s">
        <v>6372</v>
      </c>
      <c r="B1744" s="1" t="s">
        <v>203</v>
      </c>
      <c r="C1744" s="1">
        <v>1</v>
      </c>
      <c r="D1744" s="1" t="s">
        <v>6370</v>
      </c>
      <c r="E1744" s="1">
        <v>6005</v>
      </c>
      <c r="F1744" s="1" t="s">
        <v>6369</v>
      </c>
      <c r="G1744" s="1">
        <v>0.01</v>
      </c>
      <c r="L1744" s="1">
        <v>2000</v>
      </c>
      <c r="N1744" s="1">
        <v>0</v>
      </c>
      <c r="P1744" s="1">
        <v>1000</v>
      </c>
      <c r="R1744" s="1">
        <v>5</v>
      </c>
      <c r="Z1744" s="1">
        <v>0.05</v>
      </c>
      <c r="AA1744" s="1">
        <v>1</v>
      </c>
      <c r="AB1744" s="1">
        <v>6</v>
      </c>
      <c r="AC1744" s="1">
        <v>0</v>
      </c>
      <c r="AH1744" s="1">
        <v>0</v>
      </c>
      <c r="AI1744" s="1">
        <v>1</v>
      </c>
      <c r="AJ1744" s="1" t="s">
        <v>6373</v>
      </c>
      <c r="AK1744" s="1" t="s">
        <v>265</v>
      </c>
      <c r="AL1744" s="1" t="s">
        <v>228</v>
      </c>
      <c r="AN1744" s="22" t="s">
        <v>9767</v>
      </c>
      <c r="AX1744" s="1">
        <v>1</v>
      </c>
      <c r="AZ1744" s="1">
        <v>0.1</v>
      </c>
      <c r="BG1744" s="1" t="s">
        <v>6372</v>
      </c>
      <c r="BM1744" s="1" t="s">
        <v>6374</v>
      </c>
      <c r="BQ1744" s="1" t="s">
        <v>207</v>
      </c>
      <c r="BR1744" s="1" t="s">
        <v>208</v>
      </c>
      <c r="BS1744" s="1" t="s">
        <v>229</v>
      </c>
      <c r="BT1744" s="1" t="s">
        <v>210</v>
      </c>
      <c r="BX1744" s="1">
        <v>1</v>
      </c>
    </row>
    <row r="1745" spans="1:76" x14ac:dyDescent="0.25">
      <c r="A1745" s="1" t="s">
        <v>6375</v>
      </c>
      <c r="B1745" s="1" t="s">
        <v>203</v>
      </c>
      <c r="C1745" s="1">
        <v>1</v>
      </c>
      <c r="D1745" s="1" t="s">
        <v>6376</v>
      </c>
      <c r="E1745" s="1">
        <v>6007</v>
      </c>
      <c r="F1745" s="1" t="s">
        <v>6375</v>
      </c>
      <c r="G1745" s="1">
        <v>1</v>
      </c>
      <c r="L1745" s="1">
        <v>50000</v>
      </c>
      <c r="N1745" s="1">
        <v>1000</v>
      </c>
      <c r="P1745" s="1">
        <v>1500</v>
      </c>
      <c r="R1745" s="1">
        <v>40</v>
      </c>
      <c r="Z1745" s="1">
        <v>0.05</v>
      </c>
      <c r="AA1745" s="1">
        <v>2</v>
      </c>
      <c r="AB1745" s="1">
        <v>6</v>
      </c>
      <c r="AC1745" s="1">
        <v>0.5</v>
      </c>
      <c r="AH1745" s="1">
        <v>0</v>
      </c>
      <c r="AI1745" s="1">
        <v>1</v>
      </c>
      <c r="AJ1745" s="1" t="s">
        <v>6377</v>
      </c>
      <c r="AK1745" s="1" t="s">
        <v>265</v>
      </c>
      <c r="AL1745" s="1" t="s">
        <v>228</v>
      </c>
      <c r="AN1745" s="22" t="s">
        <v>9767</v>
      </c>
      <c r="AX1745" s="1">
        <v>3</v>
      </c>
      <c r="AZ1745" s="1">
        <v>0.1</v>
      </c>
      <c r="BG1745" s="1" t="s">
        <v>6375</v>
      </c>
      <c r="BM1745" s="1" t="s">
        <v>6368</v>
      </c>
      <c r="BQ1745" s="1" t="s">
        <v>207</v>
      </c>
      <c r="BR1745" s="1" t="s">
        <v>208</v>
      </c>
      <c r="BS1745" s="1" t="s">
        <v>229</v>
      </c>
      <c r="BT1745" s="1" t="s">
        <v>210</v>
      </c>
      <c r="BX1745" s="1">
        <v>1</v>
      </c>
    </row>
    <row r="1746" spans="1:76" x14ac:dyDescent="0.25">
      <c r="A1746" s="1" t="s">
        <v>6378</v>
      </c>
      <c r="B1746" s="1" t="s">
        <v>203</v>
      </c>
      <c r="C1746" s="1">
        <v>1</v>
      </c>
      <c r="D1746" s="1" t="s">
        <v>6379</v>
      </c>
      <c r="E1746" s="1">
        <v>6008</v>
      </c>
      <c r="F1746" s="1" t="s">
        <v>6378</v>
      </c>
      <c r="G1746" s="1">
        <v>1.2</v>
      </c>
      <c r="L1746" s="1">
        <v>3200</v>
      </c>
      <c r="N1746" s="1">
        <v>260</v>
      </c>
      <c r="P1746" s="1">
        <v>1200</v>
      </c>
      <c r="R1746" s="1">
        <v>0</v>
      </c>
      <c r="Z1746" s="1">
        <v>0.05</v>
      </c>
      <c r="AA1746" s="1">
        <v>2</v>
      </c>
      <c r="AB1746" s="1">
        <v>1</v>
      </c>
      <c r="AC1746" s="1">
        <v>1.2</v>
      </c>
      <c r="AH1746" s="1">
        <v>0</v>
      </c>
      <c r="AI1746" s="1">
        <v>1</v>
      </c>
      <c r="AJ1746" s="1" t="s">
        <v>6380</v>
      </c>
      <c r="AK1746" s="1" t="s">
        <v>265</v>
      </c>
      <c r="AL1746" s="1" t="s">
        <v>228</v>
      </c>
      <c r="AN1746" s="22" t="s">
        <v>9767</v>
      </c>
      <c r="AX1746" s="1">
        <v>1</v>
      </c>
      <c r="AZ1746" s="1">
        <v>0.1</v>
      </c>
      <c r="BG1746" s="1" t="s">
        <v>6378</v>
      </c>
      <c r="BM1746" s="1" t="s">
        <v>6381</v>
      </c>
      <c r="BQ1746" s="1" t="s">
        <v>207</v>
      </c>
      <c r="BR1746" s="1" t="s">
        <v>208</v>
      </c>
      <c r="BS1746" s="1" t="s">
        <v>229</v>
      </c>
      <c r="BT1746" s="1" t="s">
        <v>210</v>
      </c>
      <c r="BX1746" s="1">
        <v>1</v>
      </c>
    </row>
    <row r="1747" spans="1:76" x14ac:dyDescent="0.25">
      <c r="A1747" s="1" t="s">
        <v>6382</v>
      </c>
      <c r="B1747" s="1" t="s">
        <v>203</v>
      </c>
      <c r="C1747" s="1">
        <v>1</v>
      </c>
      <c r="D1747" s="1" t="s">
        <v>6383</v>
      </c>
      <c r="E1747" s="1">
        <v>6009</v>
      </c>
      <c r="F1747" s="1" t="s">
        <v>6382</v>
      </c>
      <c r="G1747" s="1">
        <v>1</v>
      </c>
      <c r="L1747" s="1">
        <v>50000</v>
      </c>
      <c r="N1747" s="1">
        <v>1050</v>
      </c>
      <c r="P1747" s="1">
        <v>1050</v>
      </c>
      <c r="R1747" s="1">
        <v>60</v>
      </c>
      <c r="Z1747" s="1">
        <v>0.05</v>
      </c>
      <c r="AA1747" s="1">
        <v>3.7</v>
      </c>
      <c r="AB1747" s="1">
        <v>8</v>
      </c>
      <c r="AC1747" s="1">
        <v>0.5</v>
      </c>
      <c r="AH1747" s="1">
        <v>0</v>
      </c>
      <c r="AI1747" s="1">
        <v>1</v>
      </c>
      <c r="AJ1747" s="1" t="s">
        <v>6384</v>
      </c>
      <c r="AK1747" s="1" t="s">
        <v>265</v>
      </c>
      <c r="AL1747" s="1" t="s">
        <v>228</v>
      </c>
      <c r="AN1747" s="22" t="s">
        <v>9767</v>
      </c>
      <c r="AX1747" s="1">
        <v>3</v>
      </c>
      <c r="AZ1747" s="1">
        <v>0.1</v>
      </c>
      <c r="BG1747" s="1" t="s">
        <v>6382</v>
      </c>
      <c r="BM1747" s="1" t="s">
        <v>6385</v>
      </c>
      <c r="BQ1747" s="1" t="s">
        <v>207</v>
      </c>
      <c r="BR1747" s="1" t="s">
        <v>208</v>
      </c>
      <c r="BS1747" s="1" t="s">
        <v>229</v>
      </c>
      <c r="BT1747" s="1" t="s">
        <v>210</v>
      </c>
      <c r="BX1747" s="1">
        <v>5.133</v>
      </c>
    </row>
    <row r="1748" spans="1:76" x14ac:dyDescent="0.25">
      <c r="A1748" s="1" t="s">
        <v>6386</v>
      </c>
      <c r="B1748" s="1" t="s">
        <v>203</v>
      </c>
      <c r="C1748" s="1">
        <v>1</v>
      </c>
      <c r="D1748" s="1" t="s">
        <v>6387</v>
      </c>
      <c r="E1748" s="1">
        <v>6010</v>
      </c>
      <c r="F1748" s="1" t="s">
        <v>6386</v>
      </c>
      <c r="G1748" s="1">
        <v>1</v>
      </c>
      <c r="L1748" s="1">
        <v>60000</v>
      </c>
      <c r="N1748" s="1">
        <v>1200</v>
      </c>
      <c r="P1748" s="1">
        <v>1000</v>
      </c>
      <c r="R1748" s="1">
        <v>30</v>
      </c>
      <c r="Z1748" s="1">
        <v>0.05</v>
      </c>
      <c r="AA1748" s="1">
        <v>4</v>
      </c>
      <c r="AB1748" s="1">
        <v>8</v>
      </c>
      <c r="AC1748" s="1">
        <v>0.6</v>
      </c>
      <c r="AH1748" s="1">
        <v>0</v>
      </c>
      <c r="AI1748" s="1">
        <v>1</v>
      </c>
      <c r="AJ1748" s="1" t="s">
        <v>6388</v>
      </c>
      <c r="AK1748" s="1" t="s">
        <v>265</v>
      </c>
      <c r="AL1748" s="1" t="s">
        <v>228</v>
      </c>
      <c r="AN1748" s="22" t="s">
        <v>9767</v>
      </c>
      <c r="AX1748" s="1">
        <v>3</v>
      </c>
      <c r="AZ1748" s="1">
        <v>0.1</v>
      </c>
      <c r="BG1748" s="1" t="s">
        <v>6386</v>
      </c>
      <c r="BM1748" s="1" t="s">
        <v>996</v>
      </c>
      <c r="BQ1748" s="1" t="s">
        <v>207</v>
      </c>
      <c r="BR1748" s="1" t="s">
        <v>208</v>
      </c>
      <c r="BS1748" s="1" t="s">
        <v>229</v>
      </c>
      <c r="BT1748" s="1" t="s">
        <v>3196</v>
      </c>
      <c r="BX1748" s="1">
        <v>1</v>
      </c>
    </row>
    <row r="1749" spans="1:76" x14ac:dyDescent="0.25">
      <c r="A1749" s="1" t="s">
        <v>6389</v>
      </c>
      <c r="B1749" s="1" t="s">
        <v>203</v>
      </c>
      <c r="C1749" s="1">
        <v>1</v>
      </c>
      <c r="D1749" s="1" t="s">
        <v>6390</v>
      </c>
      <c r="E1749" s="1">
        <v>6011</v>
      </c>
      <c r="F1749" s="1" t="s">
        <v>6389</v>
      </c>
      <c r="G1749" s="1">
        <v>1</v>
      </c>
      <c r="L1749" s="1">
        <v>100000</v>
      </c>
      <c r="N1749" s="1">
        <v>1000</v>
      </c>
      <c r="P1749" s="1">
        <v>400</v>
      </c>
      <c r="R1749" s="1">
        <v>30</v>
      </c>
      <c r="Z1749" s="1">
        <v>0.05</v>
      </c>
      <c r="AA1749" s="1">
        <v>4</v>
      </c>
      <c r="AB1749" s="1">
        <v>4</v>
      </c>
      <c r="AC1749" s="1">
        <v>0.4</v>
      </c>
      <c r="AH1749" s="1">
        <v>0</v>
      </c>
      <c r="AI1749" s="1">
        <v>1</v>
      </c>
      <c r="AJ1749" s="1" t="s">
        <v>6391</v>
      </c>
      <c r="AK1749" s="1" t="s">
        <v>265</v>
      </c>
      <c r="AL1749" s="1" t="s">
        <v>228</v>
      </c>
      <c r="AN1749" s="22" t="s">
        <v>9767</v>
      </c>
      <c r="AX1749" s="1">
        <v>3</v>
      </c>
      <c r="AZ1749" s="1">
        <v>0.1</v>
      </c>
      <c r="BG1749" s="1" t="s">
        <v>6389</v>
      </c>
      <c r="BM1749" s="1" t="s">
        <v>1282</v>
      </c>
      <c r="BQ1749" s="1" t="s">
        <v>3328</v>
      </c>
      <c r="BR1749" s="1" t="s">
        <v>1935</v>
      </c>
      <c r="BS1749" s="1" t="s">
        <v>1936</v>
      </c>
      <c r="BT1749" s="1" t="s">
        <v>3329</v>
      </c>
      <c r="BX1749" s="1">
        <v>1</v>
      </c>
    </row>
    <row r="1750" spans="1:76" x14ac:dyDescent="0.25">
      <c r="A1750" s="1" t="s">
        <v>6392</v>
      </c>
      <c r="B1750" s="1" t="s">
        <v>203</v>
      </c>
      <c r="C1750" s="1">
        <v>1</v>
      </c>
      <c r="D1750" s="1" t="s">
        <v>6393</v>
      </c>
      <c r="E1750" s="1">
        <v>6012</v>
      </c>
      <c r="F1750" s="1" t="s">
        <v>6392</v>
      </c>
      <c r="G1750" s="1">
        <v>1.5</v>
      </c>
      <c r="L1750" s="1">
        <v>3000</v>
      </c>
      <c r="N1750" s="1">
        <v>350</v>
      </c>
      <c r="P1750" s="1">
        <v>200</v>
      </c>
      <c r="R1750" s="1">
        <v>10</v>
      </c>
      <c r="Z1750" s="1">
        <v>0.05</v>
      </c>
      <c r="AA1750" s="1">
        <v>1.7</v>
      </c>
      <c r="AB1750" s="1">
        <v>0</v>
      </c>
      <c r="AC1750" s="1">
        <v>0.8</v>
      </c>
      <c r="AH1750" s="1">
        <v>0</v>
      </c>
      <c r="AI1750" s="1">
        <v>1</v>
      </c>
      <c r="AJ1750" s="1" t="s">
        <v>6394</v>
      </c>
      <c r="AK1750" s="1" t="s">
        <v>265</v>
      </c>
      <c r="AL1750" s="1" t="s">
        <v>228</v>
      </c>
      <c r="AN1750" s="22" t="s">
        <v>9767</v>
      </c>
      <c r="AX1750" s="1">
        <v>1</v>
      </c>
      <c r="AZ1750" s="1">
        <v>0.1</v>
      </c>
      <c r="BG1750" s="1" t="s">
        <v>6392</v>
      </c>
      <c r="BM1750" s="1" t="s">
        <v>888</v>
      </c>
      <c r="BQ1750" s="1" t="s">
        <v>207</v>
      </c>
      <c r="BR1750" s="1" t="s">
        <v>208</v>
      </c>
      <c r="BS1750" s="1" t="s">
        <v>229</v>
      </c>
      <c r="BT1750" s="1" t="s">
        <v>210</v>
      </c>
      <c r="BX1750" s="1">
        <v>1</v>
      </c>
    </row>
    <row r="1751" spans="1:76" x14ac:dyDescent="0.25">
      <c r="A1751" s="1" t="s">
        <v>6395</v>
      </c>
      <c r="B1751" s="1" t="s">
        <v>203</v>
      </c>
      <c r="C1751" s="1">
        <v>1</v>
      </c>
      <c r="D1751" s="1" t="s">
        <v>6396</v>
      </c>
      <c r="E1751" s="1">
        <v>6013</v>
      </c>
      <c r="F1751" s="1" t="s">
        <v>6395</v>
      </c>
      <c r="G1751" s="1">
        <v>1</v>
      </c>
      <c r="L1751" s="1">
        <v>48000</v>
      </c>
      <c r="N1751" s="1">
        <v>1000</v>
      </c>
      <c r="P1751" s="1">
        <v>1000</v>
      </c>
      <c r="R1751" s="1">
        <v>30</v>
      </c>
      <c r="Z1751" s="1">
        <v>0.05</v>
      </c>
      <c r="AA1751" s="1">
        <v>4.5</v>
      </c>
      <c r="AB1751" s="1">
        <v>4</v>
      </c>
      <c r="AC1751" s="1">
        <v>0.5</v>
      </c>
      <c r="AH1751" s="1">
        <v>0</v>
      </c>
      <c r="AI1751" s="1">
        <v>1</v>
      </c>
      <c r="AJ1751" s="1" t="s">
        <v>6397</v>
      </c>
      <c r="AK1751" s="1" t="s">
        <v>265</v>
      </c>
      <c r="AL1751" s="1" t="s">
        <v>228</v>
      </c>
      <c r="AN1751" s="22" t="s">
        <v>9767</v>
      </c>
      <c r="AX1751" s="1">
        <v>1</v>
      </c>
      <c r="AZ1751" s="1">
        <v>0.1</v>
      </c>
      <c r="BG1751" s="1" t="s">
        <v>6395</v>
      </c>
      <c r="BM1751" s="1" t="s">
        <v>996</v>
      </c>
      <c r="BQ1751" s="1" t="s">
        <v>207</v>
      </c>
      <c r="BR1751" s="1" t="s">
        <v>208</v>
      </c>
      <c r="BS1751" s="1" t="s">
        <v>229</v>
      </c>
      <c r="BT1751" s="1" t="s">
        <v>210</v>
      </c>
      <c r="BX1751" s="1">
        <v>1</v>
      </c>
    </row>
    <row r="1752" spans="1:76" x14ac:dyDescent="0.25">
      <c r="A1752" s="1" t="s">
        <v>6398</v>
      </c>
      <c r="B1752" s="1" t="s">
        <v>203</v>
      </c>
      <c r="D1752" s="1" t="s">
        <v>6399</v>
      </c>
      <c r="E1752" s="1">
        <v>113</v>
      </c>
      <c r="F1752" s="1" t="s">
        <v>6398</v>
      </c>
      <c r="G1752" s="1">
        <v>1</v>
      </c>
      <c r="L1752" s="1">
        <v>8000</v>
      </c>
      <c r="N1752" s="1">
        <v>0</v>
      </c>
      <c r="P1752" s="1">
        <v>1000</v>
      </c>
      <c r="R1752" s="1">
        <v>0</v>
      </c>
      <c r="Z1752" s="1">
        <v>0.05</v>
      </c>
      <c r="AA1752" s="1">
        <v>5</v>
      </c>
      <c r="AB1752" s="1">
        <v>10</v>
      </c>
      <c r="AC1752" s="1">
        <v>0</v>
      </c>
      <c r="AH1752" s="1">
        <v>-1</v>
      </c>
      <c r="AI1752" s="1">
        <v>1</v>
      </c>
      <c r="AJ1752" s="1" t="s">
        <v>6400</v>
      </c>
      <c r="AK1752" s="1" t="s">
        <v>265</v>
      </c>
      <c r="AL1752" s="1" t="s">
        <v>228</v>
      </c>
      <c r="AN1752" s="22" t="s">
        <v>9767</v>
      </c>
      <c r="AX1752" s="1">
        <v>0</v>
      </c>
      <c r="AZ1752" s="1">
        <v>0.1</v>
      </c>
      <c r="BG1752" s="1" t="s">
        <v>6395</v>
      </c>
      <c r="BM1752" s="1" t="s">
        <v>6255</v>
      </c>
      <c r="BQ1752" s="1" t="s">
        <v>207</v>
      </c>
      <c r="BR1752" s="1" t="s">
        <v>208</v>
      </c>
      <c r="BS1752" s="1" t="s">
        <v>208</v>
      </c>
      <c r="BT1752" s="1" t="s">
        <v>210</v>
      </c>
      <c r="BX1752" s="1">
        <v>1</v>
      </c>
    </row>
    <row r="1753" spans="1:76" x14ac:dyDescent="0.25">
      <c r="A1753" s="1" t="s">
        <v>6401</v>
      </c>
      <c r="B1753" s="1" t="s">
        <v>203</v>
      </c>
      <c r="D1753" s="1" t="s">
        <v>6402</v>
      </c>
      <c r="E1753" s="1">
        <v>6014</v>
      </c>
      <c r="F1753" s="1" t="s">
        <v>6401</v>
      </c>
      <c r="G1753" s="1">
        <v>1</v>
      </c>
      <c r="L1753" s="1">
        <v>50000</v>
      </c>
      <c r="N1753" s="1">
        <v>0</v>
      </c>
      <c r="P1753" s="1">
        <v>600</v>
      </c>
      <c r="R1753" s="1">
        <v>30</v>
      </c>
      <c r="Z1753" s="1">
        <v>0.05</v>
      </c>
      <c r="AA1753" s="1">
        <v>1</v>
      </c>
      <c r="AB1753" s="1">
        <v>2</v>
      </c>
      <c r="AC1753" s="1">
        <v>0.3</v>
      </c>
      <c r="AH1753" s="1">
        <v>0</v>
      </c>
      <c r="AI1753" s="1">
        <v>1</v>
      </c>
      <c r="AJ1753" s="1" t="s">
        <v>6403</v>
      </c>
      <c r="AK1753" s="1" t="s">
        <v>265</v>
      </c>
      <c r="AL1753" s="1" t="s">
        <v>228</v>
      </c>
      <c r="AN1753" s="22" t="s">
        <v>9767</v>
      </c>
      <c r="AP1753" s="1">
        <v>1</v>
      </c>
      <c r="AX1753" s="1">
        <v>1</v>
      </c>
      <c r="AZ1753" s="1">
        <v>0.1</v>
      </c>
      <c r="BG1753" s="1" t="s">
        <v>6401</v>
      </c>
      <c r="BM1753" s="1" t="s">
        <v>3339</v>
      </c>
      <c r="BQ1753" s="1" t="s">
        <v>207</v>
      </c>
      <c r="BR1753" s="1" t="s">
        <v>208</v>
      </c>
      <c r="BS1753" s="1" t="s">
        <v>229</v>
      </c>
      <c r="BT1753" s="1" t="s">
        <v>210</v>
      </c>
      <c r="BX1753" s="1">
        <v>1</v>
      </c>
    </row>
    <row r="1754" spans="1:76" x14ac:dyDescent="0.25">
      <c r="A1754" s="1" t="s">
        <v>6404</v>
      </c>
      <c r="B1754" s="1" t="s">
        <v>809</v>
      </c>
      <c r="F1754" s="1" t="s">
        <v>6405</v>
      </c>
      <c r="G1754" s="1">
        <v>1</v>
      </c>
      <c r="L1754" s="1">
        <v>100</v>
      </c>
      <c r="N1754" s="1">
        <v>0</v>
      </c>
      <c r="Z1754" s="1">
        <v>0.05</v>
      </c>
      <c r="AA1754" s="1">
        <v>1</v>
      </c>
      <c r="AB1754" s="1">
        <v>0</v>
      </c>
      <c r="AH1754" s="1">
        <v>0</v>
      </c>
      <c r="AI1754" s="1">
        <v>2</v>
      </c>
      <c r="AJ1754" s="1" t="s">
        <v>6406</v>
      </c>
      <c r="AL1754" s="1" t="s">
        <v>228</v>
      </c>
      <c r="AN1754" s="22" t="s">
        <v>9767</v>
      </c>
      <c r="AZ1754" s="1">
        <v>0.1</v>
      </c>
      <c r="BM1754" s="1" t="s">
        <v>6407</v>
      </c>
      <c r="BN1754" s="1" t="s">
        <v>6408</v>
      </c>
      <c r="BQ1754" s="1" t="s">
        <v>207</v>
      </c>
      <c r="BR1754" s="1" t="s">
        <v>208</v>
      </c>
      <c r="BX1754" s="1">
        <v>1</v>
      </c>
    </row>
    <row r="1755" spans="1:76" x14ac:dyDescent="0.25">
      <c r="A1755" s="1" t="s">
        <v>6409</v>
      </c>
      <c r="B1755" s="1" t="s">
        <v>203</v>
      </c>
      <c r="C1755" s="1">
        <v>1</v>
      </c>
      <c r="D1755" s="1" t="s">
        <v>6410</v>
      </c>
      <c r="E1755" s="1">
        <v>6015</v>
      </c>
      <c r="F1755" s="1" t="s">
        <v>6409</v>
      </c>
      <c r="G1755" s="1">
        <v>1</v>
      </c>
      <c r="L1755" s="1">
        <v>80000</v>
      </c>
      <c r="N1755" s="1">
        <v>1100</v>
      </c>
      <c r="P1755" s="1">
        <v>1400</v>
      </c>
      <c r="R1755" s="1">
        <v>60</v>
      </c>
      <c r="Z1755" s="1">
        <v>0.05</v>
      </c>
      <c r="AA1755" s="1">
        <v>5</v>
      </c>
      <c r="AB1755" s="1">
        <v>5</v>
      </c>
      <c r="AC1755" s="1">
        <v>1.3</v>
      </c>
      <c r="AH1755" s="1">
        <v>0</v>
      </c>
      <c r="AI1755" s="1">
        <v>1</v>
      </c>
      <c r="AJ1755" s="1" t="s">
        <v>6411</v>
      </c>
      <c r="AK1755" s="1" t="s">
        <v>265</v>
      </c>
      <c r="AL1755" s="1" t="s">
        <v>228</v>
      </c>
      <c r="AN1755" s="22" t="s">
        <v>9767</v>
      </c>
      <c r="AX1755" s="1">
        <v>2</v>
      </c>
      <c r="AZ1755" s="1">
        <v>0.1</v>
      </c>
      <c r="BG1755" s="1" t="s">
        <v>6409</v>
      </c>
      <c r="BM1755" s="1" t="s">
        <v>6412</v>
      </c>
      <c r="BQ1755" s="1" t="s">
        <v>207</v>
      </c>
      <c r="BR1755" s="1" t="s">
        <v>208</v>
      </c>
      <c r="BS1755" s="1" t="s">
        <v>229</v>
      </c>
      <c r="BT1755" s="1" t="s">
        <v>210</v>
      </c>
      <c r="BX1755" s="1">
        <v>1</v>
      </c>
    </row>
    <row r="1756" spans="1:76" x14ac:dyDescent="0.25">
      <c r="A1756" s="1" t="s">
        <v>6413</v>
      </c>
      <c r="B1756" s="1" t="s">
        <v>203</v>
      </c>
      <c r="C1756" s="1">
        <v>1</v>
      </c>
      <c r="D1756" s="1" t="s">
        <v>6414</v>
      </c>
      <c r="E1756" s="1">
        <v>6016</v>
      </c>
      <c r="F1756" s="1" t="s">
        <v>6413</v>
      </c>
      <c r="G1756" s="1">
        <v>1</v>
      </c>
      <c r="L1756" s="1">
        <v>85000</v>
      </c>
      <c r="N1756" s="1">
        <v>500</v>
      </c>
      <c r="P1756" s="1">
        <v>1950</v>
      </c>
      <c r="R1756" s="1">
        <v>95</v>
      </c>
      <c r="Z1756" s="1">
        <v>0.05</v>
      </c>
      <c r="AA1756" s="1">
        <v>2.7</v>
      </c>
      <c r="AB1756" s="1">
        <v>5</v>
      </c>
      <c r="AC1756" s="1">
        <v>0.2</v>
      </c>
      <c r="AH1756" s="1">
        <v>0</v>
      </c>
      <c r="AI1756" s="1">
        <v>1</v>
      </c>
      <c r="AJ1756" s="1" t="s">
        <v>6415</v>
      </c>
      <c r="AK1756" s="1" t="s">
        <v>265</v>
      </c>
      <c r="AL1756" s="1" t="s">
        <v>228</v>
      </c>
      <c r="AN1756" s="22" t="s">
        <v>9767</v>
      </c>
      <c r="AX1756" s="1">
        <v>2</v>
      </c>
      <c r="AZ1756" s="1">
        <v>0.1</v>
      </c>
      <c r="BG1756" s="1" t="s">
        <v>6413</v>
      </c>
      <c r="BM1756" s="1" t="s">
        <v>5808</v>
      </c>
      <c r="BQ1756" s="1" t="s">
        <v>207</v>
      </c>
      <c r="BR1756" s="1" t="s">
        <v>208</v>
      </c>
      <c r="BS1756" s="1" t="s">
        <v>229</v>
      </c>
      <c r="BT1756" s="1" t="s">
        <v>210</v>
      </c>
      <c r="BX1756" s="1">
        <v>1</v>
      </c>
    </row>
    <row r="1757" spans="1:76" x14ac:dyDescent="0.25">
      <c r="A1757" s="1" t="s">
        <v>6416</v>
      </c>
      <c r="B1757" s="1" t="s">
        <v>203</v>
      </c>
      <c r="C1757" s="1">
        <v>1</v>
      </c>
      <c r="D1757" s="1" t="s">
        <v>6417</v>
      </c>
      <c r="E1757" s="1">
        <v>6017</v>
      </c>
      <c r="F1757" s="1" t="s">
        <v>6416</v>
      </c>
      <c r="G1757" s="1">
        <v>1.5</v>
      </c>
      <c r="L1757" s="1">
        <v>12000</v>
      </c>
      <c r="N1757" s="1">
        <v>0</v>
      </c>
      <c r="P1757" s="1">
        <v>500</v>
      </c>
      <c r="R1757" s="1">
        <v>40</v>
      </c>
      <c r="Z1757" s="1">
        <v>0.05</v>
      </c>
      <c r="AA1757" s="1">
        <v>1</v>
      </c>
      <c r="AB1757" s="1">
        <v>1</v>
      </c>
      <c r="AC1757" s="1">
        <v>0</v>
      </c>
      <c r="AH1757" s="1">
        <v>0</v>
      </c>
      <c r="AI1757" s="1">
        <v>1</v>
      </c>
      <c r="AJ1757" s="1" t="s">
        <v>6418</v>
      </c>
      <c r="AK1757" s="1" t="s">
        <v>265</v>
      </c>
      <c r="AL1757" s="1" t="s">
        <v>228</v>
      </c>
      <c r="AN1757" s="22" t="s">
        <v>9767</v>
      </c>
      <c r="AP1757" s="1">
        <v>0.8</v>
      </c>
      <c r="AX1757" s="1">
        <v>0</v>
      </c>
      <c r="AZ1757" s="1">
        <v>0.1</v>
      </c>
      <c r="BG1757" s="1" t="s">
        <v>6416</v>
      </c>
      <c r="BM1757" s="1" t="s">
        <v>3922</v>
      </c>
      <c r="BQ1757" s="1" t="s">
        <v>207</v>
      </c>
      <c r="BR1757" s="1" t="s">
        <v>208</v>
      </c>
      <c r="BS1757" s="1" t="s">
        <v>208</v>
      </c>
      <c r="BT1757" s="1" t="s">
        <v>210</v>
      </c>
      <c r="BX1757" s="1">
        <v>1</v>
      </c>
    </row>
    <row r="1758" spans="1:76" x14ac:dyDescent="0.25">
      <c r="A1758" s="1" t="s">
        <v>6419</v>
      </c>
      <c r="B1758" s="1" t="s">
        <v>203</v>
      </c>
      <c r="D1758" s="1" t="s">
        <v>6420</v>
      </c>
      <c r="E1758" s="1">
        <v>6018</v>
      </c>
      <c r="F1758" s="1" t="s">
        <v>6419</v>
      </c>
      <c r="G1758" s="1">
        <v>1</v>
      </c>
      <c r="L1758" s="1">
        <v>96000</v>
      </c>
      <c r="N1758" s="1">
        <v>300</v>
      </c>
      <c r="P1758" s="1">
        <v>605</v>
      </c>
      <c r="R1758" s="1">
        <v>65</v>
      </c>
      <c r="Z1758" s="1">
        <v>0.05</v>
      </c>
      <c r="AA1758" s="1">
        <v>5</v>
      </c>
      <c r="AB1758" s="1">
        <v>5</v>
      </c>
      <c r="AC1758" s="1">
        <v>0.4</v>
      </c>
      <c r="AH1758" s="1">
        <v>0</v>
      </c>
      <c r="AI1758" s="1">
        <v>1</v>
      </c>
      <c r="AJ1758" s="1" t="s">
        <v>6421</v>
      </c>
      <c r="AK1758" s="1" t="s">
        <v>6422</v>
      </c>
      <c r="AL1758" s="1" t="s">
        <v>228</v>
      </c>
      <c r="AN1758" s="22" t="s">
        <v>9767</v>
      </c>
      <c r="AP1758" s="1">
        <v>1</v>
      </c>
      <c r="AX1758" s="1">
        <v>3</v>
      </c>
      <c r="AZ1758" s="1">
        <v>0.1</v>
      </c>
      <c r="BG1758" s="1" t="s">
        <v>6419</v>
      </c>
      <c r="BM1758" s="1" t="s">
        <v>6423</v>
      </c>
      <c r="BQ1758" s="1" t="s">
        <v>207</v>
      </c>
      <c r="BR1758" s="1" t="s">
        <v>208</v>
      </c>
      <c r="BS1758" s="1" t="s">
        <v>229</v>
      </c>
      <c r="BT1758" s="1" t="s">
        <v>210</v>
      </c>
      <c r="BX1758" s="1">
        <v>1</v>
      </c>
    </row>
    <row r="1759" spans="1:76" x14ac:dyDescent="0.25">
      <c r="A1759" s="1" t="s">
        <v>6424</v>
      </c>
      <c r="B1759" s="1" t="s">
        <v>203</v>
      </c>
      <c r="D1759" s="1" t="s">
        <v>6425</v>
      </c>
      <c r="E1759" s="1">
        <v>6019</v>
      </c>
      <c r="F1759" s="1" t="s">
        <v>6424</v>
      </c>
      <c r="G1759" s="1">
        <v>1</v>
      </c>
      <c r="L1759" s="1">
        <v>6500</v>
      </c>
      <c r="N1759" s="1">
        <v>340</v>
      </c>
      <c r="P1759" s="1">
        <v>250</v>
      </c>
      <c r="R1759" s="1">
        <v>50</v>
      </c>
      <c r="Z1759" s="1">
        <v>0.05</v>
      </c>
      <c r="AA1759" s="1">
        <v>4.5</v>
      </c>
      <c r="AB1759" s="1">
        <v>2</v>
      </c>
      <c r="AC1759" s="1">
        <v>0.5</v>
      </c>
      <c r="AH1759" s="1">
        <v>0</v>
      </c>
      <c r="AI1759" s="1">
        <v>1</v>
      </c>
      <c r="AJ1759" s="1" t="s">
        <v>6426</v>
      </c>
      <c r="AK1759" s="1" t="s">
        <v>3494</v>
      </c>
      <c r="AL1759" s="1" t="s">
        <v>228</v>
      </c>
      <c r="AN1759" s="22" t="s">
        <v>9767</v>
      </c>
      <c r="AP1759" s="1">
        <v>1</v>
      </c>
      <c r="AX1759" s="1">
        <v>1</v>
      </c>
      <c r="AZ1759" s="1">
        <v>0.1</v>
      </c>
      <c r="BG1759" s="1" t="s">
        <v>6424</v>
      </c>
      <c r="BM1759" s="1" t="s">
        <v>6427</v>
      </c>
      <c r="BQ1759" s="1" t="s">
        <v>207</v>
      </c>
      <c r="BR1759" s="1" t="s">
        <v>208</v>
      </c>
      <c r="BS1759" s="1" t="s">
        <v>229</v>
      </c>
      <c r="BT1759" s="1" t="s">
        <v>210</v>
      </c>
      <c r="BX1759" s="1">
        <v>1</v>
      </c>
    </row>
    <row r="1760" spans="1:76" x14ac:dyDescent="0.25">
      <c r="A1760" s="1" t="s">
        <v>6428</v>
      </c>
      <c r="B1760" s="1" t="s">
        <v>203</v>
      </c>
      <c r="D1760" s="1" t="s">
        <v>6429</v>
      </c>
      <c r="E1760" s="1">
        <v>6020</v>
      </c>
      <c r="F1760" s="1" t="s">
        <v>6428</v>
      </c>
      <c r="G1760" s="1">
        <v>1</v>
      </c>
      <c r="L1760" s="1">
        <v>99000</v>
      </c>
      <c r="N1760" s="1">
        <v>700</v>
      </c>
      <c r="P1760" s="1">
        <v>1700</v>
      </c>
      <c r="R1760" s="1">
        <v>50</v>
      </c>
      <c r="Z1760" s="1">
        <v>0.05</v>
      </c>
      <c r="AA1760" s="1">
        <v>4</v>
      </c>
      <c r="AB1760" s="1">
        <v>6</v>
      </c>
      <c r="AC1760" s="1">
        <v>0.7</v>
      </c>
      <c r="AH1760" s="1">
        <v>0</v>
      </c>
      <c r="AI1760" s="1">
        <v>1</v>
      </c>
      <c r="AJ1760" s="1" t="s">
        <v>6430</v>
      </c>
      <c r="AK1760" s="1" t="s">
        <v>6431</v>
      </c>
      <c r="AL1760" s="1" t="s">
        <v>228</v>
      </c>
      <c r="AN1760" s="22" t="s">
        <v>9767</v>
      </c>
      <c r="AX1760" s="1">
        <v>3</v>
      </c>
      <c r="AZ1760" s="1">
        <v>0.1</v>
      </c>
      <c r="BG1760" s="1" t="s">
        <v>6428</v>
      </c>
      <c r="BM1760" s="1" t="s">
        <v>6432</v>
      </c>
      <c r="BQ1760" s="1" t="s">
        <v>207</v>
      </c>
      <c r="BR1760" s="1" t="s">
        <v>208</v>
      </c>
      <c r="BS1760" s="1" t="s">
        <v>229</v>
      </c>
      <c r="BT1760" s="1" t="s">
        <v>210</v>
      </c>
      <c r="BX1760" s="1">
        <v>1</v>
      </c>
    </row>
    <row r="1761" spans="1:76" x14ac:dyDescent="0.25">
      <c r="A1761" s="1" t="s">
        <v>6433</v>
      </c>
      <c r="B1761" s="1" t="s">
        <v>203</v>
      </c>
      <c r="D1761" s="1" t="s">
        <v>6429</v>
      </c>
      <c r="E1761" s="1">
        <v>6020</v>
      </c>
      <c r="F1761" s="1" t="s">
        <v>6428</v>
      </c>
      <c r="G1761" s="1">
        <v>0.01</v>
      </c>
      <c r="L1761" s="1">
        <v>6000</v>
      </c>
      <c r="N1761" s="1">
        <v>50</v>
      </c>
      <c r="P1761" s="1">
        <v>100</v>
      </c>
      <c r="R1761" s="1">
        <v>10</v>
      </c>
      <c r="Z1761" s="1">
        <v>0.05</v>
      </c>
      <c r="AA1761" s="1">
        <v>2.5</v>
      </c>
      <c r="AB1761" s="1">
        <v>5</v>
      </c>
      <c r="AC1761" s="1">
        <v>0</v>
      </c>
      <c r="AH1761" s="1">
        <v>1</v>
      </c>
      <c r="AI1761" s="1">
        <v>1</v>
      </c>
      <c r="AJ1761" s="1" t="s">
        <v>6434</v>
      </c>
      <c r="AK1761" s="1" t="s">
        <v>265</v>
      </c>
      <c r="AL1761" s="1" t="s">
        <v>228</v>
      </c>
      <c r="AN1761" s="22" t="s">
        <v>9767</v>
      </c>
      <c r="AX1761" s="1">
        <v>1</v>
      </c>
      <c r="AZ1761" s="1">
        <v>0.1</v>
      </c>
      <c r="BG1761" s="1" t="s">
        <v>6433</v>
      </c>
      <c r="BM1761" s="1" t="s">
        <v>3410</v>
      </c>
      <c r="BQ1761" s="1" t="s">
        <v>207</v>
      </c>
      <c r="BR1761" s="1" t="s">
        <v>208</v>
      </c>
      <c r="BS1761" s="1" t="s">
        <v>229</v>
      </c>
      <c r="BT1761" s="1" t="s">
        <v>210</v>
      </c>
      <c r="BX1761" s="1">
        <v>1</v>
      </c>
    </row>
    <row r="1762" spans="1:76" x14ac:dyDescent="0.25">
      <c r="A1762" s="1" t="s">
        <v>6435</v>
      </c>
      <c r="B1762" s="1" t="s">
        <v>203</v>
      </c>
      <c r="D1762" s="1" t="s">
        <v>6436</v>
      </c>
      <c r="E1762" s="1">
        <v>6025</v>
      </c>
      <c r="F1762" s="1" t="s">
        <v>6435</v>
      </c>
      <c r="G1762" s="1">
        <v>1</v>
      </c>
      <c r="L1762" s="1">
        <v>45000</v>
      </c>
      <c r="N1762" s="1">
        <v>150</v>
      </c>
      <c r="P1762" s="1">
        <v>1200</v>
      </c>
      <c r="R1762" s="1">
        <v>40</v>
      </c>
      <c r="Z1762" s="1">
        <v>0.05</v>
      </c>
      <c r="AA1762" s="1">
        <v>4</v>
      </c>
      <c r="AB1762" s="1">
        <v>10</v>
      </c>
      <c r="AC1762" s="1">
        <v>0</v>
      </c>
      <c r="AH1762" s="1">
        <v>0</v>
      </c>
      <c r="AI1762" s="1">
        <v>1</v>
      </c>
      <c r="AJ1762" s="1" t="s">
        <v>6437</v>
      </c>
      <c r="AK1762" s="1" t="s">
        <v>265</v>
      </c>
      <c r="AL1762" s="1" t="s">
        <v>228</v>
      </c>
      <c r="AN1762" s="22" t="s">
        <v>9767</v>
      </c>
      <c r="AX1762" s="1">
        <v>1</v>
      </c>
      <c r="AZ1762" s="1">
        <v>0.1</v>
      </c>
      <c r="BG1762" s="1" t="s">
        <v>6435</v>
      </c>
      <c r="BM1762" s="1" t="s">
        <v>3130</v>
      </c>
      <c r="BQ1762" s="1" t="s">
        <v>207</v>
      </c>
      <c r="BR1762" s="1" t="s">
        <v>208</v>
      </c>
      <c r="BS1762" s="1" t="s">
        <v>229</v>
      </c>
      <c r="BT1762" s="1" t="s">
        <v>210</v>
      </c>
      <c r="BX1762" s="1">
        <v>1</v>
      </c>
    </row>
    <row r="1763" spans="1:76" x14ac:dyDescent="0.25">
      <c r="A1763" s="1" t="s">
        <v>6438</v>
      </c>
      <c r="B1763" s="1" t="s">
        <v>203</v>
      </c>
      <c r="D1763" s="1" t="s">
        <v>6439</v>
      </c>
      <c r="E1763" s="1">
        <v>6026</v>
      </c>
      <c r="F1763" s="1" t="s">
        <v>6438</v>
      </c>
      <c r="G1763" s="1">
        <v>1.1000000000000001</v>
      </c>
      <c r="L1763" s="1">
        <v>3000</v>
      </c>
      <c r="N1763" s="1">
        <v>200</v>
      </c>
      <c r="P1763" s="1">
        <v>200</v>
      </c>
      <c r="R1763" s="1">
        <v>20</v>
      </c>
      <c r="Z1763" s="1">
        <v>0.05</v>
      </c>
      <c r="AA1763" s="1">
        <v>2</v>
      </c>
      <c r="AB1763" s="1">
        <v>1</v>
      </c>
      <c r="AC1763" s="1">
        <v>0.6</v>
      </c>
      <c r="AH1763" s="1">
        <v>0</v>
      </c>
      <c r="AI1763" s="1">
        <v>1</v>
      </c>
      <c r="AJ1763" s="1" t="s">
        <v>6440</v>
      </c>
      <c r="AK1763" s="1" t="s">
        <v>265</v>
      </c>
      <c r="AL1763" s="1" t="s">
        <v>228</v>
      </c>
      <c r="AN1763" s="22" t="s">
        <v>9767</v>
      </c>
      <c r="AX1763" s="1">
        <v>1</v>
      </c>
      <c r="AZ1763" s="1">
        <v>0.1</v>
      </c>
      <c r="BG1763" s="1" t="s">
        <v>6438</v>
      </c>
      <c r="BM1763" s="1" t="s">
        <v>6441</v>
      </c>
      <c r="BQ1763" s="1" t="s">
        <v>207</v>
      </c>
      <c r="BR1763" s="1" t="s">
        <v>208</v>
      </c>
      <c r="BS1763" s="1" t="s">
        <v>229</v>
      </c>
      <c r="BT1763" s="1" t="s">
        <v>210</v>
      </c>
      <c r="BX1763" s="1">
        <v>1</v>
      </c>
    </row>
    <row r="1764" spans="1:76" x14ac:dyDescent="0.25">
      <c r="A1764" s="1" t="s">
        <v>6442</v>
      </c>
      <c r="B1764" s="1" t="s">
        <v>203</v>
      </c>
      <c r="D1764" s="1" t="s">
        <v>6443</v>
      </c>
      <c r="E1764" s="1">
        <v>7001</v>
      </c>
      <c r="F1764" s="1" t="s">
        <v>6442</v>
      </c>
      <c r="G1764" s="1">
        <v>1</v>
      </c>
      <c r="L1764" s="1">
        <v>5000</v>
      </c>
      <c r="N1764" s="1">
        <v>100</v>
      </c>
      <c r="P1764" s="1">
        <v>200</v>
      </c>
      <c r="R1764" s="1">
        <v>50</v>
      </c>
      <c r="Z1764" s="1">
        <v>0.05</v>
      </c>
      <c r="AA1764" s="1">
        <v>4</v>
      </c>
      <c r="AB1764" s="1">
        <v>2</v>
      </c>
      <c r="AC1764" s="1">
        <v>0.8</v>
      </c>
      <c r="AH1764" s="1">
        <v>0</v>
      </c>
      <c r="AI1764" s="1">
        <v>1</v>
      </c>
      <c r="AJ1764" s="1" t="s">
        <v>6444</v>
      </c>
      <c r="AK1764" s="1" t="s">
        <v>265</v>
      </c>
      <c r="AL1764" s="1" t="s">
        <v>228</v>
      </c>
      <c r="AN1764" s="22" t="s">
        <v>9767</v>
      </c>
      <c r="AX1764" s="1">
        <v>1</v>
      </c>
      <c r="AZ1764" s="1">
        <v>0.1</v>
      </c>
      <c r="BG1764" s="1" t="s">
        <v>6442</v>
      </c>
      <c r="BM1764" s="1" t="s">
        <v>936</v>
      </c>
      <c r="BQ1764" s="1" t="s">
        <v>207</v>
      </c>
      <c r="BR1764" s="1" t="s">
        <v>208</v>
      </c>
      <c r="BS1764" s="1" t="s">
        <v>229</v>
      </c>
      <c r="BT1764" s="1" t="s">
        <v>210</v>
      </c>
      <c r="BX1764" s="1">
        <v>1</v>
      </c>
    </row>
    <row r="1765" spans="1:76" x14ac:dyDescent="0.25">
      <c r="A1765" s="1" t="s">
        <v>6445</v>
      </c>
      <c r="B1765" s="1" t="s">
        <v>203</v>
      </c>
      <c r="D1765" s="1" t="s">
        <v>6446</v>
      </c>
      <c r="E1765" s="1">
        <v>7001</v>
      </c>
      <c r="F1765" s="1" t="s">
        <v>6445</v>
      </c>
      <c r="G1765" s="1">
        <v>1</v>
      </c>
      <c r="L1765" s="1">
        <v>6000</v>
      </c>
      <c r="N1765" s="1">
        <v>150</v>
      </c>
      <c r="P1765" s="1">
        <v>200</v>
      </c>
      <c r="R1765" s="1">
        <v>50</v>
      </c>
      <c r="Z1765" s="1">
        <v>0.05</v>
      </c>
      <c r="AA1765" s="1">
        <v>4</v>
      </c>
      <c r="AB1765" s="1">
        <v>2</v>
      </c>
      <c r="AC1765" s="1">
        <v>0.8</v>
      </c>
      <c r="AH1765" s="1">
        <v>0</v>
      </c>
      <c r="AI1765" s="1">
        <v>1</v>
      </c>
      <c r="AJ1765" s="1" t="s">
        <v>6447</v>
      </c>
      <c r="AK1765" s="1" t="s">
        <v>265</v>
      </c>
      <c r="AL1765" s="1" t="s">
        <v>228</v>
      </c>
      <c r="AN1765" s="22" t="s">
        <v>9767</v>
      </c>
      <c r="AX1765" s="1">
        <v>1</v>
      </c>
      <c r="AZ1765" s="1">
        <v>0.1</v>
      </c>
      <c r="BG1765" s="1" t="s">
        <v>6445</v>
      </c>
      <c r="BM1765" s="1" t="s">
        <v>936</v>
      </c>
      <c r="BQ1765" s="1" t="s">
        <v>207</v>
      </c>
      <c r="BR1765" s="1" t="s">
        <v>208</v>
      </c>
      <c r="BS1765" s="1" t="s">
        <v>229</v>
      </c>
      <c r="BT1765" s="1" t="s">
        <v>210</v>
      </c>
      <c r="BX1765" s="1">
        <v>1</v>
      </c>
    </row>
    <row r="1766" spans="1:76" x14ac:dyDescent="0.25">
      <c r="A1766" s="1" t="s">
        <v>6448</v>
      </c>
      <c r="B1766" s="1" t="s">
        <v>203</v>
      </c>
      <c r="D1766" s="1" t="s">
        <v>6449</v>
      </c>
      <c r="E1766" s="1">
        <v>7002</v>
      </c>
      <c r="F1766" s="1" t="s">
        <v>6448</v>
      </c>
      <c r="G1766" s="1">
        <v>1</v>
      </c>
      <c r="L1766" s="1">
        <v>25000</v>
      </c>
      <c r="N1766" s="1">
        <v>400</v>
      </c>
      <c r="P1766" s="1">
        <v>300</v>
      </c>
      <c r="R1766" s="1">
        <v>10</v>
      </c>
      <c r="Z1766" s="1">
        <v>0.05</v>
      </c>
      <c r="AA1766" s="1">
        <v>4</v>
      </c>
      <c r="AB1766" s="1">
        <v>4</v>
      </c>
      <c r="AC1766" s="1">
        <v>0.6</v>
      </c>
      <c r="AH1766" s="1">
        <v>1</v>
      </c>
      <c r="AI1766" s="1">
        <v>1</v>
      </c>
      <c r="AJ1766" s="1" t="s">
        <v>6450</v>
      </c>
      <c r="AK1766" s="1" t="s">
        <v>265</v>
      </c>
      <c r="AL1766" s="1" t="s">
        <v>228</v>
      </c>
      <c r="AN1766" s="22" t="s">
        <v>9767</v>
      </c>
      <c r="AX1766" s="1">
        <v>1</v>
      </c>
      <c r="AZ1766" s="1">
        <v>0.1</v>
      </c>
      <c r="BG1766" s="1" t="s">
        <v>6448</v>
      </c>
      <c r="BM1766" s="1" t="s">
        <v>3289</v>
      </c>
      <c r="BQ1766" s="1" t="s">
        <v>207</v>
      </c>
      <c r="BR1766" s="1" t="s">
        <v>208</v>
      </c>
      <c r="BS1766" s="1" t="s">
        <v>229</v>
      </c>
      <c r="BT1766" s="1" t="s">
        <v>210</v>
      </c>
      <c r="BX1766" s="1">
        <v>1</v>
      </c>
    </row>
    <row r="1767" spans="1:76" x14ac:dyDescent="0.25">
      <c r="A1767" s="1" t="s">
        <v>6451</v>
      </c>
      <c r="B1767" s="1" t="s">
        <v>203</v>
      </c>
      <c r="D1767" s="1" t="s">
        <v>6452</v>
      </c>
      <c r="E1767" s="1">
        <v>7002</v>
      </c>
      <c r="F1767" s="1" t="s">
        <v>6451</v>
      </c>
      <c r="G1767" s="1">
        <v>1</v>
      </c>
      <c r="L1767" s="1">
        <v>40000</v>
      </c>
      <c r="N1767" s="1">
        <v>500</v>
      </c>
      <c r="P1767" s="1">
        <v>300</v>
      </c>
      <c r="R1767" s="1">
        <v>10</v>
      </c>
      <c r="Z1767" s="1">
        <v>0.05</v>
      </c>
      <c r="AA1767" s="1">
        <v>4</v>
      </c>
      <c r="AB1767" s="1">
        <v>4</v>
      </c>
      <c r="AC1767" s="1">
        <v>0.6</v>
      </c>
      <c r="AH1767" s="1">
        <v>1</v>
      </c>
      <c r="AI1767" s="1">
        <v>1</v>
      </c>
      <c r="AJ1767" s="1" t="s">
        <v>6453</v>
      </c>
      <c r="AK1767" s="1" t="s">
        <v>265</v>
      </c>
      <c r="AL1767" s="1" t="s">
        <v>228</v>
      </c>
      <c r="AN1767" s="22" t="s">
        <v>9767</v>
      </c>
      <c r="AX1767" s="1">
        <v>1</v>
      </c>
      <c r="AZ1767" s="1">
        <v>0.1</v>
      </c>
      <c r="BG1767" s="1" t="s">
        <v>6451</v>
      </c>
      <c r="BM1767" s="1" t="s">
        <v>3289</v>
      </c>
      <c r="BQ1767" s="1" t="s">
        <v>207</v>
      </c>
      <c r="BR1767" s="1" t="s">
        <v>208</v>
      </c>
      <c r="BS1767" s="1" t="s">
        <v>229</v>
      </c>
      <c r="BT1767" s="1" t="s">
        <v>210</v>
      </c>
      <c r="BX1767" s="1">
        <v>1</v>
      </c>
    </row>
    <row r="1768" spans="1:76" x14ac:dyDescent="0.25">
      <c r="A1768" s="1" t="s">
        <v>6454</v>
      </c>
      <c r="B1768" s="1" t="s">
        <v>203</v>
      </c>
      <c r="D1768" s="1" t="s">
        <v>6455</v>
      </c>
      <c r="E1768" s="1">
        <v>7003</v>
      </c>
      <c r="F1768" s="1" t="s">
        <v>6454</v>
      </c>
      <c r="G1768" s="1">
        <v>1</v>
      </c>
      <c r="L1768" s="1">
        <v>10000</v>
      </c>
      <c r="N1768" s="1">
        <v>500</v>
      </c>
      <c r="P1768" s="1">
        <v>400</v>
      </c>
      <c r="R1768" s="1">
        <v>0</v>
      </c>
      <c r="Z1768" s="1">
        <v>0.05</v>
      </c>
      <c r="AA1768" s="1">
        <v>5</v>
      </c>
      <c r="AB1768" s="1">
        <v>3</v>
      </c>
      <c r="AC1768" s="1">
        <v>0.7</v>
      </c>
      <c r="AH1768" s="1">
        <v>0</v>
      </c>
      <c r="AI1768" s="1">
        <v>1</v>
      </c>
      <c r="AJ1768" s="1" t="s">
        <v>6456</v>
      </c>
      <c r="AK1768" s="1" t="s">
        <v>265</v>
      </c>
      <c r="AL1768" s="1" t="s">
        <v>228</v>
      </c>
      <c r="AN1768" s="22" t="s">
        <v>9767</v>
      </c>
      <c r="AX1768" s="1">
        <v>1</v>
      </c>
      <c r="AZ1768" s="1">
        <v>0.1</v>
      </c>
      <c r="BG1768" s="1" t="s">
        <v>6454</v>
      </c>
      <c r="BM1768" s="1" t="s">
        <v>3232</v>
      </c>
      <c r="BQ1768" s="1" t="s">
        <v>207</v>
      </c>
      <c r="BR1768" s="1" t="s">
        <v>208</v>
      </c>
      <c r="BS1768" s="1" t="s">
        <v>229</v>
      </c>
      <c r="BT1768" s="1" t="s">
        <v>210</v>
      </c>
      <c r="BX1768" s="1">
        <v>1</v>
      </c>
    </row>
    <row r="1769" spans="1:76" x14ac:dyDescent="0.25">
      <c r="A1769" s="1" t="s">
        <v>6457</v>
      </c>
      <c r="B1769" s="1" t="s">
        <v>203</v>
      </c>
      <c r="D1769" s="1" t="s">
        <v>6458</v>
      </c>
      <c r="E1769" s="1">
        <v>7003</v>
      </c>
      <c r="F1769" s="1" t="s">
        <v>6457</v>
      </c>
      <c r="G1769" s="1">
        <v>1</v>
      </c>
      <c r="L1769" s="1">
        <v>20000</v>
      </c>
      <c r="N1769" s="1">
        <v>550</v>
      </c>
      <c r="P1769" s="1">
        <v>400</v>
      </c>
      <c r="R1769" s="1">
        <v>0</v>
      </c>
      <c r="Z1769" s="1">
        <v>0.05</v>
      </c>
      <c r="AA1769" s="1">
        <v>5</v>
      </c>
      <c r="AB1769" s="1">
        <v>3</v>
      </c>
      <c r="AC1769" s="1">
        <v>0.7</v>
      </c>
      <c r="AH1769" s="1">
        <v>0</v>
      </c>
      <c r="AI1769" s="1">
        <v>1</v>
      </c>
      <c r="AJ1769" s="1" t="s">
        <v>6459</v>
      </c>
      <c r="AK1769" s="1" t="s">
        <v>265</v>
      </c>
      <c r="AL1769" s="1" t="s">
        <v>228</v>
      </c>
      <c r="AN1769" s="22" t="s">
        <v>9767</v>
      </c>
      <c r="AX1769" s="1">
        <v>1</v>
      </c>
      <c r="AZ1769" s="1">
        <v>0.1</v>
      </c>
      <c r="BG1769" s="1" t="s">
        <v>6457</v>
      </c>
      <c r="BM1769" s="1" t="s">
        <v>3232</v>
      </c>
      <c r="BQ1769" s="1" t="s">
        <v>207</v>
      </c>
      <c r="BR1769" s="1" t="s">
        <v>208</v>
      </c>
      <c r="BS1769" s="1" t="s">
        <v>229</v>
      </c>
      <c r="BT1769" s="1" t="s">
        <v>210</v>
      </c>
      <c r="BX1769" s="1">
        <v>1</v>
      </c>
    </row>
    <row r="1770" spans="1:76" x14ac:dyDescent="0.25">
      <c r="A1770" s="1" t="s">
        <v>6460</v>
      </c>
      <c r="B1770" s="1" t="s">
        <v>203</v>
      </c>
      <c r="D1770" s="1" t="s">
        <v>6461</v>
      </c>
      <c r="E1770" s="1">
        <v>7004</v>
      </c>
      <c r="F1770" s="1" t="s">
        <v>6460</v>
      </c>
      <c r="G1770" s="1">
        <v>1</v>
      </c>
      <c r="L1770" s="1">
        <v>5000</v>
      </c>
      <c r="N1770" s="1">
        <v>0</v>
      </c>
      <c r="P1770" s="1">
        <v>200</v>
      </c>
      <c r="R1770" s="1">
        <v>0</v>
      </c>
      <c r="Z1770" s="1">
        <v>0.05</v>
      </c>
      <c r="AA1770" s="1">
        <v>1</v>
      </c>
      <c r="AB1770" s="1">
        <v>1</v>
      </c>
      <c r="AC1770" s="1">
        <v>0.7</v>
      </c>
      <c r="AH1770" s="1">
        <v>0</v>
      </c>
      <c r="AI1770" s="1">
        <v>1</v>
      </c>
      <c r="AJ1770" s="1" t="s">
        <v>6462</v>
      </c>
      <c r="AK1770" s="1" t="s">
        <v>265</v>
      </c>
      <c r="AL1770" s="1" t="s">
        <v>228</v>
      </c>
      <c r="AN1770" s="22" t="s">
        <v>9767</v>
      </c>
      <c r="AX1770" s="1">
        <v>1</v>
      </c>
      <c r="AZ1770" s="1">
        <v>0.1</v>
      </c>
      <c r="BG1770" s="1" t="s">
        <v>6460</v>
      </c>
      <c r="BM1770" s="1" t="s">
        <v>6463</v>
      </c>
      <c r="BQ1770" s="1" t="s">
        <v>207</v>
      </c>
      <c r="BR1770" s="1" t="s">
        <v>208</v>
      </c>
      <c r="BS1770" s="1" t="s">
        <v>229</v>
      </c>
      <c r="BT1770" s="1" t="s">
        <v>210</v>
      </c>
      <c r="BX1770" s="1">
        <v>1</v>
      </c>
    </row>
    <row r="1771" spans="1:76" x14ac:dyDescent="0.25">
      <c r="A1771" s="1" t="s">
        <v>6464</v>
      </c>
      <c r="B1771" s="1" t="s">
        <v>203</v>
      </c>
      <c r="D1771" s="1" t="s">
        <v>6465</v>
      </c>
      <c r="E1771" s="1">
        <v>7004</v>
      </c>
      <c r="F1771" s="1" t="s">
        <v>6464</v>
      </c>
      <c r="G1771" s="1">
        <v>1</v>
      </c>
      <c r="L1771" s="1">
        <v>10000</v>
      </c>
      <c r="N1771" s="1">
        <v>0</v>
      </c>
      <c r="P1771" s="1">
        <v>200</v>
      </c>
      <c r="R1771" s="1">
        <v>0</v>
      </c>
      <c r="Z1771" s="1">
        <v>0.05</v>
      </c>
      <c r="AA1771" s="1">
        <v>1</v>
      </c>
      <c r="AB1771" s="1">
        <v>1</v>
      </c>
      <c r="AC1771" s="1">
        <v>0.7</v>
      </c>
      <c r="AH1771" s="1">
        <v>0</v>
      </c>
      <c r="AI1771" s="1">
        <v>1</v>
      </c>
      <c r="AJ1771" s="1" t="s">
        <v>6466</v>
      </c>
      <c r="AK1771" s="1" t="s">
        <v>265</v>
      </c>
      <c r="AL1771" s="1" t="s">
        <v>228</v>
      </c>
      <c r="AN1771" s="22" t="s">
        <v>9767</v>
      </c>
      <c r="AX1771" s="1">
        <v>1</v>
      </c>
      <c r="AZ1771" s="1">
        <v>0.1</v>
      </c>
      <c r="BG1771" s="1" t="s">
        <v>6464</v>
      </c>
      <c r="BM1771" s="1" t="s">
        <v>6463</v>
      </c>
      <c r="BQ1771" s="1" t="s">
        <v>207</v>
      </c>
      <c r="BR1771" s="1" t="s">
        <v>208</v>
      </c>
      <c r="BS1771" s="1" t="s">
        <v>229</v>
      </c>
      <c r="BT1771" s="1" t="s">
        <v>210</v>
      </c>
      <c r="BX1771" s="1">
        <v>1</v>
      </c>
    </row>
    <row r="1772" spans="1:76" x14ac:dyDescent="0.25">
      <c r="A1772" s="1" t="s">
        <v>6467</v>
      </c>
      <c r="B1772" s="1" t="s">
        <v>203</v>
      </c>
      <c r="D1772" s="1" t="s">
        <v>6468</v>
      </c>
      <c r="E1772" s="1">
        <v>7005</v>
      </c>
      <c r="F1772" s="1" t="s">
        <v>6467</v>
      </c>
      <c r="G1772" s="1">
        <v>1</v>
      </c>
      <c r="L1772" s="1">
        <v>15000</v>
      </c>
      <c r="N1772" s="1">
        <v>800</v>
      </c>
      <c r="P1772" s="1">
        <v>200</v>
      </c>
      <c r="R1772" s="1">
        <v>0</v>
      </c>
      <c r="Z1772" s="1">
        <v>0.05</v>
      </c>
      <c r="AA1772" s="1">
        <v>3</v>
      </c>
      <c r="AB1772" s="1">
        <v>3</v>
      </c>
      <c r="AC1772" s="1">
        <v>1.1000000000000001</v>
      </c>
      <c r="AH1772" s="1">
        <v>0</v>
      </c>
      <c r="AI1772" s="1">
        <v>1</v>
      </c>
      <c r="AJ1772" s="1" t="s">
        <v>6469</v>
      </c>
      <c r="AK1772" s="1" t="s">
        <v>265</v>
      </c>
      <c r="AL1772" s="1" t="s">
        <v>228</v>
      </c>
      <c r="AN1772" s="22" t="s">
        <v>9767</v>
      </c>
      <c r="AV1772" s="1">
        <v>250</v>
      </c>
      <c r="AX1772" s="1">
        <v>1</v>
      </c>
      <c r="AZ1772" s="1">
        <v>0.1</v>
      </c>
      <c r="BG1772" s="1" t="s">
        <v>6467</v>
      </c>
      <c r="BM1772" s="1" t="s">
        <v>6270</v>
      </c>
      <c r="BQ1772" s="1" t="s">
        <v>207</v>
      </c>
      <c r="BR1772" s="1" t="s">
        <v>208</v>
      </c>
      <c r="BS1772" s="1" t="s">
        <v>229</v>
      </c>
      <c r="BT1772" s="1" t="s">
        <v>210</v>
      </c>
      <c r="BX1772" s="1">
        <v>1</v>
      </c>
    </row>
    <row r="1773" spans="1:76" x14ac:dyDescent="0.25">
      <c r="A1773" s="1" t="s">
        <v>6470</v>
      </c>
      <c r="B1773" s="1" t="s">
        <v>203</v>
      </c>
      <c r="D1773" s="1" t="s">
        <v>6471</v>
      </c>
      <c r="E1773" s="1">
        <v>7005</v>
      </c>
      <c r="F1773" s="1" t="s">
        <v>6470</v>
      </c>
      <c r="G1773" s="1">
        <v>1</v>
      </c>
      <c r="L1773" s="1">
        <v>24000</v>
      </c>
      <c r="N1773" s="1">
        <v>800</v>
      </c>
      <c r="P1773" s="1">
        <v>200</v>
      </c>
      <c r="R1773" s="1">
        <v>0</v>
      </c>
      <c r="Z1773" s="1">
        <v>0.05</v>
      </c>
      <c r="AA1773" s="1">
        <v>3</v>
      </c>
      <c r="AB1773" s="1">
        <v>3</v>
      </c>
      <c r="AC1773" s="1">
        <v>1.1000000000000001</v>
      </c>
      <c r="AH1773" s="1">
        <v>0</v>
      </c>
      <c r="AI1773" s="1">
        <v>1</v>
      </c>
      <c r="AJ1773" s="1" t="s">
        <v>6472</v>
      </c>
      <c r="AK1773" s="1" t="s">
        <v>265</v>
      </c>
      <c r="AL1773" s="1" t="s">
        <v>228</v>
      </c>
      <c r="AN1773" s="22" t="s">
        <v>9767</v>
      </c>
      <c r="AV1773" s="1">
        <v>250</v>
      </c>
      <c r="AX1773" s="1">
        <v>1</v>
      </c>
      <c r="AZ1773" s="1">
        <v>0.1</v>
      </c>
      <c r="BG1773" s="1" t="s">
        <v>6470</v>
      </c>
      <c r="BM1773" s="1" t="s">
        <v>6270</v>
      </c>
      <c r="BQ1773" s="1" t="s">
        <v>207</v>
      </c>
      <c r="BR1773" s="1" t="s">
        <v>208</v>
      </c>
      <c r="BS1773" s="1" t="s">
        <v>229</v>
      </c>
      <c r="BT1773" s="1" t="s">
        <v>210</v>
      </c>
      <c r="BX1773" s="1">
        <v>1</v>
      </c>
    </row>
    <row r="1774" spans="1:76" x14ac:dyDescent="0.25">
      <c r="A1774" s="1" t="s">
        <v>6473</v>
      </c>
      <c r="B1774" s="1" t="s">
        <v>203</v>
      </c>
      <c r="D1774" s="1" t="s">
        <v>6474</v>
      </c>
      <c r="E1774" s="1">
        <v>7006</v>
      </c>
      <c r="F1774" s="1" t="s">
        <v>6473</v>
      </c>
      <c r="G1774" s="1">
        <v>1</v>
      </c>
      <c r="L1774" s="1">
        <v>3000</v>
      </c>
      <c r="N1774" s="1">
        <v>400</v>
      </c>
      <c r="P1774" s="1">
        <v>800</v>
      </c>
      <c r="R1774" s="1">
        <v>70</v>
      </c>
      <c r="Z1774" s="1">
        <v>0.05</v>
      </c>
      <c r="AA1774" s="1">
        <v>2.5</v>
      </c>
      <c r="AB1774" s="1">
        <v>0</v>
      </c>
      <c r="AC1774" s="1">
        <v>0.9</v>
      </c>
      <c r="AH1774" s="1">
        <v>0</v>
      </c>
      <c r="AI1774" s="1">
        <v>1</v>
      </c>
      <c r="AJ1774" s="1" t="s">
        <v>6475</v>
      </c>
      <c r="AK1774" s="1" t="s">
        <v>265</v>
      </c>
      <c r="AL1774" s="1" t="s">
        <v>228</v>
      </c>
      <c r="AN1774" s="22" t="s">
        <v>9767</v>
      </c>
      <c r="AX1774" s="1">
        <v>1</v>
      </c>
      <c r="AZ1774" s="1">
        <v>0.1</v>
      </c>
      <c r="BG1774" s="1" t="s">
        <v>6473</v>
      </c>
      <c r="BM1774" s="1" t="s">
        <v>6270</v>
      </c>
      <c r="BQ1774" s="1" t="s">
        <v>207</v>
      </c>
      <c r="BR1774" s="1" t="s">
        <v>208</v>
      </c>
      <c r="BS1774" s="1" t="s">
        <v>229</v>
      </c>
      <c r="BT1774" s="1" t="s">
        <v>210</v>
      </c>
      <c r="BX1774" s="1">
        <v>1</v>
      </c>
    </row>
    <row r="1775" spans="1:76" x14ac:dyDescent="0.25">
      <c r="A1775" s="1" t="s">
        <v>6476</v>
      </c>
      <c r="B1775" s="1" t="s">
        <v>203</v>
      </c>
      <c r="D1775" s="1" t="s">
        <v>6477</v>
      </c>
      <c r="E1775" s="1">
        <v>7006</v>
      </c>
      <c r="F1775" s="1" t="s">
        <v>6476</v>
      </c>
      <c r="G1775" s="1">
        <v>1</v>
      </c>
      <c r="L1775" s="1">
        <v>5000</v>
      </c>
      <c r="N1775" s="1">
        <v>450</v>
      </c>
      <c r="P1775" s="1">
        <v>1000</v>
      </c>
      <c r="R1775" s="1">
        <v>80</v>
      </c>
      <c r="Z1775" s="1">
        <v>0.05</v>
      </c>
      <c r="AA1775" s="1">
        <v>2.5</v>
      </c>
      <c r="AB1775" s="1">
        <v>0</v>
      </c>
      <c r="AC1775" s="1">
        <v>0.9</v>
      </c>
      <c r="AH1775" s="1">
        <v>0</v>
      </c>
      <c r="AI1775" s="1">
        <v>1</v>
      </c>
      <c r="AJ1775" s="1" t="s">
        <v>6478</v>
      </c>
      <c r="AK1775" s="1" t="s">
        <v>265</v>
      </c>
      <c r="AL1775" s="1" t="s">
        <v>228</v>
      </c>
      <c r="AN1775" s="22" t="s">
        <v>9767</v>
      </c>
      <c r="AX1775" s="1">
        <v>1</v>
      </c>
      <c r="AZ1775" s="1">
        <v>0.1</v>
      </c>
      <c r="BG1775" s="1" t="s">
        <v>6476</v>
      </c>
      <c r="BM1775" s="1" t="s">
        <v>6270</v>
      </c>
      <c r="BQ1775" s="1" t="s">
        <v>207</v>
      </c>
      <c r="BR1775" s="1" t="s">
        <v>208</v>
      </c>
      <c r="BS1775" s="1" t="s">
        <v>229</v>
      </c>
      <c r="BT1775" s="1" t="s">
        <v>210</v>
      </c>
      <c r="BX1775" s="1">
        <v>1</v>
      </c>
    </row>
    <row r="1776" spans="1:76" x14ac:dyDescent="0.25">
      <c r="A1776" s="1" t="s">
        <v>6479</v>
      </c>
      <c r="B1776" s="1" t="s">
        <v>203</v>
      </c>
      <c r="D1776" s="1" t="s">
        <v>6480</v>
      </c>
      <c r="E1776" s="1">
        <v>7007</v>
      </c>
      <c r="F1776" s="1" t="s">
        <v>6479</v>
      </c>
      <c r="G1776" s="1">
        <v>1</v>
      </c>
      <c r="L1776" s="1">
        <v>50000</v>
      </c>
      <c r="N1776" s="1">
        <v>0</v>
      </c>
      <c r="P1776" s="1">
        <v>400</v>
      </c>
      <c r="R1776" s="1">
        <v>20</v>
      </c>
      <c r="Z1776" s="1">
        <v>0.05</v>
      </c>
      <c r="AA1776" s="1">
        <v>4.5</v>
      </c>
      <c r="AB1776" s="1">
        <v>4</v>
      </c>
      <c r="AC1776" s="1">
        <v>0.8</v>
      </c>
      <c r="AH1776" s="1">
        <v>0</v>
      </c>
      <c r="AI1776" s="1">
        <v>1</v>
      </c>
      <c r="AJ1776" s="1" t="s">
        <v>6481</v>
      </c>
      <c r="AK1776" s="1" t="s">
        <v>265</v>
      </c>
      <c r="AL1776" s="1" t="s">
        <v>228</v>
      </c>
      <c r="AN1776" s="22" t="s">
        <v>9767</v>
      </c>
      <c r="AX1776" s="1">
        <v>1</v>
      </c>
      <c r="AZ1776" s="1">
        <v>0.1</v>
      </c>
      <c r="BG1776" s="1" t="s">
        <v>6479</v>
      </c>
      <c r="BM1776" s="1" t="s">
        <v>6270</v>
      </c>
      <c r="BQ1776" s="1" t="s">
        <v>207</v>
      </c>
      <c r="BR1776" s="1" t="s">
        <v>208</v>
      </c>
      <c r="BS1776" s="1" t="s">
        <v>229</v>
      </c>
      <c r="BT1776" s="1" t="s">
        <v>210</v>
      </c>
      <c r="BX1776" s="1">
        <v>1</v>
      </c>
    </row>
    <row r="1777" spans="1:76" x14ac:dyDescent="0.25">
      <c r="A1777" s="1" t="s">
        <v>6482</v>
      </c>
      <c r="B1777" s="1" t="s">
        <v>203</v>
      </c>
      <c r="D1777" s="1" t="s">
        <v>6483</v>
      </c>
      <c r="E1777" s="1">
        <v>7008</v>
      </c>
      <c r="F1777" s="1" t="s">
        <v>6482</v>
      </c>
      <c r="G1777" s="1">
        <v>1</v>
      </c>
      <c r="L1777" s="1">
        <v>5000</v>
      </c>
      <c r="N1777" s="1">
        <v>0</v>
      </c>
      <c r="P1777" s="1">
        <v>200</v>
      </c>
      <c r="R1777" s="1">
        <v>0</v>
      </c>
      <c r="Z1777" s="1">
        <v>0.05</v>
      </c>
      <c r="AA1777" s="1">
        <v>1.3</v>
      </c>
      <c r="AB1777" s="1">
        <v>0</v>
      </c>
      <c r="AC1777" s="1">
        <v>1.5</v>
      </c>
      <c r="AH1777" s="1">
        <v>0</v>
      </c>
      <c r="AI1777" s="1">
        <v>1</v>
      </c>
      <c r="AJ1777" s="1" t="s">
        <v>6484</v>
      </c>
      <c r="AK1777" s="1" t="s">
        <v>265</v>
      </c>
      <c r="AL1777" s="1" t="s">
        <v>228</v>
      </c>
      <c r="AN1777" s="22" t="s">
        <v>9767</v>
      </c>
      <c r="AX1777" s="1">
        <v>1</v>
      </c>
      <c r="AZ1777" s="1">
        <v>0.1</v>
      </c>
      <c r="BG1777" s="1" t="s">
        <v>6482</v>
      </c>
      <c r="BM1777" s="1" t="s">
        <v>4125</v>
      </c>
      <c r="BQ1777" s="1" t="s">
        <v>207</v>
      </c>
      <c r="BR1777" s="1" t="s">
        <v>208</v>
      </c>
      <c r="BS1777" s="1" t="s">
        <v>229</v>
      </c>
      <c r="BT1777" s="1" t="s">
        <v>210</v>
      </c>
      <c r="BX1777" s="1">
        <v>1</v>
      </c>
    </row>
    <row r="1778" spans="1:76" x14ac:dyDescent="0.25">
      <c r="A1778" s="1" t="s">
        <v>6485</v>
      </c>
      <c r="B1778" s="1" t="s">
        <v>203</v>
      </c>
      <c r="D1778" s="1" t="s">
        <v>6486</v>
      </c>
      <c r="E1778" s="1">
        <v>7009</v>
      </c>
      <c r="F1778" s="1" t="s">
        <v>6485</v>
      </c>
      <c r="G1778" s="1">
        <v>1.2</v>
      </c>
      <c r="L1778" s="1">
        <v>600000</v>
      </c>
      <c r="N1778" s="1">
        <v>4500</v>
      </c>
      <c r="P1778" s="1">
        <v>1000</v>
      </c>
      <c r="R1778" s="1">
        <v>0</v>
      </c>
      <c r="Z1778" s="1">
        <v>0.05</v>
      </c>
      <c r="AA1778" s="1">
        <v>7</v>
      </c>
      <c r="AB1778" s="1">
        <v>6</v>
      </c>
      <c r="AC1778" s="1">
        <v>0.5</v>
      </c>
      <c r="AH1778" s="1">
        <v>0</v>
      </c>
      <c r="AI1778" s="1">
        <v>1</v>
      </c>
      <c r="AJ1778" s="1" t="s">
        <v>6487</v>
      </c>
      <c r="AK1778" s="1" t="s">
        <v>265</v>
      </c>
      <c r="AL1778" s="1" t="s">
        <v>228</v>
      </c>
      <c r="AN1778" s="22" t="s">
        <v>9767</v>
      </c>
      <c r="AX1778" s="1">
        <v>1</v>
      </c>
      <c r="AZ1778" s="1">
        <v>0.1</v>
      </c>
      <c r="BG1778" s="1" t="s">
        <v>6485</v>
      </c>
      <c r="BM1778" s="1" t="s">
        <v>996</v>
      </c>
      <c r="BQ1778" s="1" t="s">
        <v>207</v>
      </c>
      <c r="BR1778" s="1" t="s">
        <v>208</v>
      </c>
      <c r="BS1778" s="1" t="s">
        <v>229</v>
      </c>
      <c r="BT1778" s="1" t="s">
        <v>210</v>
      </c>
      <c r="BX1778" s="1">
        <v>1</v>
      </c>
    </row>
    <row r="1779" spans="1:76" x14ac:dyDescent="0.25">
      <c r="A1779" s="1" t="s">
        <v>6488</v>
      </c>
      <c r="B1779" s="1" t="s">
        <v>203</v>
      </c>
      <c r="D1779" s="1" t="s">
        <v>6489</v>
      </c>
      <c r="E1779" s="1">
        <v>7010</v>
      </c>
      <c r="F1779" s="1" t="s">
        <v>6488</v>
      </c>
      <c r="G1779" s="1">
        <v>1</v>
      </c>
      <c r="L1779" s="1">
        <v>450000</v>
      </c>
      <c r="N1779" s="1">
        <v>2000</v>
      </c>
      <c r="P1779" s="1">
        <v>700</v>
      </c>
      <c r="R1779" s="1">
        <v>50</v>
      </c>
      <c r="Z1779" s="1">
        <v>0.05</v>
      </c>
      <c r="AA1779" s="1">
        <v>3.5</v>
      </c>
      <c r="AB1779" s="1">
        <v>6</v>
      </c>
      <c r="AC1779" s="1">
        <v>0.7</v>
      </c>
      <c r="AH1779" s="1">
        <v>0</v>
      </c>
      <c r="AI1779" s="1">
        <v>1</v>
      </c>
      <c r="AJ1779" s="1" t="s">
        <v>6490</v>
      </c>
      <c r="AK1779" s="1" t="s">
        <v>6491</v>
      </c>
      <c r="AL1779" s="1" t="s">
        <v>228</v>
      </c>
      <c r="AN1779" s="22" t="s">
        <v>9767</v>
      </c>
      <c r="AX1779" s="1">
        <v>1</v>
      </c>
      <c r="AZ1779" s="1">
        <v>0.1</v>
      </c>
      <c r="BG1779" s="1" t="s">
        <v>6488</v>
      </c>
      <c r="BM1779" s="1" t="s">
        <v>1328</v>
      </c>
      <c r="BQ1779" s="1" t="s">
        <v>207</v>
      </c>
      <c r="BR1779" s="1" t="s">
        <v>208</v>
      </c>
      <c r="BS1779" s="1" t="s">
        <v>229</v>
      </c>
      <c r="BT1779" s="1" t="s">
        <v>210</v>
      </c>
      <c r="BX1779" s="1">
        <v>1</v>
      </c>
    </row>
    <row r="1780" spans="1:76" x14ac:dyDescent="0.25">
      <c r="A1780" s="1" t="s">
        <v>6492</v>
      </c>
      <c r="B1780" s="1" t="s">
        <v>203</v>
      </c>
      <c r="D1780" s="1" t="s">
        <v>6493</v>
      </c>
      <c r="E1780" s="1">
        <v>7011</v>
      </c>
      <c r="F1780" s="1" t="s">
        <v>6492</v>
      </c>
      <c r="G1780" s="1">
        <v>1</v>
      </c>
      <c r="L1780" s="1">
        <v>50000</v>
      </c>
      <c r="N1780" s="1">
        <v>400</v>
      </c>
      <c r="P1780" s="1">
        <v>120</v>
      </c>
      <c r="R1780" s="1">
        <v>50</v>
      </c>
      <c r="Z1780" s="1">
        <v>0.05</v>
      </c>
      <c r="AA1780" s="1">
        <v>0.5</v>
      </c>
      <c r="AB1780" s="1">
        <v>1</v>
      </c>
      <c r="AC1780" s="1">
        <v>1.3</v>
      </c>
      <c r="AH1780" s="1">
        <v>0</v>
      </c>
      <c r="AI1780" s="1">
        <v>1</v>
      </c>
      <c r="AJ1780" s="1" t="s">
        <v>6494</v>
      </c>
      <c r="AK1780" s="1" t="s">
        <v>265</v>
      </c>
      <c r="AL1780" s="1" t="s">
        <v>228</v>
      </c>
      <c r="AN1780" s="22" t="s">
        <v>9767</v>
      </c>
      <c r="AX1780" s="1">
        <v>1</v>
      </c>
      <c r="AZ1780" s="1">
        <v>0.1</v>
      </c>
      <c r="BG1780" s="1" t="s">
        <v>6492</v>
      </c>
      <c r="BM1780" s="1" t="s">
        <v>957</v>
      </c>
      <c r="BQ1780" s="1" t="s">
        <v>207</v>
      </c>
      <c r="BR1780" s="1" t="s">
        <v>208</v>
      </c>
      <c r="BS1780" s="1" t="s">
        <v>229</v>
      </c>
      <c r="BT1780" s="1" t="s">
        <v>210</v>
      </c>
      <c r="BX1780" s="1">
        <v>1</v>
      </c>
    </row>
    <row r="1781" spans="1:76" x14ac:dyDescent="0.25">
      <c r="A1781" s="1" t="s">
        <v>6495</v>
      </c>
      <c r="B1781" s="1" t="s">
        <v>203</v>
      </c>
      <c r="D1781" s="1" t="s">
        <v>6496</v>
      </c>
      <c r="E1781" s="1">
        <v>7012</v>
      </c>
      <c r="F1781" s="1" t="s">
        <v>6495</v>
      </c>
      <c r="G1781" s="1">
        <v>1</v>
      </c>
      <c r="L1781" s="1">
        <v>700000</v>
      </c>
      <c r="N1781" s="1">
        <v>1100</v>
      </c>
      <c r="P1781" s="1">
        <v>400</v>
      </c>
      <c r="R1781" s="1">
        <v>10</v>
      </c>
      <c r="Z1781" s="1">
        <v>0.05</v>
      </c>
      <c r="AA1781" s="1">
        <v>2.5</v>
      </c>
      <c r="AB1781" s="1">
        <v>6</v>
      </c>
      <c r="AC1781" s="1">
        <v>0.8</v>
      </c>
      <c r="AH1781" s="1">
        <v>0</v>
      </c>
      <c r="AI1781" s="1">
        <v>1</v>
      </c>
      <c r="AJ1781" s="1" t="s">
        <v>6497</v>
      </c>
      <c r="AK1781" s="1" t="s">
        <v>265</v>
      </c>
      <c r="AL1781" s="1" t="s">
        <v>228</v>
      </c>
      <c r="AN1781" s="22" t="s">
        <v>9767</v>
      </c>
      <c r="AX1781" s="1">
        <v>1</v>
      </c>
      <c r="AZ1781" s="1">
        <v>0.1</v>
      </c>
      <c r="BG1781" s="1" t="s">
        <v>6495</v>
      </c>
      <c r="BM1781" s="1" t="s">
        <v>996</v>
      </c>
      <c r="BQ1781" s="1" t="s">
        <v>207</v>
      </c>
      <c r="BR1781" s="1" t="s">
        <v>208</v>
      </c>
      <c r="BS1781" s="1" t="s">
        <v>229</v>
      </c>
      <c r="BT1781" s="1" t="s">
        <v>3183</v>
      </c>
      <c r="BX1781" s="1">
        <v>1</v>
      </c>
    </row>
    <row r="1782" spans="1:76" x14ac:dyDescent="0.25">
      <c r="A1782" s="1" t="s">
        <v>6498</v>
      </c>
      <c r="B1782" s="1" t="s">
        <v>203</v>
      </c>
      <c r="D1782" s="1" t="s">
        <v>6499</v>
      </c>
      <c r="E1782" s="1">
        <v>7013</v>
      </c>
      <c r="F1782" s="1" t="s">
        <v>6498</v>
      </c>
      <c r="G1782" s="1">
        <v>1</v>
      </c>
      <c r="L1782" s="1">
        <v>400000</v>
      </c>
      <c r="N1782" s="1">
        <v>600</v>
      </c>
      <c r="P1782" s="1">
        <v>500</v>
      </c>
      <c r="R1782" s="1">
        <v>70</v>
      </c>
      <c r="Z1782" s="1">
        <v>0.05</v>
      </c>
      <c r="AA1782" s="1">
        <v>3.5</v>
      </c>
      <c r="AB1782" s="1">
        <v>6</v>
      </c>
      <c r="AC1782" s="1">
        <v>0.8</v>
      </c>
      <c r="AH1782" s="1">
        <v>-1</v>
      </c>
      <c r="AI1782" s="1">
        <v>1</v>
      </c>
      <c r="AJ1782" s="1" t="s">
        <v>6500</v>
      </c>
      <c r="AK1782" s="1" t="s">
        <v>265</v>
      </c>
      <c r="AL1782" s="1" t="s">
        <v>228</v>
      </c>
      <c r="AN1782" s="22" t="s">
        <v>9767</v>
      </c>
      <c r="AX1782" s="1">
        <v>1</v>
      </c>
      <c r="AZ1782" s="1">
        <v>0.1</v>
      </c>
      <c r="BG1782" s="1" t="s">
        <v>6498</v>
      </c>
      <c r="BM1782" s="1" t="s">
        <v>1328</v>
      </c>
      <c r="BQ1782" s="1" t="s">
        <v>207</v>
      </c>
      <c r="BR1782" s="1" t="s">
        <v>208</v>
      </c>
      <c r="BS1782" s="1" t="s">
        <v>229</v>
      </c>
      <c r="BT1782" s="1" t="s">
        <v>210</v>
      </c>
      <c r="BX1782" s="1">
        <v>1</v>
      </c>
    </row>
    <row r="1783" spans="1:76" x14ac:dyDescent="0.25">
      <c r="A1783" s="1" t="s">
        <v>6501</v>
      </c>
      <c r="B1783" s="1" t="s">
        <v>203</v>
      </c>
      <c r="D1783" s="1" t="s">
        <v>6502</v>
      </c>
      <c r="E1783" s="1">
        <v>7014</v>
      </c>
      <c r="F1783" s="1" t="s">
        <v>6501</v>
      </c>
      <c r="G1783" s="1">
        <v>1</v>
      </c>
      <c r="L1783" s="1">
        <v>500000</v>
      </c>
      <c r="N1783" s="1">
        <v>1000</v>
      </c>
      <c r="P1783" s="1">
        <v>1200</v>
      </c>
      <c r="R1783" s="1">
        <v>30</v>
      </c>
      <c r="Z1783" s="1">
        <v>0.05</v>
      </c>
      <c r="AA1783" s="1">
        <v>4</v>
      </c>
      <c r="AB1783" s="1">
        <v>6</v>
      </c>
      <c r="AC1783" s="1">
        <v>0.9</v>
      </c>
      <c r="AH1783" s="1">
        <v>0</v>
      </c>
      <c r="AI1783" s="1">
        <v>1</v>
      </c>
      <c r="AJ1783" s="1" t="s">
        <v>6503</v>
      </c>
      <c r="AK1783" s="1" t="s">
        <v>265</v>
      </c>
      <c r="AL1783" s="1" t="s">
        <v>228</v>
      </c>
      <c r="AN1783" s="22" t="s">
        <v>9767</v>
      </c>
      <c r="AR1783" s="1">
        <v>2</v>
      </c>
      <c r="AX1783" s="1">
        <v>1</v>
      </c>
      <c r="AZ1783" s="1">
        <v>0.1</v>
      </c>
      <c r="BG1783" s="1" t="s">
        <v>6501</v>
      </c>
      <c r="BM1783" s="1" t="s">
        <v>996</v>
      </c>
      <c r="BQ1783" s="1" t="s">
        <v>3328</v>
      </c>
      <c r="BR1783" s="1" t="s">
        <v>208</v>
      </c>
      <c r="BS1783" s="1" t="s">
        <v>229</v>
      </c>
      <c r="BT1783" s="1" t="s">
        <v>3329</v>
      </c>
      <c r="BX1783" s="1">
        <v>1</v>
      </c>
    </row>
    <row r="1784" spans="1:76" x14ac:dyDescent="0.25">
      <c r="A1784" s="1" t="s">
        <v>6504</v>
      </c>
      <c r="B1784" s="1" t="s">
        <v>203</v>
      </c>
      <c r="D1784" s="1" t="s">
        <v>6505</v>
      </c>
      <c r="E1784" s="1">
        <v>7015</v>
      </c>
      <c r="F1784" s="1" t="s">
        <v>6504</v>
      </c>
      <c r="G1784" s="1">
        <v>1</v>
      </c>
      <c r="L1784" s="1">
        <v>17000</v>
      </c>
      <c r="N1784" s="1">
        <v>1300</v>
      </c>
      <c r="P1784" s="1">
        <v>2500</v>
      </c>
      <c r="R1784" s="1">
        <v>90</v>
      </c>
      <c r="Z1784" s="1">
        <v>0.05</v>
      </c>
      <c r="AA1784" s="1">
        <v>3</v>
      </c>
      <c r="AB1784" s="1">
        <v>3</v>
      </c>
      <c r="AC1784" s="1">
        <v>0.9</v>
      </c>
      <c r="AH1784" s="1">
        <v>0</v>
      </c>
      <c r="AI1784" s="1">
        <v>1</v>
      </c>
      <c r="AJ1784" s="1" t="s">
        <v>6506</v>
      </c>
      <c r="AK1784" s="1" t="s">
        <v>265</v>
      </c>
      <c r="AL1784" s="1" t="s">
        <v>228</v>
      </c>
      <c r="AN1784" s="22" t="s">
        <v>9767</v>
      </c>
      <c r="AX1784" s="1">
        <v>1</v>
      </c>
      <c r="AZ1784" s="1">
        <v>0.1</v>
      </c>
      <c r="BG1784" s="1" t="s">
        <v>6504</v>
      </c>
      <c r="BM1784" s="1" t="s">
        <v>4132</v>
      </c>
      <c r="BQ1784" s="1" t="s">
        <v>207</v>
      </c>
      <c r="BR1784" s="1" t="s">
        <v>208</v>
      </c>
      <c r="BS1784" s="1" t="s">
        <v>229</v>
      </c>
      <c r="BT1784" s="1" t="s">
        <v>210</v>
      </c>
      <c r="BX1784" s="1">
        <v>1</v>
      </c>
    </row>
    <row r="1785" spans="1:76" x14ac:dyDescent="0.25">
      <c r="A1785" s="1" t="s">
        <v>6507</v>
      </c>
      <c r="B1785" s="1" t="s">
        <v>203</v>
      </c>
      <c r="D1785" s="1" t="s">
        <v>6508</v>
      </c>
      <c r="E1785" s="1" t="s">
        <v>6509</v>
      </c>
      <c r="F1785" s="1" t="s">
        <v>6507</v>
      </c>
      <c r="G1785" s="1">
        <v>1</v>
      </c>
      <c r="L1785" s="1">
        <v>3000</v>
      </c>
      <c r="N1785" s="1">
        <v>400</v>
      </c>
      <c r="P1785" s="1">
        <v>120</v>
      </c>
      <c r="R1785" s="1">
        <v>10</v>
      </c>
      <c r="Z1785" s="1">
        <v>0.05</v>
      </c>
      <c r="AA1785" s="1">
        <v>2</v>
      </c>
      <c r="AB1785" s="1">
        <v>0</v>
      </c>
      <c r="AC1785" s="1">
        <v>1.5</v>
      </c>
      <c r="AH1785" s="1">
        <v>0</v>
      </c>
      <c r="AI1785" s="1">
        <v>1</v>
      </c>
      <c r="AJ1785" s="1" t="s">
        <v>6510</v>
      </c>
      <c r="AK1785" s="1" t="s">
        <v>265</v>
      </c>
      <c r="AL1785" s="1" t="s">
        <v>228</v>
      </c>
      <c r="AN1785" s="22" t="s">
        <v>9767</v>
      </c>
      <c r="AX1785" s="1">
        <v>1</v>
      </c>
      <c r="AZ1785" s="1">
        <v>0.1</v>
      </c>
      <c r="BG1785" s="1" t="s">
        <v>6507</v>
      </c>
      <c r="BM1785" s="1" t="s">
        <v>6511</v>
      </c>
      <c r="BN1785" s="1" t="s">
        <v>1749</v>
      </c>
      <c r="BQ1785" s="1" t="s">
        <v>207</v>
      </c>
      <c r="BR1785" s="1" t="s">
        <v>208</v>
      </c>
      <c r="BS1785" s="1" t="s">
        <v>229</v>
      </c>
      <c r="BT1785" s="1" t="s">
        <v>210</v>
      </c>
      <c r="BX1785" s="1">
        <v>1</v>
      </c>
    </row>
    <row r="1786" spans="1:76" x14ac:dyDescent="0.25">
      <c r="A1786" s="1" t="s">
        <v>6512</v>
      </c>
      <c r="B1786" s="1" t="s">
        <v>203</v>
      </c>
      <c r="D1786" s="1" t="s">
        <v>6513</v>
      </c>
      <c r="E1786" s="1" t="s">
        <v>6514</v>
      </c>
      <c r="F1786" s="1" t="s">
        <v>6512</v>
      </c>
      <c r="G1786" s="1">
        <v>1</v>
      </c>
      <c r="L1786" s="1">
        <v>11500</v>
      </c>
      <c r="N1786" s="1">
        <v>1000</v>
      </c>
      <c r="P1786" s="1">
        <v>400</v>
      </c>
      <c r="R1786" s="1">
        <v>20</v>
      </c>
      <c r="Z1786" s="1">
        <v>0.05</v>
      </c>
      <c r="AA1786" s="1">
        <v>4</v>
      </c>
      <c r="AB1786" s="1">
        <v>1</v>
      </c>
      <c r="AC1786" s="1">
        <v>0.7</v>
      </c>
      <c r="AH1786" s="1">
        <v>0</v>
      </c>
      <c r="AI1786" s="1">
        <v>1</v>
      </c>
      <c r="AJ1786" s="1" t="s">
        <v>6515</v>
      </c>
      <c r="AK1786" s="1" t="s">
        <v>265</v>
      </c>
      <c r="AL1786" s="1" t="s">
        <v>228</v>
      </c>
      <c r="AN1786" s="22" t="s">
        <v>9767</v>
      </c>
      <c r="AX1786" s="1">
        <v>1</v>
      </c>
      <c r="AZ1786" s="1">
        <v>0.1</v>
      </c>
      <c r="BG1786" s="1" t="s">
        <v>6512</v>
      </c>
      <c r="BM1786" s="1" t="s">
        <v>930</v>
      </c>
      <c r="BN1786" s="1" t="s">
        <v>1749</v>
      </c>
      <c r="BQ1786" s="1" t="s">
        <v>207</v>
      </c>
      <c r="BR1786" s="1" t="s">
        <v>208</v>
      </c>
      <c r="BS1786" s="1" t="s">
        <v>229</v>
      </c>
      <c r="BT1786" s="1" t="s">
        <v>210</v>
      </c>
      <c r="BX1786" s="1">
        <v>1</v>
      </c>
    </row>
    <row r="1787" spans="1:76" x14ac:dyDescent="0.25">
      <c r="A1787" s="1" t="s">
        <v>6516</v>
      </c>
      <c r="B1787" s="1" t="s">
        <v>203</v>
      </c>
      <c r="D1787" s="1" t="s">
        <v>6517</v>
      </c>
      <c r="E1787" s="1" t="s">
        <v>6518</v>
      </c>
      <c r="F1787" s="1" t="s">
        <v>6516</v>
      </c>
      <c r="G1787" s="1">
        <v>1</v>
      </c>
      <c r="L1787" s="1">
        <v>9800</v>
      </c>
      <c r="N1787" s="1">
        <v>3250</v>
      </c>
      <c r="P1787" s="1">
        <v>285</v>
      </c>
      <c r="R1787" s="1">
        <v>10</v>
      </c>
      <c r="Z1787" s="1">
        <v>0.05</v>
      </c>
      <c r="AA1787" s="1">
        <v>5</v>
      </c>
      <c r="AB1787" s="1">
        <v>1</v>
      </c>
      <c r="AC1787" s="1">
        <v>0.7</v>
      </c>
      <c r="AH1787" s="1">
        <v>0</v>
      </c>
      <c r="AI1787" s="1">
        <v>1</v>
      </c>
      <c r="AJ1787" s="1" t="s">
        <v>6519</v>
      </c>
      <c r="AK1787" s="1" t="s">
        <v>265</v>
      </c>
      <c r="AL1787" s="1" t="s">
        <v>228</v>
      </c>
      <c r="AN1787" s="22" t="s">
        <v>9767</v>
      </c>
      <c r="AX1787" s="1">
        <v>1</v>
      </c>
      <c r="AZ1787" s="1">
        <v>0.1</v>
      </c>
      <c r="BG1787" s="1" t="s">
        <v>6516</v>
      </c>
      <c r="BM1787" s="1" t="s">
        <v>888</v>
      </c>
      <c r="BN1787" s="1" t="s">
        <v>1749</v>
      </c>
      <c r="BQ1787" s="1" t="s">
        <v>207</v>
      </c>
      <c r="BR1787" s="1" t="s">
        <v>208</v>
      </c>
      <c r="BS1787" s="1" t="s">
        <v>229</v>
      </c>
      <c r="BT1787" s="1" t="s">
        <v>210</v>
      </c>
      <c r="BX1787" s="1">
        <v>1</v>
      </c>
    </row>
    <row r="1788" spans="1:76" x14ac:dyDescent="0.25">
      <c r="A1788" s="1" t="s">
        <v>6520</v>
      </c>
      <c r="B1788" s="1" t="s">
        <v>203</v>
      </c>
      <c r="D1788" s="1" t="s">
        <v>6521</v>
      </c>
      <c r="E1788" s="1" t="s">
        <v>6522</v>
      </c>
      <c r="F1788" s="1" t="s">
        <v>6520</v>
      </c>
      <c r="G1788" s="1">
        <v>1</v>
      </c>
      <c r="L1788" s="1">
        <v>35000</v>
      </c>
      <c r="N1788" s="1">
        <v>0</v>
      </c>
      <c r="P1788" s="1">
        <v>200</v>
      </c>
      <c r="R1788" s="1">
        <v>10</v>
      </c>
      <c r="Z1788" s="1">
        <v>0.05</v>
      </c>
      <c r="AA1788" s="1">
        <v>5</v>
      </c>
      <c r="AB1788" s="1">
        <v>1</v>
      </c>
      <c r="AC1788" s="1">
        <v>1.1000000000000001</v>
      </c>
      <c r="AH1788" s="1">
        <v>0</v>
      </c>
      <c r="AI1788" s="1">
        <v>1</v>
      </c>
      <c r="AJ1788" s="1" t="s">
        <v>6523</v>
      </c>
      <c r="AK1788" s="1" t="s">
        <v>265</v>
      </c>
      <c r="AL1788" s="1" t="s">
        <v>228</v>
      </c>
      <c r="AN1788" s="22" t="s">
        <v>9767</v>
      </c>
      <c r="AX1788" s="1">
        <v>1</v>
      </c>
      <c r="AZ1788" s="1">
        <v>0.1</v>
      </c>
      <c r="BG1788" s="1" t="s">
        <v>6520</v>
      </c>
      <c r="BM1788" s="1" t="s">
        <v>3114</v>
      </c>
      <c r="BN1788" s="1" t="s">
        <v>1749</v>
      </c>
      <c r="BQ1788" s="1" t="s">
        <v>207</v>
      </c>
      <c r="BR1788" s="1" t="s">
        <v>208</v>
      </c>
      <c r="BS1788" s="1" t="s">
        <v>229</v>
      </c>
      <c r="BT1788" s="1" t="s">
        <v>210</v>
      </c>
      <c r="BX1788" s="1">
        <v>1</v>
      </c>
    </row>
    <row r="1789" spans="1:76" x14ac:dyDescent="0.25">
      <c r="A1789" s="1" t="s">
        <v>6524</v>
      </c>
      <c r="B1789" s="1" t="s">
        <v>203</v>
      </c>
      <c r="D1789" s="1" t="s">
        <v>6525</v>
      </c>
      <c r="E1789" s="1" t="s">
        <v>6526</v>
      </c>
      <c r="F1789" s="1" t="s">
        <v>6524</v>
      </c>
      <c r="G1789" s="1">
        <v>1</v>
      </c>
      <c r="L1789" s="1">
        <v>35000</v>
      </c>
      <c r="N1789" s="1">
        <v>400</v>
      </c>
      <c r="P1789" s="1">
        <v>300</v>
      </c>
      <c r="R1789" s="1">
        <v>10</v>
      </c>
      <c r="Z1789" s="1">
        <v>0.05</v>
      </c>
      <c r="AA1789" s="1">
        <v>3</v>
      </c>
      <c r="AB1789" s="1">
        <v>1</v>
      </c>
      <c r="AC1789" s="1">
        <v>0.5</v>
      </c>
      <c r="AH1789" s="1">
        <v>0</v>
      </c>
      <c r="AI1789" s="1">
        <v>1</v>
      </c>
      <c r="AJ1789" s="1" t="s">
        <v>6527</v>
      </c>
      <c r="AK1789" s="1" t="s">
        <v>265</v>
      </c>
      <c r="AL1789" s="1" t="s">
        <v>228</v>
      </c>
      <c r="AN1789" s="22" t="s">
        <v>9767</v>
      </c>
      <c r="AX1789" s="1">
        <v>1</v>
      </c>
      <c r="AZ1789" s="1">
        <v>0.1</v>
      </c>
      <c r="BG1789" s="1" t="s">
        <v>6524</v>
      </c>
      <c r="BM1789" s="1" t="s">
        <v>4132</v>
      </c>
      <c r="BN1789" s="1" t="s">
        <v>1749</v>
      </c>
      <c r="BQ1789" s="1" t="s">
        <v>207</v>
      </c>
      <c r="BR1789" s="1" t="s">
        <v>208</v>
      </c>
      <c r="BS1789" s="1" t="s">
        <v>229</v>
      </c>
      <c r="BT1789" s="1" t="s">
        <v>210</v>
      </c>
      <c r="BX1789" s="1">
        <v>1</v>
      </c>
    </row>
    <row r="1790" spans="1:76" x14ac:dyDescent="0.25">
      <c r="A1790" s="1" t="s">
        <v>6528</v>
      </c>
      <c r="B1790" s="1" t="s">
        <v>203</v>
      </c>
      <c r="D1790" s="1" t="s">
        <v>6529</v>
      </c>
      <c r="E1790" s="1" t="s">
        <v>6530</v>
      </c>
      <c r="F1790" s="1" t="s">
        <v>6528</v>
      </c>
      <c r="G1790" s="1">
        <v>1</v>
      </c>
      <c r="L1790" s="1">
        <v>9000</v>
      </c>
      <c r="N1790" s="1">
        <v>0</v>
      </c>
      <c r="P1790" s="1">
        <v>0</v>
      </c>
      <c r="R1790" s="1">
        <v>50</v>
      </c>
      <c r="Z1790" s="1">
        <v>0.05</v>
      </c>
      <c r="AA1790" s="1">
        <v>3</v>
      </c>
      <c r="AB1790" s="1">
        <v>1</v>
      </c>
      <c r="AC1790" s="1">
        <v>1</v>
      </c>
      <c r="AH1790" s="1">
        <v>0</v>
      </c>
      <c r="AI1790" s="1">
        <v>1</v>
      </c>
      <c r="AJ1790" s="1" t="s">
        <v>6531</v>
      </c>
      <c r="AK1790" s="1" t="s">
        <v>265</v>
      </c>
      <c r="AL1790" s="1" t="s">
        <v>228</v>
      </c>
      <c r="AN1790" s="22" t="s">
        <v>9767</v>
      </c>
      <c r="AP1790" s="1">
        <v>1</v>
      </c>
      <c r="AX1790" s="1">
        <v>1</v>
      </c>
      <c r="AZ1790" s="1">
        <v>0.1</v>
      </c>
      <c r="BG1790" s="1" t="s">
        <v>6528</v>
      </c>
      <c r="BM1790" s="1" t="s">
        <v>4816</v>
      </c>
      <c r="BN1790" s="1" t="s">
        <v>1749</v>
      </c>
      <c r="BQ1790" s="1" t="s">
        <v>207</v>
      </c>
      <c r="BR1790" s="1" t="s">
        <v>208</v>
      </c>
      <c r="BS1790" s="1" t="s">
        <v>229</v>
      </c>
      <c r="BT1790" s="1" t="s">
        <v>210</v>
      </c>
      <c r="BX1790" s="1">
        <v>1</v>
      </c>
    </row>
    <row r="1791" spans="1:76" x14ac:dyDescent="0.25">
      <c r="A1791" s="1" t="s">
        <v>6532</v>
      </c>
      <c r="B1791" s="1" t="s">
        <v>203</v>
      </c>
      <c r="D1791" s="1" t="s">
        <v>6533</v>
      </c>
      <c r="E1791" s="1" t="s">
        <v>6534</v>
      </c>
      <c r="F1791" s="1" t="s">
        <v>6532</v>
      </c>
      <c r="G1791" s="1">
        <v>1</v>
      </c>
      <c r="L1791" s="1">
        <v>400000</v>
      </c>
      <c r="N1791" s="1">
        <v>1500</v>
      </c>
      <c r="P1791" s="1">
        <v>1200</v>
      </c>
      <c r="R1791" s="1">
        <v>30</v>
      </c>
      <c r="Z1791" s="1">
        <v>0.05</v>
      </c>
      <c r="AA1791" s="1">
        <v>2.5</v>
      </c>
      <c r="AB1791" s="1">
        <v>6</v>
      </c>
      <c r="AC1791" s="1">
        <v>0.5</v>
      </c>
      <c r="AH1791" s="1">
        <v>0</v>
      </c>
      <c r="AI1791" s="1">
        <v>1</v>
      </c>
      <c r="AJ1791" s="1" t="s">
        <v>6535</v>
      </c>
      <c r="AK1791" s="1" t="s">
        <v>265</v>
      </c>
      <c r="AL1791" s="1" t="s">
        <v>228</v>
      </c>
      <c r="AN1791" s="22" t="s">
        <v>9767</v>
      </c>
      <c r="AX1791" s="1">
        <v>1</v>
      </c>
      <c r="AZ1791" s="1">
        <v>0.1</v>
      </c>
      <c r="BG1791" s="1" t="s">
        <v>6532</v>
      </c>
      <c r="BM1791" s="1" t="s">
        <v>996</v>
      </c>
      <c r="BN1791" s="1" t="s">
        <v>1749</v>
      </c>
      <c r="BQ1791" s="1" t="s">
        <v>207</v>
      </c>
      <c r="BR1791" s="1" t="s">
        <v>208</v>
      </c>
      <c r="BS1791" s="1" t="s">
        <v>229</v>
      </c>
      <c r="BT1791" s="1" t="s">
        <v>210</v>
      </c>
      <c r="BX1791" s="1">
        <v>1</v>
      </c>
    </row>
    <row r="1792" spans="1:76" x14ac:dyDescent="0.25">
      <c r="A1792" s="1" t="s">
        <v>6536</v>
      </c>
      <c r="B1792" s="1" t="s">
        <v>203</v>
      </c>
      <c r="D1792" s="1" t="s">
        <v>6537</v>
      </c>
      <c r="E1792" s="1" t="s">
        <v>6538</v>
      </c>
      <c r="F1792" s="1" t="s">
        <v>6536</v>
      </c>
      <c r="G1792" s="1">
        <v>1</v>
      </c>
      <c r="L1792" s="1">
        <v>9500</v>
      </c>
      <c r="N1792" s="1">
        <v>430</v>
      </c>
      <c r="P1792" s="1">
        <v>350</v>
      </c>
      <c r="R1792" s="1">
        <v>10</v>
      </c>
      <c r="Z1792" s="1">
        <v>0.05</v>
      </c>
      <c r="AA1792" s="1">
        <v>2</v>
      </c>
      <c r="AB1792" s="1">
        <v>6</v>
      </c>
      <c r="AC1792" s="1">
        <v>0.8</v>
      </c>
      <c r="AH1792" s="1">
        <v>0</v>
      </c>
      <c r="AI1792" s="1">
        <v>1</v>
      </c>
      <c r="AJ1792" s="1" t="s">
        <v>6539</v>
      </c>
      <c r="AK1792" s="1" t="s">
        <v>265</v>
      </c>
      <c r="AL1792" s="1" t="s">
        <v>228</v>
      </c>
      <c r="AN1792" s="22" t="s">
        <v>9767</v>
      </c>
      <c r="AX1792" s="1">
        <v>1</v>
      </c>
      <c r="AZ1792" s="1">
        <v>0.1</v>
      </c>
      <c r="BG1792" s="1" t="s">
        <v>6536</v>
      </c>
      <c r="BM1792" s="1" t="s">
        <v>936</v>
      </c>
      <c r="BN1792" s="1" t="s">
        <v>1749</v>
      </c>
      <c r="BQ1792" s="1" t="s">
        <v>207</v>
      </c>
      <c r="BR1792" s="1" t="s">
        <v>208</v>
      </c>
      <c r="BS1792" s="1" t="s">
        <v>229</v>
      </c>
      <c r="BT1792" s="1" t="s">
        <v>210</v>
      </c>
      <c r="BX1792" s="1">
        <v>1</v>
      </c>
    </row>
    <row r="1793" spans="1:76" x14ac:dyDescent="0.25">
      <c r="A1793" s="1" t="s">
        <v>6540</v>
      </c>
      <c r="B1793" s="1" t="s">
        <v>203</v>
      </c>
      <c r="D1793" s="1" t="s">
        <v>6541</v>
      </c>
      <c r="E1793" s="1" t="s">
        <v>6542</v>
      </c>
      <c r="F1793" s="1" t="s">
        <v>6540</v>
      </c>
      <c r="G1793" s="1">
        <v>1</v>
      </c>
      <c r="L1793" s="1">
        <v>500000</v>
      </c>
      <c r="N1793" s="1">
        <v>900</v>
      </c>
      <c r="P1793" s="1">
        <v>1200</v>
      </c>
      <c r="R1793" s="1">
        <v>60</v>
      </c>
      <c r="Z1793" s="1">
        <v>0.05</v>
      </c>
      <c r="AA1793" s="1">
        <v>3.5</v>
      </c>
      <c r="AB1793" s="1">
        <v>6</v>
      </c>
      <c r="AC1793" s="1">
        <v>0.7</v>
      </c>
      <c r="AH1793" s="1">
        <v>0</v>
      </c>
      <c r="AI1793" s="1">
        <v>1</v>
      </c>
      <c r="AJ1793" s="1" t="s">
        <v>6543</v>
      </c>
      <c r="AK1793" s="1" t="s">
        <v>265</v>
      </c>
      <c r="AL1793" s="1" t="s">
        <v>228</v>
      </c>
      <c r="AN1793" s="22" t="s">
        <v>9767</v>
      </c>
      <c r="AV1793" s="1">
        <v>1500</v>
      </c>
      <c r="AX1793" s="1">
        <v>1</v>
      </c>
      <c r="AZ1793" s="1">
        <v>0.1</v>
      </c>
      <c r="BG1793" s="1" t="s">
        <v>6540</v>
      </c>
      <c r="BM1793" s="1" t="s">
        <v>996</v>
      </c>
      <c r="BN1793" s="1" t="s">
        <v>1749</v>
      </c>
      <c r="BQ1793" s="1" t="s">
        <v>207</v>
      </c>
      <c r="BR1793" s="1" t="s">
        <v>208</v>
      </c>
      <c r="BS1793" s="1" t="s">
        <v>229</v>
      </c>
      <c r="BT1793" s="1" t="s">
        <v>210</v>
      </c>
      <c r="BX1793" s="1">
        <v>1</v>
      </c>
    </row>
    <row r="1794" spans="1:76" x14ac:dyDescent="0.25">
      <c r="A1794" s="1" t="s">
        <v>6544</v>
      </c>
      <c r="B1794" s="1" t="s">
        <v>203</v>
      </c>
      <c r="D1794" s="1" t="s">
        <v>6545</v>
      </c>
      <c r="E1794" s="1" t="s">
        <v>6546</v>
      </c>
      <c r="F1794" s="1" t="s">
        <v>6544</v>
      </c>
      <c r="G1794" s="1">
        <v>1</v>
      </c>
      <c r="L1794" s="1">
        <v>10000</v>
      </c>
      <c r="N1794" s="1">
        <v>400</v>
      </c>
      <c r="P1794" s="1">
        <v>400</v>
      </c>
      <c r="R1794" s="1">
        <v>50</v>
      </c>
      <c r="Z1794" s="1">
        <v>0.05</v>
      </c>
      <c r="AA1794" s="1">
        <v>4</v>
      </c>
      <c r="AB1794" s="1">
        <v>2</v>
      </c>
      <c r="AC1794" s="1">
        <v>0.8</v>
      </c>
      <c r="AH1794" s="1">
        <v>0</v>
      </c>
      <c r="AI1794" s="1">
        <v>1</v>
      </c>
      <c r="AJ1794" s="1" t="s">
        <v>6547</v>
      </c>
      <c r="AK1794" s="1" t="s">
        <v>265</v>
      </c>
      <c r="AL1794" s="1" t="s">
        <v>228</v>
      </c>
      <c r="AN1794" s="22" t="s">
        <v>9767</v>
      </c>
      <c r="AV1794" s="1">
        <v>800</v>
      </c>
      <c r="AX1794" s="1">
        <v>1</v>
      </c>
      <c r="AZ1794" s="1">
        <v>0.1</v>
      </c>
      <c r="BG1794" s="1" t="s">
        <v>6544</v>
      </c>
      <c r="BM1794" s="1" t="s">
        <v>936</v>
      </c>
      <c r="BN1794" s="1" t="s">
        <v>1749</v>
      </c>
      <c r="BQ1794" s="1" t="s">
        <v>207</v>
      </c>
      <c r="BR1794" s="1" t="s">
        <v>208</v>
      </c>
      <c r="BS1794" s="1" t="s">
        <v>229</v>
      </c>
      <c r="BT1794" s="1" t="s">
        <v>210</v>
      </c>
      <c r="BX1794" s="1">
        <v>1</v>
      </c>
    </row>
    <row r="1795" spans="1:76" x14ac:dyDescent="0.25">
      <c r="A1795" s="1" t="s">
        <v>6548</v>
      </c>
      <c r="B1795" s="1" t="s">
        <v>203</v>
      </c>
      <c r="D1795" s="1" t="s">
        <v>6549</v>
      </c>
      <c r="E1795" s="1" t="s">
        <v>6550</v>
      </c>
      <c r="F1795" s="1" t="s">
        <v>6548</v>
      </c>
      <c r="G1795" s="1">
        <v>1</v>
      </c>
      <c r="L1795" s="1">
        <v>700000</v>
      </c>
      <c r="N1795" s="1">
        <v>1150</v>
      </c>
      <c r="P1795" s="1">
        <v>2000</v>
      </c>
      <c r="R1795" s="1">
        <v>20</v>
      </c>
      <c r="Z1795" s="1">
        <v>0.05</v>
      </c>
      <c r="AA1795" s="1">
        <v>3</v>
      </c>
      <c r="AB1795" s="1">
        <v>6</v>
      </c>
      <c r="AC1795" s="1">
        <v>0.4</v>
      </c>
      <c r="AH1795" s="1">
        <v>0</v>
      </c>
      <c r="AI1795" s="1">
        <v>1</v>
      </c>
      <c r="AJ1795" s="1" t="s">
        <v>6551</v>
      </c>
      <c r="AK1795" s="1" t="s">
        <v>265</v>
      </c>
      <c r="AL1795" s="1" t="s">
        <v>228</v>
      </c>
      <c r="AN1795" s="22" t="s">
        <v>9767</v>
      </c>
      <c r="AX1795" s="1">
        <v>1</v>
      </c>
      <c r="AZ1795" s="1">
        <v>0.1</v>
      </c>
      <c r="BG1795" s="1" t="s">
        <v>6548</v>
      </c>
      <c r="BM1795" s="1" t="s">
        <v>996</v>
      </c>
      <c r="BN1795" s="1" t="s">
        <v>1749</v>
      </c>
      <c r="BQ1795" s="1" t="s">
        <v>207</v>
      </c>
      <c r="BR1795" s="1" t="s">
        <v>208</v>
      </c>
      <c r="BS1795" s="1" t="s">
        <v>229</v>
      </c>
      <c r="BT1795" s="1" t="s">
        <v>4425</v>
      </c>
      <c r="BX1795" s="1">
        <v>1</v>
      </c>
    </row>
    <row r="1796" spans="1:76" x14ac:dyDescent="0.25">
      <c r="A1796" s="1" t="s">
        <v>6552</v>
      </c>
      <c r="B1796" s="1" t="s">
        <v>203</v>
      </c>
      <c r="D1796" s="1" t="s">
        <v>6553</v>
      </c>
      <c r="E1796" s="1">
        <v>7027</v>
      </c>
      <c r="F1796" s="1" t="s">
        <v>6552</v>
      </c>
      <c r="G1796" s="1">
        <v>1</v>
      </c>
      <c r="L1796" s="1">
        <v>350000</v>
      </c>
      <c r="N1796" s="1">
        <v>800</v>
      </c>
      <c r="P1796" s="1">
        <v>150</v>
      </c>
      <c r="R1796" s="1">
        <v>20</v>
      </c>
      <c r="Z1796" s="1">
        <v>0.05</v>
      </c>
      <c r="AA1796" s="1">
        <v>5</v>
      </c>
      <c r="AB1796" s="1">
        <v>6</v>
      </c>
      <c r="AC1796" s="1">
        <v>0.7</v>
      </c>
      <c r="AH1796" s="1">
        <v>0</v>
      </c>
      <c r="AI1796" s="1">
        <v>1</v>
      </c>
      <c r="AJ1796" s="1" t="s">
        <v>6554</v>
      </c>
      <c r="AK1796" s="1" t="s">
        <v>265</v>
      </c>
      <c r="AL1796" s="1" t="s">
        <v>228</v>
      </c>
      <c r="AN1796" s="22" t="s">
        <v>9767</v>
      </c>
      <c r="AP1796" s="1">
        <v>0.5</v>
      </c>
      <c r="AX1796" s="1">
        <v>1</v>
      </c>
      <c r="AZ1796" s="1">
        <v>0.1</v>
      </c>
      <c r="BG1796" s="1" t="s">
        <v>6552</v>
      </c>
      <c r="BM1796" s="1" t="s">
        <v>6555</v>
      </c>
      <c r="BQ1796" s="1" t="s">
        <v>207</v>
      </c>
      <c r="BR1796" s="1" t="s">
        <v>208</v>
      </c>
      <c r="BS1796" s="1" t="s">
        <v>229</v>
      </c>
      <c r="BT1796" s="1" t="s">
        <v>210</v>
      </c>
      <c r="BX1796" s="1">
        <v>1</v>
      </c>
    </row>
    <row r="1797" spans="1:76" x14ac:dyDescent="0.25">
      <c r="A1797" s="1" t="s">
        <v>6556</v>
      </c>
      <c r="B1797" s="1" t="s">
        <v>203</v>
      </c>
      <c r="D1797" s="1" t="s">
        <v>6557</v>
      </c>
      <c r="E1797" s="1">
        <v>7028</v>
      </c>
      <c r="F1797" s="1" t="s">
        <v>6556</v>
      </c>
      <c r="G1797" s="1">
        <v>1</v>
      </c>
      <c r="L1797" s="1">
        <v>450000</v>
      </c>
      <c r="N1797" s="1">
        <v>800</v>
      </c>
      <c r="P1797" s="1">
        <v>2000</v>
      </c>
      <c r="R1797" s="1">
        <v>20</v>
      </c>
      <c r="Z1797" s="1">
        <v>0.05</v>
      </c>
      <c r="AA1797" s="1">
        <v>5</v>
      </c>
      <c r="AB1797" s="1">
        <v>6</v>
      </c>
      <c r="AC1797" s="1">
        <v>0.6</v>
      </c>
      <c r="AH1797" s="1">
        <v>0</v>
      </c>
      <c r="AI1797" s="1">
        <v>1</v>
      </c>
      <c r="AJ1797" s="1" t="s">
        <v>6558</v>
      </c>
      <c r="AK1797" s="1" t="s">
        <v>265</v>
      </c>
      <c r="AL1797" s="1" t="s">
        <v>228</v>
      </c>
      <c r="AN1797" s="22" t="s">
        <v>9767</v>
      </c>
      <c r="AX1797" s="1">
        <v>1</v>
      </c>
      <c r="AZ1797" s="1">
        <v>0.1</v>
      </c>
      <c r="BG1797" s="1" t="s">
        <v>6556</v>
      </c>
      <c r="BM1797" s="1" t="s">
        <v>996</v>
      </c>
      <c r="BQ1797" s="1" t="s">
        <v>207</v>
      </c>
      <c r="BR1797" s="1" t="s">
        <v>208</v>
      </c>
      <c r="BS1797" s="1" t="s">
        <v>229</v>
      </c>
      <c r="BT1797" s="1" t="s">
        <v>210</v>
      </c>
      <c r="BX1797" s="1">
        <v>1</v>
      </c>
    </row>
    <row r="1798" spans="1:76" x14ac:dyDescent="0.25">
      <c r="A1798" s="1" t="s">
        <v>6559</v>
      </c>
      <c r="B1798" s="1" t="s">
        <v>203</v>
      </c>
      <c r="D1798" s="1" t="s">
        <v>6560</v>
      </c>
      <c r="E1798" s="1">
        <v>7030</v>
      </c>
      <c r="F1798" s="1" t="s">
        <v>6559</v>
      </c>
      <c r="G1798" s="1">
        <v>1</v>
      </c>
      <c r="L1798" s="1">
        <v>750000</v>
      </c>
      <c r="N1798" s="1">
        <v>1600</v>
      </c>
      <c r="P1798" s="1">
        <v>2500</v>
      </c>
      <c r="R1798" s="1">
        <v>70</v>
      </c>
      <c r="Z1798" s="1">
        <v>0.05</v>
      </c>
      <c r="AA1798" s="1">
        <v>8</v>
      </c>
      <c r="AB1798" s="1">
        <v>5</v>
      </c>
      <c r="AC1798" s="1">
        <v>0.6</v>
      </c>
      <c r="AH1798" s="1">
        <v>0</v>
      </c>
      <c r="AI1798" s="1">
        <v>1</v>
      </c>
      <c r="AJ1798" s="1" t="s">
        <v>6561</v>
      </c>
      <c r="AK1798" s="1" t="s">
        <v>265</v>
      </c>
      <c r="AL1798" s="1" t="s">
        <v>228</v>
      </c>
      <c r="AN1798" s="22" t="s">
        <v>9767</v>
      </c>
      <c r="AX1798" s="1">
        <v>1</v>
      </c>
      <c r="AZ1798" s="1">
        <v>0.1</v>
      </c>
      <c r="BG1798" s="1" t="s">
        <v>6559</v>
      </c>
      <c r="BM1798" s="1" t="s">
        <v>996</v>
      </c>
      <c r="BQ1798" s="1" t="s">
        <v>207</v>
      </c>
      <c r="BR1798" s="1" t="s">
        <v>208</v>
      </c>
      <c r="BS1798" s="1" t="s">
        <v>229</v>
      </c>
      <c r="BT1798" s="1" t="s">
        <v>210</v>
      </c>
      <c r="BX1798" s="1">
        <v>1</v>
      </c>
    </row>
    <row r="1799" spans="1:76" x14ac:dyDescent="0.25">
      <c r="A1799" s="1" t="s">
        <v>6562</v>
      </c>
      <c r="B1799" s="1" t="s">
        <v>203</v>
      </c>
      <c r="D1799" s="1" t="s">
        <v>6563</v>
      </c>
      <c r="E1799" s="1">
        <v>7029</v>
      </c>
      <c r="F1799" s="1" t="s">
        <v>6562</v>
      </c>
      <c r="G1799" s="1">
        <v>1</v>
      </c>
      <c r="L1799" s="1">
        <v>600000</v>
      </c>
      <c r="N1799" s="1">
        <v>800</v>
      </c>
      <c r="P1799" s="1">
        <v>150</v>
      </c>
      <c r="R1799" s="1">
        <v>70</v>
      </c>
      <c r="Z1799" s="1">
        <v>0.05</v>
      </c>
      <c r="AA1799" s="1">
        <v>5</v>
      </c>
      <c r="AB1799" s="1">
        <v>5</v>
      </c>
      <c r="AC1799" s="1">
        <v>0.7</v>
      </c>
      <c r="AH1799" s="1">
        <v>0</v>
      </c>
      <c r="AI1799" s="1">
        <v>1</v>
      </c>
      <c r="AJ1799" s="1" t="s">
        <v>6564</v>
      </c>
      <c r="AK1799" s="1" t="s">
        <v>265</v>
      </c>
      <c r="AL1799" s="1" t="s">
        <v>228</v>
      </c>
      <c r="AN1799" s="22" t="s">
        <v>9767</v>
      </c>
      <c r="AX1799" s="1">
        <v>1</v>
      </c>
      <c r="AZ1799" s="1">
        <v>0.1</v>
      </c>
      <c r="BG1799" s="1" t="s">
        <v>6562</v>
      </c>
      <c r="BM1799" s="1" t="s">
        <v>1328</v>
      </c>
      <c r="BQ1799" s="1" t="s">
        <v>4359</v>
      </c>
      <c r="BR1799" s="1" t="s">
        <v>4360</v>
      </c>
      <c r="BS1799" s="1" t="s">
        <v>4361</v>
      </c>
      <c r="BT1799" s="1" t="s">
        <v>4362</v>
      </c>
      <c r="BX1799" s="1">
        <v>1</v>
      </c>
    </row>
    <row r="1800" spans="1:76" x14ac:dyDescent="0.25">
      <c r="A1800" s="1" t="s">
        <v>6565</v>
      </c>
      <c r="B1800" s="1" t="s">
        <v>203</v>
      </c>
      <c r="D1800" s="1" t="s">
        <v>6566</v>
      </c>
      <c r="E1800" s="1">
        <v>7031</v>
      </c>
      <c r="F1800" s="1" t="s">
        <v>6565</v>
      </c>
      <c r="G1800" s="1">
        <v>1</v>
      </c>
      <c r="L1800" s="1">
        <v>450000</v>
      </c>
      <c r="N1800" s="1">
        <v>800</v>
      </c>
      <c r="P1800" s="1">
        <v>900</v>
      </c>
      <c r="R1800" s="1">
        <v>70</v>
      </c>
      <c r="Z1800" s="1">
        <v>0.05</v>
      </c>
      <c r="AA1800" s="1">
        <v>4</v>
      </c>
      <c r="AB1800" s="1">
        <v>5</v>
      </c>
      <c r="AC1800" s="1">
        <v>0.9</v>
      </c>
      <c r="AH1800" s="1">
        <v>0</v>
      </c>
      <c r="AI1800" s="1">
        <v>1</v>
      </c>
      <c r="AJ1800" s="1" t="s">
        <v>6567</v>
      </c>
      <c r="AK1800" s="1" t="s">
        <v>265</v>
      </c>
      <c r="AL1800" s="1" t="s">
        <v>228</v>
      </c>
      <c r="AN1800" s="22" t="s">
        <v>9767</v>
      </c>
      <c r="AX1800" s="1">
        <v>1</v>
      </c>
      <c r="AZ1800" s="1">
        <v>0.1</v>
      </c>
      <c r="BG1800" s="1" t="s">
        <v>6565</v>
      </c>
      <c r="BM1800" s="1" t="s">
        <v>996</v>
      </c>
      <c r="BQ1800" s="1" t="s">
        <v>207</v>
      </c>
      <c r="BR1800" s="1" t="s">
        <v>208</v>
      </c>
      <c r="BS1800" s="1" t="s">
        <v>1936</v>
      </c>
      <c r="BT1800" s="1" t="s">
        <v>210</v>
      </c>
      <c r="BX1800" s="1">
        <v>1</v>
      </c>
    </row>
    <row r="1801" spans="1:76" x14ac:dyDescent="0.25">
      <c r="A1801" s="1" t="s">
        <v>6568</v>
      </c>
      <c r="B1801" s="1" t="s">
        <v>203</v>
      </c>
      <c r="D1801" s="1" t="s">
        <v>6569</v>
      </c>
      <c r="E1801" s="1" t="s">
        <v>6570</v>
      </c>
      <c r="F1801" s="1" t="s">
        <v>6568</v>
      </c>
      <c r="G1801" s="1">
        <v>1</v>
      </c>
      <c r="L1801" s="1">
        <v>5000</v>
      </c>
      <c r="N1801" s="1">
        <v>100</v>
      </c>
      <c r="P1801" s="1">
        <v>0</v>
      </c>
      <c r="R1801" s="1">
        <v>0</v>
      </c>
      <c r="Z1801" s="1">
        <v>0.05</v>
      </c>
      <c r="AA1801" s="1">
        <v>0.1</v>
      </c>
      <c r="AB1801" s="1">
        <v>0</v>
      </c>
      <c r="AC1801" s="1">
        <v>1.5</v>
      </c>
      <c r="AH1801" s="1">
        <v>0</v>
      </c>
      <c r="AI1801" s="1">
        <v>1</v>
      </c>
      <c r="AJ1801" s="1" t="s">
        <v>6571</v>
      </c>
      <c r="AK1801" s="1" t="s">
        <v>265</v>
      </c>
      <c r="AL1801" s="1" t="s">
        <v>228</v>
      </c>
      <c r="AN1801" s="22" t="s">
        <v>9767</v>
      </c>
      <c r="AX1801" s="1">
        <v>1</v>
      </c>
      <c r="AZ1801" s="1">
        <v>0.1</v>
      </c>
      <c r="BG1801" s="1" t="s">
        <v>6482</v>
      </c>
      <c r="BM1801" s="1" t="s">
        <v>3410</v>
      </c>
      <c r="BN1801" s="1" t="s">
        <v>2704</v>
      </c>
      <c r="BQ1801" s="1" t="s">
        <v>207</v>
      </c>
      <c r="BR1801" s="1" t="s">
        <v>208</v>
      </c>
      <c r="BS1801" s="1" t="s">
        <v>229</v>
      </c>
      <c r="BT1801" s="1" t="s">
        <v>210</v>
      </c>
      <c r="BX1801" s="1">
        <v>1</v>
      </c>
    </row>
    <row r="1802" spans="1:76" x14ac:dyDescent="0.25">
      <c r="A1802" s="1" t="s">
        <v>6572</v>
      </c>
      <c r="B1802" s="1" t="s">
        <v>203</v>
      </c>
      <c r="D1802" s="1" t="s">
        <v>6573</v>
      </c>
      <c r="E1802" s="1" t="s">
        <v>6574</v>
      </c>
      <c r="F1802" s="1" t="s">
        <v>6572</v>
      </c>
      <c r="G1802" s="1">
        <v>1</v>
      </c>
      <c r="L1802" s="1">
        <v>20000</v>
      </c>
      <c r="N1802" s="1">
        <v>600</v>
      </c>
      <c r="P1802" s="1">
        <v>200</v>
      </c>
      <c r="R1802" s="1">
        <v>80</v>
      </c>
      <c r="Z1802" s="1">
        <v>0.05</v>
      </c>
      <c r="AA1802" s="1">
        <v>3</v>
      </c>
      <c r="AB1802" s="1">
        <v>3</v>
      </c>
      <c r="AC1802" s="1">
        <v>0.75</v>
      </c>
      <c r="AH1802" s="1">
        <v>0</v>
      </c>
      <c r="AI1802" s="1">
        <v>1</v>
      </c>
      <c r="AJ1802" s="1" t="s">
        <v>6575</v>
      </c>
      <c r="AK1802" s="1" t="s">
        <v>265</v>
      </c>
      <c r="AL1802" s="1" t="s">
        <v>228</v>
      </c>
      <c r="AN1802" s="22" t="s">
        <v>9767</v>
      </c>
      <c r="AX1802" s="1">
        <v>1</v>
      </c>
      <c r="AZ1802" s="1">
        <v>0.1</v>
      </c>
      <c r="BG1802" s="1" t="s">
        <v>6572</v>
      </c>
      <c r="BM1802" s="1" t="s">
        <v>888</v>
      </c>
      <c r="BN1802" s="1" t="s">
        <v>896</v>
      </c>
      <c r="BQ1802" s="1" t="s">
        <v>207</v>
      </c>
      <c r="BR1802" s="1" t="s">
        <v>208</v>
      </c>
      <c r="BS1802" s="1" t="s">
        <v>229</v>
      </c>
      <c r="BT1802" s="1" t="s">
        <v>210</v>
      </c>
      <c r="BX1802" s="1">
        <v>1</v>
      </c>
    </row>
    <row r="1803" spans="1:76" x14ac:dyDescent="0.25">
      <c r="A1803" s="1" t="s">
        <v>6576</v>
      </c>
      <c r="B1803" s="1" t="s">
        <v>203</v>
      </c>
      <c r="D1803" s="1" t="s">
        <v>6577</v>
      </c>
      <c r="E1803" s="1" t="s">
        <v>6578</v>
      </c>
      <c r="F1803" s="1" t="s">
        <v>6576</v>
      </c>
      <c r="G1803" s="1">
        <v>1</v>
      </c>
      <c r="L1803" s="1">
        <v>15000</v>
      </c>
      <c r="N1803" s="1">
        <v>1000</v>
      </c>
      <c r="P1803" s="1">
        <v>500</v>
      </c>
      <c r="R1803" s="1">
        <v>0</v>
      </c>
      <c r="Z1803" s="1">
        <v>0.05</v>
      </c>
      <c r="AA1803" s="1">
        <v>2.5</v>
      </c>
      <c r="AB1803" s="1">
        <v>4</v>
      </c>
      <c r="AC1803" s="1">
        <v>1</v>
      </c>
      <c r="AH1803" s="1">
        <v>0</v>
      </c>
      <c r="AI1803" s="1">
        <v>1</v>
      </c>
      <c r="AJ1803" s="1" t="s">
        <v>6579</v>
      </c>
      <c r="AK1803" s="1" t="s">
        <v>265</v>
      </c>
      <c r="AL1803" s="1" t="s">
        <v>228</v>
      </c>
      <c r="AN1803" s="22" t="s">
        <v>9767</v>
      </c>
      <c r="AX1803" s="1">
        <v>1</v>
      </c>
      <c r="AZ1803" s="1">
        <v>0.1</v>
      </c>
      <c r="BG1803" s="1" t="s">
        <v>6576</v>
      </c>
      <c r="BM1803" s="1" t="s">
        <v>888</v>
      </c>
      <c r="BN1803" s="1" t="s">
        <v>892</v>
      </c>
      <c r="BQ1803" s="1" t="s">
        <v>207</v>
      </c>
      <c r="BR1803" s="1" t="s">
        <v>208</v>
      </c>
      <c r="BS1803" s="1" t="s">
        <v>229</v>
      </c>
      <c r="BT1803" s="1" t="s">
        <v>210</v>
      </c>
      <c r="BX1803" s="1">
        <v>1</v>
      </c>
    </row>
    <row r="1804" spans="1:76" x14ac:dyDescent="0.25">
      <c r="A1804" s="1" t="s">
        <v>6580</v>
      </c>
      <c r="B1804" s="1" t="s">
        <v>203</v>
      </c>
      <c r="D1804" s="1" t="s">
        <v>6581</v>
      </c>
      <c r="E1804" s="1" t="s">
        <v>6582</v>
      </c>
      <c r="F1804" s="1" t="s">
        <v>6580</v>
      </c>
      <c r="G1804" s="1">
        <v>1</v>
      </c>
      <c r="L1804" s="1">
        <v>3000</v>
      </c>
      <c r="N1804" s="1">
        <v>150</v>
      </c>
      <c r="P1804" s="1">
        <v>200</v>
      </c>
      <c r="R1804" s="1">
        <v>0</v>
      </c>
      <c r="Z1804" s="1">
        <v>0.05</v>
      </c>
      <c r="AA1804" s="1">
        <v>1.4</v>
      </c>
      <c r="AB1804" s="1">
        <v>1</v>
      </c>
      <c r="AC1804" s="1">
        <v>2</v>
      </c>
      <c r="AH1804" s="1">
        <v>0</v>
      </c>
      <c r="AI1804" s="1">
        <v>1</v>
      </c>
      <c r="AJ1804" s="1" t="s">
        <v>6583</v>
      </c>
      <c r="AK1804" s="1" t="s">
        <v>265</v>
      </c>
      <c r="AL1804" s="1" t="s">
        <v>228</v>
      </c>
      <c r="AN1804" s="22" t="s">
        <v>9767</v>
      </c>
      <c r="AX1804" s="1">
        <v>1</v>
      </c>
      <c r="AZ1804" s="1">
        <v>0.1</v>
      </c>
      <c r="BG1804" s="1" t="s">
        <v>6580</v>
      </c>
      <c r="BM1804" s="1" t="s">
        <v>888</v>
      </c>
      <c r="BN1804" s="1" t="s">
        <v>892</v>
      </c>
      <c r="BQ1804" s="1" t="s">
        <v>4412</v>
      </c>
      <c r="BR1804" s="1" t="s">
        <v>4413</v>
      </c>
      <c r="BS1804" s="1" t="s">
        <v>4414</v>
      </c>
      <c r="BT1804" s="1" t="s">
        <v>3183</v>
      </c>
      <c r="BX1804" s="1">
        <v>1</v>
      </c>
    </row>
    <row r="1805" spans="1:76" x14ac:dyDescent="0.25">
      <c r="A1805" s="1" t="s">
        <v>6584</v>
      </c>
      <c r="B1805" s="1" t="s">
        <v>203</v>
      </c>
      <c r="D1805" s="1" t="s">
        <v>6585</v>
      </c>
      <c r="E1805" s="1" t="s">
        <v>6586</v>
      </c>
      <c r="F1805" s="1" t="s">
        <v>6584</v>
      </c>
      <c r="G1805" s="1">
        <v>1</v>
      </c>
      <c r="L1805" s="1">
        <v>11500</v>
      </c>
      <c r="N1805" s="1">
        <v>0</v>
      </c>
      <c r="P1805" s="1">
        <v>400</v>
      </c>
      <c r="R1805" s="1">
        <v>20</v>
      </c>
      <c r="Z1805" s="1">
        <v>0.05</v>
      </c>
      <c r="AA1805" s="1">
        <v>0.05</v>
      </c>
      <c r="AB1805" s="1">
        <v>5</v>
      </c>
      <c r="AC1805" s="1">
        <v>0.7</v>
      </c>
      <c r="AH1805" s="1">
        <v>0</v>
      </c>
      <c r="AI1805" s="1">
        <v>0</v>
      </c>
      <c r="AJ1805" s="1" t="s">
        <v>6587</v>
      </c>
      <c r="AK1805" s="1" t="s">
        <v>206</v>
      </c>
      <c r="AL1805" s="1" t="s">
        <v>228</v>
      </c>
      <c r="AN1805" s="22" t="s">
        <v>9767</v>
      </c>
      <c r="AX1805" s="1">
        <v>0</v>
      </c>
      <c r="AZ1805" s="1">
        <v>0.1</v>
      </c>
      <c r="BG1805" s="1" t="s">
        <v>6584</v>
      </c>
      <c r="BM1805" s="1" t="s">
        <v>6588</v>
      </c>
      <c r="BN1805" s="1" t="s">
        <v>1942</v>
      </c>
      <c r="BQ1805" s="1" t="s">
        <v>207</v>
      </c>
      <c r="BR1805" s="1" t="s">
        <v>208</v>
      </c>
      <c r="BS1805" s="1" t="s">
        <v>229</v>
      </c>
      <c r="BT1805" s="1" t="s">
        <v>210</v>
      </c>
      <c r="BX1805" s="1">
        <v>1</v>
      </c>
    </row>
    <row r="1806" spans="1:76" x14ac:dyDescent="0.25">
      <c r="A1806" s="1" t="s">
        <v>6589</v>
      </c>
      <c r="B1806" s="1" t="s">
        <v>203</v>
      </c>
      <c r="D1806" s="1" t="s">
        <v>6590</v>
      </c>
      <c r="E1806" s="1" t="s">
        <v>6591</v>
      </c>
      <c r="F1806" s="1" t="s">
        <v>6589</v>
      </c>
      <c r="G1806" s="1">
        <v>1</v>
      </c>
      <c r="L1806" s="1">
        <v>40000</v>
      </c>
      <c r="N1806" s="1">
        <v>1850</v>
      </c>
      <c r="P1806" s="1">
        <v>0</v>
      </c>
      <c r="R1806" s="1">
        <v>0</v>
      </c>
      <c r="Z1806" s="1">
        <v>0.05</v>
      </c>
      <c r="AA1806" s="1">
        <v>5</v>
      </c>
      <c r="AB1806" s="1">
        <v>4</v>
      </c>
      <c r="AC1806" s="1">
        <v>0.6</v>
      </c>
      <c r="AH1806" s="1">
        <v>0</v>
      </c>
      <c r="AI1806" s="1">
        <v>1</v>
      </c>
      <c r="AJ1806" s="1" t="s">
        <v>6592</v>
      </c>
      <c r="AK1806" s="1" t="s">
        <v>206</v>
      </c>
      <c r="AL1806" s="1" t="s">
        <v>228</v>
      </c>
      <c r="AN1806" s="22" t="s">
        <v>9767</v>
      </c>
      <c r="AX1806" s="1">
        <v>1</v>
      </c>
      <c r="AZ1806" s="1">
        <v>0.1</v>
      </c>
      <c r="BG1806" s="1" t="s">
        <v>6589</v>
      </c>
      <c r="BM1806" s="1" t="s">
        <v>4132</v>
      </c>
      <c r="BQ1806" s="1" t="s">
        <v>3416</v>
      </c>
      <c r="BR1806" s="1" t="s">
        <v>2593</v>
      </c>
      <c r="BS1806" s="1" t="s">
        <v>2594</v>
      </c>
      <c r="BT1806" s="1" t="s">
        <v>3131</v>
      </c>
      <c r="BX1806" s="1">
        <v>1</v>
      </c>
    </row>
    <row r="1807" spans="1:76" x14ac:dyDescent="0.25">
      <c r="A1807" s="1" t="s">
        <v>6593</v>
      </c>
      <c r="B1807" s="1" t="s">
        <v>203</v>
      </c>
      <c r="D1807" s="1" t="s">
        <v>6594</v>
      </c>
      <c r="E1807" s="1" t="s">
        <v>6595</v>
      </c>
      <c r="F1807" s="1" t="s">
        <v>6593</v>
      </c>
      <c r="G1807" s="1">
        <v>1</v>
      </c>
      <c r="L1807" s="1">
        <v>20000</v>
      </c>
      <c r="N1807" s="1">
        <v>310</v>
      </c>
      <c r="P1807" s="1">
        <v>300</v>
      </c>
      <c r="R1807" s="1">
        <v>70</v>
      </c>
      <c r="Z1807" s="1">
        <v>0.05</v>
      </c>
      <c r="AA1807" s="1">
        <v>2</v>
      </c>
      <c r="AB1807" s="1">
        <v>1</v>
      </c>
      <c r="AC1807" s="1">
        <v>1</v>
      </c>
      <c r="AH1807" s="1">
        <v>0</v>
      </c>
      <c r="AI1807" s="1">
        <v>1</v>
      </c>
      <c r="AJ1807" s="1" t="s">
        <v>6596</v>
      </c>
      <c r="AK1807" s="1" t="s">
        <v>206</v>
      </c>
      <c r="AL1807" s="1" t="s">
        <v>228</v>
      </c>
      <c r="AN1807" s="22" t="s">
        <v>9767</v>
      </c>
      <c r="AX1807" s="1">
        <v>1</v>
      </c>
      <c r="AZ1807" s="1">
        <v>0.1</v>
      </c>
      <c r="BG1807" s="1" t="s">
        <v>6593</v>
      </c>
      <c r="BM1807" s="1" t="s">
        <v>6597</v>
      </c>
      <c r="BQ1807" s="1" t="s">
        <v>207</v>
      </c>
      <c r="BR1807" s="1" t="s">
        <v>208</v>
      </c>
      <c r="BS1807" s="1" t="s">
        <v>229</v>
      </c>
      <c r="BT1807" s="1" t="s">
        <v>210</v>
      </c>
      <c r="BX1807" s="1">
        <v>1</v>
      </c>
    </row>
    <row r="1808" spans="1:76" x14ac:dyDescent="0.25">
      <c r="A1808" s="1" t="s">
        <v>6598</v>
      </c>
      <c r="B1808" s="1" t="s">
        <v>203</v>
      </c>
      <c r="D1808" s="1" t="s">
        <v>6599</v>
      </c>
      <c r="E1808" s="1" t="s">
        <v>6600</v>
      </c>
      <c r="F1808" s="1" t="s">
        <v>6598</v>
      </c>
      <c r="G1808" s="1">
        <v>1</v>
      </c>
      <c r="L1808" s="1">
        <v>70000</v>
      </c>
      <c r="N1808" s="1">
        <v>850</v>
      </c>
      <c r="P1808" s="1">
        <v>450</v>
      </c>
      <c r="R1808" s="1">
        <v>40</v>
      </c>
      <c r="Z1808" s="1">
        <v>0.05</v>
      </c>
      <c r="AA1808" s="1">
        <v>3.2</v>
      </c>
      <c r="AB1808" s="1">
        <v>3</v>
      </c>
      <c r="AC1808" s="1">
        <v>0.8</v>
      </c>
      <c r="AH1808" s="1">
        <v>0</v>
      </c>
      <c r="AI1808" s="1">
        <v>1</v>
      </c>
      <c r="AJ1808" s="1" t="s">
        <v>6601</v>
      </c>
      <c r="AK1808" s="1" t="s">
        <v>206</v>
      </c>
      <c r="AL1808" s="1" t="s">
        <v>228</v>
      </c>
      <c r="AN1808" s="22" t="s">
        <v>9767</v>
      </c>
      <c r="AX1808" s="1">
        <v>1</v>
      </c>
      <c r="AZ1808" s="1">
        <v>0.1</v>
      </c>
      <c r="BG1808" s="1" t="s">
        <v>6598</v>
      </c>
      <c r="BM1808" s="1" t="s">
        <v>6602</v>
      </c>
      <c r="BQ1808" s="1" t="s">
        <v>207</v>
      </c>
      <c r="BR1808" s="1" t="s">
        <v>208</v>
      </c>
      <c r="BS1808" s="1" t="s">
        <v>229</v>
      </c>
      <c r="BT1808" s="1" t="s">
        <v>210</v>
      </c>
      <c r="BX1808" s="1">
        <v>1</v>
      </c>
    </row>
    <row r="1809" spans="1:76" x14ac:dyDescent="0.25">
      <c r="A1809" s="1" t="s">
        <v>6603</v>
      </c>
      <c r="B1809" s="1" t="s">
        <v>203</v>
      </c>
      <c r="D1809" s="1" t="s">
        <v>6599</v>
      </c>
      <c r="E1809" s="1" t="s">
        <v>6600</v>
      </c>
      <c r="F1809" s="1" t="s">
        <v>6598</v>
      </c>
      <c r="G1809" s="1">
        <v>1</v>
      </c>
      <c r="L1809" s="1">
        <v>25000</v>
      </c>
      <c r="N1809" s="1">
        <v>750</v>
      </c>
      <c r="P1809" s="1">
        <v>450</v>
      </c>
      <c r="R1809" s="1">
        <v>40</v>
      </c>
      <c r="Z1809" s="1">
        <v>0.05</v>
      </c>
      <c r="AA1809" s="1">
        <v>3.2</v>
      </c>
      <c r="AB1809" s="1">
        <v>3</v>
      </c>
      <c r="AC1809" s="1">
        <v>0.8</v>
      </c>
      <c r="AH1809" s="1">
        <v>0</v>
      </c>
      <c r="AI1809" s="1">
        <v>0</v>
      </c>
      <c r="AJ1809" s="1" t="s">
        <v>6604</v>
      </c>
      <c r="AK1809" s="1" t="s">
        <v>206</v>
      </c>
      <c r="AL1809" s="1" t="s">
        <v>228</v>
      </c>
      <c r="AN1809" s="22" t="s">
        <v>9767</v>
      </c>
      <c r="AX1809" s="1">
        <v>1</v>
      </c>
      <c r="AZ1809" s="1">
        <v>0.1</v>
      </c>
      <c r="BG1809" s="1" t="s">
        <v>6598</v>
      </c>
      <c r="BM1809" s="1" t="s">
        <v>6605</v>
      </c>
      <c r="BQ1809" s="1" t="s">
        <v>207</v>
      </c>
      <c r="BR1809" s="1" t="s">
        <v>208</v>
      </c>
      <c r="BS1809" s="1" t="s">
        <v>229</v>
      </c>
      <c r="BT1809" s="1" t="s">
        <v>210</v>
      </c>
      <c r="BX1809" s="1">
        <v>1</v>
      </c>
    </row>
    <row r="1810" spans="1:76" x14ac:dyDescent="0.25">
      <c r="A1810" s="1" t="s">
        <v>6606</v>
      </c>
      <c r="B1810" s="1" t="s">
        <v>203</v>
      </c>
      <c r="D1810" s="1" t="s">
        <v>6607</v>
      </c>
      <c r="E1810" s="1" t="s">
        <v>6608</v>
      </c>
      <c r="F1810" s="1" t="s">
        <v>6606</v>
      </c>
      <c r="G1810" s="1">
        <v>1</v>
      </c>
      <c r="L1810" s="1">
        <v>120000</v>
      </c>
      <c r="N1810" s="1">
        <v>700</v>
      </c>
      <c r="P1810" s="1">
        <v>800</v>
      </c>
      <c r="R1810" s="1">
        <v>65</v>
      </c>
      <c r="Z1810" s="1">
        <v>0.05</v>
      </c>
      <c r="AA1810" s="1">
        <v>5</v>
      </c>
      <c r="AB1810" s="1">
        <v>6</v>
      </c>
      <c r="AC1810" s="1">
        <v>0.6</v>
      </c>
      <c r="AH1810" s="1">
        <v>0</v>
      </c>
      <c r="AI1810" s="1">
        <v>1</v>
      </c>
      <c r="AJ1810" s="1" t="s">
        <v>6609</v>
      </c>
      <c r="AK1810" s="1" t="s">
        <v>206</v>
      </c>
      <c r="AL1810" s="1" t="s">
        <v>228</v>
      </c>
      <c r="AN1810" s="22" t="s">
        <v>9767</v>
      </c>
      <c r="AP1810" s="1">
        <v>1</v>
      </c>
      <c r="AX1810" s="1">
        <v>1</v>
      </c>
      <c r="AZ1810" s="1">
        <v>0.1</v>
      </c>
      <c r="BG1810" s="1" t="s">
        <v>6606</v>
      </c>
      <c r="BM1810" s="1" t="s">
        <v>6602</v>
      </c>
      <c r="BQ1810" s="1" t="s">
        <v>207</v>
      </c>
      <c r="BR1810" s="1" t="s">
        <v>208</v>
      </c>
      <c r="BS1810" s="1" t="s">
        <v>229</v>
      </c>
      <c r="BT1810" s="1" t="s">
        <v>210</v>
      </c>
      <c r="BX1810" s="1">
        <v>1</v>
      </c>
    </row>
    <row r="1811" spans="1:76" x14ac:dyDescent="0.25">
      <c r="A1811" s="1" t="s">
        <v>6610</v>
      </c>
      <c r="B1811" s="1" t="s">
        <v>203</v>
      </c>
      <c r="D1811" s="1" t="s">
        <v>6611</v>
      </c>
      <c r="E1811" s="1" t="s">
        <v>6612</v>
      </c>
      <c r="F1811" s="1" t="s">
        <v>6610</v>
      </c>
      <c r="G1811" s="1">
        <v>1</v>
      </c>
      <c r="L1811" s="1">
        <v>100000</v>
      </c>
      <c r="N1811" s="1">
        <v>400</v>
      </c>
      <c r="P1811" s="1">
        <v>1500</v>
      </c>
      <c r="R1811" s="1">
        <v>15</v>
      </c>
      <c r="Z1811" s="1">
        <v>0.05</v>
      </c>
      <c r="AA1811" s="1">
        <v>5</v>
      </c>
      <c r="AB1811" s="1">
        <v>6</v>
      </c>
      <c r="AC1811" s="1">
        <v>0.4</v>
      </c>
      <c r="AH1811" s="1">
        <v>0</v>
      </c>
      <c r="AI1811" s="1">
        <v>1</v>
      </c>
      <c r="AJ1811" s="1" t="s">
        <v>6613</v>
      </c>
      <c r="AK1811" s="1" t="s">
        <v>206</v>
      </c>
      <c r="AL1811" s="1" t="s">
        <v>228</v>
      </c>
      <c r="AN1811" s="22" t="s">
        <v>9767</v>
      </c>
      <c r="AX1811" s="1">
        <v>1</v>
      </c>
      <c r="AZ1811" s="1">
        <v>0.1</v>
      </c>
      <c r="BG1811" s="1" t="s">
        <v>6610</v>
      </c>
      <c r="BM1811" s="1" t="s">
        <v>6602</v>
      </c>
      <c r="BQ1811" s="1" t="s">
        <v>3265</v>
      </c>
      <c r="BR1811" s="1" t="s">
        <v>3202</v>
      </c>
      <c r="BS1811" s="1" t="s">
        <v>3203</v>
      </c>
      <c r="BT1811" s="1" t="s">
        <v>3204</v>
      </c>
      <c r="BX1811" s="1">
        <v>1</v>
      </c>
    </row>
    <row r="1812" spans="1:76" x14ac:dyDescent="0.25">
      <c r="A1812" s="1" t="s">
        <v>6614</v>
      </c>
      <c r="B1812" s="1" t="s">
        <v>203</v>
      </c>
      <c r="D1812" s="1" t="s">
        <v>6615</v>
      </c>
      <c r="E1812" s="1">
        <v>8001</v>
      </c>
      <c r="F1812" s="1" t="s">
        <v>6616</v>
      </c>
      <c r="G1812" s="1">
        <v>1</v>
      </c>
      <c r="L1812" s="1">
        <v>100000</v>
      </c>
      <c r="N1812" s="1">
        <v>3000</v>
      </c>
      <c r="P1812" s="1">
        <v>2000</v>
      </c>
      <c r="R1812" s="1">
        <v>60</v>
      </c>
      <c r="Z1812" s="1">
        <v>0.05</v>
      </c>
      <c r="AA1812" s="1">
        <v>4.5</v>
      </c>
      <c r="AB1812" s="1">
        <v>8</v>
      </c>
      <c r="AC1812" s="1">
        <v>0.4</v>
      </c>
      <c r="AH1812" s="1">
        <v>0</v>
      </c>
      <c r="AI1812" s="1">
        <v>1</v>
      </c>
      <c r="AJ1812" s="1" t="s">
        <v>6617</v>
      </c>
      <c r="AK1812" s="1" t="s">
        <v>6618</v>
      </c>
      <c r="AL1812" s="1" t="s">
        <v>228</v>
      </c>
      <c r="AN1812" s="22" t="s">
        <v>9767</v>
      </c>
      <c r="AX1812" s="1">
        <v>5</v>
      </c>
      <c r="AZ1812" s="1">
        <v>0.1</v>
      </c>
      <c r="BG1812" s="1" t="s">
        <v>6616</v>
      </c>
      <c r="BM1812" s="1" t="s">
        <v>6619</v>
      </c>
      <c r="BQ1812" s="1" t="s">
        <v>2010</v>
      </c>
      <c r="BR1812" s="1" t="s">
        <v>2011</v>
      </c>
      <c r="BS1812" s="1" t="s">
        <v>2012</v>
      </c>
      <c r="BT1812" s="1" t="s">
        <v>6620</v>
      </c>
      <c r="BX1812" s="1">
        <v>1</v>
      </c>
    </row>
    <row r="1813" spans="1:76" x14ac:dyDescent="0.25">
      <c r="A1813" s="1" t="s">
        <v>6621</v>
      </c>
      <c r="B1813" s="1" t="s">
        <v>203</v>
      </c>
      <c r="D1813" s="1" t="s">
        <v>6622</v>
      </c>
      <c r="E1813" s="1">
        <v>8006</v>
      </c>
      <c r="F1813" s="1" t="s">
        <v>6623</v>
      </c>
      <c r="G1813" s="1">
        <v>1</v>
      </c>
      <c r="L1813" s="1">
        <v>80000</v>
      </c>
      <c r="N1813" s="1">
        <v>2250</v>
      </c>
      <c r="P1813" s="1">
        <v>2000</v>
      </c>
      <c r="R1813" s="1">
        <v>40</v>
      </c>
      <c r="Z1813" s="1">
        <v>0.05</v>
      </c>
      <c r="AA1813" s="1">
        <v>4</v>
      </c>
      <c r="AB1813" s="1">
        <v>4</v>
      </c>
      <c r="AC1813" s="1">
        <v>0.5</v>
      </c>
      <c r="AH1813" s="1">
        <v>0</v>
      </c>
      <c r="AI1813" s="1">
        <v>1</v>
      </c>
      <c r="AJ1813" s="1" t="s">
        <v>6624</v>
      </c>
      <c r="AK1813" s="1" t="s">
        <v>265</v>
      </c>
      <c r="AL1813" s="1" t="s">
        <v>228</v>
      </c>
      <c r="AN1813" s="22" t="s">
        <v>9767</v>
      </c>
      <c r="AX1813" s="1">
        <v>1</v>
      </c>
      <c r="AZ1813" s="1">
        <v>0.1</v>
      </c>
      <c r="BG1813" s="1" t="s">
        <v>6623</v>
      </c>
      <c r="BM1813" s="1" t="s">
        <v>6625</v>
      </c>
      <c r="BQ1813" s="1" t="s">
        <v>207</v>
      </c>
      <c r="BR1813" s="1" t="s">
        <v>208</v>
      </c>
      <c r="BS1813" s="1" t="s">
        <v>229</v>
      </c>
      <c r="BT1813" s="1" t="s">
        <v>210</v>
      </c>
      <c r="BX1813" s="1">
        <v>1</v>
      </c>
    </row>
    <row r="1814" spans="1:76" x14ac:dyDescent="0.25">
      <c r="A1814" s="1" t="s">
        <v>6626</v>
      </c>
      <c r="B1814" s="1" t="s">
        <v>203</v>
      </c>
      <c r="D1814" s="1" t="s">
        <v>6627</v>
      </c>
      <c r="E1814" s="1">
        <v>8007</v>
      </c>
      <c r="F1814" s="1" t="s">
        <v>6626</v>
      </c>
      <c r="G1814" s="1">
        <v>1</v>
      </c>
      <c r="L1814" s="1">
        <v>50000</v>
      </c>
      <c r="N1814" s="1">
        <v>2000</v>
      </c>
      <c r="P1814" s="1">
        <v>1000</v>
      </c>
      <c r="R1814" s="1">
        <v>50</v>
      </c>
      <c r="Z1814" s="1">
        <v>0.05</v>
      </c>
      <c r="AA1814" s="1">
        <v>4</v>
      </c>
      <c r="AB1814" s="1">
        <v>3</v>
      </c>
      <c r="AC1814" s="1">
        <v>0.4</v>
      </c>
      <c r="AH1814" s="1">
        <v>0</v>
      </c>
      <c r="AI1814" s="1">
        <v>1</v>
      </c>
      <c r="AJ1814" s="1" t="s">
        <v>6628</v>
      </c>
      <c r="AK1814" s="1" t="s">
        <v>206</v>
      </c>
      <c r="AL1814" s="1" t="s">
        <v>228</v>
      </c>
      <c r="AN1814" s="22" t="s">
        <v>9767</v>
      </c>
      <c r="AX1814" s="1">
        <v>5</v>
      </c>
      <c r="AZ1814" s="1">
        <v>0.1</v>
      </c>
      <c r="BG1814" s="1" t="s">
        <v>6626</v>
      </c>
      <c r="BM1814" s="1" t="s">
        <v>6629</v>
      </c>
      <c r="BQ1814" s="1" t="s">
        <v>207</v>
      </c>
      <c r="BR1814" s="1" t="s">
        <v>2593</v>
      </c>
      <c r="BS1814" s="1" t="s">
        <v>2594</v>
      </c>
      <c r="BT1814" s="1" t="s">
        <v>2151</v>
      </c>
      <c r="BX1814" s="1">
        <v>1</v>
      </c>
    </row>
    <row r="1815" spans="1:76" x14ac:dyDescent="0.25">
      <c r="A1815" s="1" t="s">
        <v>6630</v>
      </c>
      <c r="B1815" s="1" t="s">
        <v>203</v>
      </c>
      <c r="D1815" s="1" t="s">
        <v>6631</v>
      </c>
      <c r="E1815" s="1">
        <v>391</v>
      </c>
      <c r="F1815" s="1" t="s">
        <v>6632</v>
      </c>
      <c r="G1815" s="1">
        <v>0.8</v>
      </c>
      <c r="L1815" s="1">
        <v>20000</v>
      </c>
      <c r="N1815" s="1">
        <v>100</v>
      </c>
      <c r="P1815" s="1">
        <v>1000</v>
      </c>
      <c r="R1815" s="1">
        <v>20</v>
      </c>
      <c r="Z1815" s="1">
        <v>0.05</v>
      </c>
      <c r="AA1815" s="1">
        <v>1</v>
      </c>
      <c r="AB1815" s="1">
        <v>5</v>
      </c>
      <c r="AC1815" s="1">
        <v>0</v>
      </c>
      <c r="AH1815" s="1">
        <v>0</v>
      </c>
      <c r="AI1815" s="1">
        <v>1</v>
      </c>
      <c r="AJ1815" s="1" t="s">
        <v>6633</v>
      </c>
      <c r="AK1815" s="1" t="s">
        <v>206</v>
      </c>
      <c r="AL1815" s="1" t="s">
        <v>228</v>
      </c>
      <c r="AN1815" s="22" t="s">
        <v>9767</v>
      </c>
      <c r="AX1815" s="1">
        <v>0</v>
      </c>
      <c r="AZ1815" s="1">
        <v>0.1</v>
      </c>
      <c r="BG1815" s="1" t="s">
        <v>6630</v>
      </c>
      <c r="BM1815" s="1" t="s">
        <v>6634</v>
      </c>
      <c r="BQ1815" s="1" t="s">
        <v>207</v>
      </c>
      <c r="BR1815" s="1" t="s">
        <v>208</v>
      </c>
      <c r="BS1815" s="1" t="s">
        <v>208</v>
      </c>
      <c r="BT1815" s="1" t="s">
        <v>210</v>
      </c>
      <c r="BX1815" s="1">
        <v>1</v>
      </c>
    </row>
    <row r="1816" spans="1:76" x14ac:dyDescent="0.25">
      <c r="A1816" s="1" t="s">
        <v>6635</v>
      </c>
      <c r="B1816" s="1" t="s">
        <v>203</v>
      </c>
      <c r="D1816" s="1" t="s">
        <v>6631</v>
      </c>
      <c r="E1816" s="1">
        <v>391</v>
      </c>
      <c r="F1816" s="1" t="s">
        <v>6632</v>
      </c>
      <c r="G1816" s="1">
        <v>0.8</v>
      </c>
      <c r="L1816" s="1">
        <v>20000</v>
      </c>
      <c r="N1816" s="1">
        <v>100</v>
      </c>
      <c r="P1816" s="1">
        <v>1000</v>
      </c>
      <c r="R1816" s="1">
        <v>20</v>
      </c>
      <c r="Z1816" s="1">
        <v>0.05</v>
      </c>
      <c r="AA1816" s="1">
        <v>1</v>
      </c>
      <c r="AB1816" s="1">
        <v>5</v>
      </c>
      <c r="AC1816" s="1">
        <v>0</v>
      </c>
      <c r="AH1816" s="1">
        <v>0</v>
      </c>
      <c r="AI1816" s="1">
        <v>1</v>
      </c>
      <c r="AJ1816" s="1" t="s">
        <v>6636</v>
      </c>
      <c r="AK1816" s="1" t="s">
        <v>206</v>
      </c>
      <c r="AL1816" s="1" t="s">
        <v>228</v>
      </c>
      <c r="AN1816" s="22" t="s">
        <v>9767</v>
      </c>
      <c r="AX1816" s="1">
        <v>0</v>
      </c>
      <c r="AZ1816" s="1">
        <v>0.1</v>
      </c>
      <c r="BG1816" s="1" t="s">
        <v>6630</v>
      </c>
      <c r="BM1816" s="1" t="s">
        <v>6637</v>
      </c>
      <c r="BQ1816" s="1" t="s">
        <v>207</v>
      </c>
      <c r="BR1816" s="1" t="s">
        <v>208</v>
      </c>
      <c r="BS1816" s="1" t="s">
        <v>208</v>
      </c>
      <c r="BT1816" s="1" t="s">
        <v>210</v>
      </c>
      <c r="BX1816" s="1">
        <v>1</v>
      </c>
    </row>
    <row r="1817" spans="1:76" x14ac:dyDescent="0.25">
      <c r="A1817" s="1" t="s">
        <v>6638</v>
      </c>
      <c r="B1817" s="1" t="s">
        <v>203</v>
      </c>
      <c r="D1817" s="1" t="s">
        <v>6639</v>
      </c>
      <c r="E1817" s="1">
        <v>8009</v>
      </c>
      <c r="F1817" s="1" t="s">
        <v>6638</v>
      </c>
      <c r="G1817" s="1">
        <v>1</v>
      </c>
      <c r="L1817" s="1">
        <v>10000</v>
      </c>
      <c r="N1817" s="1">
        <v>700</v>
      </c>
      <c r="P1817" s="1">
        <v>550</v>
      </c>
      <c r="R1817" s="1">
        <v>40</v>
      </c>
      <c r="Z1817" s="1">
        <v>0.05</v>
      </c>
      <c r="AA1817" s="1">
        <v>5</v>
      </c>
      <c r="AB1817" s="1">
        <v>3</v>
      </c>
      <c r="AC1817" s="1">
        <v>0.4</v>
      </c>
      <c r="AH1817" s="1">
        <v>0</v>
      </c>
      <c r="AI1817" s="1">
        <v>1</v>
      </c>
      <c r="AJ1817" s="1" t="s">
        <v>6640</v>
      </c>
      <c r="AK1817" s="1" t="s">
        <v>206</v>
      </c>
      <c r="AL1817" s="1" t="s">
        <v>228</v>
      </c>
      <c r="AN1817" s="22" t="s">
        <v>9767</v>
      </c>
      <c r="AP1817" s="1">
        <v>1</v>
      </c>
      <c r="AX1817" s="1">
        <v>1</v>
      </c>
      <c r="AZ1817" s="1">
        <v>0.1</v>
      </c>
      <c r="BG1817" s="1" t="s">
        <v>6638</v>
      </c>
      <c r="BM1817" s="1" t="s">
        <v>6641</v>
      </c>
      <c r="BQ1817" s="1" t="s">
        <v>207</v>
      </c>
      <c r="BR1817" s="1" t="s">
        <v>208</v>
      </c>
      <c r="BS1817" s="1" t="s">
        <v>229</v>
      </c>
      <c r="BT1817" s="1" t="s">
        <v>210</v>
      </c>
      <c r="BX1817" s="1">
        <v>1</v>
      </c>
    </row>
    <row r="1818" spans="1:76" x14ac:dyDescent="0.25">
      <c r="A1818" s="1" t="s">
        <v>6642</v>
      </c>
      <c r="B1818" s="1" t="s">
        <v>203</v>
      </c>
      <c r="D1818" s="1" t="s">
        <v>6639</v>
      </c>
      <c r="E1818" s="1">
        <v>8009</v>
      </c>
      <c r="F1818" s="1" t="s">
        <v>6638</v>
      </c>
      <c r="G1818" s="1">
        <v>1</v>
      </c>
      <c r="L1818" s="1">
        <v>10000</v>
      </c>
      <c r="N1818" s="1">
        <v>700</v>
      </c>
      <c r="P1818" s="1">
        <v>550</v>
      </c>
      <c r="R1818" s="1">
        <v>40</v>
      </c>
      <c r="Z1818" s="1">
        <v>0.05</v>
      </c>
      <c r="AA1818" s="1">
        <v>5</v>
      </c>
      <c r="AB1818" s="1">
        <v>3</v>
      </c>
      <c r="AC1818" s="1">
        <v>0</v>
      </c>
      <c r="AH1818" s="1">
        <v>0</v>
      </c>
      <c r="AI1818" s="1">
        <v>1</v>
      </c>
      <c r="AJ1818" s="1" t="s">
        <v>6643</v>
      </c>
      <c r="AK1818" s="1" t="s">
        <v>206</v>
      </c>
      <c r="AL1818" s="1" t="s">
        <v>228</v>
      </c>
      <c r="AN1818" s="22" t="s">
        <v>9767</v>
      </c>
      <c r="AP1818" s="1">
        <v>1</v>
      </c>
      <c r="AX1818" s="1">
        <v>0</v>
      </c>
      <c r="AZ1818" s="1">
        <v>0.1</v>
      </c>
      <c r="BG1818" s="1" t="s">
        <v>6638</v>
      </c>
      <c r="BM1818" s="1" t="s">
        <v>957</v>
      </c>
      <c r="BQ1818" s="1" t="s">
        <v>207</v>
      </c>
      <c r="BR1818" s="1" t="s">
        <v>208</v>
      </c>
      <c r="BS1818" s="1" t="s">
        <v>229</v>
      </c>
      <c r="BT1818" s="1" t="s">
        <v>210</v>
      </c>
      <c r="BX1818" s="1">
        <v>1</v>
      </c>
    </row>
    <row r="1820" spans="1:76" x14ac:dyDescent="0.25">
      <c r="A1820" s="22" t="s">
        <v>9731</v>
      </c>
      <c r="B1820" s="1" t="s">
        <v>203</v>
      </c>
      <c r="D1820" s="1" t="s">
        <v>887</v>
      </c>
      <c r="E1820" s="1">
        <v>1007</v>
      </c>
      <c r="F1820" s="1" t="str">
        <f t="shared" ref="F1820" si="224">"enemy_"&amp;E1820&amp;"_"&amp;D1820</f>
        <v>enemy_1007_slime</v>
      </c>
      <c r="G1820" s="1">
        <v>1</v>
      </c>
      <c r="L1820" s="1">
        <v>10000</v>
      </c>
      <c r="N1820" s="1">
        <v>0</v>
      </c>
      <c r="P1820" s="1">
        <v>0</v>
      </c>
      <c r="R1820" s="1">
        <v>90</v>
      </c>
      <c r="Z1820" s="1">
        <v>0.05</v>
      </c>
      <c r="AA1820" s="1">
        <v>1.7</v>
      </c>
      <c r="AB1820" s="1">
        <v>0</v>
      </c>
      <c r="AC1820" s="1">
        <v>1</v>
      </c>
      <c r="AH1820" s="1">
        <v>0</v>
      </c>
      <c r="AI1820" s="1">
        <v>1</v>
      </c>
      <c r="AJ1820" s="22" t="s">
        <v>9732</v>
      </c>
      <c r="AK1820" s="1" t="s">
        <v>206</v>
      </c>
      <c r="AL1820" s="22" t="s">
        <v>9735</v>
      </c>
      <c r="AN1820" s="22" t="s">
        <v>9767</v>
      </c>
      <c r="AX1820" s="1">
        <v>1</v>
      </c>
      <c r="AZ1820" s="1">
        <v>0.25</v>
      </c>
      <c r="BG1820" s="1" t="str">
        <f t="shared" ref="BG1820" si="225">"enemy_"&amp;E1820&amp;"_"&amp;D1820</f>
        <v>enemy_1007_slime</v>
      </c>
      <c r="BM1820" s="1" t="s">
        <v>888</v>
      </c>
      <c r="BN1820" s="1" t="s">
        <v>889</v>
      </c>
      <c r="BQ1820" s="1" t="s">
        <v>207</v>
      </c>
      <c r="BR1820" s="1" t="s">
        <v>208</v>
      </c>
      <c r="BS1820" s="1" t="s">
        <v>209</v>
      </c>
      <c r="BT1820" s="1" t="s">
        <v>210</v>
      </c>
      <c r="BX1820" s="1">
        <v>1</v>
      </c>
    </row>
    <row r="1821" spans="1:76" customFormat="1" x14ac:dyDescent="0.25">
      <c r="E1821" s="30"/>
      <c r="AL1821" s="29"/>
      <c r="BG1821" s="1"/>
      <c r="BH1821" s="1"/>
      <c r="BI1821" s="1"/>
      <c r="BJ1821" s="1"/>
    </row>
    <row r="1822" spans="1:76" customFormat="1" x14ac:dyDescent="0.25"/>
  </sheetData>
  <phoneticPr fontId="14"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K909"/>
  <sheetViews>
    <sheetView tabSelected="1" workbookViewId="0">
      <pane xSplit="1" ySplit="3" topLeftCell="B893" activePane="bottomRight" state="frozen"/>
      <selection pane="topRight"/>
      <selection pane="bottomLeft"/>
      <selection pane="bottomRight" activeCell="A908" sqref="A908:XFD908"/>
    </sheetView>
  </sheetViews>
  <sheetFormatPr defaultColWidth="9" defaultRowHeight="14.05" x14ac:dyDescent="0.25"/>
  <cols>
    <col min="1" max="1" width="21.08203125" customWidth="1"/>
    <col min="2" max="2" width="15.4140625" customWidth="1"/>
    <col min="3" max="3" width="9.75" customWidth="1"/>
    <col min="4" max="4" width="16.4140625" customWidth="1"/>
    <col min="5" max="5" width="16.83203125" customWidth="1"/>
    <col min="6" max="6" width="31.33203125" customWidth="1"/>
    <col min="7" max="7" width="8.4140625" customWidth="1"/>
    <col min="8" max="8" width="17.83203125" customWidth="1"/>
    <col min="9" max="9" width="7.33203125" customWidth="1"/>
    <col min="10" max="10" width="7.75" customWidth="1"/>
    <col min="11" max="13" width="8.33203125" style="5" customWidth="1"/>
    <col min="14" max="14" width="11.75" style="5" customWidth="1"/>
    <col min="15" max="15" width="13.08203125" style="5" customWidth="1"/>
    <col min="16" max="16" width="11.4140625" style="5" customWidth="1"/>
    <col min="17" max="17" width="21.4140625" style="5" customWidth="1"/>
    <col min="18" max="18" width="19.83203125" style="5" customWidth="1"/>
    <col min="19" max="19" width="16.4140625" style="5" customWidth="1"/>
    <col min="20" max="20" width="12.75" style="5" customWidth="1"/>
    <col min="21" max="23" width="8.33203125" style="5" customWidth="1"/>
    <col min="24" max="24" width="18.4140625" style="5" customWidth="1"/>
    <col min="25" max="25" width="16.4140625" customWidth="1"/>
    <col min="26" max="26" width="10.25" customWidth="1"/>
    <col min="27" max="27" width="8.33203125" customWidth="1"/>
    <col min="28" max="28" width="10" customWidth="1"/>
    <col min="29" max="30" width="8.4140625" customWidth="1"/>
    <col min="31" max="31" width="15.1640625" customWidth="1"/>
    <col min="32" max="32" width="13.75" customWidth="1"/>
    <col min="33" max="33" width="8.4140625" customWidth="1"/>
    <col min="34" max="34" width="12.4140625" customWidth="1"/>
    <col min="35" max="37" width="8.4140625" customWidth="1"/>
    <col min="38" max="39" width="8.33203125" customWidth="1"/>
    <col min="40" max="40" width="15" customWidth="1"/>
    <col min="41" max="41" width="13.25" customWidth="1"/>
    <col min="42" max="45" width="11.83203125" customWidth="1"/>
    <col min="46" max="46" width="14.75" customWidth="1"/>
    <col min="47" max="47" width="14.6640625" customWidth="1"/>
    <col min="48" max="48" width="14.75" customWidth="1"/>
    <col min="49" max="49" width="7.25" style="6" customWidth="1"/>
    <col min="50" max="50" width="13.08203125" customWidth="1"/>
    <col min="52" max="52" width="14.4140625" customWidth="1"/>
    <col min="53" max="53" width="11.75" customWidth="1"/>
    <col min="54" max="54" width="9.75" customWidth="1"/>
    <col min="55" max="55" width="5.08203125" customWidth="1"/>
    <col min="56" max="56" width="8.4140625" customWidth="1"/>
    <col min="57" max="60" width="8.25" customWidth="1"/>
    <col min="61" max="66" width="8.33203125" customWidth="1"/>
    <col min="67" max="67" width="9.4140625" style="7" customWidth="1"/>
    <col min="68" max="68" width="12.4140625" style="7" customWidth="1"/>
    <col min="69" max="70" width="11.25" customWidth="1"/>
    <col min="71" max="71" width="6.4140625" customWidth="1"/>
    <col min="72" max="72" width="11.9140625" customWidth="1"/>
    <col min="73" max="73" width="8" customWidth="1"/>
    <col min="74" max="74" width="7.33203125" style="8" customWidth="1"/>
    <col min="75" max="76" width="8.4140625" style="8" customWidth="1"/>
    <col min="77" max="77" width="13.4140625" style="8" customWidth="1"/>
    <col min="78" max="78" width="7.83203125" style="8" customWidth="1"/>
    <col min="79" max="79" width="21.4140625" style="8" customWidth="1"/>
    <col min="80" max="81" width="13.4140625" customWidth="1"/>
    <col min="82" max="82" width="10.83203125" customWidth="1"/>
    <col min="83" max="83" width="9" customWidth="1"/>
    <col min="84" max="85" width="10" customWidth="1"/>
    <col min="86" max="86" width="9" customWidth="1"/>
    <col min="88" max="88" width="16" customWidth="1"/>
    <col min="89" max="90" width="12.83203125" customWidth="1"/>
    <col min="91" max="91" width="23.4140625" customWidth="1"/>
    <col min="92" max="92" width="12.83203125" customWidth="1"/>
    <col min="93" max="93" width="17.08203125" style="9" customWidth="1"/>
    <col min="100" max="100" width="54.4140625" customWidth="1"/>
    <col min="101" max="101" width="8" customWidth="1"/>
    <col min="103" max="103" width="11.08203125" customWidth="1"/>
    <col min="111" max="111" width="15.4140625" customWidth="1"/>
    <col min="115" max="115" width="9" hidden="1" customWidth="1"/>
  </cols>
  <sheetData>
    <row r="1" spans="1:114" x14ac:dyDescent="0.25">
      <c r="B1" t="s">
        <v>6644</v>
      </c>
      <c r="D1" t="s">
        <v>6645</v>
      </c>
      <c r="E1" t="s">
        <v>6646</v>
      </c>
      <c r="F1" t="s">
        <v>6647</v>
      </c>
      <c r="G1" t="s">
        <v>6648</v>
      </c>
      <c r="H1" t="s">
        <v>6649</v>
      </c>
      <c r="I1" t="s">
        <v>6650</v>
      </c>
      <c r="J1" t="s">
        <v>6651</v>
      </c>
      <c r="K1" s="5" t="s">
        <v>6652</v>
      </c>
      <c r="L1" s="5" t="s">
        <v>6653</v>
      </c>
      <c r="M1" s="5" t="s">
        <v>6654</v>
      </c>
      <c r="N1" s="5" t="s">
        <v>6655</v>
      </c>
      <c r="O1" s="5" t="s">
        <v>6656</v>
      </c>
      <c r="P1" s="5" t="s">
        <v>6657</v>
      </c>
      <c r="Q1" s="5" t="s">
        <v>6658</v>
      </c>
      <c r="R1" s="5" t="s">
        <v>6659</v>
      </c>
      <c r="S1" s="5" t="s">
        <v>6660</v>
      </c>
      <c r="T1" s="5" t="s">
        <v>6661</v>
      </c>
      <c r="U1" s="5" t="s">
        <v>6661</v>
      </c>
      <c r="V1" s="5" t="s">
        <v>6662</v>
      </c>
      <c r="W1" s="5" t="s">
        <v>6663</v>
      </c>
      <c r="X1" s="5" t="s">
        <v>6664</v>
      </c>
      <c r="Y1" t="s">
        <v>6665</v>
      </c>
      <c r="Z1" t="s">
        <v>6666</v>
      </c>
      <c r="AA1" s="5" t="s">
        <v>6667</v>
      </c>
      <c r="AB1" t="s">
        <v>6668</v>
      </c>
      <c r="AC1" t="s">
        <v>6669</v>
      </c>
      <c r="AD1" t="s">
        <v>6670</v>
      </c>
      <c r="AE1" t="s">
        <v>6671</v>
      </c>
      <c r="AF1" t="s">
        <v>6672</v>
      </c>
      <c r="AG1" t="s">
        <v>6673</v>
      </c>
      <c r="AH1" t="s">
        <v>6674</v>
      </c>
      <c r="AI1" t="s">
        <v>6675</v>
      </c>
      <c r="AJ1" t="s">
        <v>6676</v>
      </c>
      <c r="AK1" t="s">
        <v>6677</v>
      </c>
      <c r="AL1" t="s">
        <v>6678</v>
      </c>
      <c r="AM1" t="s">
        <v>6679</v>
      </c>
      <c r="AN1" t="s">
        <v>6680</v>
      </c>
      <c r="AO1" t="s">
        <v>6681</v>
      </c>
      <c r="AP1" t="s">
        <v>6682</v>
      </c>
      <c r="AQ1" t="s">
        <v>6683</v>
      </c>
      <c r="AR1" t="s">
        <v>6684</v>
      </c>
      <c r="AS1" t="s">
        <v>6685</v>
      </c>
      <c r="AT1" t="s">
        <v>6686</v>
      </c>
      <c r="AU1" t="s">
        <v>6687</v>
      </c>
      <c r="AV1" t="s">
        <v>6688</v>
      </c>
      <c r="AW1" s="6" t="s">
        <v>6689</v>
      </c>
      <c r="AX1" t="s">
        <v>6690</v>
      </c>
      <c r="AY1" t="s">
        <v>6691</v>
      </c>
      <c r="AZ1" t="s">
        <v>6692</v>
      </c>
      <c r="BA1" t="s">
        <v>6693</v>
      </c>
      <c r="BB1" t="s">
        <v>6694</v>
      </c>
      <c r="BC1" t="s">
        <v>6695</v>
      </c>
      <c r="BD1" t="s">
        <v>6696</v>
      </c>
      <c r="BE1" t="s">
        <v>6697</v>
      </c>
      <c r="BF1" t="s">
        <v>6698</v>
      </c>
      <c r="BG1" t="s">
        <v>6699</v>
      </c>
      <c r="BH1" t="s">
        <v>6700</v>
      </c>
      <c r="BJ1" t="s">
        <v>6700</v>
      </c>
      <c r="BK1" t="s">
        <v>6701</v>
      </c>
      <c r="BL1" t="s">
        <v>6702</v>
      </c>
      <c r="BM1" t="s">
        <v>6703</v>
      </c>
      <c r="BN1" t="s">
        <v>6704</v>
      </c>
      <c r="BO1" s="7" t="s">
        <v>6705</v>
      </c>
      <c r="BP1" s="7" t="s">
        <v>6706</v>
      </c>
      <c r="BQ1" t="s">
        <v>6707</v>
      </c>
      <c r="BR1" t="s">
        <v>6708</v>
      </c>
      <c r="BS1" t="s">
        <v>6709</v>
      </c>
      <c r="BT1" t="s">
        <v>6710</v>
      </c>
      <c r="BU1" t="s">
        <v>6711</v>
      </c>
      <c r="BV1" s="8" t="s">
        <v>6712</v>
      </c>
      <c r="BW1" s="8" t="s">
        <v>6713</v>
      </c>
      <c r="BX1" s="8" t="s">
        <v>6714</v>
      </c>
      <c r="BY1" s="8" t="s">
        <v>6715</v>
      </c>
      <c r="BZ1" s="8" t="s">
        <v>6716</v>
      </c>
      <c r="CA1" s="8" t="s">
        <v>6717</v>
      </c>
      <c r="CB1" t="s">
        <v>6718</v>
      </c>
      <c r="CC1" s="8" t="s">
        <v>9787</v>
      </c>
      <c r="CD1" s="8" t="s">
        <v>6719</v>
      </c>
      <c r="CE1" t="s">
        <v>6720</v>
      </c>
      <c r="CF1" t="s">
        <v>6721</v>
      </c>
      <c r="CG1" t="s">
        <v>6722</v>
      </c>
      <c r="CH1" t="s">
        <v>6723</v>
      </c>
      <c r="CI1" t="s">
        <v>6724</v>
      </c>
      <c r="CJ1" t="s">
        <v>6725</v>
      </c>
      <c r="CK1" t="s">
        <v>6726</v>
      </c>
      <c r="CL1" t="s">
        <v>6727</v>
      </c>
      <c r="CM1" t="s">
        <v>6728</v>
      </c>
      <c r="CN1" t="s">
        <v>6729</v>
      </c>
      <c r="CO1" s="9" t="s">
        <v>6730</v>
      </c>
      <c r="CP1" t="s">
        <v>6731</v>
      </c>
      <c r="CQ1" t="s">
        <v>6732</v>
      </c>
      <c r="CR1" t="s">
        <v>6733</v>
      </c>
      <c r="CS1" t="s">
        <v>6710</v>
      </c>
      <c r="CT1" t="s">
        <v>6734</v>
      </c>
      <c r="CU1" t="s">
        <v>6735</v>
      </c>
      <c r="CV1" t="s">
        <v>6736</v>
      </c>
      <c r="CW1" t="s">
        <v>6737</v>
      </c>
      <c r="CX1" t="s">
        <v>6738</v>
      </c>
      <c r="CY1" t="s">
        <v>6739</v>
      </c>
      <c r="CZ1" t="s">
        <v>6740</v>
      </c>
      <c r="DA1" t="s">
        <v>6739</v>
      </c>
      <c r="DB1" t="s">
        <v>6741</v>
      </c>
      <c r="DC1" t="s">
        <v>6742</v>
      </c>
      <c r="DD1" t="s">
        <v>6743</v>
      </c>
      <c r="DE1" t="s">
        <v>6744</v>
      </c>
      <c r="DF1" t="s">
        <v>6745</v>
      </c>
      <c r="DG1" t="s">
        <v>6746</v>
      </c>
      <c r="DH1" t="s">
        <v>6747</v>
      </c>
      <c r="DI1" t="s">
        <v>6748</v>
      </c>
      <c r="DJ1" t="s">
        <v>6749</v>
      </c>
    </row>
    <row r="2" spans="1:114" x14ac:dyDescent="0.25">
      <c r="A2" t="s">
        <v>0</v>
      </c>
      <c r="C2" t="s">
        <v>126</v>
      </c>
      <c r="D2" t="s">
        <v>153</v>
      </c>
      <c r="E2" t="s">
        <v>6750</v>
      </c>
      <c r="F2" t="s">
        <v>6751</v>
      </c>
      <c r="G2" t="s">
        <v>130</v>
      </c>
      <c r="H2" t="s">
        <v>6752</v>
      </c>
      <c r="I2" t="s">
        <v>6753</v>
      </c>
      <c r="J2" t="s">
        <v>6754</v>
      </c>
      <c r="K2" s="5" t="s">
        <v>6755</v>
      </c>
      <c r="L2" s="24" t="s">
        <v>9727</v>
      </c>
      <c r="M2" s="5" t="s">
        <v>6756</v>
      </c>
      <c r="N2" s="5" t="s">
        <v>6757</v>
      </c>
      <c r="O2" s="5" t="s">
        <v>6758</v>
      </c>
      <c r="P2" s="5" t="s">
        <v>6759</v>
      </c>
      <c r="Q2" s="5" t="s">
        <v>6760</v>
      </c>
      <c r="R2" s="5" t="s">
        <v>6761</v>
      </c>
      <c r="S2" s="5" t="s">
        <v>6762</v>
      </c>
      <c r="T2" s="5" t="s">
        <v>6763</v>
      </c>
      <c r="U2" s="5" t="s">
        <v>6764</v>
      </c>
      <c r="V2" s="5" t="s">
        <v>6765</v>
      </c>
      <c r="W2" s="5" t="s">
        <v>6766</v>
      </c>
      <c r="X2" s="5" t="s">
        <v>6767</v>
      </c>
      <c r="Y2" t="s">
        <v>6768</v>
      </c>
      <c r="Z2" t="s">
        <v>6769</v>
      </c>
      <c r="AA2" s="5" t="s">
        <v>6770</v>
      </c>
      <c r="AB2" t="s">
        <v>6771</v>
      </c>
      <c r="AC2" t="s">
        <v>6772</v>
      </c>
      <c r="AD2" t="s">
        <v>6773</v>
      </c>
      <c r="AE2" t="s">
        <v>6774</v>
      </c>
      <c r="AF2" t="s">
        <v>6775</v>
      </c>
      <c r="AG2" t="s">
        <v>6776</v>
      </c>
      <c r="AH2" t="s">
        <v>6777</v>
      </c>
      <c r="AI2" t="s">
        <v>6778</v>
      </c>
      <c r="AJ2" t="s">
        <v>6779</v>
      </c>
      <c r="AK2" t="s">
        <v>6780</v>
      </c>
      <c r="AL2" t="s">
        <v>6781</v>
      </c>
      <c r="AM2" t="s">
        <v>6782</v>
      </c>
      <c r="AN2" t="s">
        <v>6783</v>
      </c>
      <c r="AO2" t="s">
        <v>6784</v>
      </c>
      <c r="AP2" t="s">
        <v>6785</v>
      </c>
      <c r="AQ2" t="s">
        <v>6786</v>
      </c>
      <c r="AR2" t="s">
        <v>6787</v>
      </c>
      <c r="AS2" t="s">
        <v>6788</v>
      </c>
      <c r="AT2" t="s">
        <v>6789</v>
      </c>
      <c r="AU2" t="s">
        <v>6790</v>
      </c>
      <c r="AV2" t="s">
        <v>6791</v>
      </c>
      <c r="AW2" s="6" t="s">
        <v>6792</v>
      </c>
      <c r="AX2" t="s">
        <v>6793</v>
      </c>
      <c r="AY2" t="s">
        <v>6794</v>
      </c>
      <c r="AZ2" t="s">
        <v>6795</v>
      </c>
      <c r="BA2" t="s">
        <v>6796</v>
      </c>
      <c r="BB2" t="s">
        <v>6797</v>
      </c>
      <c r="BC2" t="s">
        <v>6798</v>
      </c>
      <c r="BD2" t="s">
        <v>6799</v>
      </c>
      <c r="BE2" t="s">
        <v>6800</v>
      </c>
      <c r="BF2" t="s">
        <v>6801</v>
      </c>
      <c r="BG2" t="s">
        <v>6802</v>
      </c>
      <c r="BH2" t="s">
        <v>6803</v>
      </c>
      <c r="BI2" t="s">
        <v>6804</v>
      </c>
      <c r="BJ2" t="s">
        <v>6805</v>
      </c>
      <c r="BK2" t="s">
        <v>6806</v>
      </c>
      <c r="BL2" t="s">
        <v>6807</v>
      </c>
      <c r="BM2" t="s">
        <v>6808</v>
      </c>
      <c r="BN2" t="s">
        <v>6809</v>
      </c>
      <c r="BO2" s="7" t="s">
        <v>155</v>
      </c>
      <c r="BP2" s="7" t="s">
        <v>6810</v>
      </c>
      <c r="BQ2" t="s">
        <v>6811</v>
      </c>
      <c r="BR2" t="s">
        <v>6812</v>
      </c>
      <c r="BS2" t="s">
        <v>6813</v>
      </c>
      <c r="BT2" t="s">
        <v>6814</v>
      </c>
      <c r="BU2" t="s">
        <v>169</v>
      </c>
      <c r="BV2" s="8" t="s">
        <v>6815</v>
      </c>
      <c r="BW2" s="8" t="s">
        <v>6816</v>
      </c>
      <c r="BX2" s="8" t="s">
        <v>6817</v>
      </c>
      <c r="BY2" s="8" t="s">
        <v>6818</v>
      </c>
      <c r="BZ2" s="8" t="s">
        <v>6819</v>
      </c>
      <c r="CA2" s="8" t="s">
        <v>6820</v>
      </c>
      <c r="CB2" s="29" t="s">
        <v>9788</v>
      </c>
      <c r="CC2" s="29" t="s">
        <v>9789</v>
      </c>
      <c r="CD2" t="s">
        <v>6821</v>
      </c>
      <c r="CE2" t="s">
        <v>6822</v>
      </c>
      <c r="CF2" t="s">
        <v>6823</v>
      </c>
      <c r="CG2" t="s">
        <v>6824</v>
      </c>
      <c r="CH2" t="s">
        <v>6825</v>
      </c>
      <c r="CI2" t="s">
        <v>6826</v>
      </c>
      <c r="CJ2" t="s">
        <v>6827</v>
      </c>
      <c r="CK2" t="s">
        <v>6828</v>
      </c>
      <c r="CL2" t="s">
        <v>6829</v>
      </c>
      <c r="CM2" t="s">
        <v>6830</v>
      </c>
      <c r="CN2" t="s">
        <v>6831</v>
      </c>
      <c r="CO2" s="9" t="s">
        <v>6832</v>
      </c>
      <c r="CP2" t="s">
        <v>6833</v>
      </c>
      <c r="CQ2" t="s">
        <v>6834</v>
      </c>
      <c r="CR2" t="s">
        <v>6835</v>
      </c>
      <c r="CS2" t="s">
        <v>6836</v>
      </c>
      <c r="CT2" t="s">
        <v>6837</v>
      </c>
      <c r="CU2" t="s">
        <v>6838</v>
      </c>
      <c r="CV2" t="s">
        <v>6839</v>
      </c>
      <c r="CW2" t="s">
        <v>6840</v>
      </c>
      <c r="CX2" t="s">
        <v>6841</v>
      </c>
      <c r="CY2" t="s">
        <v>6842</v>
      </c>
      <c r="CZ2" t="s">
        <v>6843</v>
      </c>
      <c r="DA2" t="s">
        <v>6844</v>
      </c>
      <c r="DB2" t="s">
        <v>6845</v>
      </c>
      <c r="DC2" t="s">
        <v>6846</v>
      </c>
      <c r="DD2" t="s">
        <v>6847</v>
      </c>
      <c r="DE2" t="s">
        <v>6848</v>
      </c>
      <c r="DF2" t="s">
        <v>6849</v>
      </c>
      <c r="DG2" t="s">
        <v>6850</v>
      </c>
      <c r="DH2" t="s">
        <v>6851</v>
      </c>
      <c r="DI2" t="s">
        <v>6852</v>
      </c>
      <c r="DJ2" t="s">
        <v>6853</v>
      </c>
    </row>
    <row r="3" spans="1:114" x14ac:dyDescent="0.25">
      <c r="A3" t="s">
        <v>2</v>
      </c>
      <c r="C3" t="s">
        <v>2</v>
      </c>
      <c r="D3" t="s">
        <v>2</v>
      </c>
      <c r="E3" t="s">
        <v>2</v>
      </c>
      <c r="F3" t="s">
        <v>2</v>
      </c>
      <c r="G3" t="s">
        <v>192</v>
      </c>
      <c r="H3" t="s">
        <v>2</v>
      </c>
      <c r="I3" t="s">
        <v>190</v>
      </c>
      <c r="J3" t="s">
        <v>6854</v>
      </c>
      <c r="K3" s="5" t="s">
        <v>6855</v>
      </c>
      <c r="L3" s="5" t="s">
        <v>6856</v>
      </c>
      <c r="M3" s="5" t="s">
        <v>192</v>
      </c>
      <c r="N3" s="5" t="s">
        <v>192</v>
      </c>
      <c r="O3" s="5" t="s">
        <v>194</v>
      </c>
      <c r="P3" s="5" t="s">
        <v>194</v>
      </c>
      <c r="Q3" s="5" t="s">
        <v>194</v>
      </c>
      <c r="R3" s="5" t="s">
        <v>194</v>
      </c>
      <c r="S3" s="5" t="s">
        <v>190</v>
      </c>
      <c r="T3" s="5" t="s">
        <v>191</v>
      </c>
      <c r="U3" s="5" t="s">
        <v>191</v>
      </c>
      <c r="V3" s="5" t="s">
        <v>191</v>
      </c>
      <c r="W3" s="5" t="s">
        <v>190</v>
      </c>
      <c r="X3" s="5" t="s">
        <v>190</v>
      </c>
      <c r="Y3" t="s">
        <v>190</v>
      </c>
      <c r="Z3" t="s">
        <v>190</v>
      </c>
      <c r="AA3" s="5" t="s">
        <v>191</v>
      </c>
      <c r="AB3" t="s">
        <v>190</v>
      </c>
      <c r="AC3" t="s">
        <v>192</v>
      </c>
      <c r="AD3" t="s">
        <v>190</v>
      </c>
      <c r="AE3" t="s">
        <v>190</v>
      </c>
      <c r="AF3" t="s">
        <v>190</v>
      </c>
      <c r="AG3" t="s">
        <v>6857</v>
      </c>
      <c r="AH3" t="s">
        <v>190</v>
      </c>
      <c r="AI3" t="s">
        <v>196</v>
      </c>
      <c r="AJ3" t="s">
        <v>3</v>
      </c>
      <c r="AK3" t="s">
        <v>192</v>
      </c>
      <c r="AL3" t="s">
        <v>192</v>
      </c>
      <c r="AM3" t="s">
        <v>192</v>
      </c>
      <c r="AN3" t="s">
        <v>190</v>
      </c>
      <c r="AO3" t="s">
        <v>6858</v>
      </c>
      <c r="AP3" t="s">
        <v>6859</v>
      </c>
      <c r="AQ3" t="s">
        <v>2</v>
      </c>
      <c r="AR3" t="s">
        <v>2</v>
      </c>
      <c r="AS3" t="s">
        <v>2</v>
      </c>
      <c r="AT3" t="s">
        <v>6860</v>
      </c>
      <c r="AU3" t="s">
        <v>190</v>
      </c>
      <c r="AV3" t="s">
        <v>191</v>
      </c>
      <c r="AW3" s="6" t="s">
        <v>190</v>
      </c>
      <c r="AX3" t="s">
        <v>6861</v>
      </c>
      <c r="AY3" t="s">
        <v>190</v>
      </c>
      <c r="AZ3" t="s">
        <v>191</v>
      </c>
      <c r="BA3" t="s">
        <v>190</v>
      </c>
      <c r="BB3" t="s">
        <v>192</v>
      </c>
      <c r="BC3" t="s">
        <v>191</v>
      </c>
      <c r="BD3" t="s">
        <v>192</v>
      </c>
      <c r="BE3" t="s">
        <v>192</v>
      </c>
      <c r="BF3" t="s">
        <v>191</v>
      </c>
      <c r="BG3" t="s">
        <v>190</v>
      </c>
      <c r="BH3" t="s">
        <v>6860</v>
      </c>
      <c r="BI3" t="s">
        <v>190</v>
      </c>
      <c r="BJ3" t="s">
        <v>191</v>
      </c>
      <c r="BK3" t="s">
        <v>191</v>
      </c>
      <c r="BL3" t="s">
        <v>191</v>
      </c>
      <c r="BM3" t="s">
        <v>192</v>
      </c>
      <c r="BN3" t="s">
        <v>192</v>
      </c>
      <c r="BO3" s="7" t="s">
        <v>193</v>
      </c>
      <c r="BP3" s="7" t="s">
        <v>193</v>
      </c>
      <c r="BQ3" t="s">
        <v>6862</v>
      </c>
      <c r="BR3" t="s">
        <v>6863</v>
      </c>
      <c r="BS3" t="s">
        <v>191</v>
      </c>
      <c r="BT3" t="s">
        <v>191</v>
      </c>
      <c r="BU3" t="s">
        <v>190</v>
      </c>
      <c r="BV3" s="8" t="s">
        <v>191</v>
      </c>
      <c r="BW3" s="8" t="s">
        <v>191</v>
      </c>
      <c r="BX3" s="8" t="s">
        <v>192</v>
      </c>
      <c r="BY3" s="8" t="s">
        <v>6864</v>
      </c>
      <c r="BZ3" s="8" t="s">
        <v>190</v>
      </c>
      <c r="CA3" s="8" t="s">
        <v>6864</v>
      </c>
      <c r="CB3" t="s">
        <v>198</v>
      </c>
      <c r="CC3" s="8" t="s">
        <v>9790</v>
      </c>
      <c r="CD3" t="s">
        <v>6865</v>
      </c>
      <c r="CE3" t="s">
        <v>198</v>
      </c>
      <c r="CF3" t="s">
        <v>198</v>
      </c>
      <c r="CG3" t="s">
        <v>198</v>
      </c>
      <c r="CH3" t="s">
        <v>6866</v>
      </c>
      <c r="CI3" t="s">
        <v>6867</v>
      </c>
      <c r="CJ3" t="s">
        <v>2</v>
      </c>
      <c r="CK3" t="s">
        <v>6868</v>
      </c>
      <c r="CL3" t="s">
        <v>6868</v>
      </c>
      <c r="CM3" t="s">
        <v>199</v>
      </c>
      <c r="CN3" t="s">
        <v>194</v>
      </c>
      <c r="CO3" s="9" t="s">
        <v>194</v>
      </c>
      <c r="CP3" t="s">
        <v>197</v>
      </c>
      <c r="CQ3" t="s">
        <v>197</v>
      </c>
      <c r="CR3" t="s">
        <v>197</v>
      </c>
      <c r="CS3" t="s">
        <v>6865</v>
      </c>
      <c r="CT3" t="s">
        <v>197</v>
      </c>
      <c r="CU3" t="s">
        <v>190</v>
      </c>
      <c r="CV3" s="23" t="s">
        <v>9765</v>
      </c>
      <c r="CW3" t="s">
        <v>6869</v>
      </c>
      <c r="CX3" t="s">
        <v>6870</v>
      </c>
      <c r="CY3" t="s">
        <v>6870</v>
      </c>
      <c r="CZ3" t="s">
        <v>6869</v>
      </c>
      <c r="DA3" t="s">
        <v>6869</v>
      </c>
      <c r="DB3" t="s">
        <v>6869</v>
      </c>
      <c r="DC3" t="s">
        <v>6869</v>
      </c>
      <c r="DD3" t="s">
        <v>6869</v>
      </c>
      <c r="DE3" t="s">
        <v>190</v>
      </c>
      <c r="DF3" t="s">
        <v>190</v>
      </c>
      <c r="DG3" t="s">
        <v>190</v>
      </c>
      <c r="DH3" t="s">
        <v>190</v>
      </c>
      <c r="DI3" t="s">
        <v>190</v>
      </c>
      <c r="DJ3" t="s">
        <v>190</v>
      </c>
    </row>
    <row r="4" spans="1:114" s="3" customFormat="1" x14ac:dyDescent="0.25">
      <c r="A4" s="3" t="s">
        <v>6871</v>
      </c>
      <c r="AW4" s="6"/>
      <c r="BO4" s="7"/>
      <c r="BP4" s="7"/>
      <c r="CO4" s="9"/>
    </row>
    <row r="5" spans="1:114" s="3" customFormat="1" x14ac:dyDescent="0.25">
      <c r="A5" t="s">
        <v>6872</v>
      </c>
      <c r="B5"/>
      <c r="C5" t="s">
        <v>6873</v>
      </c>
      <c r="D5"/>
      <c r="E5"/>
      <c r="F5"/>
      <c r="G5"/>
      <c r="H5"/>
      <c r="I5"/>
      <c r="J5"/>
      <c r="K5" s="5" t="s">
        <v>6874</v>
      </c>
      <c r="L5" s="5" t="s">
        <v>6875</v>
      </c>
      <c r="M5"/>
      <c r="N5"/>
      <c r="O5"/>
      <c r="P5"/>
      <c r="Q5"/>
      <c r="R5"/>
      <c r="S5"/>
      <c r="T5"/>
      <c r="U5"/>
      <c r="V5"/>
      <c r="W5"/>
      <c r="X5"/>
      <c r="Y5"/>
      <c r="Z5"/>
      <c r="AA5"/>
      <c r="AB5"/>
      <c r="AC5">
        <v>1</v>
      </c>
      <c r="AD5"/>
      <c r="AE5"/>
      <c r="AF5">
        <v>1</v>
      </c>
      <c r="AG5" t="s">
        <v>6876</v>
      </c>
      <c r="AH5"/>
      <c r="AI5"/>
      <c r="AJ5"/>
      <c r="AK5"/>
      <c r="AL5"/>
      <c r="AM5"/>
      <c r="AN5"/>
      <c r="AO5"/>
      <c r="AP5"/>
      <c r="AQ5"/>
      <c r="AR5"/>
      <c r="AS5"/>
      <c r="AT5"/>
      <c r="AU5"/>
      <c r="AV5"/>
      <c r="AW5" s="6"/>
      <c r="AX5" t="s">
        <v>6877</v>
      </c>
      <c r="AY5"/>
      <c r="AZ5">
        <v>1000</v>
      </c>
      <c r="BA5"/>
      <c r="BB5">
        <v>2</v>
      </c>
      <c r="BC5"/>
      <c r="BD5">
        <v>1</v>
      </c>
      <c r="BE5"/>
      <c r="BF5"/>
      <c r="BG5"/>
      <c r="BH5"/>
      <c r="BI5"/>
      <c r="BJ5"/>
      <c r="BK5"/>
      <c r="BL5"/>
      <c r="BM5"/>
      <c r="BN5"/>
      <c r="BO5" s="7"/>
      <c r="BP5" s="7"/>
      <c r="BQ5"/>
      <c r="BR5"/>
      <c r="BS5">
        <v>10</v>
      </c>
      <c r="BT5"/>
      <c r="BU5"/>
      <c r="BV5"/>
      <c r="BW5"/>
      <c r="BX5"/>
      <c r="BY5" s="8"/>
      <c r="BZ5"/>
      <c r="CA5"/>
      <c r="CB5"/>
      <c r="CC5"/>
      <c r="CD5"/>
      <c r="CE5"/>
      <c r="CF5"/>
      <c r="CG5"/>
      <c r="CH5"/>
      <c r="CI5"/>
      <c r="CJ5"/>
      <c r="CK5"/>
      <c r="CL5"/>
      <c r="CM5"/>
      <c r="CN5"/>
      <c r="CO5" s="9" t="s">
        <v>6878</v>
      </c>
      <c r="CP5"/>
      <c r="CQ5"/>
      <c r="CR5"/>
      <c r="CS5">
        <v>10</v>
      </c>
      <c r="CT5"/>
      <c r="CU5"/>
      <c r="CV5" t="s">
        <v>6879</v>
      </c>
      <c r="CW5"/>
      <c r="CX5"/>
      <c r="CY5"/>
      <c r="CZ5"/>
      <c r="DA5"/>
      <c r="DB5"/>
      <c r="DC5"/>
      <c r="DD5"/>
      <c r="DE5"/>
      <c r="DF5"/>
      <c r="DG5"/>
      <c r="DH5"/>
      <c r="DI5"/>
      <c r="DJ5"/>
    </row>
    <row r="6" spans="1:114" s="3" customFormat="1" x14ac:dyDescent="0.25">
      <c r="A6" t="s">
        <v>6880</v>
      </c>
      <c r="B6"/>
      <c r="C6" t="s">
        <v>6873</v>
      </c>
      <c r="D6"/>
      <c r="E6"/>
      <c r="F6"/>
      <c r="G6"/>
      <c r="H6"/>
      <c r="I6"/>
      <c r="J6"/>
      <c r="K6" s="5" t="s">
        <v>6874</v>
      </c>
      <c r="L6" s="5" t="s">
        <v>6875</v>
      </c>
      <c r="M6"/>
      <c r="N6"/>
      <c r="O6"/>
      <c r="P6"/>
      <c r="Q6"/>
      <c r="R6"/>
      <c r="S6"/>
      <c r="T6"/>
      <c r="U6"/>
      <c r="V6"/>
      <c r="W6"/>
      <c r="X6"/>
      <c r="Y6"/>
      <c r="Z6"/>
      <c r="AA6"/>
      <c r="AB6"/>
      <c r="AC6">
        <v>2</v>
      </c>
      <c r="AD6"/>
      <c r="AE6"/>
      <c r="AF6">
        <v>1</v>
      </c>
      <c r="AG6" t="s">
        <v>6876</v>
      </c>
      <c r="AH6"/>
      <c r="AI6"/>
      <c r="AJ6"/>
      <c r="AK6"/>
      <c r="AL6"/>
      <c r="AM6"/>
      <c r="AN6"/>
      <c r="AO6"/>
      <c r="AP6"/>
      <c r="AQ6"/>
      <c r="AR6"/>
      <c r="AS6"/>
      <c r="AT6"/>
      <c r="AU6"/>
      <c r="AV6"/>
      <c r="AW6" s="6"/>
      <c r="AX6" t="s">
        <v>6877</v>
      </c>
      <c r="AY6"/>
      <c r="AZ6">
        <v>6000</v>
      </c>
      <c r="BA6"/>
      <c r="BB6">
        <v>2</v>
      </c>
      <c r="BC6"/>
      <c r="BD6">
        <v>1</v>
      </c>
      <c r="BE6"/>
      <c r="BF6"/>
      <c r="BG6"/>
      <c r="BH6"/>
      <c r="BI6"/>
      <c r="BJ6"/>
      <c r="BK6"/>
      <c r="BL6"/>
      <c r="BM6"/>
      <c r="BN6"/>
      <c r="BO6" s="7"/>
      <c r="BP6" s="7"/>
      <c r="BQ6"/>
      <c r="BR6"/>
      <c r="BS6">
        <v>10</v>
      </c>
      <c r="BT6"/>
      <c r="BU6"/>
      <c r="BV6"/>
      <c r="BW6"/>
      <c r="BX6"/>
      <c r="BY6" s="8"/>
      <c r="BZ6"/>
      <c r="CA6"/>
      <c r="CB6"/>
      <c r="CC6"/>
      <c r="CD6"/>
      <c r="CE6"/>
      <c r="CF6"/>
      <c r="CG6"/>
      <c r="CH6"/>
      <c r="CI6"/>
      <c r="CJ6"/>
      <c r="CK6"/>
      <c r="CL6"/>
      <c r="CM6"/>
      <c r="CN6"/>
      <c r="CO6" s="9" t="s">
        <v>6881</v>
      </c>
      <c r="CP6"/>
      <c r="CQ6"/>
      <c r="CR6"/>
      <c r="CS6"/>
      <c r="CT6"/>
      <c r="CU6"/>
      <c r="CV6" t="s">
        <v>6879</v>
      </c>
      <c r="CW6"/>
      <c r="CX6"/>
      <c r="CY6"/>
      <c r="CZ6"/>
      <c r="DA6"/>
      <c r="DB6"/>
      <c r="DC6"/>
      <c r="DD6"/>
      <c r="DE6"/>
      <c r="DF6"/>
      <c r="DG6"/>
      <c r="DH6"/>
      <c r="DI6"/>
      <c r="DJ6"/>
    </row>
    <row r="7" spans="1:114" s="3" customFormat="1" x14ac:dyDescent="0.25">
      <c r="A7" t="s">
        <v>6882</v>
      </c>
      <c r="B7"/>
      <c r="C7" t="s">
        <v>6873</v>
      </c>
      <c r="D7"/>
      <c r="E7"/>
      <c r="F7"/>
      <c r="G7"/>
      <c r="H7"/>
      <c r="I7"/>
      <c r="J7"/>
      <c r="K7" s="5" t="s">
        <v>6874</v>
      </c>
      <c r="L7" s="5" t="s">
        <v>6875</v>
      </c>
      <c r="M7"/>
      <c r="N7"/>
      <c r="O7"/>
      <c r="P7"/>
      <c r="Q7"/>
      <c r="R7"/>
      <c r="S7"/>
      <c r="T7"/>
      <c r="U7"/>
      <c r="V7"/>
      <c r="W7"/>
      <c r="X7"/>
      <c r="Y7"/>
      <c r="Z7"/>
      <c r="AA7"/>
      <c r="AB7"/>
      <c r="AC7">
        <v>2</v>
      </c>
      <c r="AD7"/>
      <c r="AE7"/>
      <c r="AF7">
        <v>1</v>
      </c>
      <c r="AG7" t="s">
        <v>6876</v>
      </c>
      <c r="AH7"/>
      <c r="AI7"/>
      <c r="AJ7"/>
      <c r="AK7"/>
      <c r="AL7"/>
      <c r="AM7"/>
      <c r="AN7"/>
      <c r="AO7"/>
      <c r="AP7"/>
      <c r="AQ7"/>
      <c r="AR7"/>
      <c r="AS7"/>
      <c r="AT7"/>
      <c r="AU7"/>
      <c r="AV7"/>
      <c r="AW7" s="6"/>
      <c r="AX7" t="s">
        <v>6877</v>
      </c>
      <c r="AY7"/>
      <c r="AZ7" s="10">
        <v>7000</v>
      </c>
      <c r="BA7"/>
      <c r="BB7">
        <v>2</v>
      </c>
      <c r="BC7"/>
      <c r="BD7">
        <v>1</v>
      </c>
      <c r="BE7"/>
      <c r="BF7"/>
      <c r="BG7"/>
      <c r="BH7"/>
      <c r="BI7"/>
      <c r="BJ7"/>
      <c r="BK7"/>
      <c r="BL7"/>
      <c r="BM7"/>
      <c r="BN7"/>
      <c r="BO7" s="7"/>
      <c r="BP7" s="7"/>
      <c r="BQ7"/>
      <c r="BR7"/>
      <c r="BS7">
        <v>10</v>
      </c>
      <c r="BT7"/>
      <c r="BU7"/>
      <c r="BV7"/>
      <c r="BW7"/>
      <c r="BX7"/>
      <c r="BY7" s="8"/>
      <c r="BZ7"/>
      <c r="CA7"/>
      <c r="CB7"/>
      <c r="CC7"/>
      <c r="CD7"/>
      <c r="CE7"/>
      <c r="CF7"/>
      <c r="CG7"/>
      <c r="CH7"/>
      <c r="CI7"/>
      <c r="CJ7"/>
      <c r="CK7"/>
      <c r="CL7"/>
      <c r="CM7"/>
      <c r="CN7"/>
      <c r="CO7" s="9" t="s">
        <v>11248</v>
      </c>
      <c r="CP7">
        <v>-20</v>
      </c>
      <c r="CQ7"/>
      <c r="CR7"/>
      <c r="CS7"/>
      <c r="CT7"/>
      <c r="CU7"/>
      <c r="CV7" s="29" t="s">
        <v>11247</v>
      </c>
      <c r="CW7"/>
      <c r="CX7"/>
      <c r="CY7"/>
      <c r="CZ7" t="s">
        <v>8107</v>
      </c>
      <c r="DA7"/>
      <c r="DB7"/>
      <c r="DC7"/>
      <c r="DD7"/>
      <c r="DE7"/>
      <c r="DF7"/>
      <c r="DG7"/>
      <c r="DH7"/>
      <c r="DI7"/>
      <c r="DJ7"/>
    </row>
    <row r="8" spans="1:114" s="3" customFormat="1" x14ac:dyDescent="0.25">
      <c r="A8" t="s">
        <v>6884</v>
      </c>
      <c r="B8"/>
      <c r="C8" t="s">
        <v>6873</v>
      </c>
      <c r="D8"/>
      <c r="E8"/>
      <c r="F8"/>
      <c r="G8"/>
      <c r="H8"/>
      <c r="I8"/>
      <c r="J8"/>
      <c r="K8" s="5" t="s">
        <v>6874</v>
      </c>
      <c r="L8" s="5" t="s">
        <v>6875</v>
      </c>
      <c r="M8"/>
      <c r="N8"/>
      <c r="O8"/>
      <c r="P8"/>
      <c r="Q8"/>
      <c r="R8"/>
      <c r="S8"/>
      <c r="T8"/>
      <c r="U8"/>
      <c r="V8"/>
      <c r="W8"/>
      <c r="X8"/>
      <c r="Y8"/>
      <c r="Z8"/>
      <c r="AA8"/>
      <c r="AB8"/>
      <c r="AC8">
        <v>2</v>
      </c>
      <c r="AD8">
        <v>1</v>
      </c>
      <c r="AE8"/>
      <c r="AF8">
        <v>1</v>
      </c>
      <c r="AG8" t="s">
        <v>6876</v>
      </c>
      <c r="AH8"/>
      <c r="AI8"/>
      <c r="AJ8"/>
      <c r="AK8"/>
      <c r="AL8"/>
      <c r="AM8"/>
      <c r="AN8"/>
      <c r="AO8"/>
      <c r="AP8"/>
      <c r="AQ8"/>
      <c r="AR8"/>
      <c r="AS8"/>
      <c r="AT8"/>
      <c r="AU8"/>
      <c r="AV8"/>
      <c r="AW8" s="11"/>
      <c r="AX8" t="s">
        <v>6877</v>
      </c>
      <c r="AY8"/>
      <c r="AZ8" s="10">
        <v>800</v>
      </c>
      <c r="BA8"/>
      <c r="BB8">
        <v>2</v>
      </c>
      <c r="BC8"/>
      <c r="BD8">
        <v>1</v>
      </c>
      <c r="BE8"/>
      <c r="BF8"/>
      <c r="BG8"/>
      <c r="BH8"/>
      <c r="BI8"/>
      <c r="BJ8"/>
      <c r="BK8"/>
      <c r="BL8"/>
      <c r="BM8"/>
      <c r="BN8"/>
      <c r="BO8" s="7"/>
      <c r="BP8" s="7"/>
      <c r="BQ8"/>
      <c r="BR8"/>
      <c r="BS8">
        <v>15</v>
      </c>
      <c r="BT8"/>
      <c r="BU8"/>
      <c r="BV8"/>
      <c r="BW8"/>
      <c r="BX8"/>
      <c r="BY8" s="8"/>
      <c r="BZ8"/>
      <c r="CA8"/>
      <c r="CB8"/>
      <c r="CC8"/>
      <c r="CD8"/>
      <c r="CE8"/>
      <c r="CF8"/>
      <c r="CG8"/>
      <c r="CH8"/>
      <c r="CI8"/>
      <c r="CJ8"/>
      <c r="CK8"/>
      <c r="CL8"/>
      <c r="CM8"/>
      <c r="CN8"/>
      <c r="CO8" t="s">
        <v>6885</v>
      </c>
      <c r="CP8">
        <v>800</v>
      </c>
      <c r="CQ8">
        <v>-0.5</v>
      </c>
      <c r="CR8"/>
      <c r="CS8">
        <v>15</v>
      </c>
      <c r="CT8"/>
      <c r="CU8"/>
      <c r="CV8" t="s">
        <v>6886</v>
      </c>
      <c r="CW8"/>
      <c r="CX8"/>
      <c r="CY8"/>
      <c r="CZ8"/>
      <c r="DA8"/>
      <c r="DB8"/>
      <c r="DC8"/>
      <c r="DD8"/>
      <c r="DE8"/>
      <c r="DF8"/>
      <c r="DG8"/>
      <c r="DH8"/>
      <c r="DI8"/>
      <c r="DJ8"/>
    </row>
    <row r="9" spans="1:114" s="3" customFormat="1" x14ac:dyDescent="0.25">
      <c r="A9"/>
      <c r="B9"/>
      <c r="C9"/>
      <c r="D9"/>
      <c r="E9"/>
      <c r="F9"/>
      <c r="G9"/>
      <c r="H9"/>
      <c r="I9"/>
      <c r="J9"/>
      <c r="K9" s="5"/>
      <c r="L9"/>
      <c r="M9"/>
      <c r="N9"/>
      <c r="O9"/>
      <c r="P9"/>
      <c r="Q9"/>
      <c r="R9"/>
      <c r="S9"/>
      <c r="T9"/>
      <c r="U9"/>
      <c r="V9"/>
      <c r="W9"/>
      <c r="X9"/>
      <c r="Y9"/>
      <c r="Z9"/>
      <c r="AA9"/>
      <c r="AB9"/>
      <c r="AC9"/>
      <c r="AD9"/>
      <c r="AE9"/>
      <c r="AF9"/>
      <c r="AG9"/>
      <c r="AH9"/>
      <c r="AI9"/>
      <c r="AJ9"/>
      <c r="AK9"/>
      <c r="AL9"/>
      <c r="AM9"/>
      <c r="AN9"/>
      <c r="AO9"/>
      <c r="AP9"/>
      <c r="AQ9"/>
      <c r="AR9"/>
      <c r="AS9"/>
      <c r="AT9"/>
      <c r="AU9"/>
      <c r="AV9"/>
      <c r="AW9" s="6"/>
      <c r="AX9"/>
      <c r="AY9"/>
      <c r="AZ9"/>
      <c r="BA9"/>
      <c r="BB9"/>
      <c r="BC9"/>
      <c r="BD9"/>
      <c r="BE9"/>
      <c r="BF9"/>
      <c r="BG9"/>
      <c r="BH9"/>
      <c r="BI9"/>
      <c r="BJ9"/>
      <c r="BK9"/>
      <c r="BL9"/>
      <c r="BM9"/>
      <c r="BN9"/>
      <c r="BO9" s="7"/>
      <c r="BP9" s="7"/>
      <c r="BQ9"/>
      <c r="BR9"/>
      <c r="BS9"/>
      <c r="BT9"/>
      <c r="BU9"/>
      <c r="BV9"/>
      <c r="BW9"/>
      <c r="BX9"/>
      <c r="BY9"/>
      <c r="BZ9"/>
      <c r="CA9"/>
      <c r="CB9"/>
      <c r="CC9"/>
      <c r="CD9"/>
      <c r="CE9"/>
      <c r="CF9"/>
      <c r="CG9"/>
      <c r="CH9"/>
      <c r="CI9"/>
      <c r="CJ9"/>
      <c r="CK9"/>
      <c r="CL9"/>
      <c r="CM9"/>
      <c r="CN9"/>
      <c r="CO9" s="9"/>
      <c r="CP9"/>
      <c r="CQ9"/>
      <c r="CR9"/>
      <c r="CS9"/>
      <c r="CT9"/>
      <c r="CU9"/>
      <c r="CV9"/>
      <c r="CW9"/>
      <c r="CX9"/>
      <c r="CY9"/>
      <c r="CZ9"/>
      <c r="DA9"/>
      <c r="DB9"/>
      <c r="DC9"/>
      <c r="DD9"/>
      <c r="DE9"/>
      <c r="DF9"/>
      <c r="DG9"/>
      <c r="DH9"/>
      <c r="DI9"/>
      <c r="DJ9"/>
    </row>
    <row r="10" spans="1:114" x14ac:dyDescent="0.25">
      <c r="A10" t="s">
        <v>6887</v>
      </c>
      <c r="C10" t="s">
        <v>6888</v>
      </c>
      <c r="K10" s="5" t="s">
        <v>6874</v>
      </c>
      <c r="L10" s="5" t="s">
        <v>6889</v>
      </c>
      <c r="AC10">
        <v>1</v>
      </c>
      <c r="AG10" t="s">
        <v>6876</v>
      </c>
      <c r="BD10">
        <v>1</v>
      </c>
      <c r="CO10" s="9" t="s">
        <v>6890</v>
      </c>
      <c r="CS10">
        <v>99999</v>
      </c>
    </row>
    <row r="11" spans="1:114" x14ac:dyDescent="0.25">
      <c r="AW11"/>
      <c r="BO11"/>
      <c r="BP11"/>
    </row>
    <row r="12" spans="1:114" x14ac:dyDescent="0.25">
      <c r="A12" t="s">
        <v>6891</v>
      </c>
      <c r="C12" t="s">
        <v>6888</v>
      </c>
      <c r="K12" s="5" t="s">
        <v>6874</v>
      </c>
      <c r="L12" s="5" t="s">
        <v>6892</v>
      </c>
      <c r="AC12">
        <v>1</v>
      </c>
      <c r="AG12" t="s">
        <v>6876</v>
      </c>
      <c r="AH12">
        <v>1</v>
      </c>
      <c r="AW12"/>
      <c r="AY12" s="5"/>
      <c r="BD12">
        <v>1</v>
      </c>
      <c r="BO12"/>
      <c r="BP12"/>
      <c r="BV12"/>
      <c r="BW12"/>
      <c r="BX12"/>
      <c r="BY12"/>
      <c r="BZ12"/>
      <c r="CA12"/>
      <c r="CB12" s="5"/>
      <c r="CC12" s="5"/>
      <c r="CD12" s="5"/>
      <c r="CE12" s="5"/>
      <c r="CF12" s="5"/>
      <c r="CG12" s="5"/>
      <c r="CI12" s="5"/>
      <c r="CJ12" s="5"/>
      <c r="CK12" s="5"/>
      <c r="CL12" s="5"/>
      <c r="CM12" s="5"/>
      <c r="CN12" s="5"/>
      <c r="CO12" t="s">
        <v>6893</v>
      </c>
      <c r="CP12">
        <v>0.08</v>
      </c>
      <c r="CS12">
        <v>99999</v>
      </c>
    </row>
    <row r="13" spans="1:114" x14ac:dyDescent="0.25">
      <c r="A13" t="s">
        <v>6894</v>
      </c>
      <c r="C13" t="s">
        <v>6888</v>
      </c>
      <c r="K13" s="5" t="s">
        <v>6874</v>
      </c>
      <c r="L13" s="5" t="s">
        <v>6892</v>
      </c>
      <c r="AC13">
        <v>1</v>
      </c>
      <c r="AG13" t="s">
        <v>6876</v>
      </c>
      <c r="AH13">
        <v>1</v>
      </c>
      <c r="AY13" s="5"/>
      <c r="BD13">
        <v>1</v>
      </c>
      <c r="BV13"/>
      <c r="BW13"/>
      <c r="BX13"/>
      <c r="BY13"/>
      <c r="BZ13"/>
      <c r="CA13"/>
      <c r="CB13" s="5"/>
      <c r="CC13" s="5"/>
      <c r="CD13" s="5"/>
      <c r="CE13" s="5"/>
      <c r="CF13" s="5"/>
      <c r="CG13" s="5"/>
      <c r="CI13" s="5"/>
      <c r="CJ13" s="5"/>
      <c r="CK13" s="5"/>
      <c r="CL13" s="5"/>
      <c r="CM13" s="5"/>
      <c r="CN13" s="5"/>
      <c r="CO13" s="9" t="s">
        <v>6895</v>
      </c>
      <c r="CP13">
        <v>0.12</v>
      </c>
      <c r="CS13">
        <v>99999</v>
      </c>
    </row>
    <row r="14" spans="1:114" x14ac:dyDescent="0.25">
      <c r="A14" t="s">
        <v>6896</v>
      </c>
      <c r="C14" t="s">
        <v>6888</v>
      </c>
      <c r="K14" s="5" t="s">
        <v>6874</v>
      </c>
      <c r="L14" s="5" t="s">
        <v>6892</v>
      </c>
      <c r="AC14">
        <v>1</v>
      </c>
      <c r="AG14" t="s">
        <v>6876</v>
      </c>
      <c r="AH14">
        <v>1</v>
      </c>
      <c r="AY14" s="5"/>
      <c r="BD14">
        <v>1</v>
      </c>
      <c r="BV14"/>
      <c r="BW14"/>
      <c r="BX14"/>
      <c r="BY14"/>
      <c r="BZ14"/>
      <c r="CA14"/>
      <c r="CB14" s="5"/>
      <c r="CC14" s="5"/>
      <c r="CD14" s="5"/>
      <c r="CE14" s="5"/>
      <c r="CF14" s="5"/>
      <c r="CG14" s="5"/>
      <c r="CI14" s="5"/>
      <c r="CJ14" s="5"/>
      <c r="CK14" s="5"/>
      <c r="CL14" s="5"/>
      <c r="CM14" s="5"/>
      <c r="CN14" s="5"/>
      <c r="CO14" s="9" t="s">
        <v>6897</v>
      </c>
      <c r="CP14">
        <v>0.1</v>
      </c>
      <c r="CS14">
        <v>99999</v>
      </c>
    </row>
    <row r="15" spans="1:114" x14ac:dyDescent="0.25">
      <c r="A15" t="s">
        <v>6898</v>
      </c>
      <c r="C15" t="s">
        <v>6888</v>
      </c>
      <c r="K15" s="5" t="s">
        <v>6874</v>
      </c>
      <c r="L15" s="5" t="s">
        <v>6892</v>
      </c>
      <c r="AC15">
        <v>1</v>
      </c>
      <c r="AG15" t="s">
        <v>6876</v>
      </c>
      <c r="AW15"/>
      <c r="AY15" s="5"/>
      <c r="BD15">
        <v>1</v>
      </c>
      <c r="BO15"/>
      <c r="BP15"/>
      <c r="BW15"/>
      <c r="BX15"/>
      <c r="BY15"/>
      <c r="BZ15"/>
      <c r="CA15"/>
      <c r="CB15" s="5"/>
      <c r="CC15" s="5"/>
      <c r="CD15" s="5"/>
      <c r="CE15" s="5"/>
      <c r="CF15" s="5"/>
      <c r="CG15" s="5"/>
      <c r="CI15" s="5"/>
      <c r="CJ15" s="5"/>
      <c r="CK15" s="5"/>
      <c r="CL15" s="5"/>
      <c r="CN15" s="5"/>
      <c r="CO15" t="s">
        <v>6899</v>
      </c>
      <c r="CP15">
        <v>-1</v>
      </c>
      <c r="CS15">
        <v>99999</v>
      </c>
    </row>
    <row r="16" spans="1:114" x14ac:dyDescent="0.25">
      <c r="A16" t="s">
        <v>6900</v>
      </c>
      <c r="C16" t="s">
        <v>6888</v>
      </c>
      <c r="K16" s="5" t="s">
        <v>6874</v>
      </c>
      <c r="L16" s="5" t="s">
        <v>6892</v>
      </c>
      <c r="AC16">
        <v>1</v>
      </c>
      <c r="AG16" t="s">
        <v>6876</v>
      </c>
      <c r="AH16">
        <v>1</v>
      </c>
      <c r="AY16" s="5"/>
      <c r="BD16">
        <v>1</v>
      </c>
      <c r="BV16"/>
      <c r="BW16"/>
      <c r="BX16"/>
      <c r="BY16"/>
      <c r="BZ16"/>
      <c r="CA16"/>
      <c r="CB16" s="5"/>
      <c r="CC16" s="5"/>
      <c r="CD16" s="5"/>
      <c r="CE16" s="5"/>
      <c r="CF16" s="5"/>
      <c r="CG16" s="5"/>
      <c r="CI16" s="5"/>
      <c r="CJ16" s="5"/>
      <c r="CK16" s="5"/>
      <c r="CL16" s="5"/>
      <c r="CM16" s="5"/>
      <c r="CN16" s="5"/>
      <c r="CO16" s="9" t="s">
        <v>6901</v>
      </c>
      <c r="CP16">
        <v>0.08</v>
      </c>
      <c r="CQ16">
        <v>0.08</v>
      </c>
      <c r="CS16">
        <v>99999</v>
      </c>
    </row>
    <row r="18" spans="1:104" x14ac:dyDescent="0.25">
      <c r="A18" t="s">
        <v>371</v>
      </c>
      <c r="C18" t="s">
        <v>6888</v>
      </c>
      <c r="D18" t="s">
        <v>6902</v>
      </c>
      <c r="E18" t="s">
        <v>6903</v>
      </c>
      <c r="F18" t="s">
        <v>6904</v>
      </c>
      <c r="J18" t="s">
        <v>6905</v>
      </c>
      <c r="K18" s="5" t="s">
        <v>6906</v>
      </c>
      <c r="AC18">
        <v>1</v>
      </c>
      <c r="AY18" s="5"/>
      <c r="BD18">
        <v>1</v>
      </c>
      <c r="BT18">
        <v>20</v>
      </c>
      <c r="BV18" s="8">
        <v>0</v>
      </c>
      <c r="BW18" s="8">
        <v>40</v>
      </c>
      <c r="BX18" s="8">
        <v>1</v>
      </c>
      <c r="BY18" s="8" t="s">
        <v>6907</v>
      </c>
      <c r="CB18" s="5"/>
      <c r="CC18" s="5"/>
      <c r="CD18" s="5"/>
      <c r="CE18" s="5"/>
      <c r="CF18" s="5"/>
      <c r="CG18" s="5"/>
      <c r="CI18" s="5"/>
      <c r="CJ18" s="5"/>
      <c r="CK18" s="5"/>
      <c r="CL18" s="5"/>
      <c r="CM18" s="5"/>
      <c r="CN18" s="5"/>
      <c r="CO18" s="9" t="s">
        <v>6908</v>
      </c>
      <c r="CP18">
        <v>0.5</v>
      </c>
      <c r="CS18">
        <v>20</v>
      </c>
    </row>
    <row r="19" spans="1:104" x14ac:dyDescent="0.25">
      <c r="A19" t="s">
        <v>6909</v>
      </c>
      <c r="C19" t="s">
        <v>6888</v>
      </c>
      <c r="D19" t="s">
        <v>6910</v>
      </c>
      <c r="E19" t="s">
        <v>6911</v>
      </c>
      <c r="F19" t="s">
        <v>6912</v>
      </c>
      <c r="G19">
        <v>3</v>
      </c>
      <c r="J19" t="s">
        <v>6905</v>
      </c>
      <c r="K19" s="5" t="s">
        <v>6906</v>
      </c>
      <c r="AC19">
        <v>1</v>
      </c>
      <c r="AY19" s="5"/>
      <c r="BD19">
        <v>1</v>
      </c>
      <c r="BT19">
        <v>25</v>
      </c>
      <c r="BV19" s="8">
        <v>10</v>
      </c>
      <c r="BW19" s="8">
        <v>35</v>
      </c>
      <c r="BX19" s="8">
        <v>1</v>
      </c>
      <c r="BY19" s="8" t="s">
        <v>6907</v>
      </c>
      <c r="CB19" s="5"/>
      <c r="CC19" s="5"/>
      <c r="CD19" s="5"/>
      <c r="CE19" s="5"/>
      <c r="CF19" s="5"/>
      <c r="CG19" s="5"/>
      <c r="CI19" s="5"/>
      <c r="CJ19" s="5"/>
      <c r="CK19" s="5"/>
      <c r="CL19" s="5"/>
      <c r="CM19" s="5"/>
      <c r="CN19" s="5"/>
      <c r="CO19" s="9" t="s">
        <v>6908</v>
      </c>
      <c r="CP19">
        <v>0.8</v>
      </c>
      <c r="CS19">
        <v>25</v>
      </c>
    </row>
    <row r="20" spans="1:104" x14ac:dyDescent="0.25">
      <c r="A20" t="s">
        <v>6913</v>
      </c>
      <c r="C20" t="s">
        <v>6888</v>
      </c>
      <c r="D20" t="s">
        <v>6914</v>
      </c>
      <c r="E20" t="s">
        <v>6915</v>
      </c>
      <c r="F20" t="s">
        <v>6916</v>
      </c>
      <c r="G20">
        <v>3</v>
      </c>
      <c r="J20" t="s">
        <v>6905</v>
      </c>
      <c r="K20" s="5" t="s">
        <v>6906</v>
      </c>
      <c r="AC20">
        <v>1</v>
      </c>
      <c r="AY20" s="5"/>
      <c r="BD20">
        <v>1</v>
      </c>
      <c r="BT20">
        <v>30</v>
      </c>
      <c r="BV20" s="8">
        <v>15</v>
      </c>
      <c r="BW20" s="8">
        <v>30</v>
      </c>
      <c r="BX20" s="8">
        <v>1</v>
      </c>
      <c r="BY20" s="8" t="s">
        <v>6907</v>
      </c>
      <c r="CB20" s="5"/>
      <c r="CC20" s="5"/>
      <c r="CD20" s="5"/>
      <c r="CE20" s="5"/>
      <c r="CF20" s="5"/>
      <c r="CG20" s="5"/>
      <c r="CI20" s="5"/>
      <c r="CJ20" s="5"/>
      <c r="CK20" s="5"/>
      <c r="CL20" s="5"/>
      <c r="CM20" s="5"/>
      <c r="CN20" s="5"/>
      <c r="CO20" s="9" t="s">
        <v>6908</v>
      </c>
      <c r="CP20">
        <v>1</v>
      </c>
      <c r="CS20">
        <v>30</v>
      </c>
    </row>
    <row r="21" spans="1:104" x14ac:dyDescent="0.25">
      <c r="A21" t="s">
        <v>416</v>
      </c>
      <c r="C21" t="s">
        <v>6888</v>
      </c>
      <c r="D21" t="s">
        <v>6917</v>
      </c>
      <c r="E21" t="s">
        <v>6918</v>
      </c>
      <c r="F21" t="s">
        <v>6919</v>
      </c>
      <c r="J21" t="s">
        <v>6905</v>
      </c>
      <c r="K21" s="5" t="s">
        <v>6906</v>
      </c>
      <c r="AC21">
        <v>1</v>
      </c>
      <c r="AY21" s="5"/>
      <c r="BD21">
        <v>1</v>
      </c>
      <c r="BT21">
        <v>20</v>
      </c>
      <c r="BV21" s="8">
        <v>0</v>
      </c>
      <c r="BW21" s="8">
        <v>40</v>
      </c>
      <c r="BX21" s="8">
        <v>1</v>
      </c>
      <c r="BY21" s="8" t="s">
        <v>6907</v>
      </c>
      <c r="CB21" s="5"/>
      <c r="CC21" s="5"/>
      <c r="CD21" s="5"/>
      <c r="CE21" s="5"/>
      <c r="CF21" s="5"/>
      <c r="CG21" s="5"/>
      <c r="CI21" s="5"/>
      <c r="CJ21" s="5"/>
      <c r="CK21" s="5"/>
      <c r="CL21" s="5"/>
      <c r="CM21" s="5"/>
      <c r="CN21" s="5"/>
      <c r="CO21" s="9" t="s">
        <v>6920</v>
      </c>
      <c r="CP21">
        <v>50</v>
      </c>
      <c r="CS21">
        <v>20</v>
      </c>
    </row>
    <row r="22" spans="1:104" x14ac:dyDescent="0.25">
      <c r="A22" t="s">
        <v>6921</v>
      </c>
      <c r="C22" t="s">
        <v>6888</v>
      </c>
      <c r="D22" t="s">
        <v>6922</v>
      </c>
      <c r="E22" t="s">
        <v>6923</v>
      </c>
      <c r="F22" t="s">
        <v>6924</v>
      </c>
      <c r="G22">
        <v>3</v>
      </c>
      <c r="J22" t="s">
        <v>6905</v>
      </c>
      <c r="K22" s="5" t="s">
        <v>6906</v>
      </c>
      <c r="AC22">
        <v>1</v>
      </c>
      <c r="AY22" s="5"/>
      <c r="BD22">
        <v>1</v>
      </c>
      <c r="BT22">
        <v>25</v>
      </c>
      <c r="BV22" s="8">
        <v>10</v>
      </c>
      <c r="BW22" s="8">
        <v>35</v>
      </c>
      <c r="BX22" s="8">
        <v>1</v>
      </c>
      <c r="BY22" s="8" t="s">
        <v>6907</v>
      </c>
      <c r="CB22" s="5"/>
      <c r="CC22" s="5"/>
      <c r="CD22" s="5"/>
      <c r="CE22" s="5"/>
      <c r="CF22" s="5"/>
      <c r="CG22" s="5"/>
      <c r="CI22" s="5"/>
      <c r="CJ22" s="5"/>
      <c r="CK22" s="5"/>
      <c r="CL22" s="5"/>
      <c r="CM22" s="5"/>
      <c r="CN22" s="5"/>
      <c r="CO22" s="9" t="s">
        <v>6920</v>
      </c>
      <c r="CP22">
        <v>75</v>
      </c>
      <c r="CS22">
        <v>25</v>
      </c>
    </row>
    <row r="23" spans="1:104" x14ac:dyDescent="0.25">
      <c r="A23" t="s">
        <v>6925</v>
      </c>
      <c r="C23" t="s">
        <v>6888</v>
      </c>
      <c r="D23" t="s">
        <v>6926</v>
      </c>
      <c r="E23" t="s">
        <v>6927</v>
      </c>
      <c r="F23" t="s">
        <v>6928</v>
      </c>
      <c r="G23">
        <v>3</v>
      </c>
      <c r="J23" t="s">
        <v>6905</v>
      </c>
      <c r="K23" s="5" t="s">
        <v>6906</v>
      </c>
      <c r="AC23">
        <v>1</v>
      </c>
      <c r="AY23" s="5"/>
      <c r="BD23">
        <v>1</v>
      </c>
      <c r="BT23">
        <v>30</v>
      </c>
      <c r="BV23" s="8">
        <v>15</v>
      </c>
      <c r="BW23" s="8">
        <v>30</v>
      </c>
      <c r="BX23" s="8">
        <v>1</v>
      </c>
      <c r="BY23" s="8" t="s">
        <v>6907</v>
      </c>
      <c r="CB23" s="5"/>
      <c r="CC23" s="5"/>
      <c r="CD23" s="5"/>
      <c r="CE23" s="5"/>
      <c r="CF23" s="5"/>
      <c r="CG23" s="5"/>
      <c r="CI23" s="5"/>
      <c r="CJ23" s="5"/>
      <c r="CK23" s="5"/>
      <c r="CL23" s="5"/>
      <c r="CM23" s="5"/>
      <c r="CN23" s="5"/>
      <c r="CO23" s="9" t="s">
        <v>6929</v>
      </c>
      <c r="CP23">
        <v>90</v>
      </c>
      <c r="CS23">
        <v>30</v>
      </c>
    </row>
    <row r="24" spans="1:104" x14ac:dyDescent="0.25">
      <c r="A24" t="s">
        <v>392</v>
      </c>
      <c r="C24" t="s">
        <v>6888</v>
      </c>
      <c r="D24" t="s">
        <v>6930</v>
      </c>
      <c r="E24" t="s">
        <v>6931</v>
      </c>
      <c r="F24" t="s">
        <v>6932</v>
      </c>
      <c r="J24" t="s">
        <v>6905</v>
      </c>
      <c r="K24" s="5" t="s">
        <v>6906</v>
      </c>
      <c r="AC24">
        <v>1</v>
      </c>
      <c r="AW24"/>
      <c r="AY24" s="5"/>
      <c r="BD24">
        <v>1</v>
      </c>
      <c r="BO24"/>
      <c r="BP24"/>
      <c r="BT24">
        <v>25</v>
      </c>
      <c r="BV24" s="8">
        <v>0</v>
      </c>
      <c r="BW24" s="8">
        <v>45</v>
      </c>
      <c r="BX24" s="8">
        <v>1</v>
      </c>
      <c r="BY24" s="8" t="s">
        <v>6907</v>
      </c>
      <c r="CB24" s="5"/>
      <c r="CC24" s="5"/>
      <c r="CD24" s="5"/>
      <c r="CE24" s="5"/>
      <c r="CF24" s="5"/>
      <c r="CG24" s="5"/>
      <c r="CI24" s="5"/>
      <c r="CJ24" s="5"/>
      <c r="CK24" s="5"/>
      <c r="CL24" s="5"/>
      <c r="CN24" s="5"/>
      <c r="CO24" t="s">
        <v>6933</v>
      </c>
      <c r="CP24">
        <v>0.25</v>
      </c>
      <c r="CQ24">
        <v>25</v>
      </c>
      <c r="CS24">
        <v>25</v>
      </c>
    </row>
    <row r="25" spans="1:104" x14ac:dyDescent="0.25">
      <c r="A25" t="s">
        <v>6934</v>
      </c>
      <c r="C25" t="s">
        <v>6888</v>
      </c>
      <c r="D25" t="s">
        <v>6935</v>
      </c>
      <c r="E25" t="s">
        <v>6936</v>
      </c>
      <c r="F25" t="s">
        <v>6937</v>
      </c>
      <c r="G25">
        <v>3</v>
      </c>
      <c r="J25" t="s">
        <v>6905</v>
      </c>
      <c r="K25" s="5" t="s">
        <v>6906</v>
      </c>
      <c r="AC25">
        <v>1</v>
      </c>
      <c r="AY25" s="5"/>
      <c r="BD25">
        <v>1</v>
      </c>
      <c r="BT25">
        <v>35</v>
      </c>
      <c r="BV25" s="8">
        <v>15</v>
      </c>
      <c r="BW25" s="8">
        <v>35</v>
      </c>
      <c r="BX25" s="8">
        <v>1</v>
      </c>
      <c r="BY25" s="8" t="s">
        <v>6907</v>
      </c>
      <c r="CB25" s="5"/>
      <c r="CC25" s="5"/>
      <c r="CD25" s="5"/>
      <c r="CE25" s="5"/>
      <c r="CF25" s="5"/>
      <c r="CG25" s="5"/>
      <c r="CI25" s="5"/>
      <c r="CJ25" s="5"/>
      <c r="CK25" s="5"/>
      <c r="CL25" s="5"/>
      <c r="CM25" s="5"/>
      <c r="CN25" s="5"/>
      <c r="CO25" s="9" t="s">
        <v>6938</v>
      </c>
      <c r="CP25" t="s">
        <v>6939</v>
      </c>
      <c r="CS25">
        <v>35</v>
      </c>
    </row>
    <row r="26" spans="1:104" x14ac:dyDescent="0.25">
      <c r="A26" t="s">
        <v>411</v>
      </c>
      <c r="C26" t="s">
        <v>6888</v>
      </c>
      <c r="D26" t="s">
        <v>6940</v>
      </c>
      <c r="E26" t="s">
        <v>6903</v>
      </c>
      <c r="F26" t="s">
        <v>6941</v>
      </c>
      <c r="J26" t="s">
        <v>6905</v>
      </c>
      <c r="K26" s="5" t="s">
        <v>6906</v>
      </c>
      <c r="AC26">
        <v>1</v>
      </c>
      <c r="AY26" s="5"/>
      <c r="BD26">
        <v>1</v>
      </c>
      <c r="BT26">
        <v>20</v>
      </c>
      <c r="BV26" s="8">
        <v>0</v>
      </c>
      <c r="BW26" s="8">
        <v>30</v>
      </c>
      <c r="BX26" s="8">
        <v>1</v>
      </c>
      <c r="BY26" s="8" t="s">
        <v>6907</v>
      </c>
      <c r="CB26" s="5"/>
      <c r="CC26" s="5"/>
      <c r="CD26" s="5"/>
      <c r="CE26" s="5"/>
      <c r="CF26" s="5"/>
      <c r="CG26" s="5"/>
      <c r="CI26" s="5"/>
      <c r="CJ26" s="5"/>
      <c r="CK26" s="5"/>
      <c r="CL26" s="5"/>
      <c r="CM26" s="5"/>
      <c r="CN26" s="5"/>
      <c r="CO26" s="9" t="s">
        <v>6942</v>
      </c>
      <c r="CP26">
        <v>0.5</v>
      </c>
      <c r="CS26">
        <v>20</v>
      </c>
    </row>
    <row r="27" spans="1:104" x14ac:dyDescent="0.25">
      <c r="A27" t="s">
        <v>6943</v>
      </c>
      <c r="C27" t="s">
        <v>6888</v>
      </c>
      <c r="D27" t="s">
        <v>6944</v>
      </c>
      <c r="E27" t="s">
        <v>6945</v>
      </c>
      <c r="F27" t="s">
        <v>6946</v>
      </c>
      <c r="G27">
        <v>3</v>
      </c>
      <c r="J27" t="s">
        <v>6905</v>
      </c>
      <c r="K27" s="5" t="s">
        <v>6906</v>
      </c>
      <c r="AC27">
        <v>1</v>
      </c>
      <c r="AY27" s="5"/>
      <c r="BD27">
        <v>1</v>
      </c>
      <c r="BT27">
        <v>25</v>
      </c>
      <c r="BV27" s="8">
        <v>10</v>
      </c>
      <c r="BW27" s="8">
        <v>30</v>
      </c>
      <c r="BX27" s="8">
        <v>1</v>
      </c>
      <c r="BY27" s="8" t="s">
        <v>6907</v>
      </c>
      <c r="CB27" s="5"/>
      <c r="CC27" s="5"/>
      <c r="CD27" s="5"/>
      <c r="CE27" s="5"/>
      <c r="CF27" s="5"/>
      <c r="CG27" s="5"/>
      <c r="CI27" s="5"/>
      <c r="CJ27" s="5"/>
      <c r="CK27" s="5"/>
      <c r="CL27" s="5"/>
      <c r="CM27" s="5"/>
      <c r="CN27" s="5"/>
      <c r="CO27" s="9" t="s">
        <v>6942</v>
      </c>
      <c r="CP27">
        <v>0.7</v>
      </c>
      <c r="CS27">
        <v>25</v>
      </c>
    </row>
    <row r="28" spans="1:104" x14ac:dyDescent="0.25">
      <c r="A28" t="s">
        <v>6947</v>
      </c>
      <c r="C28" t="s">
        <v>6888</v>
      </c>
      <c r="D28" t="s">
        <v>6948</v>
      </c>
      <c r="E28" t="s">
        <v>6949</v>
      </c>
      <c r="F28" t="s">
        <v>6950</v>
      </c>
      <c r="G28">
        <v>3</v>
      </c>
      <c r="J28" t="s">
        <v>6905</v>
      </c>
      <c r="K28" s="5" t="s">
        <v>6906</v>
      </c>
      <c r="AC28">
        <v>1</v>
      </c>
      <c r="AY28" s="5"/>
      <c r="BD28">
        <v>1</v>
      </c>
      <c r="BT28">
        <v>30</v>
      </c>
      <c r="BV28" s="8">
        <v>20</v>
      </c>
      <c r="BW28" s="8">
        <v>30</v>
      </c>
      <c r="BX28" s="8">
        <v>1</v>
      </c>
      <c r="BY28" s="8" t="s">
        <v>6907</v>
      </c>
      <c r="CB28" s="5"/>
      <c r="CC28" s="5"/>
      <c r="CD28" s="5"/>
      <c r="CE28" s="5"/>
      <c r="CF28" s="5"/>
      <c r="CG28" s="5"/>
      <c r="CI28" s="5"/>
      <c r="CJ28" s="5"/>
      <c r="CK28" s="5"/>
      <c r="CL28" s="5"/>
      <c r="CM28" s="5"/>
      <c r="CN28" s="5"/>
      <c r="CO28" s="9" t="s">
        <v>6942</v>
      </c>
      <c r="CP28">
        <v>0.9</v>
      </c>
      <c r="CS28">
        <v>30</v>
      </c>
    </row>
    <row r="29" spans="1:104" ht="14.5" x14ac:dyDescent="0.25">
      <c r="A29" t="s">
        <v>436</v>
      </c>
      <c r="C29" t="s">
        <v>6888</v>
      </c>
      <c r="D29" t="s">
        <v>6951</v>
      </c>
      <c r="E29" t="s">
        <v>6952</v>
      </c>
      <c r="F29" t="s">
        <v>6953</v>
      </c>
      <c r="J29" t="s">
        <v>6905</v>
      </c>
      <c r="K29" s="5" t="s">
        <v>6906</v>
      </c>
      <c r="AC29">
        <v>1</v>
      </c>
      <c r="AY29" s="5">
        <v>1</v>
      </c>
      <c r="AZ29">
        <v>0.4</v>
      </c>
      <c r="BB29">
        <v>1</v>
      </c>
      <c r="BD29">
        <v>1</v>
      </c>
      <c r="BT29">
        <v>0.3</v>
      </c>
      <c r="BV29" s="8">
        <v>10</v>
      </c>
      <c r="BW29" s="8">
        <v>20</v>
      </c>
      <c r="BX29" s="8">
        <v>1</v>
      </c>
      <c r="BY29" s="8" t="s">
        <v>6907</v>
      </c>
      <c r="CB29" s="5"/>
      <c r="CC29" s="5"/>
      <c r="CD29" s="5"/>
      <c r="CE29" s="5"/>
      <c r="CF29" s="5"/>
      <c r="CG29" s="5"/>
      <c r="CI29" s="5"/>
      <c r="CJ29" s="5"/>
      <c r="CK29" s="5"/>
      <c r="CL29" s="5"/>
      <c r="CM29" s="5"/>
      <c r="CN29" s="5"/>
      <c r="CZ29" t="s">
        <v>6954</v>
      </c>
    </row>
    <row r="30" spans="1:104" x14ac:dyDescent="0.25">
      <c r="A30" t="s">
        <v>6955</v>
      </c>
      <c r="C30" t="s">
        <v>6888</v>
      </c>
      <c r="D30" t="s">
        <v>6956</v>
      </c>
      <c r="E30" t="s">
        <v>6957</v>
      </c>
      <c r="F30" t="s">
        <v>6958</v>
      </c>
      <c r="G30">
        <v>3</v>
      </c>
      <c r="J30" t="s">
        <v>6905</v>
      </c>
      <c r="K30" s="5" t="s">
        <v>6906</v>
      </c>
      <c r="AC30">
        <v>1</v>
      </c>
      <c r="AY30" s="5">
        <v>1</v>
      </c>
      <c r="AZ30">
        <v>0.5</v>
      </c>
      <c r="BB30">
        <v>1</v>
      </c>
      <c r="BD30">
        <v>1</v>
      </c>
      <c r="BT30">
        <v>0.3</v>
      </c>
      <c r="BV30" s="8">
        <v>10</v>
      </c>
      <c r="BW30" s="8">
        <v>20</v>
      </c>
      <c r="BX30" s="8">
        <v>1</v>
      </c>
      <c r="BY30" s="8" t="s">
        <v>6907</v>
      </c>
      <c r="CB30" s="5"/>
      <c r="CC30" s="5"/>
      <c r="CD30" s="5"/>
      <c r="CE30" s="5"/>
      <c r="CF30" s="5"/>
      <c r="CG30" s="5"/>
      <c r="CI30" s="5"/>
      <c r="CJ30" s="5"/>
      <c r="CK30" s="5"/>
      <c r="CL30" s="5"/>
      <c r="CM30" s="5"/>
      <c r="CN30" s="5"/>
      <c r="CZ30" t="s">
        <v>6954</v>
      </c>
    </row>
    <row r="31" spans="1:104" x14ac:dyDescent="0.25">
      <c r="A31" t="s">
        <v>431</v>
      </c>
      <c r="C31" t="s">
        <v>6888</v>
      </c>
      <c r="D31" t="s">
        <v>6959</v>
      </c>
      <c r="E31" t="s">
        <v>6960</v>
      </c>
      <c r="F31" t="s">
        <v>6961</v>
      </c>
      <c r="J31" t="s">
        <v>6905</v>
      </c>
      <c r="K31" s="5" t="s">
        <v>6906</v>
      </c>
      <c r="AC31">
        <v>1</v>
      </c>
      <c r="AY31" s="5"/>
      <c r="BD31">
        <v>1</v>
      </c>
      <c r="BT31">
        <v>30</v>
      </c>
      <c r="BV31" s="8">
        <v>0</v>
      </c>
      <c r="BW31" s="8">
        <v>40</v>
      </c>
      <c r="BX31" s="8">
        <v>1</v>
      </c>
      <c r="BY31" s="8" t="s">
        <v>6907</v>
      </c>
      <c r="CB31" s="5"/>
      <c r="CC31" s="5"/>
      <c r="CD31" s="5"/>
      <c r="CE31" s="5"/>
      <c r="CF31" s="5"/>
      <c r="CG31" s="5"/>
      <c r="CI31" s="5"/>
      <c r="CJ31" s="5"/>
      <c r="CK31" s="5"/>
      <c r="CL31" s="5"/>
      <c r="CM31" s="5"/>
      <c r="CN31" s="5"/>
      <c r="CO31" s="9" t="s">
        <v>6962</v>
      </c>
      <c r="CP31">
        <v>0.5</v>
      </c>
      <c r="CS31">
        <v>30</v>
      </c>
    </row>
    <row r="32" spans="1:104" x14ac:dyDescent="0.25">
      <c r="A32" t="s">
        <v>6897</v>
      </c>
      <c r="C32" t="s">
        <v>6888</v>
      </c>
      <c r="D32" t="s">
        <v>6963</v>
      </c>
      <c r="E32" t="s">
        <v>6964</v>
      </c>
      <c r="F32" t="s">
        <v>6965</v>
      </c>
      <c r="G32">
        <v>3</v>
      </c>
      <c r="J32" t="s">
        <v>6905</v>
      </c>
      <c r="K32" s="5" t="s">
        <v>6906</v>
      </c>
      <c r="AC32">
        <v>1</v>
      </c>
      <c r="AY32" s="5"/>
      <c r="BD32">
        <v>1</v>
      </c>
      <c r="BT32">
        <v>35</v>
      </c>
      <c r="BV32" s="8">
        <v>10</v>
      </c>
      <c r="BW32" s="8">
        <v>35</v>
      </c>
      <c r="BX32" s="8">
        <v>1</v>
      </c>
      <c r="BY32" s="8" t="s">
        <v>6907</v>
      </c>
      <c r="CB32" s="5"/>
      <c r="CC32" s="5"/>
      <c r="CD32" s="5"/>
      <c r="CE32" s="5"/>
      <c r="CF32" s="5"/>
      <c r="CG32" s="5"/>
      <c r="CI32" s="5"/>
      <c r="CJ32" s="5"/>
      <c r="CK32" s="5"/>
      <c r="CL32" s="5"/>
      <c r="CM32" s="5"/>
      <c r="CN32" s="5"/>
      <c r="CO32" s="9" t="s">
        <v>6962</v>
      </c>
      <c r="CP32">
        <v>0.8</v>
      </c>
      <c r="CS32">
        <v>35</v>
      </c>
    </row>
    <row r="33" spans="1:104" x14ac:dyDescent="0.25">
      <c r="A33" t="s">
        <v>6966</v>
      </c>
      <c r="C33" t="s">
        <v>6888</v>
      </c>
      <c r="D33" t="s">
        <v>6967</v>
      </c>
      <c r="E33" t="s">
        <v>6968</v>
      </c>
      <c r="F33" t="s">
        <v>6969</v>
      </c>
      <c r="G33">
        <v>3</v>
      </c>
      <c r="J33" t="s">
        <v>6905</v>
      </c>
      <c r="K33" s="5" t="s">
        <v>6906</v>
      </c>
      <c r="AC33">
        <v>1</v>
      </c>
      <c r="AT33" s="12"/>
      <c r="AW33"/>
      <c r="AY33" s="5"/>
      <c r="BD33">
        <v>1</v>
      </c>
      <c r="BO33" s="13"/>
      <c r="BP33" s="13"/>
      <c r="BT33">
        <v>40</v>
      </c>
      <c r="BV33" s="8">
        <v>15</v>
      </c>
      <c r="BW33" s="8">
        <v>30</v>
      </c>
      <c r="BX33" s="8">
        <v>1</v>
      </c>
      <c r="BY33" s="8" t="s">
        <v>6907</v>
      </c>
      <c r="CB33" s="5"/>
      <c r="CC33" s="5"/>
      <c r="CD33" s="5"/>
      <c r="CE33" s="5"/>
      <c r="CF33" s="5"/>
      <c r="CG33" s="5"/>
      <c r="CI33" s="5"/>
      <c r="CJ33" s="5"/>
      <c r="CK33" s="5"/>
      <c r="CL33" s="5"/>
      <c r="CM33" s="5"/>
      <c r="CN33" s="14"/>
      <c r="CO33" s="9" t="s">
        <v>6962</v>
      </c>
      <c r="CP33">
        <v>1</v>
      </c>
      <c r="CS33">
        <v>40</v>
      </c>
    </row>
    <row r="34" spans="1:104" x14ac:dyDescent="0.25">
      <c r="AT34" s="15"/>
      <c r="AW34"/>
      <c r="AY34" s="5"/>
      <c r="BO34" s="16"/>
      <c r="BP34" s="16"/>
      <c r="CB34" s="5"/>
      <c r="CC34" s="5"/>
      <c r="CD34" s="5"/>
      <c r="CE34" s="5"/>
      <c r="CF34" s="5"/>
      <c r="CG34" s="5"/>
      <c r="CI34" s="5"/>
      <c r="CJ34" s="5"/>
      <c r="CK34" s="5"/>
      <c r="CL34" s="5"/>
      <c r="CM34" s="5"/>
      <c r="CN34" s="17"/>
    </row>
    <row r="35" spans="1:104" x14ac:dyDescent="0.25">
      <c r="A35" t="s">
        <v>6970</v>
      </c>
      <c r="C35" t="s">
        <v>6888</v>
      </c>
      <c r="J35" t="s">
        <v>6971</v>
      </c>
      <c r="K35" s="5" t="s">
        <v>6874</v>
      </c>
      <c r="O35"/>
      <c r="AC35">
        <v>1</v>
      </c>
      <c r="AO35" t="s">
        <v>6972</v>
      </c>
      <c r="AT35" t="s">
        <v>6973</v>
      </c>
      <c r="AW35"/>
      <c r="BO35"/>
      <c r="BP35"/>
      <c r="CO35"/>
    </row>
    <row r="36" spans="1:104" x14ac:dyDescent="0.25">
      <c r="AY36" s="5"/>
      <c r="CB36" s="5"/>
      <c r="CC36" s="5"/>
      <c r="CD36" s="5"/>
      <c r="CE36" s="5"/>
      <c r="CF36" s="5"/>
      <c r="CG36" s="5"/>
      <c r="CI36" s="5"/>
      <c r="CJ36" s="5"/>
      <c r="CK36" s="5"/>
      <c r="CL36" s="5"/>
      <c r="CM36" s="5"/>
      <c r="CN36" s="5"/>
    </row>
    <row r="37" spans="1:104" x14ac:dyDescent="0.25">
      <c r="A37" t="s">
        <v>6974</v>
      </c>
      <c r="C37" t="s">
        <v>6888</v>
      </c>
      <c r="K37" s="5" t="s">
        <v>6907</v>
      </c>
      <c r="AC37">
        <v>1</v>
      </c>
      <c r="AO37" t="s">
        <v>6975</v>
      </c>
      <c r="AT37" t="s">
        <v>6976</v>
      </c>
      <c r="AY37">
        <v>1</v>
      </c>
      <c r="AZ37">
        <v>1</v>
      </c>
      <c r="BD37">
        <v>1</v>
      </c>
      <c r="CB37" t="s">
        <v>134</v>
      </c>
      <c r="CH37" t="s">
        <v>6977</v>
      </c>
      <c r="CI37" t="s">
        <v>6978</v>
      </c>
      <c r="CJ37" t="s">
        <v>4249</v>
      </c>
      <c r="CZ37" t="s">
        <v>6954</v>
      </c>
    </row>
    <row r="38" spans="1:104" x14ac:dyDescent="0.25">
      <c r="A38" t="s">
        <v>6979</v>
      </c>
      <c r="C38" t="s">
        <v>6888</v>
      </c>
      <c r="K38" s="5" t="s">
        <v>6874</v>
      </c>
      <c r="L38" s="5" t="s">
        <v>6980</v>
      </c>
      <c r="AC38">
        <v>1</v>
      </c>
      <c r="AO38" t="s">
        <v>6975</v>
      </c>
      <c r="AV38">
        <v>99</v>
      </c>
      <c r="AY38">
        <v>1</v>
      </c>
      <c r="AZ38">
        <v>500</v>
      </c>
      <c r="BB38">
        <v>2</v>
      </c>
      <c r="BD38">
        <v>99</v>
      </c>
      <c r="CZ38" t="s">
        <v>6954</v>
      </c>
    </row>
    <row r="40" spans="1:104" x14ac:dyDescent="0.25">
      <c r="A40" t="s">
        <v>6981</v>
      </c>
      <c r="C40" t="s">
        <v>4959</v>
      </c>
      <c r="AC40">
        <v>2</v>
      </c>
      <c r="AO40" t="s">
        <v>6982</v>
      </c>
      <c r="AT40" t="s">
        <v>6983</v>
      </c>
      <c r="AX40" t="s">
        <v>6984</v>
      </c>
      <c r="AZ40">
        <v>1</v>
      </c>
      <c r="BD40">
        <v>1</v>
      </c>
      <c r="CB40" t="s">
        <v>134</v>
      </c>
      <c r="CH40" t="s">
        <v>6977</v>
      </c>
      <c r="CZ40" t="s">
        <v>6985</v>
      </c>
    </row>
    <row r="41" spans="1:104" x14ac:dyDescent="0.25">
      <c r="A41" t="s">
        <v>6986</v>
      </c>
      <c r="C41" t="s">
        <v>6888</v>
      </c>
      <c r="K41" s="5" t="s">
        <v>6874</v>
      </c>
      <c r="L41" s="5" t="s">
        <v>6980</v>
      </c>
      <c r="AC41">
        <v>1</v>
      </c>
      <c r="AL41">
        <v>1</v>
      </c>
      <c r="AV41">
        <v>99</v>
      </c>
      <c r="BD41">
        <v>99</v>
      </c>
      <c r="CO41" s="9" t="s">
        <v>6987</v>
      </c>
      <c r="CP41">
        <v>0.2</v>
      </c>
      <c r="CQ41">
        <v>0.2</v>
      </c>
      <c r="CS41">
        <v>20</v>
      </c>
    </row>
    <row r="43" spans="1:104" x14ac:dyDescent="0.25">
      <c r="A43" t="s">
        <v>6988</v>
      </c>
      <c r="C43" t="s">
        <v>6888</v>
      </c>
      <c r="K43" s="5" t="s">
        <v>6874</v>
      </c>
      <c r="L43" s="5" t="s">
        <v>6892</v>
      </c>
      <c r="AC43">
        <v>1</v>
      </c>
      <c r="AG43" t="s">
        <v>6876</v>
      </c>
      <c r="AH43">
        <v>1</v>
      </c>
      <c r="AY43" s="5"/>
      <c r="BD43">
        <v>1</v>
      </c>
      <c r="BV43"/>
      <c r="BW43"/>
      <c r="BX43"/>
      <c r="BY43"/>
      <c r="BZ43"/>
      <c r="CA43"/>
      <c r="CB43" s="5"/>
      <c r="CC43" s="5"/>
      <c r="CD43" s="5"/>
      <c r="CE43" s="5"/>
      <c r="CF43" s="5"/>
      <c r="CG43" s="5"/>
      <c r="CI43" s="5"/>
      <c r="CJ43" s="5"/>
      <c r="CK43" s="5"/>
      <c r="CL43" s="5"/>
      <c r="CM43" s="5"/>
      <c r="CN43" s="5"/>
      <c r="CO43" s="9" t="s">
        <v>6989</v>
      </c>
      <c r="CP43">
        <v>0.12</v>
      </c>
      <c r="CQ43">
        <v>0.12</v>
      </c>
      <c r="CS43">
        <v>99999</v>
      </c>
    </row>
    <row r="45" spans="1:104" x14ac:dyDescent="0.25">
      <c r="A45" t="s">
        <v>350</v>
      </c>
      <c r="C45" t="s">
        <v>6888</v>
      </c>
      <c r="AC45">
        <v>2</v>
      </c>
      <c r="AD45">
        <v>1</v>
      </c>
      <c r="AO45" t="s">
        <v>6982</v>
      </c>
      <c r="AP45" t="s">
        <v>6990</v>
      </c>
      <c r="AT45" t="s">
        <v>6976</v>
      </c>
      <c r="AX45" t="s">
        <v>6984</v>
      </c>
      <c r="AZ45">
        <v>1</v>
      </c>
      <c r="BD45">
        <v>1</v>
      </c>
      <c r="CB45" t="s">
        <v>134</v>
      </c>
      <c r="CH45" t="s">
        <v>6977</v>
      </c>
      <c r="CI45" t="s">
        <v>6991</v>
      </c>
      <c r="CJ45" t="s">
        <v>4249</v>
      </c>
      <c r="CK45" t="s">
        <v>6992</v>
      </c>
      <c r="CY45" t="s">
        <v>6993</v>
      </c>
      <c r="CZ45" t="s">
        <v>6994</v>
      </c>
    </row>
    <row r="46" spans="1:104" x14ac:dyDescent="0.25">
      <c r="AY46" s="5"/>
      <c r="BV46"/>
      <c r="BW46"/>
      <c r="BX46"/>
      <c r="BY46"/>
      <c r="BZ46"/>
      <c r="CA46"/>
      <c r="CB46" s="5"/>
      <c r="CC46" s="5"/>
      <c r="CD46" s="5"/>
      <c r="CE46" s="5"/>
      <c r="CF46" s="5"/>
      <c r="CG46" s="5"/>
      <c r="CI46" s="5"/>
      <c r="CJ46" s="5"/>
      <c r="CK46" s="5"/>
      <c r="CL46" s="5"/>
      <c r="CM46" s="5"/>
      <c r="CN46" s="5"/>
    </row>
    <row r="47" spans="1:104" x14ac:dyDescent="0.25">
      <c r="A47" t="s">
        <v>6995</v>
      </c>
      <c r="C47" t="s">
        <v>6888</v>
      </c>
      <c r="AC47">
        <v>2</v>
      </c>
      <c r="AD47">
        <v>1</v>
      </c>
      <c r="AO47" t="s">
        <v>6982</v>
      </c>
      <c r="AT47" t="s">
        <v>6996</v>
      </c>
      <c r="AX47" t="s">
        <v>6997</v>
      </c>
      <c r="AZ47">
        <v>1</v>
      </c>
      <c r="BD47">
        <v>1</v>
      </c>
      <c r="CB47" t="s">
        <v>134</v>
      </c>
      <c r="CH47" t="s">
        <v>6977</v>
      </c>
      <c r="CI47" t="s">
        <v>6998</v>
      </c>
      <c r="CJ47" t="s">
        <v>4249</v>
      </c>
      <c r="CK47" t="s">
        <v>9741</v>
      </c>
      <c r="CZ47" t="s">
        <v>6999</v>
      </c>
    </row>
    <row r="48" spans="1:104" x14ac:dyDescent="0.25">
      <c r="A48" t="s">
        <v>7000</v>
      </c>
      <c r="C48" t="s">
        <v>6888</v>
      </c>
      <c r="K48" s="5" t="s">
        <v>6874</v>
      </c>
      <c r="L48" s="5" t="s">
        <v>6892</v>
      </c>
      <c r="AC48">
        <v>1</v>
      </c>
      <c r="AH48">
        <v>1</v>
      </c>
      <c r="AY48" s="5"/>
      <c r="BD48">
        <v>1</v>
      </c>
      <c r="BV48"/>
      <c r="BW48"/>
      <c r="BX48"/>
      <c r="BY48"/>
      <c r="BZ48"/>
      <c r="CA48"/>
      <c r="CB48" s="5"/>
      <c r="CC48" s="5"/>
      <c r="CD48" s="5"/>
      <c r="CE48" s="5"/>
      <c r="CF48" s="5"/>
      <c r="CG48" s="5"/>
      <c r="CI48" s="5"/>
      <c r="CJ48" s="5"/>
      <c r="CK48" s="5"/>
      <c r="CL48" s="5"/>
      <c r="CM48" s="5"/>
      <c r="CN48" s="5"/>
      <c r="CO48" s="9" t="s">
        <v>7001</v>
      </c>
      <c r="CS48">
        <v>99999</v>
      </c>
    </row>
    <row r="49" spans="1:104" x14ac:dyDescent="0.25">
      <c r="A49" t="s">
        <v>7002</v>
      </c>
      <c r="C49" t="s">
        <v>7003</v>
      </c>
      <c r="AC49">
        <v>2</v>
      </c>
      <c r="AD49">
        <v>1</v>
      </c>
      <c r="AT49" t="s">
        <v>7004</v>
      </c>
      <c r="BD49">
        <v>99</v>
      </c>
      <c r="BS49">
        <v>0.1</v>
      </c>
    </row>
    <row r="50" spans="1:104" x14ac:dyDescent="0.25">
      <c r="A50" t="s">
        <v>7005</v>
      </c>
      <c r="C50" t="s">
        <v>7003</v>
      </c>
      <c r="AC50">
        <v>2</v>
      </c>
      <c r="AD50">
        <v>1</v>
      </c>
      <c r="AV50">
        <v>5</v>
      </c>
      <c r="BD50">
        <v>99</v>
      </c>
      <c r="BS50">
        <v>0.1</v>
      </c>
    </row>
    <row r="52" spans="1:104" x14ac:dyDescent="0.25">
      <c r="A52" t="s">
        <v>363</v>
      </c>
      <c r="C52" t="s">
        <v>4959</v>
      </c>
      <c r="AC52">
        <v>2</v>
      </c>
      <c r="AO52" t="s">
        <v>6982</v>
      </c>
      <c r="AT52" t="s">
        <v>7006</v>
      </c>
      <c r="AX52" t="s">
        <v>6984</v>
      </c>
      <c r="AZ52">
        <v>1</v>
      </c>
      <c r="BD52">
        <v>1</v>
      </c>
      <c r="CB52" t="s">
        <v>134</v>
      </c>
      <c r="CH52" t="s">
        <v>6977</v>
      </c>
    </row>
    <row r="53" spans="1:104" x14ac:dyDescent="0.25">
      <c r="A53" t="s">
        <v>364</v>
      </c>
      <c r="C53" t="s">
        <v>6888</v>
      </c>
      <c r="D53" t="s">
        <v>7007</v>
      </c>
      <c r="E53" t="s">
        <v>7008</v>
      </c>
      <c r="F53" t="s">
        <v>7009</v>
      </c>
      <c r="J53" t="s">
        <v>7010</v>
      </c>
      <c r="K53" s="5" t="s">
        <v>6906</v>
      </c>
      <c r="AB53">
        <v>1</v>
      </c>
      <c r="AC53">
        <v>1</v>
      </c>
      <c r="AO53" t="s">
        <v>6975</v>
      </c>
      <c r="AT53" t="s">
        <v>7011</v>
      </c>
      <c r="AY53">
        <v>1</v>
      </c>
      <c r="AZ53">
        <v>1</v>
      </c>
      <c r="BD53">
        <v>1</v>
      </c>
      <c r="BO53" s="7" t="s">
        <v>7012</v>
      </c>
      <c r="BS53">
        <v>2.5</v>
      </c>
      <c r="BT53">
        <v>25</v>
      </c>
      <c r="BV53" s="8">
        <v>25</v>
      </c>
      <c r="BW53" s="8">
        <v>40</v>
      </c>
      <c r="BX53" s="8">
        <v>1</v>
      </c>
      <c r="BY53" s="8" t="s">
        <v>6907</v>
      </c>
      <c r="CB53" t="s">
        <v>624</v>
      </c>
      <c r="CH53" t="s">
        <v>6977</v>
      </c>
      <c r="CI53" t="s">
        <v>7013</v>
      </c>
      <c r="CJ53" t="s">
        <v>4249</v>
      </c>
      <c r="CO53" s="9" t="s">
        <v>7014</v>
      </c>
      <c r="CZ53" t="s">
        <v>7015</v>
      </c>
    </row>
    <row r="54" spans="1:104" x14ac:dyDescent="0.25">
      <c r="A54" t="s">
        <v>7016</v>
      </c>
      <c r="C54" t="s">
        <v>6888</v>
      </c>
      <c r="K54" s="5" t="s">
        <v>6874</v>
      </c>
      <c r="L54" s="5" t="s">
        <v>7017</v>
      </c>
      <c r="AC54">
        <v>1</v>
      </c>
      <c r="AY54" s="5"/>
      <c r="BD54">
        <v>1</v>
      </c>
      <c r="BV54"/>
      <c r="BW54"/>
      <c r="BX54"/>
      <c r="BY54"/>
      <c r="BZ54"/>
      <c r="CA54"/>
      <c r="CB54" s="5"/>
      <c r="CC54" s="5"/>
      <c r="CD54" s="5"/>
      <c r="CE54" s="5"/>
      <c r="CF54" s="5"/>
      <c r="CG54" s="5"/>
      <c r="CI54" s="5"/>
      <c r="CJ54" s="5"/>
      <c r="CK54" s="5"/>
      <c r="CL54" s="5"/>
      <c r="CM54" s="5"/>
      <c r="CN54" s="5"/>
      <c r="CO54" s="9" t="s">
        <v>6942</v>
      </c>
      <c r="CP54">
        <v>0.45</v>
      </c>
      <c r="CS54">
        <v>25</v>
      </c>
    </row>
    <row r="55" spans="1:104" x14ac:dyDescent="0.25">
      <c r="A55" t="s">
        <v>7018</v>
      </c>
      <c r="C55" t="s">
        <v>6888</v>
      </c>
      <c r="K55" s="5" t="s">
        <v>6874</v>
      </c>
      <c r="L55" s="5" t="s">
        <v>7017</v>
      </c>
      <c r="AC55">
        <v>1</v>
      </c>
      <c r="AY55" s="5"/>
      <c r="BD55">
        <v>1</v>
      </c>
      <c r="BV55"/>
      <c r="BW55"/>
      <c r="BX55"/>
      <c r="BY55"/>
      <c r="BZ55"/>
      <c r="CA55"/>
      <c r="CB55" s="5"/>
      <c r="CC55" s="5"/>
      <c r="CD55" s="5"/>
      <c r="CE55" s="5"/>
      <c r="CF55" s="5"/>
      <c r="CG55" s="5"/>
      <c r="CI55" s="5"/>
      <c r="CJ55" s="5"/>
      <c r="CK55" s="5"/>
      <c r="CL55" s="5"/>
      <c r="CM55" s="5"/>
      <c r="CN55" s="5"/>
      <c r="CO55" s="9" t="s">
        <v>7019</v>
      </c>
      <c r="CS55">
        <v>25</v>
      </c>
    </row>
    <row r="56" spans="1:104" x14ac:dyDescent="0.25">
      <c r="AY56" s="5"/>
      <c r="BV56"/>
      <c r="BW56"/>
      <c r="BX56"/>
      <c r="BY56"/>
      <c r="BZ56"/>
      <c r="CA56"/>
      <c r="CB56" s="5"/>
      <c r="CC56" s="5"/>
      <c r="CD56" s="5"/>
      <c r="CE56" s="5"/>
      <c r="CF56" s="5"/>
      <c r="CG56" s="5"/>
      <c r="CI56" s="5"/>
      <c r="CJ56" s="5"/>
      <c r="CK56" s="5"/>
      <c r="CL56" s="5"/>
      <c r="CM56" s="5"/>
      <c r="CN56" s="5"/>
    </row>
    <row r="57" spans="1:104" x14ac:dyDescent="0.25">
      <c r="A57" t="s">
        <v>7020</v>
      </c>
      <c r="C57" t="s">
        <v>7021</v>
      </c>
      <c r="AC57">
        <v>2</v>
      </c>
      <c r="AO57" t="s">
        <v>6982</v>
      </c>
      <c r="AT57" t="s">
        <v>6983</v>
      </c>
      <c r="AX57" t="s">
        <v>6984</v>
      </c>
      <c r="AZ57">
        <v>1</v>
      </c>
      <c r="BD57">
        <v>1</v>
      </c>
      <c r="CB57" t="s">
        <v>134</v>
      </c>
      <c r="CH57" t="s">
        <v>6977</v>
      </c>
      <c r="CZ57" t="s">
        <v>7022</v>
      </c>
    </row>
    <row r="58" spans="1:104" x14ac:dyDescent="0.25">
      <c r="AY58" s="5"/>
      <c r="BV58"/>
      <c r="BW58"/>
      <c r="BX58"/>
      <c r="BY58"/>
      <c r="BZ58"/>
      <c r="CA58"/>
      <c r="CB58" s="5"/>
      <c r="CC58" s="5"/>
      <c r="CD58" s="5"/>
      <c r="CE58" s="5"/>
      <c r="CF58" s="5"/>
      <c r="CG58" s="5"/>
      <c r="CI58" s="5"/>
      <c r="CJ58" s="5"/>
      <c r="CK58" s="5"/>
      <c r="CL58" s="5"/>
      <c r="CM58" s="5"/>
      <c r="CN58" s="5"/>
    </row>
    <row r="59" spans="1:104" x14ac:dyDescent="0.25">
      <c r="A59" t="s">
        <v>7023</v>
      </c>
      <c r="C59" t="s">
        <v>4959</v>
      </c>
      <c r="K59" s="5" t="s">
        <v>6907</v>
      </c>
      <c r="AC59">
        <v>2</v>
      </c>
      <c r="AO59" t="s">
        <v>6982</v>
      </c>
      <c r="AX59" t="s">
        <v>6984</v>
      </c>
      <c r="AZ59">
        <v>1</v>
      </c>
      <c r="BD59">
        <v>1</v>
      </c>
      <c r="CB59" t="s">
        <v>4307</v>
      </c>
      <c r="CH59" t="s">
        <v>6977</v>
      </c>
      <c r="CK59" t="s">
        <v>7024</v>
      </c>
      <c r="CZ59" t="s">
        <v>7025</v>
      </c>
    </row>
    <row r="60" spans="1:104" x14ac:dyDescent="0.25">
      <c r="A60" t="s">
        <v>7026</v>
      </c>
      <c r="C60" t="s">
        <v>6888</v>
      </c>
      <c r="K60" s="5" t="s">
        <v>6907</v>
      </c>
      <c r="Z60">
        <v>1</v>
      </c>
      <c r="AC60">
        <v>2</v>
      </c>
      <c r="AD60">
        <v>1</v>
      </c>
      <c r="AO60" t="s">
        <v>6982</v>
      </c>
      <c r="AT60" t="s">
        <v>7027</v>
      </c>
      <c r="AX60" t="s">
        <v>6984</v>
      </c>
      <c r="AZ60">
        <v>0.8</v>
      </c>
      <c r="BD60">
        <v>1</v>
      </c>
      <c r="CB60" t="s">
        <v>7028</v>
      </c>
      <c r="CH60" t="s">
        <v>6977</v>
      </c>
      <c r="CI60" t="s">
        <v>7029</v>
      </c>
      <c r="CJ60" t="s">
        <v>4249</v>
      </c>
      <c r="CK60" t="s">
        <v>7024</v>
      </c>
      <c r="CZ60" t="s">
        <v>7025</v>
      </c>
    </row>
    <row r="61" spans="1:104" x14ac:dyDescent="0.25">
      <c r="A61" t="s">
        <v>7030</v>
      </c>
      <c r="C61" t="s">
        <v>4959</v>
      </c>
      <c r="J61" t="s">
        <v>7010</v>
      </c>
      <c r="K61" s="5" t="s">
        <v>6907</v>
      </c>
      <c r="AC61">
        <v>2</v>
      </c>
      <c r="AO61" t="s">
        <v>6982</v>
      </c>
      <c r="AX61" t="s">
        <v>6997</v>
      </c>
      <c r="AZ61">
        <v>1</v>
      </c>
      <c r="BD61">
        <v>1</v>
      </c>
      <c r="BV61"/>
      <c r="BW61"/>
      <c r="BX61"/>
      <c r="BY61"/>
      <c r="BZ61"/>
      <c r="CA61"/>
      <c r="CB61" t="s">
        <v>4307</v>
      </c>
      <c r="CH61" t="s">
        <v>6977</v>
      </c>
      <c r="CK61" t="s">
        <v>7024</v>
      </c>
      <c r="CZ61" t="s">
        <v>7031</v>
      </c>
    </row>
    <row r="62" spans="1:104" x14ac:dyDescent="0.25">
      <c r="A62" t="s">
        <v>378</v>
      </c>
      <c r="C62" t="s">
        <v>6888</v>
      </c>
      <c r="D62" t="s">
        <v>7032</v>
      </c>
      <c r="E62" t="s">
        <v>7033</v>
      </c>
      <c r="F62" t="s">
        <v>7034</v>
      </c>
      <c r="J62" t="s">
        <v>7010</v>
      </c>
      <c r="K62" s="5" t="s">
        <v>6906</v>
      </c>
      <c r="Z62">
        <v>1</v>
      </c>
      <c r="AC62">
        <v>2</v>
      </c>
      <c r="AD62">
        <v>1</v>
      </c>
      <c r="AO62" t="s">
        <v>6982</v>
      </c>
      <c r="AT62" t="s">
        <v>7027</v>
      </c>
      <c r="AX62" t="s">
        <v>6997</v>
      </c>
      <c r="AZ62">
        <v>0.8</v>
      </c>
      <c r="BD62">
        <v>1</v>
      </c>
      <c r="BO62" s="7" t="s">
        <v>7035</v>
      </c>
      <c r="BT62">
        <v>40</v>
      </c>
      <c r="BV62" s="8">
        <v>30</v>
      </c>
      <c r="BW62" s="8">
        <v>70</v>
      </c>
      <c r="BX62" s="8">
        <v>1</v>
      </c>
      <c r="BY62" s="8" t="s">
        <v>6907</v>
      </c>
      <c r="CB62" t="s">
        <v>7028</v>
      </c>
      <c r="CH62" t="s">
        <v>6977</v>
      </c>
      <c r="CI62" t="s">
        <v>7036</v>
      </c>
      <c r="CJ62" t="s">
        <v>4249</v>
      </c>
      <c r="CK62" t="s">
        <v>7024</v>
      </c>
      <c r="CZ62" t="s">
        <v>7031</v>
      </c>
    </row>
    <row r="63" spans="1:104" x14ac:dyDescent="0.25">
      <c r="A63" t="s">
        <v>7037</v>
      </c>
      <c r="C63" t="s">
        <v>6888</v>
      </c>
      <c r="K63" s="5" t="s">
        <v>6874</v>
      </c>
      <c r="L63" s="5" t="s">
        <v>7017</v>
      </c>
      <c r="AC63">
        <v>1</v>
      </c>
      <c r="AY63" s="5"/>
      <c r="BD63">
        <v>1</v>
      </c>
      <c r="BV63"/>
      <c r="BW63"/>
      <c r="BX63"/>
      <c r="BY63"/>
      <c r="BZ63"/>
      <c r="CA63"/>
      <c r="CB63" s="5"/>
      <c r="CC63" s="5"/>
      <c r="CD63" s="5"/>
      <c r="CE63" s="5"/>
      <c r="CF63" s="5"/>
      <c r="CG63" s="5"/>
      <c r="CI63" s="5"/>
      <c r="CJ63" s="5"/>
      <c r="CK63" s="5"/>
      <c r="CL63" s="5"/>
      <c r="CM63" s="5"/>
      <c r="CN63" s="5"/>
      <c r="CO63" s="9" t="s">
        <v>6908</v>
      </c>
      <c r="CP63">
        <v>0.35</v>
      </c>
      <c r="CS63">
        <v>40</v>
      </c>
    </row>
    <row r="64" spans="1:104" x14ac:dyDescent="0.25">
      <c r="AY64" s="5"/>
      <c r="BV64"/>
      <c r="BW64"/>
      <c r="BX64"/>
      <c r="BY64"/>
      <c r="BZ64"/>
      <c r="CA64"/>
      <c r="CB64" s="5"/>
      <c r="CC64" s="5"/>
      <c r="CD64" s="5"/>
      <c r="CE64" s="5"/>
      <c r="CF64" s="5"/>
      <c r="CG64" s="5"/>
      <c r="CI64" s="5"/>
      <c r="CJ64" s="5"/>
      <c r="CK64" s="5"/>
      <c r="CL64" s="5"/>
      <c r="CM64" s="5"/>
      <c r="CN64" s="5"/>
    </row>
    <row r="65" spans="1:104" x14ac:dyDescent="0.25">
      <c r="A65" t="s">
        <v>7038</v>
      </c>
      <c r="C65" t="s">
        <v>6888</v>
      </c>
      <c r="AC65">
        <v>2</v>
      </c>
      <c r="AD65">
        <v>1</v>
      </c>
      <c r="AO65" t="s">
        <v>6982</v>
      </c>
      <c r="AT65" t="s">
        <v>7004</v>
      </c>
      <c r="AX65" t="s">
        <v>6984</v>
      </c>
      <c r="AZ65">
        <v>1</v>
      </c>
      <c r="BD65">
        <v>1</v>
      </c>
      <c r="BJ65">
        <v>1</v>
      </c>
      <c r="BK65">
        <v>1</v>
      </c>
      <c r="BL65">
        <v>1</v>
      </c>
      <c r="CB65" t="s">
        <v>134</v>
      </c>
      <c r="CH65" t="s">
        <v>6977</v>
      </c>
      <c r="CI65" t="s">
        <v>7039</v>
      </c>
      <c r="CJ65" t="s">
        <v>4249</v>
      </c>
      <c r="CY65" t="s">
        <v>7040</v>
      </c>
      <c r="CZ65" t="s">
        <v>7041</v>
      </c>
    </row>
    <row r="66" spans="1:104" x14ac:dyDescent="0.25">
      <c r="A66" t="s">
        <v>385</v>
      </c>
      <c r="C66" t="s">
        <v>6888</v>
      </c>
      <c r="D66" t="s">
        <v>7042</v>
      </c>
      <c r="E66" t="s">
        <v>7043</v>
      </c>
      <c r="F66" t="s">
        <v>7044</v>
      </c>
      <c r="J66" t="s">
        <v>7010</v>
      </c>
      <c r="K66" s="5" t="s">
        <v>6906</v>
      </c>
      <c r="AC66">
        <v>2</v>
      </c>
      <c r="AD66">
        <v>1</v>
      </c>
      <c r="AO66" t="s">
        <v>6982</v>
      </c>
      <c r="AT66" t="s">
        <v>7004</v>
      </c>
      <c r="AX66" t="s">
        <v>6984</v>
      </c>
      <c r="AZ66">
        <v>1</v>
      </c>
      <c r="BD66">
        <v>1</v>
      </c>
      <c r="BJ66">
        <v>2</v>
      </c>
      <c r="BK66">
        <v>1</v>
      </c>
      <c r="BL66">
        <v>1</v>
      </c>
      <c r="BO66" s="7" t="s">
        <v>7045</v>
      </c>
      <c r="BT66">
        <v>30</v>
      </c>
      <c r="BV66" s="8">
        <v>0</v>
      </c>
      <c r="BW66" s="8">
        <v>45</v>
      </c>
      <c r="BX66" s="8">
        <v>1</v>
      </c>
      <c r="BY66" s="8" t="s">
        <v>6907</v>
      </c>
      <c r="CB66" t="s">
        <v>134</v>
      </c>
      <c r="CH66" t="s">
        <v>6977</v>
      </c>
      <c r="CI66" t="s">
        <v>7039</v>
      </c>
      <c r="CJ66" t="s">
        <v>4249</v>
      </c>
      <c r="CY66" t="s">
        <v>7040</v>
      </c>
      <c r="CZ66" t="s">
        <v>7041</v>
      </c>
    </row>
    <row r="67" spans="1:104" x14ac:dyDescent="0.25">
      <c r="A67" t="s">
        <v>7045</v>
      </c>
      <c r="C67" t="s">
        <v>6888</v>
      </c>
      <c r="K67" s="5" t="s">
        <v>6874</v>
      </c>
      <c r="L67" s="5" t="s">
        <v>7017</v>
      </c>
      <c r="AC67">
        <v>1</v>
      </c>
      <c r="AY67" s="5"/>
      <c r="BD67">
        <v>1</v>
      </c>
      <c r="BV67"/>
      <c r="BW67"/>
      <c r="BX67"/>
      <c r="BY67"/>
      <c r="BZ67"/>
      <c r="CA67"/>
      <c r="CB67" s="5"/>
      <c r="CC67" s="5"/>
      <c r="CD67" s="5"/>
      <c r="CE67" s="5"/>
      <c r="CF67" s="5"/>
      <c r="CG67" s="5"/>
      <c r="CI67" s="5"/>
      <c r="CJ67" s="5"/>
      <c r="CK67" s="5"/>
      <c r="CL67" s="5"/>
      <c r="CM67" s="5"/>
      <c r="CN67" s="5"/>
      <c r="CO67" s="9" t="s">
        <v>6908</v>
      </c>
      <c r="CP67">
        <v>0</v>
      </c>
      <c r="CS67">
        <v>30</v>
      </c>
    </row>
    <row r="68" spans="1:104" x14ac:dyDescent="0.25">
      <c r="AY68" s="5"/>
      <c r="BV68"/>
      <c r="BW68"/>
      <c r="BX68"/>
      <c r="BY68"/>
      <c r="BZ68"/>
      <c r="CA68"/>
      <c r="CB68" s="5"/>
      <c r="CC68" s="5"/>
      <c r="CD68" s="5"/>
      <c r="CE68" s="5"/>
      <c r="CF68" s="5"/>
      <c r="CG68" s="5"/>
      <c r="CI68" s="5"/>
      <c r="CJ68" s="5"/>
      <c r="CK68" s="5"/>
      <c r="CL68" s="5"/>
      <c r="CM68" s="5"/>
      <c r="CN68" s="5"/>
    </row>
    <row r="69" spans="1:104" x14ac:dyDescent="0.25">
      <c r="A69" t="s">
        <v>7046</v>
      </c>
      <c r="C69" t="s">
        <v>6888</v>
      </c>
      <c r="K69" s="5" t="s">
        <v>6907</v>
      </c>
      <c r="AC69">
        <v>2</v>
      </c>
      <c r="AD69">
        <v>1</v>
      </c>
      <c r="AO69" t="s">
        <v>6982</v>
      </c>
      <c r="AT69" t="s">
        <v>7047</v>
      </c>
      <c r="AX69" t="s">
        <v>6997</v>
      </c>
      <c r="AZ69">
        <v>1</v>
      </c>
      <c r="BD69">
        <v>1</v>
      </c>
      <c r="CB69" t="s">
        <v>134</v>
      </c>
      <c r="CH69" t="s">
        <v>6977</v>
      </c>
      <c r="CI69" t="s">
        <v>7048</v>
      </c>
      <c r="CJ69" t="s">
        <v>7049</v>
      </c>
      <c r="CO69" s="9" t="s">
        <v>7050</v>
      </c>
      <c r="CP69">
        <v>-0.8</v>
      </c>
      <c r="CS69">
        <v>0.8</v>
      </c>
      <c r="CZ69" t="s">
        <v>7051</v>
      </c>
    </row>
    <row r="70" spans="1:104" x14ac:dyDescent="0.25">
      <c r="A70" t="s">
        <v>7052</v>
      </c>
      <c r="C70" t="s">
        <v>6888</v>
      </c>
      <c r="K70" s="5" t="s">
        <v>6874</v>
      </c>
      <c r="L70" s="5" t="s">
        <v>6892</v>
      </c>
      <c r="AC70">
        <v>1</v>
      </c>
      <c r="AG70" t="s">
        <v>6876</v>
      </c>
      <c r="AH70">
        <v>1</v>
      </c>
      <c r="AY70" s="5"/>
      <c r="BD70">
        <v>1</v>
      </c>
      <c r="BV70"/>
      <c r="BW70"/>
      <c r="BX70"/>
      <c r="BY70"/>
      <c r="BZ70"/>
      <c r="CA70"/>
      <c r="CB70" s="5"/>
      <c r="CC70" s="5"/>
      <c r="CD70" s="5"/>
      <c r="CE70" s="5"/>
      <c r="CF70" s="5"/>
      <c r="CG70" s="5"/>
      <c r="CI70" s="5"/>
      <c r="CJ70" s="5"/>
      <c r="CK70" s="5"/>
      <c r="CL70" s="5"/>
      <c r="CM70" s="5"/>
      <c r="CN70" s="5"/>
      <c r="CO70" s="9" t="s">
        <v>7053</v>
      </c>
      <c r="CP70">
        <v>9</v>
      </c>
      <c r="CS70">
        <v>99999</v>
      </c>
    </row>
    <row r="71" spans="1:104" x14ac:dyDescent="0.25">
      <c r="AY71" s="5"/>
      <c r="BV71"/>
      <c r="BW71"/>
      <c r="BX71"/>
      <c r="BY71"/>
      <c r="BZ71"/>
      <c r="CA71"/>
      <c r="CB71" s="5"/>
      <c r="CC71" s="5"/>
      <c r="CD71" s="5"/>
      <c r="CE71" s="5"/>
      <c r="CF71" s="5"/>
      <c r="CG71" s="5"/>
      <c r="CI71" s="5"/>
      <c r="CJ71" s="5"/>
      <c r="CK71" s="5"/>
      <c r="CL71" s="5"/>
      <c r="CM71" s="5"/>
      <c r="CN71" s="5"/>
    </row>
    <row r="72" spans="1:104" x14ac:dyDescent="0.25">
      <c r="A72" t="s">
        <v>7054</v>
      </c>
      <c r="C72" t="s">
        <v>6888</v>
      </c>
      <c r="AC72">
        <v>2</v>
      </c>
      <c r="AD72">
        <v>1</v>
      </c>
      <c r="AO72" t="s">
        <v>7055</v>
      </c>
      <c r="AT72" t="s">
        <v>6976</v>
      </c>
      <c r="AX72" t="s">
        <v>6997</v>
      </c>
      <c r="AZ72">
        <v>1</v>
      </c>
      <c r="BD72">
        <v>1</v>
      </c>
      <c r="CB72" t="s">
        <v>134</v>
      </c>
      <c r="CH72" t="s">
        <v>6977</v>
      </c>
      <c r="CI72" t="s">
        <v>7056</v>
      </c>
      <c r="CJ72" t="s">
        <v>4249</v>
      </c>
      <c r="CZ72" t="s">
        <v>7057</v>
      </c>
    </row>
    <row r="73" spans="1:104" x14ac:dyDescent="0.25">
      <c r="A73" t="s">
        <v>400</v>
      </c>
      <c r="C73" t="s">
        <v>6888</v>
      </c>
      <c r="D73" t="s">
        <v>7058</v>
      </c>
      <c r="E73" t="s">
        <v>7059</v>
      </c>
      <c r="F73" t="s">
        <v>7060</v>
      </c>
      <c r="J73" t="s">
        <v>6905</v>
      </c>
      <c r="K73" s="5" t="s">
        <v>6907</v>
      </c>
      <c r="AC73">
        <v>2</v>
      </c>
      <c r="AD73">
        <v>1</v>
      </c>
      <c r="AO73" t="s">
        <v>7055</v>
      </c>
      <c r="AT73" t="s">
        <v>6976</v>
      </c>
      <c r="AX73" t="s">
        <v>6997</v>
      </c>
      <c r="AZ73">
        <v>1.9</v>
      </c>
      <c r="BD73">
        <v>1</v>
      </c>
      <c r="BT73">
        <v>0.3</v>
      </c>
      <c r="BV73" s="8">
        <v>0</v>
      </c>
      <c r="BW73" s="8">
        <v>4</v>
      </c>
      <c r="BX73" s="8">
        <v>1</v>
      </c>
      <c r="BY73" s="8" t="s">
        <v>7061</v>
      </c>
      <c r="CB73" t="s">
        <v>134</v>
      </c>
      <c r="CH73" t="s">
        <v>6977</v>
      </c>
      <c r="CI73" t="s">
        <v>7056</v>
      </c>
      <c r="CJ73" t="s">
        <v>4249</v>
      </c>
      <c r="CY73" t="s">
        <v>7062</v>
      </c>
      <c r="CZ73" t="s">
        <v>7057</v>
      </c>
    </row>
    <row r="74" spans="1:104" x14ac:dyDescent="0.25">
      <c r="A74" t="s">
        <v>7063</v>
      </c>
      <c r="C74" t="s">
        <v>6888</v>
      </c>
      <c r="K74" s="5" t="s">
        <v>6874</v>
      </c>
      <c r="L74" s="5" t="s">
        <v>6892</v>
      </c>
      <c r="AC74">
        <v>1</v>
      </c>
      <c r="AG74" t="s">
        <v>6876</v>
      </c>
      <c r="AH74">
        <v>1</v>
      </c>
      <c r="AY74" s="5"/>
      <c r="BD74">
        <v>1</v>
      </c>
      <c r="BV74"/>
      <c r="BW74"/>
      <c r="BX74"/>
      <c r="BY74"/>
      <c r="BZ74"/>
      <c r="CA74"/>
      <c r="CB74" s="5"/>
      <c r="CC74" s="5"/>
      <c r="CD74" s="5"/>
      <c r="CE74" s="5"/>
      <c r="CF74" s="5"/>
      <c r="CG74" s="5"/>
      <c r="CI74" s="5"/>
      <c r="CJ74" s="5"/>
      <c r="CK74" s="5"/>
      <c r="CL74" s="5"/>
      <c r="CM74" s="5"/>
      <c r="CN74" s="5"/>
      <c r="CO74" s="9" t="s">
        <v>6893</v>
      </c>
      <c r="CP74">
        <v>0.06</v>
      </c>
      <c r="CS74">
        <v>99999</v>
      </c>
    </row>
    <row r="75" spans="1:104" x14ac:dyDescent="0.25">
      <c r="AY75" s="5"/>
      <c r="BV75"/>
      <c r="BW75"/>
      <c r="BX75"/>
      <c r="BY75"/>
      <c r="BZ75"/>
      <c r="CA75"/>
      <c r="CB75" s="5"/>
      <c r="CC75" s="5"/>
      <c r="CD75" s="5"/>
      <c r="CE75" s="5"/>
      <c r="CF75" s="5"/>
      <c r="CG75" s="5"/>
      <c r="CI75" s="5"/>
      <c r="CJ75" s="5"/>
      <c r="CK75" s="5"/>
      <c r="CL75" s="5"/>
      <c r="CM75" s="5"/>
      <c r="CN75" s="5"/>
    </row>
    <row r="76" spans="1:104" x14ac:dyDescent="0.25">
      <c r="A76" t="s">
        <v>404</v>
      </c>
      <c r="C76" t="s">
        <v>6888</v>
      </c>
      <c r="K76" s="5" t="s">
        <v>6907</v>
      </c>
      <c r="AC76">
        <v>1</v>
      </c>
      <c r="AO76" t="s">
        <v>6975</v>
      </c>
      <c r="AT76" t="s">
        <v>7064</v>
      </c>
      <c r="AY76">
        <v>1</v>
      </c>
      <c r="AZ76">
        <v>1</v>
      </c>
      <c r="BD76">
        <v>1</v>
      </c>
      <c r="CB76" t="s">
        <v>134</v>
      </c>
      <c r="CH76" t="s">
        <v>6977</v>
      </c>
      <c r="CI76" t="s">
        <v>7065</v>
      </c>
      <c r="CJ76" t="s">
        <v>4249</v>
      </c>
      <c r="CK76" t="s">
        <v>7066</v>
      </c>
      <c r="CZ76" t="s">
        <v>6954</v>
      </c>
    </row>
    <row r="77" spans="1:104" x14ac:dyDescent="0.25">
      <c r="A77" t="s">
        <v>405</v>
      </c>
      <c r="C77" t="s">
        <v>6888</v>
      </c>
      <c r="D77" t="s">
        <v>7067</v>
      </c>
      <c r="E77" t="s">
        <v>7068</v>
      </c>
      <c r="F77" t="s">
        <v>7069</v>
      </c>
      <c r="J77" t="s">
        <v>7010</v>
      </c>
      <c r="K77" s="5" t="s">
        <v>6907</v>
      </c>
      <c r="AC77">
        <v>1</v>
      </c>
      <c r="AO77" t="s">
        <v>6975</v>
      </c>
      <c r="AT77" t="s">
        <v>7070</v>
      </c>
      <c r="AY77">
        <v>1</v>
      </c>
      <c r="AZ77">
        <v>1</v>
      </c>
      <c r="BD77">
        <v>1</v>
      </c>
      <c r="BP77" s="7" t="s">
        <v>7071</v>
      </c>
      <c r="BT77">
        <v>25</v>
      </c>
      <c r="BV77" s="8">
        <v>10</v>
      </c>
      <c r="BW77" s="8">
        <v>35</v>
      </c>
      <c r="BX77" s="8">
        <v>1</v>
      </c>
      <c r="BY77" s="8" t="s">
        <v>6907</v>
      </c>
      <c r="CB77" t="s">
        <v>134</v>
      </c>
      <c r="CH77" t="s">
        <v>6977</v>
      </c>
      <c r="CI77" t="s">
        <v>7065</v>
      </c>
      <c r="CJ77" t="s">
        <v>4249</v>
      </c>
      <c r="CK77" t="s">
        <v>7066</v>
      </c>
      <c r="CZ77" t="s">
        <v>6954</v>
      </c>
    </row>
    <row r="78" spans="1:104" x14ac:dyDescent="0.25">
      <c r="A78" t="s">
        <v>7071</v>
      </c>
      <c r="C78" t="s">
        <v>6888</v>
      </c>
      <c r="K78" s="5" t="s">
        <v>6874</v>
      </c>
      <c r="L78" s="5" t="s">
        <v>7017</v>
      </c>
      <c r="AC78">
        <v>1</v>
      </c>
      <c r="AY78" s="5"/>
      <c r="BD78">
        <v>1</v>
      </c>
      <c r="BV78"/>
      <c r="BW78"/>
      <c r="BX78"/>
      <c r="BY78"/>
      <c r="BZ78"/>
      <c r="CA78"/>
      <c r="CB78" s="5"/>
      <c r="CC78" s="5"/>
      <c r="CD78" s="5"/>
      <c r="CE78" s="5"/>
      <c r="CF78" s="5"/>
      <c r="CG78" s="5"/>
      <c r="CI78" s="5"/>
      <c r="CJ78" s="5"/>
      <c r="CK78" s="5"/>
      <c r="CL78" s="5"/>
      <c r="CM78" s="5"/>
      <c r="CN78" s="5"/>
      <c r="CO78" s="9" t="s">
        <v>6942</v>
      </c>
      <c r="CP78">
        <v>0.4</v>
      </c>
      <c r="CS78">
        <v>25</v>
      </c>
    </row>
    <row r="79" spans="1:104" x14ac:dyDescent="0.25">
      <c r="AY79" s="5"/>
      <c r="BV79"/>
      <c r="BW79"/>
      <c r="BX79"/>
      <c r="BY79"/>
      <c r="BZ79"/>
      <c r="CA79"/>
      <c r="CB79" s="5"/>
      <c r="CC79" s="5"/>
      <c r="CD79" s="5"/>
      <c r="CE79" s="5"/>
      <c r="CF79" s="5"/>
      <c r="CG79" s="5"/>
      <c r="CI79" s="5"/>
      <c r="CJ79" s="5"/>
      <c r="CK79" s="5"/>
      <c r="CL79" s="5"/>
      <c r="CM79" s="5"/>
      <c r="CN79" s="5"/>
    </row>
    <row r="80" spans="1:104" x14ac:dyDescent="0.25">
      <c r="A80" t="s">
        <v>7072</v>
      </c>
      <c r="C80" t="s">
        <v>6888</v>
      </c>
      <c r="K80" s="5" t="s">
        <v>6907</v>
      </c>
      <c r="AC80">
        <v>1</v>
      </c>
      <c r="AO80" t="s">
        <v>6975</v>
      </c>
      <c r="AT80" t="s">
        <v>7064</v>
      </c>
      <c r="AY80">
        <v>1</v>
      </c>
      <c r="AZ80">
        <v>1</v>
      </c>
      <c r="BD80">
        <v>1</v>
      </c>
      <c r="CB80" t="s">
        <v>134</v>
      </c>
      <c r="CH80" t="s">
        <v>6977</v>
      </c>
      <c r="CZ80" t="s">
        <v>6954</v>
      </c>
    </row>
    <row r="81" spans="1:109" x14ac:dyDescent="0.25">
      <c r="AY81" s="5"/>
      <c r="BV81"/>
      <c r="BW81"/>
      <c r="BX81"/>
      <c r="BY81"/>
      <c r="BZ81"/>
      <c r="CA81"/>
      <c r="CB81" s="5"/>
      <c r="CC81" s="5"/>
      <c r="CD81" s="5"/>
      <c r="CE81" s="5"/>
      <c r="CF81" s="5"/>
      <c r="CG81" s="5"/>
      <c r="CI81" s="5"/>
      <c r="CJ81" s="5"/>
      <c r="CK81" s="5"/>
      <c r="CL81" s="5"/>
      <c r="CM81" s="5"/>
      <c r="CN81" s="5"/>
    </row>
    <row r="82" spans="1:109" x14ac:dyDescent="0.25">
      <c r="A82" t="s">
        <v>7073</v>
      </c>
      <c r="C82" t="s">
        <v>6888</v>
      </c>
      <c r="AC82">
        <v>2</v>
      </c>
      <c r="AD82">
        <v>1</v>
      </c>
      <c r="AO82" t="s">
        <v>6982</v>
      </c>
      <c r="AT82" t="s">
        <v>6996</v>
      </c>
      <c r="AX82" t="s">
        <v>6997</v>
      </c>
      <c r="AZ82">
        <v>1</v>
      </c>
      <c r="BD82">
        <v>1</v>
      </c>
      <c r="BJ82">
        <v>1.1000000000000001</v>
      </c>
      <c r="BK82">
        <v>1</v>
      </c>
      <c r="BL82">
        <v>1</v>
      </c>
      <c r="CB82" t="s">
        <v>134</v>
      </c>
      <c r="CH82" t="s">
        <v>6977</v>
      </c>
      <c r="CZ82" t="s">
        <v>7074</v>
      </c>
    </row>
    <row r="83" spans="1:109" x14ac:dyDescent="0.25">
      <c r="A83" t="s">
        <v>7075</v>
      </c>
      <c r="C83" t="s">
        <v>7076</v>
      </c>
      <c r="K83" s="5" t="s">
        <v>6874</v>
      </c>
      <c r="L83" s="5" t="s">
        <v>7077</v>
      </c>
      <c r="AC83">
        <v>1</v>
      </c>
      <c r="AG83" t="s">
        <v>6876</v>
      </c>
      <c r="AY83" s="5"/>
      <c r="BD83">
        <v>1</v>
      </c>
      <c r="BV83"/>
      <c r="BW83"/>
      <c r="BX83"/>
      <c r="BY83"/>
      <c r="BZ83"/>
      <c r="CA83"/>
      <c r="CB83" s="5"/>
      <c r="CC83" s="5"/>
      <c r="CD83" s="5"/>
      <c r="CE83" s="5"/>
      <c r="CF83" s="5"/>
      <c r="CG83" s="5"/>
      <c r="CI83" s="5"/>
      <c r="CJ83" s="5"/>
      <c r="CK83" s="5"/>
      <c r="CL83" s="5"/>
      <c r="CM83" s="5"/>
      <c r="CN83" s="5"/>
      <c r="CV83" t="s">
        <v>7078</v>
      </c>
      <c r="DE83">
        <v>1</v>
      </c>
    </row>
    <row r="84" spans="1:109" x14ac:dyDescent="0.25">
      <c r="AY84" s="5"/>
      <c r="BV84"/>
      <c r="BW84"/>
      <c r="BX84"/>
      <c r="BY84"/>
      <c r="BZ84"/>
      <c r="CA84"/>
      <c r="CB84" s="5"/>
      <c r="CC84" s="5"/>
      <c r="CD84" s="5"/>
      <c r="CE84" s="5"/>
      <c r="CF84" s="5"/>
      <c r="CG84" s="5"/>
      <c r="CI84" s="5"/>
      <c r="CJ84" s="5"/>
      <c r="CK84" s="5"/>
      <c r="CL84" s="5"/>
      <c r="CM84" s="5"/>
      <c r="CN84" s="5"/>
    </row>
    <row r="85" spans="1:109" x14ac:dyDescent="0.25">
      <c r="A85" t="s">
        <v>7079</v>
      </c>
      <c r="C85" t="s">
        <v>6888</v>
      </c>
      <c r="AC85">
        <v>2</v>
      </c>
      <c r="AD85">
        <v>1</v>
      </c>
      <c r="AO85" t="s">
        <v>6982</v>
      </c>
      <c r="AP85" t="s">
        <v>4721</v>
      </c>
      <c r="AT85" t="s">
        <v>7064</v>
      </c>
      <c r="AX85" t="s">
        <v>6984</v>
      </c>
      <c r="AZ85">
        <v>1</v>
      </c>
      <c r="BD85">
        <v>1</v>
      </c>
      <c r="CB85" t="s">
        <v>134</v>
      </c>
      <c r="CH85" t="s">
        <v>6977</v>
      </c>
      <c r="CI85" t="s">
        <v>6991</v>
      </c>
      <c r="CJ85" t="s">
        <v>4249</v>
      </c>
    </row>
    <row r="86" spans="1:109" x14ac:dyDescent="0.25">
      <c r="A86" t="s">
        <v>7080</v>
      </c>
      <c r="C86" t="s">
        <v>6888</v>
      </c>
      <c r="K86" s="5" t="s">
        <v>6874</v>
      </c>
      <c r="L86" s="5" t="s">
        <v>6892</v>
      </c>
      <c r="AC86">
        <v>1</v>
      </c>
      <c r="AG86" t="s">
        <v>6876</v>
      </c>
      <c r="AH86">
        <v>1</v>
      </c>
      <c r="AY86" s="5"/>
      <c r="BD86">
        <v>1</v>
      </c>
      <c r="BV86"/>
      <c r="BW86"/>
      <c r="BX86"/>
      <c r="BY86"/>
      <c r="BZ86"/>
      <c r="CA86"/>
      <c r="CB86" s="5"/>
      <c r="CC86" s="5"/>
      <c r="CD86" s="5"/>
      <c r="CE86" s="5"/>
      <c r="CF86" s="5"/>
      <c r="CG86" s="5"/>
      <c r="CI86" s="5"/>
      <c r="CJ86" s="5"/>
      <c r="CK86" s="5"/>
      <c r="CL86" s="5"/>
      <c r="CM86" s="5"/>
      <c r="CN86" s="5"/>
      <c r="CO86" s="9" t="s">
        <v>7053</v>
      </c>
      <c r="CP86">
        <v>8</v>
      </c>
      <c r="CS86">
        <v>99999</v>
      </c>
    </row>
    <row r="87" spans="1:109" x14ac:dyDescent="0.25">
      <c r="AY87" s="5"/>
      <c r="BV87"/>
      <c r="BW87"/>
      <c r="BX87"/>
      <c r="BY87"/>
      <c r="BZ87"/>
      <c r="CA87"/>
      <c r="CB87" s="5"/>
      <c r="CC87" s="5"/>
      <c r="CD87" s="5"/>
      <c r="CE87" s="5"/>
      <c r="CF87" s="5"/>
      <c r="CG87" s="5"/>
      <c r="CI87" s="5"/>
      <c r="CJ87" s="5"/>
      <c r="CK87" s="5"/>
      <c r="CL87" s="5"/>
      <c r="CM87" s="5"/>
      <c r="CN87" s="5"/>
    </row>
    <row r="88" spans="1:109" x14ac:dyDescent="0.25">
      <c r="A88" t="s">
        <v>426</v>
      </c>
      <c r="C88" t="s">
        <v>6888</v>
      </c>
      <c r="AC88">
        <v>2</v>
      </c>
      <c r="AD88">
        <v>1</v>
      </c>
      <c r="AO88" t="s">
        <v>6982</v>
      </c>
      <c r="AP88" t="s">
        <v>6990</v>
      </c>
      <c r="AT88" t="s">
        <v>7064</v>
      </c>
      <c r="AX88" t="s">
        <v>6984</v>
      </c>
      <c r="AZ88">
        <v>1</v>
      </c>
      <c r="BD88">
        <v>1</v>
      </c>
      <c r="CB88" t="s">
        <v>134</v>
      </c>
      <c r="CH88" t="s">
        <v>6977</v>
      </c>
      <c r="CI88" t="s">
        <v>6991</v>
      </c>
      <c r="CJ88" t="s">
        <v>4249</v>
      </c>
      <c r="CK88" t="s">
        <v>7024</v>
      </c>
      <c r="CY88" t="s">
        <v>6993</v>
      </c>
      <c r="CZ88" t="s">
        <v>6994</v>
      </c>
    </row>
    <row r="89" spans="1:109" x14ac:dyDescent="0.25">
      <c r="A89" t="s">
        <v>427</v>
      </c>
      <c r="C89" t="s">
        <v>6888</v>
      </c>
      <c r="D89" t="s">
        <v>7081</v>
      </c>
      <c r="E89" t="s">
        <v>7082</v>
      </c>
      <c r="F89" t="s">
        <v>7083</v>
      </c>
      <c r="J89" t="s">
        <v>6905</v>
      </c>
      <c r="K89" s="5" t="s">
        <v>6907</v>
      </c>
      <c r="AC89">
        <v>2</v>
      </c>
      <c r="AD89">
        <v>1</v>
      </c>
      <c r="AO89" t="s">
        <v>6982</v>
      </c>
      <c r="AP89" t="s">
        <v>6990</v>
      </c>
      <c r="AT89" t="s">
        <v>7064</v>
      </c>
      <c r="AX89" t="s">
        <v>6984</v>
      </c>
      <c r="AZ89">
        <v>1.4</v>
      </c>
      <c r="BD89">
        <v>1</v>
      </c>
      <c r="BE89">
        <v>1</v>
      </c>
      <c r="BF89">
        <v>0.1</v>
      </c>
      <c r="BT89">
        <v>0.3</v>
      </c>
      <c r="BV89" s="8">
        <v>0</v>
      </c>
      <c r="BW89" s="8">
        <v>4</v>
      </c>
      <c r="BX89" s="8">
        <v>1</v>
      </c>
      <c r="BY89" s="8" t="s">
        <v>7061</v>
      </c>
      <c r="CB89" t="s">
        <v>134</v>
      </c>
      <c r="CH89" t="s">
        <v>6977</v>
      </c>
      <c r="CI89" t="s">
        <v>6991</v>
      </c>
      <c r="CJ89" t="s">
        <v>4249</v>
      </c>
      <c r="CK89" t="s">
        <v>7024</v>
      </c>
      <c r="CY89" t="s">
        <v>6993</v>
      </c>
      <c r="CZ89" t="s">
        <v>6994</v>
      </c>
    </row>
    <row r="91" spans="1:109" x14ac:dyDescent="0.25">
      <c r="A91" t="s">
        <v>7084</v>
      </c>
      <c r="C91" t="s">
        <v>4959</v>
      </c>
      <c r="AC91">
        <v>2</v>
      </c>
      <c r="AO91" t="s">
        <v>6982</v>
      </c>
      <c r="AT91" t="s">
        <v>7006</v>
      </c>
      <c r="AX91" t="s">
        <v>6984</v>
      </c>
      <c r="AZ91">
        <v>1</v>
      </c>
      <c r="BD91">
        <v>1</v>
      </c>
      <c r="CB91" t="s">
        <v>134</v>
      </c>
      <c r="CH91" t="s">
        <v>6977</v>
      </c>
    </row>
    <row r="92" spans="1:109" x14ac:dyDescent="0.25">
      <c r="AY92" s="5"/>
      <c r="BV92"/>
      <c r="BW92"/>
      <c r="BX92"/>
      <c r="BY92"/>
      <c r="BZ92"/>
      <c r="CA92"/>
      <c r="CB92" s="5"/>
      <c r="CC92" s="5"/>
      <c r="CD92" s="5"/>
      <c r="CE92" s="5"/>
      <c r="CF92" s="5"/>
      <c r="CG92" s="5"/>
      <c r="CI92" s="5"/>
      <c r="CJ92" s="5"/>
      <c r="CK92" s="5"/>
      <c r="CL92" s="5"/>
      <c r="CM92" s="5"/>
      <c r="CN92" s="5"/>
    </row>
    <row r="93" spans="1:109" x14ac:dyDescent="0.25">
      <c r="A93" t="s">
        <v>7085</v>
      </c>
      <c r="C93" t="s">
        <v>4959</v>
      </c>
      <c r="AC93">
        <v>2</v>
      </c>
      <c r="AO93" t="s">
        <v>6982</v>
      </c>
      <c r="AT93" t="s">
        <v>7006</v>
      </c>
      <c r="AX93" t="s">
        <v>6984</v>
      </c>
      <c r="AZ93">
        <v>1</v>
      </c>
      <c r="BD93">
        <v>1</v>
      </c>
      <c r="CB93" t="s">
        <v>134</v>
      </c>
      <c r="CH93" t="s">
        <v>6977</v>
      </c>
    </row>
    <row r="94" spans="1:109" x14ac:dyDescent="0.25">
      <c r="AY94" s="5"/>
      <c r="BV94"/>
      <c r="BW94"/>
      <c r="BX94"/>
      <c r="BY94"/>
      <c r="BZ94"/>
      <c r="CA94"/>
      <c r="CB94" s="5"/>
      <c r="CC94" s="5"/>
      <c r="CD94" s="5"/>
      <c r="CE94" s="5"/>
      <c r="CF94" s="5"/>
      <c r="CG94" s="5"/>
      <c r="CI94" s="5"/>
      <c r="CJ94" s="5"/>
      <c r="CK94" s="5"/>
      <c r="CL94" s="5"/>
      <c r="CM94" s="5"/>
      <c r="CN94" s="5"/>
    </row>
    <row r="95" spans="1:109" x14ac:dyDescent="0.25">
      <c r="A95" t="s">
        <v>7086</v>
      </c>
      <c r="C95" t="s">
        <v>4959</v>
      </c>
      <c r="AC95">
        <v>2</v>
      </c>
      <c r="AO95" t="s">
        <v>6982</v>
      </c>
      <c r="AT95" t="s">
        <v>6983</v>
      </c>
      <c r="AX95" t="s">
        <v>6984</v>
      </c>
      <c r="AZ95">
        <v>1</v>
      </c>
      <c r="BD95">
        <v>1</v>
      </c>
      <c r="CB95" t="s">
        <v>7028</v>
      </c>
      <c r="CH95" t="s">
        <v>6977</v>
      </c>
      <c r="CZ95" t="s">
        <v>6985</v>
      </c>
    </row>
    <row r="96" spans="1:109" x14ac:dyDescent="0.25">
      <c r="AY96" s="5"/>
      <c r="BV96"/>
      <c r="BW96"/>
      <c r="BX96"/>
      <c r="BY96"/>
      <c r="BZ96"/>
      <c r="CA96"/>
      <c r="CB96" s="5"/>
      <c r="CC96" s="5"/>
      <c r="CD96" s="5"/>
      <c r="CE96" s="5"/>
      <c r="CF96" s="5"/>
      <c r="CG96" s="5"/>
      <c r="CI96" s="5"/>
      <c r="CJ96" s="5"/>
      <c r="CK96" s="5"/>
      <c r="CL96" s="5"/>
      <c r="CM96" s="5"/>
      <c r="CN96" s="5"/>
    </row>
    <row r="97" spans="1:108" x14ac:dyDescent="0.25">
      <c r="A97" t="s">
        <v>445</v>
      </c>
      <c r="C97" t="s">
        <v>6888</v>
      </c>
      <c r="AC97">
        <v>2</v>
      </c>
      <c r="AD97">
        <v>1</v>
      </c>
      <c r="AO97" t="s">
        <v>6982</v>
      </c>
      <c r="AT97" t="s">
        <v>6976</v>
      </c>
      <c r="AX97" t="s">
        <v>6997</v>
      </c>
      <c r="AZ97">
        <v>1</v>
      </c>
      <c r="BD97">
        <v>1</v>
      </c>
      <c r="CB97" t="s">
        <v>7087</v>
      </c>
      <c r="CH97" t="s">
        <v>6977</v>
      </c>
      <c r="CI97" t="s">
        <v>7088</v>
      </c>
      <c r="CJ97" t="s">
        <v>4249</v>
      </c>
      <c r="CO97" s="9" t="s">
        <v>7089</v>
      </c>
      <c r="CP97">
        <v>-0.23</v>
      </c>
      <c r="CS97">
        <v>1</v>
      </c>
      <c r="CY97" t="s">
        <v>7090</v>
      </c>
      <c r="CZ97" t="s">
        <v>7091</v>
      </c>
    </row>
    <row r="98" spans="1:108" x14ac:dyDescent="0.25">
      <c r="A98" t="s">
        <v>7092</v>
      </c>
      <c r="C98" t="s">
        <v>6888</v>
      </c>
      <c r="D98" t="s">
        <v>7093</v>
      </c>
      <c r="E98" t="s">
        <v>7094</v>
      </c>
      <c r="F98" t="s">
        <v>7095</v>
      </c>
      <c r="G98">
        <v>3</v>
      </c>
      <c r="J98" t="s">
        <v>6905</v>
      </c>
      <c r="K98" s="5" t="s">
        <v>6906</v>
      </c>
      <c r="AC98">
        <v>1</v>
      </c>
      <c r="AY98" s="5"/>
      <c r="BD98">
        <v>1</v>
      </c>
      <c r="BT98">
        <v>25</v>
      </c>
      <c r="BV98" s="8">
        <v>0</v>
      </c>
      <c r="BW98" s="8">
        <v>25</v>
      </c>
      <c r="BX98" s="8">
        <v>1</v>
      </c>
      <c r="BY98" s="8" t="s">
        <v>6907</v>
      </c>
      <c r="CB98" s="5"/>
      <c r="CC98" s="5"/>
      <c r="CD98" s="5"/>
      <c r="CE98" s="5"/>
      <c r="CF98" s="5"/>
      <c r="CG98" s="5"/>
      <c r="CI98" s="5"/>
      <c r="CJ98" s="5"/>
      <c r="CK98" s="5"/>
      <c r="CL98" s="5"/>
      <c r="CM98" s="5"/>
      <c r="CN98" s="5"/>
      <c r="CO98" s="9" t="s">
        <v>7096</v>
      </c>
      <c r="CP98" t="s">
        <v>7097</v>
      </c>
      <c r="CQ98">
        <v>-0.75</v>
      </c>
      <c r="CS98">
        <v>25</v>
      </c>
    </row>
    <row r="99" spans="1:108" x14ac:dyDescent="0.25">
      <c r="AY99" s="5"/>
      <c r="CB99" s="5"/>
      <c r="CC99" s="5"/>
      <c r="CD99" s="5"/>
      <c r="CE99" s="5"/>
      <c r="CF99" s="5"/>
      <c r="CG99" s="5"/>
      <c r="CI99" s="5"/>
      <c r="CJ99" s="5"/>
      <c r="CK99" s="5"/>
      <c r="CL99" s="5"/>
      <c r="CM99" s="5"/>
      <c r="CN99" s="5"/>
    </row>
    <row r="100" spans="1:108" x14ac:dyDescent="0.25">
      <c r="A100" t="s">
        <v>7098</v>
      </c>
      <c r="C100" t="s">
        <v>6888</v>
      </c>
      <c r="J100" t="s">
        <v>7010</v>
      </c>
      <c r="K100" s="5" t="s">
        <v>6874</v>
      </c>
      <c r="L100" s="5" t="s">
        <v>7077</v>
      </c>
      <c r="AC100">
        <v>1</v>
      </c>
      <c r="AG100" t="s">
        <v>6876</v>
      </c>
      <c r="AH100">
        <v>1</v>
      </c>
      <c r="AY100" s="5"/>
      <c r="BD100">
        <v>1</v>
      </c>
      <c r="BP100" s="7" t="s">
        <v>7099</v>
      </c>
      <c r="BV100"/>
      <c r="BW100"/>
      <c r="BX100"/>
      <c r="BY100"/>
      <c r="BZ100"/>
      <c r="CA100"/>
      <c r="CB100" s="5"/>
      <c r="CC100" s="5"/>
      <c r="CD100" s="5"/>
      <c r="CE100" s="5"/>
      <c r="CF100" s="5"/>
      <c r="CG100" s="5"/>
      <c r="CI100" s="5"/>
      <c r="CJ100" s="5"/>
      <c r="CK100" s="5"/>
      <c r="CL100" s="5"/>
      <c r="CM100" s="5"/>
      <c r="CN100" s="5"/>
    </row>
    <row r="101" spans="1:108" x14ac:dyDescent="0.25">
      <c r="A101" t="s">
        <v>7100</v>
      </c>
      <c r="C101" t="s">
        <v>6888</v>
      </c>
      <c r="J101" t="s">
        <v>7010</v>
      </c>
      <c r="K101" s="5" t="s">
        <v>6874</v>
      </c>
      <c r="AC101">
        <v>1</v>
      </c>
      <c r="AG101" t="s">
        <v>6876</v>
      </c>
      <c r="AH101">
        <v>1</v>
      </c>
      <c r="AY101" s="5"/>
      <c r="BD101">
        <v>1</v>
      </c>
      <c r="BV101"/>
      <c r="BW101"/>
      <c r="BX101"/>
      <c r="BY101"/>
      <c r="BZ101"/>
      <c r="CA101"/>
      <c r="CB101" s="5"/>
      <c r="CC101" s="5"/>
      <c r="CD101" s="5"/>
      <c r="CE101" s="5"/>
      <c r="CF101" s="5"/>
      <c r="CG101" s="5"/>
      <c r="CI101" s="5"/>
      <c r="CJ101" s="5"/>
      <c r="CK101" s="5"/>
      <c r="CL101" s="5"/>
      <c r="CM101" s="5"/>
      <c r="CN101" s="5"/>
      <c r="CO101" s="9" t="s">
        <v>7101</v>
      </c>
      <c r="CP101">
        <v>0.15</v>
      </c>
      <c r="CS101">
        <v>99999</v>
      </c>
    </row>
    <row r="102" spans="1:108" x14ac:dyDescent="0.25">
      <c r="A102" t="s">
        <v>7102</v>
      </c>
      <c r="C102" t="s">
        <v>6888</v>
      </c>
      <c r="J102" t="s">
        <v>7010</v>
      </c>
      <c r="K102" s="5" t="s">
        <v>6874</v>
      </c>
      <c r="AC102">
        <v>1</v>
      </c>
      <c r="AG102" t="s">
        <v>6876</v>
      </c>
      <c r="AH102">
        <v>1</v>
      </c>
      <c r="AY102" s="5"/>
      <c r="BD102">
        <v>1</v>
      </c>
      <c r="BV102"/>
      <c r="BW102"/>
      <c r="BX102"/>
      <c r="BY102"/>
      <c r="BZ102"/>
      <c r="CA102"/>
      <c r="CB102" s="5"/>
      <c r="CC102" s="5"/>
      <c r="CD102" s="5"/>
      <c r="CE102" s="5"/>
      <c r="CF102" s="5"/>
      <c r="CG102" s="5"/>
      <c r="CI102" s="5"/>
      <c r="CJ102" s="5"/>
      <c r="CK102" s="5"/>
      <c r="CL102" s="5"/>
      <c r="CM102" s="5"/>
      <c r="CN102" s="5"/>
      <c r="CO102" s="9" t="s">
        <v>7103</v>
      </c>
      <c r="CP102">
        <v>0.15</v>
      </c>
      <c r="CS102">
        <v>99999</v>
      </c>
    </row>
    <row r="103" spans="1:108" x14ac:dyDescent="0.25">
      <c r="A103" t="s">
        <v>7104</v>
      </c>
      <c r="C103" t="s">
        <v>6888</v>
      </c>
      <c r="J103" t="s">
        <v>7010</v>
      </c>
      <c r="K103" s="5" t="s">
        <v>6874</v>
      </c>
      <c r="AC103">
        <v>1</v>
      </c>
      <c r="AG103" t="s">
        <v>6876</v>
      </c>
      <c r="AH103">
        <v>1</v>
      </c>
      <c r="AY103" s="5"/>
      <c r="BD103">
        <v>1</v>
      </c>
      <c r="BV103"/>
      <c r="BW103"/>
      <c r="BX103"/>
      <c r="BY103"/>
      <c r="BZ103"/>
      <c r="CA103"/>
      <c r="CB103" s="5"/>
      <c r="CC103" s="5"/>
      <c r="CD103" s="5"/>
      <c r="CE103" s="5"/>
      <c r="CF103" s="5"/>
      <c r="CG103" s="5"/>
      <c r="CI103" s="5"/>
      <c r="CJ103" s="5"/>
      <c r="CK103" s="5"/>
      <c r="CL103" s="5"/>
      <c r="CM103" s="5"/>
      <c r="CN103" s="5"/>
      <c r="CO103" s="9" t="s">
        <v>7105</v>
      </c>
      <c r="CP103">
        <v>0.22</v>
      </c>
      <c r="CS103">
        <v>99999</v>
      </c>
    </row>
    <row r="104" spans="1:108" x14ac:dyDescent="0.25">
      <c r="A104" t="s">
        <v>7106</v>
      </c>
      <c r="C104" t="s">
        <v>6888</v>
      </c>
      <c r="AC104">
        <v>2</v>
      </c>
      <c r="AD104">
        <v>1</v>
      </c>
      <c r="AO104" t="s">
        <v>6982</v>
      </c>
      <c r="AT104" t="s">
        <v>6996</v>
      </c>
      <c r="AX104" t="s">
        <v>6997</v>
      </c>
      <c r="AZ104">
        <v>1</v>
      </c>
      <c r="BD104">
        <v>1</v>
      </c>
      <c r="BJ104">
        <v>1.1000000000000001</v>
      </c>
      <c r="BK104">
        <v>1</v>
      </c>
      <c r="BL104">
        <v>1</v>
      </c>
      <c r="CB104" t="s">
        <v>134</v>
      </c>
      <c r="CH104" t="s">
        <v>6977</v>
      </c>
      <c r="CX104" t="s">
        <v>7107</v>
      </c>
      <c r="CZ104" t="s">
        <v>7108</v>
      </c>
    </row>
    <row r="105" spans="1:108" x14ac:dyDescent="0.25">
      <c r="A105" t="s">
        <v>7109</v>
      </c>
      <c r="C105" t="s">
        <v>6888</v>
      </c>
      <c r="D105" t="s">
        <v>7110</v>
      </c>
      <c r="E105" t="s">
        <v>7111</v>
      </c>
      <c r="F105" t="s">
        <v>7112</v>
      </c>
      <c r="G105">
        <v>3</v>
      </c>
      <c r="J105" t="s">
        <v>7010</v>
      </c>
      <c r="K105" s="5" t="s">
        <v>6906</v>
      </c>
      <c r="AC105">
        <v>2</v>
      </c>
      <c r="AD105">
        <v>1</v>
      </c>
      <c r="AO105" t="s">
        <v>6982</v>
      </c>
      <c r="AT105" t="s">
        <v>7064</v>
      </c>
      <c r="AX105" t="s">
        <v>6997</v>
      </c>
      <c r="AZ105">
        <v>1</v>
      </c>
      <c r="BD105">
        <v>99</v>
      </c>
      <c r="BP105" s="7" t="s">
        <v>7113</v>
      </c>
      <c r="BT105">
        <v>30</v>
      </c>
      <c r="BV105" s="8">
        <v>50</v>
      </c>
      <c r="BW105" s="8">
        <v>85</v>
      </c>
      <c r="BX105" s="8">
        <v>1</v>
      </c>
      <c r="BY105" s="8" t="s">
        <v>6907</v>
      </c>
      <c r="CB105" t="s">
        <v>134</v>
      </c>
      <c r="CH105" t="s">
        <v>6977</v>
      </c>
      <c r="CX105" t="s">
        <v>7114</v>
      </c>
      <c r="CZ105" t="s">
        <v>7115</v>
      </c>
      <c r="DD105" t="s">
        <v>7116</v>
      </c>
    </row>
    <row r="106" spans="1:108" x14ac:dyDescent="0.25">
      <c r="A106" t="s">
        <v>7117</v>
      </c>
      <c r="C106" t="s">
        <v>6888</v>
      </c>
      <c r="K106" s="5" t="s">
        <v>6874</v>
      </c>
      <c r="L106" s="5" t="s">
        <v>7017</v>
      </c>
      <c r="AC106">
        <v>1</v>
      </c>
      <c r="AY106" s="5"/>
      <c r="BD106">
        <v>1</v>
      </c>
      <c r="BV106"/>
      <c r="BW106"/>
      <c r="BX106"/>
      <c r="BY106"/>
      <c r="BZ106"/>
      <c r="CA106"/>
      <c r="CB106" s="5"/>
      <c r="CC106" s="5"/>
      <c r="CD106" s="5"/>
      <c r="CE106" s="5"/>
      <c r="CF106" s="5"/>
      <c r="CG106" s="5"/>
      <c r="CI106" s="5"/>
      <c r="CJ106" s="5"/>
      <c r="CK106" s="5"/>
      <c r="CL106" s="5"/>
      <c r="CM106" s="5"/>
      <c r="CN106" s="5"/>
      <c r="CO106" s="9" t="s">
        <v>7118</v>
      </c>
      <c r="CP106" s="5">
        <v>1</v>
      </c>
      <c r="CQ106" s="5"/>
      <c r="CR106" s="5"/>
      <c r="CS106" s="5">
        <v>30</v>
      </c>
      <c r="CT106" s="5"/>
      <c r="CU106" s="5"/>
      <c r="CV106" s="5"/>
      <c r="CW106" s="5"/>
      <c r="CX106" s="5"/>
      <c r="CY106" s="5"/>
      <c r="CZ106" s="5"/>
      <c r="DA106" s="5"/>
      <c r="DB106" s="5"/>
      <c r="DC106" s="5"/>
      <c r="DD106" s="5"/>
    </row>
    <row r="107" spans="1:108" x14ac:dyDescent="0.25">
      <c r="A107" t="s">
        <v>7119</v>
      </c>
      <c r="C107" t="s">
        <v>6888</v>
      </c>
      <c r="K107" s="5" t="s">
        <v>6874</v>
      </c>
      <c r="L107" s="5" t="s">
        <v>7120</v>
      </c>
      <c r="AC107">
        <v>1</v>
      </c>
      <c r="AY107" s="5"/>
      <c r="CB107" s="5"/>
      <c r="CC107" s="5"/>
      <c r="CD107" s="5"/>
      <c r="CE107" s="5"/>
      <c r="CF107" s="5"/>
      <c r="CG107" s="5"/>
      <c r="CI107" s="5"/>
      <c r="CJ107" s="5"/>
      <c r="CK107" s="5"/>
      <c r="CL107" s="5"/>
      <c r="CM107" s="5"/>
      <c r="CN107" s="5"/>
      <c r="CO107" s="9" t="s">
        <v>7019</v>
      </c>
      <c r="CS107">
        <v>10</v>
      </c>
    </row>
    <row r="108" spans="1:108" x14ac:dyDescent="0.25">
      <c r="AY108" s="5"/>
      <c r="CB108" s="5"/>
      <c r="CC108" s="5"/>
      <c r="CD108" s="5"/>
      <c r="CE108" s="5"/>
      <c r="CF108" s="5"/>
      <c r="CG108" s="5"/>
      <c r="CI108" s="5"/>
      <c r="CJ108" s="5"/>
      <c r="CK108" s="5"/>
      <c r="CL108" s="5"/>
      <c r="CM108" s="5"/>
      <c r="CN108" s="5"/>
    </row>
    <row r="109" spans="1:108" x14ac:dyDescent="0.25">
      <c r="A109" t="s">
        <v>455</v>
      </c>
      <c r="C109" t="s">
        <v>6888</v>
      </c>
      <c r="AC109">
        <v>2</v>
      </c>
      <c r="AD109">
        <v>1</v>
      </c>
      <c r="AO109" t="s">
        <v>6982</v>
      </c>
      <c r="AP109" t="s">
        <v>6990</v>
      </c>
      <c r="AT109" t="s">
        <v>7064</v>
      </c>
      <c r="AX109" t="s">
        <v>6984</v>
      </c>
      <c r="AZ109">
        <v>1</v>
      </c>
      <c r="BD109">
        <v>1</v>
      </c>
      <c r="CB109" t="s">
        <v>134</v>
      </c>
      <c r="CH109" t="s">
        <v>6977</v>
      </c>
      <c r="CY109" t="s">
        <v>7121</v>
      </c>
      <c r="CZ109" t="s">
        <v>7122</v>
      </c>
    </row>
    <row r="110" spans="1:108" x14ac:dyDescent="0.25">
      <c r="A110" t="s">
        <v>7123</v>
      </c>
      <c r="C110" t="s">
        <v>6888</v>
      </c>
      <c r="D110" t="s">
        <v>7124</v>
      </c>
      <c r="E110" t="s">
        <v>7125</v>
      </c>
      <c r="F110" t="s">
        <v>7126</v>
      </c>
      <c r="G110">
        <v>3</v>
      </c>
      <c r="J110" t="s">
        <v>6905</v>
      </c>
      <c r="K110" s="5" t="s">
        <v>6907</v>
      </c>
      <c r="AC110">
        <v>2</v>
      </c>
      <c r="AD110">
        <v>1</v>
      </c>
      <c r="AO110" t="s">
        <v>6982</v>
      </c>
      <c r="AP110" t="s">
        <v>6990</v>
      </c>
      <c r="AT110" t="s">
        <v>7064</v>
      </c>
      <c r="AX110" t="s">
        <v>6984</v>
      </c>
      <c r="AZ110">
        <v>2.2999999999999998</v>
      </c>
      <c r="BD110">
        <v>1</v>
      </c>
      <c r="BT110">
        <v>0.2</v>
      </c>
      <c r="BV110" s="8">
        <v>0</v>
      </c>
      <c r="BW110" s="8">
        <v>3</v>
      </c>
      <c r="BX110" s="8">
        <v>1</v>
      </c>
      <c r="BY110" s="8" t="s">
        <v>7061</v>
      </c>
      <c r="CB110" t="s">
        <v>134</v>
      </c>
      <c r="CH110" t="s">
        <v>6977</v>
      </c>
      <c r="CY110" t="s">
        <v>7127</v>
      </c>
      <c r="CZ110" t="s">
        <v>7128</v>
      </c>
    </row>
    <row r="111" spans="1:108" x14ac:dyDescent="0.25">
      <c r="A111" t="s">
        <v>7129</v>
      </c>
      <c r="C111" t="s">
        <v>6888</v>
      </c>
      <c r="D111" t="s">
        <v>7130</v>
      </c>
      <c r="E111" t="s">
        <v>7131</v>
      </c>
      <c r="F111" t="s">
        <v>7132</v>
      </c>
      <c r="G111">
        <v>3</v>
      </c>
      <c r="J111" t="s">
        <v>6905</v>
      </c>
      <c r="K111" s="5" t="s">
        <v>6906</v>
      </c>
      <c r="AC111">
        <v>1</v>
      </c>
      <c r="AY111" s="5"/>
      <c r="BD111">
        <v>1</v>
      </c>
      <c r="BT111">
        <v>25</v>
      </c>
      <c r="BV111" s="8">
        <v>20</v>
      </c>
      <c r="BW111" s="8">
        <v>40</v>
      </c>
      <c r="BX111" s="8">
        <v>1</v>
      </c>
      <c r="BY111" s="8" t="s">
        <v>6907</v>
      </c>
      <c r="CB111" s="5"/>
      <c r="CC111" s="5"/>
      <c r="CD111" s="5"/>
      <c r="CE111" s="5"/>
      <c r="CF111" s="5"/>
      <c r="CG111" s="5"/>
      <c r="CI111" s="5"/>
      <c r="CJ111" s="5"/>
      <c r="CK111" s="5"/>
      <c r="CL111" s="5"/>
      <c r="CM111" s="5"/>
      <c r="CN111" s="5"/>
      <c r="CO111" s="9" t="s">
        <v>7133</v>
      </c>
      <c r="CP111">
        <v>0.8</v>
      </c>
      <c r="CS111">
        <v>25</v>
      </c>
    </row>
    <row r="112" spans="1:108" x14ac:dyDescent="0.25">
      <c r="AY112" s="5"/>
      <c r="CB112" s="5"/>
      <c r="CC112" s="5"/>
      <c r="CD112" s="5"/>
      <c r="CE112" s="5"/>
      <c r="CF112" s="5"/>
      <c r="CG112" s="5"/>
      <c r="CI112" s="5"/>
      <c r="CJ112" s="5"/>
      <c r="CK112" s="5"/>
      <c r="CL112" s="5"/>
      <c r="CM112" s="5"/>
      <c r="CN112" s="5"/>
    </row>
    <row r="113" spans="1:104" x14ac:dyDescent="0.25">
      <c r="A113" t="s">
        <v>460</v>
      </c>
      <c r="C113" t="s">
        <v>6888</v>
      </c>
      <c r="AC113">
        <v>2</v>
      </c>
      <c r="AD113">
        <v>1</v>
      </c>
      <c r="AO113" t="s">
        <v>6982</v>
      </c>
      <c r="AP113" t="s">
        <v>6990</v>
      </c>
      <c r="AT113" t="s">
        <v>7064</v>
      </c>
      <c r="AX113" t="s">
        <v>6984</v>
      </c>
      <c r="AZ113">
        <v>1</v>
      </c>
      <c r="BD113">
        <v>1</v>
      </c>
      <c r="CB113" t="s">
        <v>134</v>
      </c>
      <c r="CH113" t="s">
        <v>6977</v>
      </c>
      <c r="CI113" t="s">
        <v>6991</v>
      </c>
      <c r="CJ113" t="s">
        <v>4249</v>
      </c>
      <c r="CK113" t="s">
        <v>7134</v>
      </c>
      <c r="CZ113" t="s">
        <v>6994</v>
      </c>
    </row>
    <row r="114" spans="1:104" x14ac:dyDescent="0.25">
      <c r="A114" t="s">
        <v>7135</v>
      </c>
      <c r="C114" t="s">
        <v>6888</v>
      </c>
      <c r="D114" t="s">
        <v>7136</v>
      </c>
      <c r="E114" t="s">
        <v>7137</v>
      </c>
      <c r="F114" t="s">
        <v>7138</v>
      </c>
      <c r="G114">
        <v>3</v>
      </c>
      <c r="J114" t="s">
        <v>6905</v>
      </c>
      <c r="K114" s="5" t="s">
        <v>6907</v>
      </c>
      <c r="AC114">
        <v>2</v>
      </c>
      <c r="AD114">
        <v>1</v>
      </c>
      <c r="AO114" t="s">
        <v>6982</v>
      </c>
      <c r="AP114" t="s">
        <v>6990</v>
      </c>
      <c r="AT114" t="s">
        <v>7064</v>
      </c>
      <c r="AX114" t="s">
        <v>6984</v>
      </c>
      <c r="AZ114">
        <v>1.8</v>
      </c>
      <c r="BD114">
        <v>1</v>
      </c>
      <c r="BT114">
        <v>0.2</v>
      </c>
      <c r="BV114" s="8">
        <v>0</v>
      </c>
      <c r="BW114" s="8">
        <v>4</v>
      </c>
      <c r="BX114" s="8">
        <v>1</v>
      </c>
      <c r="BY114" s="8" t="s">
        <v>7061</v>
      </c>
      <c r="CB114" t="s">
        <v>134</v>
      </c>
      <c r="CH114" t="s">
        <v>6977</v>
      </c>
      <c r="CI114" t="s">
        <v>7139</v>
      </c>
      <c r="CJ114" t="s">
        <v>4249</v>
      </c>
      <c r="CK114" t="s">
        <v>7134</v>
      </c>
      <c r="CO114" s="9" t="s">
        <v>7140</v>
      </c>
      <c r="CP114">
        <v>-0.35</v>
      </c>
      <c r="CS114">
        <v>5</v>
      </c>
      <c r="CZ114" t="s">
        <v>7141</v>
      </c>
    </row>
    <row r="115" spans="1:104" x14ac:dyDescent="0.25">
      <c r="A115" t="s">
        <v>7142</v>
      </c>
      <c r="C115" t="s">
        <v>6888</v>
      </c>
      <c r="D115" t="s">
        <v>7143</v>
      </c>
      <c r="E115" t="s">
        <v>7144</v>
      </c>
      <c r="F115" t="s">
        <v>7145</v>
      </c>
      <c r="G115">
        <v>3</v>
      </c>
      <c r="J115" t="s">
        <v>6905</v>
      </c>
      <c r="K115" s="5" t="s">
        <v>6906</v>
      </c>
      <c r="AC115">
        <v>2</v>
      </c>
      <c r="AD115">
        <v>1</v>
      </c>
      <c r="AO115" t="s">
        <v>6982</v>
      </c>
      <c r="AP115" t="s">
        <v>6990</v>
      </c>
      <c r="AT115" t="s">
        <v>7064</v>
      </c>
      <c r="AX115" t="s">
        <v>6984</v>
      </c>
      <c r="AZ115">
        <v>2</v>
      </c>
      <c r="BD115">
        <v>5</v>
      </c>
      <c r="BT115">
        <v>0.2</v>
      </c>
      <c r="BV115" s="8">
        <v>0</v>
      </c>
      <c r="BW115" s="8">
        <v>15</v>
      </c>
      <c r="BX115" s="8">
        <v>1</v>
      </c>
      <c r="BY115" s="8" t="s">
        <v>6907</v>
      </c>
      <c r="CB115" t="s">
        <v>134</v>
      </c>
      <c r="CH115" t="s">
        <v>6977</v>
      </c>
      <c r="CI115" t="s">
        <v>7146</v>
      </c>
      <c r="CJ115" t="s">
        <v>4249</v>
      </c>
      <c r="CK115" t="s">
        <v>7134</v>
      </c>
      <c r="CO115" s="9" t="s">
        <v>7140</v>
      </c>
      <c r="CP115">
        <v>-0.4</v>
      </c>
      <c r="CS115">
        <v>5</v>
      </c>
      <c r="CZ115" t="s">
        <v>7141</v>
      </c>
    </row>
    <row r="117" spans="1:104" x14ac:dyDescent="0.25">
      <c r="A117" t="s">
        <v>7147</v>
      </c>
      <c r="C117" t="s">
        <v>6888</v>
      </c>
      <c r="K117" s="5" t="s">
        <v>6874</v>
      </c>
      <c r="L117" s="5" t="s">
        <v>6892</v>
      </c>
      <c r="AC117">
        <v>1</v>
      </c>
      <c r="AG117" t="s">
        <v>6876</v>
      </c>
      <c r="AH117">
        <v>1</v>
      </c>
      <c r="AY117" s="5"/>
      <c r="BD117">
        <v>1</v>
      </c>
      <c r="BV117"/>
      <c r="BW117"/>
      <c r="BX117"/>
      <c r="BY117"/>
      <c r="BZ117"/>
      <c r="CA117"/>
      <c r="CB117" s="5"/>
      <c r="CC117" s="5"/>
      <c r="CD117" s="5"/>
      <c r="CE117" s="5"/>
      <c r="CF117" s="5"/>
      <c r="CG117" s="5"/>
      <c r="CI117" s="5"/>
      <c r="CJ117" s="5"/>
      <c r="CK117" s="5"/>
      <c r="CL117" s="5"/>
      <c r="CM117" s="5"/>
      <c r="CN117" s="5"/>
      <c r="CO117" s="9" t="s">
        <v>7147</v>
      </c>
      <c r="CP117" t="s">
        <v>7148</v>
      </c>
      <c r="CS117">
        <v>99999</v>
      </c>
    </row>
    <row r="118" spans="1:104" x14ac:dyDescent="0.25">
      <c r="A118" t="s">
        <v>7149</v>
      </c>
      <c r="C118" t="s">
        <v>6888</v>
      </c>
      <c r="AC118">
        <v>2</v>
      </c>
      <c r="AD118">
        <v>1</v>
      </c>
      <c r="AO118" t="s">
        <v>6982</v>
      </c>
      <c r="AT118" t="s">
        <v>7150</v>
      </c>
      <c r="AX118" t="s">
        <v>6984</v>
      </c>
      <c r="AZ118">
        <v>1</v>
      </c>
      <c r="BD118">
        <v>1</v>
      </c>
      <c r="BJ118">
        <v>1</v>
      </c>
      <c r="BK118">
        <v>1</v>
      </c>
      <c r="BL118">
        <v>1</v>
      </c>
      <c r="CB118" t="s">
        <v>134</v>
      </c>
      <c r="CH118" t="s">
        <v>6977</v>
      </c>
      <c r="CI118" t="s">
        <v>7151</v>
      </c>
      <c r="CJ118" t="s">
        <v>4249</v>
      </c>
      <c r="CY118" t="s">
        <v>9003</v>
      </c>
      <c r="CZ118" t="s">
        <v>7152</v>
      </c>
    </row>
    <row r="119" spans="1:104" x14ac:dyDescent="0.25">
      <c r="A119" t="s">
        <v>7153</v>
      </c>
      <c r="C119" t="s">
        <v>6888</v>
      </c>
      <c r="D119" t="s">
        <v>7154</v>
      </c>
      <c r="E119" t="s">
        <v>7155</v>
      </c>
      <c r="F119" t="s">
        <v>7156</v>
      </c>
      <c r="G119">
        <v>3</v>
      </c>
      <c r="J119" t="s">
        <v>7010</v>
      </c>
      <c r="K119" s="5" t="s">
        <v>6906</v>
      </c>
      <c r="AC119">
        <v>2</v>
      </c>
      <c r="AD119">
        <v>1</v>
      </c>
      <c r="AO119" t="s">
        <v>6982</v>
      </c>
      <c r="AT119" t="s">
        <v>7157</v>
      </c>
      <c r="AX119" t="s">
        <v>6984</v>
      </c>
      <c r="AZ119">
        <v>1</v>
      </c>
      <c r="BD119">
        <v>1</v>
      </c>
      <c r="BJ119">
        <v>1</v>
      </c>
      <c r="BK119">
        <v>1</v>
      </c>
      <c r="BL119">
        <v>1</v>
      </c>
      <c r="BT119">
        <v>25</v>
      </c>
      <c r="BV119" s="8">
        <v>10</v>
      </c>
      <c r="BW119" s="8">
        <v>15</v>
      </c>
      <c r="BX119" s="8">
        <v>1</v>
      </c>
      <c r="BY119" s="8" t="s">
        <v>6907</v>
      </c>
      <c r="CB119" t="s">
        <v>134</v>
      </c>
      <c r="CH119" t="s">
        <v>6977</v>
      </c>
      <c r="CI119" t="s">
        <v>7151</v>
      </c>
      <c r="CJ119" t="s">
        <v>4249</v>
      </c>
      <c r="CZ119" t="s">
        <v>7152</v>
      </c>
    </row>
    <row r="120" spans="1:104" x14ac:dyDescent="0.25">
      <c r="A120" t="s">
        <v>7158</v>
      </c>
      <c r="C120" t="s">
        <v>6888</v>
      </c>
      <c r="D120" t="s">
        <v>7159</v>
      </c>
      <c r="E120" t="s">
        <v>7160</v>
      </c>
      <c r="F120" t="s">
        <v>7161</v>
      </c>
      <c r="G120">
        <v>3</v>
      </c>
      <c r="J120" t="s">
        <v>7010</v>
      </c>
      <c r="K120" s="5" t="s">
        <v>6906</v>
      </c>
      <c r="AB120">
        <v>1</v>
      </c>
      <c r="AC120">
        <v>2</v>
      </c>
      <c r="AD120">
        <v>1</v>
      </c>
      <c r="AO120" t="s">
        <v>6982</v>
      </c>
      <c r="AT120" t="s">
        <v>7150</v>
      </c>
      <c r="AX120" t="s">
        <v>6997</v>
      </c>
      <c r="AZ120">
        <v>0.8</v>
      </c>
      <c r="BD120">
        <v>1</v>
      </c>
      <c r="BJ120">
        <v>1</v>
      </c>
      <c r="BK120">
        <v>1</v>
      </c>
      <c r="BL120">
        <v>1</v>
      </c>
      <c r="BT120">
        <v>25</v>
      </c>
      <c r="BV120" s="8">
        <v>0</v>
      </c>
      <c r="BW120" s="8">
        <v>25</v>
      </c>
      <c r="BX120" s="8">
        <v>1</v>
      </c>
      <c r="BY120" s="8" t="s">
        <v>6907</v>
      </c>
      <c r="CB120" t="s">
        <v>134</v>
      </c>
      <c r="CH120" t="s">
        <v>6977</v>
      </c>
      <c r="CI120" t="s">
        <v>7162</v>
      </c>
      <c r="CJ120" t="s">
        <v>4249</v>
      </c>
      <c r="CO120" s="9" t="s">
        <v>7163</v>
      </c>
      <c r="CP120">
        <v>-0.35</v>
      </c>
      <c r="CS120">
        <v>1</v>
      </c>
    </row>
    <row r="122" spans="1:104" x14ac:dyDescent="0.25">
      <c r="A122" t="s">
        <v>7164</v>
      </c>
      <c r="C122" t="s">
        <v>4959</v>
      </c>
      <c r="AC122">
        <v>2</v>
      </c>
      <c r="AO122" t="s">
        <v>6982</v>
      </c>
      <c r="AT122" t="s">
        <v>7165</v>
      </c>
      <c r="AX122" t="s">
        <v>6984</v>
      </c>
      <c r="AZ122">
        <v>1</v>
      </c>
      <c r="BD122">
        <v>1</v>
      </c>
      <c r="CB122" t="s">
        <v>134</v>
      </c>
      <c r="CE122" t="s">
        <v>7166</v>
      </c>
      <c r="CH122" t="s">
        <v>6977</v>
      </c>
      <c r="CK122" t="s">
        <v>7167</v>
      </c>
      <c r="CZ122" t="s">
        <v>7168</v>
      </c>
    </row>
    <row r="123" spans="1:104" x14ac:dyDescent="0.25">
      <c r="A123" t="s">
        <v>7169</v>
      </c>
      <c r="C123" t="s">
        <v>6888</v>
      </c>
      <c r="K123" t="s">
        <v>6907</v>
      </c>
      <c r="L123"/>
      <c r="M123"/>
      <c r="N123"/>
      <c r="O123"/>
      <c r="P123"/>
      <c r="Q123"/>
      <c r="R123"/>
      <c r="S123"/>
      <c r="T123"/>
      <c r="U123"/>
      <c r="V123"/>
      <c r="W123"/>
      <c r="X123"/>
      <c r="AC123">
        <v>1</v>
      </c>
      <c r="AK123">
        <v>3</v>
      </c>
      <c r="AV123">
        <v>99</v>
      </c>
      <c r="BD123">
        <v>99</v>
      </c>
      <c r="BV123"/>
      <c r="BW123"/>
      <c r="BX123"/>
      <c r="BY123"/>
      <c r="BZ123"/>
      <c r="CA123"/>
      <c r="CO123" s="9" t="s">
        <v>7101</v>
      </c>
      <c r="CP123">
        <v>0.11</v>
      </c>
      <c r="CS123">
        <v>0.1</v>
      </c>
    </row>
    <row r="124" spans="1:104" x14ac:dyDescent="0.25">
      <c r="A124" t="s">
        <v>7170</v>
      </c>
      <c r="C124" t="s">
        <v>6888</v>
      </c>
      <c r="D124" t="s">
        <v>7124</v>
      </c>
      <c r="E124" t="s">
        <v>7125</v>
      </c>
      <c r="F124" t="s">
        <v>7126</v>
      </c>
      <c r="G124">
        <v>3</v>
      </c>
      <c r="J124" t="s">
        <v>6905</v>
      </c>
      <c r="K124" s="5" t="s">
        <v>6907</v>
      </c>
      <c r="AC124">
        <v>2</v>
      </c>
      <c r="AD124">
        <v>1</v>
      </c>
      <c r="AO124" t="s">
        <v>6982</v>
      </c>
      <c r="AT124" t="s">
        <v>7165</v>
      </c>
      <c r="AX124" t="s">
        <v>6984</v>
      </c>
      <c r="AZ124">
        <v>2.2999999999999998</v>
      </c>
      <c r="BD124">
        <v>1</v>
      </c>
      <c r="BT124">
        <v>0.2</v>
      </c>
      <c r="BV124" s="8">
        <v>0</v>
      </c>
      <c r="BW124" s="8">
        <v>3</v>
      </c>
      <c r="BX124" s="8">
        <v>1</v>
      </c>
      <c r="BY124" s="8" t="s">
        <v>7061</v>
      </c>
      <c r="CB124" t="s">
        <v>134</v>
      </c>
      <c r="CE124" t="s">
        <v>7166</v>
      </c>
      <c r="CH124" t="s">
        <v>6977</v>
      </c>
      <c r="CK124" t="s">
        <v>7167</v>
      </c>
      <c r="CZ124" t="s">
        <v>7171</v>
      </c>
    </row>
    <row r="125" spans="1:104" x14ac:dyDescent="0.25">
      <c r="A125" t="s">
        <v>7172</v>
      </c>
      <c r="C125" t="s">
        <v>6888</v>
      </c>
      <c r="D125" t="s">
        <v>7173</v>
      </c>
      <c r="E125" t="s">
        <v>7174</v>
      </c>
      <c r="F125" t="s">
        <v>7175</v>
      </c>
      <c r="G125">
        <v>3</v>
      </c>
      <c r="J125" t="s">
        <v>6905</v>
      </c>
      <c r="K125" s="5" t="s">
        <v>6906</v>
      </c>
      <c r="AC125">
        <v>1</v>
      </c>
      <c r="AY125" s="5"/>
      <c r="BD125">
        <v>1</v>
      </c>
      <c r="BO125" s="7" t="s">
        <v>7176</v>
      </c>
      <c r="BT125">
        <v>25</v>
      </c>
      <c r="BV125" s="8">
        <v>40</v>
      </c>
      <c r="BW125" s="8">
        <v>70</v>
      </c>
      <c r="BX125" s="8">
        <v>1</v>
      </c>
      <c r="BY125" s="8" t="s">
        <v>6907</v>
      </c>
      <c r="CB125" s="5"/>
      <c r="CC125" s="5"/>
      <c r="CD125" s="5"/>
      <c r="CE125" s="5"/>
      <c r="CF125" s="5"/>
      <c r="CG125" s="5"/>
      <c r="CI125" s="5"/>
      <c r="CJ125" s="5"/>
      <c r="CK125" s="5"/>
      <c r="CL125" s="5"/>
      <c r="CM125" s="5"/>
      <c r="CN125" s="5"/>
      <c r="CO125" s="9" t="s">
        <v>6908</v>
      </c>
      <c r="CP125">
        <v>0.8</v>
      </c>
      <c r="CS125">
        <v>25</v>
      </c>
    </row>
    <row r="126" spans="1:104" x14ac:dyDescent="0.25">
      <c r="A126" t="s">
        <v>7176</v>
      </c>
      <c r="C126" t="s">
        <v>6888</v>
      </c>
      <c r="J126" t="s">
        <v>7010</v>
      </c>
      <c r="K126" t="s">
        <v>6907</v>
      </c>
      <c r="L126"/>
      <c r="M126"/>
      <c r="N126"/>
      <c r="O126"/>
      <c r="P126"/>
      <c r="Q126"/>
      <c r="R126"/>
      <c r="S126"/>
      <c r="T126"/>
      <c r="U126"/>
      <c r="V126"/>
      <c r="W126"/>
      <c r="X126"/>
      <c r="AC126">
        <v>1</v>
      </c>
      <c r="AK126">
        <v>3</v>
      </c>
      <c r="AV126">
        <v>99</v>
      </c>
      <c r="BD126">
        <v>99</v>
      </c>
      <c r="BV126"/>
      <c r="BW126"/>
      <c r="BX126"/>
      <c r="BY126"/>
      <c r="BZ126"/>
      <c r="CA126"/>
      <c r="CO126" s="9" t="s">
        <v>7101</v>
      </c>
      <c r="CP126">
        <v>0.22</v>
      </c>
      <c r="CS126">
        <v>0.1</v>
      </c>
    </row>
    <row r="127" spans="1:104" x14ac:dyDescent="0.25">
      <c r="K127"/>
      <c r="L127"/>
      <c r="M127"/>
      <c r="N127"/>
      <c r="O127"/>
      <c r="P127"/>
      <c r="Q127"/>
      <c r="R127"/>
      <c r="S127"/>
      <c r="T127"/>
      <c r="U127"/>
      <c r="V127"/>
      <c r="W127"/>
      <c r="X127"/>
      <c r="BV127"/>
      <c r="BW127"/>
      <c r="BX127"/>
      <c r="BY127"/>
      <c r="BZ127"/>
      <c r="CA127"/>
    </row>
    <row r="128" spans="1:104" x14ac:dyDescent="0.25">
      <c r="A128" t="s">
        <v>7177</v>
      </c>
      <c r="C128" t="s">
        <v>4959</v>
      </c>
      <c r="AC128">
        <v>2</v>
      </c>
      <c r="AO128" t="s">
        <v>6982</v>
      </c>
      <c r="AT128" t="s">
        <v>6983</v>
      </c>
      <c r="AX128" t="s">
        <v>6984</v>
      </c>
      <c r="AZ128">
        <v>1</v>
      </c>
      <c r="BD128">
        <v>1</v>
      </c>
      <c r="CB128" t="s">
        <v>134</v>
      </c>
      <c r="CH128" t="s">
        <v>6977</v>
      </c>
      <c r="CX128" t="s">
        <v>7178</v>
      </c>
      <c r="CZ128" t="s">
        <v>7179</v>
      </c>
    </row>
    <row r="129" spans="1:109" x14ac:dyDescent="0.25">
      <c r="A129" t="s">
        <v>7180</v>
      </c>
      <c r="C129" t="s">
        <v>6888</v>
      </c>
      <c r="K129" s="5" t="s">
        <v>6874</v>
      </c>
      <c r="L129" s="5" t="s">
        <v>6889</v>
      </c>
      <c r="AC129">
        <v>1</v>
      </c>
      <c r="AF129">
        <v>1</v>
      </c>
      <c r="AG129" t="s">
        <v>6876</v>
      </c>
      <c r="AH129">
        <v>1</v>
      </c>
      <c r="AY129" s="5"/>
      <c r="BD129">
        <v>1</v>
      </c>
      <c r="BV129"/>
      <c r="BW129"/>
      <c r="BX129"/>
      <c r="BY129"/>
      <c r="BZ129"/>
      <c r="CA129"/>
      <c r="CB129" s="5"/>
      <c r="CC129" s="5"/>
      <c r="CD129" s="5"/>
      <c r="CE129" s="5"/>
      <c r="CF129" s="5"/>
      <c r="CG129" s="5"/>
      <c r="CI129" s="5"/>
      <c r="CJ129" s="5"/>
      <c r="CK129" s="5"/>
      <c r="CL129" s="5"/>
      <c r="CM129" s="5"/>
      <c r="CN129" s="5"/>
      <c r="CO129" s="9" t="s">
        <v>7180</v>
      </c>
      <c r="CP129" t="s">
        <v>7181</v>
      </c>
      <c r="CS129">
        <v>99999</v>
      </c>
      <c r="DE129">
        <v>1</v>
      </c>
    </row>
    <row r="130" spans="1:109" x14ac:dyDescent="0.25">
      <c r="A130" t="s">
        <v>7182</v>
      </c>
      <c r="C130" t="s">
        <v>6888</v>
      </c>
      <c r="D130" t="s">
        <v>7183</v>
      </c>
      <c r="E130" t="s">
        <v>7184</v>
      </c>
      <c r="F130" t="s">
        <v>7185</v>
      </c>
      <c r="G130">
        <v>3</v>
      </c>
      <c r="J130" t="s">
        <v>6905</v>
      </c>
      <c r="K130" s="5" t="s">
        <v>6906</v>
      </c>
      <c r="AC130">
        <v>1</v>
      </c>
      <c r="AY130" s="5"/>
      <c r="BD130">
        <v>1</v>
      </c>
      <c r="BT130">
        <v>15</v>
      </c>
      <c r="BV130" s="8">
        <v>10</v>
      </c>
      <c r="BW130" s="8">
        <v>25</v>
      </c>
      <c r="BX130" s="8">
        <v>1</v>
      </c>
      <c r="BY130" s="8" t="s">
        <v>6907</v>
      </c>
      <c r="CB130" s="5"/>
      <c r="CC130" s="5"/>
      <c r="CD130" s="5"/>
      <c r="CE130" s="5"/>
      <c r="CF130" s="5"/>
      <c r="CG130" s="5"/>
      <c r="CI130" s="5"/>
      <c r="CJ130" s="5"/>
      <c r="CK130" s="5"/>
      <c r="CL130" s="5"/>
      <c r="CM130" s="5"/>
      <c r="CN130" s="5"/>
      <c r="CO130" s="9" t="s">
        <v>7186</v>
      </c>
      <c r="CP130" t="s">
        <v>7187</v>
      </c>
      <c r="CS130">
        <v>15</v>
      </c>
    </row>
    <row r="131" spans="1:109" x14ac:dyDescent="0.25">
      <c r="AY131" s="5"/>
      <c r="CB131" s="5"/>
      <c r="CC131" s="5"/>
      <c r="CD131" s="5"/>
      <c r="CE131" s="5"/>
      <c r="CF131" s="5"/>
      <c r="CG131" s="5"/>
      <c r="CI131" s="5"/>
      <c r="CJ131" s="5"/>
      <c r="CK131" s="5"/>
      <c r="CL131" s="5"/>
      <c r="CM131" s="5"/>
      <c r="CN131" s="5"/>
    </row>
    <row r="132" spans="1:109" x14ac:dyDescent="0.25">
      <c r="A132" t="s">
        <v>7188</v>
      </c>
      <c r="C132" t="s">
        <v>4959</v>
      </c>
      <c r="AC132">
        <v>2</v>
      </c>
      <c r="AO132" t="s">
        <v>6982</v>
      </c>
      <c r="AT132" t="s">
        <v>6983</v>
      </c>
      <c r="AX132" t="s">
        <v>6997</v>
      </c>
      <c r="AZ132">
        <v>1</v>
      </c>
      <c r="BD132">
        <v>1</v>
      </c>
      <c r="CB132" t="s">
        <v>134</v>
      </c>
      <c r="CH132" t="s">
        <v>6977</v>
      </c>
      <c r="CX132" t="s">
        <v>7189</v>
      </c>
      <c r="CZ132" t="s">
        <v>7190</v>
      </c>
    </row>
    <row r="133" spans="1:109" x14ac:dyDescent="0.25">
      <c r="A133" t="s">
        <v>7191</v>
      </c>
      <c r="C133" t="s">
        <v>4959</v>
      </c>
      <c r="AA133">
        <v>0.23</v>
      </c>
      <c r="AC133">
        <v>2</v>
      </c>
      <c r="AO133" t="s">
        <v>6982</v>
      </c>
      <c r="AT133" t="s">
        <v>6983</v>
      </c>
      <c r="AX133" t="s">
        <v>6997</v>
      </c>
      <c r="AZ133">
        <v>1</v>
      </c>
      <c r="BD133">
        <v>1</v>
      </c>
      <c r="BE133">
        <v>1</v>
      </c>
      <c r="BF133">
        <v>0.3</v>
      </c>
      <c r="CB133" t="s">
        <v>7192</v>
      </c>
      <c r="CH133" t="s">
        <v>6977</v>
      </c>
      <c r="CX133" t="s">
        <v>7189</v>
      </c>
      <c r="CZ133" t="s">
        <v>7190</v>
      </c>
    </row>
    <row r="134" spans="1:109" x14ac:dyDescent="0.25">
      <c r="A134" t="s">
        <v>7193</v>
      </c>
      <c r="C134" t="s">
        <v>4959</v>
      </c>
      <c r="D134" t="s">
        <v>7194</v>
      </c>
      <c r="E134" t="s">
        <v>7195</v>
      </c>
      <c r="F134" t="s">
        <v>7196</v>
      </c>
      <c r="G134">
        <v>3</v>
      </c>
      <c r="J134" t="s">
        <v>6905</v>
      </c>
      <c r="K134" s="5" t="s">
        <v>6907</v>
      </c>
      <c r="AC134">
        <v>2</v>
      </c>
      <c r="AD134">
        <v>1</v>
      </c>
      <c r="AO134" t="s">
        <v>6982</v>
      </c>
      <c r="AT134" t="s">
        <v>6983</v>
      </c>
      <c r="AX134" t="s">
        <v>6997</v>
      </c>
      <c r="AZ134">
        <v>1.75</v>
      </c>
      <c r="BD134">
        <v>1</v>
      </c>
      <c r="BT134">
        <v>0.2</v>
      </c>
      <c r="BV134" s="8">
        <v>0</v>
      </c>
      <c r="BW134" s="8">
        <v>4</v>
      </c>
      <c r="BX134" s="8">
        <v>1</v>
      </c>
      <c r="BY134" s="8" t="s">
        <v>7061</v>
      </c>
      <c r="CB134" t="s">
        <v>134</v>
      </c>
      <c r="CH134" t="s">
        <v>6977</v>
      </c>
      <c r="CO134" s="9" t="s">
        <v>7101</v>
      </c>
      <c r="CP134">
        <v>-0.4</v>
      </c>
      <c r="CS134">
        <v>5</v>
      </c>
      <c r="CX134" t="s">
        <v>7189</v>
      </c>
      <c r="CZ134" t="s">
        <v>7190</v>
      </c>
    </row>
    <row r="135" spans="1:109" x14ac:dyDescent="0.25">
      <c r="A135" t="s">
        <v>7197</v>
      </c>
      <c r="C135" t="s">
        <v>4959</v>
      </c>
      <c r="J135" t="s">
        <v>7010</v>
      </c>
      <c r="K135" s="5" t="s">
        <v>6907</v>
      </c>
      <c r="AC135">
        <v>2</v>
      </c>
      <c r="AO135" t="s">
        <v>6982</v>
      </c>
      <c r="AT135" t="s">
        <v>6983</v>
      </c>
      <c r="AX135" t="s">
        <v>6997</v>
      </c>
      <c r="AZ135">
        <v>1</v>
      </c>
      <c r="BD135">
        <v>1</v>
      </c>
      <c r="CB135" t="s">
        <v>134</v>
      </c>
      <c r="CH135" t="s">
        <v>6977</v>
      </c>
      <c r="CX135" t="s">
        <v>7198</v>
      </c>
      <c r="CZ135" t="s">
        <v>7199</v>
      </c>
    </row>
    <row r="136" spans="1:109" x14ac:dyDescent="0.25">
      <c r="A136" t="s">
        <v>7200</v>
      </c>
      <c r="C136" t="s">
        <v>6888</v>
      </c>
      <c r="D136" t="s">
        <v>7201</v>
      </c>
      <c r="E136" t="s">
        <v>7202</v>
      </c>
      <c r="F136" t="s">
        <v>7203</v>
      </c>
      <c r="G136">
        <v>3</v>
      </c>
      <c r="J136" t="s">
        <v>6905</v>
      </c>
      <c r="K136" s="5" t="s">
        <v>6906</v>
      </c>
      <c r="AC136">
        <v>1</v>
      </c>
      <c r="AY136" s="5"/>
      <c r="BD136">
        <v>1</v>
      </c>
      <c r="BO136" s="7" t="s">
        <v>7197</v>
      </c>
      <c r="BT136">
        <v>40</v>
      </c>
      <c r="BV136" s="8">
        <v>40</v>
      </c>
      <c r="BW136" s="8">
        <v>80</v>
      </c>
      <c r="BX136" s="8">
        <v>1</v>
      </c>
      <c r="BY136" s="8" t="s">
        <v>6907</v>
      </c>
      <c r="CB136" s="5"/>
      <c r="CC136" s="5"/>
      <c r="CD136" s="5"/>
      <c r="CE136" s="5"/>
      <c r="CF136" s="5"/>
      <c r="CG136" s="5"/>
      <c r="CI136" s="5"/>
      <c r="CJ136" s="5"/>
      <c r="CK136" s="5"/>
      <c r="CL136" s="5"/>
      <c r="CM136" s="5"/>
      <c r="CN136" s="5"/>
      <c r="CO136" s="9" t="s">
        <v>7204</v>
      </c>
      <c r="CP136" t="s">
        <v>7205</v>
      </c>
      <c r="CS136">
        <v>40</v>
      </c>
    </row>
    <row r="137" spans="1:109" x14ac:dyDescent="0.25">
      <c r="AY137" s="5"/>
      <c r="CB137" s="5"/>
      <c r="CC137" s="5"/>
      <c r="CD137" s="5"/>
      <c r="CE137" s="5"/>
      <c r="CF137" s="5"/>
      <c r="CG137" s="5"/>
      <c r="CI137" s="5"/>
      <c r="CJ137" s="5"/>
      <c r="CK137" s="5"/>
      <c r="CL137" s="5"/>
      <c r="CM137" s="5"/>
      <c r="CN137" s="5"/>
    </row>
    <row r="138" spans="1:109" x14ac:dyDescent="0.25">
      <c r="A138" t="s">
        <v>7206</v>
      </c>
      <c r="C138" t="s">
        <v>4959</v>
      </c>
      <c r="K138" s="5" t="s">
        <v>6907</v>
      </c>
      <c r="AC138">
        <v>2</v>
      </c>
      <c r="AO138" t="s">
        <v>6982</v>
      </c>
      <c r="AX138" t="s">
        <v>6984</v>
      </c>
      <c r="AZ138">
        <v>1</v>
      </c>
      <c r="BD138">
        <v>1</v>
      </c>
      <c r="CB138" t="s">
        <v>4307</v>
      </c>
      <c r="CE138" t="s">
        <v>7207</v>
      </c>
      <c r="CH138" t="s">
        <v>6977</v>
      </c>
    </row>
    <row r="139" spans="1:109" x14ac:dyDescent="0.25">
      <c r="A139" t="s">
        <v>7208</v>
      </c>
      <c r="C139" t="s">
        <v>6888</v>
      </c>
      <c r="K139" s="5" t="s">
        <v>6907</v>
      </c>
      <c r="P139"/>
      <c r="Q139"/>
      <c r="R139"/>
      <c r="S139"/>
      <c r="T139"/>
      <c r="Z139">
        <v>1</v>
      </c>
      <c r="AC139">
        <v>2</v>
      </c>
      <c r="AD139">
        <v>1</v>
      </c>
      <c r="AO139" t="s">
        <v>6982</v>
      </c>
      <c r="AT139" t="s">
        <v>7209</v>
      </c>
      <c r="AX139" t="s">
        <v>6984</v>
      </c>
      <c r="AZ139">
        <v>0.8</v>
      </c>
      <c r="BD139">
        <v>1</v>
      </c>
      <c r="CB139" t="s">
        <v>134</v>
      </c>
      <c r="CH139" t="s">
        <v>6977</v>
      </c>
      <c r="CI139" t="s">
        <v>7210</v>
      </c>
      <c r="CJ139" t="s">
        <v>4249</v>
      </c>
      <c r="CX139" t="s">
        <v>7211</v>
      </c>
      <c r="CZ139" t="s">
        <v>7212</v>
      </c>
    </row>
    <row r="140" spans="1:109" x14ac:dyDescent="0.25">
      <c r="A140" t="s">
        <v>7213</v>
      </c>
      <c r="C140" t="s">
        <v>6888</v>
      </c>
      <c r="D140" t="s">
        <v>7214</v>
      </c>
      <c r="E140" t="s">
        <v>7215</v>
      </c>
      <c r="F140" t="s">
        <v>7216</v>
      </c>
      <c r="G140">
        <v>3</v>
      </c>
      <c r="J140" t="s">
        <v>6905</v>
      </c>
      <c r="K140" s="5" t="s">
        <v>6907</v>
      </c>
      <c r="AC140">
        <v>2</v>
      </c>
      <c r="AD140">
        <v>1</v>
      </c>
      <c r="AO140" t="s">
        <v>6982</v>
      </c>
      <c r="AT140" t="s">
        <v>7209</v>
      </c>
      <c r="AX140" t="s">
        <v>6984</v>
      </c>
      <c r="AZ140">
        <v>1.5</v>
      </c>
      <c r="BD140">
        <v>1</v>
      </c>
      <c r="BT140">
        <v>0.2</v>
      </c>
      <c r="BV140" s="8">
        <v>0</v>
      </c>
      <c r="BW140" s="8">
        <v>3</v>
      </c>
      <c r="BX140" s="8">
        <v>1</v>
      </c>
      <c r="BY140" s="8" t="s">
        <v>7061</v>
      </c>
      <c r="CB140" t="s">
        <v>134</v>
      </c>
      <c r="CH140" t="s">
        <v>6977</v>
      </c>
      <c r="CI140" t="s">
        <v>7217</v>
      </c>
      <c r="CJ140" t="s">
        <v>4249</v>
      </c>
      <c r="CO140" s="9" t="s">
        <v>7218</v>
      </c>
      <c r="CP140">
        <v>-0.5</v>
      </c>
      <c r="CS140">
        <v>3</v>
      </c>
      <c r="CX140" t="s">
        <v>7219</v>
      </c>
      <c r="CZ140" t="s">
        <v>7220</v>
      </c>
    </row>
    <row r="141" spans="1:109" x14ac:dyDescent="0.25">
      <c r="A141" t="s">
        <v>7221</v>
      </c>
      <c r="C141" t="s">
        <v>4959</v>
      </c>
      <c r="K141" s="5" t="s">
        <v>6907</v>
      </c>
      <c r="AC141">
        <v>2</v>
      </c>
      <c r="AO141" t="s">
        <v>6982</v>
      </c>
      <c r="AX141" t="s">
        <v>6984</v>
      </c>
      <c r="AZ141">
        <v>1</v>
      </c>
      <c r="BD141">
        <v>1</v>
      </c>
      <c r="CB141" t="s">
        <v>4307</v>
      </c>
      <c r="CE141" t="s">
        <v>7207</v>
      </c>
      <c r="CH141" t="s">
        <v>6977</v>
      </c>
      <c r="CO141" s="9" t="s">
        <v>7222</v>
      </c>
      <c r="CP141" s="2" t="s">
        <v>7223</v>
      </c>
      <c r="CQ141">
        <v>0.4</v>
      </c>
      <c r="CS141">
        <v>3</v>
      </c>
    </row>
    <row r="142" spans="1:109" x14ac:dyDescent="0.25">
      <c r="A142" t="s">
        <v>7224</v>
      </c>
      <c r="C142" t="s">
        <v>6888</v>
      </c>
      <c r="D142" t="s">
        <v>7225</v>
      </c>
      <c r="E142" t="s">
        <v>7226</v>
      </c>
      <c r="F142" t="s">
        <v>7227</v>
      </c>
      <c r="G142">
        <v>3</v>
      </c>
      <c r="J142" t="s">
        <v>7010</v>
      </c>
      <c r="K142" s="5" t="s">
        <v>6906</v>
      </c>
      <c r="P142"/>
      <c r="Q142"/>
      <c r="R142"/>
      <c r="S142"/>
      <c r="T142"/>
      <c r="Z142">
        <v>1</v>
      </c>
      <c r="AC142">
        <v>2</v>
      </c>
      <c r="AD142">
        <v>1</v>
      </c>
      <c r="AO142" t="s">
        <v>6982</v>
      </c>
      <c r="AT142" t="s">
        <v>7209</v>
      </c>
      <c r="AX142" t="s">
        <v>6984</v>
      </c>
      <c r="AZ142">
        <v>0.8</v>
      </c>
      <c r="BD142">
        <v>1</v>
      </c>
      <c r="BO142" s="7" t="s">
        <v>7228</v>
      </c>
      <c r="BT142">
        <v>25</v>
      </c>
      <c r="BV142" s="8">
        <v>0</v>
      </c>
      <c r="BW142" s="8">
        <v>50</v>
      </c>
      <c r="BX142" s="8">
        <v>1</v>
      </c>
      <c r="BY142" s="8" t="s">
        <v>7061</v>
      </c>
      <c r="CB142" t="s">
        <v>134</v>
      </c>
      <c r="CH142" t="s">
        <v>6977</v>
      </c>
      <c r="CI142" t="s">
        <v>7217</v>
      </c>
      <c r="CJ142" t="s">
        <v>4249</v>
      </c>
      <c r="CO142" s="9" t="s">
        <v>7222</v>
      </c>
      <c r="CP142" s="2" t="s">
        <v>7223</v>
      </c>
      <c r="CQ142">
        <v>0.4</v>
      </c>
      <c r="CS142">
        <v>2</v>
      </c>
      <c r="CX142" t="s">
        <v>7211</v>
      </c>
      <c r="CZ142" t="s">
        <v>7212</v>
      </c>
    </row>
    <row r="143" spans="1:109" x14ac:dyDescent="0.25">
      <c r="A143" t="s">
        <v>7229</v>
      </c>
      <c r="C143" t="s">
        <v>6888</v>
      </c>
      <c r="K143" s="5" t="s">
        <v>6874</v>
      </c>
      <c r="L143" s="5" t="s">
        <v>7017</v>
      </c>
      <c r="AC143">
        <v>1</v>
      </c>
      <c r="AY143" s="5"/>
      <c r="BD143">
        <v>1</v>
      </c>
      <c r="CB143" s="5"/>
      <c r="CC143" s="5"/>
      <c r="CD143" s="5"/>
      <c r="CE143" s="5"/>
      <c r="CF143" s="5"/>
      <c r="CG143" s="5"/>
      <c r="CI143" s="5"/>
      <c r="CJ143" s="5"/>
      <c r="CK143" s="5"/>
      <c r="CL143" s="5"/>
      <c r="CM143" s="5"/>
      <c r="CN143" s="5"/>
      <c r="CO143" s="9" t="s">
        <v>6908</v>
      </c>
      <c r="CP143">
        <v>0.5</v>
      </c>
      <c r="CS143">
        <v>25</v>
      </c>
    </row>
    <row r="144" spans="1:109" x14ac:dyDescent="0.25">
      <c r="AY144" s="5"/>
      <c r="CB144" s="5"/>
      <c r="CC144" s="5"/>
      <c r="CD144" s="5"/>
      <c r="CE144" s="5"/>
      <c r="CF144" s="5"/>
      <c r="CG144" s="5"/>
      <c r="CI144" s="5"/>
      <c r="CJ144" s="5"/>
      <c r="CK144" s="5"/>
      <c r="CL144" s="5"/>
      <c r="CM144" s="5"/>
      <c r="CN144" s="5"/>
    </row>
    <row r="145" spans="1:109" x14ac:dyDescent="0.25">
      <c r="A145" t="s">
        <v>7230</v>
      </c>
      <c r="C145" t="s">
        <v>7021</v>
      </c>
      <c r="AC145">
        <v>2</v>
      </c>
      <c r="AO145" t="s">
        <v>6982</v>
      </c>
      <c r="AT145" t="s">
        <v>6983</v>
      </c>
      <c r="AX145" t="s">
        <v>6984</v>
      </c>
      <c r="AZ145">
        <v>1</v>
      </c>
      <c r="BD145">
        <v>1</v>
      </c>
      <c r="CB145" t="s">
        <v>134</v>
      </c>
      <c r="CH145" t="s">
        <v>6977</v>
      </c>
      <c r="CZ145" t="s">
        <v>7231</v>
      </c>
    </row>
    <row r="146" spans="1:109" x14ac:dyDescent="0.25">
      <c r="A146" t="s">
        <v>7232</v>
      </c>
      <c r="C146" t="s">
        <v>7233</v>
      </c>
      <c r="K146" s="5" t="s">
        <v>6874</v>
      </c>
      <c r="L146" s="5" t="s">
        <v>7234</v>
      </c>
      <c r="AC146">
        <v>2</v>
      </c>
      <c r="AH146">
        <v>1</v>
      </c>
      <c r="AT146" t="s">
        <v>7011</v>
      </c>
      <c r="AY146" s="5"/>
      <c r="BD146">
        <v>99</v>
      </c>
      <c r="BP146" s="7" t="s">
        <v>7235</v>
      </c>
      <c r="CB146" s="5"/>
      <c r="CC146" s="5"/>
      <c r="CD146" s="5"/>
      <c r="CE146" s="5"/>
      <c r="CF146" s="5"/>
      <c r="CG146" s="5"/>
      <c r="CI146" s="5"/>
      <c r="CJ146" s="5"/>
      <c r="CK146" s="5"/>
      <c r="CL146" s="5"/>
      <c r="CM146" s="5"/>
      <c r="CN146" s="5"/>
    </row>
    <row r="147" spans="1:109" x14ac:dyDescent="0.25">
      <c r="A147" t="s">
        <v>7235</v>
      </c>
      <c r="C147" t="s">
        <v>6888</v>
      </c>
      <c r="K147" s="5" t="s">
        <v>6874</v>
      </c>
      <c r="AC147">
        <v>1</v>
      </c>
      <c r="AG147" t="s">
        <v>6876</v>
      </c>
      <c r="AT147" t="s">
        <v>7006</v>
      </c>
      <c r="AY147" s="5">
        <v>1</v>
      </c>
      <c r="AZ147">
        <v>0.16</v>
      </c>
      <c r="BB147">
        <v>1</v>
      </c>
      <c r="BD147">
        <v>1</v>
      </c>
      <c r="CB147" s="5"/>
      <c r="CC147" s="5"/>
      <c r="CD147" s="5"/>
      <c r="CE147" s="5"/>
      <c r="CF147" s="5"/>
      <c r="CG147" s="5"/>
      <c r="CI147" s="5"/>
      <c r="CJ147" s="5"/>
      <c r="CK147" s="5"/>
      <c r="CL147" s="5"/>
      <c r="CM147" s="5"/>
      <c r="CN147" s="5"/>
    </row>
    <row r="148" spans="1:109" x14ac:dyDescent="0.25">
      <c r="A148" t="s">
        <v>7236</v>
      </c>
      <c r="C148" t="s">
        <v>6888</v>
      </c>
      <c r="D148" t="s">
        <v>7237</v>
      </c>
      <c r="E148" t="s">
        <v>7238</v>
      </c>
      <c r="F148" t="s">
        <v>7239</v>
      </c>
      <c r="G148">
        <v>3</v>
      </c>
      <c r="J148" t="s">
        <v>6905</v>
      </c>
      <c r="K148" s="5" t="s">
        <v>6906</v>
      </c>
      <c r="AC148">
        <v>1</v>
      </c>
      <c r="AY148" s="5"/>
      <c r="BD148">
        <v>1</v>
      </c>
      <c r="BT148">
        <v>15</v>
      </c>
      <c r="BV148" s="8">
        <v>10</v>
      </c>
      <c r="BW148" s="8">
        <v>20</v>
      </c>
      <c r="BX148" s="8">
        <v>1</v>
      </c>
      <c r="BY148" s="8" t="s">
        <v>7240</v>
      </c>
      <c r="CB148" s="5"/>
      <c r="CC148" s="5"/>
      <c r="CD148" s="5"/>
      <c r="CE148" s="5"/>
      <c r="CF148" s="5"/>
      <c r="CG148" s="5"/>
      <c r="CI148" s="5"/>
      <c r="CJ148" s="5"/>
      <c r="CK148" s="5"/>
      <c r="CL148" s="5"/>
      <c r="CM148" s="5"/>
      <c r="CN148" s="5"/>
      <c r="CO148" s="9" t="s">
        <v>7241</v>
      </c>
      <c r="CP148">
        <v>1.5</v>
      </c>
      <c r="CS148">
        <v>15</v>
      </c>
    </row>
    <row r="149" spans="1:109" x14ac:dyDescent="0.25">
      <c r="AY149" s="5"/>
      <c r="CB149" s="5"/>
      <c r="CC149" s="5"/>
      <c r="CD149" s="5"/>
      <c r="CE149" s="5"/>
      <c r="CF149" s="5"/>
      <c r="CG149" s="5"/>
      <c r="CI149" s="5"/>
      <c r="CJ149" s="5"/>
      <c r="CK149" s="5"/>
      <c r="CL149" s="5"/>
      <c r="CM149" s="5"/>
      <c r="CN149" s="5"/>
    </row>
    <row r="150" spans="1:109" x14ac:dyDescent="0.25">
      <c r="A150" t="s">
        <v>7242</v>
      </c>
      <c r="C150" t="s">
        <v>4959</v>
      </c>
      <c r="AC150">
        <v>2</v>
      </c>
      <c r="AO150" t="s">
        <v>6982</v>
      </c>
      <c r="AT150" t="s">
        <v>6983</v>
      </c>
      <c r="AX150" t="s">
        <v>6984</v>
      </c>
      <c r="AZ150">
        <v>1</v>
      </c>
      <c r="BD150">
        <v>1</v>
      </c>
      <c r="CB150" t="s">
        <v>134</v>
      </c>
      <c r="CH150" t="s">
        <v>6977</v>
      </c>
      <c r="CY150" t="s">
        <v>7243</v>
      </c>
      <c r="CZ150" t="s">
        <v>7244</v>
      </c>
    </row>
    <row r="151" spans="1:109" x14ac:dyDescent="0.25">
      <c r="A151" t="s">
        <v>7245</v>
      </c>
      <c r="C151" t="s">
        <v>6888</v>
      </c>
      <c r="K151" t="s">
        <v>6907</v>
      </c>
      <c r="L151"/>
      <c r="M151"/>
      <c r="N151"/>
      <c r="O151"/>
      <c r="P151"/>
      <c r="Q151"/>
      <c r="R151"/>
      <c r="S151"/>
      <c r="T151"/>
      <c r="U151"/>
      <c r="V151"/>
      <c r="W151"/>
      <c r="X151"/>
      <c r="AC151">
        <v>1</v>
      </c>
      <c r="AM151">
        <v>10</v>
      </c>
      <c r="AV151">
        <v>99</v>
      </c>
      <c r="BD151">
        <v>99</v>
      </c>
      <c r="BV151"/>
      <c r="BW151"/>
      <c r="BX151"/>
      <c r="BY151"/>
      <c r="BZ151"/>
      <c r="CA151"/>
      <c r="CO151" s="9" t="s">
        <v>7246</v>
      </c>
      <c r="CP151">
        <v>0.08</v>
      </c>
      <c r="CS151">
        <v>0.1</v>
      </c>
    </row>
    <row r="152" spans="1:109" x14ac:dyDescent="0.25">
      <c r="A152" t="s">
        <v>7247</v>
      </c>
      <c r="C152" t="s">
        <v>6888</v>
      </c>
      <c r="D152" t="s">
        <v>7248</v>
      </c>
      <c r="E152" t="s">
        <v>7249</v>
      </c>
      <c r="F152" t="s">
        <v>7250</v>
      </c>
      <c r="G152">
        <v>3</v>
      </c>
      <c r="K152" s="5" t="s">
        <v>6874</v>
      </c>
      <c r="L152" s="5" t="s">
        <v>6889</v>
      </c>
      <c r="AC152">
        <v>1</v>
      </c>
      <c r="AF152">
        <v>1</v>
      </c>
      <c r="AG152" t="s">
        <v>6876</v>
      </c>
      <c r="AH152">
        <v>1</v>
      </c>
      <c r="AY152" s="5"/>
      <c r="BD152">
        <v>1</v>
      </c>
      <c r="BT152">
        <v>12</v>
      </c>
      <c r="BV152"/>
      <c r="BW152"/>
      <c r="BX152"/>
      <c r="BY152"/>
      <c r="BZ152"/>
      <c r="CA152"/>
      <c r="CB152" s="5"/>
      <c r="CC152" s="5"/>
      <c r="CD152" s="5"/>
      <c r="CE152" s="5"/>
      <c r="CF152" s="5"/>
      <c r="CG152" s="5"/>
      <c r="CI152" s="5"/>
      <c r="CJ152" s="5"/>
      <c r="CK152" s="5"/>
      <c r="CL152" s="5"/>
      <c r="CM152" s="5"/>
      <c r="CN152" s="5"/>
      <c r="CO152" s="9" t="s">
        <v>7251</v>
      </c>
      <c r="CP152">
        <v>4</v>
      </c>
      <c r="CS152">
        <v>12</v>
      </c>
      <c r="DE152">
        <v>1</v>
      </c>
    </row>
    <row r="153" spans="1:109" x14ac:dyDescent="0.25">
      <c r="A153" t="s">
        <v>7252</v>
      </c>
      <c r="C153" t="s">
        <v>6888</v>
      </c>
      <c r="D153" t="s">
        <v>7253</v>
      </c>
      <c r="E153" t="s">
        <v>7254</v>
      </c>
      <c r="F153" t="s">
        <v>7255</v>
      </c>
      <c r="G153">
        <v>3</v>
      </c>
      <c r="K153" s="5" t="s">
        <v>6874</v>
      </c>
      <c r="L153" s="5" t="s">
        <v>6889</v>
      </c>
      <c r="AC153">
        <v>1</v>
      </c>
      <c r="AF153">
        <v>1</v>
      </c>
      <c r="AG153" t="s">
        <v>6876</v>
      </c>
      <c r="AH153">
        <v>1</v>
      </c>
      <c r="AY153" s="5"/>
      <c r="BD153">
        <v>1</v>
      </c>
      <c r="BT153">
        <v>10</v>
      </c>
      <c r="BV153"/>
      <c r="BW153"/>
      <c r="BX153"/>
      <c r="BY153"/>
      <c r="BZ153"/>
      <c r="CA153"/>
      <c r="CB153" s="5"/>
      <c r="CC153" s="5"/>
      <c r="CD153" s="5"/>
      <c r="CE153" s="5"/>
      <c r="CF153" s="5"/>
      <c r="CG153" s="5"/>
      <c r="CI153" s="5"/>
      <c r="CJ153" s="5"/>
      <c r="CK153" s="5"/>
      <c r="CL153" s="5"/>
      <c r="CM153" s="5"/>
      <c r="CN153" s="5"/>
      <c r="CO153" s="9" t="s">
        <v>7256</v>
      </c>
      <c r="CP153">
        <v>2.5</v>
      </c>
      <c r="CS153">
        <v>10</v>
      </c>
      <c r="DE153">
        <v>1</v>
      </c>
    </row>
    <row r="154" spans="1:109" x14ac:dyDescent="0.25">
      <c r="AY154" s="5"/>
      <c r="CB154" s="5"/>
      <c r="CC154" s="5"/>
      <c r="CD154" s="5"/>
      <c r="CE154" s="5"/>
      <c r="CF154" s="5"/>
      <c r="CG154" s="5"/>
      <c r="CI154" s="5"/>
      <c r="CJ154" s="5"/>
      <c r="CK154" s="5"/>
      <c r="CL154" s="5"/>
      <c r="CM154" s="5"/>
      <c r="CN154" s="5"/>
    </row>
    <row r="155" spans="1:109" x14ac:dyDescent="0.25">
      <c r="A155" t="s">
        <v>7257</v>
      </c>
      <c r="C155" t="s">
        <v>4959</v>
      </c>
      <c r="AC155">
        <v>2</v>
      </c>
      <c r="AD155">
        <v>1</v>
      </c>
      <c r="AO155" t="s">
        <v>6982</v>
      </c>
      <c r="AT155" t="s">
        <v>7258</v>
      </c>
      <c r="AX155" t="s">
        <v>6984</v>
      </c>
      <c r="AZ155">
        <v>1</v>
      </c>
      <c r="BD155">
        <v>1</v>
      </c>
      <c r="CB155" t="s">
        <v>134</v>
      </c>
      <c r="CH155" t="s">
        <v>6977</v>
      </c>
      <c r="CI155" t="s">
        <v>7259</v>
      </c>
      <c r="CJ155" t="s">
        <v>4249</v>
      </c>
      <c r="CZ155" t="s">
        <v>7260</v>
      </c>
    </row>
    <row r="156" spans="1:109" x14ac:dyDescent="0.25">
      <c r="A156" t="s">
        <v>7261</v>
      </c>
      <c r="C156" t="s">
        <v>6888</v>
      </c>
      <c r="K156" s="5" t="s">
        <v>6874</v>
      </c>
      <c r="L156" s="5" t="s">
        <v>6892</v>
      </c>
      <c r="AC156">
        <v>1</v>
      </c>
      <c r="AG156" t="s">
        <v>6876</v>
      </c>
      <c r="AH156">
        <v>1</v>
      </c>
      <c r="AW156" s="18"/>
      <c r="AY156" s="5"/>
      <c r="BD156">
        <v>1</v>
      </c>
      <c r="BV156"/>
      <c r="BW156"/>
      <c r="BX156"/>
      <c r="BY156"/>
      <c r="BZ156"/>
      <c r="CA156"/>
      <c r="CB156" s="5"/>
      <c r="CC156" s="5"/>
      <c r="CD156" s="5"/>
      <c r="CE156" s="5"/>
      <c r="CF156" s="5"/>
      <c r="CG156" s="5"/>
      <c r="CJ156" s="5"/>
      <c r="CK156" s="5"/>
      <c r="CL156" s="5"/>
      <c r="CM156" s="5"/>
      <c r="CN156" s="5"/>
      <c r="CO156" s="9" t="s">
        <v>7262</v>
      </c>
      <c r="CP156">
        <v>0.38</v>
      </c>
      <c r="CS156">
        <v>99999</v>
      </c>
    </row>
    <row r="157" spans="1:109" x14ac:dyDescent="0.25">
      <c r="A157" t="s">
        <v>7263</v>
      </c>
      <c r="C157" t="s">
        <v>7264</v>
      </c>
      <c r="D157" t="s">
        <v>7265</v>
      </c>
      <c r="E157" t="s">
        <v>7266</v>
      </c>
      <c r="F157" t="s">
        <v>7267</v>
      </c>
      <c r="G157">
        <v>3</v>
      </c>
      <c r="J157" t="s">
        <v>6905</v>
      </c>
      <c r="K157" s="5" t="s">
        <v>6907</v>
      </c>
      <c r="AC157">
        <v>2</v>
      </c>
      <c r="AD157">
        <v>1</v>
      </c>
      <c r="AO157" t="s">
        <v>7268</v>
      </c>
      <c r="AT157" t="s">
        <v>7258</v>
      </c>
      <c r="AX157" t="s">
        <v>6984</v>
      </c>
      <c r="AZ157">
        <v>1.9</v>
      </c>
      <c r="BD157">
        <v>1</v>
      </c>
      <c r="BM157">
        <v>2</v>
      </c>
      <c r="BT157">
        <v>0.2</v>
      </c>
      <c r="BV157" s="8">
        <v>0</v>
      </c>
      <c r="BW157" s="8">
        <v>5</v>
      </c>
      <c r="BX157" s="8">
        <v>1</v>
      </c>
      <c r="BY157" s="8" t="s">
        <v>6907</v>
      </c>
      <c r="CB157" t="s">
        <v>513</v>
      </c>
      <c r="CH157" t="s">
        <v>6977</v>
      </c>
      <c r="CI157" t="s">
        <v>7269</v>
      </c>
      <c r="CJ157" t="s">
        <v>4249</v>
      </c>
      <c r="CV157" t="s">
        <v>7270</v>
      </c>
    </row>
    <row r="158" spans="1:109" x14ac:dyDescent="0.25">
      <c r="A158" t="s">
        <v>7271</v>
      </c>
      <c r="C158" t="s">
        <v>7264</v>
      </c>
      <c r="D158" t="s">
        <v>7272</v>
      </c>
      <c r="E158" t="s">
        <v>7273</v>
      </c>
      <c r="F158" t="s">
        <v>7274</v>
      </c>
      <c r="G158">
        <v>3</v>
      </c>
      <c r="J158" t="s">
        <v>6905</v>
      </c>
      <c r="K158" s="5" t="s">
        <v>6906</v>
      </c>
      <c r="AB158">
        <v>1</v>
      </c>
      <c r="AC158">
        <v>2</v>
      </c>
      <c r="AD158">
        <v>1</v>
      </c>
      <c r="AO158" t="s">
        <v>7268</v>
      </c>
      <c r="AT158" t="s">
        <v>7275</v>
      </c>
      <c r="AX158" t="s">
        <v>6984</v>
      </c>
      <c r="AZ158">
        <v>1.9</v>
      </c>
      <c r="BD158">
        <v>2</v>
      </c>
      <c r="BM158">
        <v>2</v>
      </c>
      <c r="BT158">
        <v>0.2</v>
      </c>
      <c r="BV158" s="8">
        <v>10</v>
      </c>
      <c r="BW158" s="8">
        <v>15</v>
      </c>
      <c r="BX158" s="8">
        <v>1</v>
      </c>
      <c r="BY158" s="8" t="s">
        <v>6907</v>
      </c>
      <c r="CB158" t="s">
        <v>513</v>
      </c>
      <c r="CH158" t="s">
        <v>6977</v>
      </c>
      <c r="CI158" t="s">
        <v>7276</v>
      </c>
      <c r="CJ158" t="s">
        <v>4249</v>
      </c>
      <c r="CV158" t="s">
        <v>7270</v>
      </c>
    </row>
    <row r="160" spans="1:109" x14ac:dyDescent="0.25">
      <c r="A160" t="s">
        <v>7277</v>
      </c>
      <c r="C160" t="s">
        <v>7021</v>
      </c>
      <c r="AC160">
        <v>2</v>
      </c>
      <c r="AO160" t="s">
        <v>6982</v>
      </c>
      <c r="AT160" t="s">
        <v>6983</v>
      </c>
      <c r="AX160" t="s">
        <v>6984</v>
      </c>
      <c r="AZ160">
        <v>1</v>
      </c>
      <c r="BD160">
        <v>1</v>
      </c>
      <c r="CB160" t="s">
        <v>7087</v>
      </c>
      <c r="CH160" t="s">
        <v>6977</v>
      </c>
    </row>
    <row r="161" spans="1:109" x14ac:dyDescent="0.25">
      <c r="A161" t="s">
        <v>7278</v>
      </c>
      <c r="C161" t="s">
        <v>6888</v>
      </c>
      <c r="K161" s="5" t="s">
        <v>6874</v>
      </c>
      <c r="L161" s="5" t="s">
        <v>6892</v>
      </c>
      <c r="AC161">
        <v>1</v>
      </c>
      <c r="AG161" t="s">
        <v>6876</v>
      </c>
      <c r="AH161">
        <v>1</v>
      </c>
      <c r="AY161" s="5"/>
      <c r="BD161">
        <v>1</v>
      </c>
      <c r="BV161"/>
      <c r="BW161"/>
      <c r="BX161"/>
      <c r="BY161"/>
      <c r="BZ161"/>
      <c r="CA161"/>
      <c r="CB161" s="5"/>
      <c r="CC161" s="5"/>
      <c r="CD161" s="5"/>
      <c r="CE161" s="5"/>
      <c r="CF161" s="5"/>
      <c r="CG161" s="5"/>
      <c r="CI161" s="5"/>
      <c r="CJ161" s="5"/>
      <c r="CK161" s="5"/>
      <c r="CL161" s="5"/>
      <c r="CM161" s="5"/>
      <c r="CN161" s="5"/>
      <c r="CO161" s="9" t="s">
        <v>7089</v>
      </c>
      <c r="CP161">
        <v>15</v>
      </c>
      <c r="CS161">
        <v>99999</v>
      </c>
    </row>
    <row r="162" spans="1:109" x14ac:dyDescent="0.25">
      <c r="A162" t="s">
        <v>7279</v>
      </c>
      <c r="C162" t="s">
        <v>7280</v>
      </c>
      <c r="D162" t="s">
        <v>7281</v>
      </c>
      <c r="E162" t="s">
        <v>7282</v>
      </c>
      <c r="F162" t="s">
        <v>7283</v>
      </c>
      <c r="G162">
        <v>3</v>
      </c>
      <c r="J162" t="s">
        <v>6905</v>
      </c>
      <c r="K162" s="5" t="s">
        <v>6907</v>
      </c>
      <c r="AC162">
        <v>2</v>
      </c>
      <c r="AO162" t="s">
        <v>6982</v>
      </c>
      <c r="AT162" t="s">
        <v>6983</v>
      </c>
      <c r="AX162" t="s">
        <v>6984</v>
      </c>
      <c r="AZ162">
        <v>1.5</v>
      </c>
      <c r="BD162">
        <v>2</v>
      </c>
      <c r="BM162">
        <v>2</v>
      </c>
      <c r="BT162">
        <v>0.2</v>
      </c>
      <c r="BV162" s="8">
        <v>0</v>
      </c>
      <c r="BW162" s="8">
        <v>5</v>
      </c>
      <c r="BX162" s="8">
        <v>1</v>
      </c>
      <c r="BY162" s="8" t="s">
        <v>6907</v>
      </c>
      <c r="CB162" t="s">
        <v>7087</v>
      </c>
      <c r="CH162" t="s">
        <v>6977</v>
      </c>
    </row>
    <row r="163" spans="1:109" x14ac:dyDescent="0.25">
      <c r="A163" t="s">
        <v>7284</v>
      </c>
      <c r="C163" t="s">
        <v>7280</v>
      </c>
      <c r="D163" t="s">
        <v>7285</v>
      </c>
      <c r="E163" t="s">
        <v>7286</v>
      </c>
      <c r="F163" t="s">
        <v>7287</v>
      </c>
      <c r="G163">
        <v>3</v>
      </c>
      <c r="J163" t="s">
        <v>6905</v>
      </c>
      <c r="K163" s="5" t="s">
        <v>6906</v>
      </c>
      <c r="AB163">
        <v>1</v>
      </c>
      <c r="AC163">
        <v>2</v>
      </c>
      <c r="AO163" t="s">
        <v>6982</v>
      </c>
      <c r="AT163" t="s">
        <v>7165</v>
      </c>
      <c r="AX163" t="s">
        <v>6984</v>
      </c>
      <c r="AZ163">
        <v>3</v>
      </c>
      <c r="BD163">
        <v>99</v>
      </c>
      <c r="BM163">
        <v>2</v>
      </c>
      <c r="BT163">
        <v>0.2</v>
      </c>
      <c r="BV163" s="8">
        <v>14</v>
      </c>
      <c r="BW163" s="8">
        <v>20</v>
      </c>
      <c r="BX163" s="8">
        <v>1</v>
      </c>
      <c r="BY163" s="8" t="s">
        <v>6907</v>
      </c>
      <c r="CB163" t="s">
        <v>7288</v>
      </c>
      <c r="CH163" t="s">
        <v>6977</v>
      </c>
    </row>
    <row r="165" spans="1:109" x14ac:dyDescent="0.25">
      <c r="A165" t="s">
        <v>7289</v>
      </c>
      <c r="C165" t="s">
        <v>6888</v>
      </c>
      <c r="K165" s="5" t="s">
        <v>6907</v>
      </c>
      <c r="AC165">
        <v>1</v>
      </c>
      <c r="AO165" t="s">
        <v>6975</v>
      </c>
      <c r="AT165" t="s">
        <v>7064</v>
      </c>
      <c r="AY165">
        <v>1</v>
      </c>
      <c r="AZ165">
        <v>1</v>
      </c>
      <c r="BD165">
        <v>1</v>
      </c>
      <c r="CB165" t="s">
        <v>134</v>
      </c>
      <c r="CH165" t="s">
        <v>6977</v>
      </c>
      <c r="CI165" t="s">
        <v>7290</v>
      </c>
      <c r="CJ165" t="s">
        <v>4249</v>
      </c>
      <c r="CZ165" t="s">
        <v>7291</v>
      </c>
    </row>
    <row r="166" spans="1:109" x14ac:dyDescent="0.25">
      <c r="A166" t="s">
        <v>7292</v>
      </c>
      <c r="C166" t="s">
        <v>6888</v>
      </c>
      <c r="K166" s="5" t="s">
        <v>6874</v>
      </c>
      <c r="L166" s="5" t="s">
        <v>7077</v>
      </c>
      <c r="AC166">
        <v>1</v>
      </c>
      <c r="AO166" t="s">
        <v>6975</v>
      </c>
      <c r="AV166">
        <v>99</v>
      </c>
      <c r="AY166">
        <v>1</v>
      </c>
      <c r="AZ166">
        <v>1.6</v>
      </c>
      <c r="BD166">
        <v>99</v>
      </c>
      <c r="CZ166" t="s">
        <v>6954</v>
      </c>
    </row>
    <row r="167" spans="1:109" x14ac:dyDescent="0.25">
      <c r="A167" t="s">
        <v>7293</v>
      </c>
      <c r="C167" t="s">
        <v>6888</v>
      </c>
      <c r="D167" t="s">
        <v>7294</v>
      </c>
      <c r="E167" t="s">
        <v>7295</v>
      </c>
      <c r="F167" t="s">
        <v>7296</v>
      </c>
      <c r="G167">
        <v>3</v>
      </c>
      <c r="J167" t="s">
        <v>6905</v>
      </c>
      <c r="K167" s="5" t="s">
        <v>6907</v>
      </c>
      <c r="AC167">
        <v>1</v>
      </c>
      <c r="AO167" t="s">
        <v>6975</v>
      </c>
      <c r="AT167" t="s">
        <v>7064</v>
      </c>
      <c r="AY167">
        <v>1</v>
      </c>
      <c r="AZ167">
        <v>1.25</v>
      </c>
      <c r="BD167">
        <v>2</v>
      </c>
      <c r="BT167">
        <v>0.2</v>
      </c>
      <c r="BV167" s="8">
        <v>0</v>
      </c>
      <c r="BW167" s="8">
        <v>8</v>
      </c>
      <c r="BX167" s="8">
        <v>3</v>
      </c>
      <c r="BY167" s="8" t="s">
        <v>6907</v>
      </c>
      <c r="CB167" t="s">
        <v>134</v>
      </c>
      <c r="CH167" t="s">
        <v>6977</v>
      </c>
      <c r="CI167" t="s">
        <v>7290</v>
      </c>
      <c r="CJ167" t="s">
        <v>4249</v>
      </c>
      <c r="CZ167" t="s">
        <v>7291</v>
      </c>
    </row>
    <row r="168" spans="1:109" x14ac:dyDescent="0.25">
      <c r="A168" t="s">
        <v>7297</v>
      </c>
      <c r="C168" t="s">
        <v>6888</v>
      </c>
      <c r="D168" t="s">
        <v>7298</v>
      </c>
      <c r="E168" t="s">
        <v>7299</v>
      </c>
      <c r="F168" t="s">
        <v>7300</v>
      </c>
      <c r="G168">
        <v>3</v>
      </c>
      <c r="J168" t="s">
        <v>7010</v>
      </c>
      <c r="K168" s="5" t="s">
        <v>6906</v>
      </c>
      <c r="AC168">
        <v>1</v>
      </c>
      <c r="AO168" t="s">
        <v>6975</v>
      </c>
      <c r="AT168" t="s">
        <v>7064</v>
      </c>
      <c r="AY168">
        <v>1</v>
      </c>
      <c r="AZ168">
        <v>1</v>
      </c>
      <c r="BD168">
        <v>2</v>
      </c>
      <c r="BO168" s="7" t="s">
        <v>7301</v>
      </c>
      <c r="BT168">
        <v>25</v>
      </c>
      <c r="BV168" s="8">
        <v>20</v>
      </c>
      <c r="BW168" s="8">
        <v>50</v>
      </c>
      <c r="BX168" s="8">
        <v>1</v>
      </c>
      <c r="BY168" s="8" t="s">
        <v>6907</v>
      </c>
      <c r="CB168" t="s">
        <v>134</v>
      </c>
      <c r="CH168" t="s">
        <v>6977</v>
      </c>
      <c r="CI168" t="s">
        <v>7290</v>
      </c>
      <c r="CJ168" t="s">
        <v>4249</v>
      </c>
      <c r="CZ168" t="s">
        <v>7291</v>
      </c>
    </row>
    <row r="169" spans="1:109" x14ac:dyDescent="0.25">
      <c r="A169" t="s">
        <v>7301</v>
      </c>
      <c r="C169" t="s">
        <v>6888</v>
      </c>
      <c r="K169" s="5" t="s">
        <v>6874</v>
      </c>
      <c r="L169" s="5" t="s">
        <v>7017</v>
      </c>
      <c r="AC169">
        <v>1</v>
      </c>
      <c r="AY169" s="5"/>
      <c r="BD169">
        <v>1</v>
      </c>
      <c r="CB169" s="5"/>
      <c r="CC169" s="5"/>
      <c r="CD169" s="5"/>
      <c r="CE169" s="5"/>
      <c r="CF169" s="5"/>
      <c r="CG169" s="5"/>
      <c r="CI169" s="5"/>
      <c r="CJ169" s="5"/>
      <c r="CK169" s="5"/>
      <c r="CL169" s="5"/>
      <c r="CM169" s="5"/>
      <c r="CN169" s="5"/>
      <c r="CO169" s="9" t="s">
        <v>6942</v>
      </c>
      <c r="CP169">
        <v>0.65</v>
      </c>
      <c r="CS169">
        <v>25</v>
      </c>
    </row>
    <row r="170" spans="1:109" x14ac:dyDescent="0.25">
      <c r="AY170" s="5"/>
      <c r="CB170" s="5"/>
      <c r="CC170" s="5"/>
      <c r="CD170" s="5"/>
      <c r="CE170" s="5"/>
      <c r="CF170" s="5"/>
      <c r="CG170" s="5"/>
      <c r="CI170" s="5"/>
      <c r="CJ170" s="5"/>
      <c r="CK170" s="5"/>
      <c r="CL170" s="5"/>
      <c r="CM170" s="5"/>
      <c r="CN170" s="5"/>
    </row>
    <row r="171" spans="1:109" x14ac:dyDescent="0.25">
      <c r="A171" t="s">
        <v>7302</v>
      </c>
      <c r="C171" t="s">
        <v>6888</v>
      </c>
      <c r="K171" s="5" t="s">
        <v>6907</v>
      </c>
      <c r="AC171">
        <v>1</v>
      </c>
      <c r="AO171" t="s">
        <v>6975</v>
      </c>
      <c r="AT171" t="s">
        <v>7064</v>
      </c>
      <c r="AY171">
        <v>1</v>
      </c>
      <c r="AZ171">
        <v>1</v>
      </c>
      <c r="BD171">
        <v>1</v>
      </c>
      <c r="CB171" t="s">
        <v>134</v>
      </c>
      <c r="CH171" t="s">
        <v>6977</v>
      </c>
      <c r="CZ171" t="s">
        <v>6954</v>
      </c>
    </row>
    <row r="172" spans="1:109" x14ac:dyDescent="0.25">
      <c r="A172" t="s">
        <v>7303</v>
      </c>
      <c r="C172" t="s">
        <v>6888</v>
      </c>
      <c r="K172" t="s">
        <v>6874</v>
      </c>
      <c r="L172" t="s">
        <v>7077</v>
      </c>
      <c r="M172"/>
      <c r="N172"/>
      <c r="O172"/>
      <c r="P172"/>
      <c r="Q172"/>
      <c r="R172"/>
      <c r="S172"/>
      <c r="T172"/>
      <c r="U172"/>
      <c r="V172"/>
      <c r="W172"/>
      <c r="X172"/>
      <c r="AC172">
        <v>1</v>
      </c>
      <c r="AI172" t="s">
        <v>327</v>
      </c>
      <c r="AV172">
        <v>99</v>
      </c>
      <c r="BD172">
        <v>99</v>
      </c>
      <c r="BV172"/>
      <c r="BW172"/>
      <c r="BX172"/>
      <c r="BY172"/>
      <c r="BZ172"/>
      <c r="CA172"/>
      <c r="CO172" s="9" t="s">
        <v>7303</v>
      </c>
      <c r="CP172" t="s">
        <v>7304</v>
      </c>
      <c r="CS172">
        <v>17</v>
      </c>
    </row>
    <row r="173" spans="1:109" x14ac:dyDescent="0.25">
      <c r="A173" t="s">
        <v>7305</v>
      </c>
      <c r="C173" t="s">
        <v>6888</v>
      </c>
      <c r="D173" t="s">
        <v>7306</v>
      </c>
      <c r="E173" t="s">
        <v>7307</v>
      </c>
      <c r="F173" t="s">
        <v>7308</v>
      </c>
      <c r="G173">
        <v>3</v>
      </c>
      <c r="J173" t="s">
        <v>6905</v>
      </c>
      <c r="K173" s="5" t="s">
        <v>6907</v>
      </c>
      <c r="AC173">
        <v>1</v>
      </c>
      <c r="AO173" t="s">
        <v>6975</v>
      </c>
      <c r="AT173" t="s">
        <v>7064</v>
      </c>
      <c r="AY173">
        <v>1</v>
      </c>
      <c r="AZ173">
        <v>1</v>
      </c>
      <c r="BD173">
        <v>1</v>
      </c>
      <c r="BT173">
        <v>0.2</v>
      </c>
      <c r="BV173" s="8">
        <v>0</v>
      </c>
      <c r="BW173" s="8">
        <v>8</v>
      </c>
      <c r="BX173" s="8">
        <v>3</v>
      </c>
      <c r="BY173" s="8" t="s">
        <v>6907</v>
      </c>
      <c r="CB173" t="s">
        <v>134</v>
      </c>
      <c r="CH173" t="s">
        <v>6977</v>
      </c>
      <c r="CO173" s="9" t="s">
        <v>7309</v>
      </c>
      <c r="CP173">
        <v>0.35</v>
      </c>
      <c r="CS173">
        <v>5</v>
      </c>
      <c r="CZ173" t="s">
        <v>6954</v>
      </c>
      <c r="DE173">
        <v>1</v>
      </c>
    </row>
    <row r="174" spans="1:109" x14ac:dyDescent="0.25">
      <c r="A174" t="s">
        <v>7310</v>
      </c>
      <c r="C174" t="s">
        <v>6888</v>
      </c>
      <c r="D174" t="s">
        <v>7311</v>
      </c>
      <c r="E174" t="s">
        <v>7312</v>
      </c>
      <c r="F174" t="s">
        <v>7313</v>
      </c>
      <c r="G174">
        <v>3</v>
      </c>
      <c r="J174" t="s">
        <v>6905</v>
      </c>
      <c r="K174" s="5" t="s">
        <v>6906</v>
      </c>
      <c r="AB174">
        <v>1</v>
      </c>
      <c r="AC174">
        <v>1</v>
      </c>
      <c r="AO174" t="s">
        <v>6975</v>
      </c>
      <c r="AT174" t="s">
        <v>7064</v>
      </c>
      <c r="AZ174">
        <v>0</v>
      </c>
      <c r="BD174">
        <v>99</v>
      </c>
      <c r="BT174">
        <v>0.2</v>
      </c>
      <c r="BV174" s="8">
        <v>50</v>
      </c>
      <c r="BW174" s="8">
        <v>60</v>
      </c>
      <c r="BX174" s="8">
        <v>1</v>
      </c>
      <c r="BY174" s="8" t="s">
        <v>6907</v>
      </c>
      <c r="CB174" t="s">
        <v>134</v>
      </c>
      <c r="CH174" t="s">
        <v>6977</v>
      </c>
      <c r="CO174" s="9" t="s">
        <v>7309</v>
      </c>
      <c r="CP174">
        <v>0.3</v>
      </c>
      <c r="CS174">
        <v>10</v>
      </c>
      <c r="CX174" t="s">
        <v>7314</v>
      </c>
      <c r="CZ174" t="s">
        <v>6954</v>
      </c>
      <c r="DE174">
        <v>1</v>
      </c>
    </row>
    <row r="176" spans="1:109" x14ac:dyDescent="0.25">
      <c r="A176" t="s">
        <v>7315</v>
      </c>
      <c r="C176" t="s">
        <v>6888</v>
      </c>
      <c r="K176" s="5" t="s">
        <v>6907</v>
      </c>
      <c r="AC176">
        <v>1</v>
      </c>
      <c r="AO176" t="s">
        <v>6975</v>
      </c>
      <c r="AT176" t="s">
        <v>7047</v>
      </c>
      <c r="AY176">
        <v>1</v>
      </c>
      <c r="AZ176">
        <v>1</v>
      </c>
      <c r="BD176">
        <v>3</v>
      </c>
      <c r="CB176" t="s">
        <v>134</v>
      </c>
      <c r="CH176" t="s">
        <v>6977</v>
      </c>
      <c r="CX176" t="s">
        <v>7316</v>
      </c>
      <c r="CZ176" t="s">
        <v>6954</v>
      </c>
    </row>
    <row r="177" spans="1:104" x14ac:dyDescent="0.25">
      <c r="A177" t="s">
        <v>7317</v>
      </c>
      <c r="C177" t="s">
        <v>6888</v>
      </c>
      <c r="K177" s="5" t="s">
        <v>6874</v>
      </c>
      <c r="L177" s="5" t="s">
        <v>6892</v>
      </c>
      <c r="AC177">
        <v>1</v>
      </c>
      <c r="AG177" t="s">
        <v>6876</v>
      </c>
      <c r="AH177">
        <v>1</v>
      </c>
      <c r="AY177" s="5"/>
      <c r="BD177">
        <v>1</v>
      </c>
      <c r="BV177"/>
      <c r="BW177"/>
      <c r="BX177"/>
      <c r="BY177"/>
      <c r="BZ177"/>
      <c r="CA177"/>
      <c r="CB177" s="5"/>
      <c r="CC177" s="5"/>
      <c r="CD177" s="5"/>
      <c r="CE177" s="5"/>
      <c r="CF177" s="5"/>
      <c r="CG177" s="5"/>
      <c r="CI177" s="5"/>
      <c r="CJ177" s="5"/>
      <c r="CK177" s="5"/>
      <c r="CL177" s="5"/>
      <c r="CM177" s="5"/>
      <c r="CN177" s="5"/>
      <c r="CO177" s="9" t="s">
        <v>7318</v>
      </c>
      <c r="CS177">
        <v>99999</v>
      </c>
    </row>
    <row r="178" spans="1:104" x14ac:dyDescent="0.25">
      <c r="A178" t="s">
        <v>7319</v>
      </c>
      <c r="C178" t="s">
        <v>6888</v>
      </c>
      <c r="K178" s="5" t="s">
        <v>6907</v>
      </c>
      <c r="AC178">
        <v>1</v>
      </c>
      <c r="AV178">
        <v>99</v>
      </c>
      <c r="AY178" s="5">
        <v>1</v>
      </c>
      <c r="AZ178">
        <v>5.5E-2</v>
      </c>
      <c r="BA178">
        <v>1</v>
      </c>
      <c r="BD178">
        <v>99</v>
      </c>
      <c r="BS178">
        <v>0.02</v>
      </c>
      <c r="BV178"/>
      <c r="BW178"/>
      <c r="BX178"/>
      <c r="BY178"/>
      <c r="BZ178"/>
      <c r="CA178"/>
      <c r="CB178" s="5"/>
      <c r="CC178" s="5"/>
      <c r="CD178" s="5"/>
      <c r="CE178" s="5"/>
      <c r="CF178" s="5"/>
      <c r="CG178" s="5"/>
      <c r="CI178" s="5"/>
      <c r="CJ178" s="5"/>
      <c r="CK178" s="5"/>
      <c r="CL178" s="5"/>
      <c r="CM178" s="5"/>
      <c r="CN178" s="5"/>
    </row>
    <row r="179" spans="1:104" x14ac:dyDescent="0.25">
      <c r="A179" t="s">
        <v>7320</v>
      </c>
      <c r="C179" t="s">
        <v>6888</v>
      </c>
      <c r="D179" t="s">
        <v>7321</v>
      </c>
      <c r="E179" t="s">
        <v>7322</v>
      </c>
      <c r="F179" t="s">
        <v>7323</v>
      </c>
      <c r="J179" t="s">
        <v>6905</v>
      </c>
      <c r="K179" s="5" t="s">
        <v>6906</v>
      </c>
      <c r="AC179">
        <v>1</v>
      </c>
      <c r="AY179" s="5"/>
      <c r="BD179">
        <v>1</v>
      </c>
      <c r="BT179">
        <v>30</v>
      </c>
      <c r="BV179" s="8">
        <v>20</v>
      </c>
      <c r="BW179" s="8">
        <v>60</v>
      </c>
      <c r="BX179" s="8">
        <v>1</v>
      </c>
      <c r="BY179" s="8" t="s">
        <v>6907</v>
      </c>
      <c r="CB179" s="5"/>
      <c r="CC179" s="5"/>
      <c r="CD179" s="5"/>
      <c r="CE179" s="5"/>
      <c r="CF179" s="5"/>
      <c r="CG179" s="5"/>
      <c r="CI179" s="5"/>
      <c r="CJ179" s="5"/>
      <c r="CK179" s="5"/>
      <c r="CL179" s="5"/>
      <c r="CM179" s="5"/>
      <c r="CN179" s="5"/>
      <c r="CO179" s="9" t="s">
        <v>7320</v>
      </c>
      <c r="CP179" t="s">
        <v>7324</v>
      </c>
      <c r="CS179">
        <v>30</v>
      </c>
    </row>
    <row r="180" spans="1:104" x14ac:dyDescent="0.25">
      <c r="AY180" s="5"/>
      <c r="CB180" s="5"/>
      <c r="CC180" s="5"/>
      <c r="CD180" s="5"/>
      <c r="CE180" s="5"/>
      <c r="CF180" s="5"/>
      <c r="CG180" s="5"/>
      <c r="CI180" s="5"/>
      <c r="CJ180" s="5"/>
      <c r="CK180" s="5"/>
      <c r="CL180" s="5"/>
      <c r="CM180" s="5"/>
      <c r="CN180" s="5"/>
    </row>
    <row r="181" spans="1:104" x14ac:dyDescent="0.25">
      <c r="A181" t="s">
        <v>7325</v>
      </c>
      <c r="C181" t="s">
        <v>4959</v>
      </c>
      <c r="AC181">
        <v>2</v>
      </c>
      <c r="AO181" t="s">
        <v>6982</v>
      </c>
      <c r="AT181" t="s">
        <v>7006</v>
      </c>
      <c r="AX181" t="s">
        <v>6984</v>
      </c>
      <c r="AZ181">
        <v>1</v>
      </c>
      <c r="BD181">
        <v>1</v>
      </c>
      <c r="CB181" t="s">
        <v>134</v>
      </c>
      <c r="CH181" t="s">
        <v>6977</v>
      </c>
      <c r="CX181" t="s">
        <v>7326</v>
      </c>
      <c r="CZ181" t="s">
        <v>7327</v>
      </c>
    </row>
    <row r="182" spans="1:104" x14ac:dyDescent="0.25">
      <c r="A182" t="s">
        <v>7328</v>
      </c>
      <c r="C182" t="s">
        <v>6888</v>
      </c>
      <c r="K182" s="5" t="s">
        <v>6874</v>
      </c>
      <c r="L182" s="5" t="s">
        <v>6892</v>
      </c>
      <c r="AC182">
        <v>1</v>
      </c>
      <c r="AG182" t="s">
        <v>6876</v>
      </c>
      <c r="AH182">
        <v>1</v>
      </c>
      <c r="AY182" s="5"/>
      <c r="BD182">
        <v>1</v>
      </c>
      <c r="BV182"/>
      <c r="BW182"/>
      <c r="BX182"/>
      <c r="BY182"/>
      <c r="BZ182"/>
      <c r="CA182"/>
      <c r="CB182" s="5"/>
      <c r="CC182" s="5"/>
      <c r="CD182" s="5"/>
      <c r="CE182" s="5"/>
      <c r="CF182" s="5"/>
      <c r="CG182" s="5"/>
      <c r="CI182" s="5"/>
      <c r="CJ182" s="5"/>
      <c r="CK182" s="5"/>
      <c r="CL182" s="5"/>
      <c r="CM182" s="5"/>
      <c r="CN182" s="5"/>
      <c r="CO182" s="9" t="s">
        <v>7089</v>
      </c>
      <c r="CP182">
        <v>15</v>
      </c>
      <c r="CS182">
        <v>99999</v>
      </c>
    </row>
    <row r="183" spans="1:104" x14ac:dyDescent="0.25">
      <c r="A183" t="s">
        <v>7329</v>
      </c>
      <c r="C183" t="s">
        <v>6888</v>
      </c>
      <c r="D183" t="s">
        <v>7330</v>
      </c>
      <c r="E183" t="s">
        <v>7331</v>
      </c>
      <c r="F183" t="s">
        <v>7332</v>
      </c>
      <c r="G183">
        <v>3</v>
      </c>
      <c r="J183" t="s">
        <v>6905</v>
      </c>
      <c r="K183" s="5" t="s">
        <v>6906</v>
      </c>
      <c r="AC183">
        <v>1</v>
      </c>
      <c r="AY183" s="5"/>
      <c r="BD183">
        <v>1</v>
      </c>
      <c r="BT183">
        <v>30</v>
      </c>
      <c r="BV183" s="8">
        <v>10</v>
      </c>
      <c r="BW183" s="8">
        <v>35</v>
      </c>
      <c r="BX183" s="8">
        <v>1</v>
      </c>
      <c r="BY183" s="8" t="s">
        <v>6907</v>
      </c>
      <c r="CB183" s="5"/>
      <c r="CC183" s="5"/>
      <c r="CD183" s="5"/>
      <c r="CE183" s="5"/>
      <c r="CF183" s="5"/>
      <c r="CG183" s="5"/>
      <c r="CI183" s="5"/>
      <c r="CJ183" s="5"/>
      <c r="CK183" s="5"/>
      <c r="CL183" s="5"/>
      <c r="CM183" s="5"/>
      <c r="CN183" s="5"/>
      <c r="CO183" s="9" t="s">
        <v>7333</v>
      </c>
      <c r="CP183">
        <v>0.7</v>
      </c>
      <c r="CQ183">
        <v>40</v>
      </c>
      <c r="CS183">
        <v>30</v>
      </c>
      <c r="CZ183" t="s">
        <v>6954</v>
      </c>
    </row>
    <row r="184" spans="1:104" x14ac:dyDescent="0.25">
      <c r="A184" t="s">
        <v>7334</v>
      </c>
      <c r="C184" t="s">
        <v>6888</v>
      </c>
      <c r="D184" t="s">
        <v>7335</v>
      </c>
      <c r="E184" t="s">
        <v>7336</v>
      </c>
      <c r="F184" t="s">
        <v>7337</v>
      </c>
      <c r="G184">
        <v>3</v>
      </c>
      <c r="J184" t="s">
        <v>6905</v>
      </c>
      <c r="K184" s="5" t="s">
        <v>6906</v>
      </c>
      <c r="AC184">
        <v>1</v>
      </c>
      <c r="AY184" s="5"/>
      <c r="BD184">
        <v>1</v>
      </c>
      <c r="BT184">
        <v>30</v>
      </c>
      <c r="BV184" s="8">
        <v>10</v>
      </c>
      <c r="BW184" s="8">
        <v>32</v>
      </c>
      <c r="BX184" s="8">
        <v>1</v>
      </c>
      <c r="BY184" s="8" t="s">
        <v>6907</v>
      </c>
      <c r="CB184" s="5"/>
      <c r="CC184" s="5"/>
      <c r="CD184" s="5"/>
      <c r="CE184" s="5"/>
      <c r="CF184" s="5"/>
      <c r="CG184" s="5"/>
      <c r="CI184" s="5"/>
      <c r="CJ184" s="5"/>
      <c r="CK184" s="5"/>
      <c r="CL184" s="5"/>
      <c r="CM184" s="5"/>
      <c r="CN184" s="5"/>
      <c r="CO184" s="9" t="s">
        <v>7334</v>
      </c>
      <c r="CP184" t="s">
        <v>7338</v>
      </c>
      <c r="CS184">
        <v>30</v>
      </c>
    </row>
    <row r="185" spans="1:104" x14ac:dyDescent="0.25">
      <c r="AY185" s="5"/>
      <c r="CB185" s="5"/>
      <c r="CC185" s="5"/>
      <c r="CD185" s="5"/>
      <c r="CE185" s="5"/>
      <c r="CF185" s="5"/>
      <c r="CG185" s="5"/>
      <c r="CI185" s="5"/>
      <c r="CJ185" s="5"/>
      <c r="CK185" s="5"/>
      <c r="CL185" s="5"/>
      <c r="CM185" s="5"/>
      <c r="CN185" s="5"/>
    </row>
    <row r="186" spans="1:104" x14ac:dyDescent="0.25">
      <c r="A186" t="s">
        <v>7339</v>
      </c>
      <c r="C186" t="s">
        <v>4959</v>
      </c>
      <c r="AC186">
        <v>2</v>
      </c>
      <c r="AO186" t="s">
        <v>6982</v>
      </c>
      <c r="AT186" t="s">
        <v>7006</v>
      </c>
      <c r="AX186" t="s">
        <v>6984</v>
      </c>
      <c r="AZ186">
        <v>1</v>
      </c>
      <c r="BD186">
        <v>1</v>
      </c>
      <c r="CB186" t="s">
        <v>134</v>
      </c>
      <c r="CH186" t="s">
        <v>6977</v>
      </c>
      <c r="CZ186" t="s">
        <v>6994</v>
      </c>
    </row>
    <row r="187" spans="1:104" x14ac:dyDescent="0.25">
      <c r="A187" t="s">
        <v>7340</v>
      </c>
      <c r="C187" t="s">
        <v>6888</v>
      </c>
      <c r="K187" s="5" t="s">
        <v>6874</v>
      </c>
      <c r="L187" s="5" t="s">
        <v>6892</v>
      </c>
      <c r="AC187">
        <v>1</v>
      </c>
      <c r="AG187" t="s">
        <v>6876</v>
      </c>
      <c r="AH187">
        <v>1</v>
      </c>
      <c r="AY187" s="5"/>
      <c r="BD187">
        <v>1</v>
      </c>
      <c r="BV187"/>
      <c r="BW187"/>
      <c r="BX187"/>
      <c r="BY187"/>
      <c r="BZ187"/>
      <c r="CA187"/>
      <c r="CB187" s="5"/>
      <c r="CC187" s="5"/>
      <c r="CD187" s="5"/>
      <c r="CE187" s="5"/>
      <c r="CF187" s="5"/>
      <c r="CG187" s="5"/>
      <c r="CI187" s="5"/>
      <c r="CJ187" s="5"/>
      <c r="CK187" s="5"/>
      <c r="CL187" s="5"/>
      <c r="CM187" s="5"/>
      <c r="CN187" s="5"/>
      <c r="CO187" s="9" t="s">
        <v>7246</v>
      </c>
      <c r="CP187">
        <v>0.12</v>
      </c>
      <c r="CS187">
        <v>99999</v>
      </c>
    </row>
    <row r="188" spans="1:104" x14ac:dyDescent="0.25">
      <c r="A188" t="s">
        <v>7341</v>
      </c>
      <c r="C188" t="s">
        <v>6888</v>
      </c>
      <c r="D188" t="s">
        <v>7342</v>
      </c>
      <c r="E188" t="s">
        <v>7343</v>
      </c>
      <c r="F188" t="s">
        <v>7344</v>
      </c>
      <c r="G188">
        <v>3</v>
      </c>
      <c r="J188" t="s">
        <v>6905</v>
      </c>
      <c r="K188" s="5" t="s">
        <v>6906</v>
      </c>
      <c r="AC188">
        <v>1</v>
      </c>
      <c r="AY188" s="5"/>
      <c r="BD188">
        <v>1</v>
      </c>
      <c r="BT188">
        <v>30</v>
      </c>
      <c r="BV188" s="8">
        <v>0</v>
      </c>
      <c r="BW188" s="8">
        <v>40</v>
      </c>
      <c r="BX188" s="8">
        <v>1</v>
      </c>
      <c r="BY188" s="8" t="s">
        <v>6907</v>
      </c>
      <c r="CE188" s="5"/>
      <c r="CF188" t="s">
        <v>796</v>
      </c>
      <c r="CG188" s="5"/>
      <c r="CI188" s="5"/>
      <c r="CJ188" s="5"/>
      <c r="CK188" s="5"/>
      <c r="CL188" s="5"/>
      <c r="CM188" s="5"/>
      <c r="CN188" s="5"/>
      <c r="CO188" s="9" t="s">
        <v>7345</v>
      </c>
      <c r="CP188" t="s">
        <v>7346</v>
      </c>
      <c r="CQ188">
        <v>0.03</v>
      </c>
      <c r="CS188">
        <v>30</v>
      </c>
    </row>
    <row r="189" spans="1:104" x14ac:dyDescent="0.25">
      <c r="AY189" s="5"/>
      <c r="CB189" s="5"/>
      <c r="CC189" s="5"/>
      <c r="CD189" s="5"/>
      <c r="CE189" s="5"/>
      <c r="CF189" s="5"/>
      <c r="CG189" s="5"/>
      <c r="CI189" s="5"/>
      <c r="CJ189" s="5"/>
      <c r="CK189" s="5"/>
      <c r="CL189" s="5"/>
      <c r="CM189" s="5"/>
      <c r="CN189" s="5"/>
    </row>
    <row r="190" spans="1:104" x14ac:dyDescent="0.25">
      <c r="A190" t="s">
        <v>547</v>
      </c>
      <c r="C190" t="s">
        <v>4959</v>
      </c>
      <c r="AC190">
        <v>2</v>
      </c>
      <c r="AO190" t="s">
        <v>6982</v>
      </c>
      <c r="AT190" t="s">
        <v>7006</v>
      </c>
      <c r="AX190" t="s">
        <v>6984</v>
      </c>
      <c r="AZ190">
        <v>1</v>
      </c>
      <c r="BD190">
        <v>1</v>
      </c>
      <c r="BO190" s="7" t="s">
        <v>7347</v>
      </c>
      <c r="CB190" t="s">
        <v>134</v>
      </c>
      <c r="CH190" t="s">
        <v>6977</v>
      </c>
      <c r="CZ190" t="s">
        <v>6994</v>
      </c>
    </row>
    <row r="191" spans="1:104" x14ac:dyDescent="0.25">
      <c r="A191" t="s">
        <v>7347</v>
      </c>
      <c r="C191" t="s">
        <v>4959</v>
      </c>
      <c r="AA191">
        <v>0.18</v>
      </c>
      <c r="AC191">
        <v>2</v>
      </c>
      <c r="AO191" t="s">
        <v>6982</v>
      </c>
      <c r="AT191" t="s">
        <v>7006</v>
      </c>
      <c r="AX191" t="s">
        <v>6984</v>
      </c>
      <c r="AZ191">
        <v>2</v>
      </c>
      <c r="BD191">
        <v>1</v>
      </c>
      <c r="CB191" t="s">
        <v>134</v>
      </c>
      <c r="CH191" t="s">
        <v>6977</v>
      </c>
      <c r="CZ191" t="s">
        <v>6994</v>
      </c>
    </row>
    <row r="192" spans="1:104" x14ac:dyDescent="0.25">
      <c r="A192" t="s">
        <v>7348</v>
      </c>
      <c r="C192" t="s">
        <v>6888</v>
      </c>
      <c r="D192" t="s">
        <v>7349</v>
      </c>
      <c r="E192" t="s">
        <v>7350</v>
      </c>
      <c r="F192" t="s">
        <v>7351</v>
      </c>
      <c r="G192">
        <v>3</v>
      </c>
      <c r="J192" t="s">
        <v>6905</v>
      </c>
      <c r="K192" s="5" t="s">
        <v>6907</v>
      </c>
      <c r="AC192">
        <v>1</v>
      </c>
      <c r="AO192" t="s">
        <v>6975</v>
      </c>
      <c r="AT192" t="s">
        <v>7011</v>
      </c>
      <c r="AY192" s="5">
        <v>1</v>
      </c>
      <c r="AZ192">
        <v>1.6</v>
      </c>
      <c r="BD192">
        <v>1</v>
      </c>
      <c r="BT192">
        <v>0.2</v>
      </c>
      <c r="BV192" s="8">
        <v>0</v>
      </c>
      <c r="BW192" s="8">
        <v>4</v>
      </c>
      <c r="BX192" s="8">
        <v>3</v>
      </c>
      <c r="BY192" s="8" t="s">
        <v>6907</v>
      </c>
      <c r="CB192" t="s">
        <v>624</v>
      </c>
      <c r="CE192" s="5"/>
      <c r="CF192" s="5"/>
      <c r="CG192" s="5"/>
      <c r="CH192" t="s">
        <v>6977</v>
      </c>
      <c r="CI192" s="5" t="s">
        <v>7352</v>
      </c>
      <c r="CJ192" t="s">
        <v>4249</v>
      </c>
      <c r="CK192" s="5"/>
      <c r="CL192" s="5"/>
      <c r="CM192" s="5"/>
      <c r="CN192" s="5"/>
      <c r="CZ192" t="s">
        <v>7353</v>
      </c>
    </row>
    <row r="193" spans="1:108" x14ac:dyDescent="0.25">
      <c r="A193" t="s">
        <v>7354</v>
      </c>
      <c r="C193" t="s">
        <v>6888</v>
      </c>
      <c r="D193" t="s">
        <v>7355</v>
      </c>
      <c r="E193" t="s">
        <v>7356</v>
      </c>
      <c r="F193" t="s">
        <v>7357</v>
      </c>
      <c r="G193">
        <v>3</v>
      </c>
      <c r="J193" t="s">
        <v>7010</v>
      </c>
      <c r="K193" s="5" t="s">
        <v>6906</v>
      </c>
      <c r="P193" t="s">
        <v>7358</v>
      </c>
      <c r="AC193">
        <v>1</v>
      </c>
      <c r="AO193" t="s">
        <v>6975</v>
      </c>
      <c r="AT193" t="s">
        <v>7011</v>
      </c>
      <c r="AY193" s="5">
        <v>1</v>
      </c>
      <c r="AZ193">
        <v>1</v>
      </c>
      <c r="BD193">
        <v>1</v>
      </c>
      <c r="BO193" s="7" t="s">
        <v>7359</v>
      </c>
      <c r="BT193">
        <v>30</v>
      </c>
      <c r="BV193" s="8">
        <v>20</v>
      </c>
      <c r="BW193" s="8">
        <v>30</v>
      </c>
      <c r="BX193" s="8">
        <v>1</v>
      </c>
      <c r="BY193" s="8" t="s">
        <v>6907</v>
      </c>
      <c r="CB193" t="s">
        <v>624</v>
      </c>
      <c r="CE193" s="5"/>
      <c r="CF193" s="5"/>
      <c r="CG193" s="5"/>
      <c r="CH193" t="s">
        <v>6977</v>
      </c>
      <c r="CI193" s="5" t="s">
        <v>7352</v>
      </c>
      <c r="CJ193" t="s">
        <v>4249</v>
      </c>
      <c r="CK193" s="5"/>
      <c r="CL193" s="5"/>
      <c r="CM193" s="5"/>
      <c r="CN193" s="5"/>
      <c r="CZ193" t="s">
        <v>7353</v>
      </c>
    </row>
    <row r="194" spans="1:108" x14ac:dyDescent="0.25">
      <c r="A194" t="s">
        <v>7360</v>
      </c>
      <c r="C194" t="s">
        <v>6888</v>
      </c>
      <c r="K194" s="5" t="s">
        <v>6874</v>
      </c>
      <c r="L194" s="5" t="s">
        <v>7017</v>
      </c>
      <c r="AC194">
        <v>1</v>
      </c>
      <c r="AY194" s="5"/>
      <c r="BD194">
        <v>1</v>
      </c>
      <c r="CB194" s="5"/>
      <c r="CC194" s="5"/>
      <c r="CD194" s="5"/>
      <c r="CE194" s="5"/>
      <c r="CF194" s="5"/>
      <c r="CG194" s="5"/>
      <c r="CI194" s="5"/>
      <c r="CJ194" s="5"/>
      <c r="CK194" s="5"/>
      <c r="CL194" s="5"/>
      <c r="CM194" s="5"/>
      <c r="CN194" s="5"/>
      <c r="CO194" s="9" t="s">
        <v>7361</v>
      </c>
      <c r="CP194">
        <v>0.8</v>
      </c>
      <c r="CS194">
        <v>10</v>
      </c>
    </row>
    <row r="195" spans="1:108" x14ac:dyDescent="0.25">
      <c r="A195" t="s">
        <v>7362</v>
      </c>
      <c r="C195" t="s">
        <v>6888</v>
      </c>
      <c r="K195" s="5" t="s">
        <v>6874</v>
      </c>
      <c r="L195" s="5" t="s">
        <v>7017</v>
      </c>
      <c r="AC195">
        <v>1</v>
      </c>
      <c r="AY195" s="5"/>
      <c r="BD195">
        <v>1</v>
      </c>
      <c r="CB195" s="5"/>
      <c r="CC195" s="5"/>
      <c r="CD195" s="5"/>
      <c r="CE195" s="5"/>
      <c r="CF195" s="5"/>
      <c r="CG195" s="5"/>
      <c r="CI195" s="5"/>
      <c r="CJ195" s="5"/>
      <c r="CK195" s="5"/>
      <c r="CL195" s="5"/>
      <c r="CM195" s="5"/>
      <c r="CN195" s="5"/>
      <c r="CO195" s="9" t="s">
        <v>7363</v>
      </c>
      <c r="CP195" t="s">
        <v>7364</v>
      </c>
      <c r="CS195">
        <v>30</v>
      </c>
    </row>
    <row r="196" spans="1:108" x14ac:dyDescent="0.25">
      <c r="AY196" s="5"/>
      <c r="CB196" s="5"/>
      <c r="CC196" s="5"/>
      <c r="CD196" s="5"/>
      <c r="CE196" s="5"/>
      <c r="CF196" s="5"/>
      <c r="CG196" s="5"/>
      <c r="CI196" s="5"/>
      <c r="CJ196" s="5"/>
      <c r="CK196" s="5"/>
      <c r="CL196" s="5"/>
      <c r="CM196" s="5"/>
      <c r="CN196" s="5"/>
    </row>
    <row r="197" spans="1:108" x14ac:dyDescent="0.25">
      <c r="A197" t="s">
        <v>7365</v>
      </c>
      <c r="C197" t="s">
        <v>6888</v>
      </c>
      <c r="AC197">
        <v>2</v>
      </c>
      <c r="AD197">
        <v>1</v>
      </c>
      <c r="AO197" t="s">
        <v>6982</v>
      </c>
      <c r="AT197" t="s">
        <v>6976</v>
      </c>
      <c r="AX197" t="s">
        <v>6997</v>
      </c>
      <c r="AZ197">
        <v>1</v>
      </c>
      <c r="BD197">
        <v>1</v>
      </c>
      <c r="CB197" t="s">
        <v>134</v>
      </c>
      <c r="CH197" t="s">
        <v>6977</v>
      </c>
      <c r="CI197" t="s">
        <v>6998</v>
      </c>
      <c r="CJ197" t="s">
        <v>4249</v>
      </c>
      <c r="CX197" t="s">
        <v>7366</v>
      </c>
      <c r="CZ197" t="s">
        <v>7367</v>
      </c>
    </row>
    <row r="198" spans="1:108" x14ac:dyDescent="0.25">
      <c r="A198" t="s">
        <v>7368</v>
      </c>
      <c r="C198" t="s">
        <v>7369</v>
      </c>
      <c r="K198" s="5" t="s">
        <v>6874</v>
      </c>
      <c r="L198" s="5" t="s">
        <v>6889</v>
      </c>
      <c r="AC198">
        <v>1</v>
      </c>
      <c r="AF198">
        <v>1</v>
      </c>
      <c r="AG198" t="s">
        <v>6876</v>
      </c>
      <c r="BD198">
        <v>1</v>
      </c>
      <c r="CV198" t="s">
        <v>7370</v>
      </c>
    </row>
    <row r="199" spans="1:108" x14ac:dyDescent="0.25">
      <c r="A199" t="s">
        <v>7371</v>
      </c>
      <c r="C199" t="s">
        <v>6888</v>
      </c>
      <c r="J199" t="s">
        <v>7010</v>
      </c>
      <c r="K199" s="5" t="s">
        <v>6874</v>
      </c>
      <c r="L199" s="5" t="s">
        <v>6892</v>
      </c>
      <c r="AC199">
        <v>1</v>
      </c>
      <c r="AG199" t="s">
        <v>6876</v>
      </c>
      <c r="AH199">
        <v>1</v>
      </c>
      <c r="AY199" s="5"/>
      <c r="BD199">
        <v>1</v>
      </c>
      <c r="BV199"/>
      <c r="BW199"/>
      <c r="BX199"/>
      <c r="BY199"/>
      <c r="BZ199"/>
      <c r="CA199"/>
      <c r="CB199" s="5"/>
      <c r="CC199" s="5"/>
      <c r="CD199" s="5"/>
      <c r="CE199" s="5"/>
      <c r="CF199" s="5"/>
      <c r="CG199" s="5"/>
      <c r="CI199" s="5"/>
      <c r="CJ199" s="5"/>
      <c r="CK199" s="5"/>
      <c r="CL199" s="5"/>
      <c r="CM199" s="5"/>
      <c r="CN199" s="5"/>
      <c r="CO199" s="9" t="s">
        <v>7053</v>
      </c>
      <c r="CP199">
        <v>8</v>
      </c>
      <c r="CS199">
        <v>99999</v>
      </c>
    </row>
    <row r="200" spans="1:108" x14ac:dyDescent="0.25">
      <c r="A200" t="s">
        <v>7372</v>
      </c>
      <c r="C200" t="s">
        <v>6888</v>
      </c>
      <c r="D200" t="s">
        <v>7373</v>
      </c>
      <c r="E200" t="s">
        <v>7374</v>
      </c>
      <c r="F200" t="s">
        <v>7375</v>
      </c>
      <c r="G200">
        <v>3</v>
      </c>
      <c r="K200" s="5" t="s">
        <v>6906</v>
      </c>
      <c r="L200" s="5" t="s">
        <v>7017</v>
      </c>
      <c r="AC200">
        <v>1</v>
      </c>
      <c r="AG200" t="s">
        <v>7376</v>
      </c>
      <c r="AV200">
        <v>99</v>
      </c>
      <c r="AY200" s="5"/>
      <c r="BD200">
        <v>99</v>
      </c>
      <c r="BT200">
        <v>30</v>
      </c>
      <c r="BV200" s="8">
        <v>0</v>
      </c>
      <c r="BW200" s="8">
        <v>30</v>
      </c>
      <c r="BX200" s="8">
        <v>1</v>
      </c>
      <c r="BY200" s="8" t="s">
        <v>6907</v>
      </c>
      <c r="CB200" s="5"/>
      <c r="CC200" s="5"/>
      <c r="CD200" s="5"/>
      <c r="CE200" s="5"/>
      <c r="CF200" s="5"/>
      <c r="CG200" s="5"/>
      <c r="CI200" s="5"/>
      <c r="CJ200" s="5"/>
      <c r="CK200" s="5"/>
      <c r="CL200" s="5"/>
      <c r="CM200" s="5"/>
      <c r="CN200" s="5"/>
      <c r="CO200" s="9" t="s">
        <v>7377</v>
      </c>
      <c r="CP200" t="s">
        <v>7378</v>
      </c>
      <c r="CQ200">
        <v>70</v>
      </c>
      <c r="CS200">
        <v>30</v>
      </c>
    </row>
    <row r="201" spans="1:108" x14ac:dyDescent="0.25">
      <c r="A201" t="s">
        <v>7379</v>
      </c>
      <c r="C201" t="s">
        <v>6888</v>
      </c>
      <c r="D201" t="s">
        <v>7380</v>
      </c>
      <c r="E201" t="s">
        <v>7381</v>
      </c>
      <c r="F201" t="s">
        <v>7382</v>
      </c>
      <c r="G201">
        <v>3</v>
      </c>
      <c r="J201" t="s">
        <v>7010</v>
      </c>
      <c r="K201" s="5" t="s">
        <v>6906</v>
      </c>
      <c r="P201"/>
      <c r="AC201">
        <v>2</v>
      </c>
      <c r="AO201" t="s">
        <v>6982</v>
      </c>
      <c r="AT201" t="s">
        <v>7383</v>
      </c>
      <c r="AY201" s="5"/>
      <c r="AZ201">
        <v>1</v>
      </c>
      <c r="BD201">
        <v>1</v>
      </c>
      <c r="BO201" s="7" t="s">
        <v>7384</v>
      </c>
      <c r="BT201">
        <v>55</v>
      </c>
      <c r="BV201" s="8">
        <v>60</v>
      </c>
      <c r="BW201" s="8">
        <v>80</v>
      </c>
      <c r="BX201" s="8">
        <v>1</v>
      </c>
      <c r="BY201" s="8" t="s">
        <v>6907</v>
      </c>
      <c r="CB201" t="s">
        <v>134</v>
      </c>
      <c r="CE201" s="5"/>
      <c r="CF201" s="5"/>
      <c r="CG201" s="5"/>
      <c r="CH201" t="s">
        <v>6977</v>
      </c>
      <c r="CI201" t="s">
        <v>6998</v>
      </c>
      <c r="CJ201" t="s">
        <v>4249</v>
      </c>
      <c r="CK201" s="5"/>
      <c r="CL201" s="5"/>
      <c r="CM201" s="5"/>
      <c r="CN201" s="5"/>
      <c r="CX201" t="s">
        <v>7366</v>
      </c>
      <c r="CZ201" t="s">
        <v>7367</v>
      </c>
      <c r="DD201" t="s">
        <v>7385</v>
      </c>
    </row>
    <row r="202" spans="1:108" x14ac:dyDescent="0.25">
      <c r="A202" t="s">
        <v>7384</v>
      </c>
      <c r="C202" t="s">
        <v>6888</v>
      </c>
      <c r="J202" t="s">
        <v>7010</v>
      </c>
      <c r="K202" s="5" t="s">
        <v>6907</v>
      </c>
      <c r="AC202">
        <v>1</v>
      </c>
      <c r="AT202" t="s">
        <v>7383</v>
      </c>
      <c r="AY202" s="5"/>
      <c r="BD202">
        <v>99</v>
      </c>
      <c r="CB202" s="5"/>
      <c r="CC202" s="5"/>
      <c r="CD202" s="5"/>
      <c r="CE202" s="5"/>
      <c r="CF202" s="5"/>
      <c r="CG202" s="5"/>
      <c r="CI202" s="5"/>
      <c r="CJ202" s="5"/>
      <c r="CK202" s="5"/>
      <c r="CL202" s="5"/>
      <c r="CM202" s="5"/>
      <c r="CN202" s="5"/>
      <c r="CO202" s="9" t="s">
        <v>7386</v>
      </c>
      <c r="CP202">
        <v>0.5</v>
      </c>
      <c r="CS202">
        <v>0.1</v>
      </c>
    </row>
    <row r="204" spans="1:108" x14ac:dyDescent="0.25">
      <c r="A204" t="s">
        <v>565</v>
      </c>
      <c r="C204" t="s">
        <v>6888</v>
      </c>
      <c r="K204" s="5" t="s">
        <v>6907</v>
      </c>
      <c r="AC204">
        <v>2</v>
      </c>
      <c r="AD204">
        <v>1</v>
      </c>
      <c r="AO204" t="s">
        <v>6982</v>
      </c>
      <c r="AT204" t="s">
        <v>7047</v>
      </c>
      <c r="AX204" t="s">
        <v>6997</v>
      </c>
      <c r="AZ204">
        <v>1</v>
      </c>
      <c r="BD204">
        <v>1</v>
      </c>
      <c r="CB204" t="s">
        <v>134</v>
      </c>
      <c r="CH204" t="s">
        <v>6977</v>
      </c>
      <c r="CI204" t="s">
        <v>7387</v>
      </c>
      <c r="CJ204" t="s">
        <v>4249</v>
      </c>
      <c r="CO204" s="9" t="s">
        <v>7050</v>
      </c>
      <c r="CP204">
        <v>-0.8</v>
      </c>
      <c r="CS204">
        <v>0.9</v>
      </c>
      <c r="CZ204" t="s">
        <v>7388</v>
      </c>
    </row>
    <row r="205" spans="1:108" x14ac:dyDescent="0.25">
      <c r="A205" t="s">
        <v>7389</v>
      </c>
      <c r="C205" t="s">
        <v>6888</v>
      </c>
      <c r="D205" t="s">
        <v>7390</v>
      </c>
      <c r="E205" t="s">
        <v>7391</v>
      </c>
      <c r="F205" t="s">
        <v>7392</v>
      </c>
      <c r="G205">
        <v>3</v>
      </c>
      <c r="J205" t="s">
        <v>7010</v>
      </c>
      <c r="K205" s="5" t="s">
        <v>6906</v>
      </c>
      <c r="AC205">
        <v>2</v>
      </c>
      <c r="AD205">
        <v>1</v>
      </c>
      <c r="AO205" t="s">
        <v>6982</v>
      </c>
      <c r="AT205" t="s">
        <v>7047</v>
      </c>
      <c r="AX205" t="s">
        <v>6997</v>
      </c>
      <c r="BD205">
        <v>99</v>
      </c>
      <c r="BO205" s="7" t="s">
        <v>7393</v>
      </c>
      <c r="BS205">
        <v>1.4</v>
      </c>
      <c r="BT205">
        <v>25</v>
      </c>
      <c r="BV205" s="8">
        <v>15</v>
      </c>
      <c r="BW205" s="8">
        <v>40</v>
      </c>
      <c r="BX205" s="8">
        <v>1</v>
      </c>
      <c r="BY205" s="8" t="s">
        <v>6907</v>
      </c>
      <c r="CF205" t="s">
        <v>796</v>
      </c>
      <c r="CH205" t="s">
        <v>7394</v>
      </c>
      <c r="CO205" s="9" t="s">
        <v>7050</v>
      </c>
      <c r="CP205">
        <v>-0.8</v>
      </c>
      <c r="CS205">
        <v>0.9</v>
      </c>
      <c r="CZ205" t="s">
        <v>7388</v>
      </c>
      <c r="DD205" t="s">
        <v>7395</v>
      </c>
    </row>
    <row r="206" spans="1:108" x14ac:dyDescent="0.25">
      <c r="A206" t="s">
        <v>7393</v>
      </c>
      <c r="C206" t="s">
        <v>6888</v>
      </c>
      <c r="K206" s="5" t="s">
        <v>6874</v>
      </c>
      <c r="L206" s="5" t="s">
        <v>7017</v>
      </c>
      <c r="AC206">
        <v>1</v>
      </c>
      <c r="AY206" s="5"/>
      <c r="BD206">
        <v>1</v>
      </c>
      <c r="CB206" s="5"/>
      <c r="CC206" s="5"/>
      <c r="CD206" s="5"/>
      <c r="CE206" s="5"/>
      <c r="CF206" s="5"/>
      <c r="CG206" s="5"/>
      <c r="CI206" s="5"/>
      <c r="CJ206" s="5"/>
      <c r="CK206" s="5"/>
      <c r="CL206" s="5"/>
      <c r="CM206" s="5"/>
      <c r="CN206" s="5"/>
      <c r="CO206" s="9" t="s">
        <v>7019</v>
      </c>
      <c r="CS206">
        <v>25</v>
      </c>
    </row>
    <row r="208" spans="1:108" x14ac:dyDescent="0.25">
      <c r="A208" t="s">
        <v>7396</v>
      </c>
      <c r="C208" t="s">
        <v>6888</v>
      </c>
      <c r="K208" s="5" t="s">
        <v>6907</v>
      </c>
      <c r="AC208">
        <v>1</v>
      </c>
      <c r="AO208" t="s">
        <v>6975</v>
      </c>
      <c r="AT208" t="s">
        <v>7047</v>
      </c>
      <c r="AY208">
        <v>1</v>
      </c>
      <c r="AZ208">
        <v>1</v>
      </c>
      <c r="BD208">
        <v>3</v>
      </c>
      <c r="CB208" t="s">
        <v>134</v>
      </c>
      <c r="CH208" t="s">
        <v>6977</v>
      </c>
      <c r="CZ208" t="s">
        <v>6954</v>
      </c>
    </row>
    <row r="209" spans="1:109" x14ac:dyDescent="0.25">
      <c r="A209" t="s">
        <v>7397</v>
      </c>
      <c r="C209" t="s">
        <v>6888</v>
      </c>
      <c r="K209" s="5" t="s">
        <v>6874</v>
      </c>
      <c r="L209" s="5" t="s">
        <v>6889</v>
      </c>
      <c r="AC209">
        <v>1</v>
      </c>
      <c r="AY209" s="5"/>
      <c r="BD209">
        <v>99</v>
      </c>
      <c r="BO209" s="7" t="s">
        <v>7398</v>
      </c>
      <c r="BV209"/>
      <c r="BW209"/>
      <c r="BX209"/>
      <c r="BY209"/>
      <c r="BZ209"/>
      <c r="CA209"/>
      <c r="CB209" s="5"/>
      <c r="CC209" s="5"/>
      <c r="CD209" s="5"/>
      <c r="CE209" s="5"/>
      <c r="CF209" s="5"/>
      <c r="CG209" s="5"/>
      <c r="CI209" s="5"/>
      <c r="CJ209" s="5"/>
      <c r="CK209" s="5"/>
      <c r="CL209" s="5"/>
      <c r="CM209" s="5"/>
      <c r="CN209" s="5"/>
      <c r="CO209" s="9" t="s">
        <v>7399</v>
      </c>
      <c r="CP209">
        <v>0.3</v>
      </c>
      <c r="CS209">
        <v>99999</v>
      </c>
      <c r="CU209">
        <v>1</v>
      </c>
    </row>
    <row r="210" spans="1:109" x14ac:dyDescent="0.25">
      <c r="A210" t="s">
        <v>7398</v>
      </c>
      <c r="C210" t="s">
        <v>6888</v>
      </c>
      <c r="K210" s="5" t="s">
        <v>6874</v>
      </c>
      <c r="L210" s="5" t="s">
        <v>6889</v>
      </c>
      <c r="AC210">
        <v>1</v>
      </c>
      <c r="AF210">
        <v>1</v>
      </c>
      <c r="AG210" t="s">
        <v>7400</v>
      </c>
      <c r="AY210" s="5"/>
      <c r="BD210">
        <v>1</v>
      </c>
      <c r="BV210"/>
      <c r="BW210"/>
      <c r="BX210"/>
      <c r="BY210"/>
      <c r="BZ210"/>
      <c r="CA210"/>
      <c r="CB210" s="5"/>
      <c r="CC210" s="5"/>
      <c r="CD210" s="5"/>
      <c r="CE210" s="5"/>
      <c r="CF210" s="5"/>
      <c r="CG210" s="5"/>
      <c r="CI210" s="5"/>
      <c r="CJ210" s="5"/>
      <c r="CK210" s="5"/>
      <c r="CL210" s="5"/>
      <c r="CM210" s="5"/>
      <c r="CN210" s="5"/>
      <c r="CO210" s="9" t="s">
        <v>7399</v>
      </c>
      <c r="CP210">
        <v>0.3</v>
      </c>
      <c r="CS210">
        <v>99999</v>
      </c>
      <c r="CU210">
        <v>1</v>
      </c>
    </row>
    <row r="211" spans="1:109" x14ac:dyDescent="0.25">
      <c r="A211" t="s">
        <v>7401</v>
      </c>
      <c r="C211" t="s">
        <v>6888</v>
      </c>
      <c r="D211" t="s">
        <v>7402</v>
      </c>
      <c r="E211" t="s">
        <v>7403</v>
      </c>
      <c r="F211" t="s">
        <v>7404</v>
      </c>
      <c r="G211">
        <v>3</v>
      </c>
      <c r="J211" t="s">
        <v>7010</v>
      </c>
      <c r="K211" s="5" t="s">
        <v>6906</v>
      </c>
      <c r="AC211">
        <v>1</v>
      </c>
      <c r="AO211" t="s">
        <v>6975</v>
      </c>
      <c r="AT211" t="s">
        <v>7405</v>
      </c>
      <c r="AY211">
        <v>1</v>
      </c>
      <c r="AZ211">
        <v>1</v>
      </c>
      <c r="BD211">
        <v>3</v>
      </c>
      <c r="BO211" s="7" t="s">
        <v>7406</v>
      </c>
      <c r="BT211">
        <v>40</v>
      </c>
      <c r="BV211" s="8">
        <v>85</v>
      </c>
      <c r="BW211" s="8">
        <v>100</v>
      </c>
      <c r="BX211" s="8">
        <v>1</v>
      </c>
      <c r="BY211" s="8" t="s">
        <v>6907</v>
      </c>
      <c r="CB211" s="5" t="s">
        <v>208</v>
      </c>
      <c r="CC211" s="5"/>
      <c r="CD211" s="5"/>
      <c r="CE211" s="5"/>
      <c r="CF211" s="5" t="s">
        <v>513</v>
      </c>
      <c r="CG211" s="5"/>
      <c r="CH211" t="s">
        <v>6977</v>
      </c>
      <c r="CI211" s="5"/>
      <c r="CJ211" s="5"/>
      <c r="CK211" s="5"/>
      <c r="CL211" s="5"/>
      <c r="CM211" s="5"/>
      <c r="CN211" s="5"/>
    </row>
    <row r="212" spans="1:109" x14ac:dyDescent="0.25">
      <c r="A212" t="s">
        <v>7406</v>
      </c>
      <c r="C212" t="s">
        <v>6888</v>
      </c>
      <c r="K212" s="5" t="s">
        <v>6874</v>
      </c>
      <c r="L212" s="5" t="s">
        <v>7017</v>
      </c>
      <c r="AC212">
        <v>1</v>
      </c>
      <c r="AY212" s="5"/>
      <c r="BD212">
        <v>1</v>
      </c>
      <c r="CB212" s="5"/>
      <c r="CC212" s="5"/>
      <c r="CD212" s="5"/>
      <c r="CE212" s="5"/>
      <c r="CF212" s="5"/>
      <c r="CG212" s="5"/>
      <c r="CI212" s="5"/>
      <c r="CJ212" s="5"/>
      <c r="CK212" s="5"/>
      <c r="CL212" s="5"/>
      <c r="CM212" s="5"/>
      <c r="CN212" s="5"/>
      <c r="CO212" s="9" t="s">
        <v>7407</v>
      </c>
      <c r="CP212">
        <v>-2.1</v>
      </c>
      <c r="CS212">
        <v>40</v>
      </c>
    </row>
    <row r="214" spans="1:109" x14ac:dyDescent="0.25">
      <c r="A214" t="s">
        <v>7408</v>
      </c>
      <c r="C214" t="s">
        <v>4959</v>
      </c>
      <c r="K214" s="5" t="s">
        <v>6907</v>
      </c>
      <c r="AC214">
        <v>2</v>
      </c>
      <c r="AO214" t="s">
        <v>6982</v>
      </c>
      <c r="AT214" t="s">
        <v>6983</v>
      </c>
      <c r="AX214" t="s">
        <v>6984</v>
      </c>
      <c r="AZ214">
        <v>1</v>
      </c>
      <c r="BD214">
        <v>1</v>
      </c>
      <c r="CB214" t="s">
        <v>134</v>
      </c>
      <c r="CH214" t="s">
        <v>6977</v>
      </c>
      <c r="CY214" t="s">
        <v>7409</v>
      </c>
      <c r="CZ214" t="s">
        <v>7410</v>
      </c>
    </row>
    <row r="215" spans="1:109" x14ac:dyDescent="0.25">
      <c r="A215" t="s">
        <v>7411</v>
      </c>
      <c r="C215" t="s">
        <v>6888</v>
      </c>
      <c r="K215" s="5" t="s">
        <v>6874</v>
      </c>
      <c r="L215" s="5" t="s">
        <v>6892</v>
      </c>
      <c r="AC215">
        <v>1</v>
      </c>
      <c r="AG215" t="s">
        <v>6876</v>
      </c>
      <c r="AH215">
        <v>1</v>
      </c>
      <c r="AY215" s="5"/>
      <c r="BD215">
        <v>1</v>
      </c>
      <c r="BV215"/>
      <c r="BW215"/>
      <c r="BX215"/>
      <c r="BY215"/>
      <c r="BZ215"/>
      <c r="CA215"/>
      <c r="CB215" s="5"/>
      <c r="CC215" s="5"/>
      <c r="CD215" s="5"/>
      <c r="CE215" s="5"/>
      <c r="CF215" s="5"/>
      <c r="CG215" s="5"/>
      <c r="CI215" s="5"/>
      <c r="CJ215" s="5"/>
      <c r="CK215" s="5"/>
      <c r="CL215" s="5"/>
      <c r="CM215" s="5"/>
      <c r="CN215" s="5"/>
      <c r="CO215" s="9" t="s">
        <v>7411</v>
      </c>
      <c r="CS215">
        <v>99999</v>
      </c>
    </row>
    <row r="216" spans="1:109" x14ac:dyDescent="0.25">
      <c r="A216" t="s">
        <v>7412</v>
      </c>
      <c r="C216" t="s">
        <v>4959</v>
      </c>
      <c r="D216" t="s">
        <v>7413</v>
      </c>
      <c r="E216" t="s">
        <v>7414</v>
      </c>
      <c r="F216" t="s">
        <v>7415</v>
      </c>
      <c r="G216">
        <v>3</v>
      </c>
      <c r="J216" t="s">
        <v>7010</v>
      </c>
      <c r="K216" s="5" t="s">
        <v>6906</v>
      </c>
      <c r="AC216">
        <v>2</v>
      </c>
      <c r="AO216" t="s">
        <v>6982</v>
      </c>
      <c r="AT216" t="s">
        <v>6983</v>
      </c>
      <c r="AX216" t="s">
        <v>6984</v>
      </c>
      <c r="AZ216">
        <v>1</v>
      </c>
      <c r="BD216">
        <v>1</v>
      </c>
      <c r="BO216" s="7" t="s">
        <v>7416</v>
      </c>
      <c r="BT216">
        <v>30</v>
      </c>
      <c r="BV216" s="8">
        <v>10</v>
      </c>
      <c r="BW216" s="8">
        <v>20</v>
      </c>
      <c r="BX216" s="8">
        <v>1</v>
      </c>
      <c r="BY216" s="8" t="s">
        <v>6907</v>
      </c>
      <c r="CB216" t="s">
        <v>624</v>
      </c>
      <c r="CE216" t="s">
        <v>7417</v>
      </c>
      <c r="CH216" t="s">
        <v>6977</v>
      </c>
      <c r="CY216" t="s">
        <v>7418</v>
      </c>
      <c r="CZ216" t="s">
        <v>7419</v>
      </c>
    </row>
    <row r="217" spans="1:109" x14ac:dyDescent="0.25">
      <c r="A217" t="s">
        <v>7416</v>
      </c>
      <c r="C217" t="s">
        <v>6888</v>
      </c>
      <c r="K217" s="5" t="s">
        <v>6874</v>
      </c>
      <c r="L217" s="5" t="s">
        <v>7017</v>
      </c>
      <c r="AC217">
        <v>1</v>
      </c>
      <c r="AG217" t="s">
        <v>6876</v>
      </c>
      <c r="AY217" s="5"/>
      <c r="BD217">
        <v>1</v>
      </c>
      <c r="CB217" s="5"/>
      <c r="CC217" s="5"/>
      <c r="CD217" s="5"/>
      <c r="CE217" s="5"/>
      <c r="CF217" s="5"/>
      <c r="CG217" s="5"/>
      <c r="CI217" s="5"/>
      <c r="CJ217" s="5"/>
      <c r="CK217" s="5"/>
      <c r="CL217" s="5"/>
      <c r="CM217" s="5"/>
      <c r="CN217" s="5"/>
      <c r="CO217" s="9" t="s">
        <v>7420</v>
      </c>
      <c r="CQ217" t="s">
        <v>7421</v>
      </c>
      <c r="CS217">
        <v>30</v>
      </c>
      <c r="DE217">
        <v>1</v>
      </c>
    </row>
    <row r="218" spans="1:109" x14ac:dyDescent="0.25">
      <c r="AY218" s="5"/>
      <c r="CB218" s="5"/>
      <c r="CC218" s="5"/>
      <c r="CD218" s="5"/>
      <c r="CE218" s="5"/>
      <c r="CF218" s="5"/>
      <c r="CG218" s="5"/>
      <c r="CI218" s="5"/>
      <c r="CJ218" s="5"/>
      <c r="CK218" s="5"/>
      <c r="CL218" s="5"/>
      <c r="CM218" s="5"/>
      <c r="CN218" s="5"/>
    </row>
    <row r="219" spans="1:109" x14ac:dyDescent="0.25">
      <c r="A219" t="s">
        <v>7422</v>
      </c>
      <c r="C219" t="s">
        <v>4959</v>
      </c>
      <c r="K219" s="5" t="s">
        <v>6907</v>
      </c>
      <c r="AC219">
        <v>2</v>
      </c>
      <c r="AO219" t="s">
        <v>6982</v>
      </c>
      <c r="AT219" t="s">
        <v>6983</v>
      </c>
      <c r="AX219" t="s">
        <v>6984</v>
      </c>
      <c r="AZ219">
        <v>1</v>
      </c>
      <c r="BD219">
        <v>1</v>
      </c>
      <c r="CB219" t="s">
        <v>134</v>
      </c>
      <c r="CH219" t="s">
        <v>6977</v>
      </c>
      <c r="CZ219" t="s">
        <v>7423</v>
      </c>
    </row>
    <row r="220" spans="1:109" x14ac:dyDescent="0.25">
      <c r="A220" t="s">
        <v>7424</v>
      </c>
      <c r="C220" t="s">
        <v>4959</v>
      </c>
      <c r="J220" t="s">
        <v>6905</v>
      </c>
      <c r="K220" s="5" t="s">
        <v>6907</v>
      </c>
      <c r="AC220">
        <v>2</v>
      </c>
      <c r="AO220" t="s">
        <v>6982</v>
      </c>
      <c r="AT220" t="s">
        <v>6983</v>
      </c>
      <c r="AX220" t="s">
        <v>6984</v>
      </c>
      <c r="AZ220">
        <v>2</v>
      </c>
      <c r="BD220">
        <v>1</v>
      </c>
      <c r="BO220" s="7" t="s">
        <v>7425</v>
      </c>
      <c r="BT220">
        <v>0.2</v>
      </c>
      <c r="BV220" s="8">
        <v>0</v>
      </c>
      <c r="BW220" s="8">
        <v>1</v>
      </c>
      <c r="BX220" s="8">
        <v>999</v>
      </c>
      <c r="BY220" s="8" t="s">
        <v>7426</v>
      </c>
      <c r="CB220" t="s">
        <v>134</v>
      </c>
      <c r="CH220" t="s">
        <v>6977</v>
      </c>
      <c r="CZ220" t="s">
        <v>7423</v>
      </c>
    </row>
    <row r="221" spans="1:109" x14ac:dyDescent="0.25">
      <c r="A221" t="s">
        <v>7425</v>
      </c>
      <c r="C221" t="s">
        <v>6888</v>
      </c>
      <c r="K221" s="5" t="s">
        <v>6874</v>
      </c>
      <c r="L221" s="5" t="s">
        <v>6892</v>
      </c>
      <c r="AC221">
        <v>1</v>
      </c>
      <c r="AG221" t="s">
        <v>6876</v>
      </c>
      <c r="AH221">
        <v>1</v>
      </c>
      <c r="AY221" s="5"/>
      <c r="BD221">
        <v>1</v>
      </c>
      <c r="BV221"/>
      <c r="BW221"/>
      <c r="BX221"/>
      <c r="BY221"/>
      <c r="BZ221"/>
      <c r="CA221"/>
      <c r="CB221" s="5"/>
      <c r="CC221" s="5"/>
      <c r="CD221" s="5"/>
      <c r="CE221" s="5"/>
      <c r="CF221" s="5"/>
      <c r="CG221" s="5"/>
      <c r="CI221" s="5"/>
      <c r="CJ221" s="5"/>
      <c r="CK221" s="5"/>
      <c r="CL221" s="5"/>
      <c r="CM221" s="5"/>
      <c r="CN221" s="5"/>
      <c r="CO221" s="9" t="s">
        <v>7386</v>
      </c>
      <c r="CP221">
        <v>0.33</v>
      </c>
      <c r="CS221">
        <v>99999</v>
      </c>
    </row>
    <row r="222" spans="1:109" x14ac:dyDescent="0.25">
      <c r="A222" t="s">
        <v>7427</v>
      </c>
      <c r="C222" t="s">
        <v>6888</v>
      </c>
      <c r="D222" t="s">
        <v>7428</v>
      </c>
      <c r="E222" t="s">
        <v>7429</v>
      </c>
      <c r="F222" t="s">
        <v>7430</v>
      </c>
      <c r="G222">
        <v>3</v>
      </c>
      <c r="J222" t="s">
        <v>6905</v>
      </c>
      <c r="K222" s="5" t="s">
        <v>6907</v>
      </c>
      <c r="AC222">
        <v>2</v>
      </c>
      <c r="AO222" t="s">
        <v>6982</v>
      </c>
      <c r="AT222" t="s">
        <v>6983</v>
      </c>
      <c r="AX222" t="s">
        <v>6984</v>
      </c>
      <c r="AZ222">
        <v>2.4</v>
      </c>
      <c r="BD222">
        <v>1</v>
      </c>
      <c r="BT222">
        <v>0.2</v>
      </c>
      <c r="BV222" s="8">
        <v>0</v>
      </c>
      <c r="BW222" s="8">
        <v>4</v>
      </c>
      <c r="BX222" s="8">
        <v>1</v>
      </c>
      <c r="BY222" s="8" t="s">
        <v>7061</v>
      </c>
      <c r="CB222" t="s">
        <v>134</v>
      </c>
      <c r="CH222" t="s">
        <v>6977</v>
      </c>
      <c r="CK222" t="s">
        <v>7431</v>
      </c>
      <c r="CX222" t="s">
        <v>7432</v>
      </c>
      <c r="CZ222" t="s">
        <v>7433</v>
      </c>
    </row>
    <row r="223" spans="1:109" x14ac:dyDescent="0.25">
      <c r="A223" t="s">
        <v>7434</v>
      </c>
      <c r="C223" t="s">
        <v>4959</v>
      </c>
      <c r="D223" t="s">
        <v>7435</v>
      </c>
      <c r="E223" t="s">
        <v>7436</v>
      </c>
      <c r="F223" t="s">
        <v>7437</v>
      </c>
      <c r="G223">
        <v>3</v>
      </c>
      <c r="J223" t="s">
        <v>7010</v>
      </c>
      <c r="K223" s="5" t="s">
        <v>6906</v>
      </c>
      <c r="AC223">
        <v>2</v>
      </c>
      <c r="AO223" t="s">
        <v>6982</v>
      </c>
      <c r="AT223" t="s">
        <v>6983</v>
      </c>
      <c r="AX223" t="s">
        <v>6997</v>
      </c>
      <c r="AZ223">
        <v>1</v>
      </c>
      <c r="BC223">
        <v>0.25</v>
      </c>
      <c r="BD223">
        <v>1</v>
      </c>
      <c r="BO223" s="7" t="s">
        <v>7438</v>
      </c>
      <c r="BT223">
        <v>25</v>
      </c>
      <c r="BV223" s="8">
        <v>25</v>
      </c>
      <c r="BW223" s="8">
        <v>50</v>
      </c>
      <c r="BX223" s="8">
        <v>1</v>
      </c>
      <c r="BY223" s="8" t="s">
        <v>6907</v>
      </c>
      <c r="CB223" t="s">
        <v>134</v>
      </c>
      <c r="CH223" t="s">
        <v>6977</v>
      </c>
      <c r="CY223" t="s">
        <v>7439</v>
      </c>
      <c r="CZ223" t="s">
        <v>7440</v>
      </c>
    </row>
    <row r="224" spans="1:109" x14ac:dyDescent="0.25">
      <c r="A224" t="s">
        <v>7438</v>
      </c>
      <c r="C224" t="s">
        <v>6888</v>
      </c>
      <c r="K224" s="5" t="s">
        <v>6874</v>
      </c>
      <c r="L224" s="5" t="s">
        <v>7017</v>
      </c>
      <c r="AC224">
        <v>1</v>
      </c>
      <c r="AG224" t="s">
        <v>6876</v>
      </c>
      <c r="AY224" s="5"/>
      <c r="BD224">
        <v>1</v>
      </c>
      <c r="CB224" s="5"/>
      <c r="CC224" s="5"/>
      <c r="CD224" s="5"/>
      <c r="CE224" s="5"/>
      <c r="CF224" s="5"/>
      <c r="CG224" s="5"/>
      <c r="CI224" s="5"/>
      <c r="CJ224" s="5"/>
      <c r="CK224" s="5"/>
      <c r="CL224" s="5"/>
      <c r="CM224" s="5"/>
      <c r="CN224" s="5"/>
      <c r="CO224" s="9" t="s">
        <v>7441</v>
      </c>
      <c r="CP224">
        <v>1.2</v>
      </c>
      <c r="CS224">
        <v>25</v>
      </c>
      <c r="DE224">
        <v>1</v>
      </c>
    </row>
    <row r="225" spans="1:109" x14ac:dyDescent="0.25">
      <c r="AY225" s="5"/>
      <c r="CB225" s="5"/>
      <c r="CC225" s="5"/>
      <c r="CD225" s="5"/>
      <c r="CE225" s="5"/>
      <c r="CF225" s="5"/>
      <c r="CG225" s="5"/>
      <c r="CI225" s="5"/>
      <c r="CJ225" s="5"/>
      <c r="CK225" s="5"/>
      <c r="CL225" s="5"/>
      <c r="CM225" s="5"/>
      <c r="CN225" s="5"/>
    </row>
    <row r="226" spans="1:109" x14ac:dyDescent="0.25">
      <c r="A226" t="s">
        <v>7442</v>
      </c>
      <c r="C226" t="s">
        <v>4959</v>
      </c>
      <c r="K226" s="5" t="s">
        <v>6907</v>
      </c>
      <c r="AC226">
        <v>2</v>
      </c>
      <c r="AO226" t="s">
        <v>6982</v>
      </c>
      <c r="AX226" t="s">
        <v>6984</v>
      </c>
      <c r="AZ226">
        <v>1</v>
      </c>
      <c r="BD226">
        <v>1</v>
      </c>
      <c r="CB226" t="s">
        <v>4307</v>
      </c>
      <c r="CH226" t="s">
        <v>6977</v>
      </c>
      <c r="CO226" s="9" t="s">
        <v>7443</v>
      </c>
      <c r="CS226">
        <v>6</v>
      </c>
      <c r="CY226" t="s">
        <v>7444</v>
      </c>
      <c r="CZ226" t="s">
        <v>7445</v>
      </c>
    </row>
    <row r="227" spans="1:109" x14ac:dyDescent="0.25">
      <c r="A227" t="s">
        <v>586</v>
      </c>
      <c r="C227" t="s">
        <v>6888</v>
      </c>
      <c r="K227" s="5" t="s">
        <v>6907</v>
      </c>
      <c r="P227"/>
      <c r="Q227"/>
      <c r="R227"/>
      <c r="S227"/>
      <c r="T227"/>
      <c r="Z227">
        <v>1</v>
      </c>
      <c r="AC227">
        <v>2</v>
      </c>
      <c r="AD227">
        <v>1</v>
      </c>
      <c r="AO227" t="s">
        <v>6982</v>
      </c>
      <c r="AT227" t="s">
        <v>7027</v>
      </c>
      <c r="AX227" t="s">
        <v>6984</v>
      </c>
      <c r="AZ227">
        <v>0.8</v>
      </c>
      <c r="BD227">
        <v>1</v>
      </c>
      <c r="BO227" s="7" t="s">
        <v>7442</v>
      </c>
      <c r="CB227" t="s">
        <v>134</v>
      </c>
      <c r="CH227" t="s">
        <v>6977</v>
      </c>
      <c r="CI227" t="s">
        <v>7029</v>
      </c>
      <c r="CJ227" t="s">
        <v>4249</v>
      </c>
      <c r="CO227" s="9" t="s">
        <v>7443</v>
      </c>
      <c r="CS227">
        <v>6</v>
      </c>
      <c r="CY227" t="s">
        <v>7446</v>
      </c>
      <c r="CZ227" t="s">
        <v>7447</v>
      </c>
    </row>
    <row r="228" spans="1:109" x14ac:dyDescent="0.25">
      <c r="A228" t="s">
        <v>7448</v>
      </c>
      <c r="C228" t="s">
        <v>6888</v>
      </c>
      <c r="D228" t="s">
        <v>7449</v>
      </c>
      <c r="E228" t="s">
        <v>7450</v>
      </c>
      <c r="F228" t="s">
        <v>7451</v>
      </c>
      <c r="G228">
        <v>3</v>
      </c>
      <c r="J228" t="s">
        <v>6905</v>
      </c>
      <c r="K228" s="5" t="s">
        <v>6907</v>
      </c>
      <c r="W228" s="5">
        <v>1</v>
      </c>
      <c r="AC228">
        <v>1</v>
      </c>
      <c r="AG228" t="s">
        <v>6876</v>
      </c>
      <c r="AY228" s="5"/>
      <c r="BD228">
        <v>1</v>
      </c>
      <c r="BT228">
        <v>99999</v>
      </c>
      <c r="BV228" s="8">
        <v>0</v>
      </c>
      <c r="BW228" s="8">
        <v>30</v>
      </c>
      <c r="BX228" s="8">
        <v>1</v>
      </c>
      <c r="BY228" s="8" t="s">
        <v>7061</v>
      </c>
      <c r="CB228" s="5"/>
      <c r="CC228" s="5"/>
      <c r="CD228" s="5"/>
      <c r="CE228" s="5"/>
      <c r="CF228" s="5"/>
      <c r="CG228" s="5"/>
      <c r="CI228" s="5"/>
      <c r="CJ228" s="5"/>
      <c r="CK228" s="5"/>
      <c r="CL228" s="5"/>
      <c r="CM228" s="5"/>
      <c r="CN228" s="5"/>
      <c r="CO228" s="9" t="s">
        <v>7452</v>
      </c>
      <c r="CP228">
        <v>0.7</v>
      </c>
      <c r="CQ228">
        <v>0.4</v>
      </c>
      <c r="CS228">
        <v>99999</v>
      </c>
    </row>
    <row r="229" spans="1:109" x14ac:dyDescent="0.25">
      <c r="A229" t="s">
        <v>7453</v>
      </c>
      <c r="C229" t="s">
        <v>6888</v>
      </c>
      <c r="D229" t="s">
        <v>7454</v>
      </c>
      <c r="E229" t="s">
        <v>7455</v>
      </c>
      <c r="F229" t="s">
        <v>7456</v>
      </c>
      <c r="G229">
        <v>3</v>
      </c>
      <c r="J229" t="s">
        <v>7010</v>
      </c>
      <c r="K229" s="5" t="s">
        <v>6907</v>
      </c>
      <c r="P229"/>
      <c r="Q229"/>
      <c r="R229"/>
      <c r="S229"/>
      <c r="T229"/>
      <c r="W229" s="5">
        <v>1</v>
      </c>
      <c r="AC229">
        <v>2</v>
      </c>
      <c r="AD229">
        <v>1</v>
      </c>
      <c r="AO229" t="s">
        <v>6982</v>
      </c>
      <c r="AT229" t="s">
        <v>7027</v>
      </c>
      <c r="AX229" t="s">
        <v>6997</v>
      </c>
      <c r="AZ229">
        <v>1</v>
      </c>
      <c r="BD229">
        <v>2</v>
      </c>
      <c r="BO229" s="7" t="s">
        <v>7457</v>
      </c>
      <c r="BT229">
        <v>20</v>
      </c>
      <c r="BV229" s="8">
        <v>0</v>
      </c>
      <c r="BW229" s="8">
        <v>17</v>
      </c>
      <c r="BX229" s="8">
        <v>1</v>
      </c>
      <c r="BY229" s="8" t="s">
        <v>7061</v>
      </c>
      <c r="CB229" t="s">
        <v>624</v>
      </c>
      <c r="CH229" t="s">
        <v>6977</v>
      </c>
      <c r="CI229" t="s">
        <v>7458</v>
      </c>
      <c r="CJ229" t="s">
        <v>4249</v>
      </c>
      <c r="CO229" s="9" t="s">
        <v>7443</v>
      </c>
      <c r="CS229">
        <v>6</v>
      </c>
      <c r="CY229" t="s">
        <v>7459</v>
      </c>
      <c r="CZ229" t="s">
        <v>7460</v>
      </c>
    </row>
    <row r="230" spans="1:109" x14ac:dyDescent="0.25">
      <c r="A230" t="s">
        <v>7457</v>
      </c>
      <c r="C230" t="s">
        <v>6888</v>
      </c>
      <c r="K230" s="5" t="s">
        <v>6874</v>
      </c>
      <c r="L230" s="5" t="s">
        <v>7017</v>
      </c>
      <c r="AC230">
        <v>1</v>
      </c>
      <c r="AG230" t="s">
        <v>6876</v>
      </c>
      <c r="AY230" s="5"/>
      <c r="BD230">
        <v>1</v>
      </c>
      <c r="CB230" s="5"/>
      <c r="CC230" s="5"/>
      <c r="CD230" s="5"/>
      <c r="CE230" s="5"/>
      <c r="CF230" s="5"/>
      <c r="CG230" s="5"/>
      <c r="CI230" s="5"/>
      <c r="CJ230" s="5"/>
      <c r="CK230" s="5"/>
      <c r="CL230" s="5"/>
      <c r="CM230" s="5"/>
      <c r="CN230" s="5"/>
      <c r="CO230" s="9" t="s">
        <v>7461</v>
      </c>
      <c r="CP230">
        <v>1.2</v>
      </c>
      <c r="CS230">
        <v>20</v>
      </c>
      <c r="DE230">
        <v>1</v>
      </c>
    </row>
    <row r="232" spans="1:109" x14ac:dyDescent="0.25">
      <c r="A232" t="s">
        <v>7462</v>
      </c>
      <c r="C232" t="s">
        <v>7021</v>
      </c>
      <c r="AC232">
        <v>2</v>
      </c>
      <c r="AO232" t="s">
        <v>6982</v>
      </c>
      <c r="AT232" t="s">
        <v>6983</v>
      </c>
      <c r="AX232" t="s">
        <v>6984</v>
      </c>
      <c r="AZ232">
        <v>1</v>
      </c>
      <c r="BD232">
        <v>1</v>
      </c>
      <c r="CB232" t="s">
        <v>134</v>
      </c>
      <c r="CH232" t="s">
        <v>6977</v>
      </c>
      <c r="CY232" t="s">
        <v>7463</v>
      </c>
      <c r="CZ232" t="s">
        <v>7464</v>
      </c>
    </row>
    <row r="233" spans="1:109" x14ac:dyDescent="0.25">
      <c r="A233" t="s">
        <v>7465</v>
      </c>
      <c r="C233" t="s">
        <v>6888</v>
      </c>
      <c r="K233" s="5" t="s">
        <v>6874</v>
      </c>
      <c r="L233" s="5" t="s">
        <v>6892</v>
      </c>
      <c r="AC233">
        <v>1</v>
      </c>
      <c r="AG233" t="s">
        <v>6876</v>
      </c>
      <c r="AH233">
        <v>1</v>
      </c>
      <c r="AY233" s="5"/>
      <c r="BD233">
        <v>1</v>
      </c>
      <c r="BV233"/>
      <c r="BW233"/>
      <c r="BX233"/>
      <c r="BY233"/>
      <c r="BZ233"/>
      <c r="CA233"/>
      <c r="CB233" s="5"/>
      <c r="CC233" s="5"/>
      <c r="CD233" s="5"/>
      <c r="CE233" s="5"/>
      <c r="CF233" s="5"/>
      <c r="CG233" s="5"/>
      <c r="CI233" s="5"/>
      <c r="CJ233" s="5"/>
      <c r="CK233" s="5"/>
      <c r="CL233" s="5"/>
      <c r="CM233" s="5"/>
      <c r="CN233" s="5"/>
      <c r="CO233" s="9" t="s">
        <v>7466</v>
      </c>
      <c r="CP233">
        <v>0.12</v>
      </c>
      <c r="CQ233">
        <v>2.5000000000000001E-2</v>
      </c>
      <c r="CS233">
        <v>99999</v>
      </c>
    </row>
    <row r="234" spans="1:109" x14ac:dyDescent="0.25">
      <c r="A234" t="s">
        <v>7467</v>
      </c>
      <c r="C234" t="s">
        <v>7468</v>
      </c>
      <c r="K234" s="5" t="s">
        <v>6874</v>
      </c>
      <c r="L234" s="5" t="s">
        <v>7469</v>
      </c>
      <c r="O234" s="5" t="s">
        <v>7470</v>
      </c>
      <c r="AC234">
        <v>1</v>
      </c>
      <c r="AG234" t="s">
        <v>6876</v>
      </c>
      <c r="BD234">
        <v>1</v>
      </c>
      <c r="CV234" t="s">
        <v>7471</v>
      </c>
    </row>
    <row r="235" spans="1:109" x14ac:dyDescent="0.25">
      <c r="A235" t="s">
        <v>7472</v>
      </c>
      <c r="C235" t="s">
        <v>6888</v>
      </c>
      <c r="D235" t="s">
        <v>7473</v>
      </c>
      <c r="E235" t="s">
        <v>7474</v>
      </c>
      <c r="F235" t="s">
        <v>7475</v>
      </c>
      <c r="G235">
        <v>3</v>
      </c>
      <c r="J235" t="s">
        <v>6905</v>
      </c>
      <c r="K235" s="5" t="s">
        <v>6906</v>
      </c>
      <c r="AC235">
        <v>1</v>
      </c>
      <c r="AG235" t="s">
        <v>6876</v>
      </c>
      <c r="AY235" s="5"/>
      <c r="BD235">
        <v>1</v>
      </c>
      <c r="BO235" s="7" t="s">
        <v>7476</v>
      </c>
      <c r="BT235">
        <v>15</v>
      </c>
      <c r="BV235" s="8">
        <v>35</v>
      </c>
      <c r="BW235" s="8">
        <v>40</v>
      </c>
      <c r="BX235" s="8">
        <v>1</v>
      </c>
      <c r="BY235" s="8" t="s">
        <v>6907</v>
      </c>
      <c r="CB235" s="5"/>
      <c r="CC235" s="5"/>
      <c r="CD235" s="5"/>
      <c r="CE235" s="5"/>
      <c r="CF235" s="5"/>
      <c r="CG235" s="5"/>
      <c r="CI235" s="5"/>
      <c r="CJ235" s="5"/>
      <c r="CK235" s="5"/>
      <c r="CL235" s="5"/>
      <c r="CM235" s="5"/>
      <c r="CN235" s="5"/>
      <c r="CO235" s="9" t="s">
        <v>7477</v>
      </c>
      <c r="CP235">
        <v>1.6</v>
      </c>
      <c r="CS235">
        <v>15</v>
      </c>
      <c r="DE235">
        <v>1</v>
      </c>
    </row>
    <row r="236" spans="1:109" x14ac:dyDescent="0.25">
      <c r="A236" t="s">
        <v>7478</v>
      </c>
      <c r="C236" t="s">
        <v>6888</v>
      </c>
      <c r="K236" s="5" t="s">
        <v>6874</v>
      </c>
      <c r="L236" s="5" t="s">
        <v>7120</v>
      </c>
      <c r="AC236">
        <v>1</v>
      </c>
      <c r="AG236" t="s">
        <v>6876</v>
      </c>
      <c r="AY236" s="5"/>
      <c r="BD236">
        <v>1</v>
      </c>
      <c r="CB236" s="5"/>
      <c r="CC236" s="5"/>
      <c r="CD236" s="5"/>
      <c r="CE236" s="5"/>
      <c r="CF236" s="5"/>
      <c r="CG236" s="5"/>
      <c r="CI236" s="5"/>
      <c r="CJ236" s="5"/>
      <c r="CK236" s="5"/>
      <c r="CL236" s="5"/>
      <c r="CM236" s="5"/>
      <c r="CN236" s="5"/>
      <c r="CO236" s="9" t="s">
        <v>6878</v>
      </c>
      <c r="CS236">
        <v>10</v>
      </c>
      <c r="DE236">
        <v>1</v>
      </c>
    </row>
    <row r="237" spans="1:109" x14ac:dyDescent="0.25">
      <c r="AY237" s="5"/>
      <c r="CB237" s="5"/>
      <c r="CC237" s="5"/>
      <c r="CD237" s="5"/>
      <c r="CE237" s="5"/>
      <c r="CF237" s="5"/>
      <c r="CG237" s="5"/>
      <c r="CI237" s="5"/>
      <c r="CJ237" s="5"/>
      <c r="CK237" s="5"/>
      <c r="CL237" s="5"/>
      <c r="CM237" s="5"/>
      <c r="CN237" s="5"/>
    </row>
    <row r="238" spans="1:109" x14ac:dyDescent="0.25">
      <c r="A238" t="s">
        <v>595</v>
      </c>
      <c r="C238" t="s">
        <v>6888</v>
      </c>
      <c r="AC238">
        <v>2</v>
      </c>
      <c r="AD238">
        <v>1</v>
      </c>
      <c r="AO238" t="s">
        <v>6982</v>
      </c>
      <c r="AP238" t="s">
        <v>6990</v>
      </c>
      <c r="AT238" t="s">
        <v>7064</v>
      </c>
      <c r="AX238" t="s">
        <v>6984</v>
      </c>
      <c r="AZ238">
        <v>1</v>
      </c>
      <c r="BD238">
        <v>1</v>
      </c>
      <c r="CB238" t="s">
        <v>134</v>
      </c>
      <c r="CH238" t="s">
        <v>6977</v>
      </c>
      <c r="CI238" t="s">
        <v>7479</v>
      </c>
      <c r="CJ238" t="s">
        <v>4249</v>
      </c>
      <c r="CO238" s="9" t="s">
        <v>7480</v>
      </c>
      <c r="CP238">
        <v>85</v>
      </c>
      <c r="CS238">
        <v>3</v>
      </c>
      <c r="CY238" t="s">
        <v>7481</v>
      </c>
      <c r="CZ238" t="s">
        <v>6994</v>
      </c>
    </row>
    <row r="239" spans="1:109" x14ac:dyDescent="0.25">
      <c r="A239" t="s">
        <v>7482</v>
      </c>
      <c r="C239" t="s">
        <v>6888</v>
      </c>
      <c r="D239" t="s">
        <v>7483</v>
      </c>
      <c r="E239" t="s">
        <v>7484</v>
      </c>
      <c r="F239" t="s">
        <v>7485</v>
      </c>
      <c r="G239">
        <v>3</v>
      </c>
      <c r="J239" t="s">
        <v>6905</v>
      </c>
      <c r="K239" s="5" t="s">
        <v>6907</v>
      </c>
      <c r="AC239">
        <v>2</v>
      </c>
      <c r="AD239">
        <v>1</v>
      </c>
      <c r="AO239" t="s">
        <v>6982</v>
      </c>
      <c r="AP239" t="s">
        <v>6990</v>
      </c>
      <c r="AT239" t="s">
        <v>7064</v>
      </c>
      <c r="AX239" t="s">
        <v>6984</v>
      </c>
      <c r="AZ239">
        <v>2</v>
      </c>
      <c r="BD239">
        <v>2</v>
      </c>
      <c r="BT239">
        <v>0.2</v>
      </c>
      <c r="BV239" s="8">
        <v>0</v>
      </c>
      <c r="BW239" s="8">
        <v>2</v>
      </c>
      <c r="BX239" s="8">
        <v>1</v>
      </c>
      <c r="BY239" s="8" t="s">
        <v>7061</v>
      </c>
      <c r="CB239" t="s">
        <v>134</v>
      </c>
      <c r="CH239" t="s">
        <v>6977</v>
      </c>
      <c r="CI239" t="s">
        <v>7479</v>
      </c>
      <c r="CJ239" t="s">
        <v>4249</v>
      </c>
      <c r="CO239" s="9" t="s">
        <v>7480</v>
      </c>
      <c r="CP239">
        <v>170</v>
      </c>
      <c r="CS239">
        <v>3</v>
      </c>
      <c r="CY239" t="s">
        <v>7481</v>
      </c>
      <c r="CZ239" t="s">
        <v>6994</v>
      </c>
    </row>
    <row r="240" spans="1:109" x14ac:dyDescent="0.25">
      <c r="A240" t="s">
        <v>7486</v>
      </c>
      <c r="C240" t="s">
        <v>6888</v>
      </c>
      <c r="D240" t="s">
        <v>7487</v>
      </c>
      <c r="E240" t="s">
        <v>7488</v>
      </c>
      <c r="F240" t="s">
        <v>7489</v>
      </c>
      <c r="G240">
        <v>3</v>
      </c>
      <c r="J240" t="s">
        <v>7010</v>
      </c>
      <c r="K240" s="5" t="s">
        <v>6906</v>
      </c>
      <c r="AC240">
        <v>2</v>
      </c>
      <c r="AD240">
        <v>1</v>
      </c>
      <c r="AO240" t="s">
        <v>6982</v>
      </c>
      <c r="AP240" t="s">
        <v>6990</v>
      </c>
      <c r="AT240" t="s">
        <v>7064</v>
      </c>
      <c r="AX240" t="s">
        <v>6984</v>
      </c>
      <c r="AZ240">
        <v>1</v>
      </c>
      <c r="BD240">
        <v>3</v>
      </c>
      <c r="BO240" s="7" t="s">
        <v>7490</v>
      </c>
      <c r="BP240" s="7" t="s">
        <v>7491</v>
      </c>
      <c r="BT240">
        <v>30</v>
      </c>
      <c r="BV240" s="8">
        <v>25</v>
      </c>
      <c r="BW240" s="8">
        <v>40</v>
      </c>
      <c r="BX240" s="8">
        <v>1</v>
      </c>
      <c r="BY240" s="8" t="s">
        <v>6907</v>
      </c>
      <c r="CB240" t="s">
        <v>134</v>
      </c>
      <c r="CH240" t="s">
        <v>6977</v>
      </c>
      <c r="CI240" t="s">
        <v>7479</v>
      </c>
      <c r="CJ240" t="s">
        <v>4249</v>
      </c>
      <c r="CO240" s="9" t="s">
        <v>7480</v>
      </c>
      <c r="CP240">
        <v>85</v>
      </c>
      <c r="CS240">
        <v>3</v>
      </c>
      <c r="CY240" t="s">
        <v>7481</v>
      </c>
      <c r="CZ240" t="s">
        <v>6994</v>
      </c>
    </row>
    <row r="241" spans="1:109" x14ac:dyDescent="0.25">
      <c r="A241" t="s">
        <v>7491</v>
      </c>
      <c r="C241" t="s">
        <v>6888</v>
      </c>
      <c r="K241" s="5" t="s">
        <v>6874</v>
      </c>
      <c r="AC241">
        <v>2</v>
      </c>
      <c r="AD241">
        <v>1</v>
      </c>
      <c r="AO241" t="s">
        <v>6982</v>
      </c>
      <c r="AP241" t="s">
        <v>6990</v>
      </c>
      <c r="AT241" t="s">
        <v>7064</v>
      </c>
      <c r="AX241" t="s">
        <v>6984</v>
      </c>
      <c r="AZ241">
        <v>1</v>
      </c>
      <c r="BD241">
        <v>1</v>
      </c>
      <c r="CD241">
        <v>0.1</v>
      </c>
      <c r="CI241" t="s">
        <v>7479</v>
      </c>
      <c r="CJ241" t="s">
        <v>4249</v>
      </c>
      <c r="CO241" s="9" t="s">
        <v>7480</v>
      </c>
      <c r="CP241">
        <v>85</v>
      </c>
      <c r="CS241">
        <v>3</v>
      </c>
      <c r="CZ241" t="s">
        <v>6994</v>
      </c>
    </row>
    <row r="242" spans="1:109" x14ac:dyDescent="0.25">
      <c r="A242" t="s">
        <v>7490</v>
      </c>
      <c r="C242" t="s">
        <v>6888</v>
      </c>
      <c r="K242" s="5" t="s">
        <v>6874</v>
      </c>
      <c r="L242" s="5" t="s">
        <v>7017</v>
      </c>
      <c r="AC242">
        <v>1</v>
      </c>
      <c r="AG242" t="s">
        <v>6876</v>
      </c>
      <c r="AY242" s="5"/>
      <c r="BD242">
        <v>1</v>
      </c>
      <c r="CB242" s="5"/>
      <c r="CC242" s="5"/>
      <c r="CD242" s="5"/>
      <c r="CE242" s="5"/>
      <c r="CF242" s="5"/>
      <c r="CG242" s="5"/>
      <c r="CI242" s="5"/>
      <c r="CJ242" s="5"/>
      <c r="CK242" s="5"/>
      <c r="CL242" s="5"/>
      <c r="CM242" s="5"/>
      <c r="CN242" s="5"/>
      <c r="CO242" s="9" t="s">
        <v>7101</v>
      </c>
      <c r="CP242">
        <v>0.5</v>
      </c>
      <c r="CS242">
        <v>30</v>
      </c>
      <c r="DE242">
        <v>1</v>
      </c>
    </row>
    <row r="243" spans="1:109" x14ac:dyDescent="0.25">
      <c r="AY243" s="5"/>
      <c r="CB243" s="5"/>
      <c r="CC243" s="5"/>
      <c r="CD243" s="5"/>
      <c r="CE243" s="5"/>
      <c r="CF243" s="5"/>
      <c r="CG243" s="5"/>
      <c r="CI243" s="5"/>
      <c r="CJ243" s="5"/>
      <c r="CK243" s="5"/>
      <c r="CL243" s="5"/>
      <c r="CM243" s="5"/>
      <c r="CN243" s="5"/>
    </row>
    <row r="244" spans="1:109" x14ac:dyDescent="0.25">
      <c r="A244" t="s">
        <v>600</v>
      </c>
      <c r="C244" t="s">
        <v>6888</v>
      </c>
      <c r="AC244">
        <v>2</v>
      </c>
      <c r="AD244">
        <v>1</v>
      </c>
      <c r="AO244" t="s">
        <v>6982</v>
      </c>
      <c r="AP244" t="s">
        <v>6990</v>
      </c>
      <c r="AT244" t="s">
        <v>7064</v>
      </c>
      <c r="AX244" t="s">
        <v>6984</v>
      </c>
      <c r="AZ244">
        <v>1</v>
      </c>
      <c r="BD244">
        <v>1</v>
      </c>
      <c r="CB244" t="s">
        <v>134</v>
      </c>
      <c r="CH244" t="s">
        <v>6977</v>
      </c>
      <c r="CI244" t="s">
        <v>7492</v>
      </c>
      <c r="CJ244" t="s">
        <v>4249</v>
      </c>
      <c r="CK244" t="s">
        <v>7493</v>
      </c>
      <c r="CY244" t="s">
        <v>7494</v>
      </c>
      <c r="CZ244" t="s">
        <v>6994</v>
      </c>
    </row>
    <row r="245" spans="1:109" x14ac:dyDescent="0.25">
      <c r="A245" t="s">
        <v>7495</v>
      </c>
      <c r="C245" t="s">
        <v>6888</v>
      </c>
      <c r="D245" t="s">
        <v>7496</v>
      </c>
      <c r="E245" t="s">
        <v>7497</v>
      </c>
      <c r="F245" t="s">
        <v>7498</v>
      </c>
      <c r="G245">
        <v>3</v>
      </c>
      <c r="J245" t="s">
        <v>7010</v>
      </c>
      <c r="K245" s="5" t="s">
        <v>6907</v>
      </c>
      <c r="W245" s="5">
        <v>1</v>
      </c>
      <c r="AC245">
        <v>2</v>
      </c>
      <c r="AD245">
        <v>1</v>
      </c>
      <c r="AO245" t="s">
        <v>6982</v>
      </c>
      <c r="AP245" t="s">
        <v>6990</v>
      </c>
      <c r="AT245" t="s">
        <v>7499</v>
      </c>
      <c r="AX245" t="s">
        <v>6984</v>
      </c>
      <c r="AZ245">
        <v>1</v>
      </c>
      <c r="BD245">
        <v>1</v>
      </c>
      <c r="BO245" s="7" t="s">
        <v>7500</v>
      </c>
      <c r="BT245">
        <v>99999</v>
      </c>
      <c r="BV245" s="8">
        <v>0</v>
      </c>
      <c r="BW245" s="8">
        <v>50</v>
      </c>
      <c r="BX245" s="8">
        <v>1</v>
      </c>
      <c r="BY245" s="8" t="s">
        <v>6907</v>
      </c>
      <c r="CB245" t="s">
        <v>624</v>
      </c>
      <c r="CH245" t="s">
        <v>6977</v>
      </c>
      <c r="CI245" t="s">
        <v>7501</v>
      </c>
      <c r="CJ245" t="s">
        <v>4249</v>
      </c>
      <c r="CK245" t="s">
        <v>7493</v>
      </c>
      <c r="CX245" t="s">
        <v>7502</v>
      </c>
      <c r="CZ245" t="s">
        <v>7503</v>
      </c>
    </row>
    <row r="246" spans="1:109" x14ac:dyDescent="0.25">
      <c r="A246" t="s">
        <v>7500</v>
      </c>
      <c r="C246" t="s">
        <v>6888</v>
      </c>
      <c r="K246" s="5" t="s">
        <v>6874</v>
      </c>
      <c r="L246" s="5" t="s">
        <v>7017</v>
      </c>
      <c r="AC246">
        <v>1</v>
      </c>
      <c r="AG246" t="s">
        <v>6876</v>
      </c>
      <c r="AY246" s="5"/>
      <c r="BD246">
        <v>1</v>
      </c>
      <c r="CB246" s="5"/>
      <c r="CC246" s="5"/>
      <c r="CD246" s="5"/>
      <c r="CE246" s="5"/>
      <c r="CF246" s="5"/>
      <c r="CG246" s="5"/>
      <c r="CI246" s="5"/>
      <c r="CJ246" s="5"/>
      <c r="CK246" s="5"/>
      <c r="CL246" s="5"/>
      <c r="CM246" s="5"/>
      <c r="CN246" s="5"/>
      <c r="CO246" s="9" t="s">
        <v>7500</v>
      </c>
      <c r="CP246" t="s">
        <v>7504</v>
      </c>
      <c r="CS246">
        <v>99999</v>
      </c>
      <c r="DE246">
        <v>1</v>
      </c>
    </row>
    <row r="247" spans="1:109" x14ac:dyDescent="0.25">
      <c r="AY247" s="5"/>
      <c r="CB247" s="5"/>
      <c r="CC247" s="5"/>
      <c r="CD247" s="5"/>
      <c r="CE247" s="5"/>
      <c r="CF247" s="5"/>
      <c r="CG247" s="5"/>
      <c r="CI247" s="5"/>
      <c r="CJ247" s="5"/>
      <c r="CK247" s="5"/>
      <c r="CL247" s="5"/>
      <c r="CM247" s="5"/>
      <c r="CN247" s="5"/>
    </row>
    <row r="248" spans="1:109" x14ac:dyDescent="0.25">
      <c r="A248" t="s">
        <v>604</v>
      </c>
      <c r="C248" t="s">
        <v>6888</v>
      </c>
      <c r="AC248">
        <v>2</v>
      </c>
      <c r="AD248">
        <v>1</v>
      </c>
      <c r="AO248" t="s">
        <v>6982</v>
      </c>
      <c r="AT248" t="s">
        <v>7150</v>
      </c>
      <c r="AX248" t="s">
        <v>6984</v>
      </c>
      <c r="AZ248">
        <v>1</v>
      </c>
      <c r="BD248">
        <v>1</v>
      </c>
      <c r="BJ248">
        <v>1</v>
      </c>
      <c r="BK248">
        <v>1</v>
      </c>
      <c r="BL248">
        <v>1</v>
      </c>
      <c r="CB248" t="s">
        <v>134</v>
      </c>
      <c r="CH248" t="s">
        <v>6977</v>
      </c>
      <c r="CI248" t="s">
        <v>7505</v>
      </c>
      <c r="CJ248" t="s">
        <v>4249</v>
      </c>
      <c r="CK248" t="s">
        <v>7506</v>
      </c>
      <c r="CZ248" t="s">
        <v>7507</v>
      </c>
    </row>
    <row r="249" spans="1:109" x14ac:dyDescent="0.25">
      <c r="A249" t="s">
        <v>7508</v>
      </c>
      <c r="C249" t="s">
        <v>6888</v>
      </c>
      <c r="D249" t="s">
        <v>7509</v>
      </c>
      <c r="E249" t="s">
        <v>7510</v>
      </c>
      <c r="F249" t="s">
        <v>7511</v>
      </c>
      <c r="G249">
        <v>3</v>
      </c>
      <c r="J249" t="s">
        <v>6905</v>
      </c>
      <c r="K249" s="5" t="s">
        <v>6907</v>
      </c>
      <c r="AC249">
        <v>2</v>
      </c>
      <c r="AD249">
        <v>1</v>
      </c>
      <c r="AO249" t="s">
        <v>6982</v>
      </c>
      <c r="AT249" t="s">
        <v>7150</v>
      </c>
      <c r="AX249" t="s">
        <v>6984</v>
      </c>
      <c r="AZ249">
        <v>2.15</v>
      </c>
      <c r="BD249">
        <v>1</v>
      </c>
      <c r="BJ249">
        <v>2</v>
      </c>
      <c r="BK249">
        <v>1</v>
      </c>
      <c r="BL249">
        <v>1</v>
      </c>
      <c r="BT249">
        <v>0.2</v>
      </c>
      <c r="BV249" s="8">
        <v>0</v>
      </c>
      <c r="BW249" s="8">
        <v>3</v>
      </c>
      <c r="BX249" s="8">
        <v>1</v>
      </c>
      <c r="BY249" s="8" t="s">
        <v>7061</v>
      </c>
      <c r="CB249" t="s">
        <v>624</v>
      </c>
      <c r="CH249" t="s">
        <v>6977</v>
      </c>
      <c r="CI249" t="s">
        <v>7512</v>
      </c>
      <c r="CJ249" t="s">
        <v>4249</v>
      </c>
      <c r="CK249" t="s">
        <v>7506</v>
      </c>
      <c r="CY249" t="s">
        <v>7513</v>
      </c>
      <c r="CZ249" t="s">
        <v>7514</v>
      </c>
    </row>
    <row r="250" spans="1:109" x14ac:dyDescent="0.25">
      <c r="A250" t="s">
        <v>7515</v>
      </c>
      <c r="C250" t="s">
        <v>6888</v>
      </c>
      <c r="D250" t="s">
        <v>7516</v>
      </c>
      <c r="E250" t="s">
        <v>7517</v>
      </c>
      <c r="F250" t="s">
        <v>7518</v>
      </c>
      <c r="G250">
        <v>3</v>
      </c>
      <c r="J250" t="s">
        <v>6905</v>
      </c>
      <c r="K250" s="5" t="s">
        <v>6906</v>
      </c>
      <c r="AB250">
        <v>1</v>
      </c>
      <c r="AC250">
        <v>2</v>
      </c>
      <c r="AD250">
        <v>1</v>
      </c>
      <c r="AO250" t="s">
        <v>6982</v>
      </c>
      <c r="AT250" t="s">
        <v>7150</v>
      </c>
      <c r="AX250" t="s">
        <v>6984</v>
      </c>
      <c r="AZ250">
        <v>3</v>
      </c>
      <c r="BD250">
        <v>1</v>
      </c>
      <c r="BJ250">
        <v>1</v>
      </c>
      <c r="BK250">
        <v>1</v>
      </c>
      <c r="BL250">
        <v>1</v>
      </c>
      <c r="BT250">
        <v>0.2</v>
      </c>
      <c r="BV250" s="8">
        <v>0</v>
      </c>
      <c r="BW250" s="8">
        <v>20</v>
      </c>
      <c r="BX250" s="8">
        <v>1</v>
      </c>
      <c r="BY250" s="8" t="s">
        <v>6907</v>
      </c>
      <c r="CB250" t="s">
        <v>624</v>
      </c>
      <c r="CH250" t="s">
        <v>6977</v>
      </c>
      <c r="CI250" t="s">
        <v>7519</v>
      </c>
      <c r="CJ250" t="s">
        <v>4249</v>
      </c>
      <c r="CK250" t="s">
        <v>7506</v>
      </c>
      <c r="CO250" s="9" t="s">
        <v>7520</v>
      </c>
      <c r="CP250">
        <v>-330</v>
      </c>
      <c r="CS250">
        <v>10</v>
      </c>
      <c r="CY250" t="s">
        <v>7521</v>
      </c>
      <c r="CZ250" t="s">
        <v>7522</v>
      </c>
    </row>
    <row r="251" spans="1:109" x14ac:dyDescent="0.25">
      <c r="AY251" s="5"/>
      <c r="CD251" s="5"/>
      <c r="CE251" s="5"/>
      <c r="CF251" s="5"/>
      <c r="CG251" s="5"/>
      <c r="CI251" s="5"/>
      <c r="CJ251" s="5"/>
      <c r="CK251" s="5"/>
      <c r="CL251" s="5"/>
      <c r="CM251" s="5"/>
      <c r="CN251" s="5"/>
    </row>
    <row r="252" spans="1:109" x14ac:dyDescent="0.25">
      <c r="A252" t="s">
        <v>7523</v>
      </c>
      <c r="C252" t="s">
        <v>6888</v>
      </c>
      <c r="AC252">
        <v>2</v>
      </c>
      <c r="AD252">
        <v>1</v>
      </c>
      <c r="AO252" t="s">
        <v>7055</v>
      </c>
      <c r="AT252" t="s">
        <v>6976</v>
      </c>
      <c r="AX252" t="s">
        <v>6997</v>
      </c>
      <c r="AZ252">
        <v>1</v>
      </c>
      <c r="BD252">
        <v>1</v>
      </c>
      <c r="CB252" t="s">
        <v>7524</v>
      </c>
      <c r="CH252" t="s">
        <v>6977</v>
      </c>
      <c r="CI252" t="s">
        <v>7525</v>
      </c>
      <c r="CJ252" t="s">
        <v>4249</v>
      </c>
      <c r="CX252" t="s">
        <v>7526</v>
      </c>
      <c r="CZ252" t="s">
        <v>7527</v>
      </c>
    </row>
    <row r="253" spans="1:109" x14ac:dyDescent="0.25">
      <c r="A253" t="s">
        <v>7528</v>
      </c>
      <c r="C253" t="s">
        <v>7076</v>
      </c>
      <c r="K253" s="5" t="s">
        <v>6874</v>
      </c>
      <c r="L253" s="5" t="s">
        <v>7529</v>
      </c>
      <c r="AC253">
        <v>1</v>
      </c>
      <c r="BD253">
        <v>1</v>
      </c>
      <c r="BO253" s="7" t="s">
        <v>7530</v>
      </c>
      <c r="CV253" t="s">
        <v>7531</v>
      </c>
    </row>
    <row r="254" spans="1:109" x14ac:dyDescent="0.25">
      <c r="A254" t="s">
        <v>7530</v>
      </c>
      <c r="C254" t="s">
        <v>7076</v>
      </c>
      <c r="K254" s="5" t="s">
        <v>6874</v>
      </c>
      <c r="L254" s="5" t="s">
        <v>7532</v>
      </c>
      <c r="AC254">
        <v>1</v>
      </c>
      <c r="BD254">
        <v>1</v>
      </c>
      <c r="CV254" t="s">
        <v>7533</v>
      </c>
    </row>
    <row r="255" spans="1:109" x14ac:dyDescent="0.25">
      <c r="A255" t="s">
        <v>7534</v>
      </c>
      <c r="C255" t="s">
        <v>6888</v>
      </c>
      <c r="D255" t="s">
        <v>7535</v>
      </c>
      <c r="E255" t="s">
        <v>7536</v>
      </c>
      <c r="F255" t="s">
        <v>7537</v>
      </c>
      <c r="G255">
        <v>3</v>
      </c>
      <c r="J255" t="s">
        <v>7010</v>
      </c>
      <c r="K255" s="5" t="s">
        <v>6907</v>
      </c>
      <c r="W255" s="5">
        <v>1</v>
      </c>
      <c r="AB255">
        <v>1</v>
      </c>
      <c r="AC255">
        <v>2</v>
      </c>
      <c r="AO255" t="s">
        <v>7538</v>
      </c>
      <c r="AT255" t="s">
        <v>6976</v>
      </c>
      <c r="AX255" t="s">
        <v>6997</v>
      </c>
      <c r="AZ255">
        <v>0.6</v>
      </c>
      <c r="BD255">
        <v>1</v>
      </c>
      <c r="BE255">
        <v>8</v>
      </c>
      <c r="BF255">
        <v>0.05</v>
      </c>
      <c r="BG255">
        <v>1</v>
      </c>
      <c r="BO255" s="7" t="s">
        <v>7539</v>
      </c>
      <c r="BT255">
        <v>25</v>
      </c>
      <c r="BV255" s="8">
        <v>0</v>
      </c>
      <c r="BW255" s="8">
        <v>100</v>
      </c>
      <c r="BX255" s="8">
        <v>1</v>
      </c>
      <c r="BY255" s="8" t="s">
        <v>6907</v>
      </c>
      <c r="CB255" t="s">
        <v>7540</v>
      </c>
      <c r="CF255" t="s">
        <v>7540</v>
      </c>
      <c r="CH255" t="s">
        <v>6977</v>
      </c>
      <c r="CI255" t="s">
        <v>7541</v>
      </c>
      <c r="CZ255" t="s">
        <v>7542</v>
      </c>
    </row>
    <row r="256" spans="1:109" x14ac:dyDescent="0.25">
      <c r="A256" t="s">
        <v>7543</v>
      </c>
      <c r="C256" t="s">
        <v>6888</v>
      </c>
      <c r="K256" s="5" t="s">
        <v>6874</v>
      </c>
      <c r="L256" s="5" t="s">
        <v>7017</v>
      </c>
      <c r="AC256">
        <v>1</v>
      </c>
      <c r="AG256" t="s">
        <v>6876</v>
      </c>
      <c r="AY256" s="5"/>
      <c r="BD256">
        <v>1</v>
      </c>
      <c r="CB256" s="5"/>
      <c r="CC256" s="5"/>
      <c r="CD256" s="5"/>
      <c r="CE256" s="5"/>
      <c r="CF256" s="5"/>
      <c r="CG256" s="5"/>
      <c r="CI256" s="5"/>
      <c r="CJ256" s="5"/>
      <c r="CK256" s="5"/>
      <c r="CL256" s="5"/>
      <c r="CM256" s="5"/>
      <c r="CN256" s="5"/>
      <c r="CO256" s="9" t="s">
        <v>7544</v>
      </c>
      <c r="CS256">
        <v>25</v>
      </c>
      <c r="DE256">
        <v>1</v>
      </c>
    </row>
    <row r="257" spans="1:109" x14ac:dyDescent="0.25">
      <c r="A257" t="s">
        <v>7545</v>
      </c>
      <c r="C257" t="s">
        <v>6888</v>
      </c>
      <c r="K257" s="5" t="s">
        <v>6874</v>
      </c>
      <c r="L257" s="5" t="s">
        <v>7120</v>
      </c>
      <c r="AC257">
        <v>1</v>
      </c>
      <c r="AG257" t="s">
        <v>6876</v>
      </c>
      <c r="AY257" s="5"/>
      <c r="BD257">
        <v>1</v>
      </c>
      <c r="CB257" s="5"/>
      <c r="CC257" s="5"/>
      <c r="CD257" s="5"/>
      <c r="CE257" s="5"/>
      <c r="CF257" s="5"/>
      <c r="CG257" s="5"/>
      <c r="CI257" s="5"/>
      <c r="CJ257" s="5"/>
      <c r="CK257" s="5"/>
      <c r="CL257" s="5"/>
      <c r="CM257" s="5"/>
      <c r="CN257" s="5"/>
      <c r="CO257" s="9" t="s">
        <v>6878</v>
      </c>
      <c r="CS257">
        <v>10</v>
      </c>
      <c r="DE257">
        <v>1</v>
      </c>
    </row>
    <row r="258" spans="1:109" x14ac:dyDescent="0.25">
      <c r="A258" t="s">
        <v>7546</v>
      </c>
      <c r="C258" t="s">
        <v>6888</v>
      </c>
      <c r="D258" t="s">
        <v>7547</v>
      </c>
      <c r="E258" t="s">
        <v>7548</v>
      </c>
      <c r="F258" t="s">
        <v>7549</v>
      </c>
      <c r="G258">
        <v>3</v>
      </c>
      <c r="J258" t="s">
        <v>7010</v>
      </c>
      <c r="K258" s="5" t="s">
        <v>6906</v>
      </c>
      <c r="AB258">
        <v>1</v>
      </c>
      <c r="AC258">
        <v>2</v>
      </c>
      <c r="AO258" t="s">
        <v>6982</v>
      </c>
      <c r="AT258" t="s">
        <v>7383</v>
      </c>
      <c r="AX258" t="s">
        <v>7550</v>
      </c>
      <c r="AZ258">
        <v>1</v>
      </c>
      <c r="BD258">
        <v>1</v>
      </c>
      <c r="BO258" s="7" t="s">
        <v>7551</v>
      </c>
      <c r="BT258">
        <v>30</v>
      </c>
      <c r="BV258" s="8">
        <v>0</v>
      </c>
      <c r="BW258" s="8">
        <v>120</v>
      </c>
      <c r="BX258" s="8">
        <v>1</v>
      </c>
      <c r="BY258" s="8" t="s">
        <v>6907</v>
      </c>
      <c r="CB258" t="s">
        <v>7552</v>
      </c>
      <c r="CF258" t="s">
        <v>7552</v>
      </c>
      <c r="CH258" t="s">
        <v>6977</v>
      </c>
      <c r="CI258" t="s">
        <v>7553</v>
      </c>
      <c r="CJ258" t="s">
        <v>4249</v>
      </c>
      <c r="CX258" t="s">
        <v>7554</v>
      </c>
      <c r="CZ258" t="s">
        <v>7555</v>
      </c>
      <c r="DC258" t="s">
        <v>7556</v>
      </c>
      <c r="DD258" t="s">
        <v>7557</v>
      </c>
    </row>
    <row r="259" spans="1:109" x14ac:dyDescent="0.25">
      <c r="A259" t="s">
        <v>7558</v>
      </c>
      <c r="C259" t="s">
        <v>6888</v>
      </c>
      <c r="K259" s="5" t="s">
        <v>6874</v>
      </c>
      <c r="L259" s="5" t="s">
        <v>7017</v>
      </c>
      <c r="AC259">
        <v>1</v>
      </c>
      <c r="AG259" t="s">
        <v>6876</v>
      </c>
      <c r="AY259" s="5"/>
      <c r="BD259">
        <v>1</v>
      </c>
      <c r="CB259" s="5"/>
      <c r="CC259" s="5"/>
      <c r="CD259" s="5"/>
      <c r="CE259" s="5"/>
      <c r="CF259" s="5"/>
      <c r="CG259" s="5"/>
      <c r="CI259" s="5"/>
      <c r="CJ259" s="5"/>
      <c r="CK259" s="5"/>
      <c r="CL259" s="5"/>
      <c r="CM259" s="5"/>
      <c r="CN259" s="5"/>
      <c r="CO259" s="9" t="s">
        <v>7558</v>
      </c>
      <c r="CP259" t="s">
        <v>7559</v>
      </c>
      <c r="CS259">
        <v>30</v>
      </c>
      <c r="DE259">
        <v>1</v>
      </c>
    </row>
    <row r="260" spans="1:109" x14ac:dyDescent="0.25">
      <c r="A260" t="s">
        <v>7560</v>
      </c>
      <c r="C260" t="s">
        <v>6888</v>
      </c>
      <c r="K260" s="5" t="s">
        <v>6874</v>
      </c>
      <c r="L260" s="5" t="s">
        <v>7120</v>
      </c>
      <c r="AC260">
        <v>1</v>
      </c>
      <c r="AG260" t="s">
        <v>6876</v>
      </c>
      <c r="AX260" t="s">
        <v>7550</v>
      </c>
      <c r="AY260" s="5"/>
      <c r="AZ260">
        <v>99999</v>
      </c>
      <c r="BB260">
        <v>2</v>
      </c>
      <c r="BD260">
        <v>1</v>
      </c>
      <c r="CB260" s="5"/>
      <c r="CC260" s="5"/>
      <c r="CD260" s="5"/>
      <c r="CE260" s="5"/>
      <c r="CF260" s="5"/>
      <c r="CG260" s="5"/>
      <c r="CI260" s="5"/>
      <c r="CJ260" s="5"/>
      <c r="CK260" s="5"/>
      <c r="CL260" s="5"/>
      <c r="CM260" s="5"/>
      <c r="CN260" s="5"/>
      <c r="DE260">
        <v>1</v>
      </c>
    </row>
    <row r="262" spans="1:109" x14ac:dyDescent="0.25">
      <c r="A262" t="s">
        <v>7561</v>
      </c>
      <c r="C262" t="s">
        <v>6888</v>
      </c>
      <c r="AC262">
        <v>2</v>
      </c>
      <c r="AD262">
        <v>1</v>
      </c>
      <c r="AO262" t="s">
        <v>6982</v>
      </c>
      <c r="AT262" t="s">
        <v>6996</v>
      </c>
      <c r="AX262" t="s">
        <v>6997</v>
      </c>
      <c r="AZ262">
        <v>1</v>
      </c>
      <c r="BD262">
        <v>1</v>
      </c>
      <c r="BJ262">
        <v>1.1000000000000001</v>
      </c>
      <c r="BK262">
        <v>1</v>
      </c>
      <c r="BL262">
        <v>1</v>
      </c>
      <c r="CB262" t="s">
        <v>134</v>
      </c>
      <c r="CH262" t="s">
        <v>6977</v>
      </c>
      <c r="CZ262" t="s">
        <v>7562</v>
      </c>
    </row>
    <row r="263" spans="1:109" x14ac:dyDescent="0.25">
      <c r="A263" t="s">
        <v>7563</v>
      </c>
      <c r="C263" t="s">
        <v>6888</v>
      </c>
      <c r="K263" s="5" t="s">
        <v>6874</v>
      </c>
      <c r="L263" s="5" t="s">
        <v>6889</v>
      </c>
      <c r="AC263">
        <v>2</v>
      </c>
      <c r="AY263" s="5"/>
      <c r="BD263">
        <v>99</v>
      </c>
      <c r="BO263" s="7" t="s">
        <v>7564</v>
      </c>
      <c r="BV263"/>
      <c r="BW263"/>
      <c r="BX263"/>
      <c r="BY263"/>
      <c r="BZ263"/>
      <c r="CA263"/>
      <c r="CB263" s="5"/>
      <c r="CC263" s="5"/>
      <c r="CD263" s="5"/>
      <c r="CE263" s="5"/>
      <c r="CF263" s="5"/>
      <c r="CG263" s="5"/>
      <c r="CI263" s="5"/>
      <c r="CJ263" s="5"/>
      <c r="CK263" s="5"/>
      <c r="CL263" s="5"/>
      <c r="CM263" s="5"/>
      <c r="CN263" s="5"/>
      <c r="CO263" s="9" t="s">
        <v>7565</v>
      </c>
      <c r="CP263">
        <v>0.18</v>
      </c>
      <c r="CS263">
        <v>99999</v>
      </c>
      <c r="CU263">
        <v>1</v>
      </c>
    </row>
    <row r="264" spans="1:109" x14ac:dyDescent="0.25">
      <c r="A264" t="s">
        <v>7564</v>
      </c>
      <c r="C264" t="s">
        <v>6888</v>
      </c>
      <c r="K264" s="5" t="s">
        <v>6874</v>
      </c>
      <c r="L264" s="5" t="s">
        <v>6889</v>
      </c>
      <c r="AC264">
        <v>2</v>
      </c>
      <c r="AF264">
        <v>1</v>
      </c>
      <c r="AY264" s="5"/>
      <c r="BD264">
        <v>1</v>
      </c>
      <c r="BV264"/>
      <c r="BW264"/>
      <c r="BX264"/>
      <c r="BY264"/>
      <c r="BZ264"/>
      <c r="CA264"/>
      <c r="CB264" s="5"/>
      <c r="CC264" s="5"/>
      <c r="CD264" s="5"/>
      <c r="CE264" s="5"/>
      <c r="CF264" s="5"/>
      <c r="CG264" s="5"/>
      <c r="CI264" s="5"/>
      <c r="CJ264" s="5"/>
      <c r="CK264" s="5"/>
      <c r="CL264" s="5"/>
      <c r="CM264" s="5"/>
      <c r="CN264" s="5"/>
      <c r="CO264" s="9" t="s">
        <v>7565</v>
      </c>
      <c r="CP264">
        <v>0.18</v>
      </c>
      <c r="CS264">
        <v>99999</v>
      </c>
      <c r="CU264">
        <v>1</v>
      </c>
    </row>
    <row r="265" spans="1:109" x14ac:dyDescent="0.25">
      <c r="A265" t="s">
        <v>7566</v>
      </c>
      <c r="C265" t="s">
        <v>6888</v>
      </c>
      <c r="D265" t="s">
        <v>7567</v>
      </c>
      <c r="E265" t="s">
        <v>7568</v>
      </c>
      <c r="F265" t="s">
        <v>7569</v>
      </c>
      <c r="G265">
        <v>3</v>
      </c>
      <c r="J265" t="s">
        <v>7010</v>
      </c>
      <c r="K265" s="5" t="s">
        <v>6906</v>
      </c>
      <c r="AB265">
        <v>1</v>
      </c>
      <c r="AC265">
        <v>2</v>
      </c>
      <c r="AO265" t="s">
        <v>6982</v>
      </c>
      <c r="AT265" t="s">
        <v>6996</v>
      </c>
      <c r="AX265" t="s">
        <v>6997</v>
      </c>
      <c r="AZ265">
        <v>2.4</v>
      </c>
      <c r="BD265">
        <v>1</v>
      </c>
      <c r="BJ265">
        <v>1.7</v>
      </c>
      <c r="BK265">
        <v>1</v>
      </c>
      <c r="BL265">
        <v>1</v>
      </c>
      <c r="BO265" s="7" t="s">
        <v>7570</v>
      </c>
      <c r="BT265">
        <v>25</v>
      </c>
      <c r="BV265" s="8">
        <v>0</v>
      </c>
      <c r="BW265" s="8">
        <v>100</v>
      </c>
      <c r="BX265" s="8">
        <v>1</v>
      </c>
      <c r="BY265" s="8" t="s">
        <v>6907</v>
      </c>
      <c r="CB265" t="s">
        <v>624</v>
      </c>
      <c r="CH265" t="s">
        <v>6977</v>
      </c>
      <c r="CI265" t="s">
        <v>7571</v>
      </c>
      <c r="CJ265" t="s">
        <v>4249</v>
      </c>
      <c r="CO265" s="9" t="s">
        <v>6878</v>
      </c>
      <c r="CS265">
        <v>0.6</v>
      </c>
      <c r="CX265" t="s">
        <v>7572</v>
      </c>
      <c r="CZ265" t="s">
        <v>7573</v>
      </c>
      <c r="DB265" t="s">
        <v>7574</v>
      </c>
    </row>
    <row r="266" spans="1:109" x14ac:dyDescent="0.25">
      <c r="A266" t="s">
        <v>7570</v>
      </c>
      <c r="C266" t="s">
        <v>6888</v>
      </c>
      <c r="K266" s="5" t="s">
        <v>6874</v>
      </c>
      <c r="L266" s="5" t="s">
        <v>7017</v>
      </c>
      <c r="AC266">
        <v>1</v>
      </c>
      <c r="AG266" t="s">
        <v>6876</v>
      </c>
      <c r="AY266" s="5"/>
      <c r="BD266">
        <v>1</v>
      </c>
      <c r="CB266" s="5"/>
      <c r="CC266" s="5"/>
      <c r="CD266" s="5"/>
      <c r="CE266" s="5"/>
      <c r="CF266" s="5"/>
      <c r="CG266" s="5"/>
      <c r="CI266" s="5"/>
      <c r="CJ266" s="5"/>
      <c r="CK266" s="5"/>
      <c r="CL266" s="5"/>
      <c r="CM266" s="5"/>
      <c r="CN266" s="5"/>
      <c r="CO266" s="9" t="s">
        <v>7570</v>
      </c>
      <c r="CP266">
        <v>0.7</v>
      </c>
      <c r="CS266">
        <v>40</v>
      </c>
      <c r="DE266">
        <v>1</v>
      </c>
    </row>
    <row r="268" spans="1:109" x14ac:dyDescent="0.25">
      <c r="A268" t="s">
        <v>7575</v>
      </c>
      <c r="C268" t="s">
        <v>6888</v>
      </c>
      <c r="AC268">
        <v>2</v>
      </c>
      <c r="AD268">
        <v>1</v>
      </c>
      <c r="AO268" t="s">
        <v>6982</v>
      </c>
      <c r="AT268" t="s">
        <v>6976</v>
      </c>
      <c r="AX268" t="s">
        <v>6997</v>
      </c>
      <c r="AZ268">
        <v>1</v>
      </c>
      <c r="BD268">
        <v>1</v>
      </c>
      <c r="CB268" t="s">
        <v>134</v>
      </c>
      <c r="CH268" t="s">
        <v>6977</v>
      </c>
      <c r="CI268" t="s">
        <v>7576</v>
      </c>
      <c r="CJ268" t="s">
        <v>4249</v>
      </c>
      <c r="CX268" t="s">
        <v>7577</v>
      </c>
      <c r="CZ268" t="s">
        <v>7578</v>
      </c>
    </row>
    <row r="269" spans="1:109" x14ac:dyDescent="0.25">
      <c r="A269" t="s">
        <v>7579</v>
      </c>
      <c r="C269" t="s">
        <v>7369</v>
      </c>
      <c r="K269" s="5" t="s">
        <v>6874</v>
      </c>
      <c r="L269" s="5" t="s">
        <v>6889</v>
      </c>
      <c r="AC269">
        <v>1</v>
      </c>
      <c r="AF269">
        <v>1</v>
      </c>
      <c r="AG269" t="s">
        <v>6876</v>
      </c>
      <c r="BD269">
        <v>1</v>
      </c>
      <c r="CV269" t="s">
        <v>7580</v>
      </c>
    </row>
    <row r="270" spans="1:109" x14ac:dyDescent="0.25">
      <c r="A270" t="s">
        <v>7581</v>
      </c>
      <c r="C270" t="s">
        <v>6888</v>
      </c>
      <c r="D270" t="s">
        <v>7582</v>
      </c>
      <c r="E270" t="s">
        <v>7583</v>
      </c>
      <c r="F270" t="s">
        <v>7584</v>
      </c>
      <c r="G270">
        <v>3</v>
      </c>
      <c r="K270" s="5" t="s">
        <v>6874</v>
      </c>
      <c r="L270" s="5" t="s">
        <v>6889</v>
      </c>
      <c r="AC270">
        <v>1</v>
      </c>
      <c r="AF270">
        <v>1</v>
      </c>
      <c r="AG270" t="s">
        <v>7376</v>
      </c>
      <c r="BD270">
        <v>1</v>
      </c>
      <c r="CO270" s="9" t="s">
        <v>7585</v>
      </c>
      <c r="CS270">
        <v>1</v>
      </c>
    </row>
    <row r="271" spans="1:109" x14ac:dyDescent="0.25">
      <c r="A271" t="s">
        <v>7586</v>
      </c>
      <c r="C271" t="s">
        <v>7587</v>
      </c>
      <c r="D271" t="s">
        <v>7588</v>
      </c>
      <c r="E271" t="s">
        <v>7589</v>
      </c>
      <c r="F271" t="s">
        <v>7590</v>
      </c>
      <c r="G271">
        <v>3</v>
      </c>
      <c r="J271" t="s">
        <v>6905</v>
      </c>
      <c r="K271" s="5" t="s">
        <v>6906</v>
      </c>
      <c r="X271" s="5">
        <v>1</v>
      </c>
      <c r="AC271">
        <v>2</v>
      </c>
      <c r="AT271" t="s">
        <v>7011</v>
      </c>
      <c r="AX271" t="s">
        <v>6997</v>
      </c>
      <c r="AZ271">
        <v>6</v>
      </c>
      <c r="BD271">
        <v>99</v>
      </c>
      <c r="BT271">
        <v>0.2</v>
      </c>
      <c r="BV271" s="8">
        <v>0</v>
      </c>
      <c r="BW271" s="8">
        <v>30</v>
      </c>
      <c r="BX271" s="8">
        <v>1</v>
      </c>
      <c r="BY271" s="8" t="s">
        <v>6907</v>
      </c>
      <c r="CB271" t="s">
        <v>624</v>
      </c>
      <c r="CH271" t="s">
        <v>6977</v>
      </c>
      <c r="CO271" s="9" t="s">
        <v>6878</v>
      </c>
      <c r="CS271">
        <v>1</v>
      </c>
      <c r="CX271" t="s">
        <v>7591</v>
      </c>
    </row>
    <row r="272" spans="1:109" x14ac:dyDescent="0.25">
      <c r="A272" t="s">
        <v>7592</v>
      </c>
      <c r="C272" t="s">
        <v>4959</v>
      </c>
      <c r="AC272">
        <v>2</v>
      </c>
      <c r="AO272" t="s">
        <v>6982</v>
      </c>
      <c r="AT272" t="s">
        <v>7006</v>
      </c>
      <c r="AX272" t="s">
        <v>6984</v>
      </c>
      <c r="AZ272">
        <v>1</v>
      </c>
      <c r="BD272">
        <v>1</v>
      </c>
      <c r="CB272" t="s">
        <v>134</v>
      </c>
      <c r="CH272" t="s">
        <v>6977</v>
      </c>
      <c r="CO272" s="9" t="s">
        <v>7103</v>
      </c>
      <c r="CP272">
        <v>-25</v>
      </c>
      <c r="CS272">
        <v>1</v>
      </c>
    </row>
    <row r="273" spans="1:104" x14ac:dyDescent="0.25">
      <c r="A273" t="s">
        <v>7593</v>
      </c>
      <c r="C273" t="s">
        <v>6888</v>
      </c>
      <c r="K273" s="5" t="s">
        <v>6907</v>
      </c>
      <c r="O273" t="s">
        <v>7585</v>
      </c>
      <c r="AC273">
        <v>1</v>
      </c>
      <c r="AT273" t="s">
        <v>7594</v>
      </c>
      <c r="BD273">
        <v>99</v>
      </c>
      <c r="BS273">
        <v>0.1</v>
      </c>
      <c r="CO273" s="9" t="s">
        <v>7585</v>
      </c>
      <c r="CS273">
        <v>0.1</v>
      </c>
    </row>
    <row r="275" spans="1:104" x14ac:dyDescent="0.25">
      <c r="A275" t="s">
        <v>7595</v>
      </c>
      <c r="C275" t="s">
        <v>4959</v>
      </c>
      <c r="AC275">
        <v>2</v>
      </c>
      <c r="AO275" t="s">
        <v>6982</v>
      </c>
      <c r="AT275" t="s">
        <v>7006</v>
      </c>
      <c r="AX275" t="s">
        <v>6984</v>
      </c>
      <c r="AZ275">
        <v>1</v>
      </c>
      <c r="BD275">
        <v>1</v>
      </c>
      <c r="CB275" t="s">
        <v>134</v>
      </c>
      <c r="CH275" t="s">
        <v>6977</v>
      </c>
      <c r="CZ275" t="s">
        <v>7596</v>
      </c>
    </row>
    <row r="276" spans="1:104" x14ac:dyDescent="0.25">
      <c r="A276" t="s">
        <v>7597</v>
      </c>
      <c r="C276" t="s">
        <v>6888</v>
      </c>
      <c r="K276" s="5" t="s">
        <v>6874</v>
      </c>
      <c r="L276" s="5" t="s">
        <v>6889</v>
      </c>
      <c r="AC276">
        <v>1</v>
      </c>
      <c r="AY276" s="5"/>
      <c r="BD276">
        <v>99</v>
      </c>
      <c r="BO276" s="7" t="s">
        <v>7598</v>
      </c>
      <c r="BV276"/>
      <c r="BW276"/>
      <c r="BX276"/>
      <c r="BY276"/>
      <c r="BZ276"/>
      <c r="CA276"/>
      <c r="CB276" s="5"/>
      <c r="CC276" s="5"/>
      <c r="CD276" s="5"/>
      <c r="CE276" s="5"/>
      <c r="CF276" s="5"/>
      <c r="CG276" s="5"/>
      <c r="CI276" s="5"/>
      <c r="CJ276" s="5"/>
      <c r="CK276" s="5"/>
      <c r="CL276" s="5"/>
      <c r="CM276" s="5"/>
      <c r="CN276" s="5"/>
      <c r="CO276" s="9" t="s">
        <v>7599</v>
      </c>
      <c r="CP276">
        <v>0.12</v>
      </c>
      <c r="CS276">
        <v>99999</v>
      </c>
      <c r="CU276">
        <v>1</v>
      </c>
    </row>
    <row r="277" spans="1:104" x14ac:dyDescent="0.25">
      <c r="A277" t="s">
        <v>7598</v>
      </c>
      <c r="C277" t="s">
        <v>6888</v>
      </c>
      <c r="K277" s="5" t="s">
        <v>6874</v>
      </c>
      <c r="L277" s="5" t="s">
        <v>6889</v>
      </c>
      <c r="AC277">
        <v>1</v>
      </c>
      <c r="AF277">
        <v>1</v>
      </c>
      <c r="AG277" t="s">
        <v>7400</v>
      </c>
      <c r="AY277" s="5"/>
      <c r="BD277">
        <v>1</v>
      </c>
      <c r="BV277"/>
      <c r="BW277"/>
      <c r="BX277"/>
      <c r="BY277"/>
      <c r="BZ277"/>
      <c r="CA277"/>
      <c r="CB277" s="5"/>
      <c r="CC277" s="5"/>
      <c r="CD277" s="5"/>
      <c r="CE277" s="5"/>
      <c r="CF277" s="5"/>
      <c r="CG277" s="5"/>
      <c r="CI277" s="5"/>
      <c r="CJ277" s="5"/>
      <c r="CK277" s="5"/>
      <c r="CL277" s="5"/>
      <c r="CM277" s="5"/>
      <c r="CN277" s="5"/>
      <c r="CO277" s="9" t="s">
        <v>7599</v>
      </c>
      <c r="CP277">
        <v>0.12</v>
      </c>
      <c r="CS277">
        <v>99999</v>
      </c>
      <c r="CU277">
        <v>1</v>
      </c>
    </row>
    <row r="278" spans="1:104" x14ac:dyDescent="0.25">
      <c r="A278" t="s">
        <v>7600</v>
      </c>
      <c r="C278" t="s">
        <v>6888</v>
      </c>
      <c r="D278" t="s">
        <v>7601</v>
      </c>
      <c r="E278" t="s">
        <v>7602</v>
      </c>
      <c r="F278" t="s">
        <v>7603</v>
      </c>
      <c r="G278">
        <v>3</v>
      </c>
      <c r="J278" t="s">
        <v>6905</v>
      </c>
      <c r="K278" s="5" t="s">
        <v>6907</v>
      </c>
      <c r="U278" s="5">
        <v>0.5</v>
      </c>
      <c r="AC278">
        <v>1</v>
      </c>
      <c r="AO278" t="s">
        <v>6975</v>
      </c>
      <c r="AT278" t="s">
        <v>7011</v>
      </c>
      <c r="AY278" s="5">
        <v>1</v>
      </c>
      <c r="AZ278">
        <v>1.8</v>
      </c>
      <c r="BD278">
        <v>1</v>
      </c>
      <c r="BT278">
        <v>0.2</v>
      </c>
      <c r="BV278" s="8">
        <v>0</v>
      </c>
      <c r="BW278" s="8">
        <v>4</v>
      </c>
      <c r="BX278" s="8">
        <v>3</v>
      </c>
      <c r="BY278" s="8" t="s">
        <v>6907</v>
      </c>
      <c r="CB278" s="5" t="s">
        <v>134</v>
      </c>
      <c r="CC278" s="5"/>
      <c r="CD278" s="5"/>
      <c r="CE278" s="5"/>
      <c r="CF278" s="5"/>
      <c r="CG278" s="5"/>
      <c r="CH278" t="s">
        <v>6977</v>
      </c>
      <c r="CK278" s="5"/>
      <c r="CL278" s="5"/>
      <c r="CM278" s="5"/>
      <c r="CN278" s="5"/>
      <c r="CY278" t="s">
        <v>7604</v>
      </c>
      <c r="CZ278" t="s">
        <v>7605</v>
      </c>
    </row>
    <row r="279" spans="1:104" x14ac:dyDescent="0.25">
      <c r="A279" t="s">
        <v>7606</v>
      </c>
      <c r="C279" t="s">
        <v>6888</v>
      </c>
      <c r="D279" t="s">
        <v>7607</v>
      </c>
      <c r="E279" t="s">
        <v>7608</v>
      </c>
      <c r="F279" t="s">
        <v>7609</v>
      </c>
      <c r="G279">
        <v>3</v>
      </c>
      <c r="J279" t="s">
        <v>7010</v>
      </c>
      <c r="K279" s="5" t="s">
        <v>6906</v>
      </c>
      <c r="AB279">
        <v>1</v>
      </c>
      <c r="AC279">
        <v>1</v>
      </c>
      <c r="AO279" t="s">
        <v>6975</v>
      </c>
      <c r="AT279" t="s">
        <v>7011</v>
      </c>
      <c r="AY279">
        <v>1</v>
      </c>
      <c r="AZ279">
        <v>1</v>
      </c>
      <c r="BD279">
        <v>1</v>
      </c>
      <c r="BO279" s="7" t="s">
        <v>7610</v>
      </c>
      <c r="BT279">
        <v>40</v>
      </c>
      <c r="BV279" s="8">
        <v>30</v>
      </c>
      <c r="BW279" s="8">
        <v>40</v>
      </c>
      <c r="BX279" s="8">
        <v>1</v>
      </c>
      <c r="BY279" s="8" t="s">
        <v>6907</v>
      </c>
      <c r="CB279" t="s">
        <v>624</v>
      </c>
      <c r="CH279" t="s">
        <v>6977</v>
      </c>
      <c r="CZ279" t="s">
        <v>7605</v>
      </c>
    </row>
    <row r="280" spans="1:104" x14ac:dyDescent="0.25">
      <c r="A280" t="s">
        <v>7611</v>
      </c>
      <c r="C280" t="s">
        <v>6888</v>
      </c>
      <c r="K280" s="5" t="s">
        <v>6874</v>
      </c>
      <c r="L280" s="5" t="s">
        <v>7017</v>
      </c>
      <c r="AC280">
        <v>1</v>
      </c>
      <c r="AY280" s="5"/>
      <c r="BD280">
        <v>1</v>
      </c>
      <c r="BV280"/>
      <c r="BW280"/>
      <c r="BX280"/>
      <c r="BY280"/>
      <c r="BZ280"/>
      <c r="CA280"/>
      <c r="CB280" s="5"/>
      <c r="CC280" s="5"/>
      <c r="CD280" s="5"/>
      <c r="CE280" s="5"/>
      <c r="CF280" s="5"/>
      <c r="CG280" s="5"/>
      <c r="CI280" s="5"/>
      <c r="CJ280" s="5"/>
      <c r="CK280" s="5"/>
      <c r="CL280" s="5"/>
      <c r="CM280" s="5"/>
      <c r="CN280" s="5"/>
      <c r="CO280" s="9" t="s">
        <v>7611</v>
      </c>
      <c r="CP280" t="s">
        <v>7364</v>
      </c>
      <c r="CS280">
        <v>40</v>
      </c>
    </row>
    <row r="281" spans="1:104" x14ac:dyDescent="0.25">
      <c r="A281" t="s">
        <v>7612</v>
      </c>
      <c r="C281" t="s">
        <v>6888</v>
      </c>
      <c r="K281" s="5" t="s">
        <v>6874</v>
      </c>
      <c r="L281" s="5" t="s">
        <v>7017</v>
      </c>
      <c r="AC281">
        <v>1</v>
      </c>
      <c r="AY281" s="5"/>
      <c r="BD281">
        <v>1</v>
      </c>
      <c r="BV281"/>
      <c r="BW281"/>
      <c r="BX281"/>
      <c r="BY281"/>
      <c r="BZ281"/>
      <c r="CA281"/>
      <c r="CB281" s="5"/>
      <c r="CC281" s="5"/>
      <c r="CD281" s="5"/>
      <c r="CE281" s="5"/>
      <c r="CF281" s="5"/>
      <c r="CG281" s="5"/>
      <c r="CI281" s="5"/>
      <c r="CJ281" s="5"/>
      <c r="CK281" s="5"/>
      <c r="CL281" s="5"/>
      <c r="CM281" s="5"/>
      <c r="CN281" s="5"/>
      <c r="CO281" s="9" t="s">
        <v>7019</v>
      </c>
      <c r="CS281">
        <v>40</v>
      </c>
    </row>
    <row r="283" spans="1:104" x14ac:dyDescent="0.25">
      <c r="A283" t="s">
        <v>7613</v>
      </c>
      <c r="C283" t="s">
        <v>6888</v>
      </c>
      <c r="K283" s="5" t="s">
        <v>6907</v>
      </c>
      <c r="AC283">
        <v>1</v>
      </c>
      <c r="AO283" t="s">
        <v>6975</v>
      </c>
      <c r="AT283" t="s">
        <v>7064</v>
      </c>
      <c r="AY283">
        <v>1</v>
      </c>
      <c r="AZ283">
        <v>1</v>
      </c>
      <c r="BD283">
        <v>1</v>
      </c>
      <c r="CB283" t="s">
        <v>134</v>
      </c>
      <c r="CH283" t="s">
        <v>6977</v>
      </c>
      <c r="CI283" t="s">
        <v>7614</v>
      </c>
      <c r="CJ283" t="s">
        <v>4249</v>
      </c>
      <c r="CZ283" t="s">
        <v>6954</v>
      </c>
    </row>
    <row r="284" spans="1:104" x14ac:dyDescent="0.25">
      <c r="A284" t="s">
        <v>7615</v>
      </c>
      <c r="C284" t="s">
        <v>6888</v>
      </c>
      <c r="K284" s="5" t="s">
        <v>6874</v>
      </c>
      <c r="L284" s="5" t="s">
        <v>6889</v>
      </c>
      <c r="AC284">
        <v>1</v>
      </c>
      <c r="AI284" t="s">
        <v>327</v>
      </c>
      <c r="AY284" s="5"/>
      <c r="BD284">
        <v>99</v>
      </c>
      <c r="BO284" s="7" t="s">
        <v>7616</v>
      </c>
      <c r="BV284"/>
      <c r="BW284"/>
      <c r="BX284"/>
      <c r="BY284"/>
      <c r="BZ284"/>
      <c r="CA284"/>
      <c r="CB284" s="5"/>
      <c r="CC284" s="5"/>
      <c r="CD284" s="5"/>
      <c r="CE284" s="5"/>
      <c r="CF284" s="5"/>
      <c r="CG284" s="5"/>
      <c r="CI284" s="5"/>
      <c r="CJ284" s="5"/>
      <c r="CK284" s="5"/>
      <c r="CL284" s="5"/>
      <c r="CM284" s="5"/>
      <c r="CN284" s="5"/>
      <c r="CO284" s="9" t="s">
        <v>7103</v>
      </c>
      <c r="CP284">
        <v>0.14000000000000001</v>
      </c>
      <c r="CS284">
        <v>99999</v>
      </c>
      <c r="CU284">
        <v>1</v>
      </c>
    </row>
    <row r="285" spans="1:104" x14ac:dyDescent="0.25">
      <c r="A285" t="s">
        <v>7616</v>
      </c>
      <c r="C285" t="s">
        <v>6888</v>
      </c>
      <c r="K285" s="5" t="s">
        <v>6874</v>
      </c>
      <c r="L285" s="5" t="s">
        <v>6889</v>
      </c>
      <c r="AC285">
        <v>1</v>
      </c>
      <c r="AF285">
        <v>1</v>
      </c>
      <c r="AG285" t="s">
        <v>7400</v>
      </c>
      <c r="AI285" t="s">
        <v>327</v>
      </c>
      <c r="AY285" s="5"/>
      <c r="BD285">
        <v>1</v>
      </c>
      <c r="BV285"/>
      <c r="BW285"/>
      <c r="BX285"/>
      <c r="BY285"/>
      <c r="BZ285"/>
      <c r="CA285"/>
      <c r="CB285" s="5"/>
      <c r="CC285" s="5"/>
      <c r="CD285" s="5"/>
      <c r="CE285" s="5"/>
      <c r="CF285" s="5"/>
      <c r="CG285" s="5"/>
      <c r="CI285" s="5"/>
      <c r="CJ285" s="5"/>
      <c r="CK285" s="5"/>
      <c r="CL285" s="5"/>
      <c r="CM285" s="5"/>
      <c r="CN285" s="5"/>
      <c r="CO285" s="9" t="s">
        <v>7103</v>
      </c>
      <c r="CP285">
        <v>0.14000000000000001</v>
      </c>
      <c r="CS285">
        <v>99999</v>
      </c>
      <c r="CU285">
        <v>1</v>
      </c>
    </row>
    <row r="286" spans="1:104" x14ac:dyDescent="0.25">
      <c r="A286" t="s">
        <v>7617</v>
      </c>
      <c r="C286" t="s">
        <v>7369</v>
      </c>
      <c r="D286" t="s">
        <v>7618</v>
      </c>
      <c r="E286" t="s">
        <v>7619</v>
      </c>
      <c r="F286" t="s">
        <v>7620</v>
      </c>
      <c r="G286">
        <v>3</v>
      </c>
      <c r="J286" t="s">
        <v>6905</v>
      </c>
      <c r="K286" s="5" t="s">
        <v>6874</v>
      </c>
      <c r="W286" s="5">
        <v>1</v>
      </c>
      <c r="AC286">
        <v>1</v>
      </c>
      <c r="AG286" t="s">
        <v>6876</v>
      </c>
      <c r="BD286">
        <v>1</v>
      </c>
      <c r="BT286">
        <v>0.2</v>
      </c>
      <c r="BV286" s="8">
        <v>0</v>
      </c>
      <c r="BW286" s="8">
        <v>18</v>
      </c>
      <c r="BX286" s="8">
        <v>1</v>
      </c>
      <c r="BY286" s="8" t="s">
        <v>6907</v>
      </c>
      <c r="CV286" t="s">
        <v>7621</v>
      </c>
    </row>
    <row r="287" spans="1:104" x14ac:dyDescent="0.25">
      <c r="A287" t="s">
        <v>7622</v>
      </c>
      <c r="C287" t="s">
        <v>6888</v>
      </c>
      <c r="K287" s="5" t="s">
        <v>6907</v>
      </c>
      <c r="AC287">
        <v>1</v>
      </c>
      <c r="AO287" t="s">
        <v>6975</v>
      </c>
      <c r="AT287" t="s">
        <v>7011</v>
      </c>
      <c r="AY287">
        <v>1</v>
      </c>
      <c r="AZ287">
        <v>1</v>
      </c>
      <c r="BA287">
        <v>1</v>
      </c>
      <c r="BD287">
        <v>99</v>
      </c>
      <c r="BS287">
        <v>0.5</v>
      </c>
      <c r="CZ287" t="s">
        <v>6954</v>
      </c>
    </row>
    <row r="288" spans="1:104" x14ac:dyDescent="0.25">
      <c r="A288" t="s">
        <v>7623</v>
      </c>
      <c r="C288" t="s">
        <v>6888</v>
      </c>
      <c r="K288" s="5" t="s">
        <v>6874</v>
      </c>
      <c r="L288" s="5" t="s">
        <v>6892</v>
      </c>
      <c r="AC288">
        <v>1</v>
      </c>
      <c r="AG288" t="s">
        <v>6876</v>
      </c>
      <c r="AH288">
        <v>1</v>
      </c>
      <c r="AY288" s="5"/>
      <c r="BD288">
        <v>1</v>
      </c>
      <c r="BV288"/>
      <c r="BW288"/>
      <c r="BX288"/>
      <c r="BY288"/>
      <c r="BZ288"/>
      <c r="CA288"/>
      <c r="CB288" s="5"/>
      <c r="CC288" s="5"/>
      <c r="CD288" s="5"/>
      <c r="CE288" s="5"/>
      <c r="CF288" s="5"/>
      <c r="CG288" s="5"/>
      <c r="CI288" s="5"/>
      <c r="CJ288" s="5"/>
      <c r="CK288" s="5"/>
      <c r="CL288" s="5"/>
      <c r="CM288" s="5"/>
      <c r="CN288" s="5"/>
      <c r="CO288" s="9" t="s">
        <v>7624</v>
      </c>
      <c r="CS288">
        <v>99999</v>
      </c>
    </row>
    <row r="290" spans="1:109" x14ac:dyDescent="0.25">
      <c r="A290" t="s">
        <v>7625</v>
      </c>
      <c r="C290" t="s">
        <v>6888</v>
      </c>
      <c r="K290" s="5" t="s">
        <v>6907</v>
      </c>
      <c r="AC290">
        <v>1</v>
      </c>
      <c r="AO290" t="s">
        <v>6975</v>
      </c>
      <c r="AT290" t="s">
        <v>7064</v>
      </c>
      <c r="AY290">
        <v>1</v>
      </c>
      <c r="AZ290">
        <v>1</v>
      </c>
      <c r="BD290">
        <v>1</v>
      </c>
      <c r="CB290" t="s">
        <v>134</v>
      </c>
      <c r="CH290" t="s">
        <v>6977</v>
      </c>
      <c r="CY290" t="s">
        <v>7626</v>
      </c>
      <c r="CZ290" t="s">
        <v>7627</v>
      </c>
    </row>
    <row r="291" spans="1:109" x14ac:dyDescent="0.25">
      <c r="A291" t="s">
        <v>7628</v>
      </c>
      <c r="C291" t="s">
        <v>7629</v>
      </c>
      <c r="K291" s="5" t="s">
        <v>6874</v>
      </c>
      <c r="L291" s="5" t="s">
        <v>7234</v>
      </c>
      <c r="AC291">
        <v>2</v>
      </c>
      <c r="AH291">
        <v>1</v>
      </c>
      <c r="AT291" t="s">
        <v>7064</v>
      </c>
      <c r="AY291" s="5"/>
      <c r="BP291" s="7" t="s">
        <v>7630</v>
      </c>
      <c r="CB291" s="5"/>
      <c r="CC291" s="5"/>
      <c r="CD291" s="5"/>
      <c r="CE291" s="5"/>
      <c r="CF291" s="5"/>
      <c r="CG291" s="5"/>
      <c r="CI291" s="5"/>
      <c r="CJ291" s="5"/>
      <c r="CK291" s="5"/>
      <c r="CL291" s="5"/>
      <c r="CM291" s="5"/>
      <c r="CN291" s="5"/>
      <c r="CV291" t="s">
        <v>7631</v>
      </c>
    </row>
    <row r="292" spans="1:109" x14ac:dyDescent="0.25">
      <c r="A292" t="s">
        <v>7630</v>
      </c>
      <c r="C292" t="s">
        <v>7076</v>
      </c>
      <c r="K292" s="5" t="s">
        <v>6874</v>
      </c>
      <c r="AC292">
        <v>1</v>
      </c>
      <c r="AG292" t="s">
        <v>7400</v>
      </c>
      <c r="AO292" t="s">
        <v>7538</v>
      </c>
      <c r="AT292" t="s">
        <v>7064</v>
      </c>
      <c r="BD292">
        <v>1</v>
      </c>
      <c r="CV292" t="s">
        <v>7632</v>
      </c>
    </row>
    <row r="293" spans="1:109" x14ac:dyDescent="0.25">
      <c r="A293" t="s">
        <v>7633</v>
      </c>
      <c r="C293" t="s">
        <v>6888</v>
      </c>
      <c r="D293" t="s">
        <v>7634</v>
      </c>
      <c r="E293" t="s">
        <v>7635</v>
      </c>
      <c r="F293" t="s">
        <v>7636</v>
      </c>
      <c r="G293">
        <v>3</v>
      </c>
      <c r="J293" t="s">
        <v>6905</v>
      </c>
      <c r="K293" s="5" t="s">
        <v>6907</v>
      </c>
      <c r="U293" s="5">
        <v>0.5</v>
      </c>
      <c r="AC293">
        <v>1</v>
      </c>
      <c r="AO293" t="s">
        <v>6975</v>
      </c>
      <c r="AT293" t="s">
        <v>7064</v>
      </c>
      <c r="AY293">
        <v>1</v>
      </c>
      <c r="AZ293">
        <v>1</v>
      </c>
      <c r="BD293">
        <v>1</v>
      </c>
      <c r="BT293">
        <v>0.2</v>
      </c>
      <c r="BV293" s="8">
        <v>0</v>
      </c>
      <c r="BW293" s="8">
        <v>4</v>
      </c>
      <c r="BX293" s="8">
        <v>4</v>
      </c>
      <c r="BY293" s="8" t="s">
        <v>7061</v>
      </c>
      <c r="CB293" t="s">
        <v>134</v>
      </c>
      <c r="CH293" t="s">
        <v>6977</v>
      </c>
      <c r="CK293" t="s">
        <v>7637</v>
      </c>
      <c r="CY293" t="s">
        <v>7638</v>
      </c>
      <c r="CZ293" t="s">
        <v>7639</v>
      </c>
    </row>
    <row r="294" spans="1:109" x14ac:dyDescent="0.25">
      <c r="A294" t="s">
        <v>7640</v>
      </c>
      <c r="C294" t="s">
        <v>6888</v>
      </c>
      <c r="D294" t="s">
        <v>7641</v>
      </c>
      <c r="E294" t="s">
        <v>7642</v>
      </c>
      <c r="F294" t="s">
        <v>7643</v>
      </c>
      <c r="G294">
        <v>3</v>
      </c>
      <c r="J294" t="s">
        <v>6905</v>
      </c>
      <c r="K294" s="5" t="s">
        <v>6906</v>
      </c>
      <c r="AB294">
        <v>1</v>
      </c>
      <c r="AC294">
        <v>1</v>
      </c>
      <c r="AY294" s="5"/>
      <c r="BD294">
        <v>1</v>
      </c>
      <c r="BP294" s="7" t="s">
        <v>7644</v>
      </c>
      <c r="BT294">
        <v>0.2</v>
      </c>
      <c r="BV294" s="8">
        <v>50</v>
      </c>
      <c r="BW294" s="8">
        <v>60</v>
      </c>
      <c r="BX294" s="8">
        <v>1</v>
      </c>
      <c r="BY294" s="8" t="s">
        <v>6907</v>
      </c>
      <c r="CB294" t="s">
        <v>134</v>
      </c>
      <c r="CD294" s="5"/>
      <c r="CE294" s="5"/>
      <c r="CF294" s="5"/>
      <c r="CG294" s="5"/>
      <c r="CH294" t="s">
        <v>6977</v>
      </c>
      <c r="CI294" s="5"/>
      <c r="CJ294" s="5"/>
      <c r="CK294" s="5"/>
      <c r="CN294" s="5"/>
      <c r="CO294" s="9" t="s">
        <v>7645</v>
      </c>
      <c r="CP294">
        <v>0.9</v>
      </c>
      <c r="CQ294">
        <v>0.03</v>
      </c>
      <c r="CS294">
        <v>15</v>
      </c>
    </row>
    <row r="295" spans="1:109" x14ac:dyDescent="0.25">
      <c r="A295" t="s">
        <v>7644</v>
      </c>
      <c r="C295" t="s">
        <v>6888</v>
      </c>
      <c r="K295" s="5" t="s">
        <v>6874</v>
      </c>
      <c r="AC295">
        <v>1</v>
      </c>
      <c r="AG295" t="s">
        <v>7400</v>
      </c>
      <c r="AO295" t="s">
        <v>7538</v>
      </c>
      <c r="AT295" t="s">
        <v>7064</v>
      </c>
      <c r="AY295" s="5"/>
      <c r="BD295">
        <v>1</v>
      </c>
      <c r="CD295" s="5"/>
      <c r="CE295" s="5"/>
      <c r="CF295" s="5"/>
      <c r="CG295" s="5"/>
      <c r="CI295" s="5"/>
      <c r="CJ295" s="5"/>
      <c r="CK295" s="5"/>
      <c r="CL295" s="5"/>
      <c r="CM295" s="5"/>
      <c r="CN295" s="5"/>
      <c r="CO295" s="9" t="s">
        <v>7645</v>
      </c>
      <c r="CP295">
        <v>0.9</v>
      </c>
      <c r="CQ295">
        <v>0.03</v>
      </c>
      <c r="CS295">
        <v>15</v>
      </c>
    </row>
    <row r="297" spans="1:109" x14ac:dyDescent="0.25">
      <c r="A297" t="s">
        <v>7646</v>
      </c>
      <c r="C297" t="s">
        <v>4959</v>
      </c>
      <c r="K297" s="5" t="s">
        <v>6907</v>
      </c>
      <c r="AC297">
        <v>2</v>
      </c>
      <c r="AO297" t="s">
        <v>6982</v>
      </c>
      <c r="AT297" t="s">
        <v>6983</v>
      </c>
      <c r="AX297" t="s">
        <v>6984</v>
      </c>
      <c r="AZ297">
        <v>1</v>
      </c>
      <c r="BD297">
        <v>1</v>
      </c>
      <c r="CB297" t="s">
        <v>134</v>
      </c>
      <c r="CH297" t="s">
        <v>6977</v>
      </c>
      <c r="CY297" t="s">
        <v>7647</v>
      </c>
      <c r="CZ297" t="s">
        <v>7648</v>
      </c>
    </row>
    <row r="298" spans="1:109" x14ac:dyDescent="0.25">
      <c r="A298" t="s">
        <v>7649</v>
      </c>
      <c r="C298" t="s">
        <v>6888</v>
      </c>
      <c r="D298" t="s">
        <v>7650</v>
      </c>
      <c r="E298" t="s">
        <v>7651</v>
      </c>
      <c r="F298" t="s">
        <v>7652</v>
      </c>
      <c r="G298">
        <v>3</v>
      </c>
      <c r="K298" s="5" t="s">
        <v>6874</v>
      </c>
      <c r="L298" s="5" t="s">
        <v>7077</v>
      </c>
      <c r="AC298">
        <v>1</v>
      </c>
      <c r="AY298" s="5"/>
      <c r="BD298">
        <v>1</v>
      </c>
      <c r="BT298">
        <v>10</v>
      </c>
      <c r="BV298"/>
      <c r="BW298"/>
      <c r="BX298"/>
      <c r="BY298"/>
      <c r="BZ298"/>
      <c r="CA298"/>
      <c r="CB298" s="5"/>
      <c r="CC298" s="5"/>
      <c r="CD298" s="5"/>
      <c r="CE298" s="5"/>
      <c r="CF298" s="5"/>
      <c r="CG298" s="5"/>
      <c r="CI298" s="5"/>
      <c r="CJ298" s="5"/>
      <c r="CK298" s="5"/>
      <c r="CL298" s="5"/>
      <c r="CM298" s="5"/>
      <c r="CN298" s="5"/>
      <c r="CO298" s="9" t="s">
        <v>7653</v>
      </c>
      <c r="CP298">
        <v>0.8</v>
      </c>
      <c r="CS298">
        <v>10</v>
      </c>
      <c r="DE298">
        <v>1</v>
      </c>
    </row>
    <row r="299" spans="1:109" ht="15" customHeight="1" x14ac:dyDescent="0.25">
      <c r="A299" t="s">
        <v>7654</v>
      </c>
      <c r="C299" t="s">
        <v>6888</v>
      </c>
      <c r="D299" t="s">
        <v>7655</v>
      </c>
      <c r="E299" t="s">
        <v>7656</v>
      </c>
      <c r="F299" t="s">
        <v>7657</v>
      </c>
      <c r="G299">
        <v>3</v>
      </c>
      <c r="K299" s="5" t="s">
        <v>6874</v>
      </c>
      <c r="L299" s="5" t="s">
        <v>7077</v>
      </c>
      <c r="X299" s="5">
        <v>1</v>
      </c>
      <c r="AC299">
        <v>2</v>
      </c>
      <c r="AO299" t="s">
        <v>6982</v>
      </c>
      <c r="AT299" t="s">
        <v>7594</v>
      </c>
      <c r="AX299" t="s">
        <v>6984</v>
      </c>
      <c r="AZ299">
        <v>2.5</v>
      </c>
      <c r="BD299">
        <v>99</v>
      </c>
      <c r="CH299" t="s">
        <v>7394</v>
      </c>
      <c r="CO299" s="9" t="s">
        <v>6878</v>
      </c>
      <c r="CS299">
        <v>3</v>
      </c>
      <c r="CY299" t="s">
        <v>7658</v>
      </c>
    </row>
    <row r="301" spans="1:109" x14ac:dyDescent="0.25">
      <c r="A301" t="s">
        <v>7659</v>
      </c>
      <c r="C301" t="s">
        <v>4959</v>
      </c>
      <c r="AC301">
        <v>2</v>
      </c>
      <c r="AO301" t="s">
        <v>6982</v>
      </c>
      <c r="AT301" t="s">
        <v>7165</v>
      </c>
      <c r="AX301" t="s">
        <v>6984</v>
      </c>
      <c r="AZ301">
        <v>1</v>
      </c>
      <c r="BD301">
        <v>1</v>
      </c>
      <c r="CB301" t="s">
        <v>7087</v>
      </c>
      <c r="CH301" t="s">
        <v>6977</v>
      </c>
      <c r="CY301" t="s">
        <v>7660</v>
      </c>
      <c r="CZ301" t="s">
        <v>6994</v>
      </c>
    </row>
    <row r="302" spans="1:109" x14ac:dyDescent="0.25">
      <c r="A302" t="s">
        <v>7661</v>
      </c>
      <c r="C302" t="s">
        <v>7076</v>
      </c>
      <c r="K302" s="5" t="s">
        <v>6874</v>
      </c>
      <c r="L302" s="5" t="s">
        <v>7662</v>
      </c>
      <c r="AC302">
        <v>1</v>
      </c>
      <c r="AG302" t="s">
        <v>6876</v>
      </c>
      <c r="AT302" t="s">
        <v>7006</v>
      </c>
      <c r="BD302">
        <v>1</v>
      </c>
      <c r="BP302" s="7" t="s">
        <v>7663</v>
      </c>
      <c r="CV302" t="s">
        <v>7632</v>
      </c>
    </row>
    <row r="303" spans="1:109" x14ac:dyDescent="0.25">
      <c r="A303" t="s">
        <v>7663</v>
      </c>
      <c r="C303" t="s">
        <v>7076</v>
      </c>
      <c r="K303" s="5" t="s">
        <v>6874</v>
      </c>
      <c r="AC303">
        <v>1</v>
      </c>
      <c r="AG303" t="s">
        <v>7400</v>
      </c>
      <c r="AO303" t="s">
        <v>7538</v>
      </c>
      <c r="AT303" t="s">
        <v>7594</v>
      </c>
      <c r="BD303">
        <v>1</v>
      </c>
      <c r="CV303" t="s">
        <v>7632</v>
      </c>
    </row>
    <row r="304" spans="1:109" x14ac:dyDescent="0.25">
      <c r="A304" t="s">
        <v>7664</v>
      </c>
      <c r="C304" t="s">
        <v>6888</v>
      </c>
      <c r="D304" t="s">
        <v>7665</v>
      </c>
      <c r="E304" t="s">
        <v>7666</v>
      </c>
      <c r="F304" t="s">
        <v>7667</v>
      </c>
      <c r="G304">
        <v>3</v>
      </c>
      <c r="J304" t="s">
        <v>6905</v>
      </c>
      <c r="K304" s="5" t="s">
        <v>6907</v>
      </c>
      <c r="W304" s="5">
        <v>1</v>
      </c>
      <c r="AC304">
        <v>1</v>
      </c>
      <c r="AG304" t="s">
        <v>6876</v>
      </c>
      <c r="BD304">
        <v>1</v>
      </c>
      <c r="BT304">
        <v>0.2</v>
      </c>
      <c r="BV304" s="8">
        <v>0</v>
      </c>
      <c r="BW304" s="8">
        <v>18</v>
      </c>
      <c r="BX304" s="8">
        <v>1</v>
      </c>
      <c r="BY304" s="8" t="s">
        <v>7240</v>
      </c>
      <c r="CO304" s="9" t="s">
        <v>7668</v>
      </c>
      <c r="CQ304">
        <v>1</v>
      </c>
      <c r="CS304">
        <v>8</v>
      </c>
    </row>
    <row r="305" spans="1:109" x14ac:dyDescent="0.25">
      <c r="A305" t="s">
        <v>7669</v>
      </c>
      <c r="C305" t="s">
        <v>6888</v>
      </c>
      <c r="D305" t="s">
        <v>7670</v>
      </c>
      <c r="E305" t="s">
        <v>7671</v>
      </c>
      <c r="F305" t="s">
        <v>7672</v>
      </c>
      <c r="G305">
        <v>3</v>
      </c>
      <c r="J305" t="s">
        <v>7010</v>
      </c>
      <c r="K305" s="5" t="s">
        <v>6906</v>
      </c>
      <c r="AB305">
        <v>1</v>
      </c>
      <c r="AC305">
        <v>2</v>
      </c>
      <c r="AO305" t="s">
        <v>6982</v>
      </c>
      <c r="AT305" t="s">
        <v>7165</v>
      </c>
      <c r="AX305" t="s">
        <v>6997</v>
      </c>
      <c r="AZ305">
        <v>1</v>
      </c>
      <c r="BD305">
        <v>4</v>
      </c>
      <c r="BO305" s="7" t="s">
        <v>7673</v>
      </c>
      <c r="BT305">
        <v>20</v>
      </c>
      <c r="BV305" s="8">
        <v>0</v>
      </c>
      <c r="BW305" s="8">
        <v>34</v>
      </c>
      <c r="BX305" s="8">
        <v>1</v>
      </c>
      <c r="BY305" s="8" t="s">
        <v>7240</v>
      </c>
      <c r="CB305" t="s">
        <v>624</v>
      </c>
      <c r="CE305" t="s">
        <v>7417</v>
      </c>
      <c r="CH305" t="s">
        <v>6977</v>
      </c>
      <c r="CO305" s="9" t="s">
        <v>6878</v>
      </c>
      <c r="CS305">
        <v>1</v>
      </c>
      <c r="CT305">
        <v>0.25</v>
      </c>
      <c r="CY305" t="s">
        <v>7674</v>
      </c>
      <c r="CZ305" t="s">
        <v>7675</v>
      </c>
    </row>
    <row r="306" spans="1:109" x14ac:dyDescent="0.25">
      <c r="A306" t="s">
        <v>7676</v>
      </c>
      <c r="C306" t="s">
        <v>6888</v>
      </c>
      <c r="K306" s="5" t="s">
        <v>6874</v>
      </c>
      <c r="L306" s="5" t="s">
        <v>7017</v>
      </c>
      <c r="AC306">
        <v>1</v>
      </c>
      <c r="AY306" s="5"/>
      <c r="BD306">
        <v>1</v>
      </c>
      <c r="BV306"/>
      <c r="BW306"/>
      <c r="BX306"/>
      <c r="BY306"/>
      <c r="BZ306"/>
      <c r="CA306"/>
      <c r="CB306" s="5"/>
      <c r="CC306" s="5"/>
      <c r="CD306" s="5"/>
      <c r="CE306" s="5"/>
      <c r="CF306" s="5"/>
      <c r="CG306" s="5"/>
      <c r="CI306" s="5"/>
      <c r="CJ306" s="5"/>
      <c r="CK306" s="5"/>
      <c r="CL306" s="5"/>
      <c r="CM306" s="5"/>
      <c r="CN306" s="5"/>
      <c r="CO306" s="9" t="s">
        <v>7676</v>
      </c>
      <c r="CP306" t="s">
        <v>7677</v>
      </c>
      <c r="CS306">
        <v>20</v>
      </c>
    </row>
    <row r="307" spans="1:109" x14ac:dyDescent="0.25">
      <c r="A307" t="s">
        <v>7678</v>
      </c>
      <c r="C307" t="s">
        <v>6888</v>
      </c>
      <c r="K307" s="5" t="s">
        <v>6874</v>
      </c>
      <c r="L307" s="5" t="s">
        <v>7120</v>
      </c>
      <c r="AC307">
        <v>1</v>
      </c>
      <c r="AG307" t="s">
        <v>6876</v>
      </c>
      <c r="AY307" s="5"/>
      <c r="BD307">
        <v>1</v>
      </c>
      <c r="CB307" s="5"/>
      <c r="CC307" s="5"/>
      <c r="CD307" s="5"/>
      <c r="CE307" s="5"/>
      <c r="CF307" s="5"/>
      <c r="CG307" s="5"/>
      <c r="CI307" s="5"/>
      <c r="CJ307" s="5"/>
      <c r="CK307" s="5"/>
      <c r="CL307" s="5"/>
      <c r="CM307" s="5"/>
      <c r="CN307" s="5"/>
      <c r="CO307" s="9" t="s">
        <v>6878</v>
      </c>
      <c r="CS307">
        <v>5</v>
      </c>
      <c r="DE307">
        <v>1</v>
      </c>
    </row>
    <row r="309" spans="1:109" x14ac:dyDescent="0.25">
      <c r="A309" t="s">
        <v>7679</v>
      </c>
      <c r="C309" t="s">
        <v>4959</v>
      </c>
      <c r="AC309">
        <v>2</v>
      </c>
      <c r="AO309" t="s">
        <v>6982</v>
      </c>
      <c r="AT309" t="s">
        <v>7006</v>
      </c>
      <c r="AX309" t="s">
        <v>6984</v>
      </c>
      <c r="AZ309">
        <v>1</v>
      </c>
      <c r="BD309">
        <v>1</v>
      </c>
      <c r="CB309" t="s">
        <v>134</v>
      </c>
      <c r="CH309" t="s">
        <v>6977</v>
      </c>
      <c r="CX309" t="s">
        <v>7680</v>
      </c>
      <c r="CZ309" t="s">
        <v>7681</v>
      </c>
    </row>
    <row r="310" spans="1:109" x14ac:dyDescent="0.25">
      <c r="A310" t="s">
        <v>7682</v>
      </c>
      <c r="C310" t="s">
        <v>6888</v>
      </c>
      <c r="K310" s="5" t="s">
        <v>6874</v>
      </c>
      <c r="L310" s="5" t="s">
        <v>6892</v>
      </c>
      <c r="AC310">
        <v>1</v>
      </c>
      <c r="AG310" t="s">
        <v>6876</v>
      </c>
      <c r="AH310">
        <v>1</v>
      </c>
      <c r="AY310" s="5"/>
      <c r="BD310">
        <v>1</v>
      </c>
      <c r="BO310" s="7" t="s">
        <v>7683</v>
      </c>
      <c r="BV310"/>
      <c r="BW310"/>
      <c r="BX310"/>
      <c r="BY310"/>
      <c r="BZ310"/>
      <c r="CA310"/>
      <c r="CB310" s="5"/>
      <c r="CC310" s="5"/>
      <c r="CD310" s="5"/>
      <c r="CE310" s="5"/>
      <c r="CF310" s="5"/>
      <c r="CG310" s="5"/>
      <c r="CI310" s="5"/>
      <c r="CJ310" s="5"/>
      <c r="CK310" s="5"/>
      <c r="CL310" s="5"/>
      <c r="CM310" s="5"/>
      <c r="CN310" s="5"/>
      <c r="CO310" s="9" t="s">
        <v>7684</v>
      </c>
      <c r="CS310">
        <v>99999</v>
      </c>
    </row>
    <row r="311" spans="1:109" x14ac:dyDescent="0.25">
      <c r="A311" t="s">
        <v>7683</v>
      </c>
      <c r="C311" t="s">
        <v>6888</v>
      </c>
      <c r="K311" s="5" t="s">
        <v>6907</v>
      </c>
      <c r="AC311">
        <v>1</v>
      </c>
      <c r="AG311" t="s">
        <v>7400</v>
      </c>
      <c r="AT311" t="s">
        <v>7594</v>
      </c>
      <c r="AY311" s="5"/>
      <c r="BD311">
        <v>99</v>
      </c>
      <c r="BS311">
        <v>0.1</v>
      </c>
      <c r="BV311"/>
      <c r="BW311"/>
      <c r="BX311"/>
      <c r="BY311"/>
      <c r="BZ311"/>
      <c r="CA311"/>
      <c r="CB311" s="5"/>
      <c r="CC311" s="5"/>
      <c r="CD311" s="5"/>
      <c r="CE311" s="5"/>
      <c r="CF311" s="5"/>
      <c r="CG311" s="5"/>
      <c r="CI311" s="5"/>
      <c r="CJ311" s="5"/>
      <c r="CK311" s="5"/>
      <c r="CL311" s="5"/>
      <c r="CM311" s="5"/>
      <c r="CN311" s="5"/>
      <c r="CO311" s="9" t="s">
        <v>7685</v>
      </c>
      <c r="CS311">
        <v>0.1</v>
      </c>
    </row>
    <row r="312" spans="1:109" x14ac:dyDescent="0.25">
      <c r="A312" t="s">
        <v>7686</v>
      </c>
      <c r="C312" t="s">
        <v>6888</v>
      </c>
      <c r="D312" t="s">
        <v>7687</v>
      </c>
      <c r="E312" t="s">
        <v>7688</v>
      </c>
      <c r="F312" t="s">
        <v>7689</v>
      </c>
      <c r="G312">
        <v>3</v>
      </c>
      <c r="J312" t="s">
        <v>6905</v>
      </c>
      <c r="K312" s="5" t="s">
        <v>6907</v>
      </c>
      <c r="W312" s="5">
        <v>1</v>
      </c>
      <c r="AC312">
        <v>1</v>
      </c>
      <c r="AG312" t="s">
        <v>6876</v>
      </c>
      <c r="BD312">
        <v>1</v>
      </c>
      <c r="BT312">
        <v>30</v>
      </c>
      <c r="BV312" s="8">
        <v>12</v>
      </c>
      <c r="BW312" s="8">
        <v>20</v>
      </c>
      <c r="BX312" s="8">
        <v>1</v>
      </c>
      <c r="BY312" s="8" t="s">
        <v>6907</v>
      </c>
      <c r="CO312" s="9" t="s">
        <v>7686</v>
      </c>
      <c r="CP312">
        <v>0.7</v>
      </c>
      <c r="CS312">
        <v>30</v>
      </c>
    </row>
    <row r="313" spans="1:109" x14ac:dyDescent="0.25">
      <c r="A313" t="s">
        <v>7690</v>
      </c>
      <c r="C313" t="s">
        <v>7280</v>
      </c>
      <c r="D313" t="s">
        <v>7691</v>
      </c>
      <c r="E313" t="s">
        <v>7692</v>
      </c>
      <c r="F313" t="s">
        <v>7693</v>
      </c>
      <c r="G313">
        <v>3</v>
      </c>
      <c r="J313" t="s">
        <v>6905</v>
      </c>
      <c r="K313" s="5" t="s">
        <v>6906</v>
      </c>
      <c r="AB313">
        <v>1</v>
      </c>
      <c r="AC313">
        <v>2</v>
      </c>
      <c r="AO313" t="s">
        <v>6982</v>
      </c>
      <c r="AT313" t="s">
        <v>7594</v>
      </c>
      <c r="AX313" t="s">
        <v>6984</v>
      </c>
      <c r="AZ313">
        <v>4.8</v>
      </c>
      <c r="BD313">
        <v>99</v>
      </c>
      <c r="BM313">
        <v>3</v>
      </c>
      <c r="BT313">
        <v>0.2</v>
      </c>
      <c r="BV313" s="8">
        <v>0</v>
      </c>
      <c r="BW313" s="8">
        <v>17</v>
      </c>
      <c r="BX313" s="8">
        <v>1</v>
      </c>
      <c r="BY313" s="8" t="s">
        <v>7240</v>
      </c>
      <c r="CB313" t="s">
        <v>624</v>
      </c>
      <c r="CH313" t="s">
        <v>6977</v>
      </c>
      <c r="CX313" t="s">
        <v>7694</v>
      </c>
    </row>
    <row r="315" spans="1:109" x14ac:dyDescent="0.25">
      <c r="A315" t="s">
        <v>7695</v>
      </c>
      <c r="C315" t="s">
        <v>4959</v>
      </c>
      <c r="AC315">
        <v>2</v>
      </c>
      <c r="AO315" t="s">
        <v>6982</v>
      </c>
      <c r="AT315" t="s">
        <v>7006</v>
      </c>
      <c r="AX315" t="s">
        <v>6984</v>
      </c>
      <c r="AZ315">
        <v>1</v>
      </c>
      <c r="BD315">
        <v>1</v>
      </c>
      <c r="CB315" t="s">
        <v>134</v>
      </c>
      <c r="CH315" t="s">
        <v>6977</v>
      </c>
      <c r="CZ315" t="s">
        <v>7696</v>
      </c>
    </row>
    <row r="316" spans="1:109" x14ac:dyDescent="0.25">
      <c r="A316" t="s">
        <v>7697</v>
      </c>
      <c r="C316" t="s">
        <v>6888</v>
      </c>
      <c r="D316" t="s">
        <v>7698</v>
      </c>
      <c r="E316" t="s">
        <v>7699</v>
      </c>
      <c r="F316" t="s">
        <v>7700</v>
      </c>
      <c r="G316">
        <v>3</v>
      </c>
      <c r="J316" t="s">
        <v>6905</v>
      </c>
      <c r="K316" s="5" t="s">
        <v>6906</v>
      </c>
      <c r="AC316">
        <v>1</v>
      </c>
      <c r="AG316" t="s">
        <v>6876</v>
      </c>
      <c r="BD316">
        <v>1</v>
      </c>
      <c r="BT316">
        <v>30</v>
      </c>
      <c r="BV316" s="8">
        <v>40</v>
      </c>
      <c r="BW316" s="8">
        <v>50</v>
      </c>
      <c r="BX316" s="8">
        <v>1</v>
      </c>
      <c r="BY316" s="8" t="s">
        <v>6907</v>
      </c>
      <c r="CO316" s="9" t="s">
        <v>7701</v>
      </c>
      <c r="CP316">
        <v>1</v>
      </c>
      <c r="CQ316">
        <v>1.2</v>
      </c>
      <c r="CR316">
        <v>0.1</v>
      </c>
      <c r="CS316">
        <v>30</v>
      </c>
    </row>
    <row r="317" spans="1:109" x14ac:dyDescent="0.25">
      <c r="A317" t="s">
        <v>7702</v>
      </c>
      <c r="C317" t="s">
        <v>7021</v>
      </c>
      <c r="D317" t="s">
        <v>7703</v>
      </c>
      <c r="E317" t="s">
        <v>7704</v>
      </c>
      <c r="F317" t="s">
        <v>7705</v>
      </c>
      <c r="G317">
        <v>3</v>
      </c>
      <c r="J317" t="s">
        <v>7010</v>
      </c>
      <c r="K317" s="5" t="s">
        <v>6906</v>
      </c>
      <c r="AB317">
        <v>1</v>
      </c>
      <c r="AC317">
        <v>2</v>
      </c>
      <c r="AO317" t="s">
        <v>6982</v>
      </c>
      <c r="AT317" t="s">
        <v>7594</v>
      </c>
      <c r="AX317" t="s">
        <v>6984</v>
      </c>
      <c r="AZ317">
        <v>1</v>
      </c>
      <c r="BD317">
        <v>1</v>
      </c>
      <c r="BO317" s="7" t="s">
        <v>7706</v>
      </c>
      <c r="BP317" s="7" t="s">
        <v>7707</v>
      </c>
      <c r="BT317">
        <v>30</v>
      </c>
      <c r="BV317" s="8">
        <v>40</v>
      </c>
      <c r="BW317" s="8">
        <v>50</v>
      </c>
      <c r="BX317" s="8">
        <v>1</v>
      </c>
      <c r="BY317" s="8" t="s">
        <v>7240</v>
      </c>
      <c r="CB317" t="s">
        <v>624</v>
      </c>
      <c r="CH317" t="s">
        <v>6977</v>
      </c>
      <c r="CX317" t="s">
        <v>7708</v>
      </c>
      <c r="CZ317" t="s">
        <v>7696</v>
      </c>
    </row>
    <row r="318" spans="1:109" x14ac:dyDescent="0.25">
      <c r="A318" t="s">
        <v>7706</v>
      </c>
      <c r="C318" t="s">
        <v>6888</v>
      </c>
      <c r="K318" s="5" t="s">
        <v>6874</v>
      </c>
      <c r="L318" s="5" t="s">
        <v>7017</v>
      </c>
      <c r="AC318">
        <v>1</v>
      </c>
      <c r="AY318" s="5"/>
      <c r="BD318">
        <v>1</v>
      </c>
      <c r="BV318"/>
      <c r="BW318"/>
      <c r="BX318"/>
      <c r="BY318"/>
      <c r="BZ318"/>
      <c r="CA318"/>
      <c r="CB318" s="5"/>
      <c r="CC318" s="5"/>
      <c r="CD318" s="5"/>
      <c r="CE318" s="5"/>
      <c r="CF318" s="5"/>
      <c r="CG318" s="5"/>
      <c r="CI318" s="5"/>
      <c r="CJ318" s="5"/>
      <c r="CK318" s="5"/>
      <c r="CL318" s="5"/>
      <c r="CM318" s="5"/>
      <c r="CN318" s="5"/>
      <c r="CO318" s="9" t="s">
        <v>7709</v>
      </c>
      <c r="CP318">
        <v>-1</v>
      </c>
      <c r="CQ318" t="s">
        <v>7710</v>
      </c>
      <c r="CR318">
        <v>0.05</v>
      </c>
      <c r="CS318">
        <v>30</v>
      </c>
    </row>
    <row r="319" spans="1:109" x14ac:dyDescent="0.25">
      <c r="A319" t="s">
        <v>7707</v>
      </c>
      <c r="C319" t="s">
        <v>6888</v>
      </c>
      <c r="K319" s="5" t="s">
        <v>6874</v>
      </c>
      <c r="AC319">
        <v>1</v>
      </c>
      <c r="AG319" t="s">
        <v>6876</v>
      </c>
      <c r="AY319" s="5">
        <v>1</v>
      </c>
      <c r="AZ319">
        <v>0.1</v>
      </c>
      <c r="BB319">
        <v>1</v>
      </c>
      <c r="BD319">
        <v>1</v>
      </c>
      <c r="BV319"/>
      <c r="BW319"/>
      <c r="BX319"/>
      <c r="BY319"/>
      <c r="BZ319"/>
      <c r="CA319"/>
      <c r="CB319" s="5"/>
      <c r="CC319" s="5"/>
      <c r="CD319" s="5"/>
      <c r="CE319" s="5"/>
      <c r="CF319" s="5"/>
      <c r="CG319" s="5"/>
      <c r="CI319" s="5"/>
      <c r="CJ319" s="5"/>
      <c r="CK319" s="5"/>
      <c r="CL319" s="5"/>
      <c r="CM319" s="5"/>
      <c r="CN319" s="5"/>
    </row>
    <row r="320" spans="1:109" x14ac:dyDescent="0.25">
      <c r="AY320" s="5"/>
      <c r="BV320"/>
      <c r="BW320"/>
      <c r="BX320"/>
      <c r="BY320"/>
      <c r="BZ320"/>
      <c r="CA320"/>
      <c r="CB320" s="5"/>
      <c r="CC320" s="5"/>
      <c r="CD320" s="5"/>
      <c r="CE320" s="5"/>
      <c r="CF320" s="5"/>
      <c r="CG320" s="5"/>
      <c r="CI320" s="5"/>
      <c r="CJ320" s="5"/>
      <c r="CK320" s="5"/>
      <c r="CL320" s="5"/>
      <c r="CM320" s="5"/>
      <c r="CN320" s="5"/>
    </row>
    <row r="321" spans="1:111" x14ac:dyDescent="0.25">
      <c r="A321" t="s">
        <v>670</v>
      </c>
      <c r="C321" t="s">
        <v>6888</v>
      </c>
      <c r="P321" t="s">
        <v>7711</v>
      </c>
      <c r="AC321">
        <v>2</v>
      </c>
      <c r="AD321">
        <v>1</v>
      </c>
      <c r="AO321" t="s">
        <v>6982</v>
      </c>
      <c r="AT321" t="s">
        <v>6996</v>
      </c>
      <c r="AX321" t="s">
        <v>6984</v>
      </c>
      <c r="AZ321">
        <v>1</v>
      </c>
      <c r="BD321">
        <v>1</v>
      </c>
      <c r="BO321" s="7" t="s">
        <v>7712</v>
      </c>
      <c r="CB321" t="s">
        <v>134</v>
      </c>
      <c r="CH321" t="s">
        <v>6977</v>
      </c>
      <c r="CK321" t="s">
        <v>7713</v>
      </c>
      <c r="CY321" t="s">
        <v>7714</v>
      </c>
      <c r="CZ321" t="s">
        <v>7715</v>
      </c>
    </row>
    <row r="322" spans="1:111" x14ac:dyDescent="0.25">
      <c r="A322" t="s">
        <v>7712</v>
      </c>
      <c r="C322" t="s">
        <v>6888</v>
      </c>
      <c r="P322" t="s">
        <v>7711</v>
      </c>
      <c r="AC322">
        <v>2</v>
      </c>
      <c r="AD322">
        <v>1</v>
      </c>
      <c r="AO322" t="s">
        <v>6982</v>
      </c>
      <c r="AT322" t="s">
        <v>6983</v>
      </c>
      <c r="AX322" t="s">
        <v>6984</v>
      </c>
      <c r="AZ322">
        <v>1</v>
      </c>
      <c r="BD322">
        <v>1</v>
      </c>
      <c r="CB322" t="s">
        <v>134</v>
      </c>
      <c r="CH322" t="s">
        <v>6977</v>
      </c>
      <c r="CK322" t="s">
        <v>7716</v>
      </c>
      <c r="CY322" t="s">
        <v>7714</v>
      </c>
      <c r="CZ322" t="s">
        <v>7715</v>
      </c>
      <c r="DG322">
        <v>1</v>
      </c>
    </row>
    <row r="323" spans="1:111" x14ac:dyDescent="0.25">
      <c r="A323" t="s">
        <v>7717</v>
      </c>
      <c r="C323" t="s">
        <v>7718</v>
      </c>
      <c r="D323" t="s">
        <v>7719</v>
      </c>
      <c r="E323" t="s">
        <v>7720</v>
      </c>
      <c r="F323" t="s">
        <v>7721</v>
      </c>
      <c r="G323">
        <v>3</v>
      </c>
      <c r="K323" s="5" t="s">
        <v>6874</v>
      </c>
      <c r="L323" s="5" t="s">
        <v>6892</v>
      </c>
      <c r="AC323">
        <v>1</v>
      </c>
      <c r="AF323">
        <v>1</v>
      </c>
      <c r="AG323" t="s">
        <v>6876</v>
      </c>
      <c r="AH323">
        <v>1</v>
      </c>
      <c r="BD323">
        <v>1</v>
      </c>
      <c r="CL323" t="s">
        <v>7717</v>
      </c>
      <c r="CV323" t="s">
        <v>7722</v>
      </c>
      <c r="DE323">
        <v>1</v>
      </c>
    </row>
    <row r="324" spans="1:111" x14ac:dyDescent="0.25">
      <c r="A324" t="s">
        <v>7723</v>
      </c>
      <c r="C324" t="s">
        <v>6888</v>
      </c>
      <c r="D324" t="s">
        <v>7724</v>
      </c>
      <c r="E324" t="s">
        <v>7725</v>
      </c>
      <c r="F324" t="s">
        <v>7726</v>
      </c>
      <c r="G324">
        <v>3</v>
      </c>
      <c r="J324" t="s">
        <v>7010</v>
      </c>
      <c r="K324" s="5" t="s">
        <v>6906</v>
      </c>
      <c r="U324" s="5">
        <v>0.8</v>
      </c>
      <c r="AB324">
        <v>1</v>
      </c>
      <c r="AC324">
        <v>2</v>
      </c>
      <c r="AD324">
        <v>1</v>
      </c>
      <c r="AO324" t="s">
        <v>6982</v>
      </c>
      <c r="AT324" t="s">
        <v>6996</v>
      </c>
      <c r="AX324" t="s">
        <v>6984</v>
      </c>
      <c r="AZ324">
        <v>1</v>
      </c>
      <c r="BD324">
        <v>1</v>
      </c>
      <c r="BO324" s="7" t="s">
        <v>7727</v>
      </c>
      <c r="BT324">
        <v>35</v>
      </c>
      <c r="BV324" s="8">
        <v>0</v>
      </c>
      <c r="BW324" s="8">
        <v>30</v>
      </c>
      <c r="BX324" s="8">
        <v>1</v>
      </c>
      <c r="BY324" s="8" t="s">
        <v>6907</v>
      </c>
      <c r="CB324" t="s">
        <v>134</v>
      </c>
      <c r="CH324" t="s">
        <v>6977</v>
      </c>
      <c r="CK324" t="s">
        <v>7713</v>
      </c>
      <c r="CY324" t="s">
        <v>7728</v>
      </c>
      <c r="CZ324" t="s">
        <v>7715</v>
      </c>
    </row>
    <row r="325" spans="1:111" x14ac:dyDescent="0.25">
      <c r="A325" t="s">
        <v>7729</v>
      </c>
      <c r="C325" t="s">
        <v>6888</v>
      </c>
      <c r="J325" t="s">
        <v>7010</v>
      </c>
      <c r="K325" s="5" t="s">
        <v>6907</v>
      </c>
      <c r="U325" s="5">
        <v>0.8</v>
      </c>
      <c r="AC325">
        <v>2</v>
      </c>
      <c r="AD325">
        <v>1</v>
      </c>
      <c r="AO325" t="s">
        <v>6982</v>
      </c>
      <c r="AT325" t="s">
        <v>6983</v>
      </c>
      <c r="AX325" t="s">
        <v>6984</v>
      </c>
      <c r="AZ325">
        <v>1</v>
      </c>
      <c r="BD325">
        <v>1</v>
      </c>
      <c r="CB325" t="s">
        <v>134</v>
      </c>
      <c r="CH325" t="s">
        <v>6977</v>
      </c>
      <c r="CK325" t="s">
        <v>7716</v>
      </c>
      <c r="CY325" t="s">
        <v>7728</v>
      </c>
      <c r="CZ325" t="s">
        <v>7715</v>
      </c>
      <c r="DG325">
        <v>1</v>
      </c>
    </row>
    <row r="326" spans="1:111" x14ac:dyDescent="0.25">
      <c r="A326" t="s">
        <v>7730</v>
      </c>
      <c r="C326" t="s">
        <v>6888</v>
      </c>
      <c r="K326" s="5" t="s">
        <v>6874</v>
      </c>
      <c r="L326" s="5" t="s">
        <v>7017</v>
      </c>
      <c r="AC326">
        <v>1</v>
      </c>
      <c r="AY326" s="5"/>
      <c r="BD326">
        <v>1</v>
      </c>
      <c r="BV326"/>
      <c r="BW326"/>
      <c r="BX326"/>
      <c r="BY326"/>
      <c r="BZ326"/>
      <c r="CA326"/>
      <c r="CB326" s="5"/>
      <c r="CC326" s="5"/>
      <c r="CD326" s="5"/>
      <c r="CE326" s="5"/>
      <c r="CF326" s="5"/>
      <c r="CG326" s="5"/>
      <c r="CI326" s="5"/>
      <c r="CJ326" s="5"/>
      <c r="CK326" s="5"/>
      <c r="CN326" s="5"/>
      <c r="CO326" s="9" t="s">
        <v>7711</v>
      </c>
      <c r="CP326">
        <v>2.2000000000000002</v>
      </c>
      <c r="CS326">
        <v>35</v>
      </c>
    </row>
    <row r="327" spans="1:111" x14ac:dyDescent="0.25">
      <c r="AY327" s="5"/>
      <c r="BV327"/>
      <c r="BW327"/>
      <c r="BX327"/>
      <c r="BY327"/>
      <c r="BZ327"/>
      <c r="CA327"/>
      <c r="CB327" s="5"/>
      <c r="CC327" s="5"/>
      <c r="CD327" s="5"/>
      <c r="CE327" s="5"/>
      <c r="CF327" s="5"/>
      <c r="CG327" s="5"/>
      <c r="CI327" s="5"/>
      <c r="CJ327" s="5"/>
      <c r="CK327" s="5"/>
      <c r="CN327" s="5"/>
    </row>
    <row r="328" spans="1:111" x14ac:dyDescent="0.25">
      <c r="A328" t="s">
        <v>677</v>
      </c>
      <c r="C328" t="s">
        <v>6888</v>
      </c>
      <c r="AC328">
        <v>2</v>
      </c>
      <c r="AD328">
        <v>1</v>
      </c>
      <c r="AO328" t="s">
        <v>7731</v>
      </c>
      <c r="AT328" t="s">
        <v>7732</v>
      </c>
      <c r="AX328" t="s">
        <v>6984</v>
      </c>
      <c r="AZ328">
        <v>1</v>
      </c>
      <c r="BD328">
        <v>1</v>
      </c>
      <c r="CB328" t="s">
        <v>134</v>
      </c>
      <c r="CH328" t="s">
        <v>6977</v>
      </c>
      <c r="CI328" t="s">
        <v>7733</v>
      </c>
      <c r="CJ328" t="s">
        <v>4249</v>
      </c>
      <c r="CK328" t="s">
        <v>7734</v>
      </c>
      <c r="CX328" t="s">
        <v>7735</v>
      </c>
      <c r="CZ328" t="s">
        <v>7736</v>
      </c>
    </row>
    <row r="329" spans="1:111" x14ac:dyDescent="0.25">
      <c r="A329" t="s">
        <v>7737</v>
      </c>
      <c r="C329" t="s">
        <v>6888</v>
      </c>
      <c r="D329" t="s">
        <v>7738</v>
      </c>
      <c r="E329" t="s">
        <v>7739</v>
      </c>
      <c r="F329" t="s">
        <v>7740</v>
      </c>
      <c r="G329">
        <v>3</v>
      </c>
      <c r="J329" t="s">
        <v>6905</v>
      </c>
      <c r="K329" s="5" t="s">
        <v>6906</v>
      </c>
      <c r="AC329">
        <v>1</v>
      </c>
      <c r="AG329" t="s">
        <v>6876</v>
      </c>
      <c r="BD329">
        <v>1</v>
      </c>
      <c r="BT329">
        <v>50</v>
      </c>
      <c r="BV329" s="8">
        <v>0</v>
      </c>
      <c r="BW329" s="8">
        <v>20</v>
      </c>
      <c r="BX329" s="8">
        <v>1</v>
      </c>
      <c r="BY329" s="8" t="s">
        <v>6907</v>
      </c>
      <c r="CO329" s="9" t="s">
        <v>7741</v>
      </c>
      <c r="CQ329">
        <v>0.7</v>
      </c>
      <c r="CS329">
        <v>50</v>
      </c>
    </row>
    <row r="330" spans="1:111" x14ac:dyDescent="0.25">
      <c r="A330" t="s">
        <v>7742</v>
      </c>
      <c r="C330" t="s">
        <v>6888</v>
      </c>
      <c r="D330" t="s">
        <v>7743</v>
      </c>
      <c r="E330" t="s">
        <v>7744</v>
      </c>
      <c r="F330" t="s">
        <v>7745</v>
      </c>
      <c r="G330">
        <v>3</v>
      </c>
      <c r="J330" t="s">
        <v>6905</v>
      </c>
      <c r="K330" s="5" t="s">
        <v>6906</v>
      </c>
      <c r="AB330">
        <v>1</v>
      </c>
      <c r="AC330">
        <v>2</v>
      </c>
      <c r="AO330" t="s">
        <v>6982</v>
      </c>
      <c r="AT330" t="s">
        <v>7732</v>
      </c>
      <c r="AU330">
        <v>1</v>
      </c>
      <c r="AX330" t="s">
        <v>6984</v>
      </c>
      <c r="AZ330">
        <v>3</v>
      </c>
      <c r="BD330">
        <v>99</v>
      </c>
      <c r="BJ330">
        <v>1.2</v>
      </c>
      <c r="BK330">
        <v>1</v>
      </c>
      <c r="BL330">
        <v>1</v>
      </c>
      <c r="BT330">
        <v>0.2</v>
      </c>
      <c r="BV330" s="8">
        <v>30</v>
      </c>
      <c r="BW330" s="8">
        <v>50</v>
      </c>
      <c r="BX330" s="8">
        <v>1</v>
      </c>
      <c r="BY330" s="8" t="s">
        <v>6907</v>
      </c>
      <c r="CB330" t="s">
        <v>624</v>
      </c>
      <c r="CH330" t="s">
        <v>6977</v>
      </c>
      <c r="CI330" t="s">
        <v>7746</v>
      </c>
      <c r="CJ330" t="s">
        <v>4249</v>
      </c>
      <c r="CV330" t="s">
        <v>7747</v>
      </c>
      <c r="CZ330" t="s">
        <v>7748</v>
      </c>
      <c r="DB330" t="s">
        <v>7749</v>
      </c>
    </row>
    <row r="331" spans="1:111" x14ac:dyDescent="0.25">
      <c r="AY331" s="5"/>
      <c r="BV331"/>
      <c r="BW331"/>
      <c r="BX331"/>
      <c r="BY331"/>
      <c r="BZ331"/>
      <c r="CA331"/>
      <c r="CB331" s="5"/>
      <c r="CC331" s="5"/>
      <c r="CD331" s="5"/>
      <c r="CE331" s="5"/>
      <c r="CF331" s="5"/>
      <c r="CG331" s="5"/>
      <c r="CI331" s="5"/>
      <c r="CJ331" s="5"/>
      <c r="CK331" s="5"/>
      <c r="CL331" s="5"/>
      <c r="CM331" s="5"/>
      <c r="CN331" s="5"/>
    </row>
    <row r="332" spans="1:111" x14ac:dyDescent="0.25">
      <c r="A332" t="s">
        <v>7750</v>
      </c>
      <c r="C332" t="s">
        <v>4959</v>
      </c>
      <c r="AC332">
        <v>2</v>
      </c>
      <c r="AD332">
        <v>1</v>
      </c>
      <c r="AO332" t="s">
        <v>6982</v>
      </c>
      <c r="AT332" t="s">
        <v>7258</v>
      </c>
      <c r="AX332" t="s">
        <v>6984</v>
      </c>
      <c r="AZ332">
        <v>1</v>
      </c>
      <c r="BD332">
        <v>1</v>
      </c>
      <c r="CB332" t="s">
        <v>134</v>
      </c>
      <c r="CH332" t="s">
        <v>6977</v>
      </c>
      <c r="CI332" t="s">
        <v>7751</v>
      </c>
      <c r="CJ332" t="s">
        <v>4249</v>
      </c>
      <c r="CZ332" t="s">
        <v>7752</v>
      </c>
    </row>
    <row r="333" spans="1:111" x14ac:dyDescent="0.25">
      <c r="A333" t="s">
        <v>7753</v>
      </c>
      <c r="C333" t="s">
        <v>6888</v>
      </c>
      <c r="K333" s="5" t="s">
        <v>6874</v>
      </c>
      <c r="L333" s="5" t="s">
        <v>6892</v>
      </c>
      <c r="AC333">
        <v>1</v>
      </c>
      <c r="AG333" t="s">
        <v>6876</v>
      </c>
      <c r="AH333">
        <v>1</v>
      </c>
      <c r="AY333" s="5"/>
      <c r="BD333">
        <v>1</v>
      </c>
      <c r="BV333"/>
      <c r="BW333"/>
      <c r="BX333"/>
      <c r="BY333"/>
      <c r="BZ333"/>
      <c r="CA333"/>
      <c r="CB333" s="5"/>
      <c r="CC333" s="5"/>
      <c r="CD333" s="5"/>
      <c r="CE333" s="5"/>
      <c r="CF333" s="5"/>
      <c r="CG333" s="5"/>
      <c r="CI333" s="5"/>
      <c r="CJ333" s="5"/>
      <c r="CK333" s="5"/>
      <c r="CL333" s="5"/>
      <c r="CM333" s="5"/>
      <c r="CN333" s="5"/>
      <c r="CO333" s="9" t="s">
        <v>7753</v>
      </c>
      <c r="CP333" t="s">
        <v>7754</v>
      </c>
      <c r="CS333">
        <v>99999</v>
      </c>
    </row>
    <row r="334" spans="1:111" x14ac:dyDescent="0.25">
      <c r="A334" t="s">
        <v>7755</v>
      </c>
      <c r="C334" t="s">
        <v>7264</v>
      </c>
      <c r="D334" t="s">
        <v>7756</v>
      </c>
      <c r="E334" t="s">
        <v>7757</v>
      </c>
      <c r="F334" t="s">
        <v>7758</v>
      </c>
      <c r="G334">
        <v>3</v>
      </c>
      <c r="J334" t="s">
        <v>6905</v>
      </c>
      <c r="K334" s="5" t="s">
        <v>6907</v>
      </c>
      <c r="AC334">
        <v>2</v>
      </c>
      <c r="AD334">
        <v>1</v>
      </c>
      <c r="AO334" t="s">
        <v>7268</v>
      </c>
      <c r="AT334" t="s">
        <v>7258</v>
      </c>
      <c r="AX334" t="s">
        <v>6997</v>
      </c>
      <c r="AZ334">
        <v>1.8</v>
      </c>
      <c r="BD334">
        <v>1</v>
      </c>
      <c r="BM334">
        <v>2</v>
      </c>
      <c r="BT334">
        <v>0.2</v>
      </c>
      <c r="BV334" s="8">
        <v>0</v>
      </c>
      <c r="BW334" s="8">
        <v>5</v>
      </c>
      <c r="BX334" s="8">
        <v>1</v>
      </c>
      <c r="BY334" s="8" t="s">
        <v>6907</v>
      </c>
      <c r="CB334" t="s">
        <v>513</v>
      </c>
      <c r="CH334" t="s">
        <v>6977</v>
      </c>
      <c r="CI334" t="s">
        <v>7759</v>
      </c>
      <c r="CJ334" t="s">
        <v>4249</v>
      </c>
      <c r="CV334" t="s">
        <v>7760</v>
      </c>
      <c r="CX334" t="s">
        <v>7761</v>
      </c>
      <c r="CZ334" t="s">
        <v>7762</v>
      </c>
    </row>
    <row r="335" spans="1:111" x14ac:dyDescent="0.25">
      <c r="A335" t="s">
        <v>7763</v>
      </c>
      <c r="C335" t="s">
        <v>7264</v>
      </c>
      <c r="D335" t="s">
        <v>7764</v>
      </c>
      <c r="E335" t="s">
        <v>7765</v>
      </c>
      <c r="F335" t="s">
        <v>7766</v>
      </c>
      <c r="G335">
        <v>3</v>
      </c>
      <c r="J335" t="s">
        <v>6905</v>
      </c>
      <c r="K335" s="5" t="s">
        <v>6906</v>
      </c>
      <c r="AB335">
        <v>1</v>
      </c>
      <c r="AC335">
        <v>2</v>
      </c>
      <c r="AD335">
        <v>1</v>
      </c>
      <c r="AO335" t="s">
        <v>7268</v>
      </c>
      <c r="AT335" t="s">
        <v>7767</v>
      </c>
      <c r="AX335" t="s">
        <v>7550</v>
      </c>
      <c r="AZ335">
        <v>2</v>
      </c>
      <c r="BD335">
        <v>3</v>
      </c>
      <c r="BM335">
        <v>2</v>
      </c>
      <c r="BT335">
        <v>0.2</v>
      </c>
      <c r="BV335" s="8">
        <v>10</v>
      </c>
      <c r="BW335" s="8">
        <v>15</v>
      </c>
      <c r="BX335" s="8">
        <v>1</v>
      </c>
      <c r="BY335" s="8" t="s">
        <v>6907</v>
      </c>
      <c r="CB335" t="s">
        <v>513</v>
      </c>
      <c r="CH335" t="s">
        <v>6977</v>
      </c>
      <c r="CI335" t="s">
        <v>7768</v>
      </c>
      <c r="CJ335" t="s">
        <v>4249</v>
      </c>
      <c r="CO335" s="9" t="s">
        <v>6878</v>
      </c>
      <c r="CS335">
        <v>3</v>
      </c>
      <c r="CV335" t="s">
        <v>7760</v>
      </c>
      <c r="CX335" t="s">
        <v>7761</v>
      </c>
      <c r="CZ335" t="s">
        <v>7769</v>
      </c>
    </row>
    <row r="337" spans="1:112" x14ac:dyDescent="0.25">
      <c r="A337" t="s">
        <v>7770</v>
      </c>
      <c r="C337" t="s">
        <v>6888</v>
      </c>
      <c r="K337" s="5" t="s">
        <v>6907</v>
      </c>
      <c r="AC337">
        <v>2</v>
      </c>
      <c r="AD337">
        <v>1</v>
      </c>
      <c r="AO337" t="s">
        <v>6982</v>
      </c>
      <c r="AT337" t="s">
        <v>7771</v>
      </c>
      <c r="AX337" t="s">
        <v>6997</v>
      </c>
      <c r="AZ337">
        <v>1</v>
      </c>
      <c r="BD337">
        <v>2</v>
      </c>
      <c r="CB337" t="s">
        <v>134</v>
      </c>
      <c r="CH337" t="s">
        <v>6977</v>
      </c>
      <c r="CI337" t="s">
        <v>7772</v>
      </c>
      <c r="CJ337" t="s">
        <v>4249</v>
      </c>
      <c r="CZ337" t="s">
        <v>7773</v>
      </c>
    </row>
    <row r="338" spans="1:112" x14ac:dyDescent="0.25">
      <c r="A338" t="s">
        <v>7774</v>
      </c>
      <c r="C338" t="s">
        <v>6888</v>
      </c>
      <c r="K338" s="5" t="s">
        <v>6907</v>
      </c>
      <c r="U338" s="5">
        <v>0.4</v>
      </c>
      <c r="AC338">
        <v>2</v>
      </c>
      <c r="AD338">
        <v>1</v>
      </c>
      <c r="AO338" t="s">
        <v>6982</v>
      </c>
      <c r="AT338" t="s">
        <v>7771</v>
      </c>
      <c r="AX338" t="s">
        <v>6997</v>
      </c>
      <c r="AZ338">
        <v>0</v>
      </c>
      <c r="BD338">
        <v>99</v>
      </c>
      <c r="BS338">
        <v>0.1</v>
      </c>
      <c r="CO338" s="9" t="s">
        <v>7775</v>
      </c>
      <c r="CP338">
        <v>0.33</v>
      </c>
      <c r="CS338">
        <v>0.1</v>
      </c>
    </row>
    <row r="339" spans="1:112" x14ac:dyDescent="0.25">
      <c r="A339" t="s">
        <v>7776</v>
      </c>
      <c r="C339" t="s">
        <v>6888</v>
      </c>
      <c r="D339" t="s">
        <v>7777</v>
      </c>
      <c r="E339" t="s">
        <v>7778</v>
      </c>
      <c r="F339" t="s">
        <v>7779</v>
      </c>
      <c r="G339">
        <v>3</v>
      </c>
      <c r="J339" t="s">
        <v>7010</v>
      </c>
      <c r="K339" s="5" t="s">
        <v>6906</v>
      </c>
      <c r="AB339">
        <v>1</v>
      </c>
      <c r="AC339">
        <v>2</v>
      </c>
      <c r="AD339">
        <v>1</v>
      </c>
      <c r="AO339" t="s">
        <v>6982</v>
      </c>
      <c r="AT339" t="s">
        <v>7771</v>
      </c>
      <c r="AX339" t="s">
        <v>6997</v>
      </c>
      <c r="AZ339">
        <v>1</v>
      </c>
      <c r="BD339">
        <v>2</v>
      </c>
      <c r="BO339" s="7" t="s">
        <v>7780</v>
      </c>
      <c r="BT339">
        <v>20</v>
      </c>
      <c r="BV339" s="8">
        <v>25</v>
      </c>
      <c r="BW339" s="8">
        <v>40</v>
      </c>
      <c r="BX339" s="8">
        <v>1</v>
      </c>
      <c r="BY339" s="8" t="s">
        <v>6907</v>
      </c>
      <c r="CB339" t="s">
        <v>513</v>
      </c>
      <c r="CH339" t="s">
        <v>6977</v>
      </c>
      <c r="CI339" t="s">
        <v>7772</v>
      </c>
      <c r="CJ339" t="s">
        <v>4249</v>
      </c>
      <c r="CY339" t="s">
        <v>7781</v>
      </c>
      <c r="CZ339" t="s">
        <v>7773</v>
      </c>
      <c r="DD339" t="s">
        <v>7782</v>
      </c>
    </row>
    <row r="340" spans="1:112" x14ac:dyDescent="0.25">
      <c r="A340" t="s">
        <v>7780</v>
      </c>
      <c r="C340" t="s">
        <v>6888</v>
      </c>
      <c r="J340" t="s">
        <v>7010</v>
      </c>
      <c r="K340" s="5" t="s">
        <v>6907</v>
      </c>
      <c r="AC340">
        <v>2</v>
      </c>
      <c r="AD340">
        <v>1</v>
      </c>
      <c r="AO340" t="s">
        <v>6982</v>
      </c>
      <c r="AT340" t="s">
        <v>7771</v>
      </c>
      <c r="AX340" t="s">
        <v>6997</v>
      </c>
      <c r="AZ340">
        <v>0</v>
      </c>
      <c r="BD340">
        <v>99</v>
      </c>
      <c r="BS340">
        <v>0.1</v>
      </c>
      <c r="CO340" s="9" t="s">
        <v>7103</v>
      </c>
      <c r="CP340">
        <v>-60</v>
      </c>
      <c r="CS340">
        <v>0.1</v>
      </c>
    </row>
    <row r="341" spans="1:112" x14ac:dyDescent="0.25">
      <c r="A341" t="s">
        <v>7783</v>
      </c>
      <c r="C341" t="s">
        <v>6888</v>
      </c>
      <c r="D341" t="s">
        <v>7784</v>
      </c>
      <c r="E341" t="s">
        <v>7785</v>
      </c>
      <c r="F341" t="s">
        <v>7786</v>
      </c>
      <c r="G341">
        <v>3</v>
      </c>
      <c r="J341" t="s">
        <v>7010</v>
      </c>
      <c r="K341" s="5" t="s">
        <v>6906</v>
      </c>
      <c r="AC341">
        <v>2</v>
      </c>
      <c r="AD341">
        <v>1</v>
      </c>
      <c r="AO341" t="s">
        <v>6982</v>
      </c>
      <c r="AT341" t="s">
        <v>7771</v>
      </c>
      <c r="AX341" t="s">
        <v>6997</v>
      </c>
      <c r="AZ341">
        <v>0</v>
      </c>
      <c r="BD341">
        <v>99</v>
      </c>
      <c r="BS341">
        <v>0.1</v>
      </c>
      <c r="BT341">
        <v>25</v>
      </c>
      <c r="BV341" s="8">
        <v>20</v>
      </c>
      <c r="BW341" s="8">
        <v>40</v>
      </c>
      <c r="BX341" s="8">
        <v>1</v>
      </c>
      <c r="BY341" s="8" t="s">
        <v>6907</v>
      </c>
      <c r="CO341" s="9" t="s">
        <v>7787</v>
      </c>
      <c r="CP341" s="2" t="s">
        <v>7788</v>
      </c>
      <c r="CS341">
        <v>0.1</v>
      </c>
      <c r="DD341" t="s">
        <v>7789</v>
      </c>
    </row>
    <row r="343" spans="1:112" x14ac:dyDescent="0.25">
      <c r="A343" t="s">
        <v>7790</v>
      </c>
      <c r="C343" t="s">
        <v>6888</v>
      </c>
      <c r="K343" s="5" t="s">
        <v>6907</v>
      </c>
      <c r="AC343">
        <v>2</v>
      </c>
      <c r="AD343">
        <v>1</v>
      </c>
      <c r="AO343" t="s">
        <v>6982</v>
      </c>
      <c r="AT343" t="s">
        <v>7047</v>
      </c>
      <c r="AX343" t="s">
        <v>6997</v>
      </c>
      <c r="AZ343">
        <v>1</v>
      </c>
      <c r="BD343">
        <v>1</v>
      </c>
      <c r="CB343" t="s">
        <v>134</v>
      </c>
      <c r="CH343" t="s">
        <v>6977</v>
      </c>
      <c r="CI343" t="s">
        <v>6998</v>
      </c>
      <c r="CJ343" t="s">
        <v>4249</v>
      </c>
      <c r="CO343" s="9" t="s">
        <v>7050</v>
      </c>
      <c r="CP343">
        <v>-0.8</v>
      </c>
      <c r="CS343">
        <v>0.8</v>
      </c>
      <c r="CX343" t="s">
        <v>7791</v>
      </c>
      <c r="CZ343" t="s">
        <v>7792</v>
      </c>
    </row>
    <row r="344" spans="1:112" x14ac:dyDescent="0.25">
      <c r="A344" t="s">
        <v>7793</v>
      </c>
      <c r="C344" t="s">
        <v>6888</v>
      </c>
      <c r="K344" s="5" t="s">
        <v>6874</v>
      </c>
      <c r="L344" s="5" t="s">
        <v>6892</v>
      </c>
      <c r="AB344">
        <v>1</v>
      </c>
      <c r="AC344">
        <v>1</v>
      </c>
      <c r="AG344" t="s">
        <v>6876</v>
      </c>
      <c r="AH344">
        <v>1</v>
      </c>
      <c r="AY344" s="5"/>
      <c r="BD344">
        <v>1</v>
      </c>
      <c r="BV344"/>
      <c r="BW344"/>
      <c r="BX344"/>
      <c r="BY344"/>
      <c r="BZ344"/>
      <c r="CA344"/>
      <c r="CB344" s="5"/>
      <c r="CC344" s="5"/>
      <c r="CD344" s="5"/>
      <c r="CE344" s="5"/>
      <c r="CF344" s="5"/>
      <c r="CG344" s="5"/>
      <c r="CI344" s="5"/>
      <c r="CJ344" s="5"/>
      <c r="CK344" s="5"/>
      <c r="CL344" s="5"/>
      <c r="CM344" s="5"/>
      <c r="CN344" s="5"/>
      <c r="CO344" s="9" t="s">
        <v>7793</v>
      </c>
      <c r="CP344" t="s">
        <v>7794</v>
      </c>
      <c r="CS344">
        <v>99999</v>
      </c>
    </row>
    <row r="345" spans="1:112" x14ac:dyDescent="0.25">
      <c r="A345" t="s">
        <v>7795</v>
      </c>
      <c r="C345" t="s">
        <v>6888</v>
      </c>
      <c r="D345" t="s">
        <v>7796</v>
      </c>
      <c r="E345" t="s">
        <v>7797</v>
      </c>
      <c r="F345" t="s">
        <v>7798</v>
      </c>
      <c r="G345">
        <v>3</v>
      </c>
      <c r="J345" t="s">
        <v>6905</v>
      </c>
      <c r="K345" s="5" t="s">
        <v>6906</v>
      </c>
      <c r="AC345">
        <v>1</v>
      </c>
      <c r="AG345" t="s">
        <v>6876</v>
      </c>
      <c r="BD345">
        <v>1</v>
      </c>
      <c r="BT345">
        <v>30</v>
      </c>
      <c r="BV345" s="8">
        <v>20</v>
      </c>
      <c r="BW345" s="8">
        <v>40</v>
      </c>
      <c r="BX345" s="8">
        <v>1</v>
      </c>
      <c r="BY345" s="8" t="s">
        <v>6907</v>
      </c>
      <c r="CO345" s="9" t="s">
        <v>7795</v>
      </c>
      <c r="CP345">
        <v>-1.1000000000000001</v>
      </c>
      <c r="CS345">
        <v>30</v>
      </c>
    </row>
    <row r="346" spans="1:112" x14ac:dyDescent="0.25">
      <c r="A346" t="s">
        <v>7799</v>
      </c>
      <c r="C346" t="s">
        <v>6888</v>
      </c>
      <c r="D346" t="s">
        <v>7800</v>
      </c>
      <c r="E346" t="s">
        <v>7801</v>
      </c>
      <c r="F346" t="s">
        <v>7802</v>
      </c>
      <c r="G346">
        <v>3</v>
      </c>
      <c r="J346" t="s">
        <v>7010</v>
      </c>
      <c r="K346" s="5" t="s">
        <v>6906</v>
      </c>
      <c r="AB346">
        <v>1</v>
      </c>
      <c r="AC346">
        <v>2</v>
      </c>
      <c r="AD346">
        <v>1</v>
      </c>
      <c r="AO346" t="s">
        <v>6982</v>
      </c>
      <c r="AT346" t="s">
        <v>7803</v>
      </c>
      <c r="AX346" t="s">
        <v>6997</v>
      </c>
      <c r="AZ346">
        <v>1</v>
      </c>
      <c r="BD346">
        <v>3</v>
      </c>
      <c r="BO346" s="7" t="s">
        <v>7804</v>
      </c>
      <c r="BT346">
        <v>25</v>
      </c>
      <c r="BV346" s="8">
        <v>30</v>
      </c>
      <c r="BW346" s="8">
        <v>50</v>
      </c>
      <c r="BX346" s="8">
        <v>1</v>
      </c>
      <c r="BY346" s="8" t="s">
        <v>6907</v>
      </c>
      <c r="CB346" t="s">
        <v>513</v>
      </c>
      <c r="CH346" t="s">
        <v>6977</v>
      </c>
      <c r="CI346" t="s">
        <v>6998</v>
      </c>
      <c r="CJ346" t="s">
        <v>4249</v>
      </c>
      <c r="CO346" s="9" t="s">
        <v>7050</v>
      </c>
      <c r="CP346">
        <v>-0.8</v>
      </c>
      <c r="CS346">
        <v>0.8</v>
      </c>
      <c r="CZ346" t="s">
        <v>7792</v>
      </c>
      <c r="DD346" t="s">
        <v>7805</v>
      </c>
    </row>
    <row r="347" spans="1:112" x14ac:dyDescent="0.25">
      <c r="A347" t="s">
        <v>7804</v>
      </c>
      <c r="C347" t="s">
        <v>6888</v>
      </c>
      <c r="K347" s="5" t="s">
        <v>6874</v>
      </c>
      <c r="L347" s="5" t="s">
        <v>7017</v>
      </c>
      <c r="AC347">
        <v>1</v>
      </c>
      <c r="AY347" s="5"/>
      <c r="BD347">
        <v>1</v>
      </c>
      <c r="BV347"/>
      <c r="BW347"/>
      <c r="BX347"/>
      <c r="BY347"/>
      <c r="BZ347"/>
      <c r="CA347"/>
      <c r="CB347" s="5"/>
      <c r="CC347" s="5"/>
      <c r="CD347" s="5"/>
      <c r="CE347" s="5"/>
      <c r="CF347" s="5"/>
      <c r="CG347" s="5"/>
      <c r="CI347" s="5"/>
      <c r="CJ347" s="5"/>
      <c r="CK347" s="5"/>
      <c r="CL347" s="5"/>
      <c r="CM347" s="5"/>
      <c r="CN347" s="5"/>
      <c r="CO347" s="9" t="s">
        <v>6908</v>
      </c>
      <c r="CP347">
        <v>0.75</v>
      </c>
      <c r="CS347">
        <v>25</v>
      </c>
    </row>
    <row r="349" spans="1:112" x14ac:dyDescent="0.25">
      <c r="A349" t="s">
        <v>7806</v>
      </c>
      <c r="C349" t="s">
        <v>6888</v>
      </c>
      <c r="J349" t="s">
        <v>7010</v>
      </c>
      <c r="K349" s="5" t="s">
        <v>6907</v>
      </c>
      <c r="W349" s="5">
        <v>1</v>
      </c>
      <c r="X349" s="5">
        <v>1</v>
      </c>
      <c r="AC349">
        <v>1</v>
      </c>
      <c r="AD349">
        <v>1</v>
      </c>
      <c r="AT349" t="s">
        <v>7807</v>
      </c>
      <c r="AY349">
        <v>1</v>
      </c>
      <c r="AZ349">
        <v>0.1</v>
      </c>
      <c r="BA349">
        <v>1</v>
      </c>
      <c r="BD349">
        <v>99</v>
      </c>
      <c r="BT349">
        <v>9999</v>
      </c>
      <c r="BV349" s="8">
        <v>1</v>
      </c>
      <c r="BW349" s="8">
        <v>1</v>
      </c>
      <c r="BX349" s="8">
        <v>1</v>
      </c>
      <c r="BY349" s="8" t="s">
        <v>6907</v>
      </c>
      <c r="DD349" t="s">
        <v>7808</v>
      </c>
    </row>
    <row r="350" spans="1:112" x14ac:dyDescent="0.25">
      <c r="A350" t="s">
        <v>7809</v>
      </c>
      <c r="C350" t="s">
        <v>7810</v>
      </c>
      <c r="K350" s="5" t="s">
        <v>6874</v>
      </c>
      <c r="L350" s="5" t="s">
        <v>7120</v>
      </c>
      <c r="AA350">
        <v>0.5</v>
      </c>
      <c r="AC350">
        <v>1</v>
      </c>
      <c r="BD350">
        <v>1</v>
      </c>
      <c r="CV350" t="s">
        <v>7811</v>
      </c>
    </row>
    <row r="351" spans="1:112" x14ac:dyDescent="0.25">
      <c r="A351" t="s">
        <v>7812</v>
      </c>
      <c r="C351" t="s">
        <v>6888</v>
      </c>
      <c r="D351" t="s">
        <v>7813</v>
      </c>
      <c r="E351" t="s">
        <v>7814</v>
      </c>
      <c r="F351" t="s">
        <v>7815</v>
      </c>
      <c r="G351">
        <v>3</v>
      </c>
      <c r="J351" t="s">
        <v>7010</v>
      </c>
      <c r="K351" s="5" t="s">
        <v>6906</v>
      </c>
      <c r="AC351">
        <v>1</v>
      </c>
      <c r="AD351">
        <v>1</v>
      </c>
      <c r="AT351" t="s">
        <v>7803</v>
      </c>
      <c r="AY351">
        <v>1</v>
      </c>
      <c r="AZ351">
        <v>1</v>
      </c>
      <c r="BA351">
        <v>1</v>
      </c>
      <c r="BD351">
        <v>99</v>
      </c>
      <c r="BO351" s="7" t="s">
        <v>7816</v>
      </c>
      <c r="BT351">
        <v>7</v>
      </c>
      <c r="BV351" s="8">
        <v>45</v>
      </c>
      <c r="BW351" s="8">
        <v>60</v>
      </c>
      <c r="BX351" s="8">
        <v>1</v>
      </c>
      <c r="BY351" s="8" t="s">
        <v>6907</v>
      </c>
    </row>
    <row r="352" spans="1:112" x14ac:dyDescent="0.25">
      <c r="A352" t="s">
        <v>7816</v>
      </c>
      <c r="C352" t="s">
        <v>6888</v>
      </c>
      <c r="J352" t="s">
        <v>7010</v>
      </c>
      <c r="K352" s="5" t="s">
        <v>6907</v>
      </c>
      <c r="AC352">
        <v>2</v>
      </c>
      <c r="AD352">
        <v>1</v>
      </c>
      <c r="AT352" t="s">
        <v>7803</v>
      </c>
      <c r="AZ352">
        <v>0</v>
      </c>
      <c r="BD352">
        <v>99</v>
      </c>
      <c r="BS352">
        <v>0.05</v>
      </c>
      <c r="CO352" s="9" t="s">
        <v>7817</v>
      </c>
      <c r="CS352">
        <v>0.1</v>
      </c>
      <c r="DH352">
        <v>1</v>
      </c>
    </row>
    <row r="353" spans="1:104" x14ac:dyDescent="0.25">
      <c r="A353" t="s">
        <v>7818</v>
      </c>
      <c r="C353" t="s">
        <v>6888</v>
      </c>
      <c r="D353" t="s">
        <v>7819</v>
      </c>
      <c r="E353" t="s">
        <v>7820</v>
      </c>
      <c r="F353" t="s">
        <v>7821</v>
      </c>
      <c r="G353">
        <v>3</v>
      </c>
      <c r="J353" t="s">
        <v>7010</v>
      </c>
      <c r="K353" s="5" t="s">
        <v>6906</v>
      </c>
      <c r="AC353">
        <v>1</v>
      </c>
      <c r="AD353">
        <v>1</v>
      </c>
      <c r="AG353" t="s">
        <v>7400</v>
      </c>
      <c r="AT353" t="s">
        <v>7807</v>
      </c>
      <c r="AZ353">
        <v>0</v>
      </c>
      <c r="BD353">
        <v>99</v>
      </c>
      <c r="BT353">
        <v>30</v>
      </c>
      <c r="BV353" s="8">
        <v>25</v>
      </c>
      <c r="BW353" s="8">
        <v>45</v>
      </c>
      <c r="BX353" s="8">
        <v>1</v>
      </c>
      <c r="BY353" s="8" t="s">
        <v>6907</v>
      </c>
      <c r="CO353" s="9" t="s">
        <v>7822</v>
      </c>
      <c r="CP353">
        <v>1</v>
      </c>
      <c r="CS353">
        <v>0.1</v>
      </c>
    </row>
    <row r="355" spans="1:104" x14ac:dyDescent="0.25">
      <c r="A355" t="s">
        <v>7823</v>
      </c>
      <c r="C355" t="s">
        <v>6888</v>
      </c>
      <c r="K355" s="5" t="s">
        <v>6907</v>
      </c>
      <c r="AC355">
        <v>2</v>
      </c>
      <c r="AO355" t="s">
        <v>6982</v>
      </c>
      <c r="AT355" t="s">
        <v>7824</v>
      </c>
      <c r="AX355" t="s">
        <v>6984</v>
      </c>
      <c r="AZ355">
        <v>1</v>
      </c>
      <c r="BD355">
        <v>99</v>
      </c>
      <c r="BP355" s="7" t="s">
        <v>7825</v>
      </c>
      <c r="CB355" t="s">
        <v>134</v>
      </c>
      <c r="CH355" t="s">
        <v>6977</v>
      </c>
      <c r="CY355" t="s">
        <v>7826</v>
      </c>
      <c r="CZ355" t="s">
        <v>7827</v>
      </c>
    </row>
    <row r="356" spans="1:104" x14ac:dyDescent="0.25">
      <c r="A356" t="s">
        <v>7828</v>
      </c>
      <c r="C356" t="s">
        <v>6888</v>
      </c>
      <c r="K356" s="5" t="s">
        <v>6874</v>
      </c>
      <c r="L356" s="5" t="s">
        <v>6892</v>
      </c>
      <c r="AC356">
        <v>1</v>
      </c>
      <c r="AG356" t="s">
        <v>6876</v>
      </c>
      <c r="AH356">
        <v>1</v>
      </c>
      <c r="AY356" s="5"/>
      <c r="BD356">
        <v>1</v>
      </c>
      <c r="BV356"/>
      <c r="BW356"/>
      <c r="BX356"/>
      <c r="BY356"/>
      <c r="BZ356"/>
      <c r="CA356"/>
      <c r="CB356" s="5"/>
      <c r="CC356" s="5"/>
      <c r="CD356" s="5"/>
      <c r="CE356" s="5"/>
      <c r="CF356" s="5"/>
      <c r="CG356" s="5"/>
      <c r="CI356" s="5"/>
      <c r="CJ356" s="5"/>
      <c r="CK356" s="5"/>
      <c r="CL356" s="5"/>
      <c r="CM356" s="5"/>
      <c r="CN356" s="5"/>
      <c r="CO356" s="9" t="s">
        <v>7829</v>
      </c>
      <c r="CS356">
        <v>99999</v>
      </c>
    </row>
    <row r="357" spans="1:104" x14ac:dyDescent="0.25">
      <c r="A357" t="s">
        <v>7825</v>
      </c>
      <c r="C357" t="s">
        <v>6888</v>
      </c>
      <c r="K357" s="5" t="s">
        <v>6874</v>
      </c>
      <c r="AC357">
        <v>1</v>
      </c>
      <c r="BD357">
        <v>1</v>
      </c>
      <c r="CN357" t="s">
        <v>7830</v>
      </c>
      <c r="CO357" s="9" t="s">
        <v>7831</v>
      </c>
      <c r="CS357">
        <v>5</v>
      </c>
    </row>
    <row r="358" spans="1:104" x14ac:dyDescent="0.25">
      <c r="A358" t="s">
        <v>7832</v>
      </c>
      <c r="C358" t="s">
        <v>6888</v>
      </c>
      <c r="K358" s="5" t="s">
        <v>6907</v>
      </c>
      <c r="P358" t="s">
        <v>7831</v>
      </c>
      <c r="AC358">
        <v>1</v>
      </c>
      <c r="BD358">
        <v>1</v>
      </c>
      <c r="CO358" s="9" t="s">
        <v>7830</v>
      </c>
      <c r="CQ358">
        <v>0.54</v>
      </c>
      <c r="CS358">
        <v>9999</v>
      </c>
    </row>
    <row r="359" spans="1:104" x14ac:dyDescent="0.25">
      <c r="A359" t="s">
        <v>7833</v>
      </c>
      <c r="C359" t="s">
        <v>6888</v>
      </c>
      <c r="D359" t="s">
        <v>7834</v>
      </c>
      <c r="E359" t="s">
        <v>7835</v>
      </c>
      <c r="F359" t="s">
        <v>7836</v>
      </c>
      <c r="G359">
        <v>3</v>
      </c>
      <c r="K359" s="5" t="s">
        <v>6907</v>
      </c>
      <c r="AC359">
        <v>2</v>
      </c>
      <c r="AO359" t="s">
        <v>6982</v>
      </c>
      <c r="AT359" t="s">
        <v>7824</v>
      </c>
      <c r="AX359" t="s">
        <v>6984</v>
      </c>
      <c r="AZ359">
        <v>1</v>
      </c>
      <c r="BD359">
        <v>99</v>
      </c>
      <c r="BP359" s="7" t="s">
        <v>7825</v>
      </c>
      <c r="CB359" t="s">
        <v>134</v>
      </c>
      <c r="CH359" t="s">
        <v>6977</v>
      </c>
      <c r="CO359" s="9" t="s">
        <v>7050</v>
      </c>
      <c r="CP359">
        <v>-0.5</v>
      </c>
      <c r="CS359">
        <v>5</v>
      </c>
      <c r="CY359" t="s">
        <v>7837</v>
      </c>
      <c r="CZ359" t="s">
        <v>7838</v>
      </c>
    </row>
    <row r="360" spans="1:104" x14ac:dyDescent="0.25">
      <c r="A360" t="s">
        <v>7839</v>
      </c>
      <c r="C360" t="s">
        <v>6888</v>
      </c>
      <c r="D360" t="s">
        <v>7840</v>
      </c>
      <c r="E360" t="s">
        <v>7841</v>
      </c>
      <c r="F360" t="s">
        <v>7842</v>
      </c>
      <c r="G360">
        <v>3</v>
      </c>
      <c r="J360" t="s">
        <v>7010</v>
      </c>
      <c r="K360" s="5" t="s">
        <v>6906</v>
      </c>
      <c r="AB360">
        <v>1</v>
      </c>
      <c r="AC360">
        <v>2</v>
      </c>
      <c r="AO360" t="s">
        <v>6982</v>
      </c>
      <c r="AT360" t="s">
        <v>7824</v>
      </c>
      <c r="AX360" t="s">
        <v>6984</v>
      </c>
      <c r="AZ360">
        <v>1</v>
      </c>
      <c r="BD360">
        <v>99</v>
      </c>
      <c r="BO360" s="7" t="s">
        <v>7843</v>
      </c>
      <c r="BP360" s="7" t="s">
        <v>7825</v>
      </c>
      <c r="BT360">
        <v>40</v>
      </c>
      <c r="BV360" s="8">
        <v>10</v>
      </c>
      <c r="BW360" s="8">
        <v>20</v>
      </c>
      <c r="BX360" s="8">
        <v>1</v>
      </c>
      <c r="BY360" s="8" t="s">
        <v>6907</v>
      </c>
      <c r="CB360" t="s">
        <v>624</v>
      </c>
      <c r="CH360" t="s">
        <v>6977</v>
      </c>
      <c r="CO360" s="9" t="s">
        <v>6878</v>
      </c>
      <c r="CS360">
        <v>1</v>
      </c>
      <c r="CX360" t="s">
        <v>7844</v>
      </c>
      <c r="CY360" t="s">
        <v>7845</v>
      </c>
      <c r="CZ360" t="s">
        <v>7846</v>
      </c>
    </row>
    <row r="361" spans="1:104" x14ac:dyDescent="0.25">
      <c r="A361" t="s">
        <v>7843</v>
      </c>
      <c r="C361" t="s">
        <v>6888</v>
      </c>
      <c r="K361" s="5" t="s">
        <v>6874</v>
      </c>
      <c r="L361" s="5" t="s">
        <v>7017</v>
      </c>
      <c r="AC361">
        <v>1</v>
      </c>
      <c r="AY361" s="5"/>
      <c r="BD361">
        <v>1</v>
      </c>
      <c r="BV361"/>
      <c r="BW361"/>
      <c r="BX361"/>
      <c r="BY361"/>
      <c r="BZ361"/>
      <c r="CA361"/>
      <c r="CB361" s="5"/>
      <c r="CC361" s="5"/>
      <c r="CD361" s="5"/>
      <c r="CE361" s="5"/>
      <c r="CF361" s="5"/>
      <c r="CG361" s="5"/>
      <c r="CI361" s="5"/>
      <c r="CJ361" s="5"/>
      <c r="CK361" s="5"/>
      <c r="CL361" s="5"/>
      <c r="CM361" s="5"/>
      <c r="CN361" s="5"/>
      <c r="CO361" s="9" t="s">
        <v>7843</v>
      </c>
      <c r="CP361" t="s">
        <v>7847</v>
      </c>
      <c r="CS361">
        <v>40</v>
      </c>
    </row>
    <row r="363" spans="1:104" x14ac:dyDescent="0.25">
      <c r="A363" t="s">
        <v>7848</v>
      </c>
      <c r="C363" t="s">
        <v>7021</v>
      </c>
      <c r="AC363">
        <v>2</v>
      </c>
      <c r="AO363" t="s">
        <v>6982</v>
      </c>
      <c r="AT363" t="s">
        <v>6983</v>
      </c>
      <c r="AX363" t="s">
        <v>6984</v>
      </c>
      <c r="AZ363">
        <v>1</v>
      </c>
      <c r="BD363">
        <v>1</v>
      </c>
      <c r="CB363" t="s">
        <v>134</v>
      </c>
      <c r="CE363" t="s">
        <v>7166</v>
      </c>
      <c r="CH363" t="s">
        <v>6977</v>
      </c>
      <c r="CZ363" t="s">
        <v>7849</v>
      </c>
    </row>
    <row r="364" spans="1:104" x14ac:dyDescent="0.25">
      <c r="A364" t="s">
        <v>7850</v>
      </c>
      <c r="C364" t="s">
        <v>6888</v>
      </c>
      <c r="K364" s="5" t="s">
        <v>6874</v>
      </c>
      <c r="L364" s="5" t="s">
        <v>6892</v>
      </c>
      <c r="AC364">
        <v>1</v>
      </c>
      <c r="AG364" t="s">
        <v>6876</v>
      </c>
      <c r="AH364">
        <v>1</v>
      </c>
      <c r="AY364" s="5"/>
      <c r="BD364">
        <v>1</v>
      </c>
      <c r="BV364"/>
      <c r="BW364"/>
      <c r="BX364"/>
      <c r="BY364"/>
      <c r="BZ364"/>
      <c r="CA364"/>
      <c r="CB364" s="5"/>
      <c r="CC364" s="5"/>
      <c r="CD364" s="5"/>
      <c r="CE364" s="5"/>
      <c r="CF364" s="5"/>
      <c r="CG364" s="5"/>
      <c r="CI364" s="5"/>
      <c r="CJ364" s="5"/>
      <c r="CK364" s="5"/>
      <c r="CL364" s="5"/>
      <c r="CM364" s="5"/>
      <c r="CN364" s="5"/>
      <c r="CO364" s="9" t="s">
        <v>7089</v>
      </c>
      <c r="CP364">
        <v>15</v>
      </c>
      <c r="CS364">
        <v>99999</v>
      </c>
    </row>
    <row r="365" spans="1:104" x14ac:dyDescent="0.25">
      <c r="A365" t="s">
        <v>7851</v>
      </c>
      <c r="C365" t="s">
        <v>7280</v>
      </c>
      <c r="D365" t="s">
        <v>7852</v>
      </c>
      <c r="E365" t="s">
        <v>7853</v>
      </c>
      <c r="F365" t="s">
        <v>7854</v>
      </c>
      <c r="G365">
        <v>3</v>
      </c>
      <c r="J365" t="s">
        <v>6905</v>
      </c>
      <c r="K365" s="5" t="s">
        <v>6907</v>
      </c>
      <c r="AC365">
        <v>2</v>
      </c>
      <c r="AO365" t="s">
        <v>6982</v>
      </c>
      <c r="AT365" t="s">
        <v>6983</v>
      </c>
      <c r="AX365" t="s">
        <v>6984</v>
      </c>
      <c r="AZ365">
        <v>1</v>
      </c>
      <c r="BD365">
        <v>2</v>
      </c>
      <c r="BM365">
        <v>2</v>
      </c>
      <c r="BT365">
        <v>0.2</v>
      </c>
      <c r="BV365" s="8">
        <v>0</v>
      </c>
      <c r="BW365" s="8">
        <v>5</v>
      </c>
      <c r="BX365" s="8">
        <v>1</v>
      </c>
      <c r="BY365" s="8" t="s">
        <v>6907</v>
      </c>
      <c r="CB365" t="s">
        <v>134</v>
      </c>
      <c r="CE365" t="s">
        <v>7166</v>
      </c>
      <c r="CH365" t="s">
        <v>6977</v>
      </c>
      <c r="CO365" s="9" t="s">
        <v>7050</v>
      </c>
      <c r="CP365">
        <v>-0.3</v>
      </c>
      <c r="CS365">
        <v>5</v>
      </c>
      <c r="CZ365" t="s">
        <v>7855</v>
      </c>
    </row>
    <row r="366" spans="1:104" x14ac:dyDescent="0.25">
      <c r="A366" t="s">
        <v>7856</v>
      </c>
      <c r="C366" t="s">
        <v>7280</v>
      </c>
      <c r="D366" t="s">
        <v>7857</v>
      </c>
      <c r="E366" t="s">
        <v>7858</v>
      </c>
      <c r="F366" t="s">
        <v>7859</v>
      </c>
      <c r="G366">
        <v>3</v>
      </c>
      <c r="J366" t="s">
        <v>6905</v>
      </c>
      <c r="K366" s="5" t="s">
        <v>6906</v>
      </c>
      <c r="AB366">
        <v>1</v>
      </c>
      <c r="AC366">
        <v>2</v>
      </c>
      <c r="AO366" t="s">
        <v>6982</v>
      </c>
      <c r="AT366" t="s">
        <v>7275</v>
      </c>
      <c r="AX366" t="s">
        <v>6984</v>
      </c>
      <c r="AZ366">
        <v>2.5</v>
      </c>
      <c r="BD366">
        <v>1</v>
      </c>
      <c r="BJ366">
        <v>0.9</v>
      </c>
      <c r="BK366">
        <v>1</v>
      </c>
      <c r="BL366">
        <v>1</v>
      </c>
      <c r="BM366">
        <v>3</v>
      </c>
      <c r="BT366">
        <v>0.2</v>
      </c>
      <c r="BV366" s="8">
        <v>0</v>
      </c>
      <c r="BW366" s="8">
        <v>15</v>
      </c>
      <c r="BX366" s="8">
        <v>1</v>
      </c>
      <c r="BY366" s="8" t="s">
        <v>6907</v>
      </c>
      <c r="CB366" t="s">
        <v>7860</v>
      </c>
      <c r="CD366">
        <v>0</v>
      </c>
      <c r="CH366" t="s">
        <v>6977</v>
      </c>
      <c r="CO366" s="9" t="s">
        <v>7050</v>
      </c>
      <c r="CP366">
        <v>-0.3</v>
      </c>
      <c r="CS366">
        <v>5</v>
      </c>
      <c r="CY366" t="s">
        <v>7861</v>
      </c>
      <c r="CZ366" t="s">
        <v>7862</v>
      </c>
    </row>
    <row r="372" spans="1:108" x14ac:dyDescent="0.25">
      <c r="A372" t="s">
        <v>7863</v>
      </c>
      <c r="C372" t="s">
        <v>4959</v>
      </c>
      <c r="K372" s="5" t="s">
        <v>6907</v>
      </c>
      <c r="AC372">
        <v>2</v>
      </c>
      <c r="AO372" t="s">
        <v>6982</v>
      </c>
      <c r="AX372" t="s">
        <v>6984</v>
      </c>
      <c r="AZ372">
        <v>1</v>
      </c>
      <c r="BD372">
        <v>1</v>
      </c>
      <c r="CB372" t="s">
        <v>4307</v>
      </c>
      <c r="CE372" t="s">
        <v>7207</v>
      </c>
      <c r="CH372" t="s">
        <v>6977</v>
      </c>
      <c r="CY372" t="s">
        <v>7864</v>
      </c>
    </row>
    <row r="373" spans="1:108" x14ac:dyDescent="0.25">
      <c r="A373" t="s">
        <v>7865</v>
      </c>
      <c r="C373" t="s">
        <v>6888</v>
      </c>
      <c r="K373" s="5" t="s">
        <v>6907</v>
      </c>
      <c r="P373" t="s">
        <v>7866</v>
      </c>
      <c r="Q373"/>
      <c r="R373"/>
      <c r="S373"/>
      <c r="T373"/>
      <c r="Z373">
        <v>1</v>
      </c>
      <c r="AC373">
        <v>2</v>
      </c>
      <c r="AD373">
        <v>1</v>
      </c>
      <c r="AO373" t="s">
        <v>6982</v>
      </c>
      <c r="AT373" t="s">
        <v>7027</v>
      </c>
      <c r="AX373" t="s">
        <v>6984</v>
      </c>
      <c r="AZ373">
        <v>0.8</v>
      </c>
      <c r="BD373">
        <v>1</v>
      </c>
      <c r="CB373" t="s">
        <v>134</v>
      </c>
      <c r="CH373" t="s">
        <v>6977</v>
      </c>
      <c r="CI373" t="s">
        <v>7867</v>
      </c>
      <c r="CJ373" t="s">
        <v>4249</v>
      </c>
      <c r="CZ373" t="s">
        <v>7868</v>
      </c>
    </row>
    <row r="374" spans="1:108" x14ac:dyDescent="0.25">
      <c r="A374" t="s">
        <v>7869</v>
      </c>
      <c r="C374" t="s">
        <v>6888</v>
      </c>
      <c r="D374" t="s">
        <v>7870</v>
      </c>
      <c r="E374" t="s">
        <v>7871</v>
      </c>
      <c r="F374" t="s">
        <v>7872</v>
      </c>
      <c r="G374">
        <v>3</v>
      </c>
      <c r="J374" t="s">
        <v>6905</v>
      </c>
      <c r="K374" s="5" t="s">
        <v>6907</v>
      </c>
      <c r="AC374">
        <v>2</v>
      </c>
      <c r="AO374" t="s">
        <v>6982</v>
      </c>
      <c r="AT374" t="s">
        <v>7027</v>
      </c>
      <c r="AX374" t="s">
        <v>6984</v>
      </c>
      <c r="AZ374">
        <v>2.9</v>
      </c>
      <c r="BD374">
        <v>1</v>
      </c>
      <c r="BT374">
        <v>0.3</v>
      </c>
      <c r="BV374" s="8">
        <v>0</v>
      </c>
      <c r="BW374" s="8">
        <v>2</v>
      </c>
      <c r="BX374" s="8">
        <v>1</v>
      </c>
      <c r="BY374" s="8" t="s">
        <v>7061</v>
      </c>
      <c r="CB374" t="s">
        <v>134</v>
      </c>
      <c r="CH374" t="s">
        <v>6977</v>
      </c>
      <c r="CI374" t="s">
        <v>7867</v>
      </c>
      <c r="CJ374" t="s">
        <v>4249</v>
      </c>
      <c r="CZ374" t="s">
        <v>7873</v>
      </c>
    </row>
    <row r="375" spans="1:108" x14ac:dyDescent="0.25">
      <c r="A375" t="s">
        <v>7874</v>
      </c>
      <c r="C375" t="s">
        <v>6888</v>
      </c>
      <c r="D375" t="s">
        <v>7870</v>
      </c>
      <c r="E375" t="s">
        <v>7871</v>
      </c>
      <c r="F375" t="s">
        <v>7872</v>
      </c>
      <c r="G375">
        <v>3</v>
      </c>
      <c r="J375" t="s">
        <v>6905</v>
      </c>
      <c r="K375" s="5" t="s">
        <v>6907</v>
      </c>
      <c r="AC375">
        <v>2</v>
      </c>
      <c r="AO375" t="s">
        <v>6982</v>
      </c>
      <c r="AT375" t="s">
        <v>7027</v>
      </c>
      <c r="AX375" t="s">
        <v>6984</v>
      </c>
      <c r="AZ375">
        <v>2.25</v>
      </c>
      <c r="BD375">
        <v>1</v>
      </c>
      <c r="BT375">
        <v>0.3</v>
      </c>
      <c r="BV375" s="8">
        <v>0</v>
      </c>
      <c r="BW375" s="8">
        <v>3</v>
      </c>
      <c r="BX375" s="8">
        <v>1</v>
      </c>
      <c r="BY375" s="8" t="s">
        <v>7061</v>
      </c>
      <c r="CB375" t="s">
        <v>134</v>
      </c>
      <c r="CH375" t="s">
        <v>6977</v>
      </c>
      <c r="CI375" t="s">
        <v>7867</v>
      </c>
      <c r="CJ375" t="s">
        <v>4249</v>
      </c>
      <c r="CZ375" t="s">
        <v>7873</v>
      </c>
    </row>
    <row r="376" spans="1:108" x14ac:dyDescent="0.25">
      <c r="A376" t="s">
        <v>7875</v>
      </c>
      <c r="C376" t="s">
        <v>6888</v>
      </c>
      <c r="D376" t="s">
        <v>7876</v>
      </c>
      <c r="E376" t="s">
        <v>7877</v>
      </c>
      <c r="F376" t="s">
        <v>7878</v>
      </c>
      <c r="G376">
        <v>3</v>
      </c>
      <c r="J376" t="s">
        <v>6905</v>
      </c>
      <c r="K376" s="5" t="s">
        <v>6906</v>
      </c>
      <c r="AB376">
        <v>1</v>
      </c>
      <c r="AC376">
        <v>1</v>
      </c>
      <c r="BD376">
        <v>1</v>
      </c>
      <c r="BP376" s="7" t="s">
        <v>7879</v>
      </c>
      <c r="BS376">
        <v>0</v>
      </c>
      <c r="BT376">
        <v>0.2</v>
      </c>
      <c r="BV376" s="8">
        <v>0</v>
      </c>
      <c r="BW376" s="8">
        <v>5</v>
      </c>
      <c r="BX376" s="8">
        <v>1</v>
      </c>
      <c r="BY376" s="8" t="s">
        <v>6907</v>
      </c>
      <c r="CO376" s="9" t="s">
        <v>7866</v>
      </c>
      <c r="CP376" t="s">
        <v>7880</v>
      </c>
      <c r="CS376">
        <v>99999</v>
      </c>
    </row>
    <row r="377" spans="1:108" x14ac:dyDescent="0.25">
      <c r="A377" t="s">
        <v>7881</v>
      </c>
      <c r="C377" t="s">
        <v>6888</v>
      </c>
      <c r="D377" t="s">
        <v>7876</v>
      </c>
      <c r="E377" t="s">
        <v>7877</v>
      </c>
      <c r="F377" t="s">
        <v>7878</v>
      </c>
      <c r="G377">
        <v>3</v>
      </c>
      <c r="J377" t="s">
        <v>6905</v>
      </c>
      <c r="K377" s="5" t="s">
        <v>6906</v>
      </c>
      <c r="AB377">
        <v>1</v>
      </c>
      <c r="AC377">
        <v>1</v>
      </c>
      <c r="BD377">
        <v>1</v>
      </c>
      <c r="BP377" s="7" t="s">
        <v>7879</v>
      </c>
      <c r="BS377">
        <v>0</v>
      </c>
      <c r="BT377">
        <v>0.2</v>
      </c>
      <c r="BV377" s="8">
        <v>0</v>
      </c>
      <c r="BW377" s="8">
        <v>5</v>
      </c>
      <c r="BX377" s="8">
        <v>1</v>
      </c>
      <c r="BY377" s="8" t="s">
        <v>6907</v>
      </c>
      <c r="CO377" s="9" t="s">
        <v>7866</v>
      </c>
      <c r="CP377" t="s">
        <v>7882</v>
      </c>
      <c r="CS377">
        <v>99999</v>
      </c>
    </row>
    <row r="378" spans="1:108" x14ac:dyDescent="0.25">
      <c r="A378" t="s">
        <v>7879</v>
      </c>
      <c r="C378" t="s">
        <v>6888</v>
      </c>
      <c r="K378" s="5" t="s">
        <v>6907</v>
      </c>
      <c r="O378" t="s">
        <v>7866</v>
      </c>
      <c r="P378"/>
      <c r="Q378"/>
      <c r="R378"/>
      <c r="S378"/>
      <c r="T378"/>
      <c r="Z378">
        <v>1</v>
      </c>
      <c r="AC378">
        <v>2</v>
      </c>
      <c r="AD378">
        <v>1</v>
      </c>
      <c r="AO378" t="s">
        <v>6982</v>
      </c>
      <c r="AT378" t="s">
        <v>7883</v>
      </c>
      <c r="AX378" t="s">
        <v>6984</v>
      </c>
      <c r="AZ378">
        <v>0.8</v>
      </c>
      <c r="BD378">
        <v>1</v>
      </c>
      <c r="CB378" t="s">
        <v>134</v>
      </c>
      <c r="CH378" t="s">
        <v>6977</v>
      </c>
      <c r="CI378" t="s">
        <v>7867</v>
      </c>
      <c r="CJ378" t="s">
        <v>4249</v>
      </c>
      <c r="CZ378" t="s">
        <v>7868</v>
      </c>
    </row>
    <row r="379" spans="1:108" x14ac:dyDescent="0.25">
      <c r="A379" t="s">
        <v>7884</v>
      </c>
      <c r="C379" t="s">
        <v>4959</v>
      </c>
      <c r="D379" t="s">
        <v>7884</v>
      </c>
      <c r="E379" t="s">
        <v>7885</v>
      </c>
      <c r="F379" t="s">
        <v>7886</v>
      </c>
      <c r="G379">
        <v>3</v>
      </c>
      <c r="J379" t="s">
        <v>7010</v>
      </c>
      <c r="K379" s="5" t="s">
        <v>6906</v>
      </c>
      <c r="AB379">
        <v>1</v>
      </c>
      <c r="AC379">
        <v>2</v>
      </c>
      <c r="AD379">
        <v>1</v>
      </c>
      <c r="AO379" t="s">
        <v>6982</v>
      </c>
      <c r="AT379" t="s">
        <v>7887</v>
      </c>
      <c r="AX379" t="s">
        <v>6984</v>
      </c>
      <c r="AZ379">
        <v>1</v>
      </c>
      <c r="BD379">
        <v>6</v>
      </c>
      <c r="BO379" s="7" t="s">
        <v>7888</v>
      </c>
      <c r="BT379">
        <v>30</v>
      </c>
      <c r="BV379" s="8">
        <v>75</v>
      </c>
      <c r="BW379" s="8">
        <v>90</v>
      </c>
      <c r="BX379" s="8">
        <v>1</v>
      </c>
      <c r="BY379" s="8" t="s">
        <v>6907</v>
      </c>
      <c r="CB379" t="s">
        <v>624</v>
      </c>
      <c r="CH379" t="s">
        <v>6977</v>
      </c>
      <c r="CX379" t="s">
        <v>7889</v>
      </c>
      <c r="CZ379" t="s">
        <v>7890</v>
      </c>
    </row>
    <row r="380" spans="1:108" x14ac:dyDescent="0.25">
      <c r="A380" t="s">
        <v>7891</v>
      </c>
      <c r="C380" t="s">
        <v>4959</v>
      </c>
      <c r="D380" t="s">
        <v>7884</v>
      </c>
      <c r="E380" t="s">
        <v>7892</v>
      </c>
      <c r="F380" t="s">
        <v>7886</v>
      </c>
      <c r="G380">
        <v>3</v>
      </c>
      <c r="J380" t="s">
        <v>7010</v>
      </c>
      <c r="K380" s="5" t="s">
        <v>6906</v>
      </c>
      <c r="AB380">
        <v>1</v>
      </c>
      <c r="AC380">
        <v>2</v>
      </c>
      <c r="AD380">
        <v>1</v>
      </c>
      <c r="AO380" t="s">
        <v>6982</v>
      </c>
      <c r="AT380" t="s">
        <v>7887</v>
      </c>
      <c r="AX380" t="s">
        <v>6984</v>
      </c>
      <c r="AZ380">
        <v>1</v>
      </c>
      <c r="BD380">
        <v>5</v>
      </c>
      <c r="BO380" s="7" t="s">
        <v>7893</v>
      </c>
      <c r="BT380">
        <v>26</v>
      </c>
      <c r="BV380" s="8">
        <v>60</v>
      </c>
      <c r="BW380" s="8">
        <v>90</v>
      </c>
      <c r="BX380" s="8">
        <v>1</v>
      </c>
      <c r="BY380" s="8" t="s">
        <v>6907</v>
      </c>
      <c r="CB380" t="s">
        <v>624</v>
      </c>
      <c r="CH380" t="s">
        <v>6977</v>
      </c>
      <c r="CX380" t="s">
        <v>7889</v>
      </c>
      <c r="CZ380" t="s">
        <v>7890</v>
      </c>
    </row>
    <row r="381" spans="1:108" x14ac:dyDescent="0.25">
      <c r="A381" t="s">
        <v>7894</v>
      </c>
      <c r="C381" t="s">
        <v>6888</v>
      </c>
      <c r="K381" s="5" t="s">
        <v>6874</v>
      </c>
      <c r="L381" s="5" t="s">
        <v>7017</v>
      </c>
      <c r="AC381">
        <v>1</v>
      </c>
      <c r="AY381" s="5"/>
      <c r="BD381">
        <v>1</v>
      </c>
      <c r="BV381"/>
      <c r="BW381"/>
      <c r="BX381"/>
      <c r="BY381"/>
      <c r="BZ381"/>
      <c r="CA381"/>
      <c r="CB381" s="5"/>
      <c r="CC381" s="5"/>
      <c r="CD381" s="5"/>
      <c r="CE381" s="5"/>
      <c r="CF381" s="5"/>
      <c r="CG381" s="5"/>
      <c r="CI381" s="5"/>
      <c r="CJ381" s="5"/>
      <c r="CK381" s="5"/>
      <c r="CL381" s="5"/>
      <c r="CM381" s="5"/>
      <c r="CN381" s="5"/>
      <c r="CO381" s="9" t="s">
        <v>7894</v>
      </c>
      <c r="CP381" s="5">
        <v>2</v>
      </c>
      <c r="CQ381" s="5"/>
      <c r="CR381" s="5"/>
      <c r="CS381" s="5">
        <v>30</v>
      </c>
      <c r="CT381" s="5"/>
      <c r="CU381" s="5"/>
      <c r="CV381" s="5"/>
      <c r="CW381" s="5"/>
      <c r="CX381" s="5"/>
      <c r="CY381" s="5"/>
      <c r="CZ381" s="5"/>
      <c r="DA381" s="5"/>
      <c r="DB381" s="5"/>
      <c r="DC381" s="5"/>
      <c r="DD381" s="5"/>
    </row>
    <row r="382" spans="1:108" x14ac:dyDescent="0.25">
      <c r="A382" t="s">
        <v>7895</v>
      </c>
      <c r="C382" t="s">
        <v>6888</v>
      </c>
      <c r="K382" s="5" t="s">
        <v>6874</v>
      </c>
      <c r="L382" s="5" t="s">
        <v>7017</v>
      </c>
      <c r="AC382">
        <v>1</v>
      </c>
      <c r="AY382" s="5"/>
      <c r="BD382">
        <v>1</v>
      </c>
      <c r="BV382"/>
      <c r="BW382"/>
      <c r="BX382"/>
      <c r="BY382"/>
      <c r="BZ382"/>
      <c r="CA382"/>
      <c r="CB382" s="5"/>
      <c r="CC382" s="5"/>
      <c r="CD382" s="5"/>
      <c r="CE382" s="5"/>
      <c r="CF382" s="5"/>
      <c r="CG382" s="5"/>
      <c r="CI382" s="5"/>
      <c r="CJ382" s="5"/>
      <c r="CK382" s="5"/>
      <c r="CL382" s="5"/>
      <c r="CM382" s="5"/>
      <c r="CN382" s="5"/>
      <c r="CO382" s="9" t="s">
        <v>7894</v>
      </c>
      <c r="CP382" s="5">
        <v>1.4</v>
      </c>
      <c r="CQ382" s="5"/>
      <c r="CR382" s="5"/>
      <c r="CS382" s="5">
        <v>30</v>
      </c>
      <c r="CT382" s="5"/>
      <c r="CU382" s="5"/>
      <c r="CV382" s="5"/>
      <c r="CW382" s="5"/>
      <c r="CX382" s="5"/>
      <c r="CY382" s="5"/>
      <c r="CZ382" s="5"/>
      <c r="DA382" s="5"/>
      <c r="DB382" s="5"/>
      <c r="DC382" s="5"/>
      <c r="DD382" s="5"/>
    </row>
    <row r="383" spans="1:108" x14ac:dyDescent="0.25">
      <c r="A383" t="s">
        <v>7896</v>
      </c>
      <c r="C383" t="s">
        <v>6888</v>
      </c>
      <c r="K383" s="5" t="s">
        <v>6874</v>
      </c>
      <c r="L383" s="5" t="s">
        <v>7017</v>
      </c>
      <c r="AC383">
        <v>1</v>
      </c>
      <c r="AY383" s="5"/>
      <c r="BD383">
        <v>1</v>
      </c>
      <c r="BV383"/>
      <c r="BW383"/>
      <c r="BX383"/>
      <c r="BY383"/>
      <c r="BZ383"/>
      <c r="CA383"/>
      <c r="CB383" s="5"/>
      <c r="CC383" s="5"/>
      <c r="CD383" s="5"/>
      <c r="CE383" s="5"/>
      <c r="CF383" s="5"/>
      <c r="CG383" s="5"/>
      <c r="CI383" s="5"/>
      <c r="CJ383" s="5"/>
      <c r="CK383" s="5"/>
      <c r="CL383" s="5"/>
      <c r="CM383" s="5"/>
      <c r="CN383" s="5"/>
      <c r="CO383" s="9" t="s">
        <v>7246</v>
      </c>
      <c r="CP383" s="5">
        <v>-0.7</v>
      </c>
      <c r="CQ383" s="5"/>
      <c r="CR383" s="5"/>
      <c r="CS383" s="5">
        <v>30</v>
      </c>
      <c r="CT383" s="5"/>
      <c r="CU383" s="5"/>
      <c r="CV383" s="5"/>
      <c r="CW383" s="5"/>
      <c r="CX383" s="5"/>
      <c r="CY383" s="5"/>
      <c r="CZ383" s="5"/>
      <c r="DA383" s="5"/>
      <c r="DB383" s="5"/>
      <c r="DC383" s="5"/>
      <c r="DD383" s="5"/>
    </row>
    <row r="384" spans="1:108" x14ac:dyDescent="0.25">
      <c r="A384" t="s">
        <v>7897</v>
      </c>
      <c r="C384" t="s">
        <v>6888</v>
      </c>
      <c r="K384" t="s">
        <v>6874</v>
      </c>
      <c r="L384" t="s">
        <v>6892</v>
      </c>
      <c r="M384"/>
      <c r="N384"/>
      <c r="O384"/>
      <c r="P384"/>
      <c r="Q384"/>
      <c r="R384"/>
      <c r="S384"/>
      <c r="T384"/>
      <c r="U384"/>
      <c r="V384"/>
      <c r="W384"/>
      <c r="X384"/>
      <c r="AC384">
        <v>1</v>
      </c>
      <c r="AF384">
        <v>1</v>
      </c>
      <c r="AH384">
        <v>1</v>
      </c>
      <c r="BO384" s="7" t="s">
        <v>7898</v>
      </c>
      <c r="BV384"/>
      <c r="BW384"/>
      <c r="BX384"/>
      <c r="BY384"/>
      <c r="BZ384"/>
      <c r="CA384"/>
      <c r="CO384" s="9" t="s">
        <v>7899</v>
      </c>
      <c r="CP384">
        <v>-0.12</v>
      </c>
    </row>
    <row r="385" spans="1:109" x14ac:dyDescent="0.25">
      <c r="A385" t="s">
        <v>7900</v>
      </c>
      <c r="C385" t="s">
        <v>6888</v>
      </c>
      <c r="K385" t="s">
        <v>6874</v>
      </c>
      <c r="L385" t="s">
        <v>6892</v>
      </c>
      <c r="M385"/>
      <c r="N385"/>
      <c r="O385"/>
      <c r="P385"/>
      <c r="Q385"/>
      <c r="R385"/>
      <c r="S385"/>
      <c r="T385"/>
      <c r="U385"/>
      <c r="V385"/>
      <c r="W385"/>
      <c r="X385"/>
      <c r="AC385">
        <v>1</v>
      </c>
      <c r="AF385">
        <v>1</v>
      </c>
      <c r="AH385">
        <v>1</v>
      </c>
      <c r="BO385" s="7" t="s">
        <v>7901</v>
      </c>
      <c r="BV385"/>
      <c r="BW385"/>
      <c r="BX385"/>
      <c r="BY385"/>
      <c r="BZ385"/>
      <c r="CA385"/>
      <c r="CO385" s="9" t="s">
        <v>7899</v>
      </c>
      <c r="CP385">
        <v>-7.0000000000000007E-2</v>
      </c>
    </row>
    <row r="386" spans="1:109" x14ac:dyDescent="0.25">
      <c r="A386" t="s">
        <v>7902</v>
      </c>
      <c r="C386" t="s">
        <v>6888</v>
      </c>
      <c r="K386" s="5" t="s">
        <v>6907</v>
      </c>
      <c r="P386" t="s">
        <v>6744</v>
      </c>
      <c r="Q386"/>
      <c r="R386"/>
      <c r="S386"/>
      <c r="T386"/>
      <c r="AC386">
        <v>2</v>
      </c>
      <c r="AD386">
        <v>1</v>
      </c>
      <c r="AO386" t="s">
        <v>6982</v>
      </c>
      <c r="AW386" s="6">
        <v>1</v>
      </c>
      <c r="BD386">
        <v>99</v>
      </c>
      <c r="BS386">
        <v>0.01</v>
      </c>
      <c r="CO386" s="9" t="s">
        <v>6744</v>
      </c>
      <c r="CS386">
        <v>99999</v>
      </c>
      <c r="CU386">
        <v>1</v>
      </c>
      <c r="DE386">
        <v>1</v>
      </c>
    </row>
    <row r="387" spans="1:109" x14ac:dyDescent="0.25">
      <c r="A387" t="s">
        <v>7898</v>
      </c>
      <c r="C387" t="s">
        <v>6888</v>
      </c>
      <c r="K387" s="5" t="s">
        <v>6874</v>
      </c>
      <c r="L387" s="5" t="s">
        <v>6892</v>
      </c>
      <c r="AC387">
        <v>1</v>
      </c>
      <c r="AG387" t="s">
        <v>6876</v>
      </c>
      <c r="AH387">
        <v>1</v>
      </c>
      <c r="AY387" s="5"/>
      <c r="BD387">
        <v>1</v>
      </c>
      <c r="BV387"/>
      <c r="BW387"/>
      <c r="BX387"/>
      <c r="BY387"/>
      <c r="BZ387"/>
      <c r="CA387"/>
      <c r="CB387" s="5"/>
      <c r="CC387" s="5"/>
      <c r="CD387" s="5"/>
      <c r="CE387" s="5"/>
      <c r="CF387" s="5"/>
      <c r="CG387" s="5"/>
      <c r="CI387" s="5"/>
      <c r="CJ387" s="5"/>
      <c r="CK387" s="5"/>
      <c r="CL387" s="5"/>
      <c r="CM387" s="5"/>
      <c r="CN387" s="5"/>
      <c r="CO387" s="9" t="s">
        <v>6893</v>
      </c>
      <c r="CP387">
        <v>0.12</v>
      </c>
      <c r="CS387">
        <v>99999</v>
      </c>
    </row>
    <row r="388" spans="1:109" x14ac:dyDescent="0.25">
      <c r="A388" t="s">
        <v>7901</v>
      </c>
      <c r="C388" t="s">
        <v>6888</v>
      </c>
      <c r="K388" s="5" t="s">
        <v>6874</v>
      </c>
      <c r="L388" s="5" t="s">
        <v>6892</v>
      </c>
      <c r="AC388">
        <v>1</v>
      </c>
      <c r="AG388" t="s">
        <v>6876</v>
      </c>
      <c r="AH388">
        <v>1</v>
      </c>
      <c r="AY388" s="5"/>
      <c r="BD388">
        <v>1</v>
      </c>
      <c r="BV388"/>
      <c r="BW388"/>
      <c r="BX388"/>
      <c r="BY388"/>
      <c r="BZ388"/>
      <c r="CA388"/>
      <c r="CB388" s="5"/>
      <c r="CC388" s="5"/>
      <c r="CD388" s="5"/>
      <c r="CE388" s="5"/>
      <c r="CF388" s="5"/>
      <c r="CG388" s="5"/>
      <c r="CI388" s="5"/>
      <c r="CJ388" s="5"/>
      <c r="CK388" s="5"/>
      <c r="CL388" s="5"/>
      <c r="CM388" s="5"/>
      <c r="CN388" s="5"/>
      <c r="CO388" s="9" t="s">
        <v>6893</v>
      </c>
      <c r="CP388">
        <v>7.0000000000000007E-2</v>
      </c>
      <c r="CS388">
        <v>99999</v>
      </c>
    </row>
    <row r="389" spans="1:109" x14ac:dyDescent="0.25">
      <c r="AY389" s="5"/>
      <c r="BV389"/>
      <c r="BW389"/>
      <c r="BX389"/>
      <c r="BY389"/>
      <c r="BZ389"/>
      <c r="CA389"/>
      <c r="CB389" s="5"/>
      <c r="CC389" s="5"/>
      <c r="CD389" s="5"/>
      <c r="CE389" s="5"/>
      <c r="CF389" s="5"/>
      <c r="CG389" s="5"/>
      <c r="CI389" s="5"/>
      <c r="CJ389" s="5"/>
      <c r="CK389" s="5"/>
      <c r="CL389" s="5"/>
      <c r="CM389" s="5"/>
      <c r="CN389" s="5"/>
    </row>
    <row r="390" spans="1:109" x14ac:dyDescent="0.25">
      <c r="A390" t="s">
        <v>7903</v>
      </c>
      <c r="C390" t="s">
        <v>4959</v>
      </c>
      <c r="AC390">
        <v>2</v>
      </c>
      <c r="AO390" t="s">
        <v>6982</v>
      </c>
      <c r="AT390" t="s">
        <v>6983</v>
      </c>
      <c r="AX390" t="s">
        <v>6997</v>
      </c>
      <c r="AZ390">
        <v>1</v>
      </c>
      <c r="BD390">
        <v>1</v>
      </c>
      <c r="CB390" t="s">
        <v>134</v>
      </c>
      <c r="CH390" t="s">
        <v>6977</v>
      </c>
      <c r="CK390" t="s">
        <v>7904</v>
      </c>
      <c r="CY390" t="s">
        <v>7905</v>
      </c>
      <c r="CZ390" t="s">
        <v>7906</v>
      </c>
    </row>
    <row r="391" spans="1:109" x14ac:dyDescent="0.25">
      <c r="A391" t="s">
        <v>7907</v>
      </c>
      <c r="C391" t="s">
        <v>6888</v>
      </c>
      <c r="D391" t="s">
        <v>7908</v>
      </c>
      <c r="E391" t="s">
        <v>7909</v>
      </c>
      <c r="F391" t="s">
        <v>7910</v>
      </c>
      <c r="G391">
        <v>3</v>
      </c>
      <c r="J391" t="s">
        <v>6905</v>
      </c>
      <c r="K391" s="5" t="s">
        <v>6907</v>
      </c>
      <c r="AC391">
        <v>2</v>
      </c>
      <c r="AO391" t="s">
        <v>6982</v>
      </c>
      <c r="AT391" t="s">
        <v>6983</v>
      </c>
      <c r="AX391" t="s">
        <v>6997</v>
      </c>
      <c r="AZ391">
        <v>3.1</v>
      </c>
      <c r="BD391">
        <v>1</v>
      </c>
      <c r="BO391" s="7" t="s">
        <v>7911</v>
      </c>
      <c r="BT391">
        <v>0.3</v>
      </c>
      <c r="BV391" s="8">
        <v>0</v>
      </c>
      <c r="BW391" s="8">
        <v>2</v>
      </c>
      <c r="BX391" s="8">
        <v>1</v>
      </c>
      <c r="BY391" s="8" t="s">
        <v>7061</v>
      </c>
      <c r="CB391" t="s">
        <v>134</v>
      </c>
      <c r="CH391" t="s">
        <v>6977</v>
      </c>
      <c r="CK391" t="s">
        <v>7904</v>
      </c>
      <c r="CY391" t="s">
        <v>7912</v>
      </c>
      <c r="CZ391" t="s">
        <v>7913</v>
      </c>
    </row>
    <row r="392" spans="1:109" x14ac:dyDescent="0.25">
      <c r="A392" t="s">
        <v>7911</v>
      </c>
      <c r="C392" t="s">
        <v>7076</v>
      </c>
      <c r="K392" s="5" t="s">
        <v>6874</v>
      </c>
      <c r="L392" s="5" t="s">
        <v>7532</v>
      </c>
      <c r="AC392">
        <v>1</v>
      </c>
      <c r="BD392">
        <v>1</v>
      </c>
      <c r="CV392" t="s">
        <v>7914</v>
      </c>
    </row>
    <row r="393" spans="1:109" x14ac:dyDescent="0.25">
      <c r="A393" t="s">
        <v>7915</v>
      </c>
      <c r="C393" t="s">
        <v>4959</v>
      </c>
      <c r="D393" t="s">
        <v>7916</v>
      </c>
      <c r="E393" t="s">
        <v>7917</v>
      </c>
      <c r="F393" t="s">
        <v>7918</v>
      </c>
      <c r="G393">
        <v>3</v>
      </c>
      <c r="J393" t="s">
        <v>7010</v>
      </c>
      <c r="K393" s="5" t="s">
        <v>6906</v>
      </c>
      <c r="AB393">
        <v>1</v>
      </c>
      <c r="AC393">
        <v>2</v>
      </c>
      <c r="AO393" t="s">
        <v>6982</v>
      </c>
      <c r="AT393" t="s">
        <v>7165</v>
      </c>
      <c r="AX393" t="s">
        <v>6997</v>
      </c>
      <c r="AZ393">
        <v>1</v>
      </c>
      <c r="BD393">
        <v>2</v>
      </c>
      <c r="BO393" s="7" t="s">
        <v>7919</v>
      </c>
      <c r="BT393">
        <v>18</v>
      </c>
      <c r="BV393" s="8">
        <v>12</v>
      </c>
      <c r="BW393" s="8">
        <v>18</v>
      </c>
      <c r="BX393" s="8">
        <v>1</v>
      </c>
      <c r="BY393" s="8" t="s">
        <v>6907</v>
      </c>
      <c r="CB393" t="s">
        <v>7920</v>
      </c>
      <c r="CE393" t="s">
        <v>7921</v>
      </c>
      <c r="CH393" t="s">
        <v>6977</v>
      </c>
      <c r="CK393" t="s">
        <v>7922</v>
      </c>
      <c r="CX393" t="s">
        <v>7923</v>
      </c>
      <c r="CY393" t="s">
        <v>7924</v>
      </c>
    </row>
    <row r="394" spans="1:109" x14ac:dyDescent="0.25">
      <c r="A394" t="s">
        <v>7919</v>
      </c>
      <c r="C394" t="s">
        <v>6888</v>
      </c>
      <c r="K394" s="5" t="s">
        <v>6874</v>
      </c>
      <c r="L394" s="5" t="s">
        <v>7017</v>
      </c>
      <c r="AC394">
        <v>1</v>
      </c>
      <c r="AY394" s="5"/>
      <c r="BD394">
        <v>1</v>
      </c>
      <c r="BV394"/>
      <c r="BW394"/>
      <c r="BX394"/>
      <c r="BY394"/>
      <c r="BZ394"/>
      <c r="CA394"/>
      <c r="CB394" s="5"/>
      <c r="CC394" s="5"/>
      <c r="CD394" s="5"/>
      <c r="CE394" s="5"/>
      <c r="CF394" s="5"/>
      <c r="CG394" s="5"/>
      <c r="CI394" s="5"/>
      <c r="CJ394" s="5"/>
      <c r="CK394" s="5"/>
      <c r="CL394" s="5"/>
      <c r="CM394" s="5"/>
      <c r="CN394" s="5"/>
      <c r="CO394" s="9" t="s">
        <v>7925</v>
      </c>
      <c r="CP394" s="5">
        <v>1.2</v>
      </c>
      <c r="CQ394" s="5"/>
      <c r="CR394" s="5"/>
      <c r="CS394" s="5">
        <v>18</v>
      </c>
      <c r="CT394" s="5"/>
      <c r="CU394" s="5"/>
      <c r="CV394" s="5"/>
      <c r="CW394" s="5"/>
      <c r="CX394" s="5"/>
      <c r="CY394" s="5"/>
      <c r="CZ394" s="5"/>
      <c r="DA394" s="5"/>
      <c r="DB394" s="5"/>
      <c r="DC394" s="5"/>
      <c r="DD394" s="5"/>
    </row>
    <row r="395" spans="1:109" x14ac:dyDescent="0.25">
      <c r="A395" t="s">
        <v>7926</v>
      </c>
      <c r="C395" t="s">
        <v>6888</v>
      </c>
      <c r="D395" t="s">
        <v>7927</v>
      </c>
      <c r="E395" t="s">
        <v>7928</v>
      </c>
      <c r="F395" t="s">
        <v>7929</v>
      </c>
      <c r="G395">
        <v>3</v>
      </c>
      <c r="J395" t="s">
        <v>6905</v>
      </c>
      <c r="K395" s="5" t="s">
        <v>6906</v>
      </c>
      <c r="N395" s="5">
        <v>1</v>
      </c>
      <c r="X395" s="5">
        <v>1</v>
      </c>
      <c r="AB395">
        <v>1</v>
      </c>
      <c r="AC395">
        <v>1</v>
      </c>
      <c r="AY395" s="5"/>
      <c r="BD395">
        <v>1</v>
      </c>
      <c r="BO395" s="7" t="s">
        <v>7930</v>
      </c>
      <c r="BS395">
        <v>0.6</v>
      </c>
      <c r="BT395">
        <v>99999</v>
      </c>
      <c r="BV395" s="8">
        <v>0</v>
      </c>
      <c r="BW395" s="8">
        <v>5</v>
      </c>
      <c r="BX395" s="8">
        <v>1</v>
      </c>
      <c r="BY395" s="8" t="s">
        <v>6907</v>
      </c>
      <c r="CB395" s="5" t="s">
        <v>7931</v>
      </c>
      <c r="CC395" s="5"/>
      <c r="CD395" s="5">
        <v>0</v>
      </c>
      <c r="CE395" s="5"/>
      <c r="CF395" s="5"/>
      <c r="CG395" s="5"/>
      <c r="CH395" t="s">
        <v>7394</v>
      </c>
      <c r="CI395" s="5"/>
      <c r="CJ395" s="5"/>
      <c r="CO395" s="9" t="s">
        <v>7932</v>
      </c>
      <c r="CP395" s="5"/>
      <c r="CQ395" s="5"/>
      <c r="CR395" s="5"/>
      <c r="CS395" s="5">
        <v>99999</v>
      </c>
      <c r="CT395" s="5"/>
      <c r="CU395" s="5"/>
      <c r="CV395" s="5"/>
      <c r="CW395" s="5"/>
      <c r="CX395" s="5"/>
      <c r="CY395" s="5"/>
      <c r="CZ395" s="5"/>
      <c r="DA395" s="5"/>
      <c r="DB395" s="5"/>
      <c r="DC395" s="5"/>
      <c r="DD395" s="5"/>
    </row>
    <row r="396" spans="1:109" x14ac:dyDescent="0.25">
      <c r="A396" t="s">
        <v>7933</v>
      </c>
      <c r="C396" t="s">
        <v>4959</v>
      </c>
      <c r="J396" t="s">
        <v>7010</v>
      </c>
      <c r="K396" s="5" t="s">
        <v>6907</v>
      </c>
      <c r="AC396">
        <v>2</v>
      </c>
      <c r="AO396" t="s">
        <v>6982</v>
      </c>
      <c r="AT396" t="s">
        <v>7258</v>
      </c>
      <c r="AX396" t="s">
        <v>6997</v>
      </c>
      <c r="AZ396">
        <v>1</v>
      </c>
      <c r="BD396">
        <v>4</v>
      </c>
      <c r="CB396" t="s">
        <v>7934</v>
      </c>
      <c r="CH396" t="s">
        <v>6977</v>
      </c>
      <c r="CK396" t="s">
        <v>7904</v>
      </c>
      <c r="CY396" t="s">
        <v>7926</v>
      </c>
      <c r="CZ396" t="s">
        <v>7935</v>
      </c>
    </row>
    <row r="397" spans="1:109" x14ac:dyDescent="0.25">
      <c r="A397" t="s">
        <v>7936</v>
      </c>
      <c r="C397" t="s">
        <v>6888</v>
      </c>
      <c r="K397" s="5" t="s">
        <v>6874</v>
      </c>
      <c r="L397" s="5" t="s">
        <v>7017</v>
      </c>
      <c r="AC397">
        <v>1</v>
      </c>
      <c r="AG397" t="s">
        <v>6876</v>
      </c>
      <c r="AY397" s="5"/>
      <c r="BD397">
        <v>1</v>
      </c>
      <c r="BV397"/>
      <c r="BW397"/>
      <c r="BX397"/>
      <c r="BY397"/>
      <c r="BZ397"/>
      <c r="CA397"/>
      <c r="CB397" s="5"/>
      <c r="CC397" s="5"/>
      <c r="CD397" s="5"/>
      <c r="CE397" s="5"/>
      <c r="CF397" s="5"/>
      <c r="CG397" s="5"/>
      <c r="CI397" s="5"/>
      <c r="CJ397" s="5"/>
      <c r="CK397" s="5"/>
      <c r="CL397" s="5"/>
      <c r="CM397" s="5"/>
      <c r="CN397" s="5"/>
      <c r="CO397" s="9" t="s">
        <v>7937</v>
      </c>
      <c r="CP397" s="5" t="s">
        <v>7938</v>
      </c>
      <c r="CQ397" s="5"/>
      <c r="CR397" s="5"/>
      <c r="CS397" s="5">
        <v>99999</v>
      </c>
      <c r="CT397" s="5"/>
      <c r="CU397" s="5"/>
      <c r="CV397" s="5"/>
      <c r="CW397" s="5"/>
      <c r="CX397" s="5"/>
      <c r="CY397" s="5"/>
      <c r="CZ397" s="5"/>
      <c r="DA397" s="5"/>
      <c r="DB397" s="5"/>
      <c r="DC397" s="5"/>
      <c r="DD397" s="5"/>
    </row>
    <row r="398" spans="1:109" x14ac:dyDescent="0.25">
      <c r="A398" t="s">
        <v>7939</v>
      </c>
      <c r="C398" t="s">
        <v>6888</v>
      </c>
      <c r="K398" s="5" t="s">
        <v>6874</v>
      </c>
      <c r="L398" s="5" t="s">
        <v>7017</v>
      </c>
      <c r="AC398">
        <v>1</v>
      </c>
      <c r="AG398" t="s">
        <v>6876</v>
      </c>
      <c r="AY398" s="5">
        <v>1</v>
      </c>
      <c r="AZ398">
        <v>99999</v>
      </c>
      <c r="BB398">
        <v>2</v>
      </c>
      <c r="BD398">
        <v>1</v>
      </c>
      <c r="BV398"/>
      <c r="BW398"/>
      <c r="BX398"/>
      <c r="BY398"/>
      <c r="BZ398"/>
      <c r="CA398"/>
      <c r="CB398" s="5"/>
      <c r="CC398" s="5"/>
      <c r="CD398" s="5"/>
      <c r="CE398" s="5"/>
      <c r="CF398" s="5"/>
      <c r="CG398" s="5"/>
      <c r="CI398" s="5"/>
      <c r="CJ398" s="5"/>
      <c r="CK398" s="5"/>
      <c r="CL398" s="5"/>
      <c r="CM398" s="5"/>
      <c r="CN398" s="5"/>
      <c r="CP398" s="5"/>
      <c r="CQ398" s="5"/>
      <c r="CR398" s="5"/>
      <c r="CS398" s="5"/>
      <c r="CT398" s="5"/>
      <c r="CU398" s="5"/>
      <c r="CV398" s="5"/>
      <c r="CW398" s="5"/>
      <c r="CX398" s="5"/>
      <c r="CY398" s="5"/>
      <c r="CZ398" s="5"/>
      <c r="DA398" s="5"/>
      <c r="DB398" s="5"/>
      <c r="DC398" s="5"/>
      <c r="DD398" s="5"/>
    </row>
    <row r="399" spans="1:109" x14ac:dyDescent="0.25">
      <c r="A399" t="s">
        <v>7940</v>
      </c>
      <c r="C399" t="s">
        <v>6888</v>
      </c>
      <c r="K399" s="5" t="s">
        <v>6874</v>
      </c>
      <c r="L399" s="5" t="s">
        <v>7017</v>
      </c>
      <c r="AC399">
        <v>1</v>
      </c>
      <c r="AG399" t="s">
        <v>6876</v>
      </c>
      <c r="AY399" s="5"/>
      <c r="BD399">
        <v>1</v>
      </c>
      <c r="BV399"/>
      <c r="BW399"/>
      <c r="BX399"/>
      <c r="BY399"/>
      <c r="BZ399"/>
      <c r="CA399"/>
      <c r="CB399" s="5"/>
      <c r="CC399" s="5"/>
      <c r="CD399" s="5"/>
      <c r="CE399" s="5"/>
      <c r="CF399" s="5"/>
      <c r="CG399" s="5"/>
      <c r="CI399" s="5"/>
      <c r="CJ399" s="5"/>
      <c r="CK399" s="5"/>
      <c r="CL399" s="5"/>
      <c r="CM399" s="5"/>
      <c r="CN399" s="5"/>
      <c r="CO399" s="9" t="s">
        <v>7941</v>
      </c>
      <c r="CP399" s="5"/>
      <c r="CQ399" s="5"/>
      <c r="CR399" s="5"/>
      <c r="CS399" s="5">
        <v>99999</v>
      </c>
      <c r="CT399" s="5"/>
      <c r="CU399" s="5"/>
      <c r="CV399" s="5"/>
      <c r="CW399" s="5"/>
      <c r="CX399" s="5"/>
      <c r="CY399" s="5"/>
      <c r="CZ399" s="5"/>
      <c r="DA399" s="5"/>
      <c r="DB399" s="5"/>
      <c r="DC399" s="5"/>
      <c r="DD399" s="5"/>
    </row>
    <row r="400" spans="1:109" x14ac:dyDescent="0.25">
      <c r="A400" t="s">
        <v>7942</v>
      </c>
      <c r="C400" t="s">
        <v>7468</v>
      </c>
      <c r="K400" s="5" t="s">
        <v>6874</v>
      </c>
      <c r="L400" s="5" t="s">
        <v>7469</v>
      </c>
      <c r="AC400">
        <v>1</v>
      </c>
      <c r="AF400">
        <v>1</v>
      </c>
      <c r="AG400" t="s">
        <v>6876</v>
      </c>
      <c r="BD400">
        <v>1</v>
      </c>
      <c r="BP400" s="7" t="s">
        <v>7943</v>
      </c>
      <c r="CO400" s="9" t="s">
        <v>7944</v>
      </c>
      <c r="CS400">
        <v>99999</v>
      </c>
      <c r="CV400" t="s">
        <v>7471</v>
      </c>
    </row>
    <row r="401" spans="1:104" x14ac:dyDescent="0.25">
      <c r="A401" t="s">
        <v>7943</v>
      </c>
      <c r="C401" t="s">
        <v>7945</v>
      </c>
      <c r="K401" s="5" t="s">
        <v>6874</v>
      </c>
      <c r="AC401">
        <v>1</v>
      </c>
      <c r="AG401" t="s">
        <v>6876</v>
      </c>
      <c r="BD401">
        <v>1</v>
      </c>
      <c r="CV401" t="s">
        <v>7946</v>
      </c>
    </row>
    <row r="403" spans="1:104" x14ac:dyDescent="0.25">
      <c r="A403" t="s">
        <v>7947</v>
      </c>
      <c r="C403" t="s">
        <v>6888</v>
      </c>
      <c r="K403" s="5" t="s">
        <v>6907</v>
      </c>
      <c r="AC403">
        <v>1</v>
      </c>
      <c r="AO403" t="s">
        <v>6975</v>
      </c>
      <c r="AP403" t="s">
        <v>7948</v>
      </c>
      <c r="AT403" t="s">
        <v>7499</v>
      </c>
      <c r="AY403">
        <v>1</v>
      </c>
      <c r="AZ403">
        <v>1</v>
      </c>
      <c r="BD403">
        <v>1</v>
      </c>
      <c r="CB403" t="s">
        <v>134</v>
      </c>
      <c r="CH403" t="s">
        <v>6977</v>
      </c>
      <c r="CI403" t="s">
        <v>6978</v>
      </c>
      <c r="CJ403" t="s">
        <v>4249</v>
      </c>
      <c r="CY403" t="s">
        <v>7949</v>
      </c>
      <c r="CZ403" t="s">
        <v>7950</v>
      </c>
    </row>
    <row r="404" spans="1:104" x14ac:dyDescent="0.25">
      <c r="A404" t="s">
        <v>7951</v>
      </c>
      <c r="C404" t="s">
        <v>7369</v>
      </c>
      <c r="K404" s="5" t="s">
        <v>6874</v>
      </c>
      <c r="L404" s="5" t="s">
        <v>6980</v>
      </c>
      <c r="AC404">
        <v>1</v>
      </c>
      <c r="AF404">
        <v>1</v>
      </c>
      <c r="AG404" t="s">
        <v>6876</v>
      </c>
      <c r="BD404">
        <v>1</v>
      </c>
      <c r="CV404" t="s">
        <v>7952</v>
      </c>
    </row>
    <row r="405" spans="1:104" x14ac:dyDescent="0.25">
      <c r="A405" t="s">
        <v>7953</v>
      </c>
      <c r="C405" t="s">
        <v>6888</v>
      </c>
      <c r="K405" s="5" t="s">
        <v>6874</v>
      </c>
      <c r="L405" s="5" t="s">
        <v>6889</v>
      </c>
      <c r="AC405">
        <v>1</v>
      </c>
      <c r="AG405" t="s">
        <v>7948</v>
      </c>
      <c r="AT405" t="s">
        <v>7499</v>
      </c>
      <c r="BD405">
        <v>2</v>
      </c>
      <c r="CO405" s="9" t="s">
        <v>7954</v>
      </c>
      <c r="CS405">
        <v>1</v>
      </c>
    </row>
    <row r="406" spans="1:104" x14ac:dyDescent="0.25">
      <c r="A406" t="s">
        <v>7955</v>
      </c>
      <c r="C406" t="s">
        <v>6888</v>
      </c>
      <c r="D406" t="s">
        <v>7956</v>
      </c>
      <c r="E406" t="s">
        <v>7957</v>
      </c>
      <c r="F406" t="s">
        <v>7958</v>
      </c>
      <c r="G406">
        <v>3</v>
      </c>
      <c r="J406" t="s">
        <v>6905</v>
      </c>
      <c r="K406" s="5" t="s">
        <v>6906</v>
      </c>
      <c r="AC406">
        <v>1</v>
      </c>
      <c r="AG406" t="s">
        <v>7948</v>
      </c>
      <c r="AV406">
        <v>99</v>
      </c>
      <c r="BD406">
        <v>2</v>
      </c>
      <c r="BO406" s="7" t="s">
        <v>7959</v>
      </c>
      <c r="BT406">
        <v>40</v>
      </c>
      <c r="BV406" s="8">
        <v>10</v>
      </c>
      <c r="BW406" s="8">
        <v>20</v>
      </c>
      <c r="BX406" s="8">
        <v>1</v>
      </c>
      <c r="BY406" s="8" t="s">
        <v>6907</v>
      </c>
      <c r="CO406" s="9" t="s">
        <v>7960</v>
      </c>
      <c r="CP406">
        <v>1.5</v>
      </c>
      <c r="CS406">
        <v>40</v>
      </c>
    </row>
    <row r="407" spans="1:104" x14ac:dyDescent="0.25">
      <c r="A407" t="s">
        <v>7959</v>
      </c>
      <c r="C407" t="s">
        <v>6888</v>
      </c>
      <c r="J407" t="s">
        <v>7010</v>
      </c>
      <c r="AC407">
        <v>1</v>
      </c>
      <c r="AG407" t="s">
        <v>6876</v>
      </c>
      <c r="BD407">
        <v>1</v>
      </c>
      <c r="CO407" s="9" t="s">
        <v>7262</v>
      </c>
      <c r="CP407">
        <v>0.5</v>
      </c>
      <c r="CS407">
        <v>40</v>
      </c>
    </row>
    <row r="408" spans="1:104" x14ac:dyDescent="0.25">
      <c r="A408" t="s">
        <v>7961</v>
      </c>
      <c r="C408" t="s">
        <v>7962</v>
      </c>
      <c r="D408" t="s">
        <v>7963</v>
      </c>
      <c r="E408" t="s">
        <v>7964</v>
      </c>
      <c r="F408" t="s">
        <v>7965</v>
      </c>
      <c r="G408">
        <v>3</v>
      </c>
      <c r="J408" t="s">
        <v>7010</v>
      </c>
      <c r="K408" s="5" t="s">
        <v>6906</v>
      </c>
      <c r="AC408">
        <v>1</v>
      </c>
      <c r="AG408" t="s">
        <v>6876</v>
      </c>
      <c r="BD408">
        <v>1</v>
      </c>
      <c r="BO408" s="7" t="s">
        <v>7966</v>
      </c>
      <c r="BT408">
        <v>20</v>
      </c>
      <c r="BV408" s="8">
        <v>0</v>
      </c>
      <c r="BW408" s="8">
        <v>8</v>
      </c>
      <c r="BX408" s="8">
        <v>1</v>
      </c>
      <c r="BY408" s="8" t="s">
        <v>6907</v>
      </c>
      <c r="CO408" s="9" t="s">
        <v>7967</v>
      </c>
      <c r="CP408">
        <v>100</v>
      </c>
      <c r="CS408">
        <v>0.1</v>
      </c>
    </row>
    <row r="409" spans="1:104" x14ac:dyDescent="0.25">
      <c r="A409" t="s">
        <v>7966</v>
      </c>
      <c r="C409" t="s">
        <v>7962</v>
      </c>
      <c r="J409" t="s">
        <v>7010</v>
      </c>
      <c r="K409" s="5" t="s">
        <v>6907</v>
      </c>
      <c r="AC409">
        <v>1</v>
      </c>
      <c r="AG409" t="s">
        <v>7376</v>
      </c>
      <c r="AV409">
        <v>99</v>
      </c>
      <c r="BD409">
        <v>1</v>
      </c>
      <c r="CO409" s="9" t="s">
        <v>7968</v>
      </c>
      <c r="CP409">
        <v>0.9</v>
      </c>
      <c r="CS409">
        <v>0.1</v>
      </c>
    </row>
    <row r="410" spans="1:104" x14ac:dyDescent="0.25">
      <c r="A410" t="s">
        <v>7969</v>
      </c>
      <c r="C410" t="s">
        <v>7962</v>
      </c>
      <c r="D410" t="s">
        <v>7970</v>
      </c>
      <c r="E410" t="s">
        <v>7971</v>
      </c>
      <c r="F410" t="s">
        <v>7972</v>
      </c>
      <c r="G410">
        <v>3</v>
      </c>
      <c r="J410" t="s">
        <v>7010</v>
      </c>
      <c r="K410" s="5" t="s">
        <v>6906</v>
      </c>
      <c r="AC410">
        <v>1</v>
      </c>
      <c r="AG410" t="s">
        <v>7376</v>
      </c>
      <c r="AV410">
        <v>99</v>
      </c>
      <c r="BD410">
        <v>1</v>
      </c>
      <c r="BO410" s="7" t="s">
        <v>7973</v>
      </c>
      <c r="BT410">
        <v>20</v>
      </c>
      <c r="BV410" s="8">
        <v>0</v>
      </c>
      <c r="BW410" s="8">
        <v>15</v>
      </c>
      <c r="BX410" s="8">
        <v>1</v>
      </c>
      <c r="BY410" s="8" t="s">
        <v>6907</v>
      </c>
      <c r="CO410" s="9" t="s">
        <v>7974</v>
      </c>
      <c r="CP410">
        <v>2.6</v>
      </c>
      <c r="CS410">
        <v>0.1</v>
      </c>
    </row>
    <row r="411" spans="1:104" x14ac:dyDescent="0.25">
      <c r="A411" t="s">
        <v>7975</v>
      </c>
      <c r="C411" t="s">
        <v>7962</v>
      </c>
      <c r="J411" t="s">
        <v>7010</v>
      </c>
      <c r="K411" s="5" t="s">
        <v>6907</v>
      </c>
      <c r="AC411">
        <v>1</v>
      </c>
      <c r="AG411" t="s">
        <v>7376</v>
      </c>
      <c r="AV411">
        <v>99</v>
      </c>
      <c r="BD411">
        <v>1</v>
      </c>
      <c r="CO411" s="9" t="s">
        <v>7960</v>
      </c>
      <c r="CP411">
        <v>2</v>
      </c>
      <c r="CS411">
        <v>0.1</v>
      </c>
    </row>
    <row r="412" spans="1:104" x14ac:dyDescent="0.25">
      <c r="A412" t="s">
        <v>7976</v>
      </c>
      <c r="C412" t="s">
        <v>6888</v>
      </c>
      <c r="K412" s="5" t="s">
        <v>6874</v>
      </c>
      <c r="L412" s="5" t="s">
        <v>7017</v>
      </c>
      <c r="AC412">
        <v>1</v>
      </c>
      <c r="AG412" t="s">
        <v>6876</v>
      </c>
      <c r="BD412">
        <v>1</v>
      </c>
      <c r="CO412" s="9" t="s">
        <v>7977</v>
      </c>
      <c r="CS412">
        <v>99999</v>
      </c>
    </row>
    <row r="413" spans="1:104" x14ac:dyDescent="0.25">
      <c r="A413" t="s">
        <v>7978</v>
      </c>
      <c r="C413" t="s">
        <v>6888</v>
      </c>
      <c r="K413" s="5" t="s">
        <v>6874</v>
      </c>
      <c r="L413" s="5" t="s">
        <v>7532</v>
      </c>
      <c r="AC413">
        <v>1</v>
      </c>
      <c r="AG413" t="s">
        <v>6876</v>
      </c>
      <c r="BD413">
        <v>1</v>
      </c>
      <c r="CN413" t="s">
        <v>7977</v>
      </c>
    </row>
    <row r="414" spans="1:104" x14ac:dyDescent="0.25">
      <c r="A414" t="s">
        <v>7979</v>
      </c>
      <c r="C414" t="s">
        <v>6888</v>
      </c>
      <c r="K414" s="5" t="s">
        <v>6874</v>
      </c>
      <c r="L414" s="5" t="s">
        <v>7120</v>
      </c>
      <c r="O414" t="s">
        <v>7977</v>
      </c>
      <c r="AC414">
        <v>1</v>
      </c>
      <c r="AG414" t="s">
        <v>7376</v>
      </c>
      <c r="AV414">
        <v>99</v>
      </c>
      <c r="AX414" t="s">
        <v>7550</v>
      </c>
      <c r="AZ414">
        <v>0.5</v>
      </c>
      <c r="BB414">
        <v>1</v>
      </c>
      <c r="BD414">
        <v>1</v>
      </c>
    </row>
    <row r="415" spans="1:104" x14ac:dyDescent="0.25">
      <c r="A415" t="s">
        <v>7980</v>
      </c>
      <c r="C415" t="s">
        <v>4959</v>
      </c>
      <c r="K415" s="5" t="s">
        <v>6907</v>
      </c>
      <c r="AC415">
        <v>2</v>
      </c>
      <c r="AO415" t="s">
        <v>6982</v>
      </c>
      <c r="AT415" t="s">
        <v>6983</v>
      </c>
      <c r="AX415" t="s">
        <v>6984</v>
      </c>
      <c r="AZ415">
        <v>1</v>
      </c>
      <c r="BD415">
        <v>1</v>
      </c>
      <c r="CB415" t="s">
        <v>134</v>
      </c>
      <c r="CH415" t="s">
        <v>6977</v>
      </c>
    </row>
    <row r="416" spans="1:104" x14ac:dyDescent="0.25">
      <c r="A416" t="s">
        <v>7981</v>
      </c>
      <c r="C416" t="s">
        <v>6888</v>
      </c>
      <c r="K416" s="5" t="s">
        <v>6874</v>
      </c>
      <c r="L416" s="5" t="s">
        <v>6980</v>
      </c>
      <c r="AC416">
        <v>1</v>
      </c>
      <c r="AG416" t="s">
        <v>6876</v>
      </c>
      <c r="AY416" s="5"/>
      <c r="BD416">
        <v>1</v>
      </c>
      <c r="BV416"/>
      <c r="BW416"/>
      <c r="BX416"/>
      <c r="BY416"/>
      <c r="BZ416"/>
      <c r="CA416"/>
      <c r="CB416" s="5"/>
      <c r="CC416" s="5"/>
      <c r="CD416" s="5"/>
      <c r="CE416" s="5"/>
      <c r="CF416" s="5"/>
      <c r="CG416" s="5"/>
      <c r="CI416" s="5"/>
      <c r="CJ416" s="5"/>
      <c r="CK416" s="5"/>
      <c r="CL416" s="5"/>
      <c r="CM416" s="5"/>
      <c r="CN416" s="5"/>
      <c r="CO416" s="9" t="s">
        <v>7981</v>
      </c>
      <c r="CS416">
        <v>99999</v>
      </c>
    </row>
    <row r="417" spans="1:104" x14ac:dyDescent="0.25">
      <c r="A417" t="s">
        <v>7982</v>
      </c>
      <c r="C417" t="s">
        <v>7021</v>
      </c>
      <c r="K417" s="5" t="s">
        <v>6907</v>
      </c>
      <c r="O417" t="s">
        <v>7983</v>
      </c>
      <c r="AC417">
        <v>2</v>
      </c>
      <c r="AO417" t="s">
        <v>6982</v>
      </c>
      <c r="AT417" t="s">
        <v>6983</v>
      </c>
      <c r="AX417" t="s">
        <v>6984</v>
      </c>
      <c r="AZ417">
        <v>1</v>
      </c>
      <c r="BD417">
        <v>1</v>
      </c>
      <c r="CB417" t="s">
        <v>624</v>
      </c>
      <c r="CH417" t="s">
        <v>6977</v>
      </c>
    </row>
    <row r="418" spans="1:104" x14ac:dyDescent="0.25">
      <c r="A418" t="s">
        <v>7984</v>
      </c>
      <c r="C418" t="s">
        <v>4959</v>
      </c>
      <c r="K418" s="5" t="s">
        <v>6907</v>
      </c>
      <c r="O418" t="s">
        <v>7974</v>
      </c>
      <c r="AC418">
        <v>2</v>
      </c>
      <c r="AO418" t="s">
        <v>6982</v>
      </c>
      <c r="AT418" t="s">
        <v>6983</v>
      </c>
      <c r="AX418" t="s">
        <v>7550</v>
      </c>
      <c r="AZ418">
        <v>1</v>
      </c>
      <c r="BD418">
        <v>1</v>
      </c>
      <c r="CB418" t="s">
        <v>7920</v>
      </c>
      <c r="CH418" t="s">
        <v>6977</v>
      </c>
    </row>
    <row r="419" spans="1:104" x14ac:dyDescent="0.25">
      <c r="A419" t="s">
        <v>7985</v>
      </c>
      <c r="C419" t="s">
        <v>6888</v>
      </c>
      <c r="K419" s="5" t="s">
        <v>6874</v>
      </c>
      <c r="L419" s="5" t="s">
        <v>6980</v>
      </c>
      <c r="P419" t="s">
        <v>7954</v>
      </c>
      <c r="Q419"/>
      <c r="R419"/>
      <c r="S419"/>
      <c r="T419"/>
      <c r="AC419">
        <v>1</v>
      </c>
      <c r="AF419">
        <v>1</v>
      </c>
      <c r="AG419" t="s">
        <v>6876</v>
      </c>
      <c r="BD419">
        <v>1</v>
      </c>
      <c r="CO419" s="9" t="s">
        <v>7985</v>
      </c>
      <c r="CP419">
        <v>-1</v>
      </c>
      <c r="CS419">
        <v>99999</v>
      </c>
    </row>
    <row r="420" spans="1:104" x14ac:dyDescent="0.25">
      <c r="A420" t="s">
        <v>7986</v>
      </c>
      <c r="C420" t="s">
        <v>6888</v>
      </c>
      <c r="K420" s="5" t="s">
        <v>6874</v>
      </c>
      <c r="L420" s="5" t="s">
        <v>7987</v>
      </c>
      <c r="X420" s="5">
        <v>1</v>
      </c>
      <c r="AB420">
        <v>1</v>
      </c>
      <c r="AC420">
        <v>2</v>
      </c>
      <c r="AO420" t="s">
        <v>7988</v>
      </c>
      <c r="AT420" t="s">
        <v>7011</v>
      </c>
      <c r="AX420" t="s">
        <v>7550</v>
      </c>
      <c r="AZ420">
        <v>1400</v>
      </c>
      <c r="BB420">
        <v>2</v>
      </c>
      <c r="BD420">
        <v>99</v>
      </c>
      <c r="BS420">
        <v>0.2</v>
      </c>
      <c r="CO420" s="9" t="s">
        <v>6878</v>
      </c>
      <c r="CS420">
        <v>3.5</v>
      </c>
    </row>
    <row r="422" spans="1:104" x14ac:dyDescent="0.25">
      <c r="A422" t="s">
        <v>7989</v>
      </c>
      <c r="C422" t="s">
        <v>4959</v>
      </c>
      <c r="K422" s="5" t="s">
        <v>6907</v>
      </c>
      <c r="AC422">
        <v>2</v>
      </c>
      <c r="AO422" t="s">
        <v>6982</v>
      </c>
      <c r="AX422" t="s">
        <v>6984</v>
      </c>
      <c r="AZ422">
        <v>1</v>
      </c>
      <c r="BD422">
        <v>1</v>
      </c>
      <c r="BP422" s="7" t="s">
        <v>7990</v>
      </c>
      <c r="CB422" t="s">
        <v>7991</v>
      </c>
      <c r="CH422" t="s">
        <v>6977</v>
      </c>
      <c r="CO422" s="9" t="s">
        <v>7992</v>
      </c>
      <c r="CP422">
        <v>155</v>
      </c>
      <c r="CS422">
        <v>3</v>
      </c>
      <c r="CY422" t="s">
        <v>7993</v>
      </c>
      <c r="CZ422" t="s">
        <v>7994</v>
      </c>
    </row>
    <row r="423" spans="1:104" x14ac:dyDescent="0.25">
      <c r="A423" t="s">
        <v>7995</v>
      </c>
      <c r="C423" t="s">
        <v>6888</v>
      </c>
      <c r="K423" s="5" t="s">
        <v>6907</v>
      </c>
      <c r="P423"/>
      <c r="Q423"/>
      <c r="R423"/>
      <c r="S423"/>
      <c r="T423"/>
      <c r="Z423">
        <v>1</v>
      </c>
      <c r="AC423">
        <v>2</v>
      </c>
      <c r="AD423">
        <v>1</v>
      </c>
      <c r="AO423" t="s">
        <v>6982</v>
      </c>
      <c r="AT423" t="s">
        <v>7027</v>
      </c>
      <c r="AX423" t="s">
        <v>6984</v>
      </c>
      <c r="AZ423">
        <v>0.8</v>
      </c>
      <c r="BD423">
        <v>1</v>
      </c>
      <c r="BO423" s="7" t="s">
        <v>7989</v>
      </c>
      <c r="BP423" s="7" t="s">
        <v>7990</v>
      </c>
      <c r="CB423" t="s">
        <v>7192</v>
      </c>
      <c r="CH423" t="s">
        <v>6977</v>
      </c>
      <c r="CI423" t="s">
        <v>7996</v>
      </c>
      <c r="CJ423" t="s">
        <v>4249</v>
      </c>
      <c r="CO423" s="9" t="s">
        <v>7992</v>
      </c>
      <c r="CP423">
        <v>155</v>
      </c>
      <c r="CS423">
        <v>3</v>
      </c>
      <c r="CY423" t="s">
        <v>7997</v>
      </c>
      <c r="CZ423" t="s">
        <v>7998</v>
      </c>
    </row>
    <row r="424" spans="1:104" x14ac:dyDescent="0.25">
      <c r="A424" t="s">
        <v>7999</v>
      </c>
      <c r="C424" t="s">
        <v>6888</v>
      </c>
      <c r="K424" s="5" t="s">
        <v>6907</v>
      </c>
      <c r="P424" t="s">
        <v>7990</v>
      </c>
      <c r="Q424"/>
      <c r="R424"/>
      <c r="S424"/>
      <c r="T424"/>
      <c r="AC424">
        <v>1</v>
      </c>
      <c r="AX424" t="s">
        <v>7550</v>
      </c>
      <c r="AY424" s="5">
        <v>1</v>
      </c>
      <c r="AZ424">
        <v>0.04</v>
      </c>
      <c r="BA424">
        <v>1</v>
      </c>
      <c r="BB424">
        <v>1</v>
      </c>
      <c r="BD424">
        <v>1</v>
      </c>
      <c r="BO424" s="7" t="s">
        <v>7990</v>
      </c>
      <c r="BS424">
        <v>0.01</v>
      </c>
      <c r="CB424" s="5"/>
      <c r="CC424" s="5"/>
      <c r="CD424" s="5"/>
      <c r="CE424" s="5"/>
      <c r="CF424" s="5"/>
      <c r="CG424" s="5"/>
      <c r="CI424" s="5"/>
      <c r="CJ424" s="5"/>
      <c r="CK424" s="5"/>
      <c r="CL424" s="5"/>
      <c r="CM424" s="5"/>
      <c r="CN424" s="5"/>
    </row>
    <row r="425" spans="1:104" x14ac:dyDescent="0.25">
      <c r="A425" t="s">
        <v>7990</v>
      </c>
      <c r="C425" t="s">
        <v>6888</v>
      </c>
      <c r="K425" s="5" t="s">
        <v>6874</v>
      </c>
      <c r="L425" s="5" t="s">
        <v>6980</v>
      </c>
      <c r="AC425">
        <v>1</v>
      </c>
      <c r="AY425" s="5"/>
      <c r="CB425" s="5"/>
      <c r="CC425" s="5"/>
      <c r="CD425" s="5"/>
      <c r="CE425" s="5"/>
      <c r="CF425" s="5"/>
      <c r="CG425" s="5"/>
      <c r="CI425" s="5"/>
      <c r="CJ425" s="5"/>
      <c r="CK425" s="5"/>
      <c r="CL425" s="5"/>
      <c r="CM425" s="5"/>
      <c r="CN425" s="5"/>
      <c r="CO425" s="9" t="s">
        <v>7990</v>
      </c>
      <c r="CS425">
        <v>2</v>
      </c>
    </row>
    <row r="426" spans="1:104" x14ac:dyDescent="0.25">
      <c r="A426" t="s">
        <v>8000</v>
      </c>
      <c r="C426" t="s">
        <v>6888</v>
      </c>
      <c r="D426" t="s">
        <v>8001</v>
      </c>
      <c r="E426" t="s">
        <v>8002</v>
      </c>
      <c r="F426" t="s">
        <v>8003</v>
      </c>
      <c r="G426">
        <v>3</v>
      </c>
      <c r="J426" t="s">
        <v>7010</v>
      </c>
      <c r="K426" s="5" t="s">
        <v>6906</v>
      </c>
      <c r="L426" s="5" t="s">
        <v>7017</v>
      </c>
      <c r="AC426">
        <v>1</v>
      </c>
      <c r="AY426" s="5"/>
      <c r="BD426">
        <v>1</v>
      </c>
      <c r="BO426" s="7" t="s">
        <v>8004</v>
      </c>
      <c r="BT426">
        <v>40</v>
      </c>
      <c r="BV426" s="8">
        <v>10</v>
      </c>
      <c r="BW426" s="8">
        <v>25</v>
      </c>
      <c r="BX426" s="8">
        <v>1</v>
      </c>
      <c r="BY426" s="8" t="s">
        <v>6907</v>
      </c>
      <c r="CB426" s="5"/>
      <c r="CC426" s="5"/>
      <c r="CD426" s="5"/>
      <c r="CE426" s="5"/>
      <c r="CF426" s="5" t="s">
        <v>8005</v>
      </c>
      <c r="CG426" s="5"/>
      <c r="CI426" s="5"/>
      <c r="CJ426" s="5"/>
      <c r="CK426" s="5"/>
      <c r="CL426" s="5"/>
      <c r="CM426" s="5"/>
      <c r="CN426" s="5"/>
      <c r="CO426" s="9" t="s">
        <v>8006</v>
      </c>
      <c r="CS426">
        <v>40</v>
      </c>
    </row>
    <row r="427" spans="1:104" x14ac:dyDescent="0.25">
      <c r="A427" t="s">
        <v>8007</v>
      </c>
      <c r="C427" t="s">
        <v>6888</v>
      </c>
      <c r="K427" s="5" t="s">
        <v>6874</v>
      </c>
      <c r="L427" s="5" t="s">
        <v>7017</v>
      </c>
      <c r="AC427">
        <v>1</v>
      </c>
      <c r="AY427" s="5"/>
      <c r="BD427">
        <v>1</v>
      </c>
      <c r="CB427" s="5"/>
      <c r="CC427" s="5"/>
      <c r="CD427" s="5"/>
      <c r="CE427" s="5"/>
      <c r="CF427" s="5"/>
      <c r="CG427" s="5"/>
      <c r="CI427" s="5"/>
      <c r="CJ427" s="5"/>
      <c r="CK427" s="5"/>
      <c r="CL427" s="5"/>
      <c r="CM427" s="5"/>
      <c r="CN427" s="5"/>
      <c r="CO427" s="9" t="s">
        <v>8008</v>
      </c>
      <c r="CP427" t="s">
        <v>8009</v>
      </c>
      <c r="CS427">
        <v>40</v>
      </c>
    </row>
    <row r="428" spans="1:104" x14ac:dyDescent="0.25">
      <c r="A428" t="s">
        <v>8010</v>
      </c>
      <c r="C428" t="s">
        <v>6888</v>
      </c>
      <c r="K428" s="5" t="s">
        <v>6874</v>
      </c>
      <c r="L428" s="5" t="s">
        <v>7662</v>
      </c>
      <c r="O428" t="s">
        <v>8006</v>
      </c>
      <c r="P428"/>
      <c r="Q428"/>
      <c r="R428"/>
      <c r="S428"/>
      <c r="T428"/>
      <c r="AC428">
        <v>2</v>
      </c>
      <c r="AD428">
        <v>1</v>
      </c>
      <c r="AO428" t="s">
        <v>6982</v>
      </c>
      <c r="AT428" t="s">
        <v>8011</v>
      </c>
      <c r="AX428" t="s">
        <v>6984</v>
      </c>
      <c r="AZ428">
        <v>0.8</v>
      </c>
      <c r="BD428">
        <v>4</v>
      </c>
      <c r="BS428">
        <v>0.6</v>
      </c>
      <c r="CO428" s="9" t="s">
        <v>7992</v>
      </c>
      <c r="CP428">
        <v>155</v>
      </c>
      <c r="CS428">
        <v>3</v>
      </c>
      <c r="CY428" t="s">
        <v>8012</v>
      </c>
      <c r="CZ428" t="s">
        <v>8013</v>
      </c>
    </row>
    <row r="429" spans="1:104" x14ac:dyDescent="0.25">
      <c r="A429" t="s">
        <v>8014</v>
      </c>
      <c r="C429" t="s">
        <v>4959</v>
      </c>
      <c r="J429" t="s">
        <v>7010</v>
      </c>
      <c r="K429" s="5" t="s">
        <v>6907</v>
      </c>
      <c r="O429" t="s">
        <v>8015</v>
      </c>
      <c r="AC429">
        <v>2</v>
      </c>
      <c r="AD429">
        <v>1</v>
      </c>
      <c r="AO429" t="s">
        <v>6982</v>
      </c>
      <c r="AT429" t="s">
        <v>7064</v>
      </c>
      <c r="AX429" t="s">
        <v>6984</v>
      </c>
      <c r="AZ429">
        <v>1</v>
      </c>
      <c r="BD429">
        <v>1</v>
      </c>
      <c r="BP429" s="7" t="s">
        <v>7990</v>
      </c>
      <c r="CB429" t="s">
        <v>744</v>
      </c>
      <c r="CH429" t="s">
        <v>6977</v>
      </c>
      <c r="CI429" t="s">
        <v>8016</v>
      </c>
      <c r="CJ429" t="s">
        <v>4249</v>
      </c>
      <c r="CO429" s="9" t="s">
        <v>7992</v>
      </c>
      <c r="CP429">
        <v>155</v>
      </c>
      <c r="CS429">
        <v>3</v>
      </c>
      <c r="CY429" t="s">
        <v>8017</v>
      </c>
      <c r="CZ429" t="s">
        <v>8018</v>
      </c>
    </row>
    <row r="430" spans="1:104" x14ac:dyDescent="0.25">
      <c r="A430" t="s">
        <v>8019</v>
      </c>
      <c r="C430" t="s">
        <v>6888</v>
      </c>
      <c r="D430" t="s">
        <v>8020</v>
      </c>
      <c r="E430" t="s">
        <v>8021</v>
      </c>
      <c r="F430" t="s">
        <v>8022</v>
      </c>
      <c r="G430">
        <v>3</v>
      </c>
      <c r="J430" t="s">
        <v>6905</v>
      </c>
      <c r="K430" s="5" t="s">
        <v>6906</v>
      </c>
      <c r="AB430">
        <v>1</v>
      </c>
      <c r="AC430">
        <v>1</v>
      </c>
      <c r="AY430" s="5"/>
      <c r="BD430">
        <v>1</v>
      </c>
      <c r="BO430" s="7" t="s">
        <v>8023</v>
      </c>
      <c r="BR430" t="s">
        <v>8024</v>
      </c>
      <c r="BT430">
        <v>30</v>
      </c>
      <c r="BV430">
        <v>0</v>
      </c>
      <c r="BW430">
        <v>15</v>
      </c>
      <c r="BX430">
        <v>1</v>
      </c>
      <c r="BY430" t="s">
        <v>7061</v>
      </c>
      <c r="BZ430"/>
      <c r="CA430"/>
      <c r="CB430" s="5"/>
      <c r="CC430" s="5"/>
      <c r="CD430" s="5"/>
      <c r="CE430" s="5"/>
      <c r="CF430" s="5"/>
      <c r="CG430" s="5"/>
      <c r="CI430" s="5"/>
      <c r="CJ430" s="5"/>
      <c r="CK430" s="5"/>
      <c r="CL430" s="5"/>
      <c r="CM430" s="5"/>
      <c r="CN430" s="5"/>
      <c r="CO430" s="9" t="s">
        <v>8025</v>
      </c>
      <c r="CP430" t="s">
        <v>8026</v>
      </c>
      <c r="CS430">
        <v>30</v>
      </c>
    </row>
    <row r="431" spans="1:104" x14ac:dyDescent="0.25">
      <c r="A431" t="s">
        <v>8027</v>
      </c>
      <c r="C431" t="s">
        <v>4959</v>
      </c>
      <c r="J431" t="s">
        <v>7010</v>
      </c>
      <c r="K431" s="5" t="s">
        <v>6907</v>
      </c>
      <c r="O431" t="s">
        <v>8028</v>
      </c>
      <c r="AC431">
        <v>2</v>
      </c>
      <c r="AD431">
        <v>1</v>
      </c>
      <c r="AO431" t="s">
        <v>6982</v>
      </c>
      <c r="AT431" t="s">
        <v>7064</v>
      </c>
      <c r="AX431" t="s">
        <v>6984</v>
      </c>
      <c r="AZ431">
        <v>1</v>
      </c>
      <c r="BD431">
        <v>1</v>
      </c>
      <c r="BP431" s="7" t="s">
        <v>7990</v>
      </c>
      <c r="CB431" t="s">
        <v>744</v>
      </c>
      <c r="CH431" t="s">
        <v>6977</v>
      </c>
      <c r="CI431" t="s">
        <v>8016</v>
      </c>
      <c r="CJ431" t="s">
        <v>4249</v>
      </c>
      <c r="CO431" s="9" t="s">
        <v>7992</v>
      </c>
      <c r="CP431">
        <v>155</v>
      </c>
      <c r="CS431">
        <v>3</v>
      </c>
      <c r="CY431" t="s">
        <v>8017</v>
      </c>
      <c r="CZ431" t="s">
        <v>8018</v>
      </c>
    </row>
    <row r="432" spans="1:104" x14ac:dyDescent="0.25">
      <c r="A432" t="s">
        <v>8024</v>
      </c>
      <c r="C432" t="s">
        <v>6888</v>
      </c>
      <c r="J432" t="s">
        <v>6905</v>
      </c>
      <c r="K432" s="5" t="s">
        <v>6906</v>
      </c>
      <c r="AB432">
        <v>1</v>
      </c>
      <c r="AC432">
        <v>1</v>
      </c>
      <c r="AY432" s="5"/>
      <c r="BD432">
        <v>1</v>
      </c>
      <c r="BO432" s="7" t="s">
        <v>8027</v>
      </c>
      <c r="BT432">
        <v>9999</v>
      </c>
      <c r="BV432">
        <v>0</v>
      </c>
      <c r="BW432">
        <v>15</v>
      </c>
      <c r="BX432">
        <v>1</v>
      </c>
      <c r="BY432" t="s">
        <v>7061</v>
      </c>
      <c r="BZ432"/>
      <c r="CA432"/>
      <c r="CB432" s="5"/>
      <c r="CC432" s="5"/>
      <c r="CD432" s="5"/>
      <c r="CE432" s="5"/>
      <c r="CF432" s="5"/>
      <c r="CG432" s="5"/>
      <c r="CI432" s="5"/>
      <c r="CJ432" s="5"/>
      <c r="CK432" s="5"/>
      <c r="CL432" s="5"/>
      <c r="CM432" s="5"/>
      <c r="CN432" s="5"/>
      <c r="CO432" s="9" t="s">
        <v>8029</v>
      </c>
      <c r="CP432" t="s">
        <v>8030</v>
      </c>
      <c r="CS432">
        <v>9999</v>
      </c>
    </row>
    <row r="433" spans="1:109" x14ac:dyDescent="0.25">
      <c r="AY433" s="5"/>
      <c r="BV433"/>
      <c r="BW433"/>
      <c r="BX433"/>
      <c r="BY433"/>
      <c r="BZ433"/>
      <c r="CA433"/>
      <c r="CB433" s="5"/>
      <c r="CC433" s="5"/>
      <c r="CD433" s="5"/>
      <c r="CE433" s="5"/>
      <c r="CF433" s="5"/>
      <c r="CG433" s="5"/>
      <c r="CI433" s="5"/>
      <c r="CJ433" s="5"/>
      <c r="CK433" s="5"/>
      <c r="CL433" s="5"/>
      <c r="CM433" s="5"/>
      <c r="CN433" s="5"/>
    </row>
    <row r="434" spans="1:109" x14ac:dyDescent="0.25">
      <c r="A434" t="s">
        <v>8031</v>
      </c>
      <c r="C434" t="s">
        <v>6888</v>
      </c>
      <c r="AC434">
        <v>2</v>
      </c>
      <c r="AD434">
        <v>1</v>
      </c>
      <c r="AO434" t="s">
        <v>6982</v>
      </c>
      <c r="AP434" t="s">
        <v>6990</v>
      </c>
      <c r="AT434" t="s">
        <v>7064</v>
      </c>
      <c r="AX434" t="s">
        <v>6984</v>
      </c>
      <c r="AZ434">
        <v>1</v>
      </c>
      <c r="BD434">
        <v>1</v>
      </c>
      <c r="CB434" t="s">
        <v>134</v>
      </c>
      <c r="CH434" t="s">
        <v>6977</v>
      </c>
      <c r="CI434" t="s">
        <v>8032</v>
      </c>
      <c r="CJ434" t="s">
        <v>4249</v>
      </c>
      <c r="CY434" t="s">
        <v>8033</v>
      </c>
      <c r="CZ434" t="s">
        <v>8034</v>
      </c>
    </row>
    <row r="435" spans="1:109" x14ac:dyDescent="0.25">
      <c r="A435" t="s">
        <v>8035</v>
      </c>
      <c r="C435" t="s">
        <v>6888</v>
      </c>
      <c r="D435" t="s">
        <v>8036</v>
      </c>
      <c r="E435" t="s">
        <v>8037</v>
      </c>
      <c r="F435" t="s">
        <v>8038</v>
      </c>
      <c r="G435">
        <v>3</v>
      </c>
      <c r="J435" t="s">
        <v>6905</v>
      </c>
      <c r="K435" s="5" t="s">
        <v>6907</v>
      </c>
      <c r="AC435">
        <v>2</v>
      </c>
      <c r="AD435">
        <v>1</v>
      </c>
      <c r="AO435" t="s">
        <v>6982</v>
      </c>
      <c r="AP435" t="s">
        <v>6990</v>
      </c>
      <c r="AT435" t="s">
        <v>7064</v>
      </c>
      <c r="AX435" t="s">
        <v>6984</v>
      </c>
      <c r="AZ435">
        <v>1.45</v>
      </c>
      <c r="BD435">
        <v>1</v>
      </c>
      <c r="BE435">
        <v>2</v>
      </c>
      <c r="BF435">
        <v>0.01</v>
      </c>
      <c r="BT435">
        <v>0.3</v>
      </c>
      <c r="BV435" s="8">
        <v>0</v>
      </c>
      <c r="BW435" s="8">
        <v>4</v>
      </c>
      <c r="BX435" s="8">
        <v>1</v>
      </c>
      <c r="BY435" s="8" t="s">
        <v>7061</v>
      </c>
      <c r="CB435" t="s">
        <v>134</v>
      </c>
      <c r="CH435" t="s">
        <v>6977</v>
      </c>
      <c r="CI435" t="s">
        <v>8032</v>
      </c>
      <c r="CJ435" t="s">
        <v>4249</v>
      </c>
      <c r="CY435" t="s">
        <v>8039</v>
      </c>
      <c r="CZ435" t="s">
        <v>8040</v>
      </c>
    </row>
    <row r="436" spans="1:109" x14ac:dyDescent="0.25">
      <c r="A436" t="s">
        <v>8041</v>
      </c>
      <c r="C436" t="s">
        <v>6888</v>
      </c>
      <c r="K436" s="5" t="s">
        <v>6874</v>
      </c>
      <c r="L436" s="5" t="s">
        <v>6892</v>
      </c>
      <c r="AC436">
        <v>1</v>
      </c>
      <c r="AG436" t="s">
        <v>6876</v>
      </c>
      <c r="AH436">
        <v>1</v>
      </c>
      <c r="AY436" s="5"/>
      <c r="BD436">
        <v>1</v>
      </c>
      <c r="BV436"/>
      <c r="BW436"/>
      <c r="BX436"/>
      <c r="BY436"/>
      <c r="BZ436"/>
      <c r="CA436"/>
      <c r="CB436" s="5"/>
      <c r="CC436" s="5"/>
      <c r="CD436" s="5"/>
      <c r="CE436" s="5"/>
      <c r="CF436" s="5"/>
      <c r="CG436" s="5"/>
      <c r="CI436" s="5"/>
      <c r="CJ436" s="5"/>
      <c r="CK436" s="5"/>
      <c r="CL436" s="5"/>
      <c r="CM436" s="5"/>
      <c r="CN436" s="5"/>
      <c r="CO436" s="9" t="s">
        <v>7053</v>
      </c>
      <c r="CP436">
        <v>18</v>
      </c>
      <c r="CS436">
        <v>99999</v>
      </c>
    </row>
    <row r="437" spans="1:109" x14ac:dyDescent="0.25">
      <c r="A437" t="s">
        <v>8042</v>
      </c>
      <c r="C437" t="s">
        <v>6888</v>
      </c>
      <c r="K437" s="5" t="s">
        <v>6874</v>
      </c>
      <c r="L437" s="5" t="s">
        <v>6980</v>
      </c>
      <c r="AC437">
        <v>1</v>
      </c>
      <c r="AG437" t="s">
        <v>6876</v>
      </c>
      <c r="AY437" s="5"/>
      <c r="BD437">
        <v>1</v>
      </c>
      <c r="BV437"/>
      <c r="BW437"/>
      <c r="BX437"/>
      <c r="BY437"/>
      <c r="BZ437"/>
      <c r="CA437"/>
      <c r="CB437" s="5"/>
      <c r="CC437" s="5"/>
      <c r="CD437" s="5"/>
      <c r="CE437" s="5"/>
      <c r="CF437" s="5"/>
      <c r="CG437" s="5"/>
      <c r="CI437" s="5"/>
      <c r="CJ437" s="5"/>
      <c r="CK437" s="5"/>
      <c r="CL437" s="5"/>
      <c r="CM437" s="5"/>
      <c r="CN437" s="5"/>
      <c r="CO437" s="9" t="s">
        <v>8043</v>
      </c>
      <c r="CP437" t="s">
        <v>8044</v>
      </c>
      <c r="CS437">
        <v>99999</v>
      </c>
    </row>
    <row r="438" spans="1:109" x14ac:dyDescent="0.25">
      <c r="A438" t="s">
        <v>8045</v>
      </c>
      <c r="C438" t="s">
        <v>6888</v>
      </c>
      <c r="K438" s="5" t="s">
        <v>6907</v>
      </c>
      <c r="N438" s="5">
        <v>1</v>
      </c>
      <c r="AC438">
        <v>1</v>
      </c>
      <c r="AG438" t="s">
        <v>7400</v>
      </c>
      <c r="AO438" t="s">
        <v>7538</v>
      </c>
      <c r="AV438">
        <v>99</v>
      </c>
      <c r="AY438" s="5"/>
      <c r="BD438">
        <v>1</v>
      </c>
      <c r="BV438"/>
      <c r="BW438"/>
      <c r="BX438"/>
      <c r="BY438"/>
      <c r="BZ438"/>
      <c r="CA438"/>
      <c r="CB438" s="5"/>
      <c r="CC438" s="5"/>
      <c r="CD438" s="5"/>
      <c r="CE438" s="5"/>
      <c r="CF438" s="5"/>
      <c r="CG438" s="5"/>
      <c r="CI438" s="5"/>
      <c r="CJ438" s="5"/>
      <c r="CK438" s="5"/>
      <c r="CL438" s="5"/>
      <c r="CM438" s="5"/>
      <c r="CN438" s="5"/>
      <c r="CO438" s="9" t="s">
        <v>8043</v>
      </c>
      <c r="CP438" t="s">
        <v>8044</v>
      </c>
      <c r="CS438">
        <v>99999</v>
      </c>
    </row>
    <row r="439" spans="1:109" x14ac:dyDescent="0.25">
      <c r="A439" t="s">
        <v>8046</v>
      </c>
      <c r="C439" t="s">
        <v>6888</v>
      </c>
      <c r="D439" t="s">
        <v>8047</v>
      </c>
      <c r="E439" t="s">
        <v>8048</v>
      </c>
      <c r="F439" t="s">
        <v>8049</v>
      </c>
      <c r="G439">
        <v>3</v>
      </c>
      <c r="J439" t="s">
        <v>7010</v>
      </c>
      <c r="K439" s="5" t="s">
        <v>6906</v>
      </c>
      <c r="AC439">
        <v>2</v>
      </c>
      <c r="AD439">
        <v>1</v>
      </c>
      <c r="AO439" t="s">
        <v>6982</v>
      </c>
      <c r="AP439" t="s">
        <v>6990</v>
      </c>
      <c r="AT439" t="s">
        <v>7064</v>
      </c>
      <c r="AX439" t="s">
        <v>6984</v>
      </c>
      <c r="AZ439">
        <v>1.25</v>
      </c>
      <c r="BD439">
        <v>1</v>
      </c>
      <c r="BE439">
        <v>3</v>
      </c>
      <c r="BF439">
        <v>0.01</v>
      </c>
      <c r="BO439" s="7" t="s">
        <v>8050</v>
      </c>
      <c r="BT439">
        <v>15</v>
      </c>
      <c r="BV439" s="8">
        <v>25</v>
      </c>
      <c r="BW439" s="8">
        <v>35</v>
      </c>
      <c r="BX439" s="8">
        <v>1</v>
      </c>
      <c r="BY439" s="8" t="s">
        <v>6907</v>
      </c>
      <c r="CB439" t="s">
        <v>134</v>
      </c>
      <c r="CH439" t="s">
        <v>6977</v>
      </c>
      <c r="CI439" t="s">
        <v>8032</v>
      </c>
      <c r="CJ439" t="s">
        <v>4249</v>
      </c>
      <c r="CY439" t="s">
        <v>8033</v>
      </c>
      <c r="CZ439" t="s">
        <v>8034</v>
      </c>
    </row>
    <row r="440" spans="1:109" x14ac:dyDescent="0.25">
      <c r="A440" t="s">
        <v>8050</v>
      </c>
      <c r="C440" t="s">
        <v>6888</v>
      </c>
      <c r="K440" s="5" t="s">
        <v>6874</v>
      </c>
      <c r="L440" s="5" t="s">
        <v>7017</v>
      </c>
      <c r="AC440">
        <v>1</v>
      </c>
      <c r="AY440" s="5"/>
      <c r="BD440">
        <v>1</v>
      </c>
      <c r="CB440" s="5"/>
      <c r="CC440" s="5"/>
      <c r="CD440" s="5"/>
      <c r="CE440" s="5"/>
      <c r="CF440" s="5"/>
      <c r="CG440" s="5"/>
      <c r="CI440" s="5"/>
      <c r="CJ440" s="5"/>
      <c r="CK440" s="5"/>
      <c r="CL440" s="5"/>
      <c r="CM440" s="5"/>
      <c r="CN440" s="5"/>
      <c r="CO440" s="9" t="s">
        <v>8051</v>
      </c>
      <c r="CS440">
        <v>15</v>
      </c>
      <c r="DE440">
        <v>1</v>
      </c>
    </row>
    <row r="441" spans="1:109" x14ac:dyDescent="0.25">
      <c r="A441" t="s">
        <v>8052</v>
      </c>
      <c r="C441" t="s">
        <v>6888</v>
      </c>
      <c r="D441" t="s">
        <v>8053</v>
      </c>
      <c r="E441" t="s">
        <v>8054</v>
      </c>
      <c r="F441" t="s">
        <v>8055</v>
      </c>
      <c r="G441">
        <v>3</v>
      </c>
      <c r="J441" t="s">
        <v>7010</v>
      </c>
      <c r="K441" s="5" t="s">
        <v>6907</v>
      </c>
      <c r="W441" s="5">
        <v>1</v>
      </c>
      <c r="AC441">
        <v>2</v>
      </c>
      <c r="AD441">
        <v>1</v>
      </c>
      <c r="AO441" t="s">
        <v>6982</v>
      </c>
      <c r="AP441" t="s">
        <v>6990</v>
      </c>
      <c r="AT441" t="s">
        <v>7064</v>
      </c>
      <c r="AX441" t="s">
        <v>6984</v>
      </c>
      <c r="AZ441">
        <v>1.1000000000000001</v>
      </c>
      <c r="BD441">
        <v>1</v>
      </c>
      <c r="BE441">
        <v>4</v>
      </c>
      <c r="BF441">
        <v>0.01</v>
      </c>
      <c r="BO441" s="7" t="s">
        <v>8056</v>
      </c>
      <c r="BT441">
        <v>15</v>
      </c>
      <c r="BV441" s="8">
        <v>20</v>
      </c>
      <c r="BW441" s="8">
        <v>30</v>
      </c>
      <c r="BX441" s="8">
        <v>1</v>
      </c>
      <c r="BY441" s="8" t="s">
        <v>6907</v>
      </c>
      <c r="CB441" t="s">
        <v>134</v>
      </c>
      <c r="CH441" t="s">
        <v>6977</v>
      </c>
      <c r="CI441" t="s">
        <v>8032</v>
      </c>
      <c r="CJ441" t="s">
        <v>4249</v>
      </c>
      <c r="CY441" t="s">
        <v>8033</v>
      </c>
      <c r="CZ441" t="s">
        <v>8034</v>
      </c>
    </row>
    <row r="442" spans="1:109" x14ac:dyDescent="0.25">
      <c r="A442" t="s">
        <v>8056</v>
      </c>
      <c r="C442" t="s">
        <v>6888</v>
      </c>
      <c r="K442" s="5" t="s">
        <v>6874</v>
      </c>
      <c r="L442" s="5" t="s">
        <v>7017</v>
      </c>
      <c r="AC442">
        <v>1</v>
      </c>
      <c r="AY442" s="5"/>
      <c r="BD442">
        <v>1</v>
      </c>
      <c r="CB442" s="5"/>
      <c r="CC442" s="5"/>
      <c r="CD442" s="5"/>
      <c r="CE442" s="5"/>
      <c r="CF442" s="5"/>
      <c r="CG442" s="5"/>
      <c r="CI442" s="5"/>
      <c r="CJ442" s="5"/>
      <c r="CK442" s="5"/>
      <c r="CL442" s="5"/>
      <c r="CM442" s="5"/>
      <c r="CN442" s="5"/>
      <c r="CO442" s="9" t="s">
        <v>8057</v>
      </c>
      <c r="CP442">
        <v>-0.22</v>
      </c>
      <c r="CS442">
        <v>15</v>
      </c>
      <c r="DE442">
        <v>1</v>
      </c>
    </row>
    <row r="444" spans="1:109" x14ac:dyDescent="0.25">
      <c r="A444" t="s">
        <v>8058</v>
      </c>
      <c r="C444" t="s">
        <v>6888</v>
      </c>
      <c r="K444" s="5" t="s">
        <v>6907</v>
      </c>
      <c r="Y444">
        <v>1</v>
      </c>
      <c r="AC444">
        <v>2</v>
      </c>
      <c r="AD444">
        <v>1</v>
      </c>
      <c r="AT444" t="s">
        <v>8059</v>
      </c>
      <c r="AX444" t="s">
        <v>6997</v>
      </c>
      <c r="AY444" s="5"/>
      <c r="AZ444">
        <v>1</v>
      </c>
      <c r="BD444">
        <v>99</v>
      </c>
      <c r="CB444" s="5" t="s">
        <v>134</v>
      </c>
      <c r="CC444" s="5"/>
      <c r="CD444" s="5"/>
      <c r="CE444" s="5" t="s">
        <v>7166</v>
      </c>
      <c r="CF444" s="5"/>
      <c r="CG444" s="5"/>
      <c r="CH444" t="s">
        <v>6977</v>
      </c>
      <c r="CI444" s="5"/>
      <c r="CJ444" s="5"/>
      <c r="CK444" s="5"/>
      <c r="CL444" s="5"/>
      <c r="CM444" s="5"/>
      <c r="CN444" s="5"/>
      <c r="CY444" t="s">
        <v>8060</v>
      </c>
    </row>
    <row r="445" spans="1:109" x14ac:dyDescent="0.25">
      <c r="A445" t="s">
        <v>8061</v>
      </c>
      <c r="C445" t="s">
        <v>6888</v>
      </c>
      <c r="D445" t="s">
        <v>8062</v>
      </c>
      <c r="K445" s="5" t="s">
        <v>6907</v>
      </c>
      <c r="P445"/>
      <c r="Q445"/>
      <c r="R445"/>
      <c r="S445"/>
      <c r="T445"/>
      <c r="AC445">
        <v>2</v>
      </c>
      <c r="AD445">
        <v>1</v>
      </c>
      <c r="AO445" t="s">
        <v>6982</v>
      </c>
      <c r="AW445" s="6">
        <v>1</v>
      </c>
      <c r="BD445">
        <v>99</v>
      </c>
      <c r="BS445">
        <v>0.01</v>
      </c>
      <c r="CO445" s="9" t="s">
        <v>7089</v>
      </c>
      <c r="CP445">
        <v>-44</v>
      </c>
      <c r="CS445">
        <v>99999</v>
      </c>
      <c r="CU445">
        <v>1</v>
      </c>
    </row>
    <row r="446" spans="1:109" x14ac:dyDescent="0.25">
      <c r="A446" t="s">
        <v>8063</v>
      </c>
      <c r="C446" t="s">
        <v>7076</v>
      </c>
      <c r="D446" t="s">
        <v>8064</v>
      </c>
      <c r="K446" s="5" t="s">
        <v>6907</v>
      </c>
      <c r="AC446">
        <v>1</v>
      </c>
      <c r="AG446" t="s">
        <v>6876</v>
      </c>
      <c r="BD446">
        <v>1</v>
      </c>
      <c r="BS446">
        <v>5.5</v>
      </c>
      <c r="CV446" t="s">
        <v>7914</v>
      </c>
    </row>
    <row r="447" spans="1:109" x14ac:dyDescent="0.25">
      <c r="A447" t="s">
        <v>8065</v>
      </c>
      <c r="C447" t="s">
        <v>6888</v>
      </c>
      <c r="D447" t="s">
        <v>8066</v>
      </c>
      <c r="E447" t="s">
        <v>8067</v>
      </c>
      <c r="F447" t="s">
        <v>8068</v>
      </c>
      <c r="G447">
        <v>3</v>
      </c>
      <c r="J447" t="s">
        <v>6905</v>
      </c>
      <c r="K447" s="5" t="s">
        <v>6906</v>
      </c>
      <c r="AC447">
        <v>1</v>
      </c>
      <c r="AY447" s="5"/>
      <c r="BD447">
        <v>1</v>
      </c>
      <c r="BT447">
        <v>20</v>
      </c>
      <c r="BV447" s="8">
        <v>20</v>
      </c>
      <c r="BW447" s="8">
        <v>40</v>
      </c>
      <c r="BX447" s="8">
        <v>1</v>
      </c>
      <c r="BY447" s="8" t="s">
        <v>6907</v>
      </c>
      <c r="CB447" s="5"/>
      <c r="CC447" s="5"/>
      <c r="CD447" s="5"/>
      <c r="CE447" s="5"/>
      <c r="CF447" s="5"/>
      <c r="CG447" s="5"/>
      <c r="CI447" s="5"/>
      <c r="CJ447" s="5"/>
      <c r="CK447" s="5"/>
      <c r="CL447" s="5"/>
      <c r="CM447" s="5"/>
      <c r="CN447" s="5"/>
      <c r="CO447" s="9" t="s">
        <v>8065</v>
      </c>
      <c r="CP447" t="s">
        <v>8069</v>
      </c>
      <c r="CS447">
        <v>20</v>
      </c>
    </row>
    <row r="448" spans="1:109" x14ac:dyDescent="0.25">
      <c r="A448" t="s">
        <v>8070</v>
      </c>
      <c r="C448" t="s">
        <v>6888</v>
      </c>
      <c r="D448" t="s">
        <v>8071</v>
      </c>
      <c r="E448" t="s">
        <v>8072</v>
      </c>
      <c r="F448" t="s">
        <v>8073</v>
      </c>
      <c r="G448">
        <v>3</v>
      </c>
      <c r="J448" t="s">
        <v>6905</v>
      </c>
      <c r="K448" s="5" t="s">
        <v>6907</v>
      </c>
      <c r="AC448">
        <v>2</v>
      </c>
      <c r="AD448">
        <v>1</v>
      </c>
      <c r="AT448" t="s">
        <v>8059</v>
      </c>
      <c r="AX448" t="s">
        <v>6997</v>
      </c>
      <c r="AY448" s="5"/>
      <c r="AZ448">
        <v>2.5</v>
      </c>
      <c r="BD448">
        <v>99</v>
      </c>
      <c r="BT448">
        <v>0.2</v>
      </c>
      <c r="BV448" s="8">
        <v>0</v>
      </c>
      <c r="BW448" s="8">
        <v>7</v>
      </c>
      <c r="BX448" s="8">
        <v>3</v>
      </c>
      <c r="BY448" s="8" t="s">
        <v>6907</v>
      </c>
      <c r="CB448" s="5" t="s">
        <v>134</v>
      </c>
      <c r="CC448" s="5"/>
      <c r="CD448" s="5">
        <v>1.3</v>
      </c>
      <c r="CE448" s="5"/>
      <c r="CF448" s="5"/>
      <c r="CG448" s="5"/>
      <c r="CH448" t="s">
        <v>6977</v>
      </c>
      <c r="CI448" s="5"/>
      <c r="CJ448" s="5"/>
      <c r="CK448" s="5"/>
      <c r="CL448" s="5"/>
      <c r="CM448" s="5"/>
      <c r="CN448" s="5"/>
      <c r="CO448" s="9" t="s">
        <v>8074</v>
      </c>
      <c r="CP448">
        <v>-300</v>
      </c>
      <c r="CQ448">
        <v>0.3</v>
      </c>
      <c r="CS448">
        <v>3</v>
      </c>
      <c r="CX448" t="s">
        <v>8075</v>
      </c>
      <c r="CY448" t="s">
        <v>8076</v>
      </c>
    </row>
    <row r="449" spans="1:109" x14ac:dyDescent="0.25">
      <c r="A449" t="s">
        <v>8077</v>
      </c>
      <c r="C449" t="s">
        <v>6888</v>
      </c>
      <c r="D449" t="s">
        <v>8078</v>
      </c>
      <c r="E449" t="s">
        <v>8079</v>
      </c>
      <c r="F449" t="s">
        <v>8080</v>
      </c>
      <c r="G449">
        <v>3</v>
      </c>
      <c r="J449" t="s">
        <v>7010</v>
      </c>
      <c r="K449" s="5" t="s">
        <v>6906</v>
      </c>
      <c r="AB449">
        <v>1</v>
      </c>
      <c r="AC449">
        <v>2</v>
      </c>
      <c r="AT449" t="s">
        <v>8059</v>
      </c>
      <c r="AX449" t="s">
        <v>6997</v>
      </c>
      <c r="AY449" s="5"/>
      <c r="AZ449">
        <v>1.4</v>
      </c>
      <c r="BD449">
        <v>99</v>
      </c>
      <c r="BO449" s="7" t="s">
        <v>8081</v>
      </c>
      <c r="BS449">
        <v>1</v>
      </c>
      <c r="BT449">
        <v>20</v>
      </c>
      <c r="BV449" s="8">
        <v>0</v>
      </c>
      <c r="BW449" s="8">
        <v>28</v>
      </c>
      <c r="BX449" s="8">
        <v>1</v>
      </c>
      <c r="BY449" s="8" t="s">
        <v>6907</v>
      </c>
      <c r="CB449" t="s">
        <v>6229</v>
      </c>
      <c r="CE449" t="s">
        <v>8082</v>
      </c>
      <c r="CF449" t="s">
        <v>6229</v>
      </c>
      <c r="CG449" t="s">
        <v>8082</v>
      </c>
      <c r="CH449" t="s">
        <v>6977</v>
      </c>
      <c r="CI449" s="5"/>
      <c r="CJ449" s="5"/>
      <c r="CK449" s="5"/>
      <c r="CL449" s="5"/>
      <c r="CM449" s="5"/>
      <c r="CN449" s="5"/>
      <c r="CO449" s="9" t="s">
        <v>7089</v>
      </c>
      <c r="CP449">
        <v>-20</v>
      </c>
      <c r="CS449">
        <v>1</v>
      </c>
      <c r="DC449" t="s">
        <v>8083</v>
      </c>
      <c r="DD449" t="s">
        <v>8084</v>
      </c>
    </row>
    <row r="450" spans="1:109" x14ac:dyDescent="0.25">
      <c r="A450" t="s">
        <v>8085</v>
      </c>
      <c r="C450" t="s">
        <v>6888</v>
      </c>
      <c r="J450" t="s">
        <v>7010</v>
      </c>
      <c r="K450" s="5" t="s">
        <v>6907</v>
      </c>
      <c r="P450"/>
      <c r="Q450"/>
      <c r="R450"/>
      <c r="S450"/>
      <c r="T450"/>
      <c r="AC450">
        <v>1</v>
      </c>
      <c r="AX450" t="s">
        <v>7550</v>
      </c>
      <c r="AY450" s="5"/>
      <c r="AZ450">
        <v>0.02</v>
      </c>
      <c r="BA450">
        <v>1</v>
      </c>
      <c r="BB450">
        <v>1</v>
      </c>
      <c r="BD450">
        <v>1</v>
      </c>
      <c r="BS450">
        <v>0.01</v>
      </c>
      <c r="CB450" s="5"/>
      <c r="CC450" s="5"/>
      <c r="CD450" s="5"/>
      <c r="CE450" s="5"/>
      <c r="CF450" s="5"/>
      <c r="CG450" s="5"/>
      <c r="CI450" s="5"/>
      <c r="CJ450" s="5"/>
      <c r="CK450" s="5"/>
      <c r="CL450" s="5"/>
      <c r="CM450" s="5"/>
      <c r="CN450" s="5"/>
    </row>
    <row r="451" spans="1:109" x14ac:dyDescent="0.25">
      <c r="A451" t="s">
        <v>8086</v>
      </c>
      <c r="C451" t="s">
        <v>6888</v>
      </c>
      <c r="K451" s="5" t="s">
        <v>6874</v>
      </c>
      <c r="L451" s="5" t="s">
        <v>7017</v>
      </c>
      <c r="AC451">
        <v>1</v>
      </c>
      <c r="AY451" s="5"/>
      <c r="BD451">
        <v>1</v>
      </c>
      <c r="CB451" s="5"/>
      <c r="CC451" s="5"/>
      <c r="CD451" s="5"/>
      <c r="CE451" s="5"/>
      <c r="CF451" s="5"/>
      <c r="CG451" s="5"/>
      <c r="CI451" s="5"/>
      <c r="CJ451" s="5"/>
      <c r="CK451" s="5"/>
      <c r="CL451" s="5"/>
      <c r="CM451" s="5"/>
      <c r="CN451" s="5"/>
      <c r="CO451" s="9" t="s">
        <v>8087</v>
      </c>
      <c r="CS451">
        <v>20</v>
      </c>
      <c r="DE451">
        <v>1</v>
      </c>
    </row>
    <row r="452" spans="1:109" x14ac:dyDescent="0.25">
      <c r="P452"/>
      <c r="Q452"/>
      <c r="R452"/>
      <c r="S452"/>
      <c r="T452"/>
      <c r="AY452" s="5"/>
      <c r="CB452" s="5"/>
      <c r="CC452" s="5"/>
      <c r="CD452" s="5"/>
      <c r="CE452" s="5"/>
      <c r="CF452" s="5"/>
      <c r="CG452" s="5"/>
      <c r="CI452" s="5"/>
      <c r="CJ452" s="5"/>
      <c r="CK452" s="5"/>
      <c r="CL452" s="5"/>
      <c r="CM452" s="5"/>
      <c r="CN452" s="5"/>
    </row>
    <row r="453" spans="1:109" x14ac:dyDescent="0.25">
      <c r="A453" t="s">
        <v>8088</v>
      </c>
      <c r="C453" t="s">
        <v>6888</v>
      </c>
      <c r="K453" s="5" t="s">
        <v>6907</v>
      </c>
      <c r="AC453">
        <v>2</v>
      </c>
      <c r="AD453">
        <v>1</v>
      </c>
      <c r="AO453" t="s">
        <v>6982</v>
      </c>
      <c r="AT453" t="s">
        <v>6976</v>
      </c>
      <c r="AX453" t="s">
        <v>6997</v>
      </c>
      <c r="AZ453">
        <v>1</v>
      </c>
      <c r="BD453">
        <v>1</v>
      </c>
      <c r="CB453" t="s">
        <v>134</v>
      </c>
      <c r="CH453" t="s">
        <v>6977</v>
      </c>
      <c r="CI453" t="s">
        <v>8089</v>
      </c>
      <c r="CJ453" t="s">
        <v>4249</v>
      </c>
      <c r="CY453" t="s">
        <v>8090</v>
      </c>
      <c r="CZ453" t="s">
        <v>8091</v>
      </c>
    </row>
    <row r="454" spans="1:109" x14ac:dyDescent="0.25">
      <c r="A454" t="s">
        <v>8092</v>
      </c>
      <c r="C454" t="s">
        <v>6888</v>
      </c>
      <c r="K454" s="5" t="s">
        <v>6874</v>
      </c>
      <c r="L454" s="5" t="s">
        <v>6980</v>
      </c>
      <c r="AC454">
        <v>1</v>
      </c>
      <c r="AI454" t="s">
        <v>358</v>
      </c>
      <c r="AY454" s="5"/>
      <c r="BD454">
        <v>99</v>
      </c>
      <c r="BO454" s="7" t="s">
        <v>8093</v>
      </c>
      <c r="BV454"/>
      <c r="BW454"/>
      <c r="BX454"/>
      <c r="BY454"/>
      <c r="BZ454"/>
      <c r="CA454"/>
      <c r="CB454" s="5"/>
      <c r="CC454" s="5"/>
      <c r="CD454" s="5"/>
      <c r="CE454" s="5"/>
      <c r="CF454" s="5"/>
      <c r="CG454" s="5"/>
      <c r="CI454" s="5"/>
      <c r="CJ454" s="5"/>
      <c r="CK454" s="5"/>
      <c r="CL454" s="5"/>
      <c r="CM454" s="5"/>
      <c r="CN454" s="5"/>
      <c r="CO454" s="9" t="s">
        <v>7101</v>
      </c>
      <c r="CP454">
        <v>0.16</v>
      </c>
      <c r="CS454">
        <v>99999</v>
      </c>
      <c r="CU454">
        <v>1</v>
      </c>
    </row>
    <row r="455" spans="1:109" x14ac:dyDescent="0.25">
      <c r="A455" t="s">
        <v>8093</v>
      </c>
      <c r="C455" t="s">
        <v>6888</v>
      </c>
      <c r="K455" s="5" t="s">
        <v>6874</v>
      </c>
      <c r="L455" s="5" t="s">
        <v>6889</v>
      </c>
      <c r="AC455">
        <v>1</v>
      </c>
      <c r="AF455">
        <v>1</v>
      </c>
      <c r="AG455" t="s">
        <v>7400</v>
      </c>
      <c r="AI455" t="s">
        <v>358</v>
      </c>
      <c r="AY455" s="5"/>
      <c r="BD455">
        <v>1</v>
      </c>
      <c r="BV455"/>
      <c r="BW455"/>
      <c r="BX455"/>
      <c r="BY455"/>
      <c r="BZ455"/>
      <c r="CA455"/>
      <c r="CB455" s="5"/>
      <c r="CC455" s="5"/>
      <c r="CD455" s="5"/>
      <c r="CE455" s="5"/>
      <c r="CF455" s="5"/>
      <c r="CG455" s="5"/>
      <c r="CI455" s="5"/>
      <c r="CJ455" s="5"/>
      <c r="CK455" s="5"/>
      <c r="CL455" s="5"/>
      <c r="CM455" s="5"/>
      <c r="CN455" s="5"/>
      <c r="CO455" s="9" t="s">
        <v>7101</v>
      </c>
      <c r="CP455">
        <v>0.16</v>
      </c>
      <c r="CS455">
        <v>99999</v>
      </c>
      <c r="CU455">
        <v>1</v>
      </c>
    </row>
    <row r="456" spans="1:109" x14ac:dyDescent="0.25">
      <c r="A456" t="s">
        <v>8094</v>
      </c>
      <c r="C456" t="s">
        <v>7076</v>
      </c>
      <c r="K456" s="5" t="s">
        <v>6874</v>
      </c>
      <c r="L456" s="5" t="s">
        <v>7077</v>
      </c>
      <c r="AC456">
        <v>1</v>
      </c>
      <c r="AG456" t="s">
        <v>6876</v>
      </c>
      <c r="AY456" s="5"/>
      <c r="BD456">
        <v>1</v>
      </c>
      <c r="BV456"/>
      <c r="BW456"/>
      <c r="BX456"/>
      <c r="BY456"/>
      <c r="BZ456"/>
      <c r="CA456"/>
      <c r="CB456" s="5"/>
      <c r="CC456" s="5"/>
      <c r="CD456" s="5"/>
      <c r="CE456" s="5"/>
      <c r="CF456" s="5"/>
      <c r="CG456" s="5"/>
      <c r="CI456" s="5"/>
      <c r="CJ456" s="5"/>
      <c r="CK456" s="5"/>
      <c r="CL456" s="5"/>
      <c r="CM456" s="5"/>
      <c r="CN456" s="5"/>
      <c r="CV456" t="s">
        <v>8095</v>
      </c>
      <c r="DE456">
        <v>1</v>
      </c>
    </row>
    <row r="457" spans="1:109" x14ac:dyDescent="0.25">
      <c r="A457" t="s">
        <v>8096</v>
      </c>
      <c r="C457" t="s">
        <v>6888</v>
      </c>
      <c r="D457" t="s">
        <v>8097</v>
      </c>
      <c r="E457" t="s">
        <v>8098</v>
      </c>
      <c r="F457" t="s">
        <v>8099</v>
      </c>
      <c r="G457">
        <v>3</v>
      </c>
      <c r="J457" t="s">
        <v>7010</v>
      </c>
      <c r="K457" s="5" t="s">
        <v>6906</v>
      </c>
      <c r="L457" s="5" t="s">
        <v>7017</v>
      </c>
      <c r="AC457">
        <v>1</v>
      </c>
      <c r="AY457" s="5"/>
      <c r="BD457">
        <v>1</v>
      </c>
      <c r="BR457" t="s">
        <v>8100</v>
      </c>
      <c r="BT457">
        <v>25</v>
      </c>
      <c r="BV457" s="8">
        <v>25</v>
      </c>
      <c r="BW457" s="8">
        <v>35</v>
      </c>
      <c r="BX457" s="8">
        <v>1</v>
      </c>
      <c r="BY457" s="8" t="s">
        <v>6907</v>
      </c>
      <c r="CB457" s="5"/>
      <c r="CC457" s="5"/>
      <c r="CD457" s="5"/>
      <c r="CE457" s="5"/>
      <c r="CF457" s="5"/>
      <c r="CG457" s="5"/>
      <c r="CI457" s="5"/>
      <c r="CJ457" s="5"/>
      <c r="CK457" s="5"/>
      <c r="CL457" s="5"/>
      <c r="CM457" s="5"/>
      <c r="CN457" s="5"/>
      <c r="CO457" s="9" t="s">
        <v>7103</v>
      </c>
      <c r="CP457">
        <v>60</v>
      </c>
      <c r="CS457">
        <v>25</v>
      </c>
    </row>
    <row r="458" spans="1:109" x14ac:dyDescent="0.25">
      <c r="A458" t="s">
        <v>8100</v>
      </c>
      <c r="C458" t="s">
        <v>6888</v>
      </c>
      <c r="J458" t="s">
        <v>7010</v>
      </c>
      <c r="K458" s="5" t="s">
        <v>6906</v>
      </c>
      <c r="L458" s="5" t="s">
        <v>7017</v>
      </c>
      <c r="AC458">
        <v>1</v>
      </c>
      <c r="AY458" s="5"/>
      <c r="BD458">
        <v>1</v>
      </c>
      <c r="BT458">
        <v>25</v>
      </c>
      <c r="BV458" s="8">
        <v>0</v>
      </c>
      <c r="BW458" s="8">
        <v>35</v>
      </c>
      <c r="BX458" s="8">
        <v>1</v>
      </c>
      <c r="BY458" s="8" t="s">
        <v>6907</v>
      </c>
      <c r="CB458" s="5"/>
      <c r="CC458" s="5"/>
      <c r="CD458" s="5"/>
      <c r="CE458" s="5"/>
      <c r="CF458" s="5"/>
      <c r="CG458" s="5"/>
      <c r="CI458" s="5"/>
      <c r="CJ458" s="5"/>
      <c r="CK458" s="5"/>
      <c r="CL458" s="5"/>
      <c r="CM458" s="5"/>
      <c r="CN458" s="5"/>
      <c r="CO458" s="9" t="s">
        <v>8096</v>
      </c>
      <c r="CP458" t="s">
        <v>7097</v>
      </c>
      <c r="CS458">
        <v>25</v>
      </c>
    </row>
    <row r="459" spans="1:109" x14ac:dyDescent="0.25">
      <c r="A459" t="s">
        <v>8101</v>
      </c>
      <c r="C459" t="s">
        <v>6888</v>
      </c>
      <c r="D459" t="s">
        <v>8102</v>
      </c>
      <c r="E459" t="s">
        <v>8103</v>
      </c>
      <c r="F459" t="s">
        <v>8104</v>
      </c>
      <c r="G459">
        <v>3</v>
      </c>
      <c r="J459" t="s">
        <v>6905</v>
      </c>
      <c r="K459" s="5" t="s">
        <v>6907</v>
      </c>
      <c r="AC459">
        <v>2</v>
      </c>
      <c r="AD459">
        <v>1</v>
      </c>
      <c r="AT459" t="s">
        <v>6976</v>
      </c>
      <c r="AX459" t="s">
        <v>6997</v>
      </c>
      <c r="AY459" s="5"/>
      <c r="AZ459">
        <v>3.7</v>
      </c>
      <c r="BD459">
        <v>1</v>
      </c>
      <c r="BJ459">
        <v>1.5</v>
      </c>
      <c r="BK459">
        <v>1</v>
      </c>
      <c r="BL459">
        <v>0.5</v>
      </c>
      <c r="BT459">
        <v>0.5</v>
      </c>
      <c r="BV459" s="8">
        <v>0</v>
      </c>
      <c r="BW459" s="8">
        <v>5</v>
      </c>
      <c r="BX459" s="8">
        <v>3</v>
      </c>
      <c r="BY459" s="8" t="s">
        <v>6907</v>
      </c>
      <c r="CB459" s="5" t="s">
        <v>134</v>
      </c>
      <c r="CC459" s="5"/>
      <c r="CD459" s="5"/>
      <c r="CE459" s="5"/>
      <c r="CF459" s="5"/>
      <c r="CG459" s="5"/>
      <c r="CH459" t="s">
        <v>6977</v>
      </c>
      <c r="CI459" t="s">
        <v>8105</v>
      </c>
      <c r="CJ459" t="s">
        <v>4249</v>
      </c>
      <c r="CK459" s="5"/>
      <c r="CL459" s="5"/>
      <c r="CM459" s="5"/>
      <c r="CN459" s="5"/>
      <c r="CO459" s="9" t="s">
        <v>7089</v>
      </c>
      <c r="CP459">
        <v>-25</v>
      </c>
      <c r="CS459">
        <v>6</v>
      </c>
      <c r="CZ459" t="s">
        <v>8106</v>
      </c>
      <c r="DA459" t="s">
        <v>8107</v>
      </c>
    </row>
    <row r="460" spans="1:109" ht="15" customHeight="1" x14ac:dyDescent="0.25">
      <c r="A460" t="s">
        <v>8108</v>
      </c>
      <c r="C460" t="s">
        <v>6888</v>
      </c>
      <c r="D460" t="s">
        <v>8109</v>
      </c>
      <c r="E460" t="s">
        <v>8110</v>
      </c>
      <c r="F460" t="s">
        <v>8111</v>
      </c>
      <c r="G460">
        <v>3</v>
      </c>
      <c r="J460" t="s">
        <v>7010</v>
      </c>
      <c r="K460" s="5" t="s">
        <v>6906</v>
      </c>
      <c r="AB460">
        <v>1</v>
      </c>
      <c r="AC460">
        <v>2</v>
      </c>
      <c r="AD460">
        <v>1</v>
      </c>
      <c r="AO460" t="s">
        <v>7538</v>
      </c>
      <c r="AT460" t="s">
        <v>8112</v>
      </c>
      <c r="AX460" t="s">
        <v>6997</v>
      </c>
      <c r="AZ460">
        <v>1</v>
      </c>
      <c r="BD460">
        <v>6</v>
      </c>
      <c r="BO460" s="7" t="s">
        <v>8113</v>
      </c>
      <c r="BT460">
        <v>15</v>
      </c>
      <c r="BV460" s="8">
        <v>55</v>
      </c>
      <c r="BW460" s="8">
        <v>80</v>
      </c>
      <c r="BX460" s="8">
        <v>1</v>
      </c>
      <c r="BY460" s="8" t="s">
        <v>6907</v>
      </c>
      <c r="CB460" t="s">
        <v>208</v>
      </c>
      <c r="CF460" t="s">
        <v>513</v>
      </c>
      <c r="CH460" t="s">
        <v>6977</v>
      </c>
      <c r="CI460" t="s">
        <v>8114</v>
      </c>
      <c r="CJ460" t="s">
        <v>4249</v>
      </c>
    </row>
    <row r="461" spans="1:109" x14ac:dyDescent="0.25">
      <c r="A461" t="s">
        <v>8113</v>
      </c>
      <c r="C461" t="s">
        <v>6888</v>
      </c>
      <c r="K461" s="5" t="s">
        <v>6874</v>
      </c>
      <c r="L461" s="5" t="s">
        <v>7017</v>
      </c>
      <c r="AC461">
        <v>1</v>
      </c>
      <c r="AY461" s="5"/>
      <c r="BD461">
        <v>1</v>
      </c>
      <c r="CB461" s="5"/>
      <c r="CC461" s="5"/>
      <c r="CD461" s="5"/>
      <c r="CE461" s="5"/>
      <c r="CF461" s="5"/>
      <c r="CG461" s="5"/>
      <c r="CI461" s="5"/>
      <c r="CJ461" s="5"/>
      <c r="CK461" s="5"/>
      <c r="CL461" s="5"/>
      <c r="CM461" s="5"/>
      <c r="CN461" s="5"/>
      <c r="CO461" s="9" t="s">
        <v>8113</v>
      </c>
      <c r="CP461" t="s">
        <v>8115</v>
      </c>
      <c r="CS461">
        <v>15</v>
      </c>
      <c r="DE461">
        <v>1</v>
      </c>
    </row>
    <row r="462" spans="1:109" x14ac:dyDescent="0.25">
      <c r="AY462" s="5"/>
      <c r="CB462" s="5"/>
      <c r="CC462" s="5"/>
      <c r="CD462" s="5"/>
      <c r="CE462" s="5"/>
      <c r="CF462" s="5"/>
      <c r="CG462" s="5"/>
      <c r="CI462" s="5"/>
      <c r="CJ462" s="5"/>
      <c r="CK462" s="5"/>
      <c r="CL462" s="5"/>
      <c r="CM462" s="5"/>
      <c r="CN462" s="5"/>
    </row>
    <row r="463" spans="1:109" x14ac:dyDescent="0.25">
      <c r="A463" t="s">
        <v>8116</v>
      </c>
      <c r="C463" t="s">
        <v>6888</v>
      </c>
      <c r="K463" s="5" t="s">
        <v>6907</v>
      </c>
      <c r="AC463">
        <v>2</v>
      </c>
      <c r="AD463">
        <v>1</v>
      </c>
      <c r="AO463" t="s">
        <v>6982</v>
      </c>
      <c r="AT463" t="s">
        <v>7047</v>
      </c>
      <c r="AX463" t="s">
        <v>6997</v>
      </c>
      <c r="AZ463">
        <v>1</v>
      </c>
      <c r="BD463">
        <v>1</v>
      </c>
      <c r="CB463" t="s">
        <v>134</v>
      </c>
      <c r="CH463" t="s">
        <v>6977</v>
      </c>
      <c r="CI463" t="s">
        <v>8117</v>
      </c>
      <c r="CJ463" t="s">
        <v>4249</v>
      </c>
      <c r="CO463" s="9" t="s">
        <v>7050</v>
      </c>
      <c r="CP463">
        <v>-0.8</v>
      </c>
      <c r="CS463">
        <v>0.8</v>
      </c>
      <c r="CY463" t="s">
        <v>8118</v>
      </c>
      <c r="CZ463" t="s">
        <v>8119</v>
      </c>
    </row>
    <row r="464" spans="1:109" x14ac:dyDescent="0.25">
      <c r="A464" t="s">
        <v>8120</v>
      </c>
      <c r="C464" t="s">
        <v>6888</v>
      </c>
      <c r="K464" s="5" t="s">
        <v>6874</v>
      </c>
      <c r="L464" s="5" t="s">
        <v>7077</v>
      </c>
      <c r="AC464">
        <v>1</v>
      </c>
      <c r="AY464" s="5"/>
      <c r="BD464">
        <v>99</v>
      </c>
      <c r="BO464" s="7" t="s">
        <v>8121</v>
      </c>
      <c r="BV464"/>
      <c r="BW464"/>
      <c r="BX464"/>
      <c r="BY464"/>
      <c r="BZ464"/>
      <c r="CA464"/>
      <c r="CB464" s="5"/>
      <c r="CC464" s="5"/>
      <c r="CD464" s="5"/>
      <c r="CE464" s="5"/>
      <c r="CF464" s="5"/>
      <c r="CG464" s="5"/>
      <c r="CI464" s="5"/>
      <c r="CJ464" s="5"/>
      <c r="CK464" s="5"/>
      <c r="CL464" s="5"/>
      <c r="CM464" s="5"/>
      <c r="CN464" s="5"/>
      <c r="CO464" s="9" t="s">
        <v>7103</v>
      </c>
      <c r="CP464">
        <v>8</v>
      </c>
      <c r="CS464">
        <v>99999</v>
      </c>
      <c r="CU464">
        <v>1</v>
      </c>
    </row>
    <row r="465" spans="1:108" x14ac:dyDescent="0.25">
      <c r="A465" t="s">
        <v>8121</v>
      </c>
      <c r="C465" t="s">
        <v>6888</v>
      </c>
      <c r="K465" s="5" t="s">
        <v>6874</v>
      </c>
      <c r="L465" s="5" t="s">
        <v>7077</v>
      </c>
      <c r="AC465">
        <v>1</v>
      </c>
      <c r="AF465">
        <v>1</v>
      </c>
      <c r="AG465" t="s">
        <v>7400</v>
      </c>
      <c r="AY465" s="5"/>
      <c r="BD465">
        <v>1</v>
      </c>
      <c r="BV465"/>
      <c r="BW465"/>
      <c r="BX465"/>
      <c r="BY465"/>
      <c r="BZ465"/>
      <c r="CA465"/>
      <c r="CB465" s="5"/>
      <c r="CC465" s="5"/>
      <c r="CD465" s="5"/>
      <c r="CE465" s="5"/>
      <c r="CF465" s="5"/>
      <c r="CG465" s="5"/>
      <c r="CI465" s="5"/>
      <c r="CJ465" s="5"/>
      <c r="CK465" s="5"/>
      <c r="CL465" s="5"/>
      <c r="CM465" s="5"/>
      <c r="CN465" s="5"/>
      <c r="CO465" s="9" t="s">
        <v>7103</v>
      </c>
      <c r="CP465">
        <v>8</v>
      </c>
      <c r="CS465">
        <v>99999</v>
      </c>
      <c r="CU465">
        <v>1</v>
      </c>
    </row>
    <row r="466" spans="1:108" x14ac:dyDescent="0.25">
      <c r="A466" t="s">
        <v>8122</v>
      </c>
      <c r="C466" t="s">
        <v>6888</v>
      </c>
      <c r="K466" s="5" t="s">
        <v>6907</v>
      </c>
      <c r="S466" s="5">
        <v>1</v>
      </c>
      <c r="AC466">
        <v>1</v>
      </c>
      <c r="AV466">
        <v>99</v>
      </c>
      <c r="AY466" s="5">
        <v>1</v>
      </c>
      <c r="AZ466">
        <v>25</v>
      </c>
      <c r="BA466">
        <v>1</v>
      </c>
      <c r="BB466">
        <v>2</v>
      </c>
      <c r="BD466">
        <v>99</v>
      </c>
      <c r="BS466">
        <v>1</v>
      </c>
      <c r="BV466"/>
      <c r="BW466"/>
      <c r="BX466"/>
      <c r="BY466"/>
      <c r="BZ466"/>
      <c r="CA466"/>
      <c r="CB466" s="5"/>
      <c r="CC466" s="5"/>
      <c r="CD466" s="5"/>
      <c r="CE466" s="5"/>
      <c r="CF466" s="5"/>
      <c r="CG466" s="5"/>
      <c r="CI466" s="5"/>
      <c r="CJ466" s="5"/>
      <c r="CK466" s="5"/>
      <c r="CL466" s="5"/>
      <c r="CM466" s="5"/>
      <c r="CN466" s="5"/>
    </row>
    <row r="467" spans="1:108" x14ac:dyDescent="0.25">
      <c r="A467" t="s">
        <v>8123</v>
      </c>
      <c r="C467" t="s">
        <v>6888</v>
      </c>
      <c r="D467" t="s">
        <v>8124</v>
      </c>
      <c r="E467" t="s">
        <v>8125</v>
      </c>
      <c r="F467" t="s">
        <v>8126</v>
      </c>
      <c r="G467">
        <v>3</v>
      </c>
      <c r="J467" t="s">
        <v>6905</v>
      </c>
      <c r="K467" s="5" t="s">
        <v>6906</v>
      </c>
      <c r="W467" s="5">
        <v>1</v>
      </c>
      <c r="AC467">
        <v>1</v>
      </c>
      <c r="AY467" s="5"/>
      <c r="BD467">
        <v>1</v>
      </c>
      <c r="BT467">
        <v>35</v>
      </c>
      <c r="BV467" s="8">
        <v>0</v>
      </c>
      <c r="BW467" s="8">
        <v>10</v>
      </c>
      <c r="BX467" s="8">
        <v>1</v>
      </c>
      <c r="BY467" s="8" t="s">
        <v>7061</v>
      </c>
      <c r="CB467" s="5"/>
      <c r="CC467" s="5"/>
      <c r="CD467" s="5"/>
      <c r="CE467" s="5"/>
      <c r="CF467" s="5"/>
      <c r="CG467" s="5"/>
      <c r="CI467" s="5"/>
      <c r="CJ467" s="5"/>
      <c r="CK467" s="5"/>
      <c r="CL467" s="5"/>
      <c r="CM467" s="5"/>
      <c r="CN467" s="5"/>
      <c r="CO467" s="9" t="s">
        <v>6908</v>
      </c>
      <c r="CP467">
        <v>1.1000000000000001</v>
      </c>
      <c r="CS467">
        <v>35</v>
      </c>
    </row>
    <row r="468" spans="1:108" x14ac:dyDescent="0.25">
      <c r="A468" t="s">
        <v>8127</v>
      </c>
      <c r="C468" t="s">
        <v>6888</v>
      </c>
      <c r="D468" t="s">
        <v>8128</v>
      </c>
      <c r="E468" t="s">
        <v>8129</v>
      </c>
      <c r="F468" t="s">
        <v>8130</v>
      </c>
      <c r="G468">
        <v>3</v>
      </c>
      <c r="J468" t="s">
        <v>7010</v>
      </c>
      <c r="K468" s="5" t="s">
        <v>6906</v>
      </c>
      <c r="AC468">
        <v>2</v>
      </c>
      <c r="AD468">
        <v>1</v>
      </c>
      <c r="AO468" t="s">
        <v>6982</v>
      </c>
      <c r="AT468" t="s">
        <v>7047</v>
      </c>
      <c r="AX468" t="s">
        <v>6997</v>
      </c>
      <c r="AZ468">
        <v>0.45</v>
      </c>
      <c r="BD468">
        <v>1</v>
      </c>
      <c r="BO468" s="7" t="s">
        <v>8131</v>
      </c>
      <c r="BT468">
        <v>30</v>
      </c>
      <c r="BV468" s="8">
        <v>10</v>
      </c>
      <c r="BW468" s="8">
        <v>15</v>
      </c>
      <c r="BX468" s="8">
        <v>1</v>
      </c>
      <c r="BY468" s="8" t="s">
        <v>6907</v>
      </c>
      <c r="CB468" t="s">
        <v>208</v>
      </c>
      <c r="CF468" t="s">
        <v>8132</v>
      </c>
      <c r="CH468" t="s">
        <v>6977</v>
      </c>
      <c r="CI468" t="s">
        <v>8133</v>
      </c>
      <c r="CJ468" t="s">
        <v>4249</v>
      </c>
      <c r="CO468" s="9" t="s">
        <v>7050</v>
      </c>
      <c r="CP468">
        <v>-0.8</v>
      </c>
      <c r="CS468">
        <v>0.8</v>
      </c>
      <c r="CZ468" t="s">
        <v>8134</v>
      </c>
      <c r="DB468" t="s">
        <v>9003</v>
      </c>
      <c r="DD468" t="s">
        <v>8135</v>
      </c>
    </row>
    <row r="469" spans="1:108" x14ac:dyDescent="0.25">
      <c r="A469" t="s">
        <v>8136</v>
      </c>
      <c r="C469" t="s">
        <v>6888</v>
      </c>
      <c r="K469" s="5" t="s">
        <v>6874</v>
      </c>
      <c r="L469" s="5" t="s">
        <v>7017</v>
      </c>
      <c r="AC469">
        <v>1</v>
      </c>
      <c r="AY469" s="5"/>
      <c r="BD469">
        <v>1</v>
      </c>
      <c r="CB469" s="5"/>
      <c r="CC469" s="5"/>
      <c r="CD469" s="5"/>
      <c r="CE469" s="5"/>
      <c r="CF469" s="5"/>
      <c r="CG469" s="5"/>
      <c r="CI469" s="5"/>
      <c r="CJ469" s="5"/>
      <c r="CK469" s="5"/>
      <c r="CL469" s="5"/>
      <c r="CM469" s="5"/>
      <c r="CN469" s="5"/>
      <c r="CO469" s="9" t="s">
        <v>8137</v>
      </c>
      <c r="CP469">
        <v>-0.85</v>
      </c>
      <c r="CS469">
        <v>30</v>
      </c>
    </row>
    <row r="470" spans="1:108" x14ac:dyDescent="0.25">
      <c r="A470" t="s">
        <v>8138</v>
      </c>
      <c r="C470" t="s">
        <v>6888</v>
      </c>
      <c r="D470" t="s">
        <v>8139</v>
      </c>
      <c r="E470" t="s">
        <v>8140</v>
      </c>
      <c r="F470" t="s">
        <v>8141</v>
      </c>
      <c r="G470">
        <v>3</v>
      </c>
      <c r="J470" t="s">
        <v>7010</v>
      </c>
      <c r="K470" s="5" t="s">
        <v>6906</v>
      </c>
      <c r="Y470">
        <v>1</v>
      </c>
      <c r="AC470">
        <v>2</v>
      </c>
      <c r="AD470">
        <v>1</v>
      </c>
      <c r="AO470" t="s">
        <v>6982</v>
      </c>
      <c r="AT470" t="s">
        <v>8142</v>
      </c>
      <c r="AX470" t="s">
        <v>6997</v>
      </c>
      <c r="AY470" s="5"/>
      <c r="AZ470">
        <v>1</v>
      </c>
      <c r="BD470">
        <v>5</v>
      </c>
      <c r="BO470" s="7" t="s">
        <v>8143</v>
      </c>
      <c r="BT470">
        <v>25</v>
      </c>
      <c r="BV470" s="8">
        <v>15</v>
      </c>
      <c r="BW470" s="8">
        <v>25</v>
      </c>
      <c r="BX470" s="8">
        <v>1</v>
      </c>
      <c r="BY470" s="8" t="s">
        <v>6907</v>
      </c>
      <c r="CB470" s="5" t="s">
        <v>208</v>
      </c>
      <c r="CC470" s="5"/>
      <c r="CD470" s="5"/>
      <c r="CE470" s="5"/>
      <c r="CF470" t="s">
        <v>8144</v>
      </c>
      <c r="CH470" t="s">
        <v>6977</v>
      </c>
      <c r="CI470" t="s">
        <v>8145</v>
      </c>
      <c r="CJ470" t="s">
        <v>4249</v>
      </c>
      <c r="CK470" s="5"/>
      <c r="CL470" s="5"/>
      <c r="CM470" s="5"/>
      <c r="CN470" s="5"/>
      <c r="CO470" s="9" t="s">
        <v>7050</v>
      </c>
      <c r="CP470">
        <v>-0.8</v>
      </c>
      <c r="CS470">
        <v>0.8</v>
      </c>
      <c r="CZ470" t="s">
        <v>8119</v>
      </c>
      <c r="DD470" t="s">
        <v>8146</v>
      </c>
    </row>
    <row r="471" spans="1:108" x14ac:dyDescent="0.25">
      <c r="A471" t="s">
        <v>8147</v>
      </c>
      <c r="C471" t="s">
        <v>6888</v>
      </c>
      <c r="K471" s="5" t="s">
        <v>6874</v>
      </c>
      <c r="L471" s="5" t="s">
        <v>7017</v>
      </c>
      <c r="AC471">
        <v>1</v>
      </c>
      <c r="AY471" s="5"/>
      <c r="BD471">
        <v>1</v>
      </c>
      <c r="CB471" s="5"/>
      <c r="CC471" s="5"/>
      <c r="CD471" s="5"/>
      <c r="CE471" s="5"/>
      <c r="CF471" s="5"/>
      <c r="CG471" s="5"/>
      <c r="CI471" s="5"/>
      <c r="CJ471" s="5"/>
      <c r="CK471" s="5"/>
      <c r="CL471" s="5"/>
      <c r="CM471" s="5"/>
      <c r="CN471" s="5"/>
      <c r="CO471" s="9" t="s">
        <v>8148</v>
      </c>
      <c r="CP471">
        <v>1.5</v>
      </c>
      <c r="CS471">
        <v>25</v>
      </c>
    </row>
    <row r="472" spans="1:108" x14ac:dyDescent="0.25">
      <c r="A472" t="s">
        <v>8149</v>
      </c>
      <c r="C472" t="s">
        <v>6888</v>
      </c>
      <c r="K472" s="5" t="s">
        <v>6874</v>
      </c>
      <c r="L472" s="5" t="s">
        <v>7017</v>
      </c>
      <c r="O472" s="5" t="s">
        <v>8150</v>
      </c>
      <c r="AC472">
        <v>2</v>
      </c>
      <c r="AD472">
        <v>1</v>
      </c>
      <c r="AV472">
        <v>99</v>
      </c>
      <c r="AY472" s="5"/>
      <c r="BD472">
        <v>99</v>
      </c>
      <c r="BV472"/>
      <c r="BW472"/>
      <c r="BX472"/>
      <c r="BY472"/>
      <c r="BZ472"/>
      <c r="CA472"/>
      <c r="CB472" s="5"/>
      <c r="CC472" s="5"/>
      <c r="CD472" s="5"/>
      <c r="CE472" s="5"/>
      <c r="CF472" s="5"/>
      <c r="CG472" s="5"/>
      <c r="CI472" s="5"/>
      <c r="CJ472" s="5"/>
      <c r="CK472" s="5"/>
      <c r="CL472" s="5"/>
      <c r="CM472" s="5"/>
      <c r="CN472" s="5"/>
      <c r="CO472" s="9" t="s">
        <v>8151</v>
      </c>
      <c r="CP472">
        <v>-1</v>
      </c>
      <c r="CS472">
        <v>99999</v>
      </c>
      <c r="CU472">
        <v>1</v>
      </c>
    </row>
    <row r="473" spans="1:108" x14ac:dyDescent="0.25">
      <c r="A473" t="s">
        <v>8152</v>
      </c>
      <c r="C473" t="s">
        <v>6888</v>
      </c>
      <c r="K473" s="5" t="s">
        <v>6874</v>
      </c>
      <c r="L473" s="5" t="s">
        <v>6889</v>
      </c>
      <c r="O473" s="5" t="s">
        <v>8150</v>
      </c>
      <c r="AC473">
        <v>2</v>
      </c>
      <c r="AD473">
        <v>1</v>
      </c>
      <c r="AF473">
        <v>1</v>
      </c>
      <c r="AY473" s="5"/>
      <c r="BD473">
        <v>1</v>
      </c>
      <c r="BV473"/>
      <c r="BW473"/>
      <c r="BX473"/>
      <c r="BY473"/>
      <c r="BZ473"/>
      <c r="CA473"/>
      <c r="CB473" s="5"/>
      <c r="CC473" s="5"/>
      <c r="CD473" s="5"/>
      <c r="CE473" s="5"/>
      <c r="CF473" s="5"/>
      <c r="CG473" s="5"/>
      <c r="CI473" s="5"/>
      <c r="CJ473" s="5"/>
      <c r="CK473" s="5"/>
      <c r="CL473" s="5"/>
      <c r="CM473" s="5"/>
      <c r="CN473" s="5"/>
      <c r="CO473" s="9" t="s">
        <v>8151</v>
      </c>
      <c r="CP473">
        <v>-1</v>
      </c>
      <c r="CS473">
        <v>99999</v>
      </c>
      <c r="CU473">
        <v>1</v>
      </c>
    </row>
    <row r="474" spans="1:108" x14ac:dyDescent="0.25">
      <c r="A474" t="s">
        <v>8153</v>
      </c>
      <c r="C474" t="s">
        <v>6888</v>
      </c>
      <c r="K474" s="5" t="s">
        <v>6874</v>
      </c>
      <c r="L474" s="5" t="s">
        <v>6980</v>
      </c>
      <c r="AC474">
        <v>1</v>
      </c>
      <c r="AY474" s="5"/>
      <c r="CB474" s="5"/>
      <c r="CC474" s="5"/>
      <c r="CD474" s="5"/>
      <c r="CE474" s="5"/>
      <c r="CF474" s="5"/>
      <c r="CG474" s="5"/>
      <c r="CI474" s="5"/>
      <c r="CJ474" s="5"/>
      <c r="CK474" s="5"/>
      <c r="CL474" s="5"/>
      <c r="CM474" s="5"/>
      <c r="CN474" s="5"/>
      <c r="CO474" s="9" t="s">
        <v>8154</v>
      </c>
      <c r="CS474">
        <v>99999</v>
      </c>
    </row>
    <row r="475" spans="1:108" x14ac:dyDescent="0.25">
      <c r="AY475" s="5"/>
      <c r="CB475" s="5"/>
      <c r="CC475" s="5"/>
      <c r="CD475" s="5"/>
      <c r="CE475" s="5"/>
      <c r="CF475" s="5"/>
      <c r="CG475" s="5"/>
      <c r="CI475" s="5"/>
      <c r="CJ475" s="5"/>
      <c r="CK475" s="5"/>
      <c r="CL475" s="5"/>
      <c r="CM475" s="5"/>
      <c r="CN475" s="5"/>
    </row>
    <row r="476" spans="1:108" x14ac:dyDescent="0.25">
      <c r="A476" t="s">
        <v>8155</v>
      </c>
      <c r="C476" t="s">
        <v>6888</v>
      </c>
      <c r="K476" s="5" t="s">
        <v>6907</v>
      </c>
      <c r="AC476">
        <v>1</v>
      </c>
      <c r="AO476" t="s">
        <v>6975</v>
      </c>
      <c r="AT476" t="s">
        <v>7064</v>
      </c>
      <c r="AY476">
        <v>1</v>
      </c>
      <c r="AZ476">
        <v>1</v>
      </c>
      <c r="BD476">
        <v>1</v>
      </c>
      <c r="CB476" t="s">
        <v>134</v>
      </c>
      <c r="CH476" t="s">
        <v>6977</v>
      </c>
    </row>
    <row r="477" spans="1:108" x14ac:dyDescent="0.25">
      <c r="A477" t="s">
        <v>8156</v>
      </c>
      <c r="C477" t="s">
        <v>6888</v>
      </c>
      <c r="K477" s="5" t="s">
        <v>6907</v>
      </c>
      <c r="AC477">
        <v>1</v>
      </c>
      <c r="AT477" t="s">
        <v>7064</v>
      </c>
      <c r="AY477" s="5"/>
      <c r="BD477">
        <v>99</v>
      </c>
      <c r="CB477" s="5"/>
      <c r="CC477" s="5"/>
      <c r="CD477" s="5"/>
      <c r="CE477" s="5"/>
      <c r="CF477" s="5"/>
      <c r="CG477" s="5"/>
      <c r="CI477" s="5"/>
      <c r="CJ477" s="5"/>
      <c r="CK477" s="5"/>
      <c r="CL477" s="5"/>
      <c r="CM477" s="5"/>
      <c r="CN477" s="5"/>
      <c r="CO477" s="9" t="s">
        <v>7520</v>
      </c>
      <c r="CP477">
        <v>65</v>
      </c>
      <c r="CS477">
        <v>0.2</v>
      </c>
    </row>
    <row r="478" spans="1:108" x14ac:dyDescent="0.25">
      <c r="A478" t="s">
        <v>8157</v>
      </c>
      <c r="C478" t="s">
        <v>6888</v>
      </c>
      <c r="K478" s="5" t="s">
        <v>6874</v>
      </c>
      <c r="L478" s="5" t="s">
        <v>6980</v>
      </c>
      <c r="AC478">
        <v>1</v>
      </c>
      <c r="AG478" t="s">
        <v>6876</v>
      </c>
      <c r="AH478">
        <v>1</v>
      </c>
      <c r="AY478" s="5"/>
      <c r="BD478">
        <v>1</v>
      </c>
      <c r="BV478"/>
      <c r="BW478"/>
      <c r="BX478"/>
      <c r="BY478"/>
      <c r="BZ478"/>
      <c r="CA478"/>
      <c r="CB478" s="5"/>
      <c r="CC478" s="5"/>
      <c r="CD478" s="5"/>
      <c r="CE478" s="5"/>
      <c r="CF478" s="5"/>
      <c r="CG478" s="5"/>
      <c r="CI478" s="5"/>
      <c r="CJ478" s="5"/>
      <c r="CK478" s="5"/>
      <c r="CL478" s="5"/>
      <c r="CM478" s="5"/>
      <c r="CN478" s="5"/>
      <c r="CO478" s="9" t="s">
        <v>7053</v>
      </c>
      <c r="CP478">
        <v>13</v>
      </c>
      <c r="CS478">
        <v>99999</v>
      </c>
    </row>
    <row r="479" spans="1:108" x14ac:dyDescent="0.25">
      <c r="A479" t="s">
        <v>8158</v>
      </c>
      <c r="C479" t="s">
        <v>6888</v>
      </c>
      <c r="D479" t="s">
        <v>8159</v>
      </c>
      <c r="E479" t="s">
        <v>8160</v>
      </c>
      <c r="F479" t="s">
        <v>8161</v>
      </c>
      <c r="G479">
        <v>3</v>
      </c>
      <c r="J479" t="s">
        <v>6905</v>
      </c>
      <c r="K479" s="5" t="s">
        <v>6906</v>
      </c>
      <c r="AC479">
        <v>1</v>
      </c>
      <c r="AG479" t="s">
        <v>6876</v>
      </c>
      <c r="AY479" s="5"/>
      <c r="BD479">
        <v>1</v>
      </c>
      <c r="BT479">
        <v>20</v>
      </c>
      <c r="BV479" s="8">
        <v>20</v>
      </c>
      <c r="BW479" s="8">
        <v>40</v>
      </c>
      <c r="BX479" s="8">
        <v>1</v>
      </c>
      <c r="BY479" s="8" t="s">
        <v>6907</v>
      </c>
      <c r="CB479" s="5"/>
      <c r="CC479" s="5"/>
      <c r="CD479" s="5"/>
      <c r="CE479" s="5"/>
      <c r="CF479" s="5"/>
      <c r="CG479" s="5"/>
      <c r="CI479" s="5"/>
      <c r="CJ479" s="5"/>
      <c r="CK479" s="5"/>
      <c r="CL479" s="5"/>
      <c r="CM479" s="5"/>
      <c r="CN479" s="5"/>
      <c r="CO479" s="9" t="s">
        <v>8162</v>
      </c>
      <c r="CP479" t="s">
        <v>8163</v>
      </c>
      <c r="CS479">
        <v>20</v>
      </c>
    </row>
    <row r="480" spans="1:108" x14ac:dyDescent="0.25">
      <c r="A480" t="s">
        <v>8164</v>
      </c>
      <c r="C480" t="s">
        <v>6888</v>
      </c>
      <c r="D480" t="s">
        <v>8165</v>
      </c>
      <c r="E480" t="s">
        <v>8166</v>
      </c>
      <c r="F480" t="s">
        <v>8167</v>
      </c>
      <c r="G480">
        <v>3</v>
      </c>
      <c r="J480" t="s">
        <v>6905</v>
      </c>
      <c r="K480" s="5" t="s">
        <v>6907</v>
      </c>
      <c r="AC480">
        <v>1</v>
      </c>
      <c r="AO480" t="s">
        <v>6975</v>
      </c>
      <c r="AT480" t="s">
        <v>7064</v>
      </c>
      <c r="AY480">
        <v>1</v>
      </c>
      <c r="AZ480">
        <v>1</v>
      </c>
      <c r="BD480">
        <v>1</v>
      </c>
      <c r="BT480">
        <v>0.2</v>
      </c>
      <c r="BV480" s="8">
        <v>0</v>
      </c>
      <c r="BW480" s="8">
        <v>5</v>
      </c>
      <c r="BX480" s="8">
        <v>3</v>
      </c>
      <c r="BY480" s="8" t="s">
        <v>6907</v>
      </c>
      <c r="CB480" t="s">
        <v>134</v>
      </c>
      <c r="CH480" t="s">
        <v>6977</v>
      </c>
      <c r="CO480" s="9" t="s">
        <v>8168</v>
      </c>
      <c r="CP480">
        <v>0.5</v>
      </c>
      <c r="CQ480">
        <v>0.5</v>
      </c>
      <c r="CS480">
        <v>3</v>
      </c>
    </row>
    <row r="481" spans="1:104" x14ac:dyDescent="0.25">
      <c r="A481" t="s">
        <v>8169</v>
      </c>
      <c r="C481" t="s">
        <v>6888</v>
      </c>
      <c r="D481" t="s">
        <v>8170</v>
      </c>
      <c r="E481" t="s">
        <v>8171</v>
      </c>
      <c r="F481" t="s">
        <v>8172</v>
      </c>
      <c r="G481">
        <v>3</v>
      </c>
      <c r="J481" t="s">
        <v>7010</v>
      </c>
      <c r="K481" s="5" t="s">
        <v>6906</v>
      </c>
      <c r="AC481">
        <v>1</v>
      </c>
      <c r="AT481" t="s">
        <v>7064</v>
      </c>
      <c r="AY481" s="5"/>
      <c r="BD481">
        <v>99</v>
      </c>
      <c r="BO481" s="7" t="s">
        <v>8173</v>
      </c>
      <c r="BT481">
        <v>60</v>
      </c>
      <c r="BV481" s="8">
        <v>115</v>
      </c>
      <c r="BW481" s="8">
        <v>120</v>
      </c>
      <c r="BX481" s="8">
        <v>1</v>
      </c>
      <c r="BY481" s="8" t="s">
        <v>6907</v>
      </c>
      <c r="CB481" s="5"/>
      <c r="CC481" s="5"/>
      <c r="CD481" s="5"/>
      <c r="CE481" s="5"/>
      <c r="CF481" s="5"/>
      <c r="CG481" s="5"/>
      <c r="CI481" s="5"/>
      <c r="CJ481" s="5"/>
      <c r="CK481" s="5"/>
      <c r="CL481" s="5"/>
      <c r="CM481" s="5"/>
      <c r="CN481" s="5"/>
      <c r="CO481" s="9" t="s">
        <v>7246</v>
      </c>
      <c r="CP481">
        <v>1</v>
      </c>
      <c r="CS481">
        <v>0.2</v>
      </c>
    </row>
    <row r="482" spans="1:104" x14ac:dyDescent="0.25">
      <c r="A482" t="s">
        <v>8173</v>
      </c>
      <c r="C482" t="s">
        <v>6888</v>
      </c>
      <c r="K482" s="5" t="s">
        <v>6874</v>
      </c>
      <c r="L482" s="5" t="s">
        <v>7017</v>
      </c>
      <c r="AC482">
        <v>1</v>
      </c>
      <c r="AG482" t="s">
        <v>6876</v>
      </c>
      <c r="AH482">
        <v>1</v>
      </c>
      <c r="AY482" s="5"/>
      <c r="BD482">
        <v>1</v>
      </c>
      <c r="BV482"/>
      <c r="BW482"/>
      <c r="BX482"/>
      <c r="BY482"/>
      <c r="BZ482"/>
      <c r="CA482"/>
      <c r="CB482" s="5"/>
      <c r="CC482" s="5"/>
      <c r="CD482" s="5"/>
      <c r="CE482" s="5"/>
      <c r="CF482" s="5"/>
      <c r="CG482" s="5"/>
      <c r="CI482" s="5"/>
      <c r="CJ482" s="5"/>
      <c r="CK482" s="5"/>
      <c r="CL482" s="5"/>
      <c r="CM482" s="5"/>
      <c r="CN482" s="5"/>
      <c r="CO482" s="9" t="s">
        <v>8174</v>
      </c>
      <c r="CP482">
        <v>0.5</v>
      </c>
      <c r="CS482">
        <v>60</v>
      </c>
    </row>
    <row r="483" spans="1:104" x14ac:dyDescent="0.25">
      <c r="AY483" s="5"/>
      <c r="BV483"/>
      <c r="BW483"/>
      <c r="BX483"/>
      <c r="BY483"/>
      <c r="BZ483"/>
      <c r="CA483"/>
      <c r="CB483" s="5"/>
      <c r="CC483" s="5"/>
      <c r="CD483" s="5"/>
      <c r="CE483" s="5"/>
      <c r="CF483" s="5"/>
      <c r="CG483" s="5"/>
      <c r="CI483" s="5"/>
      <c r="CJ483" s="5"/>
      <c r="CK483" s="5"/>
      <c r="CL483" s="5"/>
      <c r="CM483" s="5"/>
      <c r="CN483" s="5"/>
    </row>
    <row r="484" spans="1:104" x14ac:dyDescent="0.25">
      <c r="A484" t="s">
        <v>8175</v>
      </c>
      <c r="C484" t="s">
        <v>6888</v>
      </c>
      <c r="K484" s="5" t="s">
        <v>6907</v>
      </c>
      <c r="AC484">
        <v>1</v>
      </c>
      <c r="AO484" t="s">
        <v>6975</v>
      </c>
      <c r="AT484" t="s">
        <v>7047</v>
      </c>
      <c r="AY484">
        <v>1</v>
      </c>
      <c r="AZ484">
        <v>1</v>
      </c>
      <c r="BD484">
        <v>3</v>
      </c>
      <c r="CB484" t="s">
        <v>134</v>
      </c>
      <c r="CH484" t="s">
        <v>6977</v>
      </c>
      <c r="CX484" t="s">
        <v>8176</v>
      </c>
      <c r="CZ484" t="s">
        <v>8177</v>
      </c>
    </row>
    <row r="485" spans="1:104" x14ac:dyDescent="0.25">
      <c r="A485" t="s">
        <v>8178</v>
      </c>
      <c r="C485" t="s">
        <v>6888</v>
      </c>
      <c r="K485" s="5" t="s">
        <v>6907</v>
      </c>
      <c r="AC485">
        <v>1</v>
      </c>
      <c r="AT485" t="s">
        <v>7047</v>
      </c>
      <c r="AY485" s="5"/>
      <c r="BD485">
        <v>99</v>
      </c>
      <c r="CB485" s="5"/>
      <c r="CC485" s="5"/>
      <c r="CD485" s="5"/>
      <c r="CE485" s="5"/>
      <c r="CF485" s="5"/>
      <c r="CG485" s="5"/>
      <c r="CI485" s="5"/>
      <c r="CJ485" s="5"/>
      <c r="CK485" s="5"/>
      <c r="CL485" s="5"/>
      <c r="CM485" s="5"/>
      <c r="CN485" s="5"/>
      <c r="CO485" s="9" t="s">
        <v>7089</v>
      </c>
      <c r="CP485">
        <v>17</v>
      </c>
      <c r="CS485">
        <v>0.2</v>
      </c>
    </row>
    <row r="486" spans="1:104" x14ac:dyDescent="0.25">
      <c r="A486" t="s">
        <v>8179</v>
      </c>
      <c r="C486" t="s">
        <v>7369</v>
      </c>
      <c r="K486" s="5" t="s">
        <v>6874</v>
      </c>
      <c r="L486" s="5" t="s">
        <v>6980</v>
      </c>
      <c r="AC486">
        <v>1</v>
      </c>
      <c r="AF486">
        <v>1</v>
      </c>
      <c r="AG486" t="s">
        <v>6876</v>
      </c>
      <c r="BD486">
        <v>1</v>
      </c>
      <c r="CV486" s="23" t="s">
        <v>9724</v>
      </c>
    </row>
    <row r="487" spans="1:104" x14ac:dyDescent="0.25">
      <c r="A487" t="s">
        <v>8180</v>
      </c>
      <c r="C487" t="s">
        <v>6888</v>
      </c>
      <c r="D487" t="s">
        <v>8181</v>
      </c>
      <c r="E487" t="s">
        <v>8182</v>
      </c>
      <c r="F487" t="s">
        <v>8183</v>
      </c>
      <c r="G487">
        <v>3</v>
      </c>
      <c r="J487" t="s">
        <v>6905</v>
      </c>
      <c r="K487" s="5" t="s">
        <v>6907</v>
      </c>
      <c r="AC487">
        <v>1</v>
      </c>
      <c r="AO487" t="s">
        <v>6975</v>
      </c>
      <c r="AT487" t="s">
        <v>7047</v>
      </c>
      <c r="AY487">
        <v>1</v>
      </c>
      <c r="AZ487">
        <v>1</v>
      </c>
      <c r="BD487">
        <v>3</v>
      </c>
      <c r="BT487">
        <v>0.2</v>
      </c>
      <c r="BV487" s="8">
        <v>0</v>
      </c>
      <c r="BW487" s="8">
        <v>8</v>
      </c>
      <c r="BX487" s="8">
        <v>3</v>
      </c>
      <c r="BY487" s="8" t="s">
        <v>6907</v>
      </c>
      <c r="CB487" t="s">
        <v>134</v>
      </c>
      <c r="CH487" t="s">
        <v>6977</v>
      </c>
      <c r="CO487" s="9" t="s">
        <v>8184</v>
      </c>
      <c r="CP487">
        <v>0.9</v>
      </c>
      <c r="CQ487">
        <v>20</v>
      </c>
      <c r="CS487">
        <v>5</v>
      </c>
    </row>
    <row r="488" spans="1:104" x14ac:dyDescent="0.25">
      <c r="A488" t="s">
        <v>8185</v>
      </c>
      <c r="C488" t="s">
        <v>6888</v>
      </c>
      <c r="D488" t="s">
        <v>8186</v>
      </c>
      <c r="E488" t="s">
        <v>8187</v>
      </c>
      <c r="F488" t="s">
        <v>8188</v>
      </c>
      <c r="G488">
        <v>3</v>
      </c>
      <c r="J488" t="s">
        <v>7010</v>
      </c>
      <c r="K488" s="5" t="s">
        <v>6906</v>
      </c>
      <c r="AC488">
        <v>1</v>
      </c>
      <c r="AO488" t="s">
        <v>6975</v>
      </c>
      <c r="AT488" t="s">
        <v>8142</v>
      </c>
      <c r="AY488">
        <v>1</v>
      </c>
      <c r="AZ488">
        <v>1</v>
      </c>
      <c r="BD488">
        <v>3</v>
      </c>
      <c r="BO488" s="7" t="s">
        <v>8189</v>
      </c>
      <c r="BT488">
        <v>60</v>
      </c>
      <c r="BV488" s="8">
        <v>115</v>
      </c>
      <c r="BW488" s="8">
        <v>120</v>
      </c>
      <c r="BX488" s="8">
        <v>1</v>
      </c>
      <c r="BY488" s="8" t="s">
        <v>6907</v>
      </c>
      <c r="CB488" t="s">
        <v>134</v>
      </c>
      <c r="CH488" t="s">
        <v>6977</v>
      </c>
    </row>
    <row r="489" spans="1:104" x14ac:dyDescent="0.25">
      <c r="A489" t="s">
        <v>8190</v>
      </c>
      <c r="C489" t="s">
        <v>6888</v>
      </c>
      <c r="J489" t="s">
        <v>7010</v>
      </c>
      <c r="K489" s="5" t="s">
        <v>6907</v>
      </c>
      <c r="AC489">
        <v>1</v>
      </c>
      <c r="AT489" t="s">
        <v>8142</v>
      </c>
      <c r="AY489" s="5"/>
      <c r="BD489">
        <v>99</v>
      </c>
      <c r="BS489">
        <v>0.2</v>
      </c>
      <c r="CB489" s="5"/>
      <c r="CC489" s="5"/>
      <c r="CD489" s="5"/>
      <c r="CE489" s="5"/>
      <c r="CF489" s="5"/>
      <c r="CG489" s="5"/>
      <c r="CI489" s="5"/>
      <c r="CJ489" s="5"/>
      <c r="CK489" s="5"/>
      <c r="CL489" s="5"/>
      <c r="CM489" s="5"/>
      <c r="CN489" s="5"/>
      <c r="CO489" s="9" t="s">
        <v>8191</v>
      </c>
      <c r="CP489" t="s">
        <v>8192</v>
      </c>
      <c r="CS489">
        <v>0.2</v>
      </c>
    </row>
    <row r="490" spans="1:104" x14ac:dyDescent="0.25">
      <c r="A490" t="s">
        <v>8193</v>
      </c>
      <c r="C490" t="s">
        <v>6888</v>
      </c>
      <c r="K490" s="5" t="s">
        <v>6874</v>
      </c>
      <c r="L490" s="5" t="s">
        <v>7017</v>
      </c>
      <c r="AC490">
        <v>1</v>
      </c>
      <c r="AG490" s="29" t="s">
        <v>9752</v>
      </c>
      <c r="AY490" s="5"/>
      <c r="BD490">
        <v>1</v>
      </c>
      <c r="CB490" s="5"/>
      <c r="CC490" s="5"/>
      <c r="CD490" s="5"/>
      <c r="CE490" s="5"/>
      <c r="CF490" s="5"/>
      <c r="CG490" s="5"/>
      <c r="CI490" s="5"/>
      <c r="CJ490" s="5"/>
      <c r="CK490" s="5"/>
      <c r="CL490" s="5"/>
      <c r="CM490" s="5"/>
      <c r="CN490" s="5"/>
      <c r="CO490" s="9" t="s">
        <v>8194</v>
      </c>
      <c r="CP490">
        <v>0.8</v>
      </c>
      <c r="CS490">
        <v>60</v>
      </c>
    </row>
    <row r="491" spans="1:104" x14ac:dyDescent="0.25">
      <c r="A491" t="s">
        <v>8195</v>
      </c>
      <c r="C491" t="s">
        <v>6888</v>
      </c>
      <c r="K491" s="5" t="s">
        <v>6907</v>
      </c>
      <c r="AC491">
        <v>1</v>
      </c>
      <c r="AT491" t="s">
        <v>7006</v>
      </c>
      <c r="AZ491">
        <v>0.03</v>
      </c>
      <c r="BA491">
        <v>1</v>
      </c>
      <c r="BB491">
        <v>1</v>
      </c>
      <c r="BD491">
        <v>1</v>
      </c>
    </row>
    <row r="492" spans="1:104" x14ac:dyDescent="0.25">
      <c r="A492" t="s">
        <v>8196</v>
      </c>
      <c r="C492" t="s">
        <v>6888</v>
      </c>
      <c r="K492" s="5" t="s">
        <v>6874</v>
      </c>
      <c r="L492" s="5" t="s">
        <v>6980</v>
      </c>
      <c r="AC492">
        <v>1</v>
      </c>
      <c r="AG492" t="s">
        <v>6876</v>
      </c>
      <c r="BD492">
        <v>1</v>
      </c>
      <c r="CO492" s="9" t="s">
        <v>8197</v>
      </c>
      <c r="CQ492">
        <v>0.3</v>
      </c>
      <c r="CS492">
        <v>99999</v>
      </c>
    </row>
    <row r="494" spans="1:104" x14ac:dyDescent="0.25">
      <c r="A494" t="s">
        <v>8198</v>
      </c>
      <c r="C494" t="s">
        <v>4959</v>
      </c>
      <c r="AC494">
        <v>2</v>
      </c>
      <c r="AO494" t="s">
        <v>6982</v>
      </c>
      <c r="AT494" t="s">
        <v>6983</v>
      </c>
      <c r="AX494" t="s">
        <v>6984</v>
      </c>
      <c r="AZ494">
        <v>1</v>
      </c>
      <c r="BD494">
        <v>1</v>
      </c>
      <c r="CB494" t="s">
        <v>134</v>
      </c>
      <c r="CH494" t="s">
        <v>6977</v>
      </c>
      <c r="CX494" t="s">
        <v>8199</v>
      </c>
      <c r="CZ494" t="s">
        <v>8200</v>
      </c>
    </row>
    <row r="495" spans="1:104" x14ac:dyDescent="0.25">
      <c r="A495" t="s">
        <v>8201</v>
      </c>
      <c r="C495" t="s">
        <v>6888</v>
      </c>
      <c r="K495" s="5" t="s">
        <v>6874</v>
      </c>
      <c r="L495" s="5" t="s">
        <v>6892</v>
      </c>
      <c r="AC495">
        <v>1</v>
      </c>
      <c r="AG495" t="s">
        <v>6876</v>
      </c>
      <c r="AH495">
        <v>1</v>
      </c>
      <c r="AY495" s="5"/>
      <c r="BD495">
        <v>1</v>
      </c>
      <c r="BV495"/>
      <c r="BW495"/>
      <c r="BX495"/>
      <c r="BY495"/>
      <c r="BZ495"/>
      <c r="CA495"/>
      <c r="CB495" s="5"/>
      <c r="CC495" s="5"/>
      <c r="CD495" s="5"/>
      <c r="CE495" s="5"/>
      <c r="CF495" s="5"/>
      <c r="CG495" s="5"/>
      <c r="CI495" s="5"/>
      <c r="CJ495" s="5"/>
      <c r="CK495" s="5"/>
      <c r="CL495" s="5"/>
      <c r="CM495" s="5"/>
      <c r="CN495" s="5"/>
      <c r="CO495" s="9" t="s">
        <v>8202</v>
      </c>
      <c r="CP495">
        <v>0.28000000000000003</v>
      </c>
      <c r="CS495">
        <v>99999</v>
      </c>
    </row>
    <row r="496" spans="1:104" x14ac:dyDescent="0.25">
      <c r="A496" t="s">
        <v>8203</v>
      </c>
      <c r="C496" t="s">
        <v>6888</v>
      </c>
      <c r="K496" s="5" t="s">
        <v>6874</v>
      </c>
      <c r="L496" s="5" t="s">
        <v>6980</v>
      </c>
      <c r="AC496">
        <v>1</v>
      </c>
      <c r="AI496" t="s">
        <v>344</v>
      </c>
      <c r="AY496" s="5"/>
      <c r="BD496">
        <v>99</v>
      </c>
      <c r="BO496" s="7" t="s">
        <v>8204</v>
      </c>
      <c r="BV496"/>
      <c r="BW496"/>
      <c r="BX496"/>
      <c r="BY496"/>
      <c r="BZ496"/>
      <c r="CA496"/>
      <c r="CB496" s="5"/>
      <c r="CC496" s="5"/>
      <c r="CD496" s="5"/>
      <c r="CE496" s="5"/>
      <c r="CF496" s="5"/>
      <c r="CG496" s="5"/>
      <c r="CI496" s="5"/>
      <c r="CJ496" s="5"/>
      <c r="CK496" s="5"/>
      <c r="CL496" s="5"/>
      <c r="CM496" s="5"/>
      <c r="CN496" s="5"/>
      <c r="CO496" s="9" t="s">
        <v>7246</v>
      </c>
      <c r="CP496">
        <v>0.08</v>
      </c>
      <c r="CS496">
        <v>99999</v>
      </c>
      <c r="CU496">
        <v>1</v>
      </c>
    </row>
    <row r="497" spans="1:109" x14ac:dyDescent="0.25">
      <c r="A497" t="s">
        <v>8204</v>
      </c>
      <c r="C497" t="s">
        <v>6888</v>
      </c>
      <c r="K497" s="5" t="s">
        <v>6874</v>
      </c>
      <c r="L497" s="5" t="s">
        <v>6889</v>
      </c>
      <c r="AC497">
        <v>1</v>
      </c>
      <c r="AF497">
        <v>1</v>
      </c>
      <c r="AG497" t="s">
        <v>7400</v>
      </c>
      <c r="AI497" t="s">
        <v>344</v>
      </c>
      <c r="AY497" s="5"/>
      <c r="BD497">
        <v>1</v>
      </c>
      <c r="BV497"/>
      <c r="BW497"/>
      <c r="BX497"/>
      <c r="BY497"/>
      <c r="BZ497"/>
      <c r="CA497"/>
      <c r="CB497" s="5"/>
      <c r="CC497" s="5"/>
      <c r="CD497" s="5"/>
      <c r="CE497" s="5"/>
      <c r="CF497" s="5"/>
      <c r="CG497" s="5"/>
      <c r="CI497" s="5"/>
      <c r="CJ497" s="5"/>
      <c r="CK497" s="5"/>
      <c r="CL497" s="5"/>
      <c r="CM497" s="5"/>
      <c r="CN497" s="5"/>
      <c r="CO497" s="9" t="s">
        <v>7246</v>
      </c>
      <c r="CP497">
        <v>0.08</v>
      </c>
      <c r="CS497">
        <v>99999</v>
      </c>
      <c r="CU497">
        <v>1</v>
      </c>
    </row>
    <row r="498" spans="1:109" x14ac:dyDescent="0.25">
      <c r="A498" t="s">
        <v>8205</v>
      </c>
      <c r="C498" t="s">
        <v>6888</v>
      </c>
      <c r="D498" t="s">
        <v>8206</v>
      </c>
      <c r="E498" t="s">
        <v>8207</v>
      </c>
      <c r="F498" t="s">
        <v>8208</v>
      </c>
      <c r="G498">
        <v>3</v>
      </c>
      <c r="J498" t="s">
        <v>6905</v>
      </c>
      <c r="K498" s="5" t="s">
        <v>6906</v>
      </c>
      <c r="AC498">
        <v>1</v>
      </c>
      <c r="AG498" t="s">
        <v>6876</v>
      </c>
      <c r="AY498" s="5"/>
      <c r="BD498">
        <v>1</v>
      </c>
      <c r="BT498">
        <v>30</v>
      </c>
      <c r="BV498" s="8">
        <v>20</v>
      </c>
      <c r="BW498" s="8">
        <v>40</v>
      </c>
      <c r="BX498" s="8">
        <v>1</v>
      </c>
      <c r="BY498" s="8" t="s">
        <v>6907</v>
      </c>
      <c r="CB498" s="5"/>
      <c r="CC498" s="5"/>
      <c r="CD498" s="5"/>
      <c r="CE498" s="5"/>
      <c r="CF498" s="5"/>
      <c r="CG498" s="5"/>
      <c r="CI498" s="5"/>
      <c r="CJ498" s="5"/>
      <c r="CK498" s="5"/>
      <c r="CL498" s="5"/>
      <c r="CM498" s="5"/>
      <c r="CN498" s="5"/>
      <c r="CO498" s="9" t="s">
        <v>8209</v>
      </c>
      <c r="CP498" t="s">
        <v>8210</v>
      </c>
      <c r="CS498">
        <v>30</v>
      </c>
    </row>
    <row r="499" spans="1:109" x14ac:dyDescent="0.25">
      <c r="A499" t="s">
        <v>8211</v>
      </c>
      <c r="C499" t="s">
        <v>6888</v>
      </c>
      <c r="D499" t="s">
        <v>8212</v>
      </c>
      <c r="E499" t="s">
        <v>8213</v>
      </c>
      <c r="F499" t="s">
        <v>8214</v>
      </c>
      <c r="G499">
        <v>3</v>
      </c>
      <c r="K499" s="5" t="s">
        <v>6874</v>
      </c>
      <c r="L499" s="5" t="s">
        <v>7662</v>
      </c>
      <c r="AC499">
        <v>2</v>
      </c>
      <c r="AD499">
        <v>1</v>
      </c>
      <c r="AE499">
        <v>1</v>
      </c>
      <c r="AX499" t="s">
        <v>6984</v>
      </c>
      <c r="AZ499">
        <v>1</v>
      </c>
      <c r="BD499">
        <v>1</v>
      </c>
      <c r="BO499" s="7" t="s">
        <v>8215</v>
      </c>
    </row>
    <row r="500" spans="1:109" x14ac:dyDescent="0.25">
      <c r="A500" t="s">
        <v>8215</v>
      </c>
      <c r="C500" t="s">
        <v>6888</v>
      </c>
      <c r="K500" s="5" t="s">
        <v>6874</v>
      </c>
      <c r="L500" s="5" t="s">
        <v>6892</v>
      </c>
      <c r="AC500">
        <v>1</v>
      </c>
      <c r="AG500" t="s">
        <v>6876</v>
      </c>
      <c r="AH500">
        <v>1</v>
      </c>
      <c r="AY500" s="5"/>
      <c r="BD500">
        <v>1</v>
      </c>
      <c r="BV500"/>
      <c r="BW500"/>
      <c r="BX500"/>
      <c r="BY500"/>
      <c r="BZ500"/>
      <c r="CA500"/>
      <c r="CB500" s="5"/>
      <c r="CC500" s="5"/>
      <c r="CD500" s="5"/>
      <c r="CE500" s="5"/>
      <c r="CF500" s="5"/>
      <c r="CG500" s="5"/>
      <c r="CI500" s="5"/>
      <c r="CJ500" s="5"/>
      <c r="CK500" s="5"/>
      <c r="CL500" s="5"/>
      <c r="CM500" s="5"/>
      <c r="CN500" s="5"/>
      <c r="CO500" s="9" t="s">
        <v>8216</v>
      </c>
      <c r="CP500">
        <v>0.3</v>
      </c>
      <c r="CS500">
        <v>99999</v>
      </c>
    </row>
    <row r="501" spans="1:109" x14ac:dyDescent="0.25">
      <c r="A501" t="s">
        <v>8217</v>
      </c>
      <c r="C501" t="s">
        <v>6888</v>
      </c>
      <c r="D501" t="s">
        <v>8218</v>
      </c>
      <c r="E501" t="s">
        <v>8219</v>
      </c>
      <c r="F501" t="s">
        <v>8220</v>
      </c>
      <c r="G501">
        <v>3</v>
      </c>
      <c r="J501" t="s">
        <v>7010</v>
      </c>
      <c r="K501" s="5" t="s">
        <v>6906</v>
      </c>
      <c r="AB501">
        <v>1</v>
      </c>
      <c r="AC501">
        <v>2</v>
      </c>
      <c r="AT501" t="s">
        <v>6983</v>
      </c>
      <c r="AZ501">
        <v>1</v>
      </c>
      <c r="BD501">
        <v>99</v>
      </c>
      <c r="BO501" s="7" t="s">
        <v>8221</v>
      </c>
      <c r="BS501">
        <v>0.99</v>
      </c>
      <c r="BT501">
        <v>25</v>
      </c>
      <c r="BV501" s="8">
        <v>30</v>
      </c>
      <c r="BW501" s="8">
        <v>50</v>
      </c>
      <c r="BX501" s="8">
        <v>1</v>
      </c>
      <c r="BY501" s="8" t="s">
        <v>6907</v>
      </c>
      <c r="CB501" t="s">
        <v>7540</v>
      </c>
      <c r="CF501" t="s">
        <v>7540</v>
      </c>
      <c r="CH501" t="s">
        <v>7394</v>
      </c>
      <c r="CZ501" t="s">
        <v>8222</v>
      </c>
      <c r="DD501" t="s">
        <v>8223</v>
      </c>
    </row>
    <row r="502" spans="1:109" x14ac:dyDescent="0.25">
      <c r="A502" t="s">
        <v>8221</v>
      </c>
      <c r="C502" t="s">
        <v>6888</v>
      </c>
      <c r="K502" s="5" t="s">
        <v>6874</v>
      </c>
      <c r="L502" s="5" t="s">
        <v>7017</v>
      </c>
      <c r="AC502">
        <v>1</v>
      </c>
      <c r="AG502" t="s">
        <v>6876</v>
      </c>
      <c r="AY502" s="5"/>
      <c r="BD502">
        <v>1</v>
      </c>
      <c r="CB502" s="5"/>
      <c r="CC502" s="5"/>
      <c r="CD502" s="5"/>
      <c r="CE502" s="5"/>
      <c r="CF502" s="5"/>
      <c r="CG502" s="5"/>
      <c r="CI502" s="5"/>
      <c r="CJ502" s="5"/>
      <c r="CK502" s="5"/>
      <c r="CL502" s="5"/>
      <c r="CM502" s="5"/>
      <c r="CN502" s="5"/>
      <c r="CO502" s="9" t="s">
        <v>8224</v>
      </c>
      <c r="CP502" t="s">
        <v>8225</v>
      </c>
      <c r="CS502">
        <v>30</v>
      </c>
    </row>
    <row r="503" spans="1:109" x14ac:dyDescent="0.25">
      <c r="AY503" s="5"/>
      <c r="CB503" s="5"/>
      <c r="CC503" s="5"/>
      <c r="CD503" s="5"/>
      <c r="CE503" s="5"/>
      <c r="CF503" s="5"/>
      <c r="CG503" s="5"/>
      <c r="CI503" s="5"/>
      <c r="CJ503" s="5"/>
      <c r="CK503" s="5"/>
      <c r="CL503" s="5"/>
      <c r="CM503" s="5"/>
      <c r="CN503" s="5"/>
    </row>
    <row r="504" spans="1:109" x14ac:dyDescent="0.25">
      <c r="A504" t="s">
        <v>8226</v>
      </c>
      <c r="C504" t="s">
        <v>4959</v>
      </c>
      <c r="AC504">
        <v>2</v>
      </c>
      <c r="AO504" t="s">
        <v>6982</v>
      </c>
      <c r="AT504" t="s">
        <v>7006</v>
      </c>
      <c r="AX504" t="s">
        <v>6984</v>
      </c>
      <c r="AZ504">
        <v>1</v>
      </c>
      <c r="BD504">
        <v>1</v>
      </c>
      <c r="CB504" t="s">
        <v>134</v>
      </c>
      <c r="CH504" t="s">
        <v>6977</v>
      </c>
      <c r="CZ504" t="s">
        <v>8227</v>
      </c>
    </row>
    <row r="505" spans="1:109" x14ac:dyDescent="0.25">
      <c r="A505" t="s">
        <v>8228</v>
      </c>
      <c r="C505" t="s">
        <v>6888</v>
      </c>
      <c r="K505" s="5" t="s">
        <v>6907</v>
      </c>
      <c r="N505" s="5">
        <v>5</v>
      </c>
      <c r="AC505">
        <v>1</v>
      </c>
      <c r="AG505" t="s">
        <v>6876</v>
      </c>
      <c r="AY505" s="5"/>
      <c r="BD505">
        <v>1</v>
      </c>
      <c r="BS505">
        <v>20</v>
      </c>
      <c r="CB505" s="5"/>
      <c r="CC505" s="5"/>
      <c r="CD505" s="5"/>
      <c r="CE505" s="5"/>
      <c r="CF505" s="5"/>
      <c r="CG505" s="5"/>
      <c r="CI505" s="5"/>
      <c r="CJ505" s="5"/>
      <c r="CK505" s="5"/>
      <c r="CL505" s="5"/>
      <c r="CM505" s="5"/>
      <c r="CN505" s="5"/>
      <c r="CO505" s="9" t="s">
        <v>8229</v>
      </c>
      <c r="CP505" t="s">
        <v>8230</v>
      </c>
      <c r="CS505">
        <v>99999</v>
      </c>
    </row>
    <row r="506" spans="1:109" x14ac:dyDescent="0.25">
      <c r="A506" t="s">
        <v>8231</v>
      </c>
      <c r="C506" t="s">
        <v>7076</v>
      </c>
      <c r="D506" t="s">
        <v>7601</v>
      </c>
      <c r="E506" t="s">
        <v>7602</v>
      </c>
      <c r="F506" t="s">
        <v>8232</v>
      </c>
      <c r="G506">
        <v>3</v>
      </c>
      <c r="J506" t="s">
        <v>6905</v>
      </c>
      <c r="K506" s="5" t="s">
        <v>6907</v>
      </c>
      <c r="U506" s="5">
        <v>0.5</v>
      </c>
      <c r="AC506">
        <v>1</v>
      </c>
      <c r="AO506" t="s">
        <v>6975</v>
      </c>
      <c r="AT506" t="s">
        <v>7011</v>
      </c>
      <c r="AY506" s="5">
        <v>1</v>
      </c>
      <c r="AZ506">
        <v>1.8</v>
      </c>
      <c r="BD506">
        <v>1</v>
      </c>
      <c r="BT506">
        <v>0.2</v>
      </c>
      <c r="BV506" s="8">
        <v>0</v>
      </c>
      <c r="BW506" s="8">
        <v>4</v>
      </c>
      <c r="BX506" s="8">
        <v>3</v>
      </c>
      <c r="BY506" s="8" t="s">
        <v>6907</v>
      </c>
      <c r="CB506" s="5" t="s">
        <v>134</v>
      </c>
      <c r="CC506" s="5"/>
      <c r="CD506" s="5"/>
      <c r="CE506" s="5"/>
      <c r="CF506" s="5"/>
      <c r="CG506" s="5"/>
      <c r="CH506" t="s">
        <v>6977</v>
      </c>
      <c r="CK506" s="5"/>
      <c r="CL506" s="5"/>
      <c r="CM506" s="5"/>
      <c r="CN506" s="5"/>
      <c r="CV506" t="s">
        <v>7632</v>
      </c>
      <c r="CY506" t="s">
        <v>8233</v>
      </c>
      <c r="CZ506" t="s">
        <v>8234</v>
      </c>
    </row>
    <row r="507" spans="1:109" ht="14.5" x14ac:dyDescent="0.25">
      <c r="A507" t="s">
        <v>8235</v>
      </c>
      <c r="C507" t="s">
        <v>7076</v>
      </c>
      <c r="D507" t="s">
        <v>8236</v>
      </c>
      <c r="E507" t="s">
        <v>8237</v>
      </c>
      <c r="F507" t="s">
        <v>8238</v>
      </c>
      <c r="G507">
        <v>3</v>
      </c>
      <c r="J507" t="s">
        <v>6905</v>
      </c>
      <c r="K507" s="5" t="s">
        <v>6907</v>
      </c>
      <c r="AC507">
        <v>1</v>
      </c>
      <c r="AT507" t="s">
        <v>7803</v>
      </c>
      <c r="AY507" s="5">
        <v>1</v>
      </c>
      <c r="AZ507">
        <v>1.4</v>
      </c>
      <c r="BD507">
        <v>99</v>
      </c>
      <c r="BT507">
        <v>0.2</v>
      </c>
      <c r="BV507" s="8">
        <v>0</v>
      </c>
      <c r="BW507" s="8">
        <v>7</v>
      </c>
      <c r="BX507" s="8">
        <v>1</v>
      </c>
      <c r="BY507" s="8" t="s">
        <v>6907</v>
      </c>
      <c r="CB507" s="5" t="s">
        <v>7192</v>
      </c>
      <c r="CC507" s="5"/>
      <c r="CD507" s="5"/>
      <c r="CE507" s="5"/>
      <c r="CF507" s="5"/>
      <c r="CG507" s="5"/>
      <c r="CH507" t="s">
        <v>6977</v>
      </c>
      <c r="CI507" s="5"/>
      <c r="CJ507" s="5"/>
      <c r="CK507" s="5"/>
      <c r="CL507" s="5"/>
      <c r="CM507" s="5"/>
      <c r="CN507" s="5"/>
      <c r="CV507" t="s">
        <v>7632</v>
      </c>
      <c r="CY507" t="s">
        <v>8239</v>
      </c>
    </row>
    <row r="508" spans="1:109" x14ac:dyDescent="0.25">
      <c r="A508" t="s">
        <v>8240</v>
      </c>
      <c r="C508" t="s">
        <v>7076</v>
      </c>
      <c r="D508" t="s">
        <v>8241</v>
      </c>
      <c r="E508" t="s">
        <v>8242</v>
      </c>
      <c r="F508" t="s">
        <v>8243</v>
      </c>
      <c r="G508">
        <v>3</v>
      </c>
      <c r="J508" t="s">
        <v>7010</v>
      </c>
      <c r="K508" s="5" t="s">
        <v>6906</v>
      </c>
      <c r="AC508">
        <v>1</v>
      </c>
      <c r="AT508" t="s">
        <v>8112</v>
      </c>
      <c r="AY508" s="5">
        <v>1</v>
      </c>
      <c r="AZ508">
        <v>0.35</v>
      </c>
      <c r="BD508">
        <v>99</v>
      </c>
      <c r="BO508" s="7" t="s">
        <v>8244</v>
      </c>
      <c r="BS508">
        <v>1</v>
      </c>
      <c r="BT508">
        <v>30</v>
      </c>
      <c r="BV508" s="8">
        <v>70</v>
      </c>
      <c r="BW508" s="8">
        <v>80</v>
      </c>
      <c r="BX508" s="8">
        <v>1</v>
      </c>
      <c r="BY508" s="8" t="s">
        <v>6907</v>
      </c>
      <c r="CB508" t="s">
        <v>796</v>
      </c>
      <c r="CF508" t="s">
        <v>796</v>
      </c>
      <c r="CH508" t="s">
        <v>7394</v>
      </c>
      <c r="CI508" s="5"/>
      <c r="CJ508" s="5"/>
      <c r="CK508" s="5"/>
      <c r="CL508" s="5"/>
      <c r="CM508" s="5"/>
      <c r="CN508" s="5"/>
      <c r="CV508" t="s">
        <v>7632</v>
      </c>
      <c r="DD508" t="s">
        <v>8245</v>
      </c>
    </row>
    <row r="509" spans="1:109" x14ac:dyDescent="0.25">
      <c r="A509" t="s">
        <v>8246</v>
      </c>
      <c r="C509" t="s">
        <v>6888</v>
      </c>
      <c r="J509" t="s">
        <v>7010</v>
      </c>
      <c r="K509" s="5" t="s">
        <v>6907</v>
      </c>
      <c r="AC509">
        <v>2</v>
      </c>
      <c r="AT509" t="s">
        <v>8112</v>
      </c>
      <c r="AY509" s="5"/>
      <c r="BD509">
        <v>99</v>
      </c>
      <c r="BS509">
        <v>0.1</v>
      </c>
      <c r="CB509" s="5"/>
      <c r="CC509" s="5"/>
      <c r="CD509" s="5"/>
      <c r="CE509" s="5"/>
      <c r="CF509" s="5"/>
      <c r="CG509" s="5"/>
      <c r="CH509" t="s">
        <v>7394</v>
      </c>
      <c r="CI509" s="5"/>
      <c r="CJ509" s="5"/>
      <c r="CK509" s="5"/>
      <c r="CL509" s="5"/>
      <c r="CM509" s="5"/>
      <c r="CN509" s="5"/>
      <c r="CO509" s="9" t="s">
        <v>8247</v>
      </c>
      <c r="CP509" t="s">
        <v>8248</v>
      </c>
      <c r="CS509">
        <v>0.1</v>
      </c>
    </row>
    <row r="510" spans="1:109" x14ac:dyDescent="0.25">
      <c r="A510" t="s">
        <v>8247</v>
      </c>
      <c r="C510" t="s">
        <v>6888</v>
      </c>
      <c r="K510" s="5" t="s">
        <v>6874</v>
      </c>
      <c r="L510" s="5" t="s">
        <v>7017</v>
      </c>
      <c r="AC510">
        <v>1</v>
      </c>
      <c r="AY510" s="5"/>
      <c r="BD510">
        <v>1</v>
      </c>
      <c r="CB510" s="5"/>
      <c r="CC510" s="5"/>
      <c r="CD510" s="5"/>
      <c r="CE510" s="5"/>
      <c r="CF510" s="5"/>
      <c r="CG510" s="5"/>
      <c r="CI510" s="5"/>
      <c r="CJ510" s="5"/>
      <c r="CK510" s="5"/>
      <c r="CL510" s="5"/>
      <c r="CM510" s="5"/>
      <c r="CN510" s="5"/>
      <c r="CO510" s="9" t="s">
        <v>8249</v>
      </c>
      <c r="CS510">
        <v>30</v>
      </c>
      <c r="DE510">
        <v>1</v>
      </c>
    </row>
    <row r="511" spans="1:109" x14ac:dyDescent="0.25">
      <c r="AY511" s="5"/>
      <c r="CB511" s="5"/>
      <c r="CC511" s="5"/>
      <c r="CD511" s="5"/>
      <c r="CE511" s="5"/>
      <c r="CF511" s="5"/>
      <c r="CG511" s="5"/>
      <c r="CI511" s="5"/>
      <c r="CJ511" s="5"/>
      <c r="CK511" s="5"/>
      <c r="CL511" s="5"/>
      <c r="CM511" s="5"/>
      <c r="CN511" s="5"/>
    </row>
    <row r="512" spans="1:109" x14ac:dyDescent="0.25">
      <c r="A512" t="s">
        <v>8250</v>
      </c>
      <c r="C512" t="s">
        <v>4959</v>
      </c>
      <c r="AC512">
        <v>2</v>
      </c>
      <c r="AO512" t="s">
        <v>6982</v>
      </c>
      <c r="AT512" t="s">
        <v>6983</v>
      </c>
      <c r="AX512" t="s">
        <v>6984</v>
      </c>
      <c r="AZ512">
        <v>1</v>
      </c>
      <c r="BD512">
        <v>1</v>
      </c>
      <c r="CB512" t="s">
        <v>8251</v>
      </c>
      <c r="CH512" t="s">
        <v>6977</v>
      </c>
    </row>
    <row r="513" spans="1:99" x14ac:dyDescent="0.25">
      <c r="A513" t="s">
        <v>8252</v>
      </c>
      <c r="C513" t="s">
        <v>4959</v>
      </c>
      <c r="AA513">
        <v>0.2</v>
      </c>
      <c r="AC513">
        <v>2</v>
      </c>
      <c r="AO513" t="s">
        <v>6982</v>
      </c>
      <c r="AT513" t="s">
        <v>6983</v>
      </c>
      <c r="AX513" t="s">
        <v>6984</v>
      </c>
      <c r="AZ513">
        <v>1.65</v>
      </c>
      <c r="BD513">
        <v>1</v>
      </c>
      <c r="CB513" t="s">
        <v>8253</v>
      </c>
      <c r="CH513" t="s">
        <v>6977</v>
      </c>
      <c r="CO513" s="9" t="s">
        <v>7101</v>
      </c>
      <c r="CP513">
        <v>-0.15</v>
      </c>
      <c r="CS513">
        <v>3</v>
      </c>
    </row>
    <row r="514" spans="1:99" x14ac:dyDescent="0.25">
      <c r="A514" t="s">
        <v>8254</v>
      </c>
      <c r="C514" t="s">
        <v>6888</v>
      </c>
      <c r="K514" s="5" t="s">
        <v>6874</v>
      </c>
      <c r="L514" s="5" t="s">
        <v>6980</v>
      </c>
      <c r="AC514">
        <v>1</v>
      </c>
      <c r="AY514" s="5"/>
      <c r="BD514">
        <v>99</v>
      </c>
      <c r="BV514"/>
      <c r="BW514"/>
      <c r="BX514"/>
      <c r="BY514"/>
      <c r="BZ514"/>
      <c r="CA514"/>
      <c r="CB514" s="5"/>
      <c r="CC514" s="5"/>
      <c r="CD514" s="5"/>
      <c r="CE514" s="5"/>
      <c r="CF514" s="5"/>
      <c r="CG514" s="5"/>
      <c r="CI514" s="5"/>
      <c r="CJ514" s="5"/>
      <c r="CK514" s="5"/>
      <c r="CL514" s="5"/>
      <c r="CM514" s="5"/>
      <c r="CN514" s="5"/>
      <c r="CO514" s="9" t="s">
        <v>8255</v>
      </c>
      <c r="CP514">
        <v>0.1</v>
      </c>
      <c r="CQ514">
        <v>0.15</v>
      </c>
      <c r="CS514">
        <v>99999</v>
      </c>
      <c r="CU514">
        <v>1</v>
      </c>
    </row>
    <row r="515" spans="1:99" x14ac:dyDescent="0.25">
      <c r="A515" t="s">
        <v>8256</v>
      </c>
      <c r="C515" t="s">
        <v>6888</v>
      </c>
      <c r="D515" t="s">
        <v>8257</v>
      </c>
      <c r="E515" t="s">
        <v>8258</v>
      </c>
      <c r="F515" t="s">
        <v>8259</v>
      </c>
      <c r="J515" t="s">
        <v>6905</v>
      </c>
      <c r="K515" s="5" t="s">
        <v>6907</v>
      </c>
      <c r="AC515">
        <v>2</v>
      </c>
      <c r="AT515" t="s">
        <v>6983</v>
      </c>
      <c r="AX515" t="s">
        <v>6984</v>
      </c>
      <c r="AY515" s="5"/>
      <c r="AZ515">
        <v>2.2999999999999998</v>
      </c>
      <c r="BD515">
        <v>2</v>
      </c>
      <c r="BT515">
        <v>0.2</v>
      </c>
      <c r="BV515" s="8">
        <v>0</v>
      </c>
      <c r="BW515" s="8">
        <v>3</v>
      </c>
      <c r="BX515" s="8">
        <v>1</v>
      </c>
      <c r="BY515" s="8" t="s">
        <v>7061</v>
      </c>
      <c r="CB515" t="s">
        <v>624</v>
      </c>
      <c r="CD515" s="5"/>
      <c r="CE515" s="5"/>
      <c r="CF515" s="5"/>
      <c r="CG515" s="5"/>
      <c r="CH515" t="s">
        <v>6977</v>
      </c>
      <c r="CI515" s="5"/>
      <c r="CJ515" s="5"/>
      <c r="CL515" s="5"/>
      <c r="CM515" s="5"/>
      <c r="CN515" s="5"/>
    </row>
    <row r="516" spans="1:99" x14ac:dyDescent="0.25">
      <c r="A516" t="s">
        <v>8260</v>
      </c>
      <c r="C516" t="s">
        <v>6888</v>
      </c>
      <c r="D516" t="s">
        <v>8261</v>
      </c>
      <c r="E516" t="s">
        <v>8262</v>
      </c>
      <c r="F516" t="s">
        <v>8263</v>
      </c>
      <c r="J516" t="s">
        <v>6905</v>
      </c>
      <c r="K516" s="5" t="s">
        <v>6906</v>
      </c>
      <c r="AB516">
        <v>1</v>
      </c>
      <c r="AC516">
        <v>1</v>
      </c>
      <c r="AG516" t="s">
        <v>6876</v>
      </c>
      <c r="BD516">
        <v>1</v>
      </c>
      <c r="BO516" s="7" t="s">
        <v>8264</v>
      </c>
      <c r="BS516">
        <v>0</v>
      </c>
      <c r="BT516">
        <v>0.2</v>
      </c>
      <c r="BV516" s="8">
        <v>0</v>
      </c>
      <c r="BW516" s="8">
        <v>5</v>
      </c>
      <c r="BX516" s="8">
        <v>1</v>
      </c>
      <c r="BY516" s="8" t="s">
        <v>6907</v>
      </c>
      <c r="CO516" s="9" t="s">
        <v>8265</v>
      </c>
      <c r="CP516" s="2" t="s">
        <v>8266</v>
      </c>
      <c r="CS516">
        <v>99999</v>
      </c>
    </row>
    <row r="517" spans="1:99" x14ac:dyDescent="0.25">
      <c r="A517" t="s">
        <v>8267</v>
      </c>
      <c r="C517" t="s">
        <v>7021</v>
      </c>
      <c r="O517" t="s">
        <v>8268</v>
      </c>
      <c r="AC517">
        <v>2</v>
      </c>
      <c r="AO517" t="s">
        <v>6982</v>
      </c>
      <c r="AT517" t="s">
        <v>7006</v>
      </c>
      <c r="AX517" t="s">
        <v>6984</v>
      </c>
      <c r="AZ517">
        <v>1</v>
      </c>
      <c r="BD517">
        <v>2</v>
      </c>
      <c r="CB517" t="s">
        <v>6229</v>
      </c>
      <c r="CH517" t="s">
        <v>6977</v>
      </c>
    </row>
    <row r="518" spans="1:99" x14ac:dyDescent="0.25">
      <c r="A518" t="s">
        <v>8269</v>
      </c>
      <c r="C518" t="s">
        <v>7021</v>
      </c>
      <c r="O518" t="s">
        <v>8268</v>
      </c>
      <c r="AA518">
        <v>0.2</v>
      </c>
      <c r="AC518">
        <v>2</v>
      </c>
      <c r="AO518" t="s">
        <v>6982</v>
      </c>
      <c r="AT518" t="s">
        <v>7006</v>
      </c>
      <c r="AX518" t="s">
        <v>6984</v>
      </c>
      <c r="AZ518">
        <v>1.65</v>
      </c>
      <c r="BD518">
        <v>2</v>
      </c>
      <c r="CB518" t="s">
        <v>6229</v>
      </c>
      <c r="CH518" t="s">
        <v>6977</v>
      </c>
      <c r="CO518" s="9" t="s">
        <v>7101</v>
      </c>
      <c r="CP518">
        <v>-0.15</v>
      </c>
      <c r="CS518">
        <v>3</v>
      </c>
    </row>
    <row r="519" spans="1:99" x14ac:dyDescent="0.25">
      <c r="A519" t="s">
        <v>8270</v>
      </c>
      <c r="C519" t="s">
        <v>7280</v>
      </c>
      <c r="D519" t="s">
        <v>8271</v>
      </c>
      <c r="E519" t="s">
        <v>8272</v>
      </c>
      <c r="F519" t="s">
        <v>8273</v>
      </c>
      <c r="J519" t="s">
        <v>7010</v>
      </c>
      <c r="K519" s="5" t="s">
        <v>6906</v>
      </c>
      <c r="AB519">
        <v>1</v>
      </c>
      <c r="AC519">
        <v>2</v>
      </c>
      <c r="AO519" t="s">
        <v>6982</v>
      </c>
      <c r="AT519" t="s">
        <v>8274</v>
      </c>
      <c r="AX519" t="s">
        <v>6984</v>
      </c>
      <c r="AZ519">
        <v>1</v>
      </c>
      <c r="BD519">
        <v>4</v>
      </c>
      <c r="BE519">
        <v>1</v>
      </c>
      <c r="BM519">
        <v>1</v>
      </c>
      <c r="BO519" s="7" t="s">
        <v>8275</v>
      </c>
      <c r="BT519">
        <v>30</v>
      </c>
      <c r="BV519" s="8">
        <v>25</v>
      </c>
      <c r="BW519" s="8">
        <v>40</v>
      </c>
      <c r="BX519" s="8">
        <v>1</v>
      </c>
      <c r="BY519" s="8" t="s">
        <v>6907</v>
      </c>
      <c r="CB519" t="s">
        <v>8276</v>
      </c>
      <c r="CH519" t="s">
        <v>6977</v>
      </c>
    </row>
    <row r="520" spans="1:99" x14ac:dyDescent="0.25">
      <c r="A520" t="s">
        <v>8277</v>
      </c>
      <c r="C520" t="s">
        <v>7280</v>
      </c>
      <c r="J520" t="s">
        <v>7010</v>
      </c>
      <c r="K520" s="5" t="s">
        <v>6907</v>
      </c>
      <c r="AA520">
        <v>0.75</v>
      </c>
      <c r="AC520">
        <v>2</v>
      </c>
      <c r="AO520" t="s">
        <v>6982</v>
      </c>
      <c r="AT520" t="s">
        <v>8274</v>
      </c>
      <c r="AX520" t="s">
        <v>6984</v>
      </c>
      <c r="AZ520">
        <v>1.65</v>
      </c>
      <c r="BD520">
        <v>4</v>
      </c>
      <c r="BE520">
        <v>1</v>
      </c>
      <c r="BM520">
        <v>1</v>
      </c>
      <c r="CB520" t="s">
        <v>8276</v>
      </c>
      <c r="CH520" t="s">
        <v>6977</v>
      </c>
      <c r="CO520" s="9" t="s">
        <v>7101</v>
      </c>
      <c r="CP520">
        <v>-0.15</v>
      </c>
      <c r="CS520">
        <v>3</v>
      </c>
    </row>
    <row r="521" spans="1:99" x14ac:dyDescent="0.25">
      <c r="A521" t="s">
        <v>8278</v>
      </c>
      <c r="C521" t="s">
        <v>6888</v>
      </c>
      <c r="K521" s="5" t="s">
        <v>6874</v>
      </c>
      <c r="L521" s="5" t="s">
        <v>7017</v>
      </c>
      <c r="AC521">
        <v>1</v>
      </c>
      <c r="CO521" s="9" t="s">
        <v>8279</v>
      </c>
      <c r="CP521" t="s">
        <v>8280</v>
      </c>
      <c r="CS521">
        <v>30</v>
      </c>
    </row>
    <row r="523" spans="1:99" x14ac:dyDescent="0.25">
      <c r="A523" t="s">
        <v>8281</v>
      </c>
    </row>
    <row r="530" spans="1:104" x14ac:dyDescent="0.25">
      <c r="A530" t="s">
        <v>8282</v>
      </c>
      <c r="C530" t="s">
        <v>6888</v>
      </c>
      <c r="E530" t="s">
        <v>8283</v>
      </c>
      <c r="F530" t="s">
        <v>8284</v>
      </c>
      <c r="AC530">
        <v>2</v>
      </c>
      <c r="AO530" t="s">
        <v>6982</v>
      </c>
      <c r="AT530" t="s">
        <v>6976</v>
      </c>
      <c r="AX530" t="s">
        <v>6997</v>
      </c>
      <c r="AZ530">
        <v>1</v>
      </c>
      <c r="BD530">
        <v>1</v>
      </c>
      <c r="BS530">
        <v>2</v>
      </c>
      <c r="CB530" t="s">
        <v>134</v>
      </c>
      <c r="CH530" t="s">
        <v>6977</v>
      </c>
      <c r="CI530" t="s">
        <v>8285</v>
      </c>
      <c r="CO530" s="9" t="s">
        <v>7050</v>
      </c>
      <c r="CP530">
        <v>-0.8</v>
      </c>
      <c r="CX530" t="s">
        <v>8286</v>
      </c>
      <c r="CZ530" t="s">
        <v>8287</v>
      </c>
    </row>
    <row r="532" spans="1:104" x14ac:dyDescent="0.25">
      <c r="A532" t="s">
        <v>8288</v>
      </c>
      <c r="C532" t="s">
        <v>6888</v>
      </c>
      <c r="E532" t="s">
        <v>8289</v>
      </c>
      <c r="F532" t="s">
        <v>8290</v>
      </c>
      <c r="J532" t="s">
        <v>7010</v>
      </c>
      <c r="K532" s="5" t="s">
        <v>6906</v>
      </c>
      <c r="AC532">
        <v>2</v>
      </c>
      <c r="AO532" t="s">
        <v>6982</v>
      </c>
      <c r="AT532" t="s">
        <v>8274</v>
      </c>
      <c r="BD532">
        <v>100</v>
      </c>
      <c r="BR532" t="s">
        <v>8291</v>
      </c>
      <c r="BS532">
        <v>0.2</v>
      </c>
      <c r="BT532">
        <v>10</v>
      </c>
      <c r="BV532" s="8">
        <v>48</v>
      </c>
      <c r="BW532" s="8">
        <v>50</v>
      </c>
      <c r="BX532" s="8">
        <v>1</v>
      </c>
      <c r="BY532" s="8" t="s">
        <v>6907</v>
      </c>
      <c r="CO532" s="9" t="s">
        <v>7050</v>
      </c>
      <c r="CP532">
        <v>-0.8</v>
      </c>
      <c r="CS532">
        <v>99999</v>
      </c>
      <c r="CU532">
        <v>1</v>
      </c>
    </row>
    <row r="533" spans="1:104" x14ac:dyDescent="0.25">
      <c r="A533" t="s">
        <v>8291</v>
      </c>
      <c r="C533" t="s">
        <v>6888</v>
      </c>
      <c r="E533" t="s">
        <v>8289</v>
      </c>
      <c r="F533" t="s">
        <v>8290</v>
      </c>
      <c r="J533" t="s">
        <v>7010</v>
      </c>
      <c r="K533" s="5" t="s">
        <v>6906</v>
      </c>
      <c r="AC533">
        <v>2</v>
      </c>
      <c r="AO533" t="s">
        <v>6982</v>
      </c>
      <c r="AT533" t="s">
        <v>8112</v>
      </c>
      <c r="BD533">
        <v>100</v>
      </c>
      <c r="BS533">
        <v>0.2</v>
      </c>
      <c r="BT533">
        <v>9999</v>
      </c>
      <c r="BV533" s="8">
        <v>0</v>
      </c>
      <c r="BW533" s="8">
        <v>10</v>
      </c>
      <c r="BX533" s="8">
        <v>1</v>
      </c>
      <c r="BY533" s="8" t="s">
        <v>6907</v>
      </c>
      <c r="CO533" s="9" t="s">
        <v>7050</v>
      </c>
      <c r="CP533">
        <v>-0.8</v>
      </c>
      <c r="CS533">
        <v>99999</v>
      </c>
      <c r="CU533">
        <v>1</v>
      </c>
    </row>
    <row r="534" spans="1:104" x14ac:dyDescent="0.25">
      <c r="A534" t="s">
        <v>8292</v>
      </c>
      <c r="C534" t="s">
        <v>6888</v>
      </c>
      <c r="K534" s="5" t="s">
        <v>6907</v>
      </c>
      <c r="AC534">
        <v>1</v>
      </c>
      <c r="AO534" t="s">
        <v>6982</v>
      </c>
      <c r="AT534" t="s">
        <v>8112</v>
      </c>
      <c r="AY534">
        <v>1</v>
      </c>
      <c r="AZ534">
        <v>0.05</v>
      </c>
      <c r="BD534">
        <v>100</v>
      </c>
      <c r="BS534">
        <v>0.2</v>
      </c>
    </row>
    <row r="536" spans="1:104" x14ac:dyDescent="0.25">
      <c r="A536" t="s">
        <v>8293</v>
      </c>
      <c r="C536" t="s">
        <v>6888</v>
      </c>
      <c r="D536" t="s">
        <v>8294</v>
      </c>
      <c r="K536" s="5" t="s">
        <v>6907</v>
      </c>
      <c r="AC536">
        <v>2</v>
      </c>
      <c r="AO536" t="s">
        <v>6982</v>
      </c>
      <c r="AT536" t="s">
        <v>6976</v>
      </c>
      <c r="AX536" t="s">
        <v>6997</v>
      </c>
      <c r="AZ536">
        <v>2</v>
      </c>
      <c r="BD536">
        <v>1</v>
      </c>
      <c r="BE536">
        <v>3</v>
      </c>
      <c r="BS536">
        <v>0.2</v>
      </c>
      <c r="BT536">
        <v>0.2</v>
      </c>
      <c r="BV536" s="8">
        <v>0</v>
      </c>
      <c r="BW536" s="8">
        <v>3</v>
      </c>
      <c r="BX536" s="8">
        <v>2</v>
      </c>
      <c r="BY536" s="8" t="s">
        <v>6907</v>
      </c>
      <c r="CB536" t="s">
        <v>134</v>
      </c>
      <c r="CH536" t="s">
        <v>6977</v>
      </c>
      <c r="CI536" t="s">
        <v>8295</v>
      </c>
    </row>
    <row r="537" spans="1:104" x14ac:dyDescent="0.25">
      <c r="A537" t="s">
        <v>8296</v>
      </c>
      <c r="C537" t="s">
        <v>6888</v>
      </c>
      <c r="D537" t="s">
        <v>8294</v>
      </c>
      <c r="K537" s="5" t="s">
        <v>6906</v>
      </c>
      <c r="AC537">
        <v>2</v>
      </c>
      <c r="AO537" t="s">
        <v>6982</v>
      </c>
      <c r="AT537" t="s">
        <v>6976</v>
      </c>
      <c r="AX537" t="s">
        <v>6997</v>
      </c>
      <c r="AZ537">
        <v>2</v>
      </c>
      <c r="BD537">
        <v>1</v>
      </c>
      <c r="BE537">
        <v>3</v>
      </c>
      <c r="BS537">
        <v>2</v>
      </c>
      <c r="BT537">
        <v>10</v>
      </c>
      <c r="BV537" s="8">
        <v>0</v>
      </c>
      <c r="BW537" s="8">
        <v>3</v>
      </c>
      <c r="BX537" s="8">
        <v>1</v>
      </c>
      <c r="BY537" s="8" t="s">
        <v>6907</v>
      </c>
      <c r="CB537" t="s">
        <v>134</v>
      </c>
      <c r="CH537" t="s">
        <v>6977</v>
      </c>
      <c r="CI537" t="s">
        <v>8295</v>
      </c>
    </row>
    <row r="539" spans="1:104" x14ac:dyDescent="0.25">
      <c r="A539" t="s">
        <v>8297</v>
      </c>
      <c r="C539" t="s">
        <v>7280</v>
      </c>
      <c r="E539" t="s">
        <v>8298</v>
      </c>
      <c r="F539" t="s">
        <v>8284</v>
      </c>
      <c r="J539" t="s">
        <v>6905</v>
      </c>
      <c r="K539" s="5" t="s">
        <v>6906</v>
      </c>
      <c r="AB539">
        <v>1</v>
      </c>
      <c r="AC539">
        <v>2</v>
      </c>
      <c r="AO539" t="s">
        <v>6982</v>
      </c>
      <c r="AT539" t="s">
        <v>6983</v>
      </c>
      <c r="AX539" t="s">
        <v>6984</v>
      </c>
      <c r="AZ539">
        <v>1.5</v>
      </c>
      <c r="BD539">
        <v>99</v>
      </c>
      <c r="BS539">
        <v>1</v>
      </c>
      <c r="BT539">
        <v>0.3</v>
      </c>
      <c r="BV539" s="8">
        <v>1</v>
      </c>
      <c r="BW539" s="8">
        <v>1</v>
      </c>
      <c r="BX539" s="8">
        <v>1</v>
      </c>
      <c r="BY539" s="8" t="s">
        <v>6907</v>
      </c>
      <c r="CB539" t="s">
        <v>134</v>
      </c>
      <c r="CH539" t="s">
        <v>6977</v>
      </c>
    </row>
    <row r="540" spans="1:104" x14ac:dyDescent="0.25">
      <c r="A540" t="s">
        <v>8299</v>
      </c>
      <c r="C540" t="s">
        <v>7264</v>
      </c>
      <c r="E540" t="s">
        <v>8300</v>
      </c>
      <c r="K540" s="5" t="s">
        <v>6906</v>
      </c>
    </row>
    <row r="542" spans="1:104" x14ac:dyDescent="0.25">
      <c r="A542" t="s">
        <v>8301</v>
      </c>
      <c r="C542" t="s">
        <v>6888</v>
      </c>
      <c r="K542" s="5" t="s">
        <v>6874</v>
      </c>
      <c r="L542" s="5" t="s">
        <v>6892</v>
      </c>
      <c r="AC542">
        <v>1</v>
      </c>
      <c r="AG542" t="s">
        <v>6876</v>
      </c>
      <c r="CO542" s="9" t="s">
        <v>8302</v>
      </c>
      <c r="CP542">
        <v>-10</v>
      </c>
    </row>
    <row r="544" spans="1:104" x14ac:dyDescent="0.25">
      <c r="A544" t="s">
        <v>8303</v>
      </c>
      <c r="C544" t="s">
        <v>8304</v>
      </c>
      <c r="J544" t="s">
        <v>6905</v>
      </c>
      <c r="K544" s="5" t="s">
        <v>6907</v>
      </c>
      <c r="W544" s="5">
        <v>1</v>
      </c>
      <c r="BN544">
        <v>10</v>
      </c>
      <c r="BT544">
        <v>0.2</v>
      </c>
      <c r="BV544" s="8">
        <v>0</v>
      </c>
      <c r="BW544" s="8">
        <v>5</v>
      </c>
      <c r="BX544" s="8">
        <v>1</v>
      </c>
      <c r="BY544" s="8" t="s">
        <v>6907</v>
      </c>
    </row>
    <row r="545" spans="1:110" x14ac:dyDescent="0.25">
      <c r="A545" t="s">
        <v>8305</v>
      </c>
      <c r="C545" t="s">
        <v>8306</v>
      </c>
      <c r="J545" t="s">
        <v>7010</v>
      </c>
      <c r="K545" s="5" t="s">
        <v>6906</v>
      </c>
      <c r="BN545">
        <v>10</v>
      </c>
      <c r="BT545">
        <v>5</v>
      </c>
      <c r="BV545" s="8">
        <v>5</v>
      </c>
      <c r="BW545" s="8">
        <v>5</v>
      </c>
      <c r="BX545" s="8">
        <v>1</v>
      </c>
      <c r="BY545" s="8" t="s">
        <v>6907</v>
      </c>
    </row>
    <row r="546" spans="1:110" x14ac:dyDescent="0.25">
      <c r="A546" t="s">
        <v>8307</v>
      </c>
      <c r="C546" t="s">
        <v>8304</v>
      </c>
      <c r="J546" t="s">
        <v>6905</v>
      </c>
      <c r="K546" s="5" t="s">
        <v>6907</v>
      </c>
      <c r="L546" s="5" t="s">
        <v>7532</v>
      </c>
      <c r="W546" s="5">
        <v>1</v>
      </c>
      <c r="BN546">
        <v>10</v>
      </c>
      <c r="BT546">
        <v>0.2</v>
      </c>
      <c r="BV546" s="8">
        <v>0</v>
      </c>
      <c r="BW546" s="8">
        <v>5</v>
      </c>
      <c r="BX546" s="8">
        <v>1</v>
      </c>
      <c r="BY546" s="8" t="s">
        <v>6907</v>
      </c>
    </row>
    <row r="547" spans="1:110" x14ac:dyDescent="0.25">
      <c r="A547" t="s">
        <v>8308</v>
      </c>
      <c r="C547" t="s">
        <v>7718</v>
      </c>
      <c r="K547" s="5" t="s">
        <v>6874</v>
      </c>
      <c r="L547" s="5" t="s">
        <v>6892</v>
      </c>
      <c r="CL547" t="s">
        <v>8309</v>
      </c>
    </row>
    <row r="549" spans="1:110" s="4" customFormat="1" x14ac:dyDescent="0.25">
      <c r="A549" s="4" t="s">
        <v>8310</v>
      </c>
      <c r="K549" s="19"/>
      <c r="L549" s="19"/>
      <c r="M549" s="19"/>
      <c r="N549" s="19"/>
      <c r="O549" s="19"/>
      <c r="P549" s="19"/>
      <c r="Q549" s="19"/>
      <c r="R549" s="19"/>
      <c r="S549" s="19"/>
      <c r="T549" s="19"/>
      <c r="U549" s="19"/>
      <c r="V549" s="19"/>
      <c r="W549" s="19"/>
      <c r="X549" s="19"/>
      <c r="AR549"/>
      <c r="AS549"/>
      <c r="AW549" s="6"/>
      <c r="BO549" s="7"/>
      <c r="BP549" s="7"/>
      <c r="BV549" s="20"/>
      <c r="BW549" s="20"/>
      <c r="BX549" s="20"/>
      <c r="BY549" s="20"/>
      <c r="BZ549" s="20"/>
      <c r="CA549" s="20"/>
      <c r="CO549" s="9"/>
    </row>
    <row r="550" spans="1:110" x14ac:dyDescent="0.25">
      <c r="A550" t="s">
        <v>228</v>
      </c>
      <c r="C550" t="s">
        <v>4959</v>
      </c>
      <c r="AC550">
        <v>1</v>
      </c>
      <c r="AN550">
        <v>1</v>
      </c>
      <c r="AO550" t="s">
        <v>6972</v>
      </c>
      <c r="AV550">
        <v>0</v>
      </c>
      <c r="AX550" t="s">
        <v>6984</v>
      </c>
      <c r="AZ550">
        <v>1</v>
      </c>
      <c r="BD550">
        <v>1</v>
      </c>
      <c r="CB550" t="s">
        <v>134</v>
      </c>
      <c r="CH550" t="s">
        <v>6977</v>
      </c>
    </row>
    <row r="551" spans="1:110" x14ac:dyDescent="0.25">
      <c r="A551" t="s">
        <v>1132</v>
      </c>
      <c r="C551" t="s">
        <v>4959</v>
      </c>
      <c r="AC551">
        <v>1</v>
      </c>
      <c r="AN551">
        <v>1</v>
      </c>
      <c r="AO551" t="s">
        <v>6972</v>
      </c>
      <c r="AV551">
        <v>0</v>
      </c>
      <c r="AX551" t="s">
        <v>6997</v>
      </c>
      <c r="AZ551">
        <v>1</v>
      </c>
      <c r="BD551">
        <v>1</v>
      </c>
      <c r="CB551" t="s">
        <v>134</v>
      </c>
      <c r="CH551" t="s">
        <v>6977</v>
      </c>
    </row>
    <row r="552" spans="1:110" x14ac:dyDescent="0.25">
      <c r="AN552">
        <v>1</v>
      </c>
    </row>
    <row r="553" spans="1:110" x14ac:dyDescent="0.25">
      <c r="A553" t="s">
        <v>278</v>
      </c>
      <c r="C553" t="s">
        <v>6888</v>
      </c>
      <c r="AC553">
        <v>1</v>
      </c>
      <c r="AN553">
        <v>1</v>
      </c>
      <c r="AO553" t="s">
        <v>6972</v>
      </c>
      <c r="AP553" t="s">
        <v>8311</v>
      </c>
      <c r="AV553">
        <v>2</v>
      </c>
      <c r="AX553" t="s">
        <v>6984</v>
      </c>
      <c r="AZ553">
        <v>1</v>
      </c>
      <c r="BD553">
        <v>1</v>
      </c>
      <c r="BS553">
        <v>2</v>
      </c>
      <c r="CB553" t="s">
        <v>134</v>
      </c>
      <c r="CH553" t="s">
        <v>6977</v>
      </c>
      <c r="CI553" t="s">
        <v>8285</v>
      </c>
    </row>
    <row r="554" spans="1:110" x14ac:dyDescent="0.25">
      <c r="A554" t="s">
        <v>8312</v>
      </c>
      <c r="C554" t="s">
        <v>4959</v>
      </c>
      <c r="AC554">
        <v>1</v>
      </c>
      <c r="AN554">
        <v>1</v>
      </c>
      <c r="AO554" t="s">
        <v>6972</v>
      </c>
      <c r="AV554">
        <v>0</v>
      </c>
      <c r="AX554" t="s">
        <v>6984</v>
      </c>
      <c r="AZ554">
        <v>1</v>
      </c>
      <c r="BD554">
        <v>1</v>
      </c>
      <c r="BS554">
        <v>1</v>
      </c>
      <c r="CB554" t="s">
        <v>134</v>
      </c>
      <c r="CH554" t="s">
        <v>6977</v>
      </c>
    </row>
    <row r="555" spans="1:110" x14ac:dyDescent="0.25">
      <c r="A555" t="s">
        <v>216</v>
      </c>
      <c r="C555" t="s">
        <v>4959</v>
      </c>
      <c r="AC555">
        <v>1</v>
      </c>
      <c r="AN555">
        <v>1</v>
      </c>
      <c r="AO555" t="s">
        <v>6972</v>
      </c>
      <c r="AV555">
        <v>0</v>
      </c>
      <c r="AX555" t="s">
        <v>6984</v>
      </c>
      <c r="AZ555">
        <v>1</v>
      </c>
      <c r="BD555">
        <v>1</v>
      </c>
      <c r="BS555">
        <v>1</v>
      </c>
      <c r="CB555" t="s">
        <v>134</v>
      </c>
      <c r="CH555" t="s">
        <v>6977</v>
      </c>
    </row>
    <row r="556" spans="1:110" x14ac:dyDescent="0.25">
      <c r="A556" t="s">
        <v>8313</v>
      </c>
      <c r="C556" t="s">
        <v>6888</v>
      </c>
      <c r="K556" s="5" t="s">
        <v>6874</v>
      </c>
      <c r="L556" s="5" t="s">
        <v>6980</v>
      </c>
      <c r="AC556">
        <v>2</v>
      </c>
      <c r="AG556" t="s">
        <v>6876</v>
      </c>
      <c r="AN556">
        <v>1</v>
      </c>
      <c r="AY556" s="5"/>
      <c r="BD556">
        <v>1</v>
      </c>
      <c r="BV556"/>
      <c r="BW556"/>
      <c r="BX556"/>
      <c r="BY556"/>
      <c r="BZ556"/>
      <c r="CA556"/>
      <c r="CB556" s="5"/>
      <c r="CC556" s="5"/>
      <c r="CD556" s="5"/>
      <c r="CE556" s="5"/>
      <c r="CF556" s="5"/>
      <c r="CG556" s="5"/>
      <c r="CI556" s="5"/>
      <c r="CJ556" s="5"/>
      <c r="CK556" s="5"/>
      <c r="CL556" s="5"/>
      <c r="CM556" s="5"/>
      <c r="CN556" s="5"/>
      <c r="CO556" s="9" t="s">
        <v>7624</v>
      </c>
      <c r="CS556">
        <v>99999</v>
      </c>
    </row>
    <row r="557" spans="1:110" x14ac:dyDescent="0.25">
      <c r="A557" t="s">
        <v>309</v>
      </c>
      <c r="C557" t="s">
        <v>6888</v>
      </c>
      <c r="K557" s="5" t="s">
        <v>6874</v>
      </c>
      <c r="L557" s="5" t="s">
        <v>6980</v>
      </c>
      <c r="AC557">
        <v>2</v>
      </c>
      <c r="AG557" t="s">
        <v>6876</v>
      </c>
      <c r="AN557">
        <v>1</v>
      </c>
      <c r="AY557" s="5"/>
      <c r="BD557">
        <v>1</v>
      </c>
      <c r="BV557"/>
      <c r="BW557"/>
      <c r="BX557"/>
      <c r="BY557"/>
      <c r="BZ557"/>
      <c r="CA557"/>
      <c r="CB557" s="5"/>
      <c r="CC557" s="5"/>
      <c r="CD557" s="5"/>
      <c r="CE557" s="5"/>
      <c r="CF557" s="5"/>
      <c r="CG557" s="5"/>
      <c r="CI557" s="5"/>
      <c r="CJ557" s="5"/>
      <c r="CK557" s="5"/>
      <c r="CL557" s="5"/>
      <c r="CM557" s="5"/>
      <c r="CN557" s="5"/>
      <c r="CO557" s="9" t="s">
        <v>8314</v>
      </c>
      <c r="CS557">
        <v>99999</v>
      </c>
    </row>
    <row r="558" spans="1:110" x14ac:dyDescent="0.25">
      <c r="A558" t="s">
        <v>8315</v>
      </c>
      <c r="C558" t="s">
        <v>6888</v>
      </c>
      <c r="K558" s="5" t="s">
        <v>6874</v>
      </c>
      <c r="L558" s="5" t="s">
        <v>6980</v>
      </c>
      <c r="AC558">
        <v>1</v>
      </c>
      <c r="AG558" t="s">
        <v>6876</v>
      </c>
      <c r="AN558">
        <v>1</v>
      </c>
      <c r="AY558" s="5"/>
      <c r="BD558">
        <v>1</v>
      </c>
      <c r="BV558"/>
      <c r="BW558"/>
      <c r="BX558"/>
      <c r="BY558"/>
      <c r="BZ558"/>
      <c r="CA558"/>
      <c r="CB558" s="5"/>
      <c r="CC558" s="5"/>
      <c r="CD558" s="5"/>
      <c r="CE558" s="5"/>
      <c r="CF558" s="5"/>
      <c r="CG558" s="5"/>
      <c r="CI558" s="5"/>
      <c r="CJ558" s="5"/>
      <c r="CK558" s="5"/>
      <c r="CL558" s="5"/>
      <c r="CM558" s="5"/>
      <c r="CN558" s="5"/>
      <c r="CO558" s="9" t="s">
        <v>8316</v>
      </c>
      <c r="CS558">
        <v>99999</v>
      </c>
    </row>
    <row r="559" spans="1:110" x14ac:dyDescent="0.25">
      <c r="A559" t="s">
        <v>8317</v>
      </c>
      <c r="C559" t="s">
        <v>6888</v>
      </c>
      <c r="K559" s="5" t="s">
        <v>6874</v>
      </c>
      <c r="L559" s="5" t="s">
        <v>7987</v>
      </c>
      <c r="X559" s="5">
        <v>1</v>
      </c>
      <c r="AB559">
        <v>1</v>
      </c>
      <c r="AC559">
        <v>1</v>
      </c>
      <c r="AN559">
        <v>1</v>
      </c>
      <c r="AO559" t="s">
        <v>6972</v>
      </c>
      <c r="AV559">
        <v>1.65</v>
      </c>
      <c r="AX559" t="s">
        <v>6984</v>
      </c>
      <c r="AZ559">
        <v>2</v>
      </c>
      <c r="BD559">
        <v>99</v>
      </c>
      <c r="BS559">
        <v>0.2</v>
      </c>
      <c r="DF559">
        <v>1</v>
      </c>
    </row>
    <row r="560" spans="1:110" x14ac:dyDescent="0.25">
      <c r="AN560">
        <v>1</v>
      </c>
    </row>
    <row r="561" spans="1:104" x14ac:dyDescent="0.25">
      <c r="A561" t="s">
        <v>270</v>
      </c>
      <c r="C561" t="s">
        <v>6888</v>
      </c>
      <c r="AC561">
        <v>1</v>
      </c>
      <c r="AN561">
        <v>1</v>
      </c>
      <c r="AO561" t="s">
        <v>6972</v>
      </c>
      <c r="AP561" t="s">
        <v>8311</v>
      </c>
      <c r="AV561">
        <v>7</v>
      </c>
      <c r="AX561" t="s">
        <v>6984</v>
      </c>
      <c r="AZ561">
        <v>1</v>
      </c>
      <c r="BD561">
        <v>1</v>
      </c>
      <c r="BJ561">
        <v>1.4</v>
      </c>
      <c r="BK561">
        <v>1</v>
      </c>
      <c r="BL561">
        <v>1</v>
      </c>
      <c r="BS561">
        <v>4.5</v>
      </c>
      <c r="CB561" t="s">
        <v>134</v>
      </c>
      <c r="CH561" t="s">
        <v>6977</v>
      </c>
      <c r="CI561" t="s">
        <v>8318</v>
      </c>
      <c r="CJ561" t="s">
        <v>8319</v>
      </c>
    </row>
    <row r="562" spans="1:104" x14ac:dyDescent="0.25">
      <c r="AN562">
        <v>1</v>
      </c>
    </row>
    <row r="563" spans="1:104" x14ac:dyDescent="0.25">
      <c r="AN563">
        <v>1</v>
      </c>
    </row>
    <row r="564" spans="1:104" x14ac:dyDescent="0.25">
      <c r="AN564">
        <v>1</v>
      </c>
    </row>
    <row r="565" spans="1:104" x14ac:dyDescent="0.25">
      <c r="A565" t="s">
        <v>8320</v>
      </c>
      <c r="C565" t="s">
        <v>6888</v>
      </c>
      <c r="Z565">
        <v>1</v>
      </c>
      <c r="AC565">
        <v>1</v>
      </c>
      <c r="AN565">
        <v>1</v>
      </c>
      <c r="AO565" t="s">
        <v>6972</v>
      </c>
      <c r="AP565" t="s">
        <v>8311</v>
      </c>
      <c r="AV565">
        <v>2</v>
      </c>
      <c r="AX565" t="s">
        <v>6984</v>
      </c>
      <c r="AZ565">
        <v>1</v>
      </c>
      <c r="BD565">
        <v>1</v>
      </c>
      <c r="BS565">
        <v>3.7</v>
      </c>
      <c r="CB565" t="s">
        <v>134</v>
      </c>
      <c r="CH565" t="s">
        <v>6977</v>
      </c>
      <c r="CI565" t="s">
        <v>8285</v>
      </c>
      <c r="CJ565" t="s">
        <v>8321</v>
      </c>
      <c r="CK565" t="s">
        <v>8309</v>
      </c>
      <c r="CO565" s="9" t="s">
        <v>8322</v>
      </c>
      <c r="CP565">
        <v>-30</v>
      </c>
      <c r="CS565">
        <v>5</v>
      </c>
    </row>
    <row r="566" spans="1:104" x14ac:dyDescent="0.25">
      <c r="A566" t="s">
        <v>8323</v>
      </c>
      <c r="C566" t="s">
        <v>4959</v>
      </c>
      <c r="AC566">
        <v>1</v>
      </c>
      <c r="AN566">
        <v>1</v>
      </c>
      <c r="AO566" t="s">
        <v>6972</v>
      </c>
      <c r="AV566">
        <v>0</v>
      </c>
      <c r="AX566" t="s">
        <v>6984</v>
      </c>
      <c r="AZ566">
        <v>1</v>
      </c>
      <c r="BD566">
        <v>1</v>
      </c>
      <c r="BS566">
        <v>3.7</v>
      </c>
      <c r="CB566" t="s">
        <v>134</v>
      </c>
      <c r="CH566" t="s">
        <v>6977</v>
      </c>
      <c r="CI566" t="s">
        <v>8285</v>
      </c>
      <c r="CK566" t="s">
        <v>8309</v>
      </c>
      <c r="CO566" s="9" t="s">
        <v>8322</v>
      </c>
      <c r="CP566">
        <v>-30</v>
      </c>
      <c r="CS566">
        <v>5</v>
      </c>
    </row>
    <row r="567" spans="1:104" x14ac:dyDescent="0.25">
      <c r="A567" t="s">
        <v>8324</v>
      </c>
      <c r="C567" t="s">
        <v>6888</v>
      </c>
      <c r="J567" t="s">
        <v>6905</v>
      </c>
      <c r="P567" s="5" t="s">
        <v>8325</v>
      </c>
      <c r="Y567">
        <v>1</v>
      </c>
      <c r="AC567">
        <v>1</v>
      </c>
      <c r="AN567">
        <v>1</v>
      </c>
      <c r="AO567" t="s">
        <v>6972</v>
      </c>
      <c r="AV567">
        <v>2</v>
      </c>
      <c r="AX567" t="s">
        <v>6984</v>
      </c>
      <c r="AZ567">
        <v>1</v>
      </c>
      <c r="BD567">
        <v>99</v>
      </c>
      <c r="BS567">
        <v>3.7</v>
      </c>
      <c r="BT567">
        <v>0.2</v>
      </c>
      <c r="BV567" s="8">
        <v>0</v>
      </c>
      <c r="BW567" s="8">
        <v>10.5</v>
      </c>
      <c r="BX567" s="8">
        <v>1</v>
      </c>
      <c r="BY567" s="8" t="s">
        <v>6907</v>
      </c>
      <c r="CB567" t="s">
        <v>134</v>
      </c>
      <c r="CH567" t="s">
        <v>6977</v>
      </c>
      <c r="CK567" t="s">
        <v>8309</v>
      </c>
      <c r="CO567" s="9" t="s">
        <v>8322</v>
      </c>
      <c r="CP567">
        <v>-30</v>
      </c>
      <c r="CS567">
        <v>10</v>
      </c>
      <c r="CX567" t="s">
        <v>8286</v>
      </c>
    </row>
    <row r="568" spans="1:104" x14ac:dyDescent="0.25">
      <c r="A568" t="s">
        <v>8326</v>
      </c>
      <c r="C568" t="s">
        <v>8327</v>
      </c>
      <c r="J568" t="s">
        <v>6905</v>
      </c>
      <c r="P568" s="5" t="s">
        <v>8325</v>
      </c>
      <c r="AN568">
        <v>1</v>
      </c>
      <c r="BD568">
        <v>2</v>
      </c>
      <c r="BS568">
        <v>3.7</v>
      </c>
      <c r="BT568">
        <v>0.2</v>
      </c>
      <c r="BV568" s="8">
        <v>0</v>
      </c>
      <c r="BW568" s="8">
        <v>21</v>
      </c>
      <c r="BX568" s="8">
        <v>1</v>
      </c>
      <c r="BY568" s="8" t="s">
        <v>6907</v>
      </c>
      <c r="CB568" t="s">
        <v>8328</v>
      </c>
      <c r="CH568" t="s">
        <v>6977</v>
      </c>
      <c r="CX568" t="s">
        <v>8286</v>
      </c>
      <c r="CZ568" t="s">
        <v>8329</v>
      </c>
    </row>
    <row r="569" spans="1:104" x14ac:dyDescent="0.25">
      <c r="A569" t="s">
        <v>8330</v>
      </c>
      <c r="C569" t="s">
        <v>7468</v>
      </c>
      <c r="K569" s="5" t="s">
        <v>6874</v>
      </c>
      <c r="L569" s="5" t="s">
        <v>7469</v>
      </c>
      <c r="N569" s="5">
        <v>1</v>
      </c>
      <c r="AC569">
        <v>2</v>
      </c>
      <c r="AG569" t="s">
        <v>6876</v>
      </c>
      <c r="AH569">
        <v>1</v>
      </c>
      <c r="AN569">
        <v>1</v>
      </c>
      <c r="AY569">
        <v>1</v>
      </c>
      <c r="BD569">
        <v>1</v>
      </c>
      <c r="BP569" s="7" t="s">
        <v>8331</v>
      </c>
      <c r="BS569">
        <v>10</v>
      </c>
      <c r="CV569" t="s">
        <v>8332</v>
      </c>
    </row>
    <row r="570" spans="1:104" x14ac:dyDescent="0.25">
      <c r="A570" t="s">
        <v>8333</v>
      </c>
      <c r="C570" t="s">
        <v>7468</v>
      </c>
      <c r="K570" s="5" t="s">
        <v>6874</v>
      </c>
      <c r="L570" s="5" t="s">
        <v>7469</v>
      </c>
      <c r="N570" s="5">
        <v>1</v>
      </c>
      <c r="AC570">
        <v>2</v>
      </c>
      <c r="AG570" t="s">
        <v>6876</v>
      </c>
      <c r="AH570">
        <v>1</v>
      </c>
      <c r="AN570">
        <v>1</v>
      </c>
      <c r="AY570">
        <v>1</v>
      </c>
      <c r="BD570">
        <v>1</v>
      </c>
      <c r="BP570" s="7" t="s">
        <v>8334</v>
      </c>
      <c r="BS570">
        <v>10</v>
      </c>
      <c r="CV570" t="s">
        <v>8332</v>
      </c>
    </row>
    <row r="571" spans="1:104" x14ac:dyDescent="0.25">
      <c r="A571" t="s">
        <v>8335</v>
      </c>
      <c r="C571" t="s">
        <v>6888</v>
      </c>
      <c r="K571" s="5" t="s">
        <v>6874</v>
      </c>
      <c r="Y571">
        <v>1</v>
      </c>
      <c r="AB571">
        <v>1</v>
      </c>
      <c r="AC571">
        <v>2</v>
      </c>
      <c r="AG571" t="s">
        <v>6876</v>
      </c>
      <c r="AN571">
        <v>1</v>
      </c>
      <c r="BD571">
        <v>1</v>
      </c>
      <c r="BS571">
        <v>10</v>
      </c>
      <c r="CB571" t="s">
        <v>7920</v>
      </c>
      <c r="CH571" t="s">
        <v>7394</v>
      </c>
    </row>
    <row r="572" spans="1:104" x14ac:dyDescent="0.25">
      <c r="A572" t="s">
        <v>8336</v>
      </c>
      <c r="C572" t="s">
        <v>6888</v>
      </c>
      <c r="K572" s="5" t="s">
        <v>6874</v>
      </c>
      <c r="AC572">
        <v>2</v>
      </c>
      <c r="AG572" t="s">
        <v>6876</v>
      </c>
      <c r="AN572">
        <v>1</v>
      </c>
      <c r="AO572" t="s">
        <v>6972</v>
      </c>
      <c r="BD572">
        <v>1</v>
      </c>
      <c r="CO572" s="9" t="s">
        <v>8325</v>
      </c>
      <c r="CS572">
        <v>99999</v>
      </c>
    </row>
    <row r="573" spans="1:104" x14ac:dyDescent="0.25">
      <c r="A573" t="s">
        <v>8337</v>
      </c>
      <c r="C573" t="s">
        <v>6888</v>
      </c>
      <c r="K573" s="5" t="s">
        <v>6874</v>
      </c>
      <c r="AC573">
        <v>2</v>
      </c>
      <c r="AG573" t="s">
        <v>6876</v>
      </c>
      <c r="AN573">
        <v>1</v>
      </c>
      <c r="AO573" t="s">
        <v>6972</v>
      </c>
      <c r="BD573">
        <v>1</v>
      </c>
      <c r="CO573" s="9" t="s">
        <v>8338</v>
      </c>
      <c r="CS573">
        <v>10</v>
      </c>
    </row>
    <row r="574" spans="1:104" x14ac:dyDescent="0.25">
      <c r="A574" t="s">
        <v>8339</v>
      </c>
      <c r="C574" t="s">
        <v>6888</v>
      </c>
      <c r="K574" s="5" t="s">
        <v>6874</v>
      </c>
      <c r="AC574">
        <v>2</v>
      </c>
      <c r="AG574" t="s">
        <v>6876</v>
      </c>
      <c r="AN574">
        <v>1</v>
      </c>
      <c r="AO574" t="s">
        <v>6972</v>
      </c>
      <c r="BD574">
        <v>1</v>
      </c>
      <c r="CO574" s="9" t="s">
        <v>7101</v>
      </c>
      <c r="CP574">
        <v>0.5</v>
      </c>
      <c r="CS574">
        <v>99999</v>
      </c>
    </row>
    <row r="575" spans="1:104" x14ac:dyDescent="0.25">
      <c r="A575" t="s">
        <v>8340</v>
      </c>
      <c r="C575" t="s">
        <v>6888</v>
      </c>
      <c r="K575" s="5" t="s">
        <v>6874</v>
      </c>
      <c r="AC575">
        <v>2</v>
      </c>
      <c r="AG575" t="s">
        <v>6876</v>
      </c>
      <c r="AN575">
        <v>1</v>
      </c>
      <c r="AO575" t="s">
        <v>6972</v>
      </c>
      <c r="BD575">
        <v>1</v>
      </c>
      <c r="CO575" s="9" t="s">
        <v>8341</v>
      </c>
      <c r="CS575">
        <v>15</v>
      </c>
    </row>
    <row r="576" spans="1:104" x14ac:dyDescent="0.25">
      <c r="A576" t="s">
        <v>8342</v>
      </c>
      <c r="C576" t="s">
        <v>8343</v>
      </c>
      <c r="K576" s="5" t="s">
        <v>6874</v>
      </c>
      <c r="AC576">
        <v>2</v>
      </c>
      <c r="AG576" t="s">
        <v>6876</v>
      </c>
      <c r="AN576">
        <v>1</v>
      </c>
      <c r="AY576" s="5"/>
      <c r="BD576">
        <v>1</v>
      </c>
      <c r="BV576"/>
      <c r="BW576"/>
      <c r="BX576"/>
      <c r="BY576"/>
      <c r="BZ576"/>
      <c r="CA576"/>
      <c r="CB576" s="5"/>
      <c r="CC576" s="5"/>
      <c r="CD576" s="5"/>
      <c r="CE576" s="5"/>
      <c r="CF576" s="5"/>
      <c r="CG576" s="5"/>
      <c r="CI576" s="5"/>
      <c r="CJ576" s="5"/>
      <c r="CK576" s="5"/>
      <c r="CL576" s="5"/>
      <c r="CM576" s="5"/>
      <c r="CN576" s="5"/>
      <c r="CV576" t="s">
        <v>8344</v>
      </c>
    </row>
    <row r="577" spans="1:110" x14ac:dyDescent="0.25">
      <c r="A577" t="s">
        <v>8345</v>
      </c>
      <c r="C577" t="s">
        <v>6888</v>
      </c>
      <c r="J577" t="s">
        <v>6905</v>
      </c>
      <c r="O577" s="5" t="s">
        <v>8325</v>
      </c>
      <c r="Y577">
        <v>1</v>
      </c>
      <c r="AC577">
        <v>1</v>
      </c>
      <c r="AN577">
        <v>1</v>
      </c>
      <c r="AO577" t="s">
        <v>6972</v>
      </c>
      <c r="AV577">
        <v>3.3</v>
      </c>
      <c r="AX577" t="s">
        <v>6984</v>
      </c>
      <c r="AZ577">
        <v>1</v>
      </c>
      <c r="BD577">
        <v>99</v>
      </c>
      <c r="BS577">
        <v>3.7</v>
      </c>
      <c r="BT577">
        <v>0.2</v>
      </c>
      <c r="BV577" s="8">
        <v>0</v>
      </c>
      <c r="BW577" s="8">
        <v>10.5</v>
      </c>
      <c r="BX577" s="8">
        <v>1</v>
      </c>
      <c r="BY577" s="8" t="s">
        <v>6907</v>
      </c>
      <c r="CB577" t="s">
        <v>8346</v>
      </c>
      <c r="CH577" t="s">
        <v>6977</v>
      </c>
      <c r="CK577" t="s">
        <v>8309</v>
      </c>
      <c r="CO577" s="9" t="s">
        <v>8322</v>
      </c>
      <c r="CP577">
        <v>-30</v>
      </c>
      <c r="CS577">
        <v>10</v>
      </c>
    </row>
    <row r="578" spans="1:110" x14ac:dyDescent="0.25">
      <c r="A578" t="s">
        <v>8347</v>
      </c>
      <c r="C578" t="s">
        <v>8327</v>
      </c>
      <c r="J578" t="s">
        <v>6905</v>
      </c>
      <c r="O578" s="5" t="s">
        <v>8325</v>
      </c>
      <c r="AN578">
        <v>1</v>
      </c>
      <c r="BD578">
        <v>3</v>
      </c>
      <c r="BS578">
        <v>3.7</v>
      </c>
      <c r="BT578">
        <v>0.2</v>
      </c>
      <c r="BV578" s="8">
        <v>0</v>
      </c>
      <c r="BW578" s="8">
        <v>21</v>
      </c>
      <c r="BX578" s="8">
        <v>1</v>
      </c>
      <c r="BY578" s="8" t="s">
        <v>6907</v>
      </c>
      <c r="CB578" t="s">
        <v>8328</v>
      </c>
      <c r="CH578" t="s">
        <v>6977</v>
      </c>
      <c r="CX578" t="s">
        <v>8286</v>
      </c>
      <c r="CZ578" t="s">
        <v>8329</v>
      </c>
    </row>
    <row r="579" spans="1:110" x14ac:dyDescent="0.25">
      <c r="AN579">
        <v>1</v>
      </c>
    </row>
    <row r="580" spans="1:110" x14ac:dyDescent="0.25">
      <c r="A580" t="s">
        <v>8348</v>
      </c>
      <c r="C580" t="s">
        <v>8349</v>
      </c>
      <c r="J580" t="s">
        <v>6905</v>
      </c>
      <c r="K580" s="5" t="s">
        <v>6907</v>
      </c>
      <c r="AB580">
        <v>1</v>
      </c>
      <c r="AC580">
        <v>2</v>
      </c>
      <c r="AG580" t="s">
        <v>6876</v>
      </c>
      <c r="AN580">
        <v>1</v>
      </c>
      <c r="BD580">
        <v>1</v>
      </c>
      <c r="BS580">
        <v>0.5</v>
      </c>
      <c r="BT580">
        <v>0.1</v>
      </c>
      <c r="BV580" s="8">
        <v>0</v>
      </c>
      <c r="BW580" s="8">
        <v>15</v>
      </c>
      <c r="BX580" s="8">
        <v>1</v>
      </c>
      <c r="BY580" s="8" t="s">
        <v>6907</v>
      </c>
      <c r="CB580" t="s">
        <v>8350</v>
      </c>
      <c r="CH580" t="s">
        <v>7394</v>
      </c>
      <c r="CO580" s="9" t="s">
        <v>8351</v>
      </c>
      <c r="CS580">
        <v>0.4</v>
      </c>
      <c r="CV580" t="s">
        <v>8352</v>
      </c>
    </row>
    <row r="581" spans="1:110" x14ac:dyDescent="0.25">
      <c r="A581" t="s">
        <v>8353</v>
      </c>
      <c r="C581" t="s">
        <v>6888</v>
      </c>
      <c r="AC581">
        <v>1</v>
      </c>
      <c r="AN581">
        <v>1</v>
      </c>
      <c r="AO581" t="s">
        <v>6972</v>
      </c>
      <c r="AP581" t="s">
        <v>8311</v>
      </c>
      <c r="AV581">
        <v>3.5</v>
      </c>
      <c r="AX581" t="s">
        <v>6984</v>
      </c>
      <c r="AZ581">
        <v>1</v>
      </c>
      <c r="BD581">
        <v>1</v>
      </c>
      <c r="BS581">
        <v>4</v>
      </c>
      <c r="CB581" t="s">
        <v>134</v>
      </c>
      <c r="CH581" t="s">
        <v>6977</v>
      </c>
      <c r="CI581" t="s">
        <v>6991</v>
      </c>
      <c r="CJ581" t="s">
        <v>8354</v>
      </c>
    </row>
    <row r="582" spans="1:110" x14ac:dyDescent="0.25">
      <c r="A582" t="s">
        <v>8355</v>
      </c>
      <c r="C582" t="s">
        <v>6888</v>
      </c>
      <c r="J582" t="s">
        <v>6905</v>
      </c>
      <c r="AC582">
        <v>1</v>
      </c>
      <c r="AN582">
        <v>1</v>
      </c>
      <c r="AO582" t="s">
        <v>6972</v>
      </c>
      <c r="AV582">
        <v>3.5</v>
      </c>
      <c r="AX582" t="s">
        <v>6984</v>
      </c>
      <c r="AZ582">
        <v>1</v>
      </c>
      <c r="BD582">
        <v>1</v>
      </c>
      <c r="BS582">
        <v>4</v>
      </c>
      <c r="BT582">
        <v>0.1</v>
      </c>
      <c r="BV582" s="8">
        <v>0</v>
      </c>
      <c r="BW582" s="8">
        <v>2</v>
      </c>
      <c r="BX582" s="8">
        <v>1</v>
      </c>
      <c r="BY582" s="8" t="s">
        <v>7061</v>
      </c>
      <c r="CB582" t="s">
        <v>134</v>
      </c>
      <c r="CH582" t="s">
        <v>6977</v>
      </c>
      <c r="CI582" t="s">
        <v>6991</v>
      </c>
      <c r="CO582" s="9" t="s">
        <v>6878</v>
      </c>
      <c r="CS582">
        <v>5</v>
      </c>
    </row>
    <row r="583" spans="1:110" x14ac:dyDescent="0.25">
      <c r="A583" t="s">
        <v>8356</v>
      </c>
      <c r="C583" t="s">
        <v>4959</v>
      </c>
      <c r="J583" t="s">
        <v>6905</v>
      </c>
      <c r="AC583">
        <v>1</v>
      </c>
      <c r="AN583">
        <v>1</v>
      </c>
      <c r="AO583" t="s">
        <v>6972</v>
      </c>
      <c r="AX583" t="s">
        <v>6984</v>
      </c>
      <c r="AZ583">
        <v>1</v>
      </c>
      <c r="BD583">
        <v>1</v>
      </c>
      <c r="BT583">
        <v>0.1</v>
      </c>
      <c r="BV583" s="8">
        <v>0</v>
      </c>
      <c r="BW583" s="8">
        <v>2</v>
      </c>
      <c r="BX583" s="8">
        <v>1</v>
      </c>
      <c r="BY583" s="8" t="s">
        <v>7061</v>
      </c>
      <c r="CB583" t="s">
        <v>134</v>
      </c>
      <c r="CH583" t="s">
        <v>6977</v>
      </c>
      <c r="CO583" s="9" t="s">
        <v>6878</v>
      </c>
      <c r="CS583">
        <v>7</v>
      </c>
    </row>
    <row r="584" spans="1:110" x14ac:dyDescent="0.25">
      <c r="A584" t="s">
        <v>8357</v>
      </c>
      <c r="C584" t="s">
        <v>6888</v>
      </c>
      <c r="U584" s="5">
        <v>0.5</v>
      </c>
      <c r="AC584">
        <v>2</v>
      </c>
      <c r="AG584" t="s">
        <v>6876</v>
      </c>
      <c r="AN584">
        <v>1</v>
      </c>
      <c r="BD584">
        <v>1</v>
      </c>
      <c r="CO584" s="9" t="s">
        <v>6908</v>
      </c>
      <c r="CP584">
        <v>1</v>
      </c>
      <c r="CS584">
        <v>9999</v>
      </c>
    </row>
    <row r="585" spans="1:110" x14ac:dyDescent="0.25">
      <c r="A585" t="s">
        <v>8358</v>
      </c>
      <c r="C585" t="s">
        <v>6888</v>
      </c>
      <c r="U585" s="5">
        <v>0.5</v>
      </c>
      <c r="AC585">
        <v>2</v>
      </c>
      <c r="AG585" t="s">
        <v>6876</v>
      </c>
      <c r="AN585">
        <v>1</v>
      </c>
      <c r="BD585">
        <v>1</v>
      </c>
      <c r="CO585" s="9" t="s">
        <v>6908</v>
      </c>
      <c r="CP585">
        <v>1.8</v>
      </c>
      <c r="CS585">
        <v>9999</v>
      </c>
    </row>
    <row r="586" spans="1:110" x14ac:dyDescent="0.25">
      <c r="A586" t="s">
        <v>321</v>
      </c>
      <c r="C586" t="s">
        <v>6888</v>
      </c>
      <c r="AC586">
        <v>1</v>
      </c>
      <c r="AN586">
        <v>1</v>
      </c>
      <c r="AO586" t="s">
        <v>6972</v>
      </c>
      <c r="AP586" t="s">
        <v>8311</v>
      </c>
      <c r="AV586">
        <v>1.7</v>
      </c>
      <c r="AX586" t="s">
        <v>6984</v>
      </c>
      <c r="AZ586">
        <v>1</v>
      </c>
      <c r="BD586">
        <v>1</v>
      </c>
      <c r="BE586">
        <v>2</v>
      </c>
      <c r="BF586">
        <v>0.01</v>
      </c>
      <c r="BS586">
        <v>3</v>
      </c>
      <c r="CB586" t="s">
        <v>134</v>
      </c>
      <c r="CH586" t="s">
        <v>6977</v>
      </c>
      <c r="CI586" t="s">
        <v>6991</v>
      </c>
      <c r="CJ586" t="s">
        <v>8354</v>
      </c>
    </row>
    <row r="587" spans="1:110" x14ac:dyDescent="0.25">
      <c r="AN587">
        <v>1</v>
      </c>
    </row>
    <row r="588" spans="1:110" x14ac:dyDescent="0.25">
      <c r="A588" t="s">
        <v>900</v>
      </c>
      <c r="C588" t="s">
        <v>6888</v>
      </c>
      <c r="AC588">
        <v>1</v>
      </c>
      <c r="AN588">
        <v>1</v>
      </c>
      <c r="AO588" t="s">
        <v>6972</v>
      </c>
      <c r="AP588" t="s">
        <v>8311</v>
      </c>
      <c r="AV588">
        <v>1.8</v>
      </c>
      <c r="AX588" t="s">
        <v>6984</v>
      </c>
      <c r="AZ588">
        <v>1</v>
      </c>
      <c r="BD588">
        <v>1</v>
      </c>
      <c r="BS588">
        <v>3</v>
      </c>
      <c r="CB588" t="s">
        <v>134</v>
      </c>
      <c r="CH588" t="s">
        <v>6977</v>
      </c>
      <c r="CI588" t="s">
        <v>6991</v>
      </c>
      <c r="CO588" s="9" t="s">
        <v>8359</v>
      </c>
      <c r="CP588">
        <v>-10</v>
      </c>
      <c r="CS588">
        <v>99999</v>
      </c>
    </row>
    <row r="589" spans="1:110" x14ac:dyDescent="0.25">
      <c r="A589" t="s">
        <v>906</v>
      </c>
      <c r="C589" t="s">
        <v>6888</v>
      </c>
      <c r="AC589">
        <v>1</v>
      </c>
      <c r="AN589">
        <v>1</v>
      </c>
      <c r="AO589" t="s">
        <v>6972</v>
      </c>
      <c r="AP589" t="s">
        <v>8311</v>
      </c>
      <c r="AV589">
        <v>1.8</v>
      </c>
      <c r="AX589" t="s">
        <v>6984</v>
      </c>
      <c r="AZ589">
        <v>1</v>
      </c>
      <c r="BD589">
        <v>1</v>
      </c>
      <c r="BS589">
        <v>3</v>
      </c>
      <c r="CB589" t="s">
        <v>134</v>
      </c>
      <c r="CH589" t="s">
        <v>6977</v>
      </c>
      <c r="CI589" t="s">
        <v>6991</v>
      </c>
      <c r="CO589" s="9" t="s">
        <v>8359</v>
      </c>
      <c r="CP589">
        <v>-15</v>
      </c>
      <c r="CS589">
        <v>99999</v>
      </c>
    </row>
    <row r="590" spans="1:110" x14ac:dyDescent="0.25">
      <c r="A590" t="s">
        <v>8360</v>
      </c>
      <c r="C590" t="s">
        <v>6888</v>
      </c>
      <c r="K590" s="5" t="s">
        <v>6874</v>
      </c>
      <c r="L590" s="5" t="s">
        <v>7987</v>
      </c>
      <c r="X590" s="5">
        <v>1</v>
      </c>
      <c r="AB590">
        <v>1</v>
      </c>
      <c r="AC590">
        <v>1</v>
      </c>
      <c r="AN590">
        <v>1</v>
      </c>
      <c r="AO590" t="s">
        <v>6972</v>
      </c>
      <c r="AV590">
        <v>1.25</v>
      </c>
      <c r="AX590" t="s">
        <v>6984</v>
      </c>
      <c r="AZ590">
        <v>4</v>
      </c>
      <c r="BD590">
        <v>99</v>
      </c>
      <c r="BS590">
        <v>0.2</v>
      </c>
      <c r="DF590">
        <v>1</v>
      </c>
    </row>
    <row r="591" spans="1:110" x14ac:dyDescent="0.25">
      <c r="A591" t="s">
        <v>8361</v>
      </c>
      <c r="C591" t="s">
        <v>6888</v>
      </c>
      <c r="AC591">
        <v>1</v>
      </c>
      <c r="AN591">
        <v>1</v>
      </c>
      <c r="AO591" t="s">
        <v>6972</v>
      </c>
      <c r="AV591">
        <v>1.9</v>
      </c>
      <c r="AX591" t="s">
        <v>6984</v>
      </c>
      <c r="AZ591">
        <v>1</v>
      </c>
      <c r="BD591">
        <v>1</v>
      </c>
      <c r="CB591" t="s">
        <v>134</v>
      </c>
      <c r="CH591" t="s">
        <v>6977</v>
      </c>
      <c r="CI591" t="s">
        <v>6991</v>
      </c>
    </row>
    <row r="592" spans="1:110" x14ac:dyDescent="0.25">
      <c r="A592" t="s">
        <v>946</v>
      </c>
      <c r="C592" t="s">
        <v>6888</v>
      </c>
      <c r="AC592">
        <v>1</v>
      </c>
      <c r="AN592">
        <v>1</v>
      </c>
      <c r="AO592" t="s">
        <v>6972</v>
      </c>
      <c r="AP592" t="s">
        <v>8311</v>
      </c>
      <c r="AV592">
        <v>1.8</v>
      </c>
      <c r="AX592" t="s">
        <v>6997</v>
      </c>
      <c r="AZ592">
        <v>1</v>
      </c>
      <c r="BD592">
        <v>1</v>
      </c>
      <c r="CB592" t="s">
        <v>134</v>
      </c>
      <c r="CH592" t="s">
        <v>6977</v>
      </c>
      <c r="CI592" t="s">
        <v>6998</v>
      </c>
      <c r="CJ592" t="s">
        <v>4249</v>
      </c>
    </row>
    <row r="593" spans="1:110" x14ac:dyDescent="0.25">
      <c r="A593" t="s">
        <v>951</v>
      </c>
      <c r="C593" t="s">
        <v>6888</v>
      </c>
      <c r="AC593">
        <v>1</v>
      </c>
      <c r="AN593">
        <v>1</v>
      </c>
      <c r="AO593" t="s">
        <v>6972</v>
      </c>
      <c r="AP593" t="s">
        <v>8311</v>
      </c>
      <c r="AV593">
        <v>2</v>
      </c>
      <c r="AX593" t="s">
        <v>6997</v>
      </c>
      <c r="AZ593">
        <v>1</v>
      </c>
      <c r="BD593">
        <v>1</v>
      </c>
      <c r="CB593" t="s">
        <v>134</v>
      </c>
      <c r="CH593" t="s">
        <v>6977</v>
      </c>
      <c r="CI593" t="s">
        <v>6998</v>
      </c>
      <c r="CJ593" t="s">
        <v>4249</v>
      </c>
    </row>
    <row r="594" spans="1:110" x14ac:dyDescent="0.25">
      <c r="A594" t="s">
        <v>956</v>
      </c>
      <c r="C594" t="s">
        <v>6888</v>
      </c>
      <c r="AC594">
        <v>1</v>
      </c>
      <c r="AN594">
        <v>1</v>
      </c>
      <c r="AO594" t="s">
        <v>6972</v>
      </c>
      <c r="AP594" t="s">
        <v>8311</v>
      </c>
      <c r="AV594">
        <v>2.2000000000000002</v>
      </c>
      <c r="AX594" t="s">
        <v>6997</v>
      </c>
      <c r="AZ594">
        <v>1</v>
      </c>
      <c r="BD594">
        <v>1</v>
      </c>
      <c r="BJ594">
        <v>1</v>
      </c>
      <c r="BK594">
        <v>1</v>
      </c>
      <c r="BL594">
        <v>1</v>
      </c>
      <c r="CB594" t="s">
        <v>134</v>
      </c>
      <c r="CH594" t="s">
        <v>6977</v>
      </c>
      <c r="CZ594" t="s">
        <v>7041</v>
      </c>
    </row>
    <row r="595" spans="1:110" x14ac:dyDescent="0.25">
      <c r="A595" t="s">
        <v>1026</v>
      </c>
      <c r="C595" t="s">
        <v>6888</v>
      </c>
      <c r="AC595">
        <v>1</v>
      </c>
      <c r="AN595">
        <v>1</v>
      </c>
      <c r="AO595" t="s">
        <v>6972</v>
      </c>
      <c r="AV595">
        <v>1.9</v>
      </c>
      <c r="AX595" t="s">
        <v>6984</v>
      </c>
      <c r="AZ595">
        <v>1</v>
      </c>
      <c r="BD595">
        <v>2</v>
      </c>
      <c r="CB595" t="s">
        <v>134</v>
      </c>
      <c r="CH595" t="s">
        <v>6977</v>
      </c>
    </row>
    <row r="596" spans="1:110" x14ac:dyDescent="0.25">
      <c r="A596" t="s">
        <v>1037</v>
      </c>
      <c r="C596" t="s">
        <v>6888</v>
      </c>
      <c r="AC596">
        <v>2</v>
      </c>
      <c r="AD596">
        <v>1</v>
      </c>
      <c r="AG596" t="s">
        <v>7400</v>
      </c>
      <c r="AN596">
        <v>1</v>
      </c>
      <c r="AV596">
        <v>2.5</v>
      </c>
      <c r="BD596">
        <v>99</v>
      </c>
      <c r="BS596">
        <v>0.1</v>
      </c>
      <c r="CO596" s="9" t="s">
        <v>1037</v>
      </c>
      <c r="CP596">
        <v>300</v>
      </c>
      <c r="CS596">
        <v>0.1</v>
      </c>
      <c r="DF596">
        <v>1</v>
      </c>
    </row>
    <row r="597" spans="1:110" x14ac:dyDescent="0.25">
      <c r="A597" t="s">
        <v>8362</v>
      </c>
      <c r="C597" t="s">
        <v>6888</v>
      </c>
      <c r="AC597">
        <v>1</v>
      </c>
      <c r="AN597">
        <v>1</v>
      </c>
      <c r="AV597">
        <v>3.3</v>
      </c>
      <c r="BD597">
        <v>99</v>
      </c>
      <c r="BS597">
        <v>0.1</v>
      </c>
      <c r="CO597" s="9" t="s">
        <v>6744</v>
      </c>
      <c r="CS597">
        <v>0.1</v>
      </c>
    </row>
    <row r="598" spans="1:110" x14ac:dyDescent="0.25">
      <c r="A598" t="s">
        <v>1072</v>
      </c>
      <c r="C598" t="s">
        <v>6888</v>
      </c>
      <c r="AC598">
        <v>1</v>
      </c>
      <c r="AN598">
        <v>1</v>
      </c>
      <c r="AO598" t="s">
        <v>6972</v>
      </c>
      <c r="AP598" t="s">
        <v>8311</v>
      </c>
      <c r="AV598">
        <v>2.2000000000000002</v>
      </c>
      <c r="AX598" t="s">
        <v>6984</v>
      </c>
      <c r="AZ598">
        <v>1</v>
      </c>
      <c r="BD598">
        <v>1</v>
      </c>
      <c r="CB598" t="s">
        <v>134</v>
      </c>
      <c r="CH598" t="s">
        <v>6977</v>
      </c>
      <c r="CI598" t="s">
        <v>6991</v>
      </c>
    </row>
    <row r="599" spans="1:110" x14ac:dyDescent="0.25">
      <c r="A599" t="s">
        <v>8363</v>
      </c>
      <c r="C599" t="s">
        <v>6888</v>
      </c>
      <c r="AC599">
        <v>1</v>
      </c>
      <c r="AN599">
        <v>1</v>
      </c>
      <c r="AO599" t="s">
        <v>6972</v>
      </c>
      <c r="AP599" t="s">
        <v>8311</v>
      </c>
      <c r="AV599">
        <v>2.5</v>
      </c>
      <c r="AX599" t="s">
        <v>6997</v>
      </c>
      <c r="AZ599">
        <v>1</v>
      </c>
      <c r="BD599">
        <v>1</v>
      </c>
      <c r="CB599" t="s">
        <v>134</v>
      </c>
      <c r="CH599" t="s">
        <v>6977</v>
      </c>
      <c r="CI599" t="s">
        <v>6998</v>
      </c>
      <c r="CJ599" t="s">
        <v>8364</v>
      </c>
    </row>
    <row r="600" spans="1:110" x14ac:dyDescent="0.25">
      <c r="A600" t="s">
        <v>8365</v>
      </c>
      <c r="C600" t="s">
        <v>6888</v>
      </c>
      <c r="N600" s="5">
        <v>1</v>
      </c>
      <c r="AC600">
        <v>1</v>
      </c>
      <c r="AN600">
        <v>1</v>
      </c>
      <c r="AO600" t="s">
        <v>6972</v>
      </c>
      <c r="AP600" t="s">
        <v>8311</v>
      </c>
      <c r="AV600">
        <v>3</v>
      </c>
      <c r="AX600" t="s">
        <v>6997</v>
      </c>
      <c r="AZ600">
        <v>0.35</v>
      </c>
      <c r="BD600">
        <v>1</v>
      </c>
      <c r="BS600">
        <v>1</v>
      </c>
      <c r="CB600" t="s">
        <v>796</v>
      </c>
      <c r="CF600" t="s">
        <v>796</v>
      </c>
      <c r="CH600" t="s">
        <v>6977</v>
      </c>
      <c r="CI600" t="s">
        <v>8366</v>
      </c>
      <c r="CJ600" t="s">
        <v>8364</v>
      </c>
      <c r="CO600" s="9" t="s">
        <v>6878</v>
      </c>
      <c r="CS600">
        <v>1.1000000000000001</v>
      </c>
    </row>
    <row r="601" spans="1:110" x14ac:dyDescent="0.25">
      <c r="A601" t="s">
        <v>1090</v>
      </c>
      <c r="C601" t="s">
        <v>6888</v>
      </c>
      <c r="AC601">
        <v>1</v>
      </c>
      <c r="AN601">
        <v>1</v>
      </c>
      <c r="AO601" t="s">
        <v>6972</v>
      </c>
      <c r="AV601">
        <v>2.35</v>
      </c>
      <c r="AX601" t="s">
        <v>6984</v>
      </c>
      <c r="AZ601">
        <v>1</v>
      </c>
      <c r="BD601">
        <v>2</v>
      </c>
      <c r="CB601" t="s">
        <v>134</v>
      </c>
      <c r="CH601" t="s">
        <v>6977</v>
      </c>
      <c r="CI601" t="s">
        <v>6991</v>
      </c>
    </row>
    <row r="602" spans="1:110" x14ac:dyDescent="0.25">
      <c r="A602" t="s">
        <v>1107</v>
      </c>
      <c r="C602" t="s">
        <v>6888</v>
      </c>
      <c r="AC602">
        <v>1</v>
      </c>
      <c r="AN602">
        <v>1</v>
      </c>
      <c r="AO602" t="s">
        <v>6972</v>
      </c>
      <c r="AP602" t="s">
        <v>8311</v>
      </c>
      <c r="AV602">
        <v>1.75</v>
      </c>
      <c r="AX602" t="s">
        <v>6984</v>
      </c>
      <c r="AZ602">
        <v>1</v>
      </c>
      <c r="BD602">
        <v>1</v>
      </c>
      <c r="CB602" t="s">
        <v>134</v>
      </c>
      <c r="CH602" t="s">
        <v>6977</v>
      </c>
      <c r="CI602" t="s">
        <v>8114</v>
      </c>
    </row>
    <row r="603" spans="1:110" x14ac:dyDescent="0.25">
      <c r="A603" t="s">
        <v>1184</v>
      </c>
      <c r="C603" t="s">
        <v>6888</v>
      </c>
      <c r="AC603">
        <v>1</v>
      </c>
      <c r="AN603">
        <v>1</v>
      </c>
      <c r="AO603" t="s">
        <v>6972</v>
      </c>
      <c r="AP603" t="s">
        <v>8311</v>
      </c>
      <c r="AV603">
        <v>2.4</v>
      </c>
      <c r="AX603" t="s">
        <v>6997</v>
      </c>
      <c r="AZ603">
        <v>1</v>
      </c>
      <c r="BD603">
        <v>2</v>
      </c>
      <c r="CB603" t="s">
        <v>134</v>
      </c>
      <c r="CH603" t="s">
        <v>6977</v>
      </c>
      <c r="CI603" t="s">
        <v>6998</v>
      </c>
      <c r="CJ603" t="s">
        <v>4249</v>
      </c>
    </row>
    <row r="604" spans="1:110" x14ac:dyDescent="0.25">
      <c r="A604" t="s">
        <v>1196</v>
      </c>
      <c r="C604" t="s">
        <v>6888</v>
      </c>
      <c r="N604" s="5">
        <v>1</v>
      </c>
      <c r="AC604">
        <v>1</v>
      </c>
      <c r="AN604">
        <v>1</v>
      </c>
      <c r="AV604">
        <v>2</v>
      </c>
      <c r="AX604" t="s">
        <v>6984</v>
      </c>
      <c r="AZ604">
        <v>1</v>
      </c>
      <c r="BD604">
        <v>1</v>
      </c>
      <c r="BJ604">
        <v>1.4</v>
      </c>
      <c r="BK604">
        <v>1</v>
      </c>
      <c r="BL604">
        <v>1</v>
      </c>
      <c r="BP604" s="7" t="s">
        <v>8367</v>
      </c>
      <c r="CB604" t="s">
        <v>134</v>
      </c>
      <c r="CH604" t="s">
        <v>6977</v>
      </c>
      <c r="CI604" t="s">
        <v>8368</v>
      </c>
      <c r="CJ604" t="s">
        <v>4249</v>
      </c>
      <c r="CZ604" t="s">
        <v>7522</v>
      </c>
    </row>
    <row r="605" spans="1:110" x14ac:dyDescent="0.25">
      <c r="A605" t="s">
        <v>8367</v>
      </c>
      <c r="C605" t="s">
        <v>6888</v>
      </c>
      <c r="K605" s="5" t="s">
        <v>6874</v>
      </c>
      <c r="AC605">
        <v>2</v>
      </c>
      <c r="AD605">
        <v>1</v>
      </c>
      <c r="AG605" t="s">
        <v>6876</v>
      </c>
      <c r="AN605">
        <v>1</v>
      </c>
      <c r="BD605">
        <v>1</v>
      </c>
      <c r="CO605" s="9" t="s">
        <v>8369</v>
      </c>
      <c r="CP605">
        <v>1</v>
      </c>
      <c r="CS605">
        <v>99999</v>
      </c>
    </row>
    <row r="606" spans="1:110" x14ac:dyDescent="0.25">
      <c r="A606" t="s">
        <v>1205</v>
      </c>
      <c r="C606" t="s">
        <v>6888</v>
      </c>
      <c r="AC606">
        <v>1</v>
      </c>
      <c r="AN606">
        <v>1</v>
      </c>
      <c r="AO606" t="s">
        <v>6972</v>
      </c>
      <c r="AP606" t="s">
        <v>8311</v>
      </c>
      <c r="AV606">
        <v>1.8</v>
      </c>
      <c r="AX606" t="s">
        <v>6997</v>
      </c>
      <c r="AZ606">
        <v>1</v>
      </c>
      <c r="BD606">
        <v>1</v>
      </c>
      <c r="CB606" t="s">
        <v>134</v>
      </c>
      <c r="CH606" t="s">
        <v>6977</v>
      </c>
      <c r="CI606" t="s">
        <v>6998</v>
      </c>
      <c r="CJ606" t="s">
        <v>4249</v>
      </c>
    </row>
    <row r="607" spans="1:110" x14ac:dyDescent="0.25">
      <c r="A607" t="s">
        <v>1210</v>
      </c>
      <c r="C607" t="s">
        <v>6888</v>
      </c>
      <c r="AC607">
        <v>1</v>
      </c>
      <c r="AN607">
        <v>1</v>
      </c>
      <c r="AO607" t="s">
        <v>6972</v>
      </c>
      <c r="AP607" t="s">
        <v>8311</v>
      </c>
      <c r="AV607">
        <v>3</v>
      </c>
      <c r="AX607" t="s">
        <v>6997</v>
      </c>
      <c r="AZ607">
        <v>1</v>
      </c>
      <c r="BD607">
        <v>1</v>
      </c>
      <c r="CB607" t="s">
        <v>134</v>
      </c>
      <c r="CH607" t="s">
        <v>6977</v>
      </c>
      <c r="CI607" t="s">
        <v>6998</v>
      </c>
      <c r="CJ607" t="s">
        <v>4249</v>
      </c>
    </row>
    <row r="608" spans="1:110" x14ac:dyDescent="0.25">
      <c r="A608" t="s">
        <v>1215</v>
      </c>
      <c r="C608" t="s">
        <v>6888</v>
      </c>
      <c r="AC608">
        <v>1</v>
      </c>
      <c r="AN608">
        <v>1</v>
      </c>
      <c r="AV608">
        <v>2.5</v>
      </c>
      <c r="BD608">
        <v>99</v>
      </c>
      <c r="BS608">
        <v>0.1</v>
      </c>
      <c r="CO608" s="9" t="s">
        <v>1215</v>
      </c>
      <c r="CP608">
        <v>-50</v>
      </c>
      <c r="CS608">
        <v>0.15</v>
      </c>
      <c r="DF608">
        <v>1</v>
      </c>
    </row>
    <row r="609" spans="1:104" x14ac:dyDescent="0.25">
      <c r="A609" t="s">
        <v>8370</v>
      </c>
      <c r="C609" t="s">
        <v>6888</v>
      </c>
      <c r="K609" s="5" t="s">
        <v>6874</v>
      </c>
      <c r="L609" s="5" t="s">
        <v>6980</v>
      </c>
      <c r="AC609">
        <v>2</v>
      </c>
      <c r="AG609" t="s">
        <v>6876</v>
      </c>
      <c r="AN609">
        <v>1</v>
      </c>
      <c r="AY609" s="5"/>
      <c r="BD609">
        <v>1</v>
      </c>
      <c r="BV609"/>
      <c r="BW609"/>
      <c r="BX609"/>
      <c r="BY609"/>
      <c r="BZ609"/>
      <c r="CA609"/>
      <c r="CB609" s="5"/>
      <c r="CC609" s="5"/>
      <c r="CD609" s="5"/>
      <c r="CE609" s="5"/>
      <c r="CF609" s="5"/>
      <c r="CG609" s="5"/>
      <c r="CI609" s="5"/>
      <c r="CJ609" s="5"/>
      <c r="CK609" s="5"/>
      <c r="CL609" s="5"/>
      <c r="CM609" s="5"/>
      <c r="CN609" s="5"/>
      <c r="CO609" s="9" t="s">
        <v>8371</v>
      </c>
      <c r="CP609">
        <v>40</v>
      </c>
      <c r="CS609">
        <v>99999</v>
      </c>
    </row>
    <row r="610" spans="1:104" x14ac:dyDescent="0.25">
      <c r="A610" t="s">
        <v>8372</v>
      </c>
      <c r="C610" t="s">
        <v>6888</v>
      </c>
      <c r="K610" s="5" t="s">
        <v>6874</v>
      </c>
      <c r="L610" s="5" t="s">
        <v>6980</v>
      </c>
      <c r="AC610">
        <v>2</v>
      </c>
      <c r="AG610" t="s">
        <v>6876</v>
      </c>
      <c r="AN610">
        <v>1</v>
      </c>
      <c r="AY610" s="5"/>
      <c r="BD610">
        <v>1</v>
      </c>
      <c r="BV610"/>
      <c r="BW610"/>
      <c r="BX610"/>
      <c r="BY610"/>
      <c r="BZ610"/>
      <c r="CA610"/>
      <c r="CB610" s="5"/>
      <c r="CC610" s="5"/>
      <c r="CD610" s="5"/>
      <c r="CE610" s="5"/>
      <c r="CF610" s="5"/>
      <c r="CG610" s="5"/>
      <c r="CI610" s="5"/>
      <c r="CJ610" s="5"/>
      <c r="CK610" s="5"/>
      <c r="CL610" s="5"/>
      <c r="CM610" s="5"/>
      <c r="CN610" s="5"/>
      <c r="CO610" s="9" t="s">
        <v>8371</v>
      </c>
      <c r="CP610">
        <v>50</v>
      </c>
      <c r="CS610">
        <v>99999</v>
      </c>
    </row>
    <row r="611" spans="1:104" x14ac:dyDescent="0.25">
      <c r="A611" t="s">
        <v>8373</v>
      </c>
      <c r="C611" t="s">
        <v>4959</v>
      </c>
      <c r="AC611">
        <v>1</v>
      </c>
      <c r="AN611">
        <v>1</v>
      </c>
      <c r="AO611" t="s">
        <v>6972</v>
      </c>
      <c r="AV611">
        <v>0</v>
      </c>
      <c r="AX611" t="s">
        <v>6984</v>
      </c>
      <c r="AZ611">
        <v>1</v>
      </c>
      <c r="BD611">
        <v>1</v>
      </c>
      <c r="CB611" t="s">
        <v>134</v>
      </c>
      <c r="CH611" t="s">
        <v>6977</v>
      </c>
      <c r="CO611" s="9" t="s">
        <v>8374</v>
      </c>
      <c r="CP611">
        <v>-1</v>
      </c>
      <c r="CS611">
        <v>5</v>
      </c>
    </row>
    <row r="612" spans="1:104" x14ac:dyDescent="0.25">
      <c r="A612" t="s">
        <v>8375</v>
      </c>
      <c r="C612" t="s">
        <v>4959</v>
      </c>
      <c r="AC612">
        <v>1</v>
      </c>
      <c r="AN612">
        <v>1</v>
      </c>
      <c r="AO612" t="s">
        <v>6972</v>
      </c>
      <c r="AV612">
        <v>0</v>
      </c>
      <c r="AX612" t="s">
        <v>6984</v>
      </c>
      <c r="AZ612">
        <v>1</v>
      </c>
      <c r="BD612">
        <v>1</v>
      </c>
      <c r="CB612" t="s">
        <v>134</v>
      </c>
      <c r="CH612" t="s">
        <v>6977</v>
      </c>
      <c r="CO612" s="9" t="s">
        <v>8374</v>
      </c>
      <c r="CP612">
        <v>-1</v>
      </c>
      <c r="CS612">
        <v>10</v>
      </c>
    </row>
    <row r="613" spans="1:104" x14ac:dyDescent="0.25">
      <c r="A613" t="s">
        <v>1287</v>
      </c>
      <c r="C613" t="s">
        <v>6888</v>
      </c>
      <c r="AC613">
        <v>1</v>
      </c>
      <c r="AN613">
        <v>1</v>
      </c>
      <c r="AO613" t="s">
        <v>6972</v>
      </c>
      <c r="AP613" t="s">
        <v>8311</v>
      </c>
      <c r="AV613">
        <v>1.8</v>
      </c>
      <c r="AX613" t="s">
        <v>6997</v>
      </c>
      <c r="AZ613">
        <v>1</v>
      </c>
      <c r="BD613">
        <v>1</v>
      </c>
      <c r="CB613" t="s">
        <v>134</v>
      </c>
      <c r="CH613" t="s">
        <v>6977</v>
      </c>
      <c r="CI613" t="s">
        <v>6998</v>
      </c>
      <c r="CJ613" t="s">
        <v>4249</v>
      </c>
    </row>
    <row r="614" spans="1:104" x14ac:dyDescent="0.25">
      <c r="AN614">
        <v>1</v>
      </c>
    </row>
    <row r="615" spans="1:104" x14ac:dyDescent="0.25">
      <c r="A615" t="s">
        <v>8376</v>
      </c>
      <c r="C615" t="s">
        <v>6888</v>
      </c>
      <c r="AC615">
        <v>1</v>
      </c>
      <c r="AN615">
        <v>1</v>
      </c>
      <c r="AO615" t="s">
        <v>6972</v>
      </c>
      <c r="AP615" t="s">
        <v>8311</v>
      </c>
      <c r="AV615">
        <v>3.5</v>
      </c>
      <c r="AX615" t="s">
        <v>6997</v>
      </c>
      <c r="AZ615">
        <v>1</v>
      </c>
      <c r="BD615">
        <v>4</v>
      </c>
      <c r="CB615" t="s">
        <v>134</v>
      </c>
      <c r="CH615" t="s">
        <v>6977</v>
      </c>
      <c r="CI615" t="s">
        <v>8114</v>
      </c>
      <c r="CJ615" t="s">
        <v>4249</v>
      </c>
      <c r="CO615" s="9" t="s">
        <v>8377</v>
      </c>
      <c r="CP615">
        <v>60</v>
      </c>
      <c r="CS615">
        <v>10</v>
      </c>
    </row>
    <row r="616" spans="1:104" x14ac:dyDescent="0.25">
      <c r="A616" t="s">
        <v>8378</v>
      </c>
      <c r="C616" t="s">
        <v>6888</v>
      </c>
      <c r="J616" t="s">
        <v>6905</v>
      </c>
      <c r="AC616">
        <v>1</v>
      </c>
      <c r="AN616">
        <v>1</v>
      </c>
      <c r="AO616" t="s">
        <v>6972</v>
      </c>
      <c r="AP616" t="s">
        <v>8311</v>
      </c>
      <c r="AV616">
        <v>1.4</v>
      </c>
      <c r="AX616" t="s">
        <v>6997</v>
      </c>
      <c r="AZ616">
        <v>1000</v>
      </c>
      <c r="BB616">
        <v>2</v>
      </c>
      <c r="BD616">
        <v>99</v>
      </c>
      <c r="BV616" s="8">
        <v>0</v>
      </c>
      <c r="BW616" s="8">
        <v>10</v>
      </c>
      <c r="BX616" s="8">
        <v>1</v>
      </c>
      <c r="BY616" s="8" t="s">
        <v>6907</v>
      </c>
      <c r="BZ616" s="8">
        <v>1</v>
      </c>
      <c r="CB616" t="s">
        <v>624</v>
      </c>
      <c r="CH616" t="s">
        <v>6977</v>
      </c>
      <c r="CY616" t="s">
        <v>7522</v>
      </c>
    </row>
    <row r="617" spans="1:104" x14ac:dyDescent="0.25">
      <c r="A617" t="s">
        <v>8379</v>
      </c>
      <c r="C617" t="s">
        <v>6888</v>
      </c>
      <c r="U617" s="5">
        <v>0.5</v>
      </c>
      <c r="AC617">
        <v>2</v>
      </c>
      <c r="AG617" t="s">
        <v>6876</v>
      </c>
      <c r="AN617">
        <v>1</v>
      </c>
      <c r="BD617">
        <v>1</v>
      </c>
      <c r="CO617" s="9" t="s">
        <v>6929</v>
      </c>
      <c r="CP617">
        <v>40</v>
      </c>
      <c r="CS617">
        <v>9999</v>
      </c>
    </row>
    <row r="618" spans="1:104" x14ac:dyDescent="0.25">
      <c r="A618" t="s">
        <v>8380</v>
      </c>
      <c r="C618" t="s">
        <v>6888</v>
      </c>
      <c r="AC618">
        <v>1</v>
      </c>
      <c r="AN618">
        <v>1</v>
      </c>
      <c r="AO618" t="s">
        <v>6972</v>
      </c>
      <c r="AP618" t="s">
        <v>8311</v>
      </c>
      <c r="AV618">
        <v>2.6</v>
      </c>
      <c r="AX618" t="s">
        <v>6984</v>
      </c>
      <c r="AZ618">
        <v>1</v>
      </c>
      <c r="BD618">
        <v>1</v>
      </c>
      <c r="BJ618">
        <v>1.4</v>
      </c>
      <c r="BK618">
        <v>0.26</v>
      </c>
      <c r="BL618">
        <v>0.26</v>
      </c>
      <c r="CB618" t="s">
        <v>134</v>
      </c>
      <c r="CH618" t="s">
        <v>6977</v>
      </c>
      <c r="CI618" t="s">
        <v>7512</v>
      </c>
      <c r="CJ618" t="s">
        <v>4249</v>
      </c>
      <c r="CO618" s="9" t="s">
        <v>8381</v>
      </c>
      <c r="CP618">
        <v>-0.5</v>
      </c>
      <c r="CS618">
        <v>5</v>
      </c>
      <c r="CZ618" t="s">
        <v>7507</v>
      </c>
    </row>
    <row r="619" spans="1:104" x14ac:dyDescent="0.25">
      <c r="A619" t="s">
        <v>8382</v>
      </c>
      <c r="C619" t="s">
        <v>4959</v>
      </c>
      <c r="AC619">
        <v>1</v>
      </c>
      <c r="AN619">
        <v>1</v>
      </c>
      <c r="AO619" t="s">
        <v>6972</v>
      </c>
      <c r="AV619">
        <v>0</v>
      </c>
      <c r="AX619" t="s">
        <v>6984</v>
      </c>
      <c r="AZ619">
        <v>1</v>
      </c>
      <c r="BD619">
        <v>1</v>
      </c>
      <c r="CB619" t="s">
        <v>8383</v>
      </c>
      <c r="CH619" t="s">
        <v>6977</v>
      </c>
    </row>
    <row r="620" spans="1:104" x14ac:dyDescent="0.25">
      <c r="A620" t="s">
        <v>8384</v>
      </c>
      <c r="C620" t="s">
        <v>6888</v>
      </c>
      <c r="U620" s="5">
        <v>0.5</v>
      </c>
      <c r="AC620">
        <v>2</v>
      </c>
      <c r="AG620" t="s">
        <v>6876</v>
      </c>
      <c r="AN620">
        <v>1</v>
      </c>
      <c r="BD620">
        <v>1</v>
      </c>
      <c r="CO620" s="9" t="s">
        <v>6908</v>
      </c>
      <c r="CP620">
        <v>0.5</v>
      </c>
      <c r="CS620">
        <v>9999</v>
      </c>
    </row>
    <row r="621" spans="1:104" x14ac:dyDescent="0.25">
      <c r="A621" t="s">
        <v>8385</v>
      </c>
      <c r="C621" t="s">
        <v>6888</v>
      </c>
      <c r="AC621">
        <v>1</v>
      </c>
      <c r="AN621">
        <v>1</v>
      </c>
      <c r="AO621" t="s">
        <v>6972</v>
      </c>
      <c r="AP621" t="s">
        <v>8311</v>
      </c>
      <c r="AV621">
        <v>2.5</v>
      </c>
      <c r="AX621" t="s">
        <v>6984</v>
      </c>
      <c r="AZ621">
        <v>1</v>
      </c>
      <c r="BD621">
        <v>1</v>
      </c>
      <c r="CB621" t="s">
        <v>134</v>
      </c>
      <c r="CH621" t="s">
        <v>6977</v>
      </c>
      <c r="CI621" t="s">
        <v>7512</v>
      </c>
      <c r="CJ621" t="s">
        <v>4249</v>
      </c>
    </row>
    <row r="622" spans="1:104" x14ac:dyDescent="0.25">
      <c r="A622" t="s">
        <v>8386</v>
      </c>
      <c r="C622" t="s">
        <v>8387</v>
      </c>
      <c r="J622" t="s">
        <v>6905</v>
      </c>
      <c r="AC622">
        <v>1</v>
      </c>
      <c r="AN622">
        <v>1</v>
      </c>
      <c r="AO622" t="s">
        <v>6972</v>
      </c>
      <c r="AV622">
        <v>2.5</v>
      </c>
      <c r="AX622" t="s">
        <v>6984</v>
      </c>
      <c r="AZ622">
        <v>1.8</v>
      </c>
      <c r="BD622">
        <v>1</v>
      </c>
      <c r="BV622" s="8">
        <v>12</v>
      </c>
      <c r="BW622" s="8">
        <v>21</v>
      </c>
      <c r="BX622" s="8">
        <v>1</v>
      </c>
      <c r="BY622" s="8" t="s">
        <v>6907</v>
      </c>
      <c r="CB622" t="s">
        <v>624</v>
      </c>
      <c r="CH622" t="s">
        <v>6977</v>
      </c>
      <c r="CZ622" t="s">
        <v>7128</v>
      </c>
    </row>
    <row r="623" spans="1:104" x14ac:dyDescent="0.25">
      <c r="A623" t="s">
        <v>8388</v>
      </c>
      <c r="C623" t="s">
        <v>7718</v>
      </c>
      <c r="N623" s="5">
        <v>1</v>
      </c>
      <c r="U623" s="5">
        <v>0.5</v>
      </c>
      <c r="AC623">
        <v>2</v>
      </c>
      <c r="AG623" t="s">
        <v>6876</v>
      </c>
      <c r="AN623">
        <v>1</v>
      </c>
      <c r="BP623" s="7" t="s">
        <v>8389</v>
      </c>
      <c r="CH623" t="s">
        <v>6977</v>
      </c>
      <c r="CL623" t="s">
        <v>8390</v>
      </c>
      <c r="CV623" t="s">
        <v>8391</v>
      </c>
    </row>
    <row r="624" spans="1:104" x14ac:dyDescent="0.25">
      <c r="A624" t="s">
        <v>8389</v>
      </c>
      <c r="C624" t="s">
        <v>7076</v>
      </c>
      <c r="N624" s="5">
        <v>1</v>
      </c>
      <c r="U624" s="5">
        <v>0.5</v>
      </c>
      <c r="AC624">
        <v>2</v>
      </c>
      <c r="AG624" t="s">
        <v>6876</v>
      </c>
      <c r="AN624">
        <v>1</v>
      </c>
      <c r="CV624" t="s">
        <v>8392</v>
      </c>
    </row>
    <row r="625" spans="1:109" x14ac:dyDescent="0.25">
      <c r="AN625">
        <v>1</v>
      </c>
    </row>
    <row r="626" spans="1:109" x14ac:dyDescent="0.25">
      <c r="A626" t="s">
        <v>8393</v>
      </c>
      <c r="C626" t="s">
        <v>6888</v>
      </c>
      <c r="K626" s="5" t="s">
        <v>6907</v>
      </c>
      <c r="AC626">
        <v>2</v>
      </c>
      <c r="AN626">
        <v>1</v>
      </c>
      <c r="AO626" t="s">
        <v>6975</v>
      </c>
      <c r="AV626">
        <v>20</v>
      </c>
      <c r="AY626">
        <v>1</v>
      </c>
      <c r="AZ626">
        <v>1</v>
      </c>
      <c r="BD626">
        <v>3</v>
      </c>
      <c r="CB626" t="s">
        <v>134</v>
      </c>
      <c r="CH626" t="s">
        <v>6977</v>
      </c>
      <c r="CZ626" t="s">
        <v>8177</v>
      </c>
      <c r="DE626">
        <v>1</v>
      </c>
    </row>
    <row r="627" spans="1:109" x14ac:dyDescent="0.25">
      <c r="A627" t="s">
        <v>8394</v>
      </c>
      <c r="C627" t="s">
        <v>6888</v>
      </c>
      <c r="K627" s="5" t="s">
        <v>6874</v>
      </c>
      <c r="L627" s="5" t="s">
        <v>6980</v>
      </c>
      <c r="AC627">
        <v>2</v>
      </c>
      <c r="AN627">
        <v>1</v>
      </c>
      <c r="AY627" s="5"/>
      <c r="BD627">
        <v>99</v>
      </c>
      <c r="BV627"/>
      <c r="BW627"/>
      <c r="BX627"/>
      <c r="BY627"/>
      <c r="BZ627"/>
      <c r="CA627"/>
      <c r="CB627" s="5"/>
      <c r="CC627" s="5"/>
      <c r="CD627" s="5"/>
      <c r="CE627" s="5"/>
      <c r="CF627" s="5"/>
      <c r="CG627" s="5"/>
      <c r="CI627" s="5"/>
      <c r="CJ627" s="5"/>
      <c r="CK627" s="5"/>
      <c r="CL627" s="5"/>
      <c r="CM627" s="5"/>
      <c r="CN627" s="5"/>
      <c r="CO627" s="9" t="s">
        <v>8395</v>
      </c>
      <c r="CP627">
        <v>1</v>
      </c>
      <c r="CS627">
        <v>9999</v>
      </c>
      <c r="CU627">
        <v>1</v>
      </c>
    </row>
    <row r="628" spans="1:109" x14ac:dyDescent="0.25">
      <c r="A628" t="s">
        <v>8395</v>
      </c>
      <c r="C628" t="s">
        <v>6888</v>
      </c>
      <c r="K628" s="5" t="s">
        <v>6874</v>
      </c>
      <c r="L628" s="5" t="s">
        <v>6892</v>
      </c>
      <c r="AC628">
        <v>2</v>
      </c>
      <c r="AD628">
        <v>1</v>
      </c>
      <c r="AF628">
        <v>1</v>
      </c>
      <c r="AH628">
        <v>1</v>
      </c>
      <c r="AN628">
        <v>1</v>
      </c>
      <c r="BD628">
        <v>1</v>
      </c>
      <c r="CO628" s="9" t="s">
        <v>8395</v>
      </c>
      <c r="CP628">
        <v>1</v>
      </c>
      <c r="CS628">
        <v>9999</v>
      </c>
    </row>
    <row r="629" spans="1:109" x14ac:dyDescent="0.25">
      <c r="A629" t="s">
        <v>8396</v>
      </c>
      <c r="C629" t="s">
        <v>6888</v>
      </c>
      <c r="K629" s="5" t="s">
        <v>6874</v>
      </c>
      <c r="L629" s="5" t="s">
        <v>7234</v>
      </c>
      <c r="AC629">
        <v>2</v>
      </c>
      <c r="AF629">
        <v>1</v>
      </c>
      <c r="AG629" t="s">
        <v>6876</v>
      </c>
      <c r="AH629">
        <v>1</v>
      </c>
      <c r="AN629">
        <v>1</v>
      </c>
      <c r="BP629" s="7" t="s">
        <v>8397</v>
      </c>
    </row>
    <row r="630" spans="1:109" x14ac:dyDescent="0.25">
      <c r="A630" t="s">
        <v>8397</v>
      </c>
      <c r="C630" t="s">
        <v>6888</v>
      </c>
      <c r="K630" s="5" t="s">
        <v>6874</v>
      </c>
      <c r="AC630">
        <v>2</v>
      </c>
      <c r="AD630">
        <v>1</v>
      </c>
      <c r="AN630">
        <v>1</v>
      </c>
      <c r="AV630">
        <v>99</v>
      </c>
      <c r="CN630" t="s">
        <v>8395</v>
      </c>
    </row>
    <row r="631" spans="1:109" x14ac:dyDescent="0.25">
      <c r="AN631">
        <v>1</v>
      </c>
    </row>
    <row r="632" spans="1:109" x14ac:dyDescent="0.25">
      <c r="A632" t="s">
        <v>8398</v>
      </c>
      <c r="C632" t="s">
        <v>6888</v>
      </c>
      <c r="AC632">
        <v>1</v>
      </c>
      <c r="AN632">
        <v>1</v>
      </c>
      <c r="AO632" t="s">
        <v>6972</v>
      </c>
      <c r="AP632" t="s">
        <v>8311</v>
      </c>
      <c r="AV632">
        <v>20</v>
      </c>
      <c r="AX632" t="s">
        <v>6984</v>
      </c>
      <c r="AZ632">
        <v>1</v>
      </c>
      <c r="BD632">
        <v>1</v>
      </c>
      <c r="CB632" t="s">
        <v>134</v>
      </c>
      <c r="CH632" t="s">
        <v>6977</v>
      </c>
      <c r="CI632" t="s">
        <v>8399</v>
      </c>
      <c r="CJ632" t="s">
        <v>4249</v>
      </c>
    </row>
    <row r="633" spans="1:109" x14ac:dyDescent="0.25">
      <c r="A633" t="s">
        <v>8400</v>
      </c>
      <c r="C633" t="s">
        <v>6888</v>
      </c>
      <c r="J633" t="s">
        <v>6905</v>
      </c>
      <c r="AC633">
        <v>1</v>
      </c>
      <c r="AN633">
        <v>1</v>
      </c>
      <c r="AO633" t="s">
        <v>6972</v>
      </c>
      <c r="AP633" t="s">
        <v>8311</v>
      </c>
      <c r="AV633">
        <v>20</v>
      </c>
      <c r="AX633" t="s">
        <v>6984</v>
      </c>
      <c r="AZ633">
        <v>2</v>
      </c>
      <c r="BD633">
        <v>1</v>
      </c>
      <c r="BV633" s="8">
        <v>0</v>
      </c>
      <c r="BW633" s="8">
        <v>17</v>
      </c>
      <c r="BX633" s="8">
        <v>1</v>
      </c>
      <c r="BY633" s="8" t="s">
        <v>6907</v>
      </c>
      <c r="CB633" t="s">
        <v>8328</v>
      </c>
      <c r="CH633" t="s">
        <v>6977</v>
      </c>
      <c r="CI633" t="s">
        <v>8401</v>
      </c>
      <c r="CJ633" t="s">
        <v>4249</v>
      </c>
    </row>
    <row r="634" spans="1:109" x14ac:dyDescent="0.25">
      <c r="A634" t="s">
        <v>8402</v>
      </c>
      <c r="C634" t="s">
        <v>6888</v>
      </c>
      <c r="K634" s="5" t="s">
        <v>6874</v>
      </c>
      <c r="L634" s="5" t="s">
        <v>6980</v>
      </c>
      <c r="AC634">
        <v>2</v>
      </c>
      <c r="AF634">
        <v>1</v>
      </c>
      <c r="AG634" t="s">
        <v>6876</v>
      </c>
      <c r="AN634">
        <v>1</v>
      </c>
      <c r="AY634" s="5"/>
      <c r="BD634">
        <v>1</v>
      </c>
      <c r="BV634"/>
      <c r="BW634"/>
      <c r="BX634"/>
      <c r="BY634"/>
      <c r="BZ634"/>
      <c r="CA634"/>
      <c r="CB634" s="5"/>
      <c r="CC634" s="5"/>
      <c r="CD634" s="5"/>
      <c r="CE634" s="5"/>
      <c r="CF634" s="5"/>
      <c r="CG634" s="5"/>
      <c r="CI634" s="5"/>
      <c r="CJ634" s="5"/>
      <c r="CK634" s="5"/>
      <c r="CL634" s="5"/>
      <c r="CM634" s="5"/>
      <c r="CN634" s="5"/>
      <c r="CO634" s="9" t="s">
        <v>8341</v>
      </c>
      <c r="CS634">
        <v>150</v>
      </c>
    </row>
    <row r="635" spans="1:109" x14ac:dyDescent="0.25">
      <c r="A635" t="s">
        <v>8403</v>
      </c>
      <c r="C635" t="s">
        <v>8343</v>
      </c>
      <c r="J635" t="s">
        <v>6905</v>
      </c>
      <c r="AC635">
        <v>2</v>
      </c>
      <c r="AG635" t="s">
        <v>6876</v>
      </c>
      <c r="AN635">
        <v>1</v>
      </c>
      <c r="AY635" s="5"/>
      <c r="BD635">
        <v>1</v>
      </c>
      <c r="BV635">
        <v>15</v>
      </c>
      <c r="BW635">
        <v>30</v>
      </c>
      <c r="BX635">
        <v>1</v>
      </c>
      <c r="BY635" t="s">
        <v>6907</v>
      </c>
      <c r="BZ635"/>
      <c r="CA635"/>
      <c r="CB635" s="5" t="s">
        <v>7920</v>
      </c>
      <c r="CC635" s="5"/>
      <c r="CD635" s="5"/>
      <c r="CE635" s="5"/>
      <c r="CF635" s="5"/>
      <c r="CG635" s="5"/>
      <c r="CH635" t="s">
        <v>6977</v>
      </c>
      <c r="CI635" s="5"/>
      <c r="CJ635" s="5"/>
      <c r="CK635" s="5"/>
      <c r="CL635" s="5"/>
      <c r="CM635" s="5"/>
      <c r="CN635" s="5"/>
    </row>
    <row r="636" spans="1:109" x14ac:dyDescent="0.25">
      <c r="AN636">
        <v>1</v>
      </c>
    </row>
    <row r="637" spans="1:109" x14ac:dyDescent="0.25">
      <c r="A637" t="s">
        <v>8404</v>
      </c>
      <c r="C637" t="s">
        <v>6888</v>
      </c>
      <c r="AC637">
        <v>1</v>
      </c>
      <c r="AN637">
        <v>1</v>
      </c>
      <c r="AO637" t="s">
        <v>6972</v>
      </c>
      <c r="AP637" t="s">
        <v>8311</v>
      </c>
      <c r="AV637">
        <v>1.7</v>
      </c>
      <c r="AX637" t="s">
        <v>6984</v>
      </c>
      <c r="AZ637">
        <v>1</v>
      </c>
      <c r="BD637">
        <v>1</v>
      </c>
      <c r="CB637" t="s">
        <v>134</v>
      </c>
      <c r="CH637" t="s">
        <v>6977</v>
      </c>
      <c r="CI637" t="s">
        <v>6991</v>
      </c>
      <c r="CJ637" t="s">
        <v>4249</v>
      </c>
    </row>
    <row r="638" spans="1:109" x14ac:dyDescent="0.25">
      <c r="A638" t="s">
        <v>8405</v>
      </c>
      <c r="C638" t="s">
        <v>6888</v>
      </c>
      <c r="Z638">
        <v>1</v>
      </c>
      <c r="AC638">
        <v>1</v>
      </c>
      <c r="AJ638" t="s">
        <v>855</v>
      </c>
      <c r="AN638">
        <v>1</v>
      </c>
      <c r="AO638" t="s">
        <v>6972</v>
      </c>
      <c r="AP638" t="s">
        <v>8311</v>
      </c>
      <c r="AV638">
        <v>1.7</v>
      </c>
      <c r="AX638" t="s">
        <v>6984</v>
      </c>
      <c r="AZ638">
        <v>1</v>
      </c>
      <c r="BD638">
        <v>1</v>
      </c>
      <c r="CB638" t="s">
        <v>134</v>
      </c>
      <c r="CH638" t="s">
        <v>6977</v>
      </c>
      <c r="CI638" t="s">
        <v>6991</v>
      </c>
      <c r="CJ638" t="s">
        <v>4249</v>
      </c>
    </row>
    <row r="639" spans="1:109" x14ac:dyDescent="0.25">
      <c r="A639" t="s">
        <v>8406</v>
      </c>
      <c r="C639" t="s">
        <v>6888</v>
      </c>
      <c r="AC639">
        <v>1</v>
      </c>
      <c r="AN639">
        <v>1</v>
      </c>
      <c r="AO639" t="s">
        <v>6972</v>
      </c>
      <c r="AP639" t="s">
        <v>8311</v>
      </c>
      <c r="AV639">
        <v>1.3</v>
      </c>
      <c r="AX639" t="s">
        <v>6984</v>
      </c>
      <c r="AZ639">
        <v>1</v>
      </c>
      <c r="BD639">
        <v>1</v>
      </c>
      <c r="CB639" t="s">
        <v>134</v>
      </c>
      <c r="CH639" t="s">
        <v>6977</v>
      </c>
    </row>
    <row r="640" spans="1:109" x14ac:dyDescent="0.25">
      <c r="A640" t="s">
        <v>8407</v>
      </c>
      <c r="C640" t="s">
        <v>6888</v>
      </c>
      <c r="Z640">
        <v>1</v>
      </c>
      <c r="AC640">
        <v>1</v>
      </c>
      <c r="AJ640" t="s">
        <v>855</v>
      </c>
      <c r="AN640">
        <v>1</v>
      </c>
      <c r="AO640" t="s">
        <v>6972</v>
      </c>
      <c r="AP640" t="s">
        <v>8311</v>
      </c>
      <c r="AV640">
        <v>1.3</v>
      </c>
      <c r="AX640" t="s">
        <v>6984</v>
      </c>
      <c r="AZ640">
        <v>1</v>
      </c>
      <c r="BD640">
        <v>1</v>
      </c>
      <c r="CB640" t="s">
        <v>134</v>
      </c>
      <c r="CH640" t="s">
        <v>6977</v>
      </c>
    </row>
    <row r="641" spans="1:104" x14ac:dyDescent="0.25">
      <c r="A641" t="s">
        <v>8408</v>
      </c>
      <c r="C641" t="s">
        <v>6888</v>
      </c>
      <c r="K641" s="5" t="s">
        <v>6874</v>
      </c>
      <c r="L641" s="5" t="s">
        <v>6980</v>
      </c>
      <c r="AC641">
        <v>2</v>
      </c>
      <c r="AF641">
        <v>1</v>
      </c>
      <c r="AG641" t="s">
        <v>6876</v>
      </c>
      <c r="AN641">
        <v>1</v>
      </c>
      <c r="AY641" s="5"/>
      <c r="BD641">
        <v>1</v>
      </c>
      <c r="BV641"/>
      <c r="BW641"/>
      <c r="BX641"/>
      <c r="BY641"/>
      <c r="BZ641"/>
      <c r="CA641"/>
      <c r="CB641" s="5"/>
      <c r="CC641" s="5"/>
      <c r="CD641" s="5"/>
      <c r="CE641" s="5"/>
      <c r="CF641" s="5"/>
      <c r="CG641" s="5"/>
      <c r="CI641" s="5"/>
      <c r="CJ641" s="5"/>
      <c r="CK641" s="5"/>
      <c r="CL641" s="5"/>
      <c r="CM641" s="5"/>
      <c r="CN641" s="5"/>
      <c r="CO641" s="9" t="s">
        <v>8408</v>
      </c>
      <c r="CP641">
        <v>1250</v>
      </c>
      <c r="CS641">
        <v>9999</v>
      </c>
    </row>
    <row r="642" spans="1:104" x14ac:dyDescent="0.25">
      <c r="A642" t="s">
        <v>8409</v>
      </c>
      <c r="C642" t="s">
        <v>6888</v>
      </c>
      <c r="K642" s="5" t="s">
        <v>6874</v>
      </c>
      <c r="L642" s="5" t="s">
        <v>6980</v>
      </c>
      <c r="AC642">
        <v>2</v>
      </c>
      <c r="AF642">
        <v>1</v>
      </c>
      <c r="AG642" t="s">
        <v>6876</v>
      </c>
      <c r="AN642">
        <v>1</v>
      </c>
      <c r="AY642" s="5"/>
      <c r="BD642">
        <v>1</v>
      </c>
      <c r="BV642"/>
      <c r="BW642"/>
      <c r="BX642"/>
      <c r="BY642"/>
      <c r="BZ642"/>
      <c r="CA642"/>
      <c r="CB642" s="5"/>
      <c r="CC642" s="5"/>
      <c r="CD642" s="5"/>
      <c r="CE642" s="5"/>
      <c r="CF642" s="5"/>
      <c r="CG642" s="5"/>
      <c r="CI642" s="5"/>
      <c r="CJ642" s="5"/>
      <c r="CK642" s="5"/>
      <c r="CL642" s="5"/>
      <c r="CM642" s="5"/>
      <c r="CN642" s="5"/>
      <c r="CO642" s="9" t="s">
        <v>8410</v>
      </c>
      <c r="CP642">
        <v>6000</v>
      </c>
      <c r="CS642">
        <v>9999</v>
      </c>
    </row>
    <row r="643" spans="1:104" x14ac:dyDescent="0.25">
      <c r="A643" t="s">
        <v>8411</v>
      </c>
      <c r="C643" t="s">
        <v>6888</v>
      </c>
      <c r="P643" s="5" t="s">
        <v>8410</v>
      </c>
      <c r="AC643">
        <v>2</v>
      </c>
      <c r="AG643" t="s">
        <v>6876</v>
      </c>
      <c r="AN643">
        <v>1</v>
      </c>
      <c r="AY643" s="5"/>
      <c r="BD643">
        <v>1</v>
      </c>
      <c r="BV643"/>
      <c r="BW643"/>
      <c r="BX643"/>
      <c r="BY643"/>
      <c r="BZ643"/>
      <c r="CA643"/>
      <c r="CB643" s="5"/>
      <c r="CC643" s="5"/>
      <c r="CD643" s="5"/>
      <c r="CE643" s="5"/>
      <c r="CF643" s="5"/>
      <c r="CG643" s="5"/>
      <c r="CI643" s="5"/>
      <c r="CJ643" s="5"/>
      <c r="CK643" s="5"/>
      <c r="CL643" s="5"/>
      <c r="CM643" s="5"/>
      <c r="CN643" s="5"/>
      <c r="CO643" s="9" t="s">
        <v>7163</v>
      </c>
      <c r="CP643">
        <v>1</v>
      </c>
      <c r="CS643">
        <v>9999</v>
      </c>
    </row>
    <row r="644" spans="1:104" x14ac:dyDescent="0.25">
      <c r="A644" t="s">
        <v>8412</v>
      </c>
      <c r="C644" t="s">
        <v>6888</v>
      </c>
      <c r="K644" s="5" t="s">
        <v>6874</v>
      </c>
      <c r="L644" s="5" t="s">
        <v>6980</v>
      </c>
      <c r="AC644">
        <v>2</v>
      </c>
      <c r="AF644">
        <v>1</v>
      </c>
      <c r="AG644" t="s">
        <v>6876</v>
      </c>
      <c r="AN644">
        <v>1</v>
      </c>
      <c r="AY644" s="5"/>
      <c r="BD644">
        <v>1</v>
      </c>
      <c r="BV644"/>
      <c r="BW644"/>
      <c r="BX644"/>
      <c r="BY644"/>
      <c r="BZ644"/>
      <c r="CA644"/>
      <c r="CB644" s="5"/>
      <c r="CC644" s="5"/>
      <c r="CD644" s="5"/>
      <c r="CE644" s="5"/>
      <c r="CF644" s="5"/>
      <c r="CG644" s="5"/>
      <c r="CI644" s="5"/>
      <c r="CJ644" s="5"/>
      <c r="CK644" s="5"/>
      <c r="CL644" s="5"/>
      <c r="CM644" s="5"/>
      <c r="CN644" s="5"/>
      <c r="CO644" s="9" t="s">
        <v>8408</v>
      </c>
      <c r="CP644">
        <v>1750</v>
      </c>
      <c r="CS644">
        <v>9999</v>
      </c>
    </row>
    <row r="645" spans="1:104" x14ac:dyDescent="0.25">
      <c r="A645" t="s">
        <v>8413</v>
      </c>
      <c r="C645" t="s">
        <v>6888</v>
      </c>
      <c r="K645" s="5" t="s">
        <v>6874</v>
      </c>
      <c r="L645" s="5" t="s">
        <v>6980</v>
      </c>
      <c r="AC645">
        <v>2</v>
      </c>
      <c r="AF645">
        <v>1</v>
      </c>
      <c r="AG645" t="s">
        <v>6876</v>
      </c>
      <c r="AN645">
        <v>1</v>
      </c>
      <c r="AY645" s="5"/>
      <c r="BD645">
        <v>1</v>
      </c>
      <c r="BV645"/>
      <c r="BW645"/>
      <c r="BX645"/>
      <c r="BY645"/>
      <c r="BZ645"/>
      <c r="CA645"/>
      <c r="CB645" s="5"/>
      <c r="CC645" s="5"/>
      <c r="CD645" s="5"/>
      <c r="CE645" s="5"/>
      <c r="CF645" s="5"/>
      <c r="CG645" s="5"/>
      <c r="CI645" s="5"/>
      <c r="CJ645" s="5"/>
      <c r="CK645" s="5"/>
      <c r="CL645" s="5"/>
      <c r="CM645" s="5"/>
      <c r="CN645" s="5"/>
      <c r="CO645" s="9" t="s">
        <v>8410</v>
      </c>
      <c r="CP645">
        <v>10002</v>
      </c>
      <c r="CS645">
        <v>9999</v>
      </c>
    </row>
    <row r="646" spans="1:104" x14ac:dyDescent="0.25">
      <c r="A646" t="s">
        <v>8414</v>
      </c>
      <c r="C646" t="s">
        <v>6888</v>
      </c>
      <c r="K646" s="5" t="s">
        <v>6874</v>
      </c>
      <c r="L646" s="5" t="s">
        <v>6980</v>
      </c>
      <c r="AC646">
        <v>2</v>
      </c>
      <c r="AF646">
        <v>1</v>
      </c>
      <c r="AG646" t="s">
        <v>6876</v>
      </c>
      <c r="AN646">
        <v>1</v>
      </c>
      <c r="AY646" s="5"/>
      <c r="BD646">
        <v>1</v>
      </c>
      <c r="BV646"/>
      <c r="BW646"/>
      <c r="BX646"/>
      <c r="BY646"/>
      <c r="BZ646"/>
      <c r="CA646"/>
      <c r="CB646" s="5"/>
      <c r="CC646" s="5"/>
      <c r="CD646" s="5"/>
      <c r="CE646" s="5"/>
      <c r="CF646" s="5"/>
      <c r="CG646" s="5"/>
      <c r="CI646" s="5"/>
      <c r="CJ646" s="5"/>
      <c r="CK646" s="5"/>
      <c r="CL646" s="5"/>
      <c r="CM646" s="5"/>
      <c r="CN646" s="5"/>
      <c r="CO646" s="9" t="s">
        <v>8408</v>
      </c>
      <c r="CP646">
        <v>3000</v>
      </c>
      <c r="CS646">
        <v>9999</v>
      </c>
    </row>
    <row r="647" spans="1:104" x14ac:dyDescent="0.25">
      <c r="A647" t="s">
        <v>8415</v>
      </c>
      <c r="C647" t="s">
        <v>6888</v>
      </c>
      <c r="K647" s="5" t="s">
        <v>6874</v>
      </c>
      <c r="L647" s="5" t="s">
        <v>6980</v>
      </c>
      <c r="AC647">
        <v>2</v>
      </c>
      <c r="AF647">
        <v>1</v>
      </c>
      <c r="AG647" t="s">
        <v>6876</v>
      </c>
      <c r="AN647">
        <v>1</v>
      </c>
      <c r="AY647" s="5"/>
      <c r="BD647">
        <v>1</v>
      </c>
      <c r="BV647"/>
      <c r="BW647"/>
      <c r="BX647"/>
      <c r="BY647"/>
      <c r="BZ647"/>
      <c r="CA647"/>
      <c r="CB647" s="5"/>
      <c r="CC647" s="5"/>
      <c r="CD647" s="5"/>
      <c r="CE647" s="5"/>
      <c r="CF647" s="5"/>
      <c r="CG647" s="5"/>
      <c r="CI647" s="5"/>
      <c r="CJ647" s="5"/>
      <c r="CK647" s="5"/>
      <c r="CL647" s="5"/>
      <c r="CM647" s="5"/>
      <c r="CN647" s="5"/>
      <c r="CO647" s="9" t="s">
        <v>8410</v>
      </c>
      <c r="CP647">
        <v>14001</v>
      </c>
      <c r="CS647">
        <v>9999</v>
      </c>
    </row>
    <row r="648" spans="1:104" x14ac:dyDescent="0.25">
      <c r="A648" t="s">
        <v>8416</v>
      </c>
      <c r="C648" t="s">
        <v>6888</v>
      </c>
      <c r="J648" t="s">
        <v>6905</v>
      </c>
      <c r="AC648">
        <v>1</v>
      </c>
      <c r="AO648" t="s">
        <v>8417</v>
      </c>
      <c r="AV648">
        <v>99</v>
      </c>
      <c r="AX648" t="s">
        <v>6984</v>
      </c>
      <c r="AY648" s="5"/>
      <c r="AZ648">
        <v>800</v>
      </c>
      <c r="BB648">
        <v>2</v>
      </c>
      <c r="BD648">
        <v>1</v>
      </c>
      <c r="BH648" t="s">
        <v>8418</v>
      </c>
      <c r="BK648">
        <v>1</v>
      </c>
      <c r="BL648">
        <v>1</v>
      </c>
      <c r="BV648">
        <v>15</v>
      </c>
      <c r="BW648">
        <v>15</v>
      </c>
      <c r="BX648">
        <v>1</v>
      </c>
      <c r="BY648"/>
      <c r="BZ648"/>
      <c r="CA648"/>
      <c r="CB648" s="5" t="s">
        <v>8328</v>
      </c>
      <c r="CC648" s="5"/>
      <c r="CD648" s="5"/>
      <c r="CE648" s="5"/>
      <c r="CF648" s="5"/>
      <c r="CG648" s="5"/>
      <c r="CH648" t="s">
        <v>6977</v>
      </c>
      <c r="CI648" s="5"/>
      <c r="CJ648" s="5"/>
      <c r="CK648" s="5"/>
      <c r="CL648" s="5"/>
      <c r="CM648" s="5"/>
      <c r="CN648" s="5"/>
      <c r="CZ648" t="s">
        <v>8416</v>
      </c>
    </row>
    <row r="649" spans="1:104" x14ac:dyDescent="0.25">
      <c r="A649" t="s">
        <v>8419</v>
      </c>
      <c r="C649" t="s">
        <v>6888</v>
      </c>
      <c r="J649" t="s">
        <v>6905</v>
      </c>
      <c r="AC649">
        <v>1</v>
      </c>
      <c r="AO649" t="s">
        <v>8420</v>
      </c>
      <c r="AV649">
        <v>99</v>
      </c>
      <c r="AX649" t="s">
        <v>6997</v>
      </c>
      <c r="AY649" s="5"/>
      <c r="AZ649">
        <v>70</v>
      </c>
      <c r="BB649">
        <v>2</v>
      </c>
      <c r="BD649">
        <v>1</v>
      </c>
      <c r="BJ649">
        <v>1.4</v>
      </c>
      <c r="BK649">
        <v>1</v>
      </c>
      <c r="BL649">
        <v>1</v>
      </c>
      <c r="BV649">
        <v>20</v>
      </c>
      <c r="BW649">
        <v>25</v>
      </c>
      <c r="BX649">
        <v>1</v>
      </c>
      <c r="BY649"/>
      <c r="BZ649"/>
      <c r="CA649"/>
      <c r="CB649" s="5" t="s">
        <v>7920</v>
      </c>
      <c r="CC649" s="5"/>
      <c r="CD649" s="5"/>
      <c r="CE649" s="5"/>
      <c r="CF649" s="5"/>
      <c r="CG649" s="5"/>
      <c r="CH649" t="s">
        <v>6977</v>
      </c>
      <c r="CI649" t="s">
        <v>8421</v>
      </c>
      <c r="CJ649" s="5"/>
      <c r="CK649" s="5"/>
      <c r="CL649" s="5"/>
      <c r="CM649" s="5"/>
      <c r="CN649" s="5"/>
      <c r="CO649" s="9" t="s">
        <v>7101</v>
      </c>
      <c r="CP649">
        <v>-0.7</v>
      </c>
      <c r="CS649">
        <v>1</v>
      </c>
    </row>
    <row r="650" spans="1:104" x14ac:dyDescent="0.25">
      <c r="A650" t="s">
        <v>8422</v>
      </c>
      <c r="C650" t="s">
        <v>6888</v>
      </c>
      <c r="AC650">
        <v>1</v>
      </c>
      <c r="AO650" t="s">
        <v>8417</v>
      </c>
      <c r="AV650">
        <v>99</v>
      </c>
      <c r="AY650" s="5"/>
      <c r="BD650">
        <v>1</v>
      </c>
      <c r="BS650">
        <v>0.1</v>
      </c>
      <c r="BV650"/>
      <c r="BW650"/>
      <c r="BX650"/>
      <c r="BY650"/>
      <c r="BZ650"/>
      <c r="CA650"/>
      <c r="CB650" s="5"/>
      <c r="CC650" s="5"/>
      <c r="CD650" s="5"/>
      <c r="CE650" s="5"/>
      <c r="CF650" s="5"/>
      <c r="CG650" s="5"/>
      <c r="CJ650" s="5"/>
      <c r="CK650" s="5"/>
      <c r="CL650" s="5"/>
      <c r="CM650" s="5"/>
      <c r="CN650" s="5"/>
      <c r="CO650" s="9" t="s">
        <v>8423</v>
      </c>
      <c r="CS650">
        <v>0.1</v>
      </c>
    </row>
    <row r="651" spans="1:104" x14ac:dyDescent="0.25">
      <c r="A651" t="s">
        <v>8423</v>
      </c>
      <c r="C651" t="s">
        <v>6888</v>
      </c>
      <c r="AC651">
        <v>1</v>
      </c>
      <c r="AO651" t="s">
        <v>8420</v>
      </c>
      <c r="AV651">
        <v>99</v>
      </c>
      <c r="AY651" s="5"/>
      <c r="BD651">
        <v>1</v>
      </c>
      <c r="BS651">
        <v>0.1</v>
      </c>
      <c r="BV651"/>
      <c r="BW651"/>
      <c r="BX651"/>
      <c r="BY651"/>
      <c r="BZ651"/>
      <c r="CA651"/>
      <c r="CB651" s="5"/>
      <c r="CC651" s="5"/>
      <c r="CD651" s="5"/>
      <c r="CE651" s="5"/>
      <c r="CF651" s="5"/>
      <c r="CG651" s="5"/>
      <c r="CJ651" s="5"/>
      <c r="CK651" s="5"/>
      <c r="CL651" s="5"/>
      <c r="CM651" s="5"/>
      <c r="CN651" s="5"/>
      <c r="CO651" s="9" t="s">
        <v>8422</v>
      </c>
      <c r="CS651">
        <v>0.1</v>
      </c>
    </row>
    <row r="652" spans="1:104" x14ac:dyDescent="0.25">
      <c r="A652" t="s">
        <v>8424</v>
      </c>
      <c r="C652" t="s">
        <v>6888</v>
      </c>
      <c r="K652" s="5" t="s">
        <v>6874</v>
      </c>
      <c r="L652" s="5" t="s">
        <v>6980</v>
      </c>
      <c r="AC652">
        <v>2</v>
      </c>
      <c r="AF652">
        <v>1</v>
      </c>
      <c r="AG652" t="s">
        <v>6876</v>
      </c>
      <c r="AN652">
        <v>1</v>
      </c>
      <c r="AY652" s="5"/>
      <c r="BD652">
        <v>1</v>
      </c>
      <c r="BV652"/>
      <c r="BW652"/>
      <c r="BX652"/>
      <c r="BY652"/>
      <c r="BZ652"/>
      <c r="CA652"/>
      <c r="CB652" s="5"/>
      <c r="CC652" s="5"/>
      <c r="CD652" s="5"/>
      <c r="CE652" s="5"/>
      <c r="CF652" s="5"/>
      <c r="CG652" s="5"/>
      <c r="CI652" s="5"/>
      <c r="CJ652" s="5"/>
      <c r="CK652" s="5"/>
      <c r="CL652" s="5"/>
      <c r="CM652" s="5"/>
      <c r="CN652" s="5"/>
      <c r="CO652" s="9" t="s">
        <v>8425</v>
      </c>
      <c r="CP652" t="s">
        <v>8426</v>
      </c>
      <c r="CS652">
        <v>9999</v>
      </c>
    </row>
    <row r="653" spans="1:104" x14ac:dyDescent="0.25">
      <c r="A653" t="s">
        <v>8427</v>
      </c>
      <c r="C653" t="s">
        <v>6888</v>
      </c>
      <c r="K653" s="5" t="s">
        <v>6874</v>
      </c>
      <c r="L653" s="5" t="s">
        <v>6980</v>
      </c>
      <c r="AC653">
        <v>2</v>
      </c>
      <c r="AF653">
        <v>1</v>
      </c>
      <c r="AG653" t="s">
        <v>6876</v>
      </c>
      <c r="AN653">
        <v>1</v>
      </c>
      <c r="AY653" s="5"/>
      <c r="BD653">
        <v>1</v>
      </c>
      <c r="BV653"/>
      <c r="BW653"/>
      <c r="BX653"/>
      <c r="BY653"/>
      <c r="BZ653"/>
      <c r="CA653"/>
      <c r="CB653" s="5"/>
      <c r="CC653" s="5"/>
      <c r="CD653" s="5"/>
      <c r="CE653" s="5"/>
      <c r="CF653" s="5"/>
      <c r="CG653" s="5"/>
      <c r="CI653" s="5"/>
      <c r="CJ653" s="5"/>
      <c r="CK653" s="5"/>
      <c r="CL653" s="5"/>
      <c r="CM653" s="5"/>
      <c r="CN653" s="5"/>
      <c r="CO653" s="9" t="s">
        <v>8410</v>
      </c>
      <c r="CP653">
        <v>6000</v>
      </c>
      <c r="CS653">
        <v>9999</v>
      </c>
    </row>
    <row r="654" spans="1:104" x14ac:dyDescent="0.25">
      <c r="A654" t="s">
        <v>8428</v>
      </c>
      <c r="C654" t="s">
        <v>6888</v>
      </c>
      <c r="K654" s="5" t="s">
        <v>6874</v>
      </c>
      <c r="L654" s="5" t="s">
        <v>6980</v>
      </c>
      <c r="AC654">
        <v>2</v>
      </c>
      <c r="AF654">
        <v>1</v>
      </c>
      <c r="AG654" t="s">
        <v>6876</v>
      </c>
      <c r="AN654">
        <v>1</v>
      </c>
      <c r="AY654" s="5"/>
      <c r="BD654">
        <v>1</v>
      </c>
      <c r="BV654"/>
      <c r="BW654"/>
      <c r="BX654"/>
      <c r="BY654"/>
      <c r="BZ654"/>
      <c r="CA654"/>
      <c r="CB654" s="5"/>
      <c r="CC654" s="5"/>
      <c r="CD654" s="5"/>
      <c r="CE654" s="5"/>
      <c r="CF654" s="5"/>
      <c r="CG654" s="5"/>
      <c r="CI654" s="5"/>
      <c r="CJ654" s="5"/>
      <c r="CK654" s="5"/>
      <c r="CL654" s="5"/>
      <c r="CM654" s="5"/>
      <c r="CN654" s="5"/>
      <c r="CO654" s="9" t="s">
        <v>8410</v>
      </c>
      <c r="CP654">
        <v>10002</v>
      </c>
      <c r="CS654">
        <v>9999</v>
      </c>
    </row>
    <row r="655" spans="1:104" x14ac:dyDescent="0.25">
      <c r="A655" t="s">
        <v>8429</v>
      </c>
      <c r="C655" t="s">
        <v>6888</v>
      </c>
      <c r="K655" s="5" t="s">
        <v>6874</v>
      </c>
      <c r="L655" s="5" t="s">
        <v>6980</v>
      </c>
      <c r="AC655">
        <v>2</v>
      </c>
      <c r="AG655" t="s">
        <v>6876</v>
      </c>
      <c r="AN655">
        <v>1</v>
      </c>
      <c r="AY655" s="5"/>
      <c r="BD655">
        <v>1</v>
      </c>
      <c r="BV655"/>
      <c r="BW655"/>
      <c r="BX655"/>
      <c r="BY655"/>
      <c r="BZ655"/>
      <c r="CA655"/>
      <c r="CB655" s="5"/>
      <c r="CC655" s="5"/>
      <c r="CD655" s="5"/>
      <c r="CE655" s="5"/>
      <c r="CF655" s="5"/>
      <c r="CG655" s="5"/>
      <c r="CI655" s="5"/>
      <c r="CJ655" s="5"/>
      <c r="CK655" s="5"/>
      <c r="CL655" s="5"/>
      <c r="CM655" s="5"/>
      <c r="CN655" s="5"/>
      <c r="CO655" s="9" t="s">
        <v>8430</v>
      </c>
      <c r="CP655">
        <v>130</v>
      </c>
      <c r="CS655">
        <v>99999</v>
      </c>
    </row>
    <row r="656" spans="1:104" x14ac:dyDescent="0.25">
      <c r="A656" t="s">
        <v>8431</v>
      </c>
      <c r="C656" t="s">
        <v>6888</v>
      </c>
      <c r="K656" s="5" t="s">
        <v>6874</v>
      </c>
      <c r="L656" s="5" t="s">
        <v>6980</v>
      </c>
      <c r="AC656">
        <v>2</v>
      </c>
      <c r="AG656" t="s">
        <v>6876</v>
      </c>
      <c r="AN656">
        <v>1</v>
      </c>
      <c r="AY656" s="5"/>
      <c r="BD656">
        <v>1</v>
      </c>
      <c r="BV656"/>
      <c r="BW656"/>
      <c r="BX656"/>
      <c r="BY656"/>
      <c r="BZ656"/>
      <c r="CA656"/>
      <c r="CB656" s="5"/>
      <c r="CC656" s="5"/>
      <c r="CD656" s="5"/>
      <c r="CE656" s="5"/>
      <c r="CF656" s="5"/>
      <c r="CG656" s="5"/>
      <c r="CI656" s="5"/>
      <c r="CJ656" s="5"/>
      <c r="CK656" s="5"/>
      <c r="CL656" s="5"/>
      <c r="CM656" s="5"/>
      <c r="CN656" s="5"/>
      <c r="CO656" s="9" t="s">
        <v>8430</v>
      </c>
      <c r="CP656">
        <v>180</v>
      </c>
      <c r="CS656">
        <v>99999</v>
      </c>
    </row>
    <row r="657" spans="1:97" x14ac:dyDescent="0.25">
      <c r="A657" t="s">
        <v>1689</v>
      </c>
      <c r="C657" t="s">
        <v>6888</v>
      </c>
      <c r="AC657">
        <v>1</v>
      </c>
      <c r="AN657">
        <v>1</v>
      </c>
      <c r="AO657" t="s">
        <v>6972</v>
      </c>
      <c r="AP657" t="s">
        <v>8311</v>
      </c>
      <c r="AV657">
        <v>1.4</v>
      </c>
      <c r="AX657" t="s">
        <v>6984</v>
      </c>
      <c r="AZ657">
        <v>1</v>
      </c>
      <c r="BD657">
        <v>1</v>
      </c>
      <c r="BE657">
        <v>2</v>
      </c>
      <c r="BF657">
        <v>0.01</v>
      </c>
      <c r="BS657">
        <v>3</v>
      </c>
      <c r="CB657" t="s">
        <v>134</v>
      </c>
      <c r="CH657" t="s">
        <v>6977</v>
      </c>
      <c r="CI657" t="s">
        <v>6991</v>
      </c>
      <c r="CJ657" t="s">
        <v>8354</v>
      </c>
    </row>
    <row r="658" spans="1:97" x14ac:dyDescent="0.25">
      <c r="A658" t="s">
        <v>1698</v>
      </c>
      <c r="C658" t="s">
        <v>4959</v>
      </c>
      <c r="AC658">
        <v>1</v>
      </c>
      <c r="AN658">
        <v>1</v>
      </c>
      <c r="AO658" t="s">
        <v>6972</v>
      </c>
      <c r="AV658">
        <v>0</v>
      </c>
      <c r="AX658" t="s">
        <v>6984</v>
      </c>
      <c r="AZ658">
        <v>1</v>
      </c>
      <c r="BD658">
        <v>1</v>
      </c>
      <c r="CB658" t="s">
        <v>134</v>
      </c>
      <c r="CH658" t="s">
        <v>6977</v>
      </c>
      <c r="CO658" s="9" t="s">
        <v>8359</v>
      </c>
      <c r="CP658">
        <v>-10</v>
      </c>
      <c r="CS658">
        <v>99999</v>
      </c>
    </row>
    <row r="659" spans="1:97" x14ac:dyDescent="0.25">
      <c r="A659" t="s">
        <v>1703</v>
      </c>
      <c r="C659" t="s">
        <v>4959</v>
      </c>
      <c r="AC659">
        <v>1</v>
      </c>
      <c r="AN659">
        <v>1</v>
      </c>
      <c r="AO659" t="s">
        <v>6972</v>
      </c>
      <c r="AV659">
        <v>0</v>
      </c>
      <c r="AX659" t="s">
        <v>6984</v>
      </c>
      <c r="AZ659">
        <v>1</v>
      </c>
      <c r="BD659">
        <v>1</v>
      </c>
      <c r="CB659" t="s">
        <v>134</v>
      </c>
      <c r="CH659" t="s">
        <v>6977</v>
      </c>
      <c r="CO659" s="9" t="s">
        <v>8359</v>
      </c>
      <c r="CP659">
        <v>-15</v>
      </c>
      <c r="CS659">
        <v>99999</v>
      </c>
    </row>
    <row r="660" spans="1:97" x14ac:dyDescent="0.25">
      <c r="A660" t="s">
        <v>8432</v>
      </c>
      <c r="C660" t="s">
        <v>6888</v>
      </c>
      <c r="AC660">
        <v>1</v>
      </c>
      <c r="AN660">
        <v>1</v>
      </c>
      <c r="AO660" t="s">
        <v>6972</v>
      </c>
      <c r="AP660" t="s">
        <v>8311</v>
      </c>
      <c r="AV660">
        <v>2.5</v>
      </c>
      <c r="AX660" t="s">
        <v>6997</v>
      </c>
      <c r="AZ660">
        <v>1</v>
      </c>
      <c r="BD660">
        <v>1</v>
      </c>
      <c r="CB660" t="s">
        <v>8433</v>
      </c>
      <c r="CH660" t="s">
        <v>6977</v>
      </c>
    </row>
    <row r="661" spans="1:97" x14ac:dyDescent="0.25">
      <c r="A661" t="s">
        <v>8434</v>
      </c>
      <c r="C661" t="s">
        <v>6888</v>
      </c>
      <c r="K661" s="5" t="s">
        <v>6874</v>
      </c>
      <c r="L661" s="5" t="s">
        <v>6980</v>
      </c>
      <c r="AC661">
        <v>2</v>
      </c>
      <c r="AG661" t="s">
        <v>6876</v>
      </c>
      <c r="AN661">
        <v>1</v>
      </c>
      <c r="AY661" s="5"/>
      <c r="BD661">
        <v>1</v>
      </c>
      <c r="BV661"/>
      <c r="BW661"/>
      <c r="BX661"/>
      <c r="BY661"/>
      <c r="BZ661"/>
      <c r="CA661"/>
      <c r="CB661" s="5"/>
      <c r="CC661" s="5"/>
      <c r="CD661" s="5"/>
      <c r="CE661" s="5"/>
      <c r="CF661" s="5"/>
      <c r="CG661" s="5"/>
      <c r="CI661" s="5"/>
      <c r="CJ661" s="5"/>
      <c r="CK661" s="5"/>
      <c r="CL661" s="5"/>
      <c r="CM661" s="5"/>
      <c r="CN661" s="5"/>
      <c r="CO661" s="9" t="s">
        <v>8430</v>
      </c>
      <c r="CP661">
        <v>200</v>
      </c>
      <c r="CS661">
        <v>99999</v>
      </c>
    </row>
    <row r="662" spans="1:97" x14ac:dyDescent="0.25">
      <c r="A662" t="s">
        <v>8435</v>
      </c>
      <c r="C662" t="s">
        <v>6888</v>
      </c>
      <c r="K662" s="5" t="s">
        <v>6874</v>
      </c>
      <c r="L662" s="5" t="s">
        <v>6980</v>
      </c>
      <c r="AC662">
        <v>2</v>
      </c>
      <c r="AG662" t="s">
        <v>6876</v>
      </c>
      <c r="AN662">
        <v>1</v>
      </c>
      <c r="AY662" s="5"/>
      <c r="BD662">
        <v>1</v>
      </c>
      <c r="BV662"/>
      <c r="BW662"/>
      <c r="BX662"/>
      <c r="BY662"/>
      <c r="BZ662"/>
      <c r="CA662"/>
      <c r="CB662" s="5"/>
      <c r="CC662" s="5"/>
      <c r="CD662" s="5"/>
      <c r="CE662" s="5"/>
      <c r="CF662" s="5"/>
      <c r="CG662" s="5"/>
      <c r="CI662" s="5"/>
      <c r="CJ662" s="5"/>
      <c r="CK662" s="5"/>
      <c r="CL662" s="5"/>
      <c r="CM662" s="5"/>
      <c r="CN662" s="5"/>
      <c r="CO662" s="9" t="s">
        <v>8430</v>
      </c>
      <c r="CP662">
        <v>200</v>
      </c>
      <c r="CS662">
        <v>99999</v>
      </c>
    </row>
    <row r="663" spans="1:97" x14ac:dyDescent="0.25">
      <c r="A663" t="s">
        <v>8436</v>
      </c>
      <c r="C663" t="s">
        <v>4959</v>
      </c>
      <c r="AC663">
        <v>1</v>
      </c>
      <c r="AN663">
        <v>1</v>
      </c>
      <c r="AO663" t="s">
        <v>6972</v>
      </c>
      <c r="AV663">
        <v>0</v>
      </c>
      <c r="AX663" t="s">
        <v>6984</v>
      </c>
      <c r="AZ663">
        <v>4</v>
      </c>
      <c r="BD663">
        <v>1</v>
      </c>
      <c r="CB663" t="s">
        <v>8437</v>
      </c>
      <c r="CH663" t="s">
        <v>6977</v>
      </c>
    </row>
    <row r="664" spans="1:97" x14ac:dyDescent="0.25">
      <c r="A664" t="s">
        <v>8438</v>
      </c>
      <c r="C664" t="s">
        <v>6888</v>
      </c>
      <c r="K664" s="5" t="s">
        <v>6874</v>
      </c>
      <c r="L664" s="5" t="s">
        <v>6980</v>
      </c>
      <c r="AC664">
        <v>2</v>
      </c>
      <c r="AF664">
        <v>1</v>
      </c>
      <c r="AG664" t="s">
        <v>6876</v>
      </c>
      <c r="AN664">
        <v>1</v>
      </c>
      <c r="AY664" s="5"/>
      <c r="BD664">
        <v>1</v>
      </c>
      <c r="BV664"/>
      <c r="BW664"/>
      <c r="BX664"/>
      <c r="BY664"/>
      <c r="BZ664"/>
      <c r="CA664"/>
      <c r="CB664" s="5"/>
      <c r="CC664" s="5"/>
      <c r="CD664" s="5"/>
      <c r="CE664" s="5"/>
      <c r="CF664" s="5"/>
      <c r="CG664" s="5"/>
      <c r="CI664" s="5"/>
      <c r="CJ664" s="5"/>
      <c r="CK664" s="5"/>
      <c r="CL664" s="5"/>
      <c r="CM664" s="5"/>
      <c r="CN664" s="5"/>
      <c r="CO664" s="9" t="s">
        <v>8439</v>
      </c>
      <c r="CP664">
        <v>-0.7</v>
      </c>
      <c r="CQ664">
        <v>-1</v>
      </c>
      <c r="CS664">
        <v>99999</v>
      </c>
    </row>
    <row r="665" spans="1:97" x14ac:dyDescent="0.25">
      <c r="A665" t="s">
        <v>8440</v>
      </c>
      <c r="C665" t="s">
        <v>4959</v>
      </c>
      <c r="AC665">
        <v>1</v>
      </c>
      <c r="AN665">
        <v>1</v>
      </c>
      <c r="AO665" t="s">
        <v>6972</v>
      </c>
      <c r="AV665">
        <v>0</v>
      </c>
      <c r="AX665" t="s">
        <v>6984</v>
      </c>
      <c r="BD665">
        <v>1</v>
      </c>
      <c r="BS665">
        <v>0.05</v>
      </c>
      <c r="CO665" s="9" t="s">
        <v>8441</v>
      </c>
      <c r="CP665">
        <v>-0.7</v>
      </c>
      <c r="CS665">
        <v>0.1</v>
      </c>
    </row>
    <row r="667" spans="1:97" x14ac:dyDescent="0.25">
      <c r="A667" t="s">
        <v>8442</v>
      </c>
      <c r="C667" t="s">
        <v>6888</v>
      </c>
      <c r="AC667">
        <v>1</v>
      </c>
      <c r="AN667">
        <v>1</v>
      </c>
      <c r="AO667" t="s">
        <v>6972</v>
      </c>
      <c r="AP667" t="s">
        <v>8311</v>
      </c>
      <c r="AV667">
        <v>2</v>
      </c>
      <c r="AX667" t="s">
        <v>6984</v>
      </c>
      <c r="AZ667">
        <v>1</v>
      </c>
      <c r="BD667">
        <v>1</v>
      </c>
      <c r="CB667" t="s">
        <v>134</v>
      </c>
      <c r="CH667" t="s">
        <v>6977</v>
      </c>
      <c r="CI667" t="s">
        <v>6991</v>
      </c>
      <c r="CJ667" t="s">
        <v>4249</v>
      </c>
    </row>
    <row r="668" spans="1:97" x14ac:dyDescent="0.25">
      <c r="A668" t="s">
        <v>8443</v>
      </c>
      <c r="C668" t="s">
        <v>6888</v>
      </c>
      <c r="K668" s="5" t="s">
        <v>6874</v>
      </c>
      <c r="L668" s="5" t="s">
        <v>6980</v>
      </c>
      <c r="AC668">
        <v>2</v>
      </c>
      <c r="AG668" t="s">
        <v>6876</v>
      </c>
      <c r="AN668">
        <v>1</v>
      </c>
      <c r="AY668" s="5"/>
      <c r="BD668">
        <v>1</v>
      </c>
      <c r="BV668"/>
      <c r="BW668"/>
      <c r="BX668"/>
      <c r="BY668"/>
      <c r="BZ668"/>
      <c r="CA668"/>
      <c r="CB668" s="5"/>
      <c r="CC668" s="5"/>
      <c r="CD668" s="5"/>
      <c r="CE668" s="5"/>
      <c r="CF668" s="5"/>
      <c r="CG668" s="5"/>
      <c r="CI668" s="5"/>
      <c r="CJ668" s="5"/>
      <c r="CK668" s="5"/>
      <c r="CL668" s="5"/>
      <c r="CM668" s="5"/>
      <c r="CN668" s="5"/>
      <c r="CO668" s="9" t="s">
        <v>8444</v>
      </c>
      <c r="CP668" t="s">
        <v>8445</v>
      </c>
      <c r="CS668">
        <v>30</v>
      </c>
    </row>
    <row r="669" spans="1:97" x14ac:dyDescent="0.25">
      <c r="A669" t="s">
        <v>8446</v>
      </c>
      <c r="C669" t="s">
        <v>6888</v>
      </c>
      <c r="K669" s="5" t="s">
        <v>6874</v>
      </c>
      <c r="L669" s="5" t="s">
        <v>6980</v>
      </c>
      <c r="AC669">
        <v>2</v>
      </c>
      <c r="AG669" t="s">
        <v>6876</v>
      </c>
      <c r="AN669">
        <v>1</v>
      </c>
      <c r="AY669" s="5"/>
      <c r="BD669">
        <v>1</v>
      </c>
      <c r="BV669"/>
      <c r="BW669"/>
      <c r="BX669"/>
      <c r="BY669"/>
      <c r="BZ669"/>
      <c r="CA669"/>
      <c r="CB669" s="5"/>
      <c r="CC669" s="5"/>
      <c r="CD669" s="5"/>
      <c r="CE669" s="5"/>
      <c r="CF669" s="5"/>
      <c r="CG669" s="5"/>
      <c r="CI669" s="5"/>
      <c r="CJ669" s="5"/>
      <c r="CK669" s="5"/>
      <c r="CL669" s="5"/>
      <c r="CM669" s="5"/>
      <c r="CN669" s="5"/>
      <c r="CO669" s="9" t="s">
        <v>8444</v>
      </c>
      <c r="CP669" t="s">
        <v>8445</v>
      </c>
      <c r="CS669">
        <v>60</v>
      </c>
    </row>
    <row r="670" spans="1:97" x14ac:dyDescent="0.25">
      <c r="A670" t="s">
        <v>8447</v>
      </c>
      <c r="C670" t="s">
        <v>6888</v>
      </c>
      <c r="K670" s="5" t="s">
        <v>6874</v>
      </c>
      <c r="L670" s="5" t="s">
        <v>7234</v>
      </c>
      <c r="AC670">
        <v>2</v>
      </c>
      <c r="AG670" t="s">
        <v>6876</v>
      </c>
      <c r="AN670">
        <v>1</v>
      </c>
      <c r="BD670">
        <v>1</v>
      </c>
      <c r="CO670" s="9" t="s">
        <v>8447</v>
      </c>
      <c r="CP670" t="s">
        <v>8448</v>
      </c>
      <c r="CS670">
        <v>99999</v>
      </c>
    </row>
    <row r="671" spans="1:97" x14ac:dyDescent="0.25">
      <c r="A671" t="s">
        <v>8449</v>
      </c>
      <c r="C671" t="s">
        <v>6888</v>
      </c>
      <c r="AC671">
        <v>1</v>
      </c>
      <c r="AN671">
        <v>1</v>
      </c>
      <c r="AO671" t="s">
        <v>6972</v>
      </c>
      <c r="AP671" t="s">
        <v>8311</v>
      </c>
      <c r="AV671">
        <v>1.3</v>
      </c>
      <c r="AX671" t="s">
        <v>6997</v>
      </c>
      <c r="AZ671">
        <v>1</v>
      </c>
      <c r="BD671">
        <v>1</v>
      </c>
      <c r="CB671" t="s">
        <v>134</v>
      </c>
      <c r="CH671" t="s">
        <v>6977</v>
      </c>
    </row>
    <row r="672" spans="1:97" x14ac:dyDescent="0.25">
      <c r="A672" t="s">
        <v>8450</v>
      </c>
      <c r="C672" t="s">
        <v>6888</v>
      </c>
      <c r="J672" t="s">
        <v>6905</v>
      </c>
      <c r="R672" t="s">
        <v>8450</v>
      </c>
      <c r="AC672">
        <v>1</v>
      </c>
      <c r="AN672">
        <v>1</v>
      </c>
      <c r="AV672">
        <v>99</v>
      </c>
      <c r="AZ672">
        <v>0</v>
      </c>
      <c r="BD672">
        <v>1</v>
      </c>
      <c r="BV672" s="8">
        <v>0</v>
      </c>
      <c r="BW672" s="8">
        <v>25</v>
      </c>
      <c r="BX672" s="8">
        <v>1</v>
      </c>
      <c r="BY672" s="8" t="s">
        <v>6907</v>
      </c>
      <c r="CB672" t="s">
        <v>8328</v>
      </c>
      <c r="CH672" t="s">
        <v>6977</v>
      </c>
      <c r="CO672" s="9" t="s">
        <v>8450</v>
      </c>
      <c r="CP672">
        <v>-0.5</v>
      </c>
      <c r="CS672">
        <v>25</v>
      </c>
    </row>
    <row r="673" spans="1:101" x14ac:dyDescent="0.25">
      <c r="A673" t="s">
        <v>8451</v>
      </c>
      <c r="C673" t="s">
        <v>6888</v>
      </c>
      <c r="J673" t="s">
        <v>6905</v>
      </c>
      <c r="R673" t="s">
        <v>8450</v>
      </c>
      <c r="AC673">
        <v>1</v>
      </c>
      <c r="AN673">
        <v>1</v>
      </c>
      <c r="AV673">
        <v>99</v>
      </c>
      <c r="AZ673">
        <v>0</v>
      </c>
      <c r="BD673">
        <v>1</v>
      </c>
      <c r="BV673" s="8">
        <v>0</v>
      </c>
      <c r="BW673" s="8">
        <v>15</v>
      </c>
      <c r="BX673" s="8">
        <v>1</v>
      </c>
      <c r="BY673" s="8" t="s">
        <v>6907</v>
      </c>
      <c r="CB673" t="s">
        <v>8328</v>
      </c>
      <c r="CH673" t="s">
        <v>6977</v>
      </c>
      <c r="CO673" s="9" t="s">
        <v>8450</v>
      </c>
      <c r="CP673">
        <v>-0.5</v>
      </c>
      <c r="CS673">
        <v>25</v>
      </c>
    </row>
    <row r="674" spans="1:101" x14ac:dyDescent="0.25">
      <c r="A674" t="s">
        <v>8452</v>
      </c>
      <c r="C674" t="s">
        <v>6888</v>
      </c>
      <c r="J674" t="s">
        <v>6905</v>
      </c>
      <c r="R674" t="s">
        <v>8450</v>
      </c>
      <c r="AC674">
        <v>1</v>
      </c>
      <c r="AN674">
        <v>1</v>
      </c>
      <c r="AV674">
        <v>99</v>
      </c>
      <c r="AZ674">
        <v>0</v>
      </c>
      <c r="BD674">
        <v>1</v>
      </c>
      <c r="BV674" s="8">
        <v>0</v>
      </c>
      <c r="BW674" s="8">
        <v>10</v>
      </c>
      <c r="BX674" s="8">
        <v>1</v>
      </c>
      <c r="BY674" s="8" t="s">
        <v>6907</v>
      </c>
      <c r="CB674" t="s">
        <v>8328</v>
      </c>
      <c r="CH674" t="s">
        <v>6977</v>
      </c>
      <c r="CO674" s="9" t="s">
        <v>8450</v>
      </c>
      <c r="CP674">
        <v>-0.5</v>
      </c>
      <c r="CS674">
        <v>25</v>
      </c>
    </row>
    <row r="675" spans="1:101" x14ac:dyDescent="0.25">
      <c r="A675" t="s">
        <v>8453</v>
      </c>
      <c r="C675" t="s">
        <v>7468</v>
      </c>
      <c r="K675" s="5" t="s">
        <v>6874</v>
      </c>
      <c r="L675" s="5" t="s">
        <v>7469</v>
      </c>
      <c r="N675" s="5">
        <v>1</v>
      </c>
      <c r="AC675">
        <v>2</v>
      </c>
      <c r="AG675" t="s">
        <v>6876</v>
      </c>
      <c r="AH675">
        <v>1</v>
      </c>
      <c r="AN675">
        <v>1</v>
      </c>
      <c r="AY675">
        <v>1</v>
      </c>
      <c r="BD675">
        <v>1</v>
      </c>
      <c r="BP675" s="7" t="s">
        <v>8454</v>
      </c>
      <c r="BS675">
        <v>5</v>
      </c>
      <c r="CV675" t="s">
        <v>8455</v>
      </c>
    </row>
    <row r="676" spans="1:101" x14ac:dyDescent="0.25">
      <c r="A676" t="s">
        <v>8456</v>
      </c>
      <c r="C676" t="s">
        <v>6888</v>
      </c>
      <c r="K676" s="5" t="s">
        <v>6874</v>
      </c>
      <c r="Y676">
        <v>1</v>
      </c>
      <c r="AB676">
        <v>1</v>
      </c>
      <c r="AC676">
        <v>2</v>
      </c>
      <c r="AG676" t="s">
        <v>6876</v>
      </c>
      <c r="AN676">
        <v>1</v>
      </c>
      <c r="BD676">
        <v>1</v>
      </c>
      <c r="BS676">
        <v>5</v>
      </c>
      <c r="CB676" t="s">
        <v>7920</v>
      </c>
      <c r="CH676" t="s">
        <v>7394</v>
      </c>
    </row>
    <row r="677" spans="1:101" x14ac:dyDescent="0.25">
      <c r="A677" t="s">
        <v>8457</v>
      </c>
      <c r="C677" t="s">
        <v>6888</v>
      </c>
      <c r="K677" s="5" t="s">
        <v>6874</v>
      </c>
      <c r="AC677">
        <v>2</v>
      </c>
      <c r="AG677" t="s">
        <v>6876</v>
      </c>
      <c r="AN677">
        <v>1</v>
      </c>
      <c r="AO677" t="s">
        <v>6972</v>
      </c>
      <c r="BD677">
        <v>1</v>
      </c>
      <c r="CO677" s="9" t="s">
        <v>8338</v>
      </c>
      <c r="CS677">
        <v>5</v>
      </c>
    </row>
    <row r="678" spans="1:101" x14ac:dyDescent="0.25">
      <c r="A678" t="s">
        <v>8458</v>
      </c>
      <c r="C678" t="s">
        <v>6888</v>
      </c>
      <c r="K678" s="5" t="s">
        <v>6874</v>
      </c>
      <c r="AC678">
        <v>2</v>
      </c>
      <c r="AG678" t="s">
        <v>6876</v>
      </c>
      <c r="AN678">
        <v>1</v>
      </c>
      <c r="AO678" t="s">
        <v>6972</v>
      </c>
      <c r="BD678">
        <v>1</v>
      </c>
      <c r="CO678" s="9" t="s">
        <v>8341</v>
      </c>
      <c r="CS678">
        <v>6</v>
      </c>
    </row>
    <row r="685" spans="1:101" x14ac:dyDescent="0.25">
      <c r="A685" t="s">
        <v>1418</v>
      </c>
      <c r="C685" t="s">
        <v>6888</v>
      </c>
      <c r="AC685">
        <v>1</v>
      </c>
      <c r="AN685">
        <v>1</v>
      </c>
      <c r="AO685" t="s">
        <v>6972</v>
      </c>
      <c r="AP685" t="s">
        <v>8311</v>
      </c>
      <c r="AV685">
        <v>2.6</v>
      </c>
      <c r="AX685" t="s">
        <v>6984</v>
      </c>
      <c r="AZ685">
        <v>1</v>
      </c>
      <c r="BD685">
        <v>1</v>
      </c>
      <c r="CB685" t="s">
        <v>134</v>
      </c>
      <c r="CH685" t="s">
        <v>6977</v>
      </c>
      <c r="CI685" t="s">
        <v>7492</v>
      </c>
      <c r="CJ685" t="s">
        <v>4249</v>
      </c>
    </row>
    <row r="686" spans="1:101" x14ac:dyDescent="0.25">
      <c r="AN686">
        <v>1</v>
      </c>
    </row>
    <row r="687" spans="1:101" x14ac:dyDescent="0.25">
      <c r="A687" t="s">
        <v>8459</v>
      </c>
      <c r="C687" t="s">
        <v>6888</v>
      </c>
      <c r="AC687">
        <v>1</v>
      </c>
      <c r="AN687">
        <v>1</v>
      </c>
      <c r="AO687" t="s">
        <v>6972</v>
      </c>
      <c r="AP687" t="s">
        <v>8311</v>
      </c>
      <c r="AV687">
        <v>2.2000000000000002</v>
      </c>
      <c r="AX687" t="s">
        <v>6997</v>
      </c>
      <c r="AZ687">
        <v>1</v>
      </c>
      <c r="BD687">
        <v>1</v>
      </c>
      <c r="BS687">
        <v>4</v>
      </c>
      <c r="CB687" t="s">
        <v>134</v>
      </c>
      <c r="CH687" t="s">
        <v>6977</v>
      </c>
      <c r="CI687" t="s">
        <v>6998</v>
      </c>
      <c r="CJ687" t="s">
        <v>8321</v>
      </c>
    </row>
    <row r="688" spans="1:101" x14ac:dyDescent="0.25">
      <c r="A688" t="s">
        <v>8460</v>
      </c>
      <c r="C688" t="s">
        <v>6888</v>
      </c>
      <c r="J688" t="s">
        <v>6905</v>
      </c>
      <c r="K688" s="5" t="s">
        <v>6907</v>
      </c>
      <c r="AC688">
        <v>1</v>
      </c>
      <c r="AN688">
        <v>1</v>
      </c>
      <c r="AO688" t="s">
        <v>6972</v>
      </c>
      <c r="AP688" t="s">
        <v>8311</v>
      </c>
      <c r="AV688">
        <v>2.2000000000000002</v>
      </c>
      <c r="AX688" t="s">
        <v>6997</v>
      </c>
      <c r="AZ688">
        <v>1</v>
      </c>
      <c r="BD688">
        <v>1</v>
      </c>
      <c r="BS688">
        <v>4</v>
      </c>
      <c r="BT688">
        <v>0.2</v>
      </c>
      <c r="BV688" s="8">
        <v>0</v>
      </c>
      <c r="BW688" s="8">
        <v>1</v>
      </c>
      <c r="BX688" s="8">
        <v>1</v>
      </c>
      <c r="BY688" s="8" t="s">
        <v>7061</v>
      </c>
      <c r="CB688" t="s">
        <v>134</v>
      </c>
      <c r="CH688" t="s">
        <v>6977</v>
      </c>
      <c r="CI688" t="s">
        <v>6998</v>
      </c>
      <c r="CJ688" t="s">
        <v>8321</v>
      </c>
      <c r="CO688" s="9" t="s">
        <v>8322</v>
      </c>
      <c r="CP688">
        <v>-30</v>
      </c>
      <c r="CS688">
        <v>10</v>
      </c>
      <c r="CW688" t="s">
        <v>8461</v>
      </c>
    </row>
    <row r="689" spans="1:110" x14ac:dyDescent="0.25">
      <c r="A689" t="s">
        <v>238</v>
      </c>
      <c r="C689" t="s">
        <v>4959</v>
      </c>
      <c r="AC689">
        <v>1</v>
      </c>
      <c r="AN689">
        <v>1</v>
      </c>
      <c r="AO689" t="s">
        <v>6972</v>
      </c>
      <c r="AV689">
        <v>0</v>
      </c>
      <c r="AX689" t="s">
        <v>6984</v>
      </c>
      <c r="AZ689">
        <v>1</v>
      </c>
      <c r="BD689">
        <v>1</v>
      </c>
      <c r="CB689" t="s">
        <v>134</v>
      </c>
      <c r="CH689" t="s">
        <v>6977</v>
      </c>
      <c r="CK689" t="s">
        <v>8462</v>
      </c>
    </row>
    <row r="690" spans="1:110" x14ac:dyDescent="0.25">
      <c r="A690" t="s">
        <v>8463</v>
      </c>
      <c r="C690" t="s">
        <v>4959</v>
      </c>
      <c r="AC690">
        <v>1</v>
      </c>
      <c r="AN690">
        <v>1</v>
      </c>
      <c r="AO690" t="s">
        <v>6972</v>
      </c>
      <c r="AV690">
        <v>0</v>
      </c>
      <c r="AX690" t="s">
        <v>6984</v>
      </c>
      <c r="AZ690">
        <v>1</v>
      </c>
      <c r="BD690">
        <v>1</v>
      </c>
      <c r="BS690">
        <v>1</v>
      </c>
      <c r="CB690" t="s">
        <v>134</v>
      </c>
      <c r="CH690" t="s">
        <v>6977</v>
      </c>
      <c r="CK690" t="s">
        <v>8462</v>
      </c>
    </row>
    <row r="691" spans="1:110" x14ac:dyDescent="0.25">
      <c r="AN691">
        <v>1</v>
      </c>
    </row>
    <row r="692" spans="1:110" x14ac:dyDescent="0.25">
      <c r="A692" t="s">
        <v>260</v>
      </c>
      <c r="C692" t="s">
        <v>6888</v>
      </c>
      <c r="AC692">
        <v>1</v>
      </c>
      <c r="AN692">
        <v>1</v>
      </c>
      <c r="AO692" t="s">
        <v>6972</v>
      </c>
      <c r="AP692" t="s">
        <v>8311</v>
      </c>
      <c r="AV692">
        <v>1.9</v>
      </c>
      <c r="AX692" t="s">
        <v>6984</v>
      </c>
      <c r="AZ692">
        <v>1</v>
      </c>
      <c r="BD692">
        <v>1</v>
      </c>
      <c r="BS692">
        <v>2.4</v>
      </c>
      <c r="CB692" t="s">
        <v>134</v>
      </c>
      <c r="CH692" t="s">
        <v>6977</v>
      </c>
      <c r="CI692" t="s">
        <v>6991</v>
      </c>
      <c r="CJ692" t="s">
        <v>8354</v>
      </c>
      <c r="CK692" t="s">
        <v>8462</v>
      </c>
    </row>
    <row r="693" spans="1:110" x14ac:dyDescent="0.25">
      <c r="AN693">
        <v>1</v>
      </c>
    </row>
    <row r="694" spans="1:110" x14ac:dyDescent="0.25">
      <c r="A694" t="s">
        <v>266</v>
      </c>
      <c r="C694" t="s">
        <v>4959</v>
      </c>
      <c r="AC694">
        <v>1</v>
      </c>
      <c r="AN694">
        <v>1</v>
      </c>
      <c r="AO694" t="s">
        <v>6972</v>
      </c>
      <c r="AV694">
        <v>0</v>
      </c>
      <c r="AX694" t="s">
        <v>6984</v>
      </c>
      <c r="AZ694">
        <v>1</v>
      </c>
      <c r="BD694">
        <v>1</v>
      </c>
      <c r="BS694">
        <v>3</v>
      </c>
      <c r="CB694" t="s">
        <v>134</v>
      </c>
      <c r="CH694" t="s">
        <v>6977</v>
      </c>
      <c r="CK694" t="s">
        <v>8464</v>
      </c>
    </row>
    <row r="695" spans="1:110" x14ac:dyDescent="0.25">
      <c r="A695" t="s">
        <v>1456</v>
      </c>
      <c r="C695" t="s">
        <v>4959</v>
      </c>
      <c r="AC695">
        <v>1</v>
      </c>
      <c r="AN695">
        <v>1</v>
      </c>
      <c r="AO695" t="s">
        <v>6972</v>
      </c>
      <c r="AV695">
        <v>0</v>
      </c>
      <c r="AX695" t="s">
        <v>6984</v>
      </c>
      <c r="AZ695">
        <v>1</v>
      </c>
      <c r="BD695">
        <v>1</v>
      </c>
      <c r="BS695">
        <v>3</v>
      </c>
      <c r="CB695" t="s">
        <v>134</v>
      </c>
      <c r="CH695" t="s">
        <v>6977</v>
      </c>
      <c r="CK695" t="s">
        <v>8465</v>
      </c>
    </row>
    <row r="696" spans="1:110" x14ac:dyDescent="0.25">
      <c r="A696" t="s">
        <v>8466</v>
      </c>
      <c r="C696" t="s">
        <v>4959</v>
      </c>
      <c r="AC696">
        <v>1</v>
      </c>
      <c r="AN696">
        <v>1</v>
      </c>
      <c r="AO696" t="s">
        <v>6972</v>
      </c>
      <c r="AV696">
        <v>0</v>
      </c>
      <c r="AX696" t="s">
        <v>6984</v>
      </c>
      <c r="AZ696">
        <v>1</v>
      </c>
      <c r="BD696">
        <v>1</v>
      </c>
      <c r="BS696">
        <v>1.7</v>
      </c>
      <c r="CB696" t="s">
        <v>134</v>
      </c>
      <c r="CH696" t="s">
        <v>6977</v>
      </c>
    </row>
    <row r="697" spans="1:110" x14ac:dyDescent="0.25">
      <c r="A697" t="s">
        <v>8467</v>
      </c>
      <c r="C697" t="s">
        <v>6888</v>
      </c>
      <c r="K697" s="5" t="s">
        <v>6874</v>
      </c>
      <c r="L697" s="5" t="s">
        <v>7987</v>
      </c>
      <c r="X697" s="5">
        <v>1</v>
      </c>
      <c r="AB697">
        <v>1</v>
      </c>
      <c r="AC697">
        <v>1</v>
      </c>
      <c r="AN697">
        <v>1</v>
      </c>
      <c r="AO697" t="s">
        <v>6972</v>
      </c>
      <c r="AV697">
        <v>1.65</v>
      </c>
      <c r="AX697" t="s">
        <v>6984</v>
      </c>
      <c r="AZ697">
        <v>2</v>
      </c>
      <c r="BD697">
        <v>99</v>
      </c>
      <c r="BS697">
        <v>0.2</v>
      </c>
      <c r="CO697" s="9" t="s">
        <v>8322</v>
      </c>
      <c r="CP697">
        <v>-30</v>
      </c>
      <c r="CS697">
        <v>10</v>
      </c>
      <c r="DF697">
        <v>1</v>
      </c>
    </row>
    <row r="698" spans="1:110" x14ac:dyDescent="0.25">
      <c r="A698" t="s">
        <v>1461</v>
      </c>
      <c r="C698" t="s">
        <v>6888</v>
      </c>
      <c r="N698" s="5">
        <v>1</v>
      </c>
      <c r="AC698">
        <v>1</v>
      </c>
      <c r="AN698">
        <v>1</v>
      </c>
      <c r="AV698">
        <v>2</v>
      </c>
      <c r="AX698" t="s">
        <v>6984</v>
      </c>
      <c r="AZ698">
        <v>1</v>
      </c>
      <c r="BD698">
        <v>1</v>
      </c>
      <c r="BJ698">
        <v>1.4</v>
      </c>
      <c r="BK698">
        <v>1</v>
      </c>
      <c r="BL698">
        <v>1</v>
      </c>
      <c r="BP698" s="7" t="s">
        <v>8367</v>
      </c>
      <c r="CB698" t="s">
        <v>134</v>
      </c>
      <c r="CH698" t="s">
        <v>6977</v>
      </c>
      <c r="CI698" t="s">
        <v>8368</v>
      </c>
      <c r="CJ698" t="s">
        <v>4249</v>
      </c>
      <c r="CO698" s="9" t="s">
        <v>8322</v>
      </c>
      <c r="CP698">
        <v>-30</v>
      </c>
      <c r="CS698">
        <v>10</v>
      </c>
      <c r="CZ698" t="s">
        <v>7522</v>
      </c>
    </row>
    <row r="699" spans="1:110" x14ac:dyDescent="0.25">
      <c r="A699" t="s">
        <v>8468</v>
      </c>
      <c r="C699" t="s">
        <v>6888</v>
      </c>
      <c r="K699" s="5" t="s">
        <v>6874</v>
      </c>
      <c r="AC699">
        <v>2</v>
      </c>
      <c r="AD699">
        <v>1</v>
      </c>
      <c r="AG699" t="s">
        <v>6876</v>
      </c>
      <c r="AN699">
        <v>1</v>
      </c>
      <c r="BD699">
        <v>1</v>
      </c>
      <c r="CO699" s="9" t="s">
        <v>8369</v>
      </c>
      <c r="CP699">
        <v>1</v>
      </c>
      <c r="CS699">
        <v>99999</v>
      </c>
    </row>
    <row r="701" spans="1:110" x14ac:dyDescent="0.25">
      <c r="A701" t="s">
        <v>8469</v>
      </c>
      <c r="C701" t="s">
        <v>6888</v>
      </c>
      <c r="K701" s="5" t="s">
        <v>6874</v>
      </c>
      <c r="L701" s="5" t="s">
        <v>6980</v>
      </c>
      <c r="AC701">
        <v>2</v>
      </c>
      <c r="AG701" t="s">
        <v>6876</v>
      </c>
      <c r="AN701">
        <v>1</v>
      </c>
      <c r="AY701" s="5"/>
      <c r="BD701">
        <v>1</v>
      </c>
      <c r="BV701"/>
      <c r="BW701"/>
      <c r="BX701"/>
      <c r="BY701"/>
      <c r="BZ701"/>
      <c r="CA701"/>
      <c r="CB701" s="5"/>
      <c r="CC701" s="5"/>
      <c r="CD701" s="5"/>
      <c r="CE701" s="5"/>
      <c r="CF701" s="5"/>
      <c r="CG701" s="5"/>
      <c r="CI701" s="5"/>
      <c r="CJ701" s="5"/>
      <c r="CK701" s="5"/>
      <c r="CL701" s="5"/>
      <c r="CM701" s="5"/>
      <c r="CN701" s="5"/>
      <c r="CO701" s="9" t="s">
        <v>8469</v>
      </c>
      <c r="CS701">
        <v>9999</v>
      </c>
    </row>
    <row r="702" spans="1:110" x14ac:dyDescent="0.25">
      <c r="A702" t="s">
        <v>8470</v>
      </c>
      <c r="C702" t="s">
        <v>6888</v>
      </c>
      <c r="K702" s="5" t="s">
        <v>6874</v>
      </c>
      <c r="L702" s="5" t="s">
        <v>6980</v>
      </c>
      <c r="AC702">
        <v>2</v>
      </c>
      <c r="AG702" t="s">
        <v>6876</v>
      </c>
      <c r="AN702">
        <v>1</v>
      </c>
      <c r="AY702" s="5"/>
      <c r="BD702">
        <v>1</v>
      </c>
      <c r="BV702"/>
      <c r="BW702"/>
      <c r="BX702"/>
      <c r="BY702"/>
      <c r="BZ702"/>
      <c r="CA702"/>
      <c r="CB702" s="5"/>
      <c r="CC702" s="5"/>
      <c r="CD702" s="5"/>
      <c r="CE702" s="5"/>
      <c r="CF702" s="5"/>
      <c r="CG702" s="5"/>
      <c r="CI702" s="5"/>
      <c r="CJ702" s="5"/>
      <c r="CK702" s="5"/>
      <c r="CL702" s="5"/>
      <c r="CM702" s="5"/>
      <c r="CN702" s="5"/>
      <c r="CO702" s="9" t="s">
        <v>8470</v>
      </c>
      <c r="CS702">
        <v>9999</v>
      </c>
    </row>
    <row r="703" spans="1:110" x14ac:dyDescent="0.25">
      <c r="A703" t="s">
        <v>8471</v>
      </c>
      <c r="C703" t="s">
        <v>6888</v>
      </c>
      <c r="K703" s="5" t="s">
        <v>6874</v>
      </c>
      <c r="L703" s="5" t="s">
        <v>8472</v>
      </c>
      <c r="AC703">
        <v>1</v>
      </c>
      <c r="AE703">
        <v>1</v>
      </c>
      <c r="AN703">
        <v>1</v>
      </c>
      <c r="AX703" t="s">
        <v>6984</v>
      </c>
      <c r="AY703" s="5"/>
      <c r="AZ703">
        <v>1</v>
      </c>
      <c r="BD703">
        <v>1</v>
      </c>
      <c r="BV703"/>
      <c r="BW703"/>
      <c r="BX703"/>
      <c r="BY703"/>
      <c r="BZ703"/>
      <c r="CA703"/>
      <c r="CB703" t="s">
        <v>134</v>
      </c>
      <c r="CD703" s="5">
        <v>0</v>
      </c>
      <c r="CE703" s="5"/>
      <c r="CF703" s="5"/>
      <c r="CG703" s="5"/>
      <c r="CH703" t="s">
        <v>6977</v>
      </c>
      <c r="CI703" s="5"/>
      <c r="CJ703" s="5"/>
      <c r="CK703" s="5"/>
      <c r="CL703" s="5"/>
      <c r="CM703" s="5"/>
      <c r="CN703" s="5"/>
    </row>
    <row r="704" spans="1:110" x14ac:dyDescent="0.25">
      <c r="A704" t="s">
        <v>8473</v>
      </c>
      <c r="C704" t="s">
        <v>6888</v>
      </c>
      <c r="K704" s="5" t="s">
        <v>6874</v>
      </c>
      <c r="L704" s="5" t="s">
        <v>6980</v>
      </c>
      <c r="AC704">
        <v>2</v>
      </c>
      <c r="AF704">
        <v>1</v>
      </c>
      <c r="AG704" t="s">
        <v>6876</v>
      </c>
      <c r="AN704">
        <v>1</v>
      </c>
      <c r="AY704" s="5"/>
      <c r="BD704">
        <v>1</v>
      </c>
      <c r="BV704"/>
      <c r="BW704"/>
      <c r="BX704"/>
      <c r="BY704"/>
      <c r="BZ704"/>
      <c r="CA704"/>
      <c r="CB704" s="5"/>
      <c r="CC704" s="5"/>
      <c r="CD704" s="5"/>
      <c r="CE704" s="5"/>
      <c r="CF704" s="5"/>
      <c r="CG704" s="5"/>
      <c r="CI704" s="5"/>
      <c r="CJ704" s="5"/>
      <c r="CK704" s="5"/>
      <c r="CL704" s="5"/>
      <c r="CM704" s="5"/>
      <c r="CN704" s="5"/>
      <c r="CO704" s="9" t="s">
        <v>8474</v>
      </c>
      <c r="CS704">
        <v>9999</v>
      </c>
    </row>
    <row r="705" spans="1:104" x14ac:dyDescent="0.25">
      <c r="A705" t="s">
        <v>1492</v>
      </c>
      <c r="C705" t="s">
        <v>6888</v>
      </c>
      <c r="N705" s="5">
        <v>1</v>
      </c>
      <c r="T705" s="5">
        <v>0.99999000000000005</v>
      </c>
      <c r="AC705">
        <v>2</v>
      </c>
      <c r="AN705">
        <v>1</v>
      </c>
      <c r="AV705">
        <v>99</v>
      </c>
      <c r="AY705" s="5"/>
      <c r="BD705">
        <v>99</v>
      </c>
      <c r="BP705" s="7" t="s">
        <v>8475</v>
      </c>
      <c r="BV705"/>
      <c r="BW705"/>
      <c r="BX705"/>
      <c r="BY705"/>
      <c r="BZ705"/>
      <c r="CA705"/>
      <c r="CB705" t="s">
        <v>8476</v>
      </c>
      <c r="CD705" s="5"/>
      <c r="CE705" s="5"/>
      <c r="CF705" s="5"/>
      <c r="CG705" s="5"/>
      <c r="CH705" t="s">
        <v>6977</v>
      </c>
      <c r="CI705" s="5"/>
      <c r="CJ705" s="5"/>
      <c r="CK705" s="5"/>
      <c r="CL705" s="5"/>
      <c r="CM705" s="5"/>
      <c r="CN705" s="5"/>
      <c r="CO705" s="9" t="s">
        <v>8477</v>
      </c>
      <c r="CQ705" t="s">
        <v>8478</v>
      </c>
      <c r="CS705">
        <v>9999</v>
      </c>
    </row>
    <row r="706" spans="1:104" x14ac:dyDescent="0.25">
      <c r="A706" t="s">
        <v>8475</v>
      </c>
      <c r="C706" t="s">
        <v>6888</v>
      </c>
      <c r="K706" s="5" t="s">
        <v>6874</v>
      </c>
      <c r="AC706">
        <v>2</v>
      </c>
      <c r="AG706" t="s">
        <v>6876</v>
      </c>
      <c r="AN706">
        <v>1</v>
      </c>
      <c r="AY706" s="5"/>
      <c r="AZ706">
        <v>1</v>
      </c>
      <c r="BD706">
        <v>1</v>
      </c>
      <c r="BV706"/>
      <c r="BW706"/>
      <c r="BX706"/>
      <c r="BY706"/>
      <c r="BZ706"/>
      <c r="CA706"/>
      <c r="CD706" s="5"/>
      <c r="CE706" s="5"/>
      <c r="CF706" s="5"/>
      <c r="CG706" s="5"/>
      <c r="CI706" s="5"/>
      <c r="CJ706" s="5"/>
      <c r="CK706" s="5"/>
      <c r="CL706" s="5"/>
      <c r="CM706" s="5"/>
      <c r="CN706" s="5"/>
      <c r="CO706" s="9" t="s">
        <v>8479</v>
      </c>
      <c r="CR706" t="s">
        <v>8478</v>
      </c>
      <c r="CS706">
        <v>9999</v>
      </c>
    </row>
    <row r="707" spans="1:104" x14ac:dyDescent="0.25">
      <c r="A707" t="s">
        <v>8480</v>
      </c>
      <c r="C707" t="s">
        <v>6888</v>
      </c>
      <c r="N707" s="5">
        <v>1</v>
      </c>
      <c r="P707" s="5" t="s">
        <v>1519</v>
      </c>
      <c r="T707" s="5">
        <v>0.99999000000000005</v>
      </c>
      <c r="AC707">
        <v>2</v>
      </c>
      <c r="AG707" t="s">
        <v>6876</v>
      </c>
      <c r="AN707">
        <v>1</v>
      </c>
      <c r="AY707" s="5"/>
      <c r="BD707">
        <v>1</v>
      </c>
      <c r="BV707"/>
      <c r="BW707"/>
      <c r="BX707"/>
      <c r="BY707"/>
      <c r="BZ707"/>
      <c r="CA707"/>
      <c r="CD707" s="5"/>
      <c r="CE707" s="5"/>
      <c r="CF707" s="5"/>
      <c r="CG707" s="5"/>
      <c r="CI707" s="5"/>
      <c r="CJ707" s="5"/>
      <c r="CK707" s="5"/>
      <c r="CL707" s="5"/>
      <c r="CM707" s="5"/>
      <c r="CN707" s="5"/>
      <c r="CO707" s="9" t="s">
        <v>1519</v>
      </c>
      <c r="CS707">
        <v>9999</v>
      </c>
    </row>
    <row r="708" spans="1:104" x14ac:dyDescent="0.25">
      <c r="A708" t="s">
        <v>8481</v>
      </c>
      <c r="C708" t="s">
        <v>6888</v>
      </c>
      <c r="N708" s="5">
        <v>1</v>
      </c>
      <c r="P708" s="5" t="s">
        <v>8482</v>
      </c>
      <c r="T708" s="5">
        <v>0.99999000000000005</v>
      </c>
      <c r="AC708">
        <v>2</v>
      </c>
      <c r="AG708" t="s">
        <v>6876</v>
      </c>
      <c r="AN708">
        <v>1</v>
      </c>
      <c r="AY708" s="5"/>
      <c r="BD708">
        <v>1</v>
      </c>
      <c r="BV708"/>
      <c r="BW708"/>
      <c r="BX708"/>
      <c r="BY708"/>
      <c r="BZ708"/>
      <c r="CA708"/>
      <c r="CD708" s="5"/>
      <c r="CE708" s="5"/>
      <c r="CF708" s="5"/>
      <c r="CG708" s="5"/>
      <c r="CI708" s="5"/>
      <c r="CJ708" s="5"/>
      <c r="CK708" s="5"/>
      <c r="CL708" s="5"/>
      <c r="CM708" s="5"/>
      <c r="CN708" s="5"/>
      <c r="CO708" s="9" t="s">
        <v>8482</v>
      </c>
      <c r="CS708">
        <v>9999</v>
      </c>
    </row>
    <row r="709" spans="1:104" x14ac:dyDescent="0.25">
      <c r="A709" t="s">
        <v>8483</v>
      </c>
      <c r="C709" t="s">
        <v>6888</v>
      </c>
      <c r="O709" s="5" t="s">
        <v>1519</v>
      </c>
      <c r="AC709">
        <v>1</v>
      </c>
      <c r="AN709">
        <v>1</v>
      </c>
      <c r="AO709" t="s">
        <v>6972</v>
      </c>
      <c r="AP709" t="s">
        <v>8311</v>
      </c>
      <c r="AV709">
        <v>3</v>
      </c>
      <c r="AX709" t="s">
        <v>6997</v>
      </c>
      <c r="AZ709">
        <v>1</v>
      </c>
      <c r="BD709">
        <v>2</v>
      </c>
      <c r="CB709" t="s">
        <v>8484</v>
      </c>
      <c r="CH709" t="s">
        <v>6977</v>
      </c>
      <c r="CZ709" t="s">
        <v>7057</v>
      </c>
    </row>
    <row r="710" spans="1:104" x14ac:dyDescent="0.25">
      <c r="A710" t="s">
        <v>8485</v>
      </c>
      <c r="C710" t="s">
        <v>4959</v>
      </c>
      <c r="O710" s="5" t="s">
        <v>8482</v>
      </c>
      <c r="AC710">
        <v>1</v>
      </c>
      <c r="AN710">
        <v>1</v>
      </c>
      <c r="AO710" t="s">
        <v>6972</v>
      </c>
      <c r="AV710">
        <v>0</v>
      </c>
      <c r="AX710" t="s">
        <v>6997</v>
      </c>
      <c r="AZ710">
        <v>1</v>
      </c>
      <c r="BD710">
        <v>1</v>
      </c>
      <c r="CB710" t="s">
        <v>134</v>
      </c>
      <c r="CH710" t="s">
        <v>6977</v>
      </c>
    </row>
    <row r="711" spans="1:104" x14ac:dyDescent="0.25">
      <c r="A711" t="s">
        <v>8486</v>
      </c>
      <c r="C711" t="s">
        <v>6888</v>
      </c>
      <c r="N711" s="5">
        <v>1</v>
      </c>
      <c r="O711" s="5" t="s">
        <v>8482</v>
      </c>
      <c r="AC711">
        <v>2</v>
      </c>
      <c r="AG711" t="s">
        <v>6876</v>
      </c>
      <c r="AN711">
        <v>1</v>
      </c>
      <c r="AY711" s="5"/>
      <c r="BD711">
        <v>1</v>
      </c>
      <c r="BS711">
        <v>1</v>
      </c>
      <c r="BV711"/>
      <c r="BW711"/>
      <c r="BX711"/>
      <c r="BY711"/>
      <c r="BZ711"/>
      <c r="CA711"/>
      <c r="CD711" s="5"/>
      <c r="CE711" s="5"/>
      <c r="CF711" s="5"/>
      <c r="CG711" s="5"/>
      <c r="CI711" s="5"/>
      <c r="CJ711" s="5"/>
      <c r="CK711" s="5"/>
      <c r="CL711" s="5"/>
      <c r="CM711" s="5"/>
      <c r="CN711" s="5"/>
      <c r="CO711" s="9" t="s">
        <v>8487</v>
      </c>
      <c r="CP711">
        <v>99999</v>
      </c>
      <c r="CQ711">
        <v>2</v>
      </c>
      <c r="CS711">
        <v>9999</v>
      </c>
    </row>
    <row r="713" spans="1:104" x14ac:dyDescent="0.25">
      <c r="A713" t="s">
        <v>1518</v>
      </c>
      <c r="C713" t="s">
        <v>4959</v>
      </c>
      <c r="AC713">
        <v>1</v>
      </c>
      <c r="AN713">
        <v>1</v>
      </c>
      <c r="AO713" t="s">
        <v>6972</v>
      </c>
      <c r="AV713">
        <v>0</v>
      </c>
      <c r="AX713" t="s">
        <v>6984</v>
      </c>
      <c r="AZ713">
        <v>1</v>
      </c>
      <c r="BD713">
        <v>1</v>
      </c>
      <c r="BJ713">
        <v>1</v>
      </c>
      <c r="BK713">
        <v>1</v>
      </c>
      <c r="BL713">
        <v>1</v>
      </c>
      <c r="CB713" t="s">
        <v>134</v>
      </c>
      <c r="CH713" t="s">
        <v>6977</v>
      </c>
    </row>
    <row r="714" spans="1:104" x14ac:dyDescent="0.25">
      <c r="A714" t="s">
        <v>8488</v>
      </c>
      <c r="C714" t="s">
        <v>6888</v>
      </c>
      <c r="K714" s="5" t="s">
        <v>6874</v>
      </c>
      <c r="L714" s="5" t="s">
        <v>6980</v>
      </c>
      <c r="AC714">
        <v>2</v>
      </c>
      <c r="AN714">
        <v>1</v>
      </c>
      <c r="AV714">
        <v>99</v>
      </c>
      <c r="BD714">
        <v>99</v>
      </c>
      <c r="BO714" s="7" t="s">
        <v>8489</v>
      </c>
      <c r="CO714" s="9" t="s">
        <v>8490</v>
      </c>
      <c r="CP714" t="s">
        <v>8491</v>
      </c>
      <c r="CS714">
        <v>9999</v>
      </c>
      <c r="CU714">
        <v>1</v>
      </c>
    </row>
    <row r="715" spans="1:104" x14ac:dyDescent="0.25">
      <c r="A715" t="s">
        <v>8489</v>
      </c>
      <c r="C715" t="s">
        <v>6888</v>
      </c>
      <c r="K715" s="5" t="s">
        <v>6874</v>
      </c>
      <c r="L715" s="5" t="s">
        <v>6892</v>
      </c>
      <c r="AC715">
        <v>2</v>
      </c>
      <c r="AF715">
        <v>1</v>
      </c>
      <c r="AN715">
        <v>1</v>
      </c>
      <c r="BD715">
        <v>1</v>
      </c>
      <c r="CO715" s="9" t="s">
        <v>8490</v>
      </c>
      <c r="CP715" t="s">
        <v>8491</v>
      </c>
      <c r="CS715">
        <v>9999</v>
      </c>
      <c r="CU715">
        <v>1</v>
      </c>
    </row>
    <row r="716" spans="1:104" x14ac:dyDescent="0.25">
      <c r="A716" t="s">
        <v>8492</v>
      </c>
      <c r="C716" t="s">
        <v>6888</v>
      </c>
      <c r="K716" s="5" t="s">
        <v>6874</v>
      </c>
      <c r="L716" s="5" t="s">
        <v>6980</v>
      </c>
      <c r="AC716">
        <v>2</v>
      </c>
      <c r="AG716" t="s">
        <v>6876</v>
      </c>
      <c r="AN716">
        <v>1</v>
      </c>
      <c r="AY716" s="5"/>
      <c r="BD716">
        <v>1</v>
      </c>
      <c r="BV716"/>
      <c r="BW716"/>
      <c r="BX716"/>
      <c r="BY716"/>
      <c r="BZ716"/>
      <c r="CA716"/>
      <c r="CB716" s="5"/>
      <c r="CC716" s="5"/>
      <c r="CD716" s="5"/>
      <c r="CE716" s="5"/>
      <c r="CF716" s="5"/>
      <c r="CG716" s="5"/>
      <c r="CI716" s="5"/>
      <c r="CJ716" s="5"/>
      <c r="CK716" s="5"/>
      <c r="CL716" s="5"/>
      <c r="CM716" s="5"/>
      <c r="CN716" s="5"/>
      <c r="CO716" s="9" t="s">
        <v>8492</v>
      </c>
      <c r="CP716">
        <v>0.3</v>
      </c>
      <c r="CS716">
        <v>9999</v>
      </c>
    </row>
    <row r="717" spans="1:104" x14ac:dyDescent="0.25">
      <c r="A717" t="s">
        <v>8493</v>
      </c>
      <c r="C717" t="s">
        <v>6888</v>
      </c>
      <c r="AC717">
        <v>1</v>
      </c>
      <c r="AN717">
        <v>1</v>
      </c>
      <c r="AO717" t="s">
        <v>6972</v>
      </c>
      <c r="AP717" t="s">
        <v>8311</v>
      </c>
      <c r="AV717">
        <v>2.2000000000000002</v>
      </c>
      <c r="AX717" t="s">
        <v>6984</v>
      </c>
      <c r="AZ717">
        <v>1</v>
      </c>
      <c r="BD717">
        <v>1</v>
      </c>
      <c r="CB717" t="s">
        <v>134</v>
      </c>
      <c r="CH717" t="s">
        <v>6977</v>
      </c>
      <c r="CI717" t="s">
        <v>6991</v>
      </c>
      <c r="CJ717" t="s">
        <v>4249</v>
      </c>
    </row>
    <row r="718" spans="1:104" x14ac:dyDescent="0.25">
      <c r="A718" t="s">
        <v>8494</v>
      </c>
      <c r="C718" t="s">
        <v>6888</v>
      </c>
      <c r="O718" t="s">
        <v>8490</v>
      </c>
      <c r="AC718">
        <v>1</v>
      </c>
      <c r="AN718">
        <v>1</v>
      </c>
      <c r="AO718" t="s">
        <v>6972</v>
      </c>
      <c r="AP718" t="s">
        <v>8311</v>
      </c>
      <c r="AV718">
        <v>2.2000000000000002</v>
      </c>
      <c r="AX718" t="s">
        <v>6984</v>
      </c>
      <c r="AZ718">
        <v>1</v>
      </c>
      <c r="BD718">
        <v>2</v>
      </c>
      <c r="CB718" t="s">
        <v>134</v>
      </c>
      <c r="CH718" t="s">
        <v>6977</v>
      </c>
      <c r="CI718" t="s">
        <v>6991</v>
      </c>
      <c r="CJ718" t="s">
        <v>4249</v>
      </c>
    </row>
    <row r="719" spans="1:104" x14ac:dyDescent="0.25">
      <c r="A719" t="s">
        <v>8495</v>
      </c>
      <c r="C719" t="s">
        <v>6888</v>
      </c>
      <c r="AC719">
        <v>1</v>
      </c>
      <c r="AN719">
        <v>1</v>
      </c>
      <c r="AO719" t="s">
        <v>6972</v>
      </c>
      <c r="AP719" t="s">
        <v>8311</v>
      </c>
      <c r="AV719">
        <v>15</v>
      </c>
      <c r="AX719" t="s">
        <v>6984</v>
      </c>
      <c r="AZ719">
        <v>1</v>
      </c>
      <c r="BD719">
        <v>1</v>
      </c>
      <c r="BJ719">
        <v>1.4</v>
      </c>
      <c r="BK719">
        <v>1</v>
      </c>
      <c r="BL719">
        <v>1</v>
      </c>
      <c r="BS719">
        <v>4.5</v>
      </c>
      <c r="CB719" t="s">
        <v>134</v>
      </c>
      <c r="CH719" t="s">
        <v>6977</v>
      </c>
      <c r="CI719" t="s">
        <v>8318</v>
      </c>
      <c r="CJ719" t="s">
        <v>8319</v>
      </c>
    </row>
    <row r="720" spans="1:104" x14ac:dyDescent="0.25">
      <c r="A720" t="s">
        <v>8496</v>
      </c>
      <c r="C720" t="s">
        <v>6888</v>
      </c>
      <c r="K720" s="5" t="s">
        <v>6874</v>
      </c>
      <c r="L720" s="5" t="s">
        <v>6980</v>
      </c>
      <c r="AC720">
        <v>2</v>
      </c>
      <c r="AG720" t="s">
        <v>6876</v>
      </c>
      <c r="AN720">
        <v>1</v>
      </c>
      <c r="AY720" s="5"/>
      <c r="BD720">
        <v>1</v>
      </c>
      <c r="BV720"/>
      <c r="BW720"/>
      <c r="BX720"/>
      <c r="BY720"/>
      <c r="BZ720"/>
      <c r="CA720"/>
      <c r="CB720" s="5"/>
      <c r="CC720" s="5"/>
      <c r="CD720" s="5"/>
      <c r="CE720" s="5"/>
      <c r="CF720" s="5"/>
      <c r="CG720" s="5"/>
      <c r="CI720" s="5"/>
      <c r="CJ720" s="5"/>
      <c r="CK720" s="5"/>
      <c r="CL720" s="5"/>
      <c r="CM720" s="5"/>
      <c r="CN720" s="5"/>
      <c r="CO720" s="9" t="s">
        <v>8496</v>
      </c>
      <c r="CP720">
        <v>50</v>
      </c>
      <c r="CS720">
        <v>9999</v>
      </c>
    </row>
    <row r="721" spans="1:102" x14ac:dyDescent="0.25">
      <c r="A721" t="s">
        <v>8497</v>
      </c>
      <c r="C721" t="s">
        <v>6888</v>
      </c>
      <c r="K721" s="5" t="s">
        <v>6874</v>
      </c>
      <c r="L721" s="5" t="s">
        <v>6980</v>
      </c>
      <c r="AC721">
        <v>2</v>
      </c>
      <c r="AG721" t="s">
        <v>6876</v>
      </c>
      <c r="AN721">
        <v>1</v>
      </c>
      <c r="AY721" s="5"/>
      <c r="BD721">
        <v>1</v>
      </c>
      <c r="BV721"/>
      <c r="BW721"/>
      <c r="BX721"/>
      <c r="BY721"/>
      <c r="BZ721"/>
      <c r="CA721"/>
      <c r="CB721" s="5"/>
      <c r="CC721" s="5"/>
      <c r="CD721" s="5"/>
      <c r="CE721" s="5"/>
      <c r="CF721" s="5"/>
      <c r="CG721" s="5"/>
      <c r="CI721" s="5"/>
      <c r="CJ721" s="5"/>
      <c r="CK721" s="5"/>
      <c r="CL721" s="5"/>
      <c r="CM721" s="5"/>
      <c r="CN721" s="5"/>
      <c r="CO721" s="9" t="s">
        <v>8497</v>
      </c>
      <c r="CP721">
        <v>0.5</v>
      </c>
      <c r="CS721">
        <v>9999</v>
      </c>
    </row>
    <row r="722" spans="1:102" x14ac:dyDescent="0.25">
      <c r="A722" t="s">
        <v>8498</v>
      </c>
      <c r="C722" t="s">
        <v>6888</v>
      </c>
      <c r="K722" s="5" t="s">
        <v>6874</v>
      </c>
      <c r="L722" s="5" t="s">
        <v>6980</v>
      </c>
      <c r="AC722">
        <v>2</v>
      </c>
      <c r="AG722" t="s">
        <v>6876</v>
      </c>
      <c r="AN722">
        <v>1</v>
      </c>
      <c r="AY722" s="5"/>
      <c r="BD722">
        <v>1</v>
      </c>
      <c r="BV722"/>
      <c r="BW722"/>
      <c r="BX722"/>
      <c r="BY722"/>
      <c r="BZ722"/>
      <c r="CA722"/>
      <c r="CB722" s="5"/>
      <c r="CC722" s="5"/>
      <c r="CD722" s="5"/>
      <c r="CE722" s="5"/>
      <c r="CF722" s="5"/>
      <c r="CG722" s="5"/>
      <c r="CI722" s="5"/>
      <c r="CJ722" s="5"/>
      <c r="CK722" s="5"/>
      <c r="CL722" s="5"/>
      <c r="CM722" s="5"/>
      <c r="CN722" s="5"/>
      <c r="CO722" s="9" t="s">
        <v>8497</v>
      </c>
      <c r="CP722">
        <v>0.8</v>
      </c>
      <c r="CS722">
        <v>9999</v>
      </c>
    </row>
    <row r="723" spans="1:102" x14ac:dyDescent="0.25">
      <c r="A723" t="s">
        <v>8499</v>
      </c>
      <c r="C723" t="s">
        <v>6888</v>
      </c>
      <c r="K723" s="5" t="s">
        <v>6874</v>
      </c>
      <c r="L723" s="5" t="s">
        <v>6980</v>
      </c>
      <c r="AC723">
        <v>2</v>
      </c>
      <c r="AG723" t="s">
        <v>6876</v>
      </c>
      <c r="AN723">
        <v>1</v>
      </c>
      <c r="AY723" s="5"/>
      <c r="BD723">
        <v>1</v>
      </c>
      <c r="BV723"/>
      <c r="BW723"/>
      <c r="BX723"/>
      <c r="BY723"/>
      <c r="BZ723"/>
      <c r="CA723"/>
      <c r="CB723" s="5"/>
      <c r="CC723" s="5"/>
      <c r="CD723" s="5"/>
      <c r="CE723" s="5"/>
      <c r="CF723" s="5"/>
      <c r="CG723" s="5"/>
      <c r="CI723" s="5"/>
      <c r="CJ723" s="5"/>
      <c r="CK723" s="5"/>
      <c r="CL723" s="5"/>
      <c r="CM723" s="5"/>
      <c r="CN723" s="5"/>
      <c r="CO723" s="9" t="s">
        <v>8499</v>
      </c>
      <c r="CS723">
        <v>9999</v>
      </c>
    </row>
    <row r="724" spans="1:102" x14ac:dyDescent="0.25">
      <c r="A724" t="s">
        <v>8500</v>
      </c>
      <c r="C724" t="s">
        <v>4959</v>
      </c>
      <c r="O724" t="s">
        <v>8501</v>
      </c>
      <c r="AC724">
        <v>1</v>
      </c>
      <c r="AN724">
        <v>1</v>
      </c>
      <c r="AO724" t="s">
        <v>6972</v>
      </c>
      <c r="AV724">
        <v>0</v>
      </c>
      <c r="AX724" t="s">
        <v>6997</v>
      </c>
      <c r="AZ724">
        <v>1</v>
      </c>
      <c r="BD724">
        <v>1</v>
      </c>
      <c r="CB724" t="s">
        <v>7192</v>
      </c>
      <c r="CH724" t="s">
        <v>6977</v>
      </c>
    </row>
    <row r="725" spans="1:102" x14ac:dyDescent="0.25">
      <c r="A725" t="s">
        <v>8502</v>
      </c>
      <c r="C725" t="s">
        <v>6888</v>
      </c>
      <c r="J725" t="s">
        <v>6905</v>
      </c>
      <c r="X725" s="5">
        <v>1</v>
      </c>
      <c r="Y725">
        <v>1</v>
      </c>
      <c r="AC725">
        <v>1</v>
      </c>
      <c r="AN725">
        <v>1</v>
      </c>
      <c r="AO725" t="s">
        <v>6972</v>
      </c>
      <c r="AV725">
        <v>1.5</v>
      </c>
      <c r="AX725" t="s">
        <v>6997</v>
      </c>
      <c r="AZ725">
        <v>1</v>
      </c>
      <c r="BD725">
        <v>99</v>
      </c>
      <c r="BS725">
        <v>5</v>
      </c>
      <c r="BT725">
        <v>0.2</v>
      </c>
      <c r="BV725" s="8">
        <v>0</v>
      </c>
      <c r="BW725" s="8">
        <v>5</v>
      </c>
      <c r="BX725" s="8">
        <v>1</v>
      </c>
      <c r="BY725" s="8" t="s">
        <v>6907</v>
      </c>
      <c r="CH725" t="s">
        <v>6977</v>
      </c>
      <c r="CS725">
        <v>10</v>
      </c>
      <c r="CX725" t="s">
        <v>7108</v>
      </c>
    </row>
    <row r="726" spans="1:102" x14ac:dyDescent="0.25">
      <c r="A726" t="s">
        <v>8503</v>
      </c>
      <c r="C726" t="s">
        <v>6888</v>
      </c>
      <c r="N726" s="5">
        <v>1</v>
      </c>
      <c r="O726" t="s">
        <v>8501</v>
      </c>
      <c r="AC726">
        <v>2</v>
      </c>
      <c r="AG726" t="s">
        <v>6876</v>
      </c>
      <c r="AN726">
        <v>1</v>
      </c>
      <c r="BD726">
        <v>1</v>
      </c>
      <c r="CO726" s="9" t="s">
        <v>8504</v>
      </c>
      <c r="CP726">
        <v>1.6667000000000001</v>
      </c>
      <c r="CS726">
        <v>9999</v>
      </c>
    </row>
    <row r="727" spans="1:102" x14ac:dyDescent="0.25">
      <c r="O727"/>
    </row>
    <row r="728" spans="1:102" x14ac:dyDescent="0.25">
      <c r="A728" t="s">
        <v>8505</v>
      </c>
      <c r="C728" t="s">
        <v>4959</v>
      </c>
      <c r="AC728">
        <v>1</v>
      </c>
      <c r="AN728">
        <v>1</v>
      </c>
      <c r="AO728" t="s">
        <v>6972</v>
      </c>
      <c r="AV728">
        <v>0</v>
      </c>
      <c r="AX728" t="s">
        <v>6984</v>
      </c>
      <c r="AZ728">
        <v>1</v>
      </c>
      <c r="BD728">
        <v>1</v>
      </c>
      <c r="BE728">
        <v>3</v>
      </c>
      <c r="BF728">
        <v>0.01</v>
      </c>
      <c r="CB728" t="s">
        <v>7991</v>
      </c>
      <c r="CH728" t="s">
        <v>6977</v>
      </c>
    </row>
    <row r="729" spans="1:102" x14ac:dyDescent="0.25">
      <c r="A729" t="s">
        <v>8506</v>
      </c>
      <c r="C729" t="s">
        <v>6888</v>
      </c>
      <c r="K729" s="5" t="s">
        <v>6874</v>
      </c>
      <c r="L729" s="5" t="s">
        <v>6980</v>
      </c>
      <c r="AC729">
        <v>2</v>
      </c>
      <c r="AN729">
        <v>1</v>
      </c>
      <c r="AV729">
        <v>99</v>
      </c>
      <c r="BD729">
        <v>99</v>
      </c>
      <c r="BO729" s="7" t="s">
        <v>8507</v>
      </c>
      <c r="CO729" s="9" t="s">
        <v>8490</v>
      </c>
      <c r="CP729" t="s">
        <v>8508</v>
      </c>
      <c r="CS729">
        <v>9999</v>
      </c>
      <c r="CU729">
        <v>1</v>
      </c>
    </row>
    <row r="730" spans="1:102" x14ac:dyDescent="0.25">
      <c r="A730" t="s">
        <v>8507</v>
      </c>
      <c r="C730" t="s">
        <v>6888</v>
      </c>
      <c r="K730" s="5" t="s">
        <v>6874</v>
      </c>
      <c r="L730" s="5" t="s">
        <v>6892</v>
      </c>
      <c r="AC730">
        <v>2</v>
      </c>
      <c r="AF730">
        <v>1</v>
      </c>
      <c r="AN730">
        <v>1</v>
      </c>
      <c r="BD730">
        <v>1</v>
      </c>
      <c r="CO730" s="9" t="s">
        <v>8490</v>
      </c>
      <c r="CP730" t="s">
        <v>8508</v>
      </c>
      <c r="CS730">
        <v>9999</v>
      </c>
      <c r="CU730">
        <v>1</v>
      </c>
    </row>
    <row r="731" spans="1:102" x14ac:dyDescent="0.25">
      <c r="A731" t="s">
        <v>8509</v>
      </c>
      <c r="C731" t="s">
        <v>6888</v>
      </c>
      <c r="K731" s="5" t="s">
        <v>6874</v>
      </c>
      <c r="L731" s="5" t="s">
        <v>6980</v>
      </c>
      <c r="AC731">
        <v>2</v>
      </c>
      <c r="AG731" t="s">
        <v>6876</v>
      </c>
      <c r="AN731">
        <v>1</v>
      </c>
      <c r="AY731" s="5"/>
      <c r="BD731">
        <v>1</v>
      </c>
      <c r="BV731"/>
      <c r="BW731"/>
      <c r="BX731"/>
      <c r="BY731"/>
      <c r="BZ731"/>
      <c r="CA731"/>
      <c r="CB731" s="5"/>
      <c r="CC731" s="5"/>
      <c r="CD731" s="5"/>
      <c r="CE731" s="5"/>
      <c r="CF731" s="5"/>
      <c r="CG731" s="5"/>
      <c r="CI731" s="5"/>
      <c r="CJ731" s="5"/>
      <c r="CK731" s="5"/>
      <c r="CL731" s="5"/>
      <c r="CM731" s="5"/>
      <c r="CN731" s="5"/>
      <c r="CO731" s="9" t="s">
        <v>8509</v>
      </c>
      <c r="CP731" t="s">
        <v>8510</v>
      </c>
      <c r="CS731">
        <v>9999</v>
      </c>
    </row>
    <row r="732" spans="1:102" x14ac:dyDescent="0.25">
      <c r="A732" t="s">
        <v>8511</v>
      </c>
      <c r="C732" t="s">
        <v>7468</v>
      </c>
      <c r="K732" s="5" t="s">
        <v>6874</v>
      </c>
      <c r="L732" s="5" t="s">
        <v>7469</v>
      </c>
      <c r="N732" s="5">
        <v>1</v>
      </c>
      <c r="AC732">
        <v>2</v>
      </c>
      <c r="AG732" t="s">
        <v>6876</v>
      </c>
      <c r="AH732">
        <v>1</v>
      </c>
      <c r="AN732">
        <v>1</v>
      </c>
      <c r="AY732">
        <v>1</v>
      </c>
      <c r="BD732">
        <v>1</v>
      </c>
      <c r="BP732" s="7" t="s">
        <v>8512</v>
      </c>
      <c r="CV732" t="s">
        <v>8513</v>
      </c>
    </row>
    <row r="733" spans="1:102" x14ac:dyDescent="0.25">
      <c r="A733" t="s">
        <v>8514</v>
      </c>
      <c r="C733" t="s">
        <v>6888</v>
      </c>
      <c r="K733" s="5" t="s">
        <v>6874</v>
      </c>
      <c r="Y733">
        <v>1</v>
      </c>
      <c r="AB733">
        <v>1</v>
      </c>
      <c r="AC733">
        <v>2</v>
      </c>
      <c r="AG733" t="s">
        <v>6876</v>
      </c>
      <c r="AN733">
        <v>1</v>
      </c>
      <c r="BD733">
        <v>1</v>
      </c>
      <c r="BS733">
        <v>62</v>
      </c>
      <c r="CB733" t="s">
        <v>8515</v>
      </c>
      <c r="CD733">
        <v>62</v>
      </c>
      <c r="CF733" t="s">
        <v>8515</v>
      </c>
      <c r="CH733" t="s">
        <v>7394</v>
      </c>
    </row>
    <row r="734" spans="1:102" x14ac:dyDescent="0.25">
      <c r="A734" t="s">
        <v>8516</v>
      </c>
      <c r="C734" t="s">
        <v>6888</v>
      </c>
      <c r="K734" s="5" t="s">
        <v>6874</v>
      </c>
      <c r="AC734">
        <v>2</v>
      </c>
      <c r="AG734" t="s">
        <v>6876</v>
      </c>
      <c r="AN734">
        <v>1</v>
      </c>
      <c r="AO734" t="s">
        <v>6972</v>
      </c>
      <c r="BD734">
        <v>1</v>
      </c>
      <c r="CO734" s="9" t="s">
        <v>8341</v>
      </c>
      <c r="CS734">
        <v>75</v>
      </c>
    </row>
    <row r="735" spans="1:102" x14ac:dyDescent="0.25">
      <c r="A735" t="s">
        <v>8517</v>
      </c>
      <c r="C735" t="s">
        <v>6888</v>
      </c>
      <c r="K735" s="5" t="s">
        <v>6874</v>
      </c>
      <c r="AC735">
        <v>2</v>
      </c>
      <c r="AG735" t="s">
        <v>6876</v>
      </c>
      <c r="AN735">
        <v>1</v>
      </c>
      <c r="AY735" s="5"/>
      <c r="BD735">
        <v>1</v>
      </c>
      <c r="BV735"/>
      <c r="BW735"/>
      <c r="BX735"/>
      <c r="BY735"/>
      <c r="BZ735"/>
      <c r="CA735"/>
      <c r="CB735" s="5"/>
      <c r="CC735" s="5"/>
      <c r="CD735" s="5"/>
      <c r="CE735" s="5"/>
      <c r="CF735" s="5"/>
      <c r="CG735" s="5"/>
      <c r="CI735" s="5"/>
      <c r="CJ735" s="5"/>
      <c r="CK735" s="5"/>
      <c r="CL735" s="5"/>
      <c r="CM735" s="5"/>
      <c r="CN735" t="s">
        <v>8509</v>
      </c>
      <c r="CO735" s="9" t="s">
        <v>8518</v>
      </c>
      <c r="CR735" s="2" t="s">
        <v>8519</v>
      </c>
      <c r="CS735">
        <v>9999</v>
      </c>
    </row>
    <row r="736" spans="1:102" x14ac:dyDescent="0.25">
      <c r="A736" t="s">
        <v>8520</v>
      </c>
      <c r="C736" t="s">
        <v>8343</v>
      </c>
      <c r="K736" s="5" t="s">
        <v>6874</v>
      </c>
      <c r="AC736">
        <v>2</v>
      </c>
      <c r="AG736" t="s">
        <v>6876</v>
      </c>
      <c r="AN736">
        <v>1</v>
      </c>
      <c r="AY736" s="5"/>
      <c r="BD736">
        <v>1</v>
      </c>
      <c r="BV736"/>
      <c r="BW736"/>
      <c r="BX736"/>
      <c r="BY736"/>
      <c r="BZ736"/>
      <c r="CA736"/>
      <c r="CB736" s="5"/>
      <c r="CC736" s="5"/>
      <c r="CD736" s="5"/>
      <c r="CE736" s="5"/>
      <c r="CF736" s="5"/>
      <c r="CG736" s="5"/>
      <c r="CI736" s="5"/>
      <c r="CJ736" s="5"/>
      <c r="CK736" s="5"/>
      <c r="CL736" s="5"/>
      <c r="CM736" s="5"/>
      <c r="CN736" s="5"/>
      <c r="CV736" t="s">
        <v>8521</v>
      </c>
    </row>
    <row r="737" spans="1:113" x14ac:dyDescent="0.25">
      <c r="A737" t="s">
        <v>8522</v>
      </c>
      <c r="C737" t="s">
        <v>6708</v>
      </c>
      <c r="K737" s="5" t="s">
        <v>6874</v>
      </c>
      <c r="P737"/>
      <c r="AC737">
        <v>2</v>
      </c>
      <c r="AG737" t="s">
        <v>6876</v>
      </c>
      <c r="AY737" s="5"/>
      <c r="BD737">
        <v>1</v>
      </c>
      <c r="BV737"/>
      <c r="BW737"/>
      <c r="BX737"/>
      <c r="BY737"/>
      <c r="BZ737"/>
      <c r="CA737"/>
      <c r="CB737" s="5"/>
      <c r="CC737" s="5"/>
      <c r="CD737" s="5"/>
      <c r="CE737" s="5"/>
      <c r="CF737" s="5"/>
      <c r="CG737" s="5"/>
      <c r="CI737" s="5"/>
      <c r="CJ737" s="5"/>
      <c r="CK737" s="5"/>
      <c r="CL737" s="5"/>
      <c r="CM737" s="5"/>
      <c r="CV737" t="s">
        <v>8523</v>
      </c>
    </row>
    <row r="738" spans="1:113" x14ac:dyDescent="0.25">
      <c r="A738" t="s">
        <v>8524</v>
      </c>
      <c r="C738" t="s">
        <v>6888</v>
      </c>
      <c r="O738" t="s">
        <v>8525</v>
      </c>
      <c r="X738" s="5">
        <v>1</v>
      </c>
      <c r="AC738">
        <v>1</v>
      </c>
      <c r="AV738">
        <v>1.75</v>
      </c>
      <c r="AX738" t="s">
        <v>7550</v>
      </c>
      <c r="AY738" s="5"/>
      <c r="AZ738">
        <v>0.05</v>
      </c>
      <c r="BD738">
        <v>99</v>
      </c>
      <c r="BS738">
        <v>0.8</v>
      </c>
      <c r="BV738"/>
      <c r="BW738"/>
      <c r="BX738"/>
      <c r="BY738"/>
      <c r="BZ738"/>
      <c r="CA738"/>
      <c r="CB738" s="5"/>
      <c r="CC738" s="5"/>
      <c r="CD738" s="5"/>
      <c r="CE738" s="5"/>
      <c r="CF738" s="5"/>
      <c r="CG738" s="5"/>
      <c r="CI738" s="5"/>
      <c r="CJ738" s="5"/>
      <c r="CK738" s="5"/>
      <c r="CL738" s="5"/>
      <c r="CM738" s="5"/>
      <c r="CR738" s="2"/>
    </row>
    <row r="739" spans="1:113" x14ac:dyDescent="0.25">
      <c r="A739" t="s">
        <v>8526</v>
      </c>
      <c r="C739" t="s">
        <v>6888</v>
      </c>
      <c r="O739" t="s">
        <v>8525</v>
      </c>
      <c r="AC739">
        <v>1</v>
      </c>
      <c r="AN739">
        <v>1</v>
      </c>
      <c r="AO739" t="s">
        <v>6972</v>
      </c>
      <c r="AV739">
        <v>0.85</v>
      </c>
      <c r="AX739" t="s">
        <v>6984</v>
      </c>
      <c r="AZ739">
        <v>1</v>
      </c>
      <c r="BD739">
        <v>99</v>
      </c>
      <c r="CB739" t="s">
        <v>7192</v>
      </c>
      <c r="CH739" t="s">
        <v>6977</v>
      </c>
      <c r="CS739">
        <v>10</v>
      </c>
      <c r="CY739" t="s">
        <v>7108</v>
      </c>
    </row>
    <row r="740" spans="1:113" x14ac:dyDescent="0.25">
      <c r="A740" t="s">
        <v>8527</v>
      </c>
      <c r="C740" t="s">
        <v>6888</v>
      </c>
      <c r="J740" t="s">
        <v>6905</v>
      </c>
      <c r="O740" t="s">
        <v>8525</v>
      </c>
      <c r="AC740">
        <v>1</v>
      </c>
      <c r="AL740">
        <v>2</v>
      </c>
      <c r="AO740" t="s">
        <v>7268</v>
      </c>
      <c r="AV740">
        <v>20</v>
      </c>
      <c r="AX740" t="s">
        <v>6984</v>
      </c>
      <c r="AZ740">
        <v>1.35</v>
      </c>
      <c r="BD740">
        <v>1</v>
      </c>
      <c r="BT740">
        <v>0.2</v>
      </c>
      <c r="BV740" s="8">
        <v>-57</v>
      </c>
      <c r="BW740" s="8">
        <v>20</v>
      </c>
      <c r="BX740" s="8">
        <v>1</v>
      </c>
      <c r="BY740" s="8" t="s">
        <v>6907</v>
      </c>
      <c r="CB740" t="s">
        <v>624</v>
      </c>
      <c r="CH740" t="s">
        <v>6977</v>
      </c>
      <c r="CI740" t="s">
        <v>7571</v>
      </c>
      <c r="CJ740" t="s">
        <v>4249</v>
      </c>
      <c r="DI740">
        <v>1</v>
      </c>
    </row>
    <row r="741" spans="1:113" x14ac:dyDescent="0.25">
      <c r="A741" t="s">
        <v>8528</v>
      </c>
      <c r="C741" t="s">
        <v>6888</v>
      </c>
      <c r="N741" s="5">
        <v>1</v>
      </c>
      <c r="O741" t="s">
        <v>8525</v>
      </c>
      <c r="AC741">
        <v>2</v>
      </c>
      <c r="AG741" t="s">
        <v>6876</v>
      </c>
      <c r="AY741" s="5"/>
      <c r="BD741">
        <v>1</v>
      </c>
      <c r="BV741"/>
      <c r="BW741"/>
      <c r="BX741"/>
      <c r="BY741"/>
      <c r="BZ741"/>
      <c r="CA741"/>
      <c r="CB741" s="5" t="s">
        <v>8529</v>
      </c>
      <c r="CC741" s="5"/>
      <c r="CD741" s="5"/>
      <c r="CE741" s="5"/>
      <c r="CF741" s="5"/>
      <c r="CG741" s="5"/>
      <c r="CH741" t="s">
        <v>6977</v>
      </c>
      <c r="CJ741" s="5"/>
      <c r="CK741" s="5"/>
      <c r="CL741" s="5"/>
      <c r="CM741" s="5"/>
      <c r="CN741" s="5"/>
      <c r="DI741">
        <v>1</v>
      </c>
    </row>
    <row r="742" spans="1:113" x14ac:dyDescent="0.25">
      <c r="O742"/>
      <c r="AY742" s="5"/>
      <c r="BV742"/>
      <c r="BW742"/>
      <c r="BX742"/>
      <c r="BY742"/>
      <c r="BZ742"/>
      <c r="CA742"/>
      <c r="CB742" s="5"/>
      <c r="CC742" s="5"/>
      <c r="CD742" s="5"/>
      <c r="CE742" s="5"/>
      <c r="CF742" s="5"/>
      <c r="CG742" s="5"/>
      <c r="CJ742" s="5"/>
      <c r="CK742" s="5"/>
      <c r="CL742" s="5"/>
      <c r="CM742" s="5"/>
      <c r="CN742" s="5"/>
    </row>
    <row r="743" spans="1:113" x14ac:dyDescent="0.25">
      <c r="A743" t="s">
        <v>2259</v>
      </c>
      <c r="C743" t="s">
        <v>4959</v>
      </c>
      <c r="AC743">
        <v>1</v>
      </c>
      <c r="AN743">
        <v>1</v>
      </c>
      <c r="AO743" t="s">
        <v>6972</v>
      </c>
      <c r="AV743">
        <v>0</v>
      </c>
      <c r="AX743" t="s">
        <v>6984</v>
      </c>
      <c r="AZ743">
        <v>1</v>
      </c>
      <c r="BD743">
        <v>1</v>
      </c>
      <c r="CB743" t="s">
        <v>134</v>
      </c>
      <c r="CH743" t="s">
        <v>6977</v>
      </c>
      <c r="CM743" t="s">
        <v>8530</v>
      </c>
    </row>
    <row r="744" spans="1:113" x14ac:dyDescent="0.25">
      <c r="A744" t="s">
        <v>2268</v>
      </c>
      <c r="C744" t="s">
        <v>6888</v>
      </c>
      <c r="AC744">
        <v>1</v>
      </c>
      <c r="AN744">
        <v>1</v>
      </c>
      <c r="AO744" t="s">
        <v>6972</v>
      </c>
      <c r="AV744">
        <v>2.5</v>
      </c>
      <c r="AX744" t="s">
        <v>6984</v>
      </c>
      <c r="AZ744">
        <v>1</v>
      </c>
      <c r="BD744">
        <v>1</v>
      </c>
      <c r="CB744" t="s">
        <v>134</v>
      </c>
      <c r="CH744" t="s">
        <v>6977</v>
      </c>
      <c r="CI744" t="s">
        <v>6991</v>
      </c>
      <c r="CJ744" t="s">
        <v>4249</v>
      </c>
    </row>
    <row r="745" spans="1:113" x14ac:dyDescent="0.25">
      <c r="A745" t="s">
        <v>2278</v>
      </c>
      <c r="C745" t="s">
        <v>6888</v>
      </c>
      <c r="AC745">
        <v>1</v>
      </c>
      <c r="AN745">
        <v>1</v>
      </c>
      <c r="AO745" t="s">
        <v>6972</v>
      </c>
      <c r="AV745">
        <v>2.5</v>
      </c>
      <c r="AX745" t="s">
        <v>6984</v>
      </c>
      <c r="AZ745">
        <v>1</v>
      </c>
      <c r="BD745">
        <v>1</v>
      </c>
      <c r="CB745" t="s">
        <v>134</v>
      </c>
      <c r="CH745" t="s">
        <v>6977</v>
      </c>
      <c r="CI745" t="s">
        <v>6991</v>
      </c>
      <c r="CJ745" t="s">
        <v>4249</v>
      </c>
      <c r="CM745" t="s">
        <v>8531</v>
      </c>
    </row>
    <row r="746" spans="1:113" x14ac:dyDescent="0.25">
      <c r="A746" t="s">
        <v>8532</v>
      </c>
      <c r="C746" t="s">
        <v>4959</v>
      </c>
      <c r="O746" s="5" t="s">
        <v>1519</v>
      </c>
      <c r="AC746">
        <v>1</v>
      </c>
      <c r="AN746">
        <v>1</v>
      </c>
      <c r="AO746" t="s">
        <v>6972</v>
      </c>
      <c r="AV746">
        <v>0</v>
      </c>
      <c r="AX746" t="s">
        <v>6984</v>
      </c>
      <c r="AZ746">
        <v>1</v>
      </c>
      <c r="BD746">
        <v>1</v>
      </c>
      <c r="CB746" t="s">
        <v>8484</v>
      </c>
      <c r="CH746" t="s">
        <v>6977</v>
      </c>
      <c r="CM746" t="s">
        <v>8533</v>
      </c>
    </row>
    <row r="747" spans="1:113" x14ac:dyDescent="0.25">
      <c r="A747" t="s">
        <v>8534</v>
      </c>
      <c r="C747" t="s">
        <v>6888</v>
      </c>
      <c r="N747" s="5">
        <v>1</v>
      </c>
      <c r="O747" s="5" t="s">
        <v>1519</v>
      </c>
      <c r="AC747">
        <v>2</v>
      </c>
      <c r="AG747" t="s">
        <v>6876</v>
      </c>
      <c r="BD747">
        <v>1</v>
      </c>
      <c r="CO747" s="9" t="s">
        <v>8535</v>
      </c>
      <c r="CP747">
        <v>5</v>
      </c>
      <c r="CQ747">
        <v>0.04</v>
      </c>
      <c r="CS747">
        <v>9999</v>
      </c>
    </row>
    <row r="748" spans="1:113" x14ac:dyDescent="0.25">
      <c r="A748" t="s">
        <v>8536</v>
      </c>
      <c r="C748" t="s">
        <v>6888</v>
      </c>
      <c r="I748">
        <v>1</v>
      </c>
      <c r="O748" t="s">
        <v>1519</v>
      </c>
      <c r="AC748">
        <v>1</v>
      </c>
      <c r="AV748">
        <v>2.5</v>
      </c>
      <c r="BD748">
        <v>99</v>
      </c>
      <c r="BS748">
        <v>1</v>
      </c>
      <c r="CM748" t="s">
        <v>8531</v>
      </c>
    </row>
    <row r="749" spans="1:113" x14ac:dyDescent="0.25">
      <c r="A749" t="s">
        <v>8537</v>
      </c>
      <c r="C749" t="s">
        <v>6888</v>
      </c>
      <c r="I749">
        <v>1</v>
      </c>
      <c r="N749" s="5">
        <v>1</v>
      </c>
      <c r="O749"/>
      <c r="T749" s="5">
        <v>0.85</v>
      </c>
      <c r="AC749">
        <v>2</v>
      </c>
      <c r="AG749" t="s">
        <v>6876</v>
      </c>
      <c r="BD749">
        <v>1</v>
      </c>
      <c r="BP749" s="7" t="s">
        <v>8538</v>
      </c>
    </row>
    <row r="750" spans="1:113" x14ac:dyDescent="0.25">
      <c r="A750" t="s">
        <v>8539</v>
      </c>
      <c r="C750" t="s">
        <v>6888</v>
      </c>
      <c r="I750">
        <v>1</v>
      </c>
      <c r="N750" s="5">
        <v>1</v>
      </c>
      <c r="O750"/>
      <c r="T750" s="5">
        <v>0.7</v>
      </c>
      <c r="AC750">
        <v>2</v>
      </c>
      <c r="AG750" t="s">
        <v>6876</v>
      </c>
      <c r="BD750">
        <v>1</v>
      </c>
      <c r="BP750" s="7" t="s">
        <v>8538</v>
      </c>
    </row>
    <row r="751" spans="1:113" x14ac:dyDescent="0.25">
      <c r="A751" t="s">
        <v>8540</v>
      </c>
      <c r="C751" t="s">
        <v>6888</v>
      </c>
      <c r="I751">
        <v>1</v>
      </c>
      <c r="N751" s="5">
        <v>1</v>
      </c>
      <c r="O751"/>
      <c r="T751" s="5">
        <v>0.55000000000000004</v>
      </c>
      <c r="AC751">
        <v>2</v>
      </c>
      <c r="AG751" t="s">
        <v>6876</v>
      </c>
      <c r="BD751">
        <v>1</v>
      </c>
      <c r="BP751" s="7" t="s">
        <v>8538</v>
      </c>
    </row>
    <row r="752" spans="1:113" x14ac:dyDescent="0.25">
      <c r="A752" t="s">
        <v>8541</v>
      </c>
      <c r="C752" t="s">
        <v>6888</v>
      </c>
      <c r="I752">
        <v>1</v>
      </c>
      <c r="N752" s="5">
        <v>1</v>
      </c>
      <c r="O752"/>
      <c r="T752" s="5">
        <v>0.4</v>
      </c>
      <c r="AC752">
        <v>2</v>
      </c>
      <c r="AG752" t="s">
        <v>6876</v>
      </c>
      <c r="BD752">
        <v>1</v>
      </c>
      <c r="BP752" s="7" t="s">
        <v>8538</v>
      </c>
    </row>
    <row r="753" spans="1:114" x14ac:dyDescent="0.25">
      <c r="A753" t="s">
        <v>8542</v>
      </c>
      <c r="C753" t="s">
        <v>6888</v>
      </c>
      <c r="I753">
        <v>1</v>
      </c>
      <c r="N753" s="5">
        <v>1</v>
      </c>
      <c r="O753"/>
      <c r="T753" s="5">
        <v>0.25</v>
      </c>
      <c r="AC753">
        <v>2</v>
      </c>
      <c r="AG753" t="s">
        <v>6876</v>
      </c>
      <c r="BD753">
        <v>1</v>
      </c>
      <c r="BP753" s="7" t="s">
        <v>8538</v>
      </c>
    </row>
    <row r="754" spans="1:114" x14ac:dyDescent="0.25">
      <c r="A754" t="s">
        <v>8543</v>
      </c>
      <c r="C754" t="s">
        <v>6888</v>
      </c>
      <c r="I754">
        <v>1</v>
      </c>
      <c r="N754" s="5">
        <v>1</v>
      </c>
      <c r="O754"/>
      <c r="T754" s="5">
        <v>0.1</v>
      </c>
      <c r="AC754">
        <v>2</v>
      </c>
      <c r="AG754" t="s">
        <v>6876</v>
      </c>
      <c r="BD754">
        <v>1</v>
      </c>
      <c r="BP754" s="7" t="s">
        <v>8538</v>
      </c>
    </row>
    <row r="755" spans="1:114" x14ac:dyDescent="0.25">
      <c r="A755" t="s">
        <v>8538</v>
      </c>
      <c r="C755" t="s">
        <v>6888</v>
      </c>
      <c r="K755" s="5" t="s">
        <v>6874</v>
      </c>
      <c r="O755"/>
      <c r="X755" s="5">
        <v>1</v>
      </c>
      <c r="AC755">
        <v>1</v>
      </c>
      <c r="AV755">
        <v>1.75</v>
      </c>
      <c r="BD755">
        <v>1</v>
      </c>
      <c r="CM755" t="s">
        <v>8544</v>
      </c>
    </row>
    <row r="756" spans="1:114" x14ac:dyDescent="0.25">
      <c r="A756" t="s">
        <v>2306</v>
      </c>
      <c r="C756" t="s">
        <v>6888</v>
      </c>
      <c r="AC756">
        <v>1</v>
      </c>
      <c r="AN756">
        <v>1</v>
      </c>
      <c r="AO756" t="s">
        <v>6975</v>
      </c>
      <c r="AV756">
        <v>1.7</v>
      </c>
      <c r="AX756" t="s">
        <v>6984</v>
      </c>
      <c r="AZ756">
        <v>1</v>
      </c>
      <c r="BD756">
        <v>1</v>
      </c>
      <c r="CB756" t="s">
        <v>134</v>
      </c>
      <c r="CH756" t="s">
        <v>6977</v>
      </c>
    </row>
    <row r="757" spans="1:114" x14ac:dyDescent="0.25">
      <c r="A757" t="s">
        <v>8545</v>
      </c>
      <c r="C757" t="s">
        <v>6888</v>
      </c>
      <c r="AC757">
        <v>1</v>
      </c>
      <c r="AN757">
        <v>1</v>
      </c>
      <c r="AO757" t="s">
        <v>6972</v>
      </c>
      <c r="AP757" t="s">
        <v>8311</v>
      </c>
      <c r="AV757">
        <v>2.5</v>
      </c>
      <c r="AX757" t="s">
        <v>6984</v>
      </c>
      <c r="AZ757">
        <v>1</v>
      </c>
      <c r="BD757">
        <v>1</v>
      </c>
      <c r="CB757" t="s">
        <v>7991</v>
      </c>
      <c r="CH757" t="s">
        <v>6977</v>
      </c>
      <c r="CI757" t="s">
        <v>6998</v>
      </c>
      <c r="CJ757" t="s">
        <v>4249</v>
      </c>
      <c r="CM757" t="s">
        <v>8546</v>
      </c>
    </row>
    <row r="758" spans="1:114" x14ac:dyDescent="0.25">
      <c r="A758" t="s">
        <v>8547</v>
      </c>
      <c r="C758" t="s">
        <v>6888</v>
      </c>
      <c r="J758" s="5" t="s">
        <v>7010</v>
      </c>
      <c r="K758"/>
      <c r="W758" s="5">
        <v>1</v>
      </c>
      <c r="AC758">
        <v>1</v>
      </c>
      <c r="AN758">
        <v>1</v>
      </c>
      <c r="AV758">
        <v>2.5</v>
      </c>
      <c r="AX758" t="s">
        <v>6984</v>
      </c>
      <c r="AZ758">
        <v>0.6</v>
      </c>
      <c r="BD758">
        <v>1</v>
      </c>
      <c r="BS758">
        <v>0.5</v>
      </c>
      <c r="BT758">
        <v>5</v>
      </c>
      <c r="BV758" s="8">
        <v>10</v>
      </c>
      <c r="BW758" s="8">
        <v>20</v>
      </c>
      <c r="BX758" s="8">
        <v>1</v>
      </c>
      <c r="BY758" s="8" t="s">
        <v>6907</v>
      </c>
      <c r="CB758" t="s">
        <v>208</v>
      </c>
      <c r="CF758" t="s">
        <v>796</v>
      </c>
      <c r="CH758" t="s">
        <v>6977</v>
      </c>
      <c r="CI758" t="s">
        <v>6998</v>
      </c>
      <c r="CJ758" t="s">
        <v>4249</v>
      </c>
      <c r="CM758" t="s">
        <v>8548</v>
      </c>
    </row>
    <row r="759" spans="1:114" x14ac:dyDescent="0.25">
      <c r="J759" s="5"/>
      <c r="K759"/>
    </row>
    <row r="760" spans="1:114" x14ac:dyDescent="0.25">
      <c r="A760" t="s">
        <v>8549</v>
      </c>
      <c r="C760" t="s">
        <v>6888</v>
      </c>
      <c r="AC760">
        <v>1</v>
      </c>
      <c r="AN760">
        <v>1</v>
      </c>
      <c r="AO760" t="s">
        <v>7055</v>
      </c>
      <c r="AV760">
        <v>99</v>
      </c>
      <c r="AX760" t="s">
        <v>6984</v>
      </c>
      <c r="AZ760">
        <v>1</v>
      </c>
      <c r="BD760">
        <v>2</v>
      </c>
      <c r="CB760" t="s">
        <v>134</v>
      </c>
      <c r="CH760" t="s">
        <v>6977</v>
      </c>
      <c r="DJ760">
        <v>1</v>
      </c>
    </row>
    <row r="761" spans="1:114" x14ac:dyDescent="0.25">
      <c r="A761" t="s">
        <v>8550</v>
      </c>
      <c r="C761" t="s">
        <v>6888</v>
      </c>
      <c r="J761" s="5" t="s">
        <v>6905</v>
      </c>
      <c r="K761"/>
      <c r="AC761">
        <v>1</v>
      </c>
      <c r="AV761">
        <v>99</v>
      </c>
      <c r="AX761" t="s">
        <v>6997</v>
      </c>
      <c r="AZ761">
        <v>0.5</v>
      </c>
      <c r="BD761">
        <v>99</v>
      </c>
      <c r="BV761" s="8">
        <v>-5</v>
      </c>
      <c r="BW761" s="8">
        <v>40</v>
      </c>
      <c r="BX761" s="8">
        <v>1</v>
      </c>
      <c r="BY761" s="8" t="s">
        <v>6907</v>
      </c>
      <c r="CB761" t="s">
        <v>8551</v>
      </c>
      <c r="CH761" t="s">
        <v>6977</v>
      </c>
      <c r="CM761" t="s">
        <v>8552</v>
      </c>
      <c r="CY761" t="s">
        <v>8553</v>
      </c>
      <c r="DJ761">
        <v>1</v>
      </c>
    </row>
    <row r="762" spans="1:114" x14ac:dyDescent="0.25">
      <c r="A762" t="s">
        <v>8554</v>
      </c>
      <c r="C762" t="s">
        <v>6888</v>
      </c>
      <c r="J762" s="5" t="s">
        <v>6905</v>
      </c>
      <c r="K762"/>
      <c r="AC762">
        <v>1</v>
      </c>
      <c r="AV762">
        <v>99</v>
      </c>
      <c r="AX762" t="s">
        <v>6997</v>
      </c>
      <c r="AZ762">
        <v>0.5</v>
      </c>
      <c r="BD762">
        <v>99</v>
      </c>
      <c r="BV762" s="8">
        <v>20</v>
      </c>
      <c r="BW762" s="8">
        <v>35</v>
      </c>
      <c r="BX762" s="8">
        <v>1</v>
      </c>
      <c r="BY762" s="8" t="s">
        <v>6907</v>
      </c>
      <c r="CB762" t="s">
        <v>8551</v>
      </c>
      <c r="CH762" t="s">
        <v>6977</v>
      </c>
      <c r="CM762" t="s">
        <v>8555</v>
      </c>
      <c r="CY762" t="s">
        <v>8553</v>
      </c>
      <c r="DJ762">
        <v>1</v>
      </c>
    </row>
    <row r="763" spans="1:114" x14ac:dyDescent="0.25">
      <c r="A763" t="s">
        <v>8556</v>
      </c>
      <c r="C763" t="s">
        <v>6888</v>
      </c>
      <c r="J763" s="5" t="s">
        <v>6905</v>
      </c>
      <c r="K763"/>
      <c r="AC763">
        <v>1</v>
      </c>
      <c r="AV763">
        <v>99</v>
      </c>
      <c r="AX763" t="s">
        <v>6997</v>
      </c>
      <c r="AZ763">
        <v>0.2</v>
      </c>
      <c r="BD763">
        <v>99</v>
      </c>
      <c r="BV763" s="8">
        <v>2.5</v>
      </c>
      <c r="BW763" s="8">
        <v>3.5</v>
      </c>
      <c r="BX763" s="8">
        <v>1</v>
      </c>
      <c r="BY763" s="8" t="s">
        <v>6907</v>
      </c>
      <c r="CB763" t="s">
        <v>8551</v>
      </c>
      <c r="CH763" t="s">
        <v>6977</v>
      </c>
      <c r="CM763" t="s">
        <v>8531</v>
      </c>
      <c r="CY763" t="s">
        <v>8553</v>
      </c>
      <c r="DJ763">
        <v>1</v>
      </c>
    </row>
    <row r="764" spans="1:114" x14ac:dyDescent="0.25">
      <c r="A764" t="s">
        <v>8557</v>
      </c>
      <c r="C764" t="s">
        <v>6888</v>
      </c>
      <c r="J764" s="5" t="s">
        <v>6905</v>
      </c>
      <c r="K764"/>
      <c r="AC764">
        <v>1</v>
      </c>
      <c r="AO764" t="s">
        <v>7055</v>
      </c>
      <c r="AV764">
        <v>99</v>
      </c>
      <c r="AX764" t="s">
        <v>6984</v>
      </c>
      <c r="AZ764">
        <v>1.4</v>
      </c>
      <c r="BD764">
        <v>2</v>
      </c>
      <c r="BV764" s="8">
        <v>3</v>
      </c>
      <c r="BW764" s="8">
        <v>40</v>
      </c>
      <c r="BX764" s="8">
        <v>1</v>
      </c>
      <c r="BY764" s="8" t="s">
        <v>6907</v>
      </c>
      <c r="CB764" t="s">
        <v>8558</v>
      </c>
      <c r="CH764" t="s">
        <v>6977</v>
      </c>
      <c r="CI764" t="s">
        <v>7571</v>
      </c>
      <c r="DJ764">
        <v>1</v>
      </c>
    </row>
    <row r="765" spans="1:114" x14ac:dyDescent="0.25">
      <c r="A765" t="s">
        <v>8559</v>
      </c>
      <c r="C765" t="s">
        <v>6888</v>
      </c>
      <c r="J765" s="5" t="s">
        <v>6905</v>
      </c>
      <c r="K765"/>
      <c r="AC765">
        <v>1</v>
      </c>
      <c r="AO765" t="s">
        <v>7055</v>
      </c>
      <c r="AV765">
        <v>99</v>
      </c>
      <c r="AX765" t="s">
        <v>6984</v>
      </c>
      <c r="AZ765">
        <v>1.4</v>
      </c>
      <c r="BD765">
        <v>4</v>
      </c>
      <c r="BV765" s="8">
        <v>36</v>
      </c>
      <c r="BW765" s="8">
        <v>40</v>
      </c>
      <c r="BX765" s="8">
        <v>1</v>
      </c>
      <c r="BY765" s="8" t="s">
        <v>6907</v>
      </c>
      <c r="CB765" t="s">
        <v>8558</v>
      </c>
      <c r="CH765" t="s">
        <v>6977</v>
      </c>
      <c r="CI765" t="s">
        <v>7571</v>
      </c>
      <c r="DJ765">
        <v>1</v>
      </c>
    </row>
    <row r="766" spans="1:114" x14ac:dyDescent="0.25">
      <c r="A766" t="s">
        <v>8560</v>
      </c>
      <c r="C766" t="s">
        <v>6888</v>
      </c>
      <c r="J766" s="5" t="s">
        <v>6905</v>
      </c>
      <c r="K766"/>
      <c r="AC766">
        <v>1</v>
      </c>
      <c r="AO766" t="s">
        <v>7055</v>
      </c>
      <c r="AV766">
        <v>99</v>
      </c>
      <c r="AX766" t="s">
        <v>6984</v>
      </c>
      <c r="AZ766">
        <v>1.4</v>
      </c>
      <c r="BD766">
        <v>8</v>
      </c>
      <c r="BV766" s="8">
        <v>27</v>
      </c>
      <c r="BW766" s="8">
        <v>40</v>
      </c>
      <c r="BX766" s="8">
        <v>1</v>
      </c>
      <c r="BY766" s="8" t="s">
        <v>6907</v>
      </c>
      <c r="CB766" t="s">
        <v>8558</v>
      </c>
      <c r="CH766" t="s">
        <v>6977</v>
      </c>
      <c r="CI766" t="s">
        <v>7571</v>
      </c>
      <c r="DJ766">
        <v>1</v>
      </c>
    </row>
    <row r="767" spans="1:114" x14ac:dyDescent="0.25">
      <c r="A767" t="s">
        <v>8561</v>
      </c>
      <c r="C767" t="s">
        <v>8343</v>
      </c>
      <c r="J767" t="s">
        <v>6905</v>
      </c>
      <c r="AC767">
        <v>2</v>
      </c>
      <c r="AG767" t="s">
        <v>6876</v>
      </c>
      <c r="AN767">
        <v>1</v>
      </c>
      <c r="AY767" s="5"/>
      <c r="BD767">
        <v>1</v>
      </c>
      <c r="BV767">
        <v>-10</v>
      </c>
      <c r="BW767">
        <v>40</v>
      </c>
      <c r="BX767">
        <v>1</v>
      </c>
      <c r="BY767" t="s">
        <v>6907</v>
      </c>
      <c r="BZ767"/>
      <c r="CA767"/>
      <c r="CB767" s="5" t="s">
        <v>8562</v>
      </c>
      <c r="CC767" s="5"/>
      <c r="CD767" s="5"/>
      <c r="CE767" s="5"/>
      <c r="CF767" s="5"/>
      <c r="CG767" s="5"/>
      <c r="CH767" t="s">
        <v>6977</v>
      </c>
      <c r="CI767" s="5"/>
      <c r="CJ767" s="5"/>
      <c r="CK767" s="5"/>
      <c r="CL767" s="5"/>
      <c r="CM767" s="5"/>
      <c r="CN767" s="5"/>
      <c r="CV767" t="s">
        <v>8563</v>
      </c>
    </row>
    <row r="768" spans="1:114" x14ac:dyDescent="0.25">
      <c r="A768" t="s">
        <v>8564</v>
      </c>
      <c r="C768" t="s">
        <v>8343</v>
      </c>
      <c r="J768" t="s">
        <v>6905</v>
      </c>
      <c r="AC768">
        <v>2</v>
      </c>
      <c r="AG768" t="s">
        <v>6876</v>
      </c>
      <c r="AN768">
        <v>1</v>
      </c>
      <c r="AY768" s="5"/>
      <c r="BD768">
        <v>1</v>
      </c>
      <c r="BV768">
        <v>25</v>
      </c>
      <c r="BW768">
        <v>35</v>
      </c>
      <c r="BX768">
        <v>1</v>
      </c>
      <c r="BY768" t="s">
        <v>6907</v>
      </c>
      <c r="BZ768"/>
      <c r="CA768"/>
      <c r="CB768" s="5" t="s">
        <v>8562</v>
      </c>
      <c r="CC768" s="5"/>
      <c r="CD768" s="5"/>
      <c r="CE768" s="5"/>
      <c r="CF768" s="5"/>
      <c r="CG768" s="5"/>
      <c r="CH768" t="s">
        <v>6977</v>
      </c>
      <c r="CI768" s="5"/>
      <c r="CJ768" s="5"/>
      <c r="CK768" s="5"/>
      <c r="CL768" s="5"/>
      <c r="CM768" s="5"/>
      <c r="CN768" s="5"/>
      <c r="CV768" t="s">
        <v>8563</v>
      </c>
    </row>
    <row r="769" spans="1:104" x14ac:dyDescent="0.25">
      <c r="A769" t="s">
        <v>8565</v>
      </c>
      <c r="C769" t="s">
        <v>8343</v>
      </c>
      <c r="J769" t="s">
        <v>6905</v>
      </c>
      <c r="AC769">
        <v>2</v>
      </c>
      <c r="AG769" t="s">
        <v>6876</v>
      </c>
      <c r="AN769">
        <v>1</v>
      </c>
      <c r="AY769" s="5"/>
      <c r="BD769">
        <v>1</v>
      </c>
      <c r="BV769">
        <v>3</v>
      </c>
      <c r="BW769">
        <v>18</v>
      </c>
      <c r="BX769">
        <v>1</v>
      </c>
      <c r="BY769" t="s">
        <v>6907</v>
      </c>
      <c r="BZ769"/>
      <c r="CA769"/>
      <c r="CB769" s="5" t="s">
        <v>8562</v>
      </c>
      <c r="CC769" s="5"/>
      <c r="CD769" s="5"/>
      <c r="CE769" s="5"/>
      <c r="CF769" s="5"/>
      <c r="CG769" s="5"/>
      <c r="CH769" t="s">
        <v>6977</v>
      </c>
      <c r="CI769" s="5"/>
      <c r="CJ769" s="5"/>
      <c r="CK769" s="5"/>
      <c r="CL769" s="5"/>
      <c r="CM769" s="5"/>
      <c r="CN769" s="5"/>
      <c r="CV769" t="s">
        <v>8563</v>
      </c>
    </row>
    <row r="770" spans="1:104" x14ac:dyDescent="0.25">
      <c r="A770" t="s">
        <v>8566</v>
      </c>
      <c r="C770" t="s">
        <v>8567</v>
      </c>
      <c r="J770" t="s">
        <v>6905</v>
      </c>
      <c r="AC770">
        <v>2</v>
      </c>
      <c r="AG770" t="s">
        <v>6876</v>
      </c>
      <c r="AY770" s="5"/>
      <c r="BD770">
        <v>1</v>
      </c>
      <c r="BV770">
        <v>-100</v>
      </c>
      <c r="BW770">
        <v>100</v>
      </c>
      <c r="BX770">
        <v>1</v>
      </c>
      <c r="BY770" t="s">
        <v>6907</v>
      </c>
      <c r="BZ770"/>
      <c r="CA770"/>
      <c r="CB770" s="5" t="s">
        <v>8568</v>
      </c>
      <c r="CC770" s="5"/>
      <c r="CD770" s="5"/>
      <c r="CE770" s="5"/>
      <c r="CF770" s="5"/>
      <c r="CG770" s="5"/>
      <c r="CH770" t="s">
        <v>6977</v>
      </c>
      <c r="CI770" s="5"/>
      <c r="CJ770" s="5"/>
      <c r="CK770" s="5"/>
      <c r="CL770" s="5"/>
      <c r="CM770" s="5"/>
      <c r="CN770" s="5"/>
      <c r="CV770" t="s">
        <v>8569</v>
      </c>
    </row>
    <row r="771" spans="1:104" x14ac:dyDescent="0.25">
      <c r="A771" t="s">
        <v>8570</v>
      </c>
      <c r="C771" t="s">
        <v>6708</v>
      </c>
      <c r="J771" t="s">
        <v>6905</v>
      </c>
      <c r="P771" t="s">
        <v>8571</v>
      </c>
      <c r="AC771">
        <v>2</v>
      </c>
      <c r="AG771" t="s">
        <v>6876</v>
      </c>
      <c r="AY771" s="5"/>
      <c r="BD771">
        <v>1</v>
      </c>
      <c r="BO771" s="7" t="s">
        <v>8572</v>
      </c>
      <c r="BV771">
        <v>0</v>
      </c>
      <c r="BW771">
        <v>200</v>
      </c>
      <c r="BX771">
        <v>1</v>
      </c>
      <c r="BY771" t="s">
        <v>6907</v>
      </c>
      <c r="BZ771"/>
      <c r="CA771"/>
      <c r="CB771" s="5"/>
      <c r="CC771" s="5"/>
      <c r="CD771" s="5"/>
      <c r="CE771" s="5"/>
      <c r="CF771" s="5"/>
      <c r="CG771" s="5"/>
      <c r="CI771" s="5"/>
      <c r="CJ771" s="5"/>
      <c r="CK771" s="5"/>
      <c r="CL771" s="5"/>
      <c r="CM771" s="5"/>
      <c r="CO771" s="9" t="s">
        <v>8571</v>
      </c>
      <c r="CP771">
        <v>0.3</v>
      </c>
      <c r="CS771">
        <v>9999</v>
      </c>
      <c r="CV771" t="s">
        <v>8573</v>
      </c>
    </row>
    <row r="772" spans="1:104" x14ac:dyDescent="0.25">
      <c r="A772" t="s">
        <v>8572</v>
      </c>
      <c r="C772" t="s">
        <v>6708</v>
      </c>
      <c r="P772" t="s">
        <v>8571</v>
      </c>
      <c r="T772" s="5">
        <v>0.33</v>
      </c>
      <c r="U772"/>
      <c r="AC772">
        <v>2</v>
      </c>
      <c r="AG772" t="s">
        <v>6876</v>
      </c>
      <c r="AY772" s="5"/>
      <c r="BD772">
        <v>1</v>
      </c>
      <c r="BV772"/>
      <c r="BW772"/>
      <c r="BX772"/>
      <c r="BY772"/>
      <c r="BZ772"/>
      <c r="CA772"/>
      <c r="CB772" s="5"/>
      <c r="CC772" s="5"/>
      <c r="CD772" s="5"/>
      <c r="CE772" s="5"/>
      <c r="CF772" s="5"/>
      <c r="CG772" s="5"/>
      <c r="CI772" s="5"/>
      <c r="CJ772" s="5"/>
      <c r="CK772" s="5"/>
      <c r="CL772" s="5"/>
      <c r="CM772" s="5"/>
      <c r="CO772" s="9" t="s">
        <v>8571</v>
      </c>
      <c r="CP772">
        <v>0.3</v>
      </c>
      <c r="CS772">
        <v>9999</v>
      </c>
      <c r="CV772" t="s">
        <v>8573</v>
      </c>
    </row>
    <row r="773" spans="1:104" x14ac:dyDescent="0.25">
      <c r="A773" t="s">
        <v>8574</v>
      </c>
      <c r="C773" t="s">
        <v>6708</v>
      </c>
      <c r="J773" t="s">
        <v>6905</v>
      </c>
      <c r="P773" t="s">
        <v>8575</v>
      </c>
      <c r="AC773">
        <v>2</v>
      </c>
      <c r="AG773" t="s">
        <v>6876</v>
      </c>
      <c r="AY773" s="5"/>
      <c r="BD773">
        <v>1</v>
      </c>
      <c r="BO773" s="7" t="s">
        <v>8576</v>
      </c>
      <c r="BV773">
        <v>0</v>
      </c>
      <c r="BW773">
        <v>75</v>
      </c>
      <c r="BX773">
        <v>1</v>
      </c>
      <c r="BY773" t="s">
        <v>6907</v>
      </c>
      <c r="BZ773"/>
      <c r="CA773"/>
      <c r="CB773" s="5"/>
      <c r="CC773" s="5"/>
      <c r="CD773" s="5"/>
      <c r="CE773" s="5"/>
      <c r="CF773" s="5"/>
      <c r="CG773" s="5"/>
      <c r="CI773" s="5"/>
      <c r="CJ773" s="5"/>
      <c r="CK773" s="5"/>
      <c r="CL773" s="5"/>
      <c r="CM773" s="5"/>
      <c r="CN773" s="5"/>
      <c r="CO773" s="9" t="s">
        <v>8575</v>
      </c>
      <c r="CP773">
        <v>0.4</v>
      </c>
      <c r="CS773">
        <v>9999</v>
      </c>
      <c r="CV773" t="s">
        <v>8577</v>
      </c>
    </row>
    <row r="774" spans="1:104" x14ac:dyDescent="0.25">
      <c r="A774" t="s">
        <v>8576</v>
      </c>
      <c r="C774" t="s">
        <v>6708</v>
      </c>
      <c r="P774" t="s">
        <v>8575</v>
      </c>
      <c r="T774" s="5">
        <v>0.67</v>
      </c>
      <c r="AC774">
        <v>2</v>
      </c>
      <c r="AG774" t="s">
        <v>6876</v>
      </c>
      <c r="AY774" s="5"/>
      <c r="BD774">
        <v>1</v>
      </c>
      <c r="BV774"/>
      <c r="BW774"/>
      <c r="BX774"/>
      <c r="BY774"/>
      <c r="BZ774"/>
      <c r="CA774"/>
      <c r="CB774" s="5"/>
      <c r="CC774" s="5"/>
      <c r="CD774" s="5"/>
      <c r="CE774" s="5"/>
      <c r="CF774" s="5"/>
      <c r="CG774" s="5"/>
      <c r="CI774" s="5"/>
      <c r="CJ774" s="5"/>
      <c r="CK774" s="5"/>
      <c r="CL774" s="5"/>
      <c r="CM774" s="5"/>
      <c r="CN774" s="5"/>
      <c r="CO774" s="9" t="s">
        <v>8575</v>
      </c>
      <c r="CP774">
        <v>0.4</v>
      </c>
      <c r="CS774">
        <v>9999</v>
      </c>
      <c r="CV774" t="s">
        <v>8577</v>
      </c>
    </row>
    <row r="775" spans="1:104" x14ac:dyDescent="0.25">
      <c r="P775"/>
      <c r="AY775" s="5"/>
      <c r="BV775"/>
      <c r="BW775"/>
      <c r="BX775"/>
      <c r="BY775"/>
      <c r="BZ775"/>
      <c r="CA775"/>
      <c r="CB775" s="5"/>
      <c r="CC775" s="5"/>
      <c r="CD775" s="5"/>
      <c r="CE775" s="5"/>
      <c r="CF775" s="5"/>
      <c r="CG775" s="5"/>
      <c r="CI775" s="5"/>
      <c r="CJ775" s="5"/>
      <c r="CK775" s="5"/>
      <c r="CL775" s="5"/>
      <c r="CM775" s="5"/>
      <c r="CN775" s="5"/>
    </row>
    <row r="776" spans="1:104" x14ac:dyDescent="0.25">
      <c r="A776" t="s">
        <v>8578</v>
      </c>
      <c r="C776" t="s">
        <v>4959</v>
      </c>
      <c r="AC776">
        <v>1</v>
      </c>
      <c r="AN776">
        <v>1</v>
      </c>
      <c r="AO776" t="s">
        <v>6972</v>
      </c>
      <c r="AV776">
        <v>0</v>
      </c>
      <c r="AX776" t="s">
        <v>6984</v>
      </c>
      <c r="AZ776">
        <v>1</v>
      </c>
      <c r="BD776">
        <v>1</v>
      </c>
      <c r="CB776" t="s">
        <v>4307</v>
      </c>
      <c r="CH776" t="s">
        <v>6977</v>
      </c>
    </row>
    <row r="777" spans="1:104" x14ac:dyDescent="0.25">
      <c r="A777" t="s">
        <v>8579</v>
      </c>
      <c r="C777" t="s">
        <v>6888</v>
      </c>
      <c r="Z777">
        <v>1</v>
      </c>
      <c r="AC777">
        <v>1</v>
      </c>
      <c r="AJ777" t="s">
        <v>8580</v>
      </c>
      <c r="AN777">
        <v>1</v>
      </c>
      <c r="AO777" t="s">
        <v>6972</v>
      </c>
      <c r="AP777" t="s">
        <v>8311</v>
      </c>
      <c r="AQ777" t="s">
        <v>8581</v>
      </c>
      <c r="AV777">
        <v>1.2</v>
      </c>
      <c r="AX777" t="s">
        <v>6984</v>
      </c>
      <c r="AY777" s="5"/>
      <c r="AZ777">
        <v>1</v>
      </c>
      <c r="BD777">
        <v>1</v>
      </c>
      <c r="BV777"/>
      <c r="BW777"/>
      <c r="BX777"/>
      <c r="BY777"/>
      <c r="BZ777"/>
      <c r="CA777"/>
      <c r="CB777" s="5" t="s">
        <v>134</v>
      </c>
      <c r="CC777" s="5"/>
      <c r="CD777" s="5"/>
      <c r="CE777" s="5"/>
      <c r="CF777" s="5"/>
      <c r="CG777" s="5"/>
      <c r="CH777" t="s">
        <v>6977</v>
      </c>
      <c r="CI777" t="s">
        <v>7029</v>
      </c>
      <c r="CJ777" s="5" t="s">
        <v>4249</v>
      </c>
      <c r="CK777" s="5"/>
      <c r="CL777" s="5"/>
      <c r="CM777" s="5"/>
      <c r="CN777" s="5"/>
    </row>
    <row r="778" spans="1:104" x14ac:dyDescent="0.25">
      <c r="A778" t="s">
        <v>8582</v>
      </c>
      <c r="C778" t="s">
        <v>6888</v>
      </c>
      <c r="AC778">
        <v>1</v>
      </c>
      <c r="AN778">
        <v>1</v>
      </c>
      <c r="AO778" t="s">
        <v>6972</v>
      </c>
      <c r="AP778" t="s">
        <v>8311</v>
      </c>
      <c r="AQ778" t="s">
        <v>8581</v>
      </c>
      <c r="AV778">
        <v>2.4</v>
      </c>
      <c r="AX778" t="s">
        <v>6984</v>
      </c>
      <c r="AZ778">
        <v>1</v>
      </c>
      <c r="BD778">
        <v>1</v>
      </c>
      <c r="CB778" t="s">
        <v>134</v>
      </c>
      <c r="CH778" t="s">
        <v>6977</v>
      </c>
      <c r="CI778" t="s">
        <v>6991</v>
      </c>
      <c r="CJ778" t="s">
        <v>4249</v>
      </c>
    </row>
    <row r="779" spans="1:104" x14ac:dyDescent="0.25">
      <c r="A779" t="s">
        <v>1877</v>
      </c>
      <c r="C779" t="s">
        <v>6888</v>
      </c>
      <c r="AC779">
        <v>1</v>
      </c>
      <c r="AN779">
        <v>1</v>
      </c>
      <c r="AO779" t="s">
        <v>6972</v>
      </c>
      <c r="AP779" t="s">
        <v>8311</v>
      </c>
      <c r="AQ779" t="s">
        <v>8581</v>
      </c>
      <c r="AV779">
        <v>2.2000000000000002</v>
      </c>
      <c r="AX779" t="s">
        <v>6997</v>
      </c>
      <c r="AZ779">
        <v>1</v>
      </c>
      <c r="BD779">
        <v>1</v>
      </c>
      <c r="CB779" t="s">
        <v>134</v>
      </c>
      <c r="CH779" t="s">
        <v>6977</v>
      </c>
      <c r="CI779" t="s">
        <v>6998</v>
      </c>
      <c r="CJ779" t="s">
        <v>4249</v>
      </c>
    </row>
    <row r="780" spans="1:104" x14ac:dyDescent="0.25">
      <c r="A780" t="s">
        <v>1894</v>
      </c>
      <c r="C780" t="s">
        <v>6888</v>
      </c>
      <c r="AC780">
        <v>1</v>
      </c>
      <c r="AN780">
        <v>1</v>
      </c>
      <c r="AO780" t="s">
        <v>6972</v>
      </c>
      <c r="AP780" t="s">
        <v>8311</v>
      </c>
      <c r="AV780">
        <v>2</v>
      </c>
      <c r="AX780" t="s">
        <v>6984</v>
      </c>
      <c r="AZ780">
        <v>1</v>
      </c>
      <c r="BD780">
        <v>1</v>
      </c>
      <c r="BJ780">
        <v>1.2</v>
      </c>
      <c r="BK780">
        <v>1</v>
      </c>
      <c r="BL780">
        <v>1</v>
      </c>
      <c r="CB780" t="s">
        <v>134</v>
      </c>
      <c r="CH780" t="s">
        <v>6977</v>
      </c>
      <c r="CI780" t="s">
        <v>8583</v>
      </c>
      <c r="CJ780" t="s">
        <v>4249</v>
      </c>
      <c r="CZ780" t="s">
        <v>8553</v>
      </c>
    </row>
    <row r="781" spans="1:104" x14ac:dyDescent="0.25">
      <c r="A781" t="s">
        <v>8584</v>
      </c>
      <c r="C781" t="s">
        <v>6888</v>
      </c>
      <c r="AC781">
        <v>1</v>
      </c>
      <c r="AN781">
        <v>1</v>
      </c>
      <c r="AO781" t="s">
        <v>6972</v>
      </c>
      <c r="AQ781" t="s">
        <v>8581</v>
      </c>
      <c r="AV781">
        <v>1.5</v>
      </c>
      <c r="AX781" t="s">
        <v>6984</v>
      </c>
      <c r="AZ781">
        <v>0.5</v>
      </c>
      <c r="BD781">
        <v>1</v>
      </c>
      <c r="CB781" t="s">
        <v>7192</v>
      </c>
      <c r="CH781" t="s">
        <v>6977</v>
      </c>
      <c r="CI781" t="s">
        <v>6991</v>
      </c>
      <c r="CJ781" t="s">
        <v>4249</v>
      </c>
    </row>
    <row r="782" spans="1:104" x14ac:dyDescent="0.25">
      <c r="A782" t="s">
        <v>8585</v>
      </c>
      <c r="C782" t="s">
        <v>4959</v>
      </c>
      <c r="AC782">
        <v>1</v>
      </c>
      <c r="AN782">
        <v>1</v>
      </c>
      <c r="AO782" t="s">
        <v>6972</v>
      </c>
      <c r="AV782">
        <v>0</v>
      </c>
      <c r="AX782" t="s">
        <v>6984</v>
      </c>
      <c r="AZ782">
        <v>1</v>
      </c>
      <c r="BD782">
        <v>1</v>
      </c>
      <c r="CB782" t="s">
        <v>8586</v>
      </c>
      <c r="CH782" t="s">
        <v>6977</v>
      </c>
    </row>
    <row r="783" spans="1:104" x14ac:dyDescent="0.25">
      <c r="A783" t="s">
        <v>8587</v>
      </c>
      <c r="C783" t="s">
        <v>6888</v>
      </c>
      <c r="U783" s="5">
        <v>0.5</v>
      </c>
      <c r="AC783">
        <v>2</v>
      </c>
      <c r="AG783" t="s">
        <v>6876</v>
      </c>
      <c r="AN783">
        <v>1</v>
      </c>
      <c r="BD783">
        <v>1</v>
      </c>
      <c r="CO783" s="9" t="s">
        <v>6908</v>
      </c>
      <c r="CP783">
        <v>1</v>
      </c>
      <c r="CS783">
        <v>9999</v>
      </c>
    </row>
    <row r="784" spans="1:104" x14ac:dyDescent="0.25">
      <c r="A784" t="s">
        <v>1912</v>
      </c>
      <c r="C784" t="s">
        <v>6888</v>
      </c>
      <c r="AC784">
        <v>1</v>
      </c>
      <c r="AN784">
        <v>1</v>
      </c>
      <c r="AO784" t="s">
        <v>6972</v>
      </c>
      <c r="AP784" t="s">
        <v>8311</v>
      </c>
      <c r="AV784">
        <v>1.6</v>
      </c>
      <c r="AX784" t="s">
        <v>6984</v>
      </c>
      <c r="AZ784">
        <v>1</v>
      </c>
      <c r="BC784">
        <v>1.5</v>
      </c>
      <c r="BD784">
        <v>3</v>
      </c>
      <c r="CB784" t="s">
        <v>134</v>
      </c>
      <c r="CH784" t="s">
        <v>6977</v>
      </c>
    </row>
    <row r="786" spans="1:110" x14ac:dyDescent="0.25">
      <c r="A786" t="s">
        <v>8588</v>
      </c>
      <c r="C786" t="s">
        <v>6888</v>
      </c>
      <c r="AC786">
        <v>1</v>
      </c>
      <c r="AN786">
        <v>1</v>
      </c>
      <c r="AO786" t="s">
        <v>6972</v>
      </c>
      <c r="AP786" t="s">
        <v>8311</v>
      </c>
      <c r="AV786">
        <v>2</v>
      </c>
      <c r="AX786" t="s">
        <v>6984</v>
      </c>
      <c r="AZ786">
        <v>1</v>
      </c>
      <c r="BD786">
        <v>1</v>
      </c>
      <c r="CB786" t="s">
        <v>134</v>
      </c>
      <c r="CH786" t="s">
        <v>6977</v>
      </c>
      <c r="CI786" t="s">
        <v>6991</v>
      </c>
      <c r="CJ786" t="s">
        <v>4249</v>
      </c>
    </row>
    <row r="787" spans="1:110" x14ac:dyDescent="0.25">
      <c r="A787" t="s">
        <v>8589</v>
      </c>
      <c r="C787" t="s">
        <v>8590</v>
      </c>
      <c r="J787" t="s">
        <v>6905</v>
      </c>
      <c r="AC787">
        <v>2</v>
      </c>
      <c r="AG787" t="s">
        <v>6876</v>
      </c>
      <c r="AH787">
        <v>1</v>
      </c>
      <c r="AY787" s="5"/>
      <c r="BD787">
        <v>1</v>
      </c>
      <c r="BV787">
        <v>0</v>
      </c>
      <c r="BW787">
        <v>5</v>
      </c>
      <c r="BX787">
        <v>1</v>
      </c>
      <c r="BY787" t="s">
        <v>6907</v>
      </c>
      <c r="BZ787"/>
      <c r="CA787"/>
      <c r="CB787" s="5" t="s">
        <v>624</v>
      </c>
      <c r="CC787" s="5"/>
      <c r="CD787" s="5"/>
      <c r="CE787" s="5"/>
      <c r="CF787" s="5"/>
      <c r="CG787" s="5"/>
      <c r="CH787" t="s">
        <v>6977</v>
      </c>
      <c r="CI787" s="5"/>
      <c r="CJ787" s="5"/>
      <c r="CK787" s="5"/>
      <c r="CL787" s="5"/>
      <c r="CM787" s="5"/>
      <c r="CN787" s="5"/>
      <c r="CV787" t="s">
        <v>8591</v>
      </c>
    </row>
    <row r="788" spans="1:110" x14ac:dyDescent="0.25">
      <c r="A788" t="s">
        <v>8592</v>
      </c>
      <c r="C788" t="s">
        <v>8590</v>
      </c>
      <c r="J788" t="s">
        <v>6905</v>
      </c>
      <c r="AC788">
        <v>2</v>
      </c>
      <c r="AG788" t="s">
        <v>6876</v>
      </c>
      <c r="AH788">
        <v>1</v>
      </c>
      <c r="AY788" s="5"/>
      <c r="BD788">
        <v>1</v>
      </c>
      <c r="BV788">
        <v>0</v>
      </c>
      <c r="BW788">
        <v>5</v>
      </c>
      <c r="BX788">
        <v>1</v>
      </c>
      <c r="BY788" t="s">
        <v>6907</v>
      </c>
      <c r="BZ788"/>
      <c r="CA788"/>
      <c r="CB788" s="5" t="s">
        <v>624</v>
      </c>
      <c r="CC788" s="5"/>
      <c r="CD788" s="5"/>
      <c r="CE788" s="5"/>
      <c r="CF788" s="5"/>
      <c r="CG788" s="5"/>
      <c r="CH788" t="s">
        <v>6977</v>
      </c>
      <c r="CI788" s="5"/>
      <c r="CJ788" s="5"/>
      <c r="CK788" s="5"/>
      <c r="CL788" s="5"/>
      <c r="CM788" s="5"/>
      <c r="CN788" s="5"/>
      <c r="CV788" t="s">
        <v>8593</v>
      </c>
    </row>
    <row r="789" spans="1:110" x14ac:dyDescent="0.25">
      <c r="A789" t="s">
        <v>8594</v>
      </c>
      <c r="C789" t="s">
        <v>8590</v>
      </c>
      <c r="K789" s="5" t="s">
        <v>6874</v>
      </c>
      <c r="L789" s="5" t="s">
        <v>7234</v>
      </c>
      <c r="AC789">
        <v>2</v>
      </c>
      <c r="AF789">
        <v>1</v>
      </c>
      <c r="AG789" t="s">
        <v>6876</v>
      </c>
      <c r="AH789">
        <v>1</v>
      </c>
      <c r="AY789" s="5"/>
      <c r="BD789">
        <v>1</v>
      </c>
      <c r="BV789"/>
      <c r="BW789"/>
      <c r="BX789"/>
      <c r="BY789"/>
      <c r="BZ789"/>
      <c r="CA789"/>
      <c r="CB789" s="5"/>
      <c r="CC789" s="5"/>
      <c r="CD789" s="5"/>
      <c r="CE789" s="5"/>
      <c r="CF789" s="5"/>
      <c r="CG789" s="5"/>
      <c r="CI789" s="5"/>
      <c r="CJ789" s="5"/>
      <c r="CK789" s="5"/>
      <c r="CL789" s="5"/>
      <c r="CM789" s="5"/>
      <c r="CN789" s="5"/>
      <c r="CV789" t="s">
        <v>8595</v>
      </c>
      <c r="DF789">
        <v>1</v>
      </c>
    </row>
    <row r="790" spans="1:110" x14ac:dyDescent="0.25">
      <c r="A790" t="s">
        <v>8596</v>
      </c>
      <c r="C790" t="s">
        <v>8590</v>
      </c>
      <c r="K790" s="5" t="s">
        <v>6874</v>
      </c>
      <c r="L790" s="5" t="s">
        <v>7234</v>
      </c>
      <c r="AC790">
        <v>2</v>
      </c>
      <c r="AF790">
        <v>1</v>
      </c>
      <c r="AG790" t="s">
        <v>6876</v>
      </c>
      <c r="AH790">
        <v>1</v>
      </c>
      <c r="AY790" s="5"/>
      <c r="BD790">
        <v>1</v>
      </c>
      <c r="BV790"/>
      <c r="BW790"/>
      <c r="BX790"/>
      <c r="BY790"/>
      <c r="BZ790"/>
      <c r="CA790"/>
      <c r="CB790" s="5"/>
      <c r="CC790" s="5"/>
      <c r="CD790" s="5"/>
      <c r="CE790" s="5"/>
      <c r="CF790" s="5"/>
      <c r="CG790" s="5"/>
      <c r="CI790" s="5"/>
      <c r="CJ790" s="5"/>
      <c r="CK790" s="5"/>
      <c r="CL790" s="5"/>
      <c r="CM790" s="5"/>
      <c r="CN790" s="5"/>
      <c r="CV790" t="s">
        <v>8597</v>
      </c>
      <c r="DF790">
        <v>1</v>
      </c>
    </row>
    <row r="791" spans="1:110" x14ac:dyDescent="0.25">
      <c r="A791" t="s">
        <v>8598</v>
      </c>
      <c r="C791" t="s">
        <v>8590</v>
      </c>
      <c r="K791" s="5" t="s">
        <v>6874</v>
      </c>
      <c r="L791" s="5" t="s">
        <v>7234</v>
      </c>
      <c r="AC791">
        <v>2</v>
      </c>
      <c r="AF791">
        <v>1</v>
      </c>
      <c r="AG791" t="s">
        <v>6876</v>
      </c>
      <c r="AH791">
        <v>1</v>
      </c>
      <c r="AY791" s="5"/>
      <c r="BD791">
        <v>1</v>
      </c>
      <c r="BV791"/>
      <c r="BW791"/>
      <c r="BX791"/>
      <c r="BY791"/>
      <c r="BZ791"/>
      <c r="CA791"/>
      <c r="CB791" s="5"/>
      <c r="CC791" s="5"/>
      <c r="CD791" s="5"/>
      <c r="CE791" s="5"/>
      <c r="CF791" s="5"/>
      <c r="CG791" s="5"/>
      <c r="CI791" s="5"/>
      <c r="CJ791" s="5"/>
      <c r="CK791" s="5"/>
      <c r="CL791" s="5"/>
      <c r="CM791" s="5"/>
      <c r="CN791" s="5"/>
      <c r="CV791" t="s">
        <v>8599</v>
      </c>
      <c r="DF791">
        <v>1</v>
      </c>
    </row>
    <row r="792" spans="1:110" x14ac:dyDescent="0.25">
      <c r="A792" t="s">
        <v>8600</v>
      </c>
      <c r="C792" t="s">
        <v>8590</v>
      </c>
      <c r="K792" s="5" t="s">
        <v>6874</v>
      </c>
      <c r="L792" s="5" t="s">
        <v>7234</v>
      </c>
      <c r="AC792">
        <v>2</v>
      </c>
      <c r="AF792">
        <v>1</v>
      </c>
      <c r="AG792" t="s">
        <v>6876</v>
      </c>
      <c r="AH792">
        <v>1</v>
      </c>
      <c r="AY792" s="5"/>
      <c r="BD792">
        <v>1</v>
      </c>
      <c r="BV792"/>
      <c r="BW792"/>
      <c r="BX792"/>
      <c r="BY792"/>
      <c r="BZ792"/>
      <c r="CA792"/>
      <c r="CB792" s="5"/>
      <c r="CC792" s="5"/>
      <c r="CD792" s="5"/>
      <c r="CE792" s="5"/>
      <c r="CF792" s="5"/>
      <c r="CG792" s="5"/>
      <c r="CI792" s="5"/>
      <c r="CJ792" s="5"/>
      <c r="CK792" s="5"/>
      <c r="CL792" s="5"/>
      <c r="CM792" s="5"/>
      <c r="CN792" s="5"/>
      <c r="CV792" t="s">
        <v>8601</v>
      </c>
      <c r="DF792">
        <v>1</v>
      </c>
    </row>
    <row r="793" spans="1:110" x14ac:dyDescent="0.25">
      <c r="A793" t="s">
        <v>8602</v>
      </c>
      <c r="C793" t="s">
        <v>8590</v>
      </c>
      <c r="K793" s="5" t="s">
        <v>6874</v>
      </c>
      <c r="L793" s="5" t="s">
        <v>7234</v>
      </c>
      <c r="AC793">
        <v>2</v>
      </c>
      <c r="AF793">
        <v>1</v>
      </c>
      <c r="AG793" t="s">
        <v>6876</v>
      </c>
      <c r="AH793">
        <v>1</v>
      </c>
      <c r="AY793" s="5"/>
      <c r="BD793">
        <v>1</v>
      </c>
      <c r="BV793"/>
      <c r="BW793"/>
      <c r="BX793"/>
      <c r="BY793"/>
      <c r="BZ793"/>
      <c r="CA793"/>
      <c r="CB793" s="5"/>
      <c r="CC793" s="5"/>
      <c r="CD793" s="5"/>
      <c r="CE793" s="5"/>
      <c r="CF793" s="5"/>
      <c r="CG793" s="5"/>
      <c r="CI793" s="5"/>
      <c r="CJ793" s="5"/>
      <c r="CK793" s="5"/>
      <c r="CL793" s="5"/>
      <c r="CM793" s="5"/>
      <c r="CN793" s="5"/>
      <c r="CV793" t="s">
        <v>8603</v>
      </c>
      <c r="DF793">
        <v>1</v>
      </c>
    </row>
    <row r="794" spans="1:110" x14ac:dyDescent="0.25">
      <c r="A794" t="s">
        <v>8604</v>
      </c>
      <c r="C794" t="s">
        <v>8590</v>
      </c>
      <c r="K794" s="5" t="s">
        <v>6874</v>
      </c>
      <c r="L794" s="5" t="s">
        <v>7234</v>
      </c>
      <c r="AC794">
        <v>2</v>
      </c>
      <c r="AF794">
        <v>1</v>
      </c>
      <c r="AG794" t="s">
        <v>6876</v>
      </c>
      <c r="AH794">
        <v>1</v>
      </c>
      <c r="AY794" s="5"/>
      <c r="BD794">
        <v>1</v>
      </c>
      <c r="BV794"/>
      <c r="BW794"/>
      <c r="BX794"/>
      <c r="BY794"/>
      <c r="BZ794"/>
      <c r="CA794"/>
      <c r="CB794" s="5"/>
      <c r="CC794" s="5"/>
      <c r="CD794" s="5"/>
      <c r="CE794" s="5"/>
      <c r="CF794" s="5"/>
      <c r="CG794" s="5"/>
      <c r="CI794" s="5"/>
      <c r="CJ794" s="5"/>
      <c r="CK794" s="5"/>
      <c r="CL794" s="5"/>
      <c r="CM794" s="5"/>
      <c r="CN794" s="5"/>
      <c r="CV794" t="s">
        <v>8605</v>
      </c>
      <c r="DF794">
        <v>1</v>
      </c>
    </row>
    <row r="795" spans="1:110" x14ac:dyDescent="0.25">
      <c r="A795" t="s">
        <v>8606</v>
      </c>
      <c r="C795" t="s">
        <v>4959</v>
      </c>
      <c r="AC795">
        <v>1</v>
      </c>
      <c r="AN795">
        <v>1</v>
      </c>
      <c r="AO795" t="s">
        <v>6972</v>
      </c>
      <c r="AV795">
        <v>0</v>
      </c>
      <c r="AX795" t="s">
        <v>6984</v>
      </c>
      <c r="BD795">
        <v>1</v>
      </c>
      <c r="BS795">
        <v>0.05</v>
      </c>
      <c r="CO795" s="9" t="s">
        <v>8607</v>
      </c>
      <c r="CP795">
        <v>-80</v>
      </c>
      <c r="CS795">
        <v>0.1</v>
      </c>
    </row>
    <row r="796" spans="1:110" x14ac:dyDescent="0.25">
      <c r="A796" t="s">
        <v>8608</v>
      </c>
      <c r="C796" t="s">
        <v>6888</v>
      </c>
      <c r="K796" s="5" t="s">
        <v>6874</v>
      </c>
      <c r="L796" s="5" t="s">
        <v>6980</v>
      </c>
      <c r="AC796">
        <v>2</v>
      </c>
      <c r="AF796">
        <v>1</v>
      </c>
      <c r="AG796" t="s">
        <v>6876</v>
      </c>
      <c r="AN796">
        <v>1</v>
      </c>
      <c r="AY796" s="5"/>
      <c r="BD796">
        <v>1</v>
      </c>
      <c r="BV796"/>
      <c r="BW796"/>
      <c r="BX796"/>
      <c r="BY796"/>
      <c r="BZ796"/>
      <c r="CA796"/>
      <c r="CB796" s="5"/>
      <c r="CC796" s="5"/>
      <c r="CD796" s="5"/>
      <c r="CE796" s="5"/>
      <c r="CF796" s="5"/>
      <c r="CG796" s="5"/>
      <c r="CI796" s="5"/>
      <c r="CJ796" s="5"/>
      <c r="CK796" s="5"/>
      <c r="CL796" s="5"/>
      <c r="CM796" s="5"/>
      <c r="CN796" s="5"/>
      <c r="CO796" s="9" t="s">
        <v>8609</v>
      </c>
      <c r="CP796">
        <v>99999</v>
      </c>
      <c r="CS796">
        <v>9999</v>
      </c>
    </row>
    <row r="798" spans="1:110" x14ac:dyDescent="0.25">
      <c r="A798" t="s">
        <v>8610</v>
      </c>
      <c r="C798" t="s">
        <v>6888</v>
      </c>
      <c r="AC798">
        <v>1</v>
      </c>
      <c r="AN798">
        <v>1</v>
      </c>
      <c r="AO798" t="s">
        <v>6972</v>
      </c>
      <c r="AV798">
        <v>2.5</v>
      </c>
      <c r="AX798" t="s">
        <v>6997</v>
      </c>
      <c r="AZ798">
        <v>0.4</v>
      </c>
      <c r="BD798">
        <v>1</v>
      </c>
      <c r="CB798" t="s">
        <v>7991</v>
      </c>
      <c r="CH798" t="s">
        <v>6977</v>
      </c>
      <c r="CO798" s="9" t="s">
        <v>8611</v>
      </c>
      <c r="CP798">
        <v>1</v>
      </c>
      <c r="CS798">
        <v>30.5</v>
      </c>
    </row>
    <row r="799" spans="1:110" x14ac:dyDescent="0.25">
      <c r="A799" t="s">
        <v>8612</v>
      </c>
      <c r="C799" t="s">
        <v>4959</v>
      </c>
      <c r="AC799">
        <v>1</v>
      </c>
      <c r="AN799">
        <v>1</v>
      </c>
      <c r="AO799" t="s">
        <v>6972</v>
      </c>
      <c r="AV799">
        <v>0</v>
      </c>
      <c r="AX799" t="s">
        <v>7550</v>
      </c>
      <c r="AZ799">
        <v>1</v>
      </c>
      <c r="BD799">
        <v>1</v>
      </c>
      <c r="CB799" t="s">
        <v>7192</v>
      </c>
      <c r="CH799" t="s">
        <v>6977</v>
      </c>
      <c r="CO799" s="9" t="s">
        <v>8611</v>
      </c>
      <c r="CP799">
        <v>1</v>
      </c>
      <c r="CS799">
        <v>30.5</v>
      </c>
    </row>
    <row r="800" spans="1:110" x14ac:dyDescent="0.25">
      <c r="A800" t="s">
        <v>8613</v>
      </c>
      <c r="C800" t="s">
        <v>6888</v>
      </c>
      <c r="J800" t="s">
        <v>6905</v>
      </c>
      <c r="Y800">
        <v>1</v>
      </c>
      <c r="AC800">
        <v>1</v>
      </c>
      <c r="AN800">
        <v>1</v>
      </c>
      <c r="AO800" t="s">
        <v>6972</v>
      </c>
      <c r="AV800">
        <v>2.5</v>
      </c>
      <c r="AX800" t="s">
        <v>6997</v>
      </c>
      <c r="AZ800">
        <v>1</v>
      </c>
      <c r="BD800">
        <v>99</v>
      </c>
      <c r="BT800">
        <v>0.2</v>
      </c>
      <c r="BV800" s="8">
        <v>0</v>
      </c>
      <c r="BW800" s="8">
        <v>40</v>
      </c>
      <c r="BX800" s="8">
        <v>1</v>
      </c>
      <c r="BY800" s="8" t="s">
        <v>6907</v>
      </c>
      <c r="CB800" t="s">
        <v>7920</v>
      </c>
      <c r="CH800" t="s">
        <v>6977</v>
      </c>
      <c r="CX800" t="s">
        <v>8286</v>
      </c>
    </row>
    <row r="801" spans="1:104" x14ac:dyDescent="0.25">
      <c r="A801" t="s">
        <v>8614</v>
      </c>
      <c r="C801" t="s">
        <v>6888</v>
      </c>
      <c r="J801" t="s">
        <v>6905</v>
      </c>
      <c r="Y801">
        <v>1</v>
      </c>
      <c r="AC801">
        <v>1</v>
      </c>
      <c r="AN801">
        <v>1</v>
      </c>
      <c r="AO801" t="s">
        <v>6972</v>
      </c>
      <c r="AV801">
        <v>2.5</v>
      </c>
      <c r="AX801" t="s">
        <v>6997</v>
      </c>
      <c r="AZ801">
        <v>1</v>
      </c>
      <c r="BD801">
        <v>99</v>
      </c>
      <c r="BT801">
        <v>0.2</v>
      </c>
      <c r="BV801" s="8">
        <v>0</v>
      </c>
      <c r="BW801" s="8">
        <v>15</v>
      </c>
      <c r="BX801" s="8">
        <v>1</v>
      </c>
      <c r="BY801" s="8" t="s">
        <v>6907</v>
      </c>
      <c r="CB801" t="s">
        <v>7920</v>
      </c>
      <c r="CH801" t="s">
        <v>6977</v>
      </c>
      <c r="CX801" t="s">
        <v>8286</v>
      </c>
    </row>
    <row r="802" spans="1:104" x14ac:dyDescent="0.25">
      <c r="A802" t="s">
        <v>8615</v>
      </c>
      <c r="C802" t="s">
        <v>6888</v>
      </c>
      <c r="J802" t="s">
        <v>6905</v>
      </c>
      <c r="R802" t="s">
        <v>8611</v>
      </c>
      <c r="AC802">
        <v>1</v>
      </c>
      <c r="AN802">
        <v>1</v>
      </c>
      <c r="AO802" t="s">
        <v>6972</v>
      </c>
      <c r="AV802">
        <v>99</v>
      </c>
      <c r="AY802" s="5"/>
      <c r="BD802">
        <v>1</v>
      </c>
      <c r="BT802">
        <v>0.2</v>
      </c>
      <c r="BV802">
        <v>0</v>
      </c>
      <c r="BW802">
        <v>19</v>
      </c>
      <c r="BX802">
        <v>1</v>
      </c>
      <c r="BY802" s="8" t="s">
        <v>6907</v>
      </c>
      <c r="BZ802"/>
      <c r="CA802"/>
      <c r="CB802" t="s">
        <v>8328</v>
      </c>
      <c r="CD802" s="5"/>
      <c r="CE802" s="5"/>
      <c r="CF802" s="5"/>
      <c r="CG802" s="5"/>
      <c r="CH802" t="s">
        <v>6977</v>
      </c>
      <c r="CJ802" s="5"/>
      <c r="CK802" s="5"/>
      <c r="CL802" s="5"/>
      <c r="CM802" s="5"/>
      <c r="CN802" s="5"/>
      <c r="CO802" s="9" t="s">
        <v>8611</v>
      </c>
      <c r="CP802">
        <v>1</v>
      </c>
      <c r="CS802">
        <v>30.5</v>
      </c>
    </row>
    <row r="803" spans="1:104" x14ac:dyDescent="0.25">
      <c r="A803" t="s">
        <v>8616</v>
      </c>
      <c r="C803" t="s">
        <v>6888</v>
      </c>
      <c r="J803" t="s">
        <v>6905</v>
      </c>
      <c r="R803" t="s">
        <v>8611</v>
      </c>
      <c r="AC803">
        <v>1</v>
      </c>
      <c r="AN803">
        <v>1</v>
      </c>
      <c r="AO803" t="s">
        <v>6972</v>
      </c>
      <c r="AV803">
        <v>99</v>
      </c>
      <c r="AY803" s="5"/>
      <c r="BD803">
        <v>1</v>
      </c>
      <c r="BT803">
        <v>0.2</v>
      </c>
      <c r="BV803">
        <v>0</v>
      </c>
      <c r="BW803">
        <v>7</v>
      </c>
      <c r="BX803">
        <v>1</v>
      </c>
      <c r="BY803" s="8" t="s">
        <v>6907</v>
      </c>
      <c r="BZ803"/>
      <c r="CA803"/>
      <c r="CB803" t="s">
        <v>8328</v>
      </c>
      <c r="CD803" s="5"/>
      <c r="CE803" s="5"/>
      <c r="CF803" s="5"/>
      <c r="CG803" s="5"/>
      <c r="CH803" t="s">
        <v>6977</v>
      </c>
      <c r="CJ803" s="5"/>
      <c r="CK803" s="5"/>
      <c r="CL803" s="5"/>
      <c r="CM803" s="5"/>
      <c r="CN803" s="5"/>
      <c r="CO803" s="9" t="s">
        <v>8611</v>
      </c>
      <c r="CP803">
        <v>1</v>
      </c>
      <c r="CS803">
        <v>30.5</v>
      </c>
    </row>
    <row r="804" spans="1:104" x14ac:dyDescent="0.25">
      <c r="A804" t="s">
        <v>8617</v>
      </c>
      <c r="C804" t="s">
        <v>6888</v>
      </c>
      <c r="N804" s="5">
        <v>1</v>
      </c>
      <c r="T804" s="5">
        <v>0.5</v>
      </c>
      <c r="U804"/>
      <c r="AC804">
        <v>2</v>
      </c>
      <c r="AG804" t="s">
        <v>6876</v>
      </c>
      <c r="AN804">
        <v>1</v>
      </c>
      <c r="BD804">
        <v>1</v>
      </c>
      <c r="BP804" s="7" t="s">
        <v>8618</v>
      </c>
      <c r="CO804" s="9" t="s">
        <v>8619</v>
      </c>
      <c r="CP804" t="s">
        <v>8620</v>
      </c>
      <c r="CS804">
        <v>9999</v>
      </c>
    </row>
    <row r="805" spans="1:104" x14ac:dyDescent="0.25">
      <c r="A805" t="s">
        <v>8618</v>
      </c>
      <c r="C805" t="s">
        <v>6708</v>
      </c>
      <c r="K805" s="5" t="s">
        <v>6874</v>
      </c>
      <c r="P805"/>
      <c r="AC805">
        <v>2</v>
      </c>
      <c r="AG805" t="s">
        <v>6876</v>
      </c>
      <c r="AY805" s="5"/>
      <c r="BD805">
        <v>1</v>
      </c>
      <c r="BV805"/>
      <c r="BW805"/>
      <c r="BX805"/>
      <c r="BY805"/>
      <c r="BZ805"/>
      <c r="CA805"/>
      <c r="CB805" s="5"/>
      <c r="CC805" s="5"/>
      <c r="CD805" s="5"/>
      <c r="CE805" s="5"/>
      <c r="CF805" s="5"/>
      <c r="CG805" s="5"/>
      <c r="CI805" s="5"/>
      <c r="CJ805" s="5"/>
      <c r="CK805" s="5"/>
      <c r="CL805" s="5"/>
      <c r="CM805" s="5"/>
      <c r="CV805" t="s">
        <v>8621</v>
      </c>
    </row>
    <row r="806" spans="1:104" x14ac:dyDescent="0.25">
      <c r="AY806" s="5"/>
      <c r="BV806"/>
      <c r="BW806"/>
      <c r="BX806"/>
      <c r="BY806"/>
      <c r="BZ806"/>
      <c r="CA806"/>
      <c r="CB806" s="5"/>
      <c r="CC806" s="5"/>
      <c r="CD806" s="5"/>
      <c r="CE806" s="5"/>
      <c r="CF806" s="5"/>
      <c r="CG806" s="5"/>
      <c r="CJ806" s="5"/>
      <c r="CK806" s="5"/>
      <c r="CL806" s="5"/>
      <c r="CM806" s="5"/>
      <c r="CN806" s="5"/>
    </row>
    <row r="807" spans="1:104" x14ac:dyDescent="0.25">
      <c r="A807" t="s">
        <v>8622</v>
      </c>
      <c r="C807" t="s">
        <v>6888</v>
      </c>
      <c r="AC807">
        <v>1</v>
      </c>
      <c r="AN807">
        <v>1</v>
      </c>
      <c r="AO807" t="s">
        <v>6972</v>
      </c>
      <c r="AP807" t="s">
        <v>8311</v>
      </c>
      <c r="AV807">
        <v>2</v>
      </c>
      <c r="AX807" t="s">
        <v>7550</v>
      </c>
      <c r="AZ807">
        <v>1</v>
      </c>
      <c r="BD807">
        <v>1</v>
      </c>
      <c r="CB807" t="s">
        <v>8251</v>
      </c>
      <c r="CH807" t="s">
        <v>6977</v>
      </c>
      <c r="CO807" s="9" t="s">
        <v>8611</v>
      </c>
      <c r="CP807">
        <v>1</v>
      </c>
      <c r="CS807">
        <v>30.5</v>
      </c>
    </row>
    <row r="808" spans="1:104" x14ac:dyDescent="0.25">
      <c r="A808" t="s">
        <v>8619</v>
      </c>
      <c r="C808" t="s">
        <v>6888</v>
      </c>
      <c r="K808" s="5" t="s">
        <v>6874</v>
      </c>
      <c r="L808" s="5" t="s">
        <v>6980</v>
      </c>
      <c r="AC808">
        <v>2</v>
      </c>
      <c r="AF808">
        <v>1</v>
      </c>
      <c r="AG808" t="s">
        <v>6876</v>
      </c>
      <c r="AN808">
        <v>1</v>
      </c>
      <c r="AY808" s="5"/>
      <c r="BD808">
        <v>1</v>
      </c>
      <c r="BV808"/>
      <c r="BW808"/>
      <c r="BX808"/>
      <c r="BY808"/>
      <c r="BZ808"/>
      <c r="CA808"/>
      <c r="CB808" s="5"/>
      <c r="CC808" s="5"/>
      <c r="CD808" s="5"/>
      <c r="CE808" s="5"/>
      <c r="CF808" s="5"/>
      <c r="CG808" s="5"/>
      <c r="CI808" s="5"/>
      <c r="CJ808" s="5"/>
      <c r="CK808" s="5"/>
      <c r="CL808" s="5"/>
      <c r="CM808" s="5"/>
      <c r="CN808" s="5"/>
      <c r="CO808" s="9" t="s">
        <v>8619</v>
      </c>
      <c r="CS808">
        <v>9999</v>
      </c>
    </row>
    <row r="809" spans="1:104" x14ac:dyDescent="0.25">
      <c r="A809" t="s">
        <v>8611</v>
      </c>
      <c r="C809" t="s">
        <v>6888</v>
      </c>
      <c r="J809" t="s">
        <v>6905</v>
      </c>
      <c r="R809" t="s">
        <v>8611</v>
      </c>
      <c r="AC809">
        <v>1</v>
      </c>
      <c r="AN809">
        <v>1</v>
      </c>
      <c r="AO809" t="s">
        <v>6972</v>
      </c>
      <c r="AV809">
        <v>99</v>
      </c>
      <c r="AY809" s="5"/>
      <c r="BD809">
        <v>2</v>
      </c>
      <c r="BT809">
        <v>0.2</v>
      </c>
      <c r="BV809">
        <v>0</v>
      </c>
      <c r="BW809">
        <v>19</v>
      </c>
      <c r="BX809">
        <v>1</v>
      </c>
      <c r="BY809" s="8" t="s">
        <v>6907</v>
      </c>
      <c r="BZ809"/>
      <c r="CA809"/>
      <c r="CB809" t="s">
        <v>8623</v>
      </c>
      <c r="CD809" s="5"/>
      <c r="CE809" s="5"/>
      <c r="CF809" s="5"/>
      <c r="CG809" s="5"/>
      <c r="CH809" t="s">
        <v>6977</v>
      </c>
      <c r="CJ809" s="5"/>
      <c r="CK809" s="5"/>
      <c r="CL809" s="5"/>
      <c r="CM809" s="5"/>
      <c r="CN809" s="5"/>
      <c r="CO809" s="9" t="s">
        <v>8611</v>
      </c>
      <c r="CP809">
        <v>1</v>
      </c>
      <c r="CS809">
        <v>30.5</v>
      </c>
    </row>
    <row r="810" spans="1:104" x14ac:dyDescent="0.25">
      <c r="A810" t="s">
        <v>8624</v>
      </c>
      <c r="C810" t="s">
        <v>6888</v>
      </c>
      <c r="J810" t="s">
        <v>6905</v>
      </c>
      <c r="Q810" t="s">
        <v>8611</v>
      </c>
      <c r="AC810">
        <v>1</v>
      </c>
      <c r="AN810">
        <v>1</v>
      </c>
      <c r="AV810">
        <v>99</v>
      </c>
      <c r="AX810" t="s">
        <v>6997</v>
      </c>
      <c r="AY810" s="5"/>
      <c r="AZ810">
        <v>1</v>
      </c>
      <c r="BD810">
        <v>99</v>
      </c>
      <c r="BH810" t="s">
        <v>8625</v>
      </c>
      <c r="BI810">
        <v>1</v>
      </c>
      <c r="BK810">
        <v>1</v>
      </c>
      <c r="BL810">
        <v>1</v>
      </c>
      <c r="BT810">
        <v>0.2</v>
      </c>
      <c r="BV810">
        <v>0</v>
      </c>
      <c r="BW810">
        <v>35</v>
      </c>
      <c r="BX810">
        <v>1</v>
      </c>
      <c r="BY810" t="s">
        <v>6907</v>
      </c>
      <c r="BZ810"/>
      <c r="CA810"/>
      <c r="CB810" t="s">
        <v>8626</v>
      </c>
      <c r="CD810" s="5"/>
      <c r="CE810" s="5"/>
      <c r="CF810" s="5"/>
      <c r="CG810" s="5"/>
      <c r="CH810" t="s">
        <v>6977</v>
      </c>
      <c r="CJ810" s="5"/>
      <c r="CK810" s="5"/>
      <c r="CL810" s="5"/>
      <c r="CM810" s="5"/>
      <c r="CN810" t="s">
        <v>8611</v>
      </c>
      <c r="CO810" s="9" t="s">
        <v>8611</v>
      </c>
      <c r="CP810">
        <v>1</v>
      </c>
      <c r="CS810">
        <v>30.5</v>
      </c>
      <c r="CZ810" t="s">
        <v>8627</v>
      </c>
    </row>
    <row r="811" spans="1:104" x14ac:dyDescent="0.25">
      <c r="A811" t="s">
        <v>8628</v>
      </c>
      <c r="C811" t="s">
        <v>8343</v>
      </c>
      <c r="J811" t="s">
        <v>6905</v>
      </c>
      <c r="O811" t="s">
        <v>8325</v>
      </c>
      <c r="AC811">
        <v>2</v>
      </c>
      <c r="AG811" t="s">
        <v>6876</v>
      </c>
      <c r="AN811">
        <v>1</v>
      </c>
      <c r="AY811" s="5"/>
      <c r="BD811">
        <v>1</v>
      </c>
      <c r="BV811">
        <v>-25</v>
      </c>
      <c r="BW811">
        <v>50</v>
      </c>
      <c r="BX811">
        <v>1</v>
      </c>
      <c r="BY811" t="s">
        <v>6907</v>
      </c>
      <c r="BZ811"/>
      <c r="CA811"/>
      <c r="CB811" s="5" t="s">
        <v>8346</v>
      </c>
      <c r="CC811" s="5"/>
      <c r="CD811" s="5"/>
      <c r="CE811" s="5"/>
      <c r="CF811" s="5"/>
      <c r="CG811" s="5"/>
      <c r="CH811" t="s">
        <v>6977</v>
      </c>
      <c r="CI811" s="5"/>
      <c r="CJ811" s="5"/>
      <c r="CK811" s="5"/>
      <c r="CL811" s="5"/>
      <c r="CM811" s="5"/>
      <c r="CN811" s="5"/>
      <c r="CV811" t="s">
        <v>8629</v>
      </c>
    </row>
    <row r="812" spans="1:104" x14ac:dyDescent="0.25">
      <c r="A812" t="s">
        <v>8630</v>
      </c>
      <c r="C812" t="s">
        <v>7468</v>
      </c>
      <c r="K812" s="5" t="s">
        <v>6874</v>
      </c>
      <c r="L812" s="5" t="s">
        <v>7469</v>
      </c>
      <c r="N812" s="5">
        <v>1</v>
      </c>
      <c r="AC812">
        <v>2</v>
      </c>
      <c r="AG812" t="s">
        <v>6876</v>
      </c>
      <c r="AH812">
        <v>1</v>
      </c>
      <c r="AN812">
        <v>1</v>
      </c>
      <c r="AY812">
        <v>1</v>
      </c>
      <c r="BD812">
        <v>1</v>
      </c>
      <c r="BP812" s="7" t="s">
        <v>8631</v>
      </c>
      <c r="CO812" s="9" t="s">
        <v>8632</v>
      </c>
      <c r="CQ812" t="s">
        <v>8633</v>
      </c>
      <c r="CS812">
        <v>9999</v>
      </c>
      <c r="CV812" t="s">
        <v>8634</v>
      </c>
    </row>
    <row r="813" spans="1:104" x14ac:dyDescent="0.25">
      <c r="A813" t="s">
        <v>8635</v>
      </c>
      <c r="C813" t="s">
        <v>6888</v>
      </c>
      <c r="K813" s="5" t="s">
        <v>6874</v>
      </c>
      <c r="Y813">
        <v>1</v>
      </c>
      <c r="AB813">
        <v>1</v>
      </c>
      <c r="AC813">
        <v>2</v>
      </c>
      <c r="AG813" t="s">
        <v>6876</v>
      </c>
      <c r="AN813">
        <v>1</v>
      </c>
      <c r="BD813">
        <v>1</v>
      </c>
      <c r="BS813">
        <v>30</v>
      </c>
      <c r="CB813" t="s">
        <v>8636</v>
      </c>
      <c r="CD813">
        <v>30</v>
      </c>
      <c r="CF813" t="s">
        <v>8636</v>
      </c>
      <c r="CH813" t="s">
        <v>7394</v>
      </c>
    </row>
    <row r="814" spans="1:104" x14ac:dyDescent="0.25">
      <c r="A814" t="s">
        <v>8637</v>
      </c>
      <c r="C814" t="s">
        <v>6888</v>
      </c>
      <c r="K814" s="5" t="s">
        <v>6874</v>
      </c>
      <c r="AC814">
        <v>2</v>
      </c>
      <c r="AG814" t="s">
        <v>6876</v>
      </c>
      <c r="AN814">
        <v>1</v>
      </c>
      <c r="AO814" t="s">
        <v>6972</v>
      </c>
      <c r="BD814">
        <v>1</v>
      </c>
      <c r="CO814" s="9" t="s">
        <v>8341</v>
      </c>
      <c r="CS814">
        <v>43</v>
      </c>
    </row>
    <row r="815" spans="1:104" x14ac:dyDescent="0.25">
      <c r="A815" t="s">
        <v>8638</v>
      </c>
      <c r="C815" t="s">
        <v>7468</v>
      </c>
      <c r="K815" s="5" t="s">
        <v>6874</v>
      </c>
      <c r="L815" s="5" t="s">
        <v>7469</v>
      </c>
      <c r="N815" s="5">
        <v>1</v>
      </c>
      <c r="O815" t="s">
        <v>8325</v>
      </c>
      <c r="AC815">
        <v>2</v>
      </c>
      <c r="AG815" t="s">
        <v>6876</v>
      </c>
      <c r="AH815">
        <v>1</v>
      </c>
      <c r="AN815">
        <v>1</v>
      </c>
      <c r="AY815">
        <v>1</v>
      </c>
      <c r="BD815">
        <v>1</v>
      </c>
      <c r="BP815" s="7" t="s">
        <v>8631</v>
      </c>
      <c r="CO815" s="9" t="s">
        <v>8639</v>
      </c>
      <c r="CS815">
        <v>9999</v>
      </c>
      <c r="CV815" t="s">
        <v>8640</v>
      </c>
    </row>
    <row r="816" spans="1:104" x14ac:dyDescent="0.25">
      <c r="A816" t="s">
        <v>8641</v>
      </c>
      <c r="C816" t="s">
        <v>8642</v>
      </c>
      <c r="J816" t="s">
        <v>6905</v>
      </c>
      <c r="K816" s="5" t="s">
        <v>6874</v>
      </c>
      <c r="AC816">
        <v>1</v>
      </c>
      <c r="AX816" t="s">
        <v>6997</v>
      </c>
      <c r="AY816" s="5"/>
      <c r="AZ816">
        <v>1</v>
      </c>
      <c r="BD816">
        <v>1</v>
      </c>
      <c r="BE816">
        <v>9</v>
      </c>
      <c r="BF816">
        <v>2</v>
      </c>
      <c r="BV816"/>
      <c r="BW816"/>
      <c r="BX816"/>
      <c r="BY816"/>
      <c r="BZ816"/>
      <c r="CA816"/>
      <c r="CB816" s="5"/>
      <c r="CC816" s="5"/>
      <c r="CD816" s="5">
        <v>5</v>
      </c>
      <c r="CE816" s="5"/>
      <c r="CF816" s="5"/>
      <c r="CG816" s="5"/>
      <c r="CI816" t="s">
        <v>8641</v>
      </c>
      <c r="CJ816" s="5"/>
      <c r="CK816" s="5"/>
      <c r="CL816" s="5"/>
      <c r="CM816" s="5"/>
      <c r="CN816" s="5"/>
      <c r="CV816" t="s">
        <v>8643</v>
      </c>
    </row>
    <row r="817" spans="1:113" x14ac:dyDescent="0.25">
      <c r="A817" t="s">
        <v>8644</v>
      </c>
      <c r="C817" t="s">
        <v>6888</v>
      </c>
      <c r="N817" s="5">
        <v>1</v>
      </c>
      <c r="O817" t="s">
        <v>8325</v>
      </c>
      <c r="AC817">
        <v>2</v>
      </c>
      <c r="AG817" t="s">
        <v>6876</v>
      </c>
      <c r="AY817" s="5"/>
      <c r="BD817">
        <v>1</v>
      </c>
      <c r="BV817"/>
      <c r="BW817"/>
      <c r="BX817"/>
      <c r="BY817"/>
      <c r="BZ817"/>
      <c r="CA817"/>
      <c r="CB817" s="5" t="s">
        <v>8645</v>
      </c>
      <c r="CC817" s="5"/>
      <c r="CD817" s="5"/>
      <c r="CE817" s="5"/>
      <c r="CF817" s="5"/>
      <c r="CG817" s="5"/>
      <c r="CH817" t="s">
        <v>6977</v>
      </c>
      <c r="CJ817" s="5"/>
      <c r="CK817" s="5"/>
      <c r="CL817" s="5"/>
      <c r="CM817" s="5"/>
      <c r="CN817" s="5"/>
      <c r="DI817">
        <v>1</v>
      </c>
    </row>
    <row r="818" spans="1:113" x14ac:dyDescent="0.25">
      <c r="A818" t="s">
        <v>8646</v>
      </c>
      <c r="C818" t="s">
        <v>7945</v>
      </c>
      <c r="N818" s="5">
        <v>1</v>
      </c>
      <c r="O818" t="s">
        <v>8639</v>
      </c>
      <c r="AC818">
        <v>2</v>
      </c>
      <c r="AG818" t="s">
        <v>6876</v>
      </c>
      <c r="AY818" s="5"/>
      <c r="BD818">
        <v>1</v>
      </c>
      <c r="BV818"/>
      <c r="BW818"/>
      <c r="BX818"/>
      <c r="BY818"/>
      <c r="BZ818"/>
      <c r="CA818"/>
      <c r="CB818" s="5"/>
      <c r="CC818" s="5"/>
      <c r="CD818" s="5"/>
      <c r="CE818" s="5"/>
      <c r="CF818" s="5"/>
      <c r="CG818" s="5"/>
      <c r="CH818" t="s">
        <v>6977</v>
      </c>
      <c r="CJ818" s="5"/>
      <c r="CK818" s="5"/>
      <c r="CL818" s="5"/>
      <c r="CM818" s="5"/>
      <c r="CN818" s="5"/>
      <c r="CV818" t="s">
        <v>8647</v>
      </c>
      <c r="DI818">
        <v>1</v>
      </c>
    </row>
    <row r="819" spans="1:113" x14ac:dyDescent="0.25">
      <c r="O819"/>
    </row>
    <row r="820" spans="1:113" x14ac:dyDescent="0.25">
      <c r="A820" t="s">
        <v>8609</v>
      </c>
      <c r="C820" t="s">
        <v>6888</v>
      </c>
      <c r="N820" s="5">
        <v>1</v>
      </c>
      <c r="O820" s="5" t="s">
        <v>1519</v>
      </c>
      <c r="AC820">
        <v>2</v>
      </c>
      <c r="AG820" t="s">
        <v>6876</v>
      </c>
      <c r="AN820">
        <v>1</v>
      </c>
      <c r="AY820" s="5"/>
      <c r="BD820">
        <v>1</v>
      </c>
      <c r="BS820">
        <v>1</v>
      </c>
      <c r="BV820"/>
      <c r="BW820"/>
      <c r="BX820"/>
      <c r="BY820"/>
      <c r="BZ820"/>
      <c r="CA820"/>
      <c r="CB820" t="s">
        <v>8476</v>
      </c>
      <c r="CD820" s="5"/>
      <c r="CE820" s="5"/>
      <c r="CF820" s="5"/>
      <c r="CG820" s="5"/>
      <c r="CH820" t="s">
        <v>6977</v>
      </c>
      <c r="CI820" s="5"/>
      <c r="CJ820" s="5"/>
      <c r="CK820" s="5"/>
      <c r="CL820" s="5"/>
      <c r="CM820" s="5"/>
      <c r="CN820" s="5"/>
      <c r="CO820" s="9" t="s">
        <v>8487</v>
      </c>
      <c r="CP820">
        <v>99999</v>
      </c>
      <c r="CQ820">
        <v>2</v>
      </c>
      <c r="CS820">
        <v>9999</v>
      </c>
    </row>
    <row r="821" spans="1:113" x14ac:dyDescent="0.25">
      <c r="A821" t="s">
        <v>8648</v>
      </c>
      <c r="C821" t="s">
        <v>4959</v>
      </c>
      <c r="AC821">
        <v>1</v>
      </c>
      <c r="AN821">
        <v>1</v>
      </c>
      <c r="AO821" t="s">
        <v>6972</v>
      </c>
      <c r="AV821">
        <v>0</v>
      </c>
      <c r="AX821" t="s">
        <v>6984</v>
      </c>
      <c r="AZ821">
        <v>1</v>
      </c>
      <c r="BD821">
        <v>1</v>
      </c>
      <c r="CB821" t="s">
        <v>4307</v>
      </c>
      <c r="CH821" t="s">
        <v>6977</v>
      </c>
    </row>
    <row r="822" spans="1:113" s="4" customFormat="1" x14ac:dyDescent="0.25">
      <c r="A822" s="4" t="s">
        <v>8649</v>
      </c>
      <c r="K822" s="19"/>
      <c r="L822" s="19"/>
      <c r="M822" s="19"/>
      <c r="N822" s="19"/>
      <c r="O822" s="19"/>
      <c r="P822" s="19"/>
      <c r="Q822" s="19"/>
      <c r="R822" s="19"/>
      <c r="S822" s="19"/>
      <c r="T822" s="19"/>
      <c r="U822" s="19"/>
      <c r="V822" s="19"/>
      <c r="W822" s="19"/>
      <c r="X822" s="19"/>
      <c r="AR822"/>
      <c r="AS822"/>
      <c r="AW822" s="6"/>
      <c r="BO822" s="7"/>
      <c r="BP822" s="7"/>
      <c r="BV822" s="20"/>
      <c r="BW822" s="20"/>
      <c r="BX822" s="20"/>
      <c r="BY822" s="20"/>
      <c r="BZ822" s="20"/>
      <c r="CA822" s="20"/>
      <c r="CO822" s="9"/>
    </row>
    <row r="823" spans="1:113" x14ac:dyDescent="0.25">
      <c r="A823" t="s">
        <v>825</v>
      </c>
      <c r="C823" t="s">
        <v>8650</v>
      </c>
      <c r="K823" s="24" t="s">
        <v>6907</v>
      </c>
      <c r="L823" s="24"/>
      <c r="M823" s="24"/>
      <c r="N823" s="24"/>
      <c r="O823" s="24"/>
      <c r="P823" s="24"/>
      <c r="Q823" s="24"/>
      <c r="R823" s="24"/>
      <c r="S823" s="24"/>
      <c r="T823" s="24"/>
      <c r="U823" s="24"/>
      <c r="V823" s="24"/>
      <c r="W823" s="24"/>
      <c r="X823" s="24"/>
      <c r="AC823">
        <v>2</v>
      </c>
      <c r="AH823">
        <v>1</v>
      </c>
      <c r="AN823">
        <v>1</v>
      </c>
      <c r="AT823" t="s">
        <v>7006</v>
      </c>
      <c r="BV823" s="25"/>
      <c r="BW823" s="25"/>
      <c r="BX823" s="25"/>
      <c r="BY823" s="25"/>
      <c r="BZ823" s="25"/>
      <c r="CA823" s="25"/>
      <c r="CV823" t="s">
        <v>8651</v>
      </c>
      <c r="DE823">
        <v>1</v>
      </c>
      <c r="DI823">
        <v>1</v>
      </c>
    </row>
    <row r="824" spans="1:113" x14ac:dyDescent="0.25">
      <c r="A824" s="23" t="s">
        <v>9749</v>
      </c>
      <c r="C824" s="23" t="s">
        <v>9750</v>
      </c>
      <c r="K824" s="24" t="s">
        <v>6874</v>
      </c>
      <c r="L824" s="24" t="s">
        <v>9751</v>
      </c>
      <c r="M824" s="24"/>
      <c r="N824" s="24"/>
      <c r="O824" s="24"/>
      <c r="P824" s="24"/>
      <c r="Q824" s="24"/>
      <c r="R824" s="24"/>
      <c r="S824" s="24"/>
      <c r="T824" s="24"/>
      <c r="U824" s="24"/>
      <c r="V824" s="24"/>
      <c r="W824" s="24"/>
      <c r="X824" s="24"/>
      <c r="AC824">
        <v>4</v>
      </c>
      <c r="AG824" s="23" t="s">
        <v>9752</v>
      </c>
      <c r="AN824">
        <v>1</v>
      </c>
      <c r="AT824" s="23" t="s">
        <v>9753</v>
      </c>
      <c r="AZ824">
        <v>0</v>
      </c>
      <c r="BD824">
        <v>1</v>
      </c>
      <c r="BV824" s="25"/>
      <c r="BW824" s="25"/>
      <c r="BX824" s="25"/>
      <c r="BY824" s="25"/>
      <c r="BZ824" s="25"/>
      <c r="CA824" s="25"/>
      <c r="CV824" s="23" t="s">
        <v>9754</v>
      </c>
      <c r="DE824">
        <v>1</v>
      </c>
      <c r="DI824">
        <v>1</v>
      </c>
    </row>
    <row r="825" spans="1:113" x14ac:dyDescent="0.25">
      <c r="A825" t="s">
        <v>8652</v>
      </c>
      <c r="C825" t="s">
        <v>8653</v>
      </c>
      <c r="K825" s="24" t="s">
        <v>6874</v>
      </c>
      <c r="L825" s="24" t="s">
        <v>6980</v>
      </c>
      <c r="M825" s="24"/>
      <c r="N825" s="24"/>
      <c r="O825" s="24"/>
      <c r="P825" s="24"/>
      <c r="Q825" s="24"/>
      <c r="R825" s="24"/>
      <c r="S825" s="24"/>
      <c r="T825" s="24"/>
      <c r="U825" s="24"/>
      <c r="V825" s="24"/>
      <c r="W825" s="24"/>
      <c r="X825" s="24"/>
      <c r="AC825">
        <v>2</v>
      </c>
      <c r="AN825">
        <v>1</v>
      </c>
      <c r="AV825">
        <v>99</v>
      </c>
      <c r="AZ825">
        <v>0</v>
      </c>
      <c r="BD825">
        <v>99</v>
      </c>
      <c r="BV825" s="25"/>
      <c r="BW825" s="25"/>
      <c r="BX825" s="25"/>
      <c r="BY825" s="25"/>
      <c r="BZ825" s="25"/>
      <c r="CA825" s="25"/>
    </row>
    <row r="826" spans="1:113" x14ac:dyDescent="0.25">
      <c r="A826" s="23" t="s">
        <v>9755</v>
      </c>
      <c r="C826" s="23" t="s">
        <v>9750</v>
      </c>
      <c r="K826" s="24" t="s">
        <v>9756</v>
      </c>
      <c r="L826" s="24" t="s">
        <v>9757</v>
      </c>
      <c r="M826" s="24"/>
      <c r="N826" s="24"/>
      <c r="O826" s="24"/>
      <c r="P826" s="24"/>
      <c r="Q826" s="24"/>
      <c r="R826" s="24"/>
      <c r="S826" s="24"/>
      <c r="T826" s="24"/>
      <c r="U826" s="24"/>
      <c r="V826" s="24"/>
      <c r="W826" s="24"/>
      <c r="X826" s="24"/>
      <c r="AC826">
        <v>4</v>
      </c>
      <c r="AF826">
        <v>1</v>
      </c>
      <c r="AG826" s="23" t="s">
        <v>9752</v>
      </c>
      <c r="AN826">
        <v>1</v>
      </c>
      <c r="AT826" s="23" t="s">
        <v>9753</v>
      </c>
      <c r="AZ826">
        <v>0</v>
      </c>
      <c r="BD826">
        <v>1</v>
      </c>
      <c r="BV826" s="25"/>
      <c r="BW826" s="25"/>
      <c r="BX826" s="25"/>
      <c r="BY826" s="25"/>
      <c r="BZ826" s="25"/>
      <c r="CA826" s="25"/>
      <c r="CV826" s="23" t="s">
        <v>9758</v>
      </c>
      <c r="DE826">
        <v>1</v>
      </c>
      <c r="DI826">
        <v>1</v>
      </c>
    </row>
    <row r="827" spans="1:113" x14ac:dyDescent="0.25">
      <c r="A827" s="23" t="s">
        <v>9759</v>
      </c>
      <c r="C827" s="23" t="s">
        <v>9750</v>
      </c>
      <c r="K827" s="24" t="s">
        <v>6874</v>
      </c>
      <c r="L827" s="24" t="s">
        <v>6980</v>
      </c>
      <c r="M827" s="24"/>
      <c r="N827" s="24"/>
      <c r="O827" s="24"/>
      <c r="P827" s="24"/>
      <c r="Q827" s="24"/>
      <c r="R827" s="24"/>
      <c r="S827" s="24"/>
      <c r="T827" s="24"/>
      <c r="U827" s="24"/>
      <c r="V827" s="24"/>
      <c r="W827" s="24"/>
      <c r="X827" s="24"/>
      <c r="AC827">
        <v>4</v>
      </c>
      <c r="AF827">
        <v>1</v>
      </c>
      <c r="AG827" s="23" t="s">
        <v>9752</v>
      </c>
      <c r="AN827">
        <v>1</v>
      </c>
      <c r="AT827" s="23" t="s">
        <v>9753</v>
      </c>
      <c r="AZ827">
        <v>0</v>
      </c>
      <c r="BD827">
        <v>1</v>
      </c>
      <c r="BV827" s="25"/>
      <c r="BW827" s="25"/>
      <c r="BX827" s="25"/>
      <c r="BY827" s="25"/>
      <c r="BZ827" s="25"/>
      <c r="CA827" s="25"/>
      <c r="CV827" s="23" t="s">
        <v>9760</v>
      </c>
      <c r="DE827">
        <v>1</v>
      </c>
      <c r="DI827">
        <v>1</v>
      </c>
    </row>
    <row r="828" spans="1:113" x14ac:dyDescent="0.25">
      <c r="A828" t="s">
        <v>828</v>
      </c>
      <c r="B828" t="s">
        <v>8655</v>
      </c>
      <c r="C828" t="s">
        <v>6888</v>
      </c>
      <c r="J828" t="s">
        <v>6971</v>
      </c>
      <c r="K828" s="24"/>
      <c r="L828" s="24"/>
      <c r="M828" s="24"/>
      <c r="N828" s="24"/>
      <c r="O828" s="24"/>
      <c r="P828" s="24"/>
      <c r="Q828" s="24"/>
      <c r="R828" s="24"/>
      <c r="S828" s="24"/>
      <c r="T828" s="24"/>
      <c r="U828" s="24"/>
      <c r="V828" s="24"/>
      <c r="W828" s="24"/>
      <c r="X828" s="24"/>
      <c r="AC828">
        <v>3</v>
      </c>
      <c r="AG828" t="s">
        <v>6876</v>
      </c>
      <c r="AN828">
        <v>1</v>
      </c>
      <c r="AO828" t="s">
        <v>7988</v>
      </c>
      <c r="AT828" t="s">
        <v>7807</v>
      </c>
      <c r="BV828" s="25"/>
      <c r="BW828" s="25"/>
      <c r="BX828" s="25"/>
      <c r="BY828" s="25"/>
      <c r="BZ828" s="25"/>
      <c r="CA828" s="25"/>
    </row>
    <row r="829" spans="1:113" x14ac:dyDescent="0.25">
      <c r="A829" t="s">
        <v>8656</v>
      </c>
      <c r="B829" t="s">
        <v>8655</v>
      </c>
      <c r="C829" t="s">
        <v>6888</v>
      </c>
      <c r="J829" t="s">
        <v>6971</v>
      </c>
      <c r="K829" s="24"/>
      <c r="L829" s="24"/>
      <c r="M829" s="24"/>
      <c r="N829" s="24"/>
      <c r="O829" s="24"/>
      <c r="P829" s="24"/>
      <c r="Q829" s="24"/>
      <c r="R829" s="24"/>
      <c r="S829" s="24"/>
      <c r="T829" s="24"/>
      <c r="U829" s="24"/>
      <c r="V829" s="24"/>
      <c r="W829" s="24"/>
      <c r="X829" s="24"/>
      <c r="AC829">
        <v>3</v>
      </c>
      <c r="AG829" t="s">
        <v>6876</v>
      </c>
      <c r="AN829">
        <v>1</v>
      </c>
      <c r="AO829" t="s">
        <v>7988</v>
      </c>
      <c r="AT829" t="s">
        <v>7011</v>
      </c>
      <c r="BV829" s="25"/>
      <c r="BW829" s="25"/>
      <c r="BX829" s="25"/>
      <c r="BY829" s="25"/>
      <c r="BZ829" s="25"/>
      <c r="CA829" s="25"/>
    </row>
    <row r="830" spans="1:113" x14ac:dyDescent="0.25">
      <c r="A830" t="s">
        <v>829</v>
      </c>
      <c r="C830" t="s">
        <v>6888</v>
      </c>
      <c r="J830" t="s">
        <v>6905</v>
      </c>
      <c r="K830" s="24"/>
      <c r="L830" s="24"/>
      <c r="M830" s="24"/>
      <c r="N830" s="24"/>
      <c r="O830" s="24"/>
      <c r="P830" s="24"/>
      <c r="Q830" s="24"/>
      <c r="R830" s="24"/>
      <c r="S830" s="24"/>
      <c r="T830" s="24"/>
      <c r="U830" s="24"/>
      <c r="V830" s="24"/>
      <c r="W830" s="24">
        <v>1</v>
      </c>
      <c r="X830" s="24">
        <v>1</v>
      </c>
      <c r="Y830">
        <v>1</v>
      </c>
      <c r="AC830">
        <v>3</v>
      </c>
      <c r="AN830">
        <v>1</v>
      </c>
      <c r="AO830" t="s">
        <v>7988</v>
      </c>
      <c r="AT830" t="s">
        <v>7807</v>
      </c>
      <c r="AX830" t="s">
        <v>7550</v>
      </c>
      <c r="AZ830">
        <v>1</v>
      </c>
      <c r="BD830">
        <v>99</v>
      </c>
      <c r="BS830">
        <v>1</v>
      </c>
      <c r="BT830">
        <v>0.2</v>
      </c>
      <c r="BV830" s="25">
        <v>0</v>
      </c>
      <c r="BW830" s="25">
        <v>2</v>
      </c>
      <c r="BX830" s="25">
        <v>1</v>
      </c>
      <c r="BY830" s="25" t="s">
        <v>6907</v>
      </c>
      <c r="BZ830" s="25"/>
      <c r="CA830" s="25"/>
      <c r="CB830" t="s">
        <v>134</v>
      </c>
      <c r="DE830">
        <v>1</v>
      </c>
    </row>
    <row r="831" spans="1:113" x14ac:dyDescent="0.25">
      <c r="A831" t="s">
        <v>833</v>
      </c>
      <c r="C831" t="s">
        <v>6888</v>
      </c>
      <c r="J831" t="s">
        <v>6905</v>
      </c>
      <c r="K831" s="24"/>
      <c r="L831" s="24"/>
      <c r="M831" s="24"/>
      <c r="N831" s="24"/>
      <c r="O831" s="24"/>
      <c r="P831" s="24"/>
      <c r="Q831" s="24"/>
      <c r="R831" s="24"/>
      <c r="S831" s="24"/>
      <c r="T831" s="24"/>
      <c r="U831" s="24"/>
      <c r="V831" s="24"/>
      <c r="W831" s="24">
        <v>1</v>
      </c>
      <c r="X831" s="24">
        <v>1</v>
      </c>
      <c r="Y831">
        <v>1</v>
      </c>
      <c r="AC831">
        <v>1</v>
      </c>
      <c r="AN831">
        <v>1</v>
      </c>
      <c r="AO831" t="s">
        <v>7988</v>
      </c>
      <c r="AT831" t="s">
        <v>7807</v>
      </c>
      <c r="AX831" t="s">
        <v>7550</v>
      </c>
      <c r="AZ831">
        <v>0</v>
      </c>
      <c r="BD831">
        <v>99</v>
      </c>
      <c r="BS831">
        <v>1</v>
      </c>
      <c r="BT831">
        <v>0.2</v>
      </c>
      <c r="BV831" s="25">
        <v>0</v>
      </c>
      <c r="BW831" s="25">
        <v>15</v>
      </c>
      <c r="BX831" s="25">
        <v>1</v>
      </c>
      <c r="BY831" s="25" t="s">
        <v>6907</v>
      </c>
      <c r="BZ831" s="25"/>
      <c r="CA831" s="25"/>
      <c r="CB831" t="s">
        <v>134</v>
      </c>
      <c r="CO831" s="9" t="s">
        <v>8322</v>
      </c>
      <c r="CP831">
        <v>-30</v>
      </c>
      <c r="CS831">
        <v>10</v>
      </c>
      <c r="DE831">
        <v>1</v>
      </c>
    </row>
    <row r="832" spans="1:113" x14ac:dyDescent="0.25">
      <c r="A832" t="s">
        <v>837</v>
      </c>
      <c r="C832" t="s">
        <v>8642</v>
      </c>
      <c r="J832" t="s">
        <v>6905</v>
      </c>
      <c r="K832" s="24"/>
      <c r="L832" s="24"/>
      <c r="M832" s="24"/>
      <c r="N832" s="24"/>
      <c r="O832" s="24"/>
      <c r="P832" s="24"/>
      <c r="Q832" s="24"/>
      <c r="R832" s="24"/>
      <c r="S832" s="24"/>
      <c r="T832" s="24"/>
      <c r="U832" s="24"/>
      <c r="V832" s="24"/>
      <c r="W832" s="24">
        <v>1</v>
      </c>
      <c r="X832" s="24"/>
      <c r="AC832">
        <v>1</v>
      </c>
      <c r="AN832">
        <v>1</v>
      </c>
      <c r="AO832" t="s">
        <v>7988</v>
      </c>
      <c r="AX832" t="s">
        <v>6984</v>
      </c>
      <c r="AZ832">
        <v>1</v>
      </c>
      <c r="BS832">
        <v>1</v>
      </c>
      <c r="BT832">
        <v>0.2</v>
      </c>
      <c r="BV832" s="25">
        <v>0</v>
      </c>
      <c r="BW832" s="25">
        <v>5</v>
      </c>
      <c r="BX832" s="25">
        <v>1</v>
      </c>
      <c r="BY832" s="25" t="s">
        <v>6907</v>
      </c>
      <c r="BZ832" s="25"/>
      <c r="CA832" s="25"/>
      <c r="CB832" t="s">
        <v>134</v>
      </c>
      <c r="CI832" t="s">
        <v>8642</v>
      </c>
      <c r="DE832">
        <v>1</v>
      </c>
    </row>
    <row r="833" spans="1:109" x14ac:dyDescent="0.25">
      <c r="A833" t="s">
        <v>8657</v>
      </c>
      <c r="C833" t="s">
        <v>8653</v>
      </c>
      <c r="K833" s="24" t="s">
        <v>6874</v>
      </c>
      <c r="L833" s="24" t="s">
        <v>7234</v>
      </c>
      <c r="M833" s="24"/>
      <c r="N833" s="24"/>
      <c r="O833" s="24"/>
      <c r="P833" s="24"/>
      <c r="Q833" s="24"/>
      <c r="R833" s="24"/>
      <c r="S833" s="24"/>
      <c r="T833" s="24"/>
      <c r="U833" s="24"/>
      <c r="V833" s="24"/>
      <c r="W833" s="24"/>
      <c r="X833" s="24"/>
      <c r="AC833">
        <v>7</v>
      </c>
      <c r="AF833">
        <v>1</v>
      </c>
      <c r="AG833" t="s">
        <v>6876</v>
      </c>
      <c r="AH833">
        <v>1</v>
      </c>
      <c r="AN833">
        <v>1</v>
      </c>
      <c r="AT833" t="s">
        <v>7006</v>
      </c>
      <c r="AZ833">
        <v>0</v>
      </c>
      <c r="BD833">
        <v>1</v>
      </c>
      <c r="BV833" s="25"/>
      <c r="BW833" s="25"/>
      <c r="BX833" s="25"/>
      <c r="BY833" s="25"/>
      <c r="BZ833" s="25"/>
      <c r="CA833" s="25"/>
      <c r="CV833" t="s">
        <v>8654</v>
      </c>
    </row>
    <row r="834" spans="1:109" x14ac:dyDescent="0.25">
      <c r="A834" t="s">
        <v>8658</v>
      </c>
      <c r="C834" t="s">
        <v>6888</v>
      </c>
      <c r="K834" s="24" t="s">
        <v>6874</v>
      </c>
      <c r="L834" s="24"/>
      <c r="M834" s="24"/>
      <c r="N834" s="24"/>
      <c r="O834" s="24"/>
      <c r="P834" s="24"/>
      <c r="Q834" s="24"/>
      <c r="R834" s="24"/>
      <c r="S834" s="24"/>
      <c r="T834" s="24"/>
      <c r="U834" s="24"/>
      <c r="V834" s="24"/>
      <c r="W834" s="24"/>
      <c r="X834" s="24"/>
      <c r="AC834">
        <v>4</v>
      </c>
      <c r="AG834" t="s">
        <v>6876</v>
      </c>
      <c r="AN834">
        <v>1</v>
      </c>
      <c r="AZ834">
        <v>1</v>
      </c>
      <c r="BD834">
        <v>1</v>
      </c>
      <c r="BV834" s="25"/>
      <c r="BW834" s="25"/>
      <c r="BX834" s="25"/>
      <c r="BY834" s="25"/>
      <c r="BZ834" s="25"/>
      <c r="CA834" s="25"/>
      <c r="DE834">
        <v>1</v>
      </c>
    </row>
    <row r="835" spans="1:109" x14ac:dyDescent="0.25">
      <c r="A835" t="s">
        <v>842</v>
      </c>
      <c r="C835" t="s">
        <v>6888</v>
      </c>
      <c r="J835" t="s">
        <v>6905</v>
      </c>
      <c r="K835" s="24" t="s">
        <v>6906</v>
      </c>
      <c r="L835" s="24"/>
      <c r="M835" s="24"/>
      <c r="N835" s="24"/>
      <c r="O835" s="24"/>
      <c r="P835" s="24"/>
      <c r="Q835" s="24"/>
      <c r="R835" s="24"/>
      <c r="S835" s="24"/>
      <c r="T835" s="24"/>
      <c r="U835" s="24"/>
      <c r="V835" s="24"/>
      <c r="W835" s="24"/>
      <c r="X835" s="24">
        <v>1</v>
      </c>
      <c r="AC835">
        <v>2</v>
      </c>
      <c r="AN835">
        <v>1</v>
      </c>
      <c r="AO835" t="s">
        <v>7988</v>
      </c>
      <c r="AT835" t="s">
        <v>7011</v>
      </c>
      <c r="AX835" t="s">
        <v>7550</v>
      </c>
      <c r="AZ835">
        <v>1</v>
      </c>
      <c r="BD835">
        <v>99</v>
      </c>
      <c r="BP835" s="7" t="s">
        <v>8658</v>
      </c>
      <c r="BS835">
        <v>1</v>
      </c>
      <c r="BT835">
        <v>0.2</v>
      </c>
      <c r="BV835" s="25">
        <v>0</v>
      </c>
      <c r="BW835" s="25">
        <v>2</v>
      </c>
      <c r="BX835" s="25">
        <v>1</v>
      </c>
      <c r="BY835" s="25" t="s">
        <v>6907</v>
      </c>
      <c r="BZ835" s="25"/>
      <c r="CA835" s="25"/>
      <c r="CB835" t="s">
        <v>134</v>
      </c>
      <c r="DE835">
        <v>1</v>
      </c>
    </row>
    <row r="836" spans="1:109" x14ac:dyDescent="0.25">
      <c r="A836" t="s">
        <v>845</v>
      </c>
      <c r="C836" t="s">
        <v>6888</v>
      </c>
      <c r="K836" s="24" t="s">
        <v>6907</v>
      </c>
      <c r="L836" s="24"/>
      <c r="M836" s="24"/>
      <c r="N836" s="24"/>
      <c r="O836" s="24"/>
      <c r="P836" s="24"/>
      <c r="Q836" s="24"/>
      <c r="R836" s="24"/>
      <c r="S836" s="24"/>
      <c r="T836" s="24"/>
      <c r="U836" s="24"/>
      <c r="V836" s="24"/>
      <c r="W836" s="24"/>
      <c r="X836" s="24"/>
      <c r="AC836">
        <v>3</v>
      </c>
      <c r="AN836">
        <v>1</v>
      </c>
      <c r="AO836" t="s">
        <v>7988</v>
      </c>
      <c r="AV836">
        <v>0.25</v>
      </c>
      <c r="AZ836">
        <v>0</v>
      </c>
      <c r="BD836">
        <v>99</v>
      </c>
      <c r="BV836" s="25"/>
      <c r="BW836" s="25"/>
      <c r="BX836" s="25"/>
      <c r="BY836" s="25"/>
      <c r="BZ836" s="25"/>
      <c r="CA836" s="25"/>
      <c r="CO836" s="9" t="s">
        <v>8659</v>
      </c>
      <c r="CP836" t="s">
        <v>8426</v>
      </c>
      <c r="CQ836">
        <v>60</v>
      </c>
      <c r="CS836">
        <v>300</v>
      </c>
      <c r="DE836">
        <v>1</v>
      </c>
    </row>
    <row r="837" spans="1:109" x14ac:dyDescent="0.25">
      <c r="A837" t="s">
        <v>850</v>
      </c>
      <c r="C837" t="s">
        <v>6888</v>
      </c>
      <c r="K837" s="24" t="s">
        <v>6874</v>
      </c>
      <c r="L837" s="24" t="s">
        <v>6889</v>
      </c>
      <c r="M837" s="24"/>
      <c r="N837" s="24"/>
      <c r="O837" s="24"/>
      <c r="P837" s="24"/>
      <c r="Q837" s="24"/>
      <c r="R837" s="24"/>
      <c r="S837" s="24"/>
      <c r="T837" s="24"/>
      <c r="U837" s="24"/>
      <c r="V837" s="24"/>
      <c r="W837" s="24"/>
      <c r="X837" s="24"/>
      <c r="AC837">
        <v>1</v>
      </c>
      <c r="AN837">
        <v>1</v>
      </c>
      <c r="AO837" t="s">
        <v>7988</v>
      </c>
      <c r="AT837" t="s">
        <v>7006</v>
      </c>
      <c r="AZ837">
        <v>0</v>
      </c>
      <c r="BD837">
        <v>99</v>
      </c>
      <c r="BV837" s="25"/>
      <c r="BW837" s="25"/>
      <c r="BX837" s="25"/>
      <c r="BY837" s="25"/>
      <c r="BZ837" s="25"/>
      <c r="CA837" s="25"/>
      <c r="CO837" s="9" t="s">
        <v>8660</v>
      </c>
      <c r="CP837">
        <v>1</v>
      </c>
      <c r="CS837">
        <v>9999</v>
      </c>
      <c r="DE837">
        <v>1</v>
      </c>
    </row>
    <row r="838" spans="1:109" x14ac:dyDescent="0.25">
      <c r="A838" t="s">
        <v>855</v>
      </c>
      <c r="C838" t="s">
        <v>8661</v>
      </c>
      <c r="J838" t="s">
        <v>6905</v>
      </c>
      <c r="K838" s="24" t="s">
        <v>6906</v>
      </c>
      <c r="L838" s="24"/>
      <c r="M838" s="24">
        <v>20</v>
      </c>
      <c r="N838" s="24"/>
      <c r="O838" s="24"/>
      <c r="P838" s="24"/>
      <c r="Q838" s="24"/>
      <c r="R838" s="24"/>
      <c r="S838" s="24"/>
      <c r="T838" s="24"/>
      <c r="U838" s="24"/>
      <c r="V838" s="24"/>
      <c r="W838" s="24"/>
      <c r="X838" s="24"/>
      <c r="AC838">
        <v>1</v>
      </c>
      <c r="AG838" t="s">
        <v>6876</v>
      </c>
      <c r="AN838">
        <v>1</v>
      </c>
      <c r="AT838" t="s">
        <v>7006</v>
      </c>
      <c r="AZ838">
        <v>1</v>
      </c>
      <c r="BD838">
        <v>1</v>
      </c>
      <c r="BT838">
        <v>3600</v>
      </c>
      <c r="BV838" s="25">
        <v>0</v>
      </c>
      <c r="BW838" s="25">
        <v>120</v>
      </c>
      <c r="BX838" s="25">
        <v>1</v>
      </c>
      <c r="BY838" s="25" t="s">
        <v>6907</v>
      </c>
      <c r="BZ838" s="25"/>
      <c r="CA838" s="25"/>
      <c r="CO838" s="9" t="s">
        <v>8662</v>
      </c>
      <c r="CP838" t="s">
        <v>8663</v>
      </c>
      <c r="CS838">
        <v>9999</v>
      </c>
      <c r="CV838" t="s">
        <v>8664</v>
      </c>
    </row>
    <row r="839" spans="1:109" x14ac:dyDescent="0.25">
      <c r="A839" t="s">
        <v>8665</v>
      </c>
      <c r="C839" t="s">
        <v>8567</v>
      </c>
      <c r="K839" s="24" t="s">
        <v>6874</v>
      </c>
      <c r="L839" s="24" t="s">
        <v>7234</v>
      </c>
      <c r="M839" s="24"/>
      <c r="N839" s="24"/>
      <c r="O839" s="24"/>
      <c r="P839" s="24"/>
      <c r="Q839" s="24"/>
      <c r="R839" s="24"/>
      <c r="S839" s="24"/>
      <c r="T839" s="24"/>
      <c r="U839" s="24"/>
      <c r="V839" s="24"/>
      <c r="W839" s="24"/>
      <c r="X839" s="24"/>
      <c r="AC839">
        <v>1</v>
      </c>
      <c r="AF839">
        <v>1</v>
      </c>
      <c r="AG839" t="s">
        <v>6876</v>
      </c>
      <c r="AH839">
        <v>1</v>
      </c>
      <c r="AN839">
        <v>1</v>
      </c>
      <c r="BD839">
        <v>1</v>
      </c>
      <c r="BV839" s="25"/>
      <c r="BW839" s="25"/>
      <c r="BX839" s="25"/>
      <c r="BY839" s="25"/>
      <c r="BZ839" s="25"/>
      <c r="CA839" s="25"/>
      <c r="CV839" t="s">
        <v>8666</v>
      </c>
    </row>
    <row r="840" spans="1:109" x14ac:dyDescent="0.25">
      <c r="A840" t="s">
        <v>859</v>
      </c>
      <c r="C840" t="s">
        <v>6888</v>
      </c>
      <c r="J840" t="s">
        <v>6905</v>
      </c>
      <c r="K840" s="24"/>
      <c r="L840" s="24"/>
      <c r="M840" s="24"/>
      <c r="N840" s="24"/>
      <c r="O840" s="24"/>
      <c r="P840" s="24"/>
      <c r="Q840" s="24"/>
      <c r="R840" t="s">
        <v>8499</v>
      </c>
      <c r="S840" s="24"/>
      <c r="T840" s="24"/>
      <c r="U840" s="24"/>
      <c r="V840" s="24"/>
      <c r="W840" s="24">
        <v>1</v>
      </c>
      <c r="X840" s="24">
        <v>1</v>
      </c>
      <c r="Y840">
        <v>1</v>
      </c>
      <c r="AC840">
        <v>3</v>
      </c>
      <c r="AN840">
        <v>1</v>
      </c>
      <c r="AO840" t="s">
        <v>7988</v>
      </c>
      <c r="AT840" t="s">
        <v>7807</v>
      </c>
      <c r="AX840" t="s">
        <v>7550</v>
      </c>
      <c r="AZ840">
        <v>500</v>
      </c>
      <c r="BB840">
        <v>2</v>
      </c>
      <c r="BD840">
        <v>99</v>
      </c>
      <c r="BP840" s="7" t="s">
        <v>8667</v>
      </c>
      <c r="BS840">
        <v>1</v>
      </c>
      <c r="BT840">
        <v>0.2</v>
      </c>
      <c r="BV840" s="25">
        <v>0</v>
      </c>
      <c r="BW840" s="25">
        <v>7</v>
      </c>
      <c r="BX840" s="25">
        <v>1</v>
      </c>
      <c r="BY840" s="25" t="s">
        <v>6907</v>
      </c>
      <c r="BZ840" s="25"/>
      <c r="CA840" s="25"/>
      <c r="CB840" t="s">
        <v>134</v>
      </c>
      <c r="DE840">
        <v>1</v>
      </c>
    </row>
    <row r="841" spans="1:109" x14ac:dyDescent="0.25">
      <c r="A841" t="s">
        <v>8667</v>
      </c>
      <c r="C841" t="s">
        <v>6888</v>
      </c>
      <c r="K841" s="24" t="s">
        <v>6874</v>
      </c>
      <c r="L841" s="24"/>
      <c r="M841" s="24"/>
      <c r="N841" s="24"/>
      <c r="O841" s="24"/>
      <c r="P841" s="24"/>
      <c r="Q841" t="s">
        <v>8499</v>
      </c>
      <c r="R841" s="24"/>
      <c r="S841" s="24"/>
      <c r="T841" s="24"/>
      <c r="U841" s="24"/>
      <c r="V841" s="24"/>
      <c r="W841" s="24">
        <v>1</v>
      </c>
      <c r="X841" s="24">
        <v>1</v>
      </c>
      <c r="Y841">
        <v>1</v>
      </c>
      <c r="AC841">
        <v>3</v>
      </c>
      <c r="AN841">
        <v>1</v>
      </c>
      <c r="AO841" t="s">
        <v>7988</v>
      </c>
      <c r="AT841" t="s">
        <v>7006</v>
      </c>
      <c r="BD841">
        <v>99</v>
      </c>
      <c r="BV841" s="25"/>
      <c r="BW841" s="25"/>
      <c r="BX841" s="25"/>
      <c r="BY841" s="25"/>
      <c r="BZ841" s="25"/>
      <c r="CA841" s="25"/>
      <c r="CO841" s="9" t="s">
        <v>8501</v>
      </c>
      <c r="CS841">
        <v>9999</v>
      </c>
      <c r="DE841">
        <v>1</v>
      </c>
    </row>
    <row r="842" spans="1:109" x14ac:dyDescent="0.25">
      <c r="A842" t="s">
        <v>862</v>
      </c>
      <c r="C842" t="s">
        <v>6888</v>
      </c>
      <c r="K842" s="24" t="s">
        <v>6874</v>
      </c>
      <c r="L842" s="24" t="s">
        <v>6889</v>
      </c>
      <c r="M842" s="24"/>
      <c r="N842" s="24"/>
      <c r="O842" s="24"/>
      <c r="P842" s="24"/>
      <c r="Q842" s="24"/>
      <c r="R842" s="24"/>
      <c r="S842" s="24"/>
      <c r="T842" s="24"/>
      <c r="U842" s="24"/>
      <c r="V842" s="24"/>
      <c r="W842" s="24"/>
      <c r="X842" s="24"/>
      <c r="AC842">
        <v>1</v>
      </c>
      <c r="AN842">
        <v>1</v>
      </c>
      <c r="AO842" t="s">
        <v>7988</v>
      </c>
      <c r="AT842" t="s">
        <v>7006</v>
      </c>
      <c r="AZ842">
        <v>0</v>
      </c>
      <c r="BD842">
        <v>99</v>
      </c>
      <c r="BV842" s="25"/>
      <c r="BW842" s="25"/>
      <c r="BX842" s="25"/>
      <c r="BY842" s="25"/>
      <c r="BZ842" s="25"/>
      <c r="CA842" s="25"/>
      <c r="CO842" s="9" t="s">
        <v>8668</v>
      </c>
      <c r="CP842">
        <v>0.02</v>
      </c>
      <c r="CS842">
        <v>9999</v>
      </c>
      <c r="DE842">
        <v>1</v>
      </c>
    </row>
    <row r="843" spans="1:109" x14ac:dyDescent="0.25">
      <c r="A843" t="s">
        <v>865</v>
      </c>
      <c r="C843" t="s">
        <v>6888</v>
      </c>
      <c r="K843" s="24" t="s">
        <v>6874</v>
      </c>
      <c r="L843" s="24" t="s">
        <v>6889</v>
      </c>
      <c r="M843" s="24"/>
      <c r="N843" s="24"/>
      <c r="O843" s="24"/>
      <c r="P843" s="24"/>
      <c r="Q843" s="24"/>
      <c r="R843" s="24"/>
      <c r="S843" s="24"/>
      <c r="T843" s="24"/>
      <c r="U843" s="24"/>
      <c r="V843" s="24"/>
      <c r="W843" s="24"/>
      <c r="X843" s="24"/>
      <c r="AC843">
        <v>1</v>
      </c>
      <c r="AN843">
        <v>1</v>
      </c>
      <c r="AO843" t="s">
        <v>7988</v>
      </c>
      <c r="AT843" t="s">
        <v>7006</v>
      </c>
      <c r="AY843" s="24"/>
      <c r="AZ843">
        <v>1</v>
      </c>
      <c r="BD843">
        <v>1</v>
      </c>
      <c r="BV843"/>
      <c r="BW843"/>
      <c r="BX843"/>
      <c r="BY843"/>
      <c r="BZ843"/>
      <c r="CA843"/>
      <c r="CB843" s="24"/>
      <c r="CC843" s="24"/>
      <c r="CD843" s="24"/>
      <c r="CE843" s="24"/>
      <c r="CF843" s="24"/>
      <c r="CG843" s="24"/>
      <c r="CI843" s="24"/>
      <c r="CJ843" s="24"/>
      <c r="CK843" s="24"/>
      <c r="CL843" s="24"/>
      <c r="CM843" s="24"/>
      <c r="CN843" s="24"/>
      <c r="CO843" s="9" t="s">
        <v>8669</v>
      </c>
      <c r="CP843">
        <v>200</v>
      </c>
      <c r="CS843">
        <v>9999</v>
      </c>
      <c r="DE843">
        <v>1</v>
      </c>
    </row>
    <row r="844" spans="1:109" ht="14.3" customHeight="1" x14ac:dyDescent="0.25">
      <c r="A844" t="s">
        <v>869</v>
      </c>
      <c r="C844" t="s">
        <v>6888</v>
      </c>
      <c r="K844" s="24" t="s">
        <v>6874</v>
      </c>
      <c r="L844" s="24" t="s">
        <v>6889</v>
      </c>
      <c r="M844" s="24"/>
      <c r="N844" s="24"/>
      <c r="O844" s="24"/>
      <c r="P844" s="24"/>
      <c r="Q844" s="24"/>
      <c r="R844" s="24"/>
      <c r="S844" s="24"/>
      <c r="T844" s="24"/>
      <c r="U844" s="24"/>
      <c r="V844" s="24"/>
      <c r="W844" s="24"/>
      <c r="X844" s="24"/>
      <c r="AC844">
        <v>1</v>
      </c>
      <c r="AN844">
        <v>1</v>
      </c>
      <c r="AO844" t="s">
        <v>7988</v>
      </c>
      <c r="AT844" t="s">
        <v>7006</v>
      </c>
      <c r="AY844" s="24"/>
      <c r="AZ844">
        <v>1</v>
      </c>
      <c r="BD844">
        <v>1</v>
      </c>
      <c r="BV844"/>
      <c r="BW844"/>
      <c r="BX844"/>
      <c r="BY844"/>
      <c r="BZ844"/>
      <c r="CA844"/>
      <c r="CB844" s="24"/>
      <c r="CC844" s="24"/>
      <c r="CD844" s="24"/>
      <c r="CE844" s="24"/>
      <c r="CF844" s="24"/>
      <c r="CG844" s="24"/>
      <c r="CI844" s="24"/>
      <c r="CJ844" s="24"/>
      <c r="CK844" s="24"/>
      <c r="CL844" s="24"/>
      <c r="CM844" s="24"/>
      <c r="CN844" s="24"/>
      <c r="CO844" s="9" t="s">
        <v>8670</v>
      </c>
      <c r="CP844">
        <v>-0.5</v>
      </c>
      <c r="CS844">
        <v>9999</v>
      </c>
      <c r="DE844">
        <v>1</v>
      </c>
    </row>
    <row r="845" spans="1:109" ht="14.3" customHeight="1" x14ac:dyDescent="0.25">
      <c r="A845" t="s">
        <v>873</v>
      </c>
      <c r="C845" t="s">
        <v>6888</v>
      </c>
      <c r="K845" s="24" t="s">
        <v>6874</v>
      </c>
      <c r="L845" s="24" t="s">
        <v>6889</v>
      </c>
      <c r="M845" s="24"/>
      <c r="N845" s="24"/>
      <c r="O845" s="24"/>
      <c r="P845" s="24"/>
      <c r="Q845" s="24"/>
      <c r="R845" s="24"/>
      <c r="S845" s="24"/>
      <c r="T845" s="24"/>
      <c r="U845" s="24"/>
      <c r="V845" s="24"/>
      <c r="W845" s="24"/>
      <c r="X845" s="24"/>
      <c r="AC845">
        <v>1</v>
      </c>
      <c r="AN845">
        <v>1</v>
      </c>
      <c r="AO845" t="s">
        <v>7988</v>
      </c>
      <c r="AT845" t="s">
        <v>7006</v>
      </c>
      <c r="AY845" s="24"/>
      <c r="AZ845">
        <v>1</v>
      </c>
      <c r="BD845">
        <v>1</v>
      </c>
      <c r="BV845"/>
      <c r="BW845"/>
      <c r="BX845"/>
      <c r="BY845"/>
      <c r="BZ845"/>
      <c r="CA845"/>
      <c r="CB845" s="24"/>
      <c r="CC845" s="24"/>
      <c r="CD845" s="24"/>
      <c r="CE845" s="24"/>
      <c r="CF845" s="24"/>
      <c r="CG845" s="24"/>
      <c r="CI845" s="24"/>
      <c r="CJ845" s="24"/>
      <c r="CK845" s="24"/>
      <c r="CL845" s="24"/>
      <c r="CM845" s="24"/>
      <c r="CN845" s="24"/>
      <c r="CO845" s="9" t="s">
        <v>8670</v>
      </c>
      <c r="CP845">
        <v>-0.5</v>
      </c>
      <c r="CS845">
        <v>9999</v>
      </c>
      <c r="DE845">
        <v>1</v>
      </c>
    </row>
    <row r="846" spans="1:109" ht="14.3" customHeight="1" x14ac:dyDescent="0.25">
      <c r="A846" t="s">
        <v>876</v>
      </c>
      <c r="C846" t="s">
        <v>6888</v>
      </c>
      <c r="K846" s="24" t="s">
        <v>6907</v>
      </c>
      <c r="L846" s="24"/>
      <c r="M846" s="24"/>
      <c r="N846" s="24"/>
      <c r="O846" s="24"/>
      <c r="P846" s="24"/>
      <c r="Q846" s="24"/>
      <c r="R846" s="24"/>
      <c r="S846" s="24"/>
      <c r="T846" s="24"/>
      <c r="U846" s="24"/>
      <c r="V846" s="24"/>
      <c r="W846" s="24"/>
      <c r="X846" s="24"/>
      <c r="AC846">
        <v>3</v>
      </c>
      <c r="AN846">
        <v>1</v>
      </c>
      <c r="AO846" t="s">
        <v>7988</v>
      </c>
      <c r="AV846">
        <v>0.25</v>
      </c>
      <c r="AY846" s="24"/>
      <c r="AZ846">
        <v>0</v>
      </c>
      <c r="BD846">
        <v>99</v>
      </c>
      <c r="BV846"/>
      <c r="BW846"/>
      <c r="BX846"/>
      <c r="BY846"/>
      <c r="BZ846"/>
      <c r="CA846"/>
      <c r="CB846" s="24"/>
      <c r="CC846" s="24"/>
      <c r="CD846" s="24"/>
      <c r="CE846" s="24"/>
      <c r="CF846" s="24"/>
      <c r="CG846" s="24"/>
      <c r="CI846" s="24"/>
      <c r="CJ846" s="24"/>
      <c r="CK846" s="24"/>
      <c r="CL846" s="24"/>
      <c r="CM846" s="24"/>
      <c r="CN846" s="24"/>
      <c r="CO846" s="9" t="s">
        <v>8671</v>
      </c>
      <c r="CP846">
        <v>-0.6</v>
      </c>
      <c r="CS846">
        <v>0.1</v>
      </c>
      <c r="DE846">
        <v>1</v>
      </c>
    </row>
    <row r="847" spans="1:109" x14ac:dyDescent="0.25">
      <c r="A847" t="s">
        <v>879</v>
      </c>
      <c r="C847" t="s">
        <v>6888</v>
      </c>
      <c r="K847" s="24" t="s">
        <v>6874</v>
      </c>
      <c r="L847" s="24" t="s">
        <v>6889</v>
      </c>
      <c r="M847" s="24"/>
      <c r="N847" s="24"/>
      <c r="O847" s="24"/>
      <c r="P847" s="24"/>
      <c r="Q847" s="24"/>
      <c r="R847" s="24"/>
      <c r="S847" s="24"/>
      <c r="T847" s="24"/>
      <c r="U847" s="24"/>
      <c r="V847" s="24"/>
      <c r="W847" s="24"/>
      <c r="X847" s="24"/>
      <c r="AC847">
        <v>1</v>
      </c>
      <c r="AN847">
        <v>1</v>
      </c>
      <c r="AO847" t="s">
        <v>7988</v>
      </c>
      <c r="AT847" t="s">
        <v>7006</v>
      </c>
      <c r="AZ847">
        <v>0</v>
      </c>
      <c r="BD847">
        <v>99</v>
      </c>
      <c r="BV847" s="25"/>
      <c r="BW847" s="25"/>
      <c r="BX847" s="25"/>
      <c r="BY847" s="25"/>
      <c r="BZ847" s="25"/>
      <c r="CA847" s="25"/>
      <c r="CO847" s="9" t="s">
        <v>7624</v>
      </c>
      <c r="CS847">
        <v>9999</v>
      </c>
      <c r="DE847">
        <v>1</v>
      </c>
    </row>
    <row r="848" spans="1:109" ht="14.3" customHeight="1" x14ac:dyDescent="0.25">
      <c r="A848" t="s">
        <v>8672</v>
      </c>
      <c r="C848" t="s">
        <v>6888</v>
      </c>
      <c r="K848" s="24" t="s">
        <v>6907</v>
      </c>
      <c r="L848" s="24"/>
      <c r="M848" s="24"/>
      <c r="N848" s="24"/>
      <c r="O848" s="24"/>
      <c r="P848" s="24"/>
      <c r="Q848" s="24" t="s">
        <v>8673</v>
      </c>
      <c r="R848" s="24"/>
      <c r="S848" s="24"/>
      <c r="T848" s="24"/>
      <c r="U848" s="24"/>
      <c r="V848" s="24"/>
      <c r="W848" s="24"/>
      <c r="X848" s="24"/>
      <c r="AC848">
        <v>3</v>
      </c>
      <c r="AN848">
        <v>1</v>
      </c>
      <c r="AO848" t="s">
        <v>7988</v>
      </c>
      <c r="AV848">
        <v>0.25</v>
      </c>
      <c r="AY848" s="24"/>
      <c r="AZ848">
        <v>0</v>
      </c>
      <c r="BD848">
        <v>99</v>
      </c>
      <c r="BV848"/>
      <c r="BW848"/>
      <c r="BX848"/>
      <c r="BY848"/>
      <c r="BZ848"/>
      <c r="CA848"/>
      <c r="CB848" s="24"/>
      <c r="CC848" s="24"/>
      <c r="CD848" s="24"/>
      <c r="CE848" s="24"/>
      <c r="CF848" s="24"/>
      <c r="CG848" s="24"/>
      <c r="CI848" s="24"/>
      <c r="CJ848" s="24"/>
      <c r="CK848" s="24"/>
      <c r="CL848" s="24"/>
      <c r="CM848" s="24"/>
      <c r="CN848" s="24"/>
      <c r="CO848" s="9" t="s">
        <v>6878</v>
      </c>
      <c r="CP848">
        <v>1</v>
      </c>
      <c r="CS848">
        <v>0.1</v>
      </c>
      <c r="DE848">
        <v>1</v>
      </c>
    </row>
    <row r="850" spans="1:100" s="4" customFormat="1" x14ac:dyDescent="0.25">
      <c r="A850" s="4" t="s">
        <v>8674</v>
      </c>
      <c r="K850" s="27"/>
      <c r="L850" s="27"/>
      <c r="M850" s="27"/>
      <c r="N850" s="27"/>
      <c r="O850" s="27"/>
      <c r="P850" s="27"/>
      <c r="Q850" s="27"/>
      <c r="R850" s="27"/>
      <c r="S850" s="27"/>
      <c r="T850" s="27"/>
      <c r="U850" s="27"/>
      <c r="V850" s="27"/>
      <c r="W850" s="27"/>
      <c r="X850" s="27"/>
      <c r="AR850"/>
      <c r="AS850"/>
      <c r="AW850" s="6"/>
      <c r="BO850" s="7"/>
      <c r="BP850" s="7"/>
      <c r="BV850" s="28"/>
      <c r="BW850" s="28"/>
      <c r="BX850" s="28"/>
      <c r="BY850" s="28"/>
      <c r="BZ850" s="28"/>
      <c r="CA850" s="28"/>
      <c r="CO850" s="9"/>
    </row>
    <row r="852" spans="1:100" x14ac:dyDescent="0.25">
      <c r="A852" t="s">
        <v>8675</v>
      </c>
      <c r="C852" t="s">
        <v>6888</v>
      </c>
      <c r="K852" s="5" t="s">
        <v>6874</v>
      </c>
      <c r="L852" s="5" t="s">
        <v>6892</v>
      </c>
      <c r="AC852">
        <v>1</v>
      </c>
      <c r="AF852">
        <v>1</v>
      </c>
      <c r="AY852" s="5"/>
      <c r="BD852">
        <v>1</v>
      </c>
      <c r="BV852"/>
      <c r="BW852"/>
      <c r="BX852"/>
      <c r="BY852"/>
      <c r="BZ852"/>
      <c r="CA852"/>
      <c r="CB852" s="5"/>
      <c r="CC852" s="5"/>
      <c r="CD852" s="5"/>
      <c r="CE852" s="5"/>
      <c r="CF852" s="5"/>
      <c r="CG852" s="5"/>
      <c r="CI852" s="5"/>
      <c r="CJ852" s="5"/>
      <c r="CK852" s="5"/>
      <c r="CL852" s="5"/>
      <c r="CM852" s="5"/>
      <c r="CN852" s="5"/>
      <c r="CO852" s="9" t="s">
        <v>8676</v>
      </c>
      <c r="CP852">
        <v>-0.5</v>
      </c>
      <c r="CS852">
        <v>99999</v>
      </c>
    </row>
    <row r="853" spans="1:100" x14ac:dyDescent="0.25">
      <c r="A853" t="s">
        <v>8677</v>
      </c>
      <c r="C853" t="s">
        <v>6888</v>
      </c>
      <c r="K853" s="5" t="s">
        <v>6874</v>
      </c>
      <c r="L853" s="5" t="s">
        <v>6892</v>
      </c>
      <c r="AC853">
        <v>1</v>
      </c>
      <c r="AF853">
        <v>1</v>
      </c>
      <c r="AY853" s="5"/>
      <c r="BD853">
        <v>1</v>
      </c>
      <c r="BV853"/>
      <c r="BW853"/>
      <c r="BX853"/>
      <c r="BY853"/>
      <c r="BZ853"/>
      <c r="CA853"/>
      <c r="CB853" s="5"/>
      <c r="CC853" s="5"/>
      <c r="CD853" s="5"/>
      <c r="CE853" s="5"/>
      <c r="CF853" s="5"/>
      <c r="CG853" s="5"/>
      <c r="CI853" s="5"/>
      <c r="CJ853" s="5"/>
      <c r="CK853" s="5"/>
      <c r="CL853" s="5"/>
      <c r="CM853" s="5"/>
      <c r="CN853" s="5"/>
      <c r="CO853" s="9" t="s">
        <v>8678</v>
      </c>
      <c r="CP853">
        <v>0.25</v>
      </c>
      <c r="CS853">
        <v>99999</v>
      </c>
    </row>
    <row r="854" spans="1:100" x14ac:dyDescent="0.25">
      <c r="A854" t="s">
        <v>8679</v>
      </c>
      <c r="C854" t="s">
        <v>6888</v>
      </c>
      <c r="K854" s="5" t="s">
        <v>6874</v>
      </c>
      <c r="L854" s="5" t="s">
        <v>6892</v>
      </c>
      <c r="AC854">
        <v>1</v>
      </c>
      <c r="AF854">
        <v>1</v>
      </c>
      <c r="AY854" s="5"/>
      <c r="BD854">
        <v>1</v>
      </c>
      <c r="BV854"/>
      <c r="BW854"/>
      <c r="BX854"/>
      <c r="BY854"/>
      <c r="BZ854"/>
      <c r="CA854"/>
      <c r="CB854" s="5"/>
      <c r="CC854" s="5"/>
      <c r="CD854" s="5"/>
      <c r="CE854" s="5"/>
      <c r="CF854" s="5"/>
      <c r="CG854" s="5"/>
      <c r="CI854" s="5"/>
      <c r="CJ854" s="5"/>
      <c r="CK854" s="5"/>
      <c r="CL854" s="5"/>
      <c r="CM854" s="5"/>
      <c r="CN854" s="5"/>
      <c r="CO854" s="9" t="s">
        <v>8680</v>
      </c>
      <c r="CP854">
        <v>-0.25</v>
      </c>
      <c r="CS854">
        <v>99999</v>
      </c>
    </row>
    <row r="855" spans="1:100" x14ac:dyDescent="0.25">
      <c r="A855" t="s">
        <v>8681</v>
      </c>
      <c r="C855" t="s">
        <v>6888</v>
      </c>
      <c r="K855" s="5" t="s">
        <v>6874</v>
      </c>
      <c r="L855" s="5" t="s">
        <v>6892</v>
      </c>
      <c r="AC855">
        <v>1</v>
      </c>
      <c r="AF855">
        <v>1</v>
      </c>
      <c r="AY855" s="5"/>
      <c r="BD855">
        <v>1</v>
      </c>
      <c r="BV855"/>
      <c r="BW855"/>
      <c r="BX855"/>
      <c r="BY855"/>
      <c r="BZ855"/>
      <c r="CA855"/>
      <c r="CB855" s="5"/>
      <c r="CC855" s="5"/>
      <c r="CD855" s="5"/>
      <c r="CE855" s="5"/>
      <c r="CF855" s="5"/>
      <c r="CG855" s="5"/>
      <c r="CI855" s="5"/>
      <c r="CJ855" s="5"/>
      <c r="CK855" s="5"/>
      <c r="CL855" s="5"/>
      <c r="CM855" s="5"/>
      <c r="CN855" s="5"/>
      <c r="CO855" s="9" t="s">
        <v>8682</v>
      </c>
      <c r="CP855">
        <v>0.25</v>
      </c>
      <c r="CS855">
        <v>99999</v>
      </c>
    </row>
    <row r="856" spans="1:100" x14ac:dyDescent="0.25">
      <c r="A856" t="s">
        <v>8683</v>
      </c>
      <c r="C856" t="s">
        <v>6888</v>
      </c>
      <c r="K856" s="5" t="s">
        <v>6874</v>
      </c>
      <c r="L856" s="5" t="s">
        <v>6892</v>
      </c>
      <c r="AC856">
        <v>1</v>
      </c>
      <c r="AF856">
        <v>1</v>
      </c>
      <c r="AY856" s="5"/>
      <c r="BD856">
        <v>1</v>
      </c>
      <c r="BV856"/>
      <c r="BW856"/>
      <c r="BX856"/>
      <c r="BY856"/>
      <c r="BZ856"/>
      <c r="CA856"/>
      <c r="CB856" s="5"/>
      <c r="CC856" s="5"/>
      <c r="CD856" s="5"/>
      <c r="CE856" s="5"/>
      <c r="CF856" s="5"/>
      <c r="CG856" s="5"/>
      <c r="CI856" s="5"/>
      <c r="CJ856" s="5"/>
      <c r="CK856" s="5"/>
      <c r="CL856" s="5"/>
      <c r="CM856" s="5"/>
      <c r="CN856" s="5"/>
      <c r="CO856" s="9" t="s">
        <v>8684</v>
      </c>
      <c r="CP856">
        <v>-0.5</v>
      </c>
      <c r="CS856">
        <v>99999</v>
      </c>
    </row>
    <row r="857" spans="1:100" x14ac:dyDescent="0.25">
      <c r="A857" t="s">
        <v>8685</v>
      </c>
      <c r="C857" t="s">
        <v>6888</v>
      </c>
      <c r="K857" s="5" t="s">
        <v>6874</v>
      </c>
      <c r="L857" s="5" t="s">
        <v>6892</v>
      </c>
      <c r="AC857">
        <v>1</v>
      </c>
      <c r="AF857">
        <v>1</v>
      </c>
      <c r="AY857" s="5"/>
      <c r="BD857">
        <v>1</v>
      </c>
      <c r="BV857"/>
      <c r="BW857"/>
      <c r="BX857"/>
      <c r="BY857"/>
      <c r="BZ857"/>
      <c r="CA857"/>
      <c r="CB857" s="5"/>
      <c r="CC857" s="5"/>
      <c r="CD857" s="5"/>
      <c r="CE857" s="5"/>
      <c r="CF857" s="5"/>
      <c r="CG857" s="5"/>
      <c r="CI857" s="5"/>
      <c r="CJ857" s="5"/>
      <c r="CK857" s="5"/>
      <c r="CL857" s="5"/>
      <c r="CM857" s="5"/>
      <c r="CN857" s="5"/>
      <c r="CO857" s="9" t="s">
        <v>8686</v>
      </c>
      <c r="CP857">
        <v>0.33</v>
      </c>
      <c r="CS857">
        <v>99999</v>
      </c>
    </row>
    <row r="858" spans="1:100" x14ac:dyDescent="0.25">
      <c r="A858" t="s">
        <v>8687</v>
      </c>
      <c r="C858" t="s">
        <v>8661</v>
      </c>
      <c r="K858" s="5" t="s">
        <v>6874</v>
      </c>
      <c r="L858" s="5" t="s">
        <v>8688</v>
      </c>
      <c r="AY858" s="5"/>
      <c r="BV858"/>
      <c r="BW858"/>
      <c r="BX858"/>
      <c r="BY858"/>
      <c r="BZ858"/>
      <c r="CA858"/>
      <c r="CB858" s="5"/>
      <c r="CC858" s="5"/>
      <c r="CD858" s="5"/>
      <c r="CE858" s="5"/>
      <c r="CF858" s="5"/>
      <c r="CG858" s="5"/>
      <c r="CI858" s="5"/>
      <c r="CJ858" s="5"/>
      <c r="CK858" s="5"/>
      <c r="CL858" s="5"/>
      <c r="CM858" s="5"/>
      <c r="CN858" s="5"/>
      <c r="CV858" t="s">
        <v>8689</v>
      </c>
    </row>
    <row r="859" spans="1:100" x14ac:dyDescent="0.25">
      <c r="A859" t="s">
        <v>8690</v>
      </c>
      <c r="C859" t="s">
        <v>8691</v>
      </c>
      <c r="K859" s="5" t="s">
        <v>6874</v>
      </c>
      <c r="L859" s="5" t="s">
        <v>8688</v>
      </c>
      <c r="AY859" s="5"/>
      <c r="BV859"/>
      <c r="BW859"/>
      <c r="BX859"/>
      <c r="BY859"/>
      <c r="BZ859"/>
      <c r="CA859"/>
      <c r="CB859" s="5"/>
      <c r="CC859" s="5"/>
      <c r="CD859" s="5"/>
      <c r="CE859" s="5"/>
      <c r="CF859" s="5"/>
      <c r="CG859" s="5"/>
      <c r="CI859" s="5"/>
      <c r="CJ859" s="5"/>
      <c r="CK859" s="5"/>
      <c r="CL859" s="5"/>
      <c r="CM859" s="5"/>
      <c r="CN859" s="5"/>
      <c r="CV859" t="s">
        <v>8692</v>
      </c>
    </row>
    <row r="860" spans="1:100" x14ac:dyDescent="0.25">
      <c r="A860" t="s">
        <v>8693</v>
      </c>
      <c r="C860" t="s">
        <v>6888</v>
      </c>
      <c r="K860" s="5" t="s">
        <v>6874</v>
      </c>
      <c r="L860" s="5" t="s">
        <v>6889</v>
      </c>
      <c r="AC860">
        <v>1</v>
      </c>
      <c r="AF860">
        <v>1</v>
      </c>
      <c r="AX860" t="s">
        <v>7550</v>
      </c>
      <c r="AZ860">
        <v>0.5</v>
      </c>
      <c r="BB860">
        <v>1</v>
      </c>
      <c r="BD860">
        <v>1</v>
      </c>
    </row>
    <row r="862" spans="1:100" x14ac:dyDescent="0.25">
      <c r="A862" t="s">
        <v>8694</v>
      </c>
      <c r="C862" t="s">
        <v>6888</v>
      </c>
      <c r="K862" s="5" t="s">
        <v>6874</v>
      </c>
      <c r="L862" s="5" t="s">
        <v>6892</v>
      </c>
      <c r="AC862">
        <v>1</v>
      </c>
      <c r="AF862">
        <v>1</v>
      </c>
      <c r="AH862">
        <v>1</v>
      </c>
      <c r="AY862" s="5"/>
      <c r="BD862">
        <v>1</v>
      </c>
      <c r="BV862"/>
      <c r="BW862"/>
      <c r="BX862"/>
      <c r="BY862"/>
      <c r="BZ862"/>
      <c r="CA862"/>
      <c r="CB862" s="5"/>
      <c r="CC862" s="5"/>
      <c r="CD862" s="5"/>
      <c r="CE862" s="5"/>
      <c r="CF862" s="5"/>
      <c r="CG862" s="5"/>
      <c r="CI862" s="5"/>
      <c r="CJ862" s="5"/>
      <c r="CK862" s="5"/>
      <c r="CL862" s="5"/>
      <c r="CM862" s="5"/>
      <c r="CN862" s="5"/>
      <c r="CO862" s="9" t="s">
        <v>8695</v>
      </c>
      <c r="CP862">
        <v>1</v>
      </c>
      <c r="CS862">
        <v>99999</v>
      </c>
    </row>
    <row r="863" spans="1:100" x14ac:dyDescent="0.25">
      <c r="A863" t="s">
        <v>8696</v>
      </c>
      <c r="C863" t="s">
        <v>6888</v>
      </c>
      <c r="K863" s="5" t="s">
        <v>6874</v>
      </c>
      <c r="L863" s="5" t="s">
        <v>6892</v>
      </c>
      <c r="AC863">
        <v>1</v>
      </c>
      <c r="AF863">
        <v>1</v>
      </c>
      <c r="AH863">
        <v>1</v>
      </c>
      <c r="AY863" s="5"/>
      <c r="BD863">
        <v>1</v>
      </c>
      <c r="BV863"/>
      <c r="BW863"/>
      <c r="BX863"/>
      <c r="BY863"/>
      <c r="BZ863"/>
      <c r="CA863"/>
      <c r="CB863" s="5"/>
      <c r="CC863" s="5"/>
      <c r="CD863" s="5"/>
      <c r="CE863" s="5"/>
      <c r="CF863" s="5"/>
      <c r="CG863" s="5"/>
      <c r="CI863" s="5"/>
      <c r="CJ863" s="5"/>
      <c r="CK863" s="5"/>
      <c r="CL863" s="5"/>
      <c r="CM863" s="5"/>
      <c r="CN863" s="5"/>
      <c r="CO863" s="9" t="s">
        <v>8697</v>
      </c>
      <c r="CP863">
        <v>0.5</v>
      </c>
      <c r="CQ863">
        <v>1</v>
      </c>
      <c r="CS863">
        <v>99999</v>
      </c>
    </row>
    <row r="864" spans="1:100" x14ac:dyDescent="0.25">
      <c r="A864" t="s">
        <v>8698</v>
      </c>
      <c r="C864" t="s">
        <v>6888</v>
      </c>
      <c r="K864" s="5" t="s">
        <v>6874</v>
      </c>
      <c r="L864" s="5" t="s">
        <v>6892</v>
      </c>
      <c r="AC864">
        <v>1</v>
      </c>
      <c r="AF864">
        <v>1</v>
      </c>
      <c r="AH864">
        <v>1</v>
      </c>
      <c r="AY864" s="5"/>
      <c r="BD864">
        <v>1</v>
      </c>
      <c r="BV864"/>
      <c r="BW864"/>
      <c r="BX864"/>
      <c r="BY864"/>
      <c r="BZ864"/>
      <c r="CA864"/>
      <c r="CB864" s="5"/>
      <c r="CC864" s="5"/>
      <c r="CD864" s="5"/>
      <c r="CE864" s="5"/>
      <c r="CF864" s="5"/>
      <c r="CG864" s="5"/>
      <c r="CI864" s="5"/>
      <c r="CJ864" s="5"/>
      <c r="CK864" s="5"/>
      <c r="CL864" s="5"/>
      <c r="CM864" s="5"/>
      <c r="CN864" s="5"/>
      <c r="CO864" s="9" t="s">
        <v>8684</v>
      </c>
      <c r="CP864">
        <v>100</v>
      </c>
      <c r="CS864">
        <v>99999</v>
      </c>
    </row>
    <row r="865" spans="1:109" x14ac:dyDescent="0.25">
      <c r="A865" t="s">
        <v>8699</v>
      </c>
      <c r="C865" t="s">
        <v>6888</v>
      </c>
      <c r="K865" s="5" t="s">
        <v>6874</v>
      </c>
      <c r="L865" s="5" t="s">
        <v>6892</v>
      </c>
      <c r="AC865">
        <v>1</v>
      </c>
      <c r="AF865">
        <v>1</v>
      </c>
      <c r="AH865">
        <v>1</v>
      </c>
      <c r="AY865" s="5"/>
      <c r="BD865">
        <v>1</v>
      </c>
      <c r="BV865"/>
      <c r="BW865"/>
      <c r="BX865"/>
      <c r="BY865"/>
      <c r="BZ865"/>
      <c r="CA865"/>
      <c r="CB865" s="5"/>
      <c r="CC865" s="5"/>
      <c r="CD865" s="5"/>
      <c r="CE865" s="5"/>
      <c r="CF865" s="5"/>
      <c r="CG865" s="5"/>
      <c r="CI865" s="5"/>
      <c r="CJ865" s="5"/>
      <c r="CK865" s="5"/>
      <c r="CL865" s="5"/>
      <c r="CM865" s="5"/>
      <c r="CN865" s="5"/>
      <c r="CO865" s="9" t="s">
        <v>8700</v>
      </c>
      <c r="CP865">
        <v>-0.5</v>
      </c>
      <c r="CS865">
        <v>99999</v>
      </c>
    </row>
    <row r="866" spans="1:109" x14ac:dyDescent="0.25">
      <c r="A866" t="s">
        <v>8701</v>
      </c>
      <c r="C866" t="s">
        <v>6888</v>
      </c>
      <c r="K866" s="5" t="s">
        <v>6874</v>
      </c>
      <c r="L866" s="5" t="s">
        <v>6892</v>
      </c>
      <c r="AC866">
        <v>1</v>
      </c>
      <c r="AF866">
        <v>1</v>
      </c>
      <c r="AH866">
        <v>1</v>
      </c>
      <c r="AY866" s="5"/>
      <c r="BD866">
        <v>1</v>
      </c>
      <c r="BV866"/>
      <c r="BW866"/>
      <c r="BX866"/>
      <c r="BY866"/>
      <c r="BZ866"/>
      <c r="CA866"/>
      <c r="CB866" s="5"/>
      <c r="CC866" s="5"/>
      <c r="CD866" s="5"/>
      <c r="CE866" s="5"/>
      <c r="CF866" s="5"/>
      <c r="CG866" s="5"/>
      <c r="CI866" s="5"/>
      <c r="CJ866" s="5"/>
      <c r="CK866" s="5"/>
      <c r="CL866" s="5"/>
      <c r="CM866" s="5"/>
      <c r="CN866" s="5"/>
      <c r="CO866" s="9" t="s">
        <v>8686</v>
      </c>
      <c r="CP866">
        <v>-0.65</v>
      </c>
      <c r="CS866">
        <v>99999</v>
      </c>
    </row>
    <row r="867" spans="1:109" x14ac:dyDescent="0.25">
      <c r="A867" t="s">
        <v>8702</v>
      </c>
      <c r="C867" t="s">
        <v>7076</v>
      </c>
      <c r="K867" s="5" t="s">
        <v>6874</v>
      </c>
      <c r="L867" s="5" t="s">
        <v>6889</v>
      </c>
      <c r="AC867">
        <v>1</v>
      </c>
      <c r="AF867">
        <v>1</v>
      </c>
      <c r="AH867">
        <v>1</v>
      </c>
      <c r="AY867" s="5"/>
      <c r="BD867">
        <v>1</v>
      </c>
      <c r="BV867"/>
      <c r="BW867"/>
      <c r="BX867"/>
      <c r="BY867"/>
      <c r="BZ867"/>
      <c r="CA867"/>
      <c r="CB867" s="5"/>
      <c r="CC867" s="5"/>
      <c r="CD867" s="5"/>
      <c r="CE867" s="5"/>
      <c r="CF867" s="5"/>
      <c r="CG867" s="5"/>
      <c r="CI867" s="5"/>
      <c r="CJ867" s="5"/>
      <c r="CK867" s="5"/>
      <c r="CL867" s="5"/>
      <c r="CM867" s="5"/>
      <c r="CN867" s="5"/>
      <c r="CV867" t="s">
        <v>8703</v>
      </c>
      <c r="DE867">
        <v>1</v>
      </c>
    </row>
    <row r="869" spans="1:109" x14ac:dyDescent="0.25">
      <c r="A869" t="s">
        <v>8704</v>
      </c>
      <c r="C869" t="s">
        <v>6888</v>
      </c>
      <c r="K869" s="5" t="s">
        <v>6874</v>
      </c>
      <c r="L869" s="5" t="s">
        <v>6889</v>
      </c>
      <c r="AC869">
        <v>2</v>
      </c>
      <c r="AF869">
        <v>1</v>
      </c>
      <c r="AY869" s="5"/>
      <c r="BD869">
        <v>1</v>
      </c>
      <c r="BV869"/>
      <c r="BW869"/>
      <c r="BX869"/>
      <c r="BY869"/>
      <c r="BZ869"/>
      <c r="CA869"/>
      <c r="CB869" s="5"/>
      <c r="CC869" s="5"/>
      <c r="CD869" s="5"/>
      <c r="CE869" s="5"/>
      <c r="CF869" s="5"/>
      <c r="CG869" s="5"/>
      <c r="CI869" s="5"/>
      <c r="CJ869" s="5"/>
      <c r="CK869" s="5"/>
      <c r="CL869" s="5"/>
      <c r="CM869" s="5"/>
      <c r="CN869" s="5"/>
      <c r="CO869" s="9" t="s">
        <v>8695</v>
      </c>
      <c r="CP869">
        <v>0.15</v>
      </c>
      <c r="CS869">
        <v>99999</v>
      </c>
    </row>
    <row r="870" spans="1:109" x14ac:dyDescent="0.25">
      <c r="A870" t="s">
        <v>8705</v>
      </c>
      <c r="C870" t="s">
        <v>6888</v>
      </c>
      <c r="K870" s="5" t="s">
        <v>6874</v>
      </c>
      <c r="L870" s="5" t="s">
        <v>6889</v>
      </c>
      <c r="AC870">
        <v>2</v>
      </c>
      <c r="AF870">
        <v>1</v>
      </c>
      <c r="AY870" s="5"/>
      <c r="BD870">
        <v>1</v>
      </c>
      <c r="BV870"/>
      <c r="BW870"/>
      <c r="BX870"/>
      <c r="BY870"/>
      <c r="BZ870"/>
      <c r="CA870"/>
      <c r="CB870" s="5"/>
      <c r="CC870" s="5"/>
      <c r="CD870" s="5"/>
      <c r="CE870" s="5"/>
      <c r="CF870" s="5"/>
      <c r="CG870" s="5"/>
      <c r="CI870" s="5"/>
      <c r="CJ870" s="5"/>
      <c r="CK870" s="5"/>
      <c r="CL870" s="5"/>
      <c r="CM870" s="5"/>
      <c r="CN870" s="5"/>
      <c r="CO870" s="9" t="s">
        <v>8695</v>
      </c>
      <c r="CP870">
        <v>0.35</v>
      </c>
      <c r="CS870">
        <v>99999</v>
      </c>
    </row>
    <row r="871" spans="1:109" x14ac:dyDescent="0.25">
      <c r="A871" t="s">
        <v>8706</v>
      </c>
      <c r="C871" t="s">
        <v>6888</v>
      </c>
      <c r="K871" s="5" t="s">
        <v>6874</v>
      </c>
      <c r="L871" s="5" t="s">
        <v>6889</v>
      </c>
      <c r="AC871">
        <v>2</v>
      </c>
      <c r="AF871">
        <v>1</v>
      </c>
      <c r="AY871" s="5"/>
      <c r="BD871">
        <v>1</v>
      </c>
      <c r="BV871"/>
      <c r="BW871"/>
      <c r="BX871"/>
      <c r="BY871"/>
      <c r="BZ871"/>
      <c r="CA871"/>
      <c r="CB871" s="5"/>
      <c r="CC871" s="5"/>
      <c r="CD871" s="5"/>
      <c r="CE871" s="5"/>
      <c r="CF871" s="5"/>
      <c r="CG871" s="5"/>
      <c r="CI871" s="5"/>
      <c r="CJ871" s="5"/>
      <c r="CK871" s="5"/>
      <c r="CL871" s="5"/>
      <c r="CM871" s="5"/>
      <c r="CN871" s="5"/>
      <c r="CO871" s="9" t="s">
        <v>8695</v>
      </c>
      <c r="CP871">
        <v>0.8</v>
      </c>
      <c r="CS871">
        <v>99999</v>
      </c>
    </row>
    <row r="872" spans="1:109" x14ac:dyDescent="0.25">
      <c r="A872" t="s">
        <v>8707</v>
      </c>
      <c r="C872" t="s">
        <v>6888</v>
      </c>
      <c r="K872" s="5" t="s">
        <v>6874</v>
      </c>
      <c r="L872" s="5" t="s">
        <v>6889</v>
      </c>
      <c r="AC872">
        <v>2</v>
      </c>
      <c r="AF872">
        <v>1</v>
      </c>
      <c r="AY872" s="5"/>
      <c r="BD872">
        <v>1</v>
      </c>
      <c r="BV872"/>
      <c r="BW872"/>
      <c r="BX872"/>
      <c r="BY872"/>
      <c r="BZ872"/>
      <c r="CA872"/>
      <c r="CB872" s="5"/>
      <c r="CC872" s="5"/>
      <c r="CD872" s="5"/>
      <c r="CE872" s="5"/>
      <c r="CF872" s="5"/>
      <c r="CG872" s="5"/>
      <c r="CI872" s="5"/>
      <c r="CJ872" s="5"/>
      <c r="CK872" s="5"/>
      <c r="CL872" s="5"/>
      <c r="CM872" s="5"/>
      <c r="CN872" s="5"/>
      <c r="CO872" s="9" t="s">
        <v>8708</v>
      </c>
      <c r="CP872">
        <v>0.25</v>
      </c>
      <c r="CS872">
        <v>99999</v>
      </c>
    </row>
    <row r="873" spans="1:109" x14ac:dyDescent="0.25">
      <c r="A873" t="s">
        <v>8709</v>
      </c>
      <c r="C873" t="s">
        <v>6888</v>
      </c>
      <c r="K873" s="5" t="s">
        <v>6874</v>
      </c>
      <c r="L873" s="5" t="s">
        <v>6889</v>
      </c>
      <c r="AC873">
        <v>2</v>
      </c>
      <c r="AF873">
        <v>1</v>
      </c>
      <c r="AY873" s="5"/>
      <c r="BD873">
        <v>1</v>
      </c>
      <c r="BV873"/>
      <c r="BW873"/>
      <c r="BX873"/>
      <c r="BY873"/>
      <c r="BZ873"/>
      <c r="CA873"/>
      <c r="CB873" s="5"/>
      <c r="CC873" s="5"/>
      <c r="CD873" s="5"/>
      <c r="CE873" s="5"/>
      <c r="CF873" s="5"/>
      <c r="CG873" s="5"/>
      <c r="CI873" s="5"/>
      <c r="CJ873" s="5"/>
      <c r="CK873" s="5"/>
      <c r="CL873" s="5"/>
      <c r="CM873" s="5"/>
      <c r="CN873" s="5"/>
      <c r="CO873" s="9" t="s">
        <v>8708</v>
      </c>
      <c r="CP873">
        <v>0.6</v>
      </c>
      <c r="CS873">
        <v>99999</v>
      </c>
    </row>
    <row r="874" spans="1:109" x14ac:dyDescent="0.25">
      <c r="A874" t="s">
        <v>8710</v>
      </c>
      <c r="C874" t="s">
        <v>6888</v>
      </c>
      <c r="K874" s="5" t="s">
        <v>6874</v>
      </c>
      <c r="L874" s="5" t="s">
        <v>6889</v>
      </c>
      <c r="AC874">
        <v>2</v>
      </c>
      <c r="AF874">
        <v>1</v>
      </c>
      <c r="AY874" s="5"/>
      <c r="BD874">
        <v>1</v>
      </c>
      <c r="BV874"/>
      <c r="BW874"/>
      <c r="BX874"/>
      <c r="BY874"/>
      <c r="BZ874"/>
      <c r="CA874"/>
      <c r="CB874" s="5"/>
      <c r="CC874" s="5"/>
      <c r="CD874" s="5"/>
      <c r="CE874" s="5"/>
      <c r="CF874" s="5"/>
      <c r="CG874" s="5"/>
      <c r="CI874" s="5"/>
      <c r="CJ874" s="5"/>
      <c r="CK874" s="5"/>
      <c r="CL874" s="5"/>
      <c r="CM874" s="5"/>
      <c r="CN874" s="5"/>
      <c r="CO874" s="9" t="s">
        <v>8708</v>
      </c>
      <c r="CP874">
        <v>1.5</v>
      </c>
      <c r="CS874">
        <v>99999</v>
      </c>
    </row>
    <row r="875" spans="1:109" x14ac:dyDescent="0.25">
      <c r="A875" t="s">
        <v>8711</v>
      </c>
      <c r="C875" t="s">
        <v>6888</v>
      </c>
      <c r="K875" s="5" t="s">
        <v>6874</v>
      </c>
      <c r="L875" s="5" t="s">
        <v>6892</v>
      </c>
      <c r="AC875">
        <v>1</v>
      </c>
      <c r="AF875">
        <v>1</v>
      </c>
      <c r="AH875">
        <v>1</v>
      </c>
      <c r="AY875" s="5"/>
      <c r="BD875">
        <v>1</v>
      </c>
      <c r="BV875"/>
      <c r="BW875"/>
      <c r="BX875"/>
      <c r="BY875"/>
      <c r="BZ875"/>
      <c r="CA875"/>
      <c r="CB875" s="5"/>
      <c r="CC875" s="5"/>
      <c r="CD875" s="5"/>
      <c r="CE875" s="5"/>
      <c r="CF875" s="5"/>
      <c r="CG875" s="5"/>
      <c r="CI875" s="5"/>
      <c r="CJ875" s="5"/>
      <c r="CK875" s="5"/>
      <c r="CL875" s="5"/>
      <c r="CM875" s="5"/>
      <c r="CN875" s="5"/>
      <c r="CO875" s="9" t="s">
        <v>8708</v>
      </c>
      <c r="CP875">
        <v>-0.3</v>
      </c>
      <c r="CS875">
        <v>99999</v>
      </c>
    </row>
    <row r="876" spans="1:109" x14ac:dyDescent="0.25">
      <c r="A876" t="s">
        <v>8712</v>
      </c>
      <c r="C876" t="s">
        <v>6888</v>
      </c>
      <c r="K876" s="5" t="s">
        <v>6874</v>
      </c>
      <c r="L876" s="5" t="s">
        <v>6892</v>
      </c>
      <c r="AC876">
        <v>1</v>
      </c>
      <c r="AF876">
        <v>1</v>
      </c>
      <c r="AH876">
        <v>1</v>
      </c>
      <c r="AY876" s="5"/>
      <c r="BD876">
        <v>1</v>
      </c>
      <c r="BV876"/>
      <c r="BW876"/>
      <c r="BX876"/>
      <c r="BY876"/>
      <c r="BZ876"/>
      <c r="CA876"/>
      <c r="CB876" s="5"/>
      <c r="CC876" s="5"/>
      <c r="CD876" s="5"/>
      <c r="CE876" s="5"/>
      <c r="CF876" s="5"/>
      <c r="CG876" s="5"/>
      <c r="CI876" s="5"/>
      <c r="CJ876" s="5"/>
      <c r="CK876" s="5"/>
      <c r="CL876" s="5"/>
      <c r="CM876" s="5"/>
      <c r="CN876" s="5"/>
      <c r="CO876" s="9" t="s">
        <v>8708</v>
      </c>
      <c r="CP876">
        <v>-0.5</v>
      </c>
      <c r="CS876">
        <v>99999</v>
      </c>
    </row>
    <row r="877" spans="1:109" x14ac:dyDescent="0.25">
      <c r="A877" t="s">
        <v>8713</v>
      </c>
      <c r="C877" t="s">
        <v>6888</v>
      </c>
      <c r="K877" s="5" t="s">
        <v>6874</v>
      </c>
      <c r="L877" s="5" t="s">
        <v>6892</v>
      </c>
      <c r="AC877">
        <v>1</v>
      </c>
      <c r="AF877">
        <v>1</v>
      </c>
      <c r="AH877">
        <v>1</v>
      </c>
      <c r="AY877" s="5"/>
      <c r="BD877">
        <v>1</v>
      </c>
      <c r="BV877"/>
      <c r="BW877"/>
      <c r="BX877"/>
      <c r="BY877"/>
      <c r="BZ877"/>
      <c r="CA877"/>
      <c r="CB877" s="5"/>
      <c r="CC877" s="5"/>
      <c r="CD877" s="5"/>
      <c r="CE877" s="5"/>
      <c r="CF877" s="5"/>
      <c r="CG877" s="5"/>
      <c r="CI877" s="5"/>
      <c r="CJ877" s="5"/>
      <c r="CK877" s="5"/>
      <c r="CL877" s="5"/>
      <c r="CM877" s="5"/>
      <c r="CN877" s="5"/>
      <c r="CO877" s="9" t="s">
        <v>8708</v>
      </c>
      <c r="CP877">
        <v>-0.75</v>
      </c>
      <c r="CS877">
        <v>99999</v>
      </c>
    </row>
    <row r="878" spans="1:109" x14ac:dyDescent="0.25">
      <c r="A878" t="s">
        <v>8714</v>
      </c>
      <c r="C878" t="s">
        <v>6888</v>
      </c>
      <c r="K878" s="5" t="s">
        <v>6874</v>
      </c>
      <c r="L878" s="5" t="s">
        <v>6892</v>
      </c>
      <c r="AC878">
        <v>2</v>
      </c>
      <c r="AF878">
        <v>1</v>
      </c>
      <c r="AY878" s="5"/>
      <c r="BD878">
        <v>1</v>
      </c>
      <c r="BV878"/>
      <c r="BW878"/>
      <c r="BX878"/>
      <c r="BY878"/>
      <c r="BZ878"/>
      <c r="CA878"/>
      <c r="CB878" s="5"/>
      <c r="CC878" s="5"/>
      <c r="CD878" s="5"/>
      <c r="CE878" s="5"/>
      <c r="CF878" s="5"/>
      <c r="CG878" s="5"/>
      <c r="CI878" s="5"/>
      <c r="CJ878" s="5"/>
      <c r="CK878" s="5"/>
      <c r="CL878" s="5"/>
      <c r="CM878" s="5"/>
      <c r="CN878" s="5"/>
      <c r="CO878" s="9" t="s">
        <v>8684</v>
      </c>
      <c r="CP878">
        <v>0.5</v>
      </c>
      <c r="CS878">
        <v>99999</v>
      </c>
    </row>
    <row r="879" spans="1:109" x14ac:dyDescent="0.25">
      <c r="A879" t="s">
        <v>8715</v>
      </c>
      <c r="C879" t="s">
        <v>6888</v>
      </c>
      <c r="K879" s="5" t="s">
        <v>6874</v>
      </c>
      <c r="L879" s="5" t="s">
        <v>6892</v>
      </c>
      <c r="AC879">
        <v>2</v>
      </c>
      <c r="AF879">
        <v>1</v>
      </c>
      <c r="AY879" s="5"/>
      <c r="BD879">
        <v>1</v>
      </c>
      <c r="BV879"/>
      <c r="BW879"/>
      <c r="BX879"/>
      <c r="BY879"/>
      <c r="BZ879"/>
      <c r="CA879"/>
      <c r="CB879" s="5"/>
      <c r="CC879" s="5"/>
      <c r="CD879" s="5"/>
      <c r="CE879" s="5"/>
      <c r="CF879" s="5"/>
      <c r="CG879" s="5"/>
      <c r="CI879" s="5"/>
      <c r="CJ879" s="5"/>
      <c r="CK879" s="5"/>
      <c r="CL879" s="5"/>
      <c r="CM879" s="5"/>
      <c r="CN879" s="5"/>
      <c r="CO879" s="9" t="s">
        <v>8716</v>
      </c>
      <c r="CP879">
        <v>0.5</v>
      </c>
      <c r="CS879">
        <v>99999</v>
      </c>
    </row>
    <row r="880" spans="1:109" x14ac:dyDescent="0.25">
      <c r="A880" t="s">
        <v>8717</v>
      </c>
      <c r="C880" t="s">
        <v>6888</v>
      </c>
      <c r="K880" s="5" t="s">
        <v>6874</v>
      </c>
      <c r="L880" s="5" t="s">
        <v>6892</v>
      </c>
      <c r="AC880">
        <v>2</v>
      </c>
      <c r="AF880">
        <v>1</v>
      </c>
      <c r="AY880" s="5"/>
      <c r="BD880">
        <v>1</v>
      </c>
      <c r="BV880"/>
      <c r="BW880"/>
      <c r="BX880"/>
      <c r="BY880"/>
      <c r="BZ880"/>
      <c r="CA880"/>
      <c r="CB880" s="5"/>
      <c r="CC880" s="5"/>
      <c r="CD880" s="5"/>
      <c r="CE880" s="5"/>
      <c r="CF880" s="5"/>
      <c r="CG880" s="5"/>
      <c r="CI880" s="5"/>
      <c r="CJ880" s="5"/>
      <c r="CK880" s="5"/>
      <c r="CL880" s="5"/>
      <c r="CM880" s="5"/>
      <c r="CN880" s="5"/>
      <c r="CO880" s="9" t="s">
        <v>8716</v>
      </c>
      <c r="CP880">
        <v>1</v>
      </c>
      <c r="CS880">
        <v>99999</v>
      </c>
    </row>
    <row r="881" spans="1:100" x14ac:dyDescent="0.25">
      <c r="A881" t="s">
        <v>8718</v>
      </c>
      <c r="C881" t="s">
        <v>6888</v>
      </c>
      <c r="K881" s="5" t="s">
        <v>6874</v>
      </c>
      <c r="L881" s="5" t="s">
        <v>6892</v>
      </c>
      <c r="AC881">
        <v>2</v>
      </c>
      <c r="AF881">
        <v>1</v>
      </c>
      <c r="AY881" s="5"/>
      <c r="BD881">
        <v>1</v>
      </c>
      <c r="BV881"/>
      <c r="BW881"/>
      <c r="BX881"/>
      <c r="BY881"/>
      <c r="BZ881"/>
      <c r="CA881"/>
      <c r="CB881" s="5"/>
      <c r="CC881" s="5"/>
      <c r="CD881" s="5"/>
      <c r="CE881" s="5"/>
      <c r="CF881" s="5"/>
      <c r="CG881" s="5"/>
      <c r="CI881" s="5"/>
      <c r="CJ881" s="5"/>
      <c r="CK881" s="5"/>
      <c r="CL881" s="5"/>
      <c r="CM881" s="5"/>
      <c r="CN881" s="5"/>
      <c r="CO881" s="9" t="s">
        <v>8719</v>
      </c>
      <c r="CP881">
        <v>0.5</v>
      </c>
      <c r="CS881">
        <v>99999</v>
      </c>
    </row>
    <row r="882" spans="1:100" x14ac:dyDescent="0.25">
      <c r="A882" t="s">
        <v>8720</v>
      </c>
      <c r="C882" t="s">
        <v>6888</v>
      </c>
      <c r="K882" s="5" t="s">
        <v>6874</v>
      </c>
      <c r="L882" s="5" t="s">
        <v>6892</v>
      </c>
      <c r="AC882">
        <v>2</v>
      </c>
      <c r="AF882">
        <v>1</v>
      </c>
      <c r="AY882" s="5"/>
      <c r="BD882">
        <v>1</v>
      </c>
      <c r="BV882"/>
      <c r="BW882"/>
      <c r="BX882"/>
      <c r="BY882"/>
      <c r="BZ882"/>
      <c r="CA882"/>
      <c r="CB882" s="5"/>
      <c r="CC882" s="5"/>
      <c r="CD882" s="5"/>
      <c r="CE882" s="5"/>
      <c r="CF882" s="5"/>
      <c r="CG882" s="5"/>
      <c r="CI882" s="5"/>
      <c r="CJ882" s="5"/>
      <c r="CK882" s="5"/>
      <c r="CL882" s="5"/>
      <c r="CM882" s="5"/>
      <c r="CN882" s="5"/>
      <c r="CO882" s="9" t="s">
        <v>7163</v>
      </c>
      <c r="CP882">
        <v>0.5</v>
      </c>
      <c r="CS882">
        <v>99999</v>
      </c>
    </row>
    <row r="883" spans="1:100" x14ac:dyDescent="0.25">
      <c r="A883" t="s">
        <v>8721</v>
      </c>
      <c r="C883" t="s">
        <v>6888</v>
      </c>
      <c r="K883" s="5" t="s">
        <v>6874</v>
      </c>
      <c r="L883" s="5" t="s">
        <v>6892</v>
      </c>
      <c r="AC883">
        <v>2</v>
      </c>
      <c r="AF883">
        <v>1</v>
      </c>
      <c r="AY883" s="5"/>
      <c r="BD883">
        <v>1</v>
      </c>
      <c r="BV883"/>
      <c r="BW883"/>
      <c r="BX883"/>
      <c r="BY883"/>
      <c r="BZ883"/>
      <c r="CA883"/>
      <c r="CB883" s="5"/>
      <c r="CC883" s="5"/>
      <c r="CD883" s="5"/>
      <c r="CE883" s="5"/>
      <c r="CF883" s="5"/>
      <c r="CG883" s="5"/>
      <c r="CI883" s="5"/>
      <c r="CJ883" s="5"/>
      <c r="CK883" s="5"/>
      <c r="CL883" s="5"/>
      <c r="CM883" s="5"/>
      <c r="CN883" s="5"/>
      <c r="CO883" s="9" t="s">
        <v>7163</v>
      </c>
      <c r="CP883">
        <v>1</v>
      </c>
      <c r="CS883">
        <v>99999</v>
      </c>
    </row>
    <row r="884" spans="1:100" x14ac:dyDescent="0.25">
      <c r="A884" t="s">
        <v>8722</v>
      </c>
      <c r="C884" t="s">
        <v>6888</v>
      </c>
      <c r="K884" s="5" t="s">
        <v>6874</v>
      </c>
      <c r="L884" s="5" t="s">
        <v>6892</v>
      </c>
      <c r="AC884">
        <v>2</v>
      </c>
      <c r="AF884">
        <v>1</v>
      </c>
      <c r="AJ884" t="s">
        <v>8723</v>
      </c>
      <c r="AY884" s="5"/>
      <c r="BD884">
        <v>1</v>
      </c>
      <c r="BV884"/>
      <c r="BW884"/>
      <c r="BX884"/>
      <c r="BY884"/>
      <c r="BZ884"/>
      <c r="CA884"/>
      <c r="CB884" s="5"/>
      <c r="CC884" s="5"/>
      <c r="CD884" s="5"/>
      <c r="CE884" s="5"/>
      <c r="CF884" s="5"/>
      <c r="CG884" s="5"/>
      <c r="CI884" s="5"/>
      <c r="CJ884" s="5"/>
      <c r="CK884" s="5"/>
      <c r="CL884" s="5"/>
      <c r="CM884" s="5"/>
      <c r="CN884" s="5"/>
      <c r="CO884" s="9" t="s">
        <v>8697</v>
      </c>
      <c r="CP884">
        <v>0.5</v>
      </c>
      <c r="CQ884">
        <v>0.4</v>
      </c>
      <c r="CS884">
        <v>99999</v>
      </c>
    </row>
    <row r="885" spans="1:100" x14ac:dyDescent="0.25">
      <c r="A885" t="s">
        <v>8724</v>
      </c>
      <c r="C885" t="s">
        <v>6888</v>
      </c>
      <c r="K885" s="5" t="s">
        <v>6874</v>
      </c>
      <c r="L885" s="5" t="s">
        <v>6892</v>
      </c>
      <c r="AC885">
        <v>2</v>
      </c>
      <c r="AF885">
        <v>1</v>
      </c>
      <c r="AJ885" t="s">
        <v>8723</v>
      </c>
      <c r="AY885" s="5"/>
      <c r="BD885">
        <v>1</v>
      </c>
      <c r="BV885"/>
      <c r="BW885"/>
      <c r="BX885"/>
      <c r="BY885"/>
      <c r="BZ885"/>
      <c r="CA885"/>
      <c r="CB885" s="5"/>
      <c r="CC885" s="5"/>
      <c r="CD885" s="5"/>
      <c r="CE885" s="5"/>
      <c r="CF885" s="5"/>
      <c r="CG885" s="5"/>
      <c r="CI885" s="5"/>
      <c r="CJ885" s="5"/>
      <c r="CK885" s="5"/>
      <c r="CL885" s="5"/>
      <c r="CM885" s="5"/>
      <c r="CN885" s="5"/>
      <c r="CO885" s="9" t="s">
        <v>8697</v>
      </c>
      <c r="CP885">
        <v>1</v>
      </c>
      <c r="CQ885">
        <v>0.8</v>
      </c>
      <c r="CS885">
        <v>99999</v>
      </c>
    </row>
    <row r="886" spans="1:100" x14ac:dyDescent="0.25">
      <c r="A886" t="s">
        <v>8725</v>
      </c>
      <c r="C886" t="s">
        <v>6888</v>
      </c>
      <c r="K886" s="5" t="s">
        <v>6874</v>
      </c>
      <c r="L886" s="5" t="s">
        <v>6892</v>
      </c>
      <c r="AC886">
        <v>2</v>
      </c>
      <c r="AF886">
        <v>1</v>
      </c>
      <c r="AJ886" t="s">
        <v>8723</v>
      </c>
      <c r="AY886" s="5"/>
      <c r="BD886">
        <v>1</v>
      </c>
      <c r="BV886"/>
      <c r="BW886"/>
      <c r="BX886"/>
      <c r="BY886"/>
      <c r="BZ886"/>
      <c r="CA886"/>
      <c r="CB886" s="5"/>
      <c r="CC886" s="5"/>
      <c r="CD886" s="5"/>
      <c r="CE886" s="5"/>
      <c r="CF886" s="5"/>
      <c r="CG886" s="5"/>
      <c r="CI886" s="5"/>
      <c r="CJ886" s="5"/>
      <c r="CK886" s="5"/>
      <c r="CL886" s="5"/>
      <c r="CM886" s="5"/>
      <c r="CN886" s="5"/>
      <c r="CO886" s="9" t="s">
        <v>8726</v>
      </c>
      <c r="CP886">
        <v>2</v>
      </c>
      <c r="CQ886">
        <v>1.2</v>
      </c>
      <c r="CR886">
        <v>0.8</v>
      </c>
      <c r="CS886">
        <v>99999</v>
      </c>
    </row>
    <row r="887" spans="1:100" x14ac:dyDescent="0.25">
      <c r="A887" t="s">
        <v>8727</v>
      </c>
      <c r="C887" t="s">
        <v>6888</v>
      </c>
      <c r="K887" s="5" t="s">
        <v>6874</v>
      </c>
      <c r="L887" s="5" t="s">
        <v>6892</v>
      </c>
      <c r="AC887">
        <v>2</v>
      </c>
      <c r="AF887">
        <v>1</v>
      </c>
      <c r="AJ887" t="s">
        <v>285</v>
      </c>
      <c r="AY887" s="5"/>
      <c r="BD887">
        <v>1</v>
      </c>
      <c r="BV887"/>
      <c r="BW887"/>
      <c r="BX887"/>
      <c r="BY887"/>
      <c r="BZ887"/>
      <c r="CA887"/>
      <c r="CB887" s="5"/>
      <c r="CC887" s="5"/>
      <c r="CD887" s="5"/>
      <c r="CE887" s="5"/>
      <c r="CF887" s="5"/>
      <c r="CG887" s="5"/>
      <c r="CI887" s="5"/>
      <c r="CJ887" s="5"/>
      <c r="CK887" s="5"/>
      <c r="CL887" s="5"/>
      <c r="CM887" s="5"/>
      <c r="CN887" s="5"/>
      <c r="CO887" s="9" t="s">
        <v>8728</v>
      </c>
      <c r="CP887" t="s">
        <v>8729</v>
      </c>
      <c r="CS887">
        <v>99999</v>
      </c>
    </row>
    <row r="888" spans="1:100" x14ac:dyDescent="0.25">
      <c r="A888" t="s">
        <v>8730</v>
      </c>
      <c r="C888" t="s">
        <v>6888</v>
      </c>
      <c r="K888" s="5" t="s">
        <v>6874</v>
      </c>
      <c r="L888" s="5" t="s">
        <v>6892</v>
      </c>
      <c r="AC888">
        <v>2</v>
      </c>
      <c r="AF888">
        <v>1</v>
      </c>
      <c r="AJ888" t="s">
        <v>285</v>
      </c>
      <c r="AY888" s="5"/>
      <c r="BD888">
        <v>1</v>
      </c>
      <c r="BV888"/>
      <c r="BW888"/>
      <c r="BX888"/>
      <c r="BY888"/>
      <c r="BZ888"/>
      <c r="CA888"/>
      <c r="CB888" s="5"/>
      <c r="CC888" s="5"/>
      <c r="CD888" s="5"/>
      <c r="CE888" s="5"/>
      <c r="CF888" s="5"/>
      <c r="CG888" s="5"/>
      <c r="CI888" s="5"/>
      <c r="CJ888" s="5"/>
      <c r="CK888" s="5"/>
      <c r="CL888" s="5"/>
      <c r="CM888" s="5"/>
      <c r="CN888" s="5"/>
      <c r="CO888" s="9" t="s">
        <v>8728</v>
      </c>
      <c r="CP888" t="s">
        <v>8731</v>
      </c>
      <c r="CS888">
        <v>99999</v>
      </c>
    </row>
    <row r="889" spans="1:100" x14ac:dyDescent="0.25">
      <c r="A889" t="s">
        <v>8732</v>
      </c>
      <c r="C889" t="s">
        <v>6888</v>
      </c>
      <c r="K889" s="5" t="s">
        <v>6874</v>
      </c>
      <c r="L889" s="5" t="s">
        <v>6892</v>
      </c>
      <c r="AC889">
        <v>2</v>
      </c>
      <c r="AF889">
        <v>1</v>
      </c>
      <c r="AJ889" t="s">
        <v>285</v>
      </c>
      <c r="AY889" s="5"/>
      <c r="BD889">
        <v>1</v>
      </c>
      <c r="BV889"/>
      <c r="BW889"/>
      <c r="BX889"/>
      <c r="BY889"/>
      <c r="BZ889"/>
      <c r="CA889"/>
      <c r="CB889" s="5"/>
      <c r="CC889" s="5"/>
      <c r="CD889" s="5"/>
      <c r="CE889" s="5"/>
      <c r="CF889" s="5"/>
      <c r="CG889" s="5"/>
      <c r="CI889" s="5"/>
      <c r="CJ889" s="5"/>
      <c r="CK889" s="5"/>
      <c r="CL889" s="5"/>
      <c r="CM889" s="5"/>
      <c r="CN889" s="5"/>
      <c r="CO889" s="9" t="s">
        <v>8728</v>
      </c>
      <c r="CP889" t="s">
        <v>8733</v>
      </c>
      <c r="CS889">
        <v>99999</v>
      </c>
    </row>
    <row r="890" spans="1:100" x14ac:dyDescent="0.25">
      <c r="A890" t="s">
        <v>8734</v>
      </c>
      <c r="C890" t="s">
        <v>8691</v>
      </c>
      <c r="K890" s="5" t="s">
        <v>6874</v>
      </c>
      <c r="L890" s="5" t="s">
        <v>8688</v>
      </c>
      <c r="AY890" s="5"/>
      <c r="BV890"/>
      <c r="BW890"/>
      <c r="BX890"/>
      <c r="BY890"/>
      <c r="BZ890"/>
      <c r="CA890"/>
      <c r="CB890" s="5"/>
      <c r="CC890" s="5"/>
      <c r="CD890" s="5"/>
      <c r="CE890" s="5"/>
      <c r="CF890" s="5"/>
      <c r="CG890" s="5"/>
      <c r="CI890" s="5"/>
      <c r="CJ890" s="5"/>
      <c r="CK890" s="5"/>
      <c r="CL890" s="5"/>
      <c r="CM890" s="5"/>
      <c r="CN890" s="5"/>
      <c r="CV890" t="s">
        <v>8735</v>
      </c>
    </row>
    <row r="891" spans="1:100" x14ac:dyDescent="0.25">
      <c r="A891" t="s">
        <v>8736</v>
      </c>
      <c r="C891" t="s">
        <v>8691</v>
      </c>
      <c r="K891" s="5" t="s">
        <v>6874</v>
      </c>
      <c r="L891" s="5" t="s">
        <v>8688</v>
      </c>
      <c r="AY891" s="5"/>
      <c r="BV891"/>
      <c r="BW891"/>
      <c r="BX891"/>
      <c r="BY891"/>
      <c r="BZ891"/>
      <c r="CA891"/>
      <c r="CB891" s="5"/>
      <c r="CC891" s="5"/>
      <c r="CD891" s="5"/>
      <c r="CE891" s="5"/>
      <c r="CF891" s="5"/>
      <c r="CG891" s="5"/>
      <c r="CI891" s="5"/>
      <c r="CJ891" s="5"/>
      <c r="CK891" s="5"/>
      <c r="CL891" s="5"/>
      <c r="CM891" s="5"/>
      <c r="CN891" s="5"/>
      <c r="CV891" t="s">
        <v>8737</v>
      </c>
    </row>
    <row r="892" spans="1:100" x14ac:dyDescent="0.25">
      <c r="A892" t="s">
        <v>8738</v>
      </c>
      <c r="C892" t="s">
        <v>8691</v>
      </c>
      <c r="K892" s="5" t="s">
        <v>6874</v>
      </c>
      <c r="L892" s="5" t="s">
        <v>8688</v>
      </c>
      <c r="AY892" s="5"/>
      <c r="BV892"/>
      <c r="BW892"/>
      <c r="BX892"/>
      <c r="BY892"/>
      <c r="BZ892"/>
      <c r="CA892"/>
      <c r="CB892" s="5"/>
      <c r="CC892" s="5"/>
      <c r="CD892" s="5"/>
      <c r="CE892" s="5"/>
      <c r="CF892" s="5"/>
      <c r="CG892" s="5"/>
      <c r="CI892" s="5"/>
      <c r="CJ892" s="5"/>
      <c r="CK892" s="5"/>
      <c r="CL892" s="5"/>
      <c r="CM892" s="5"/>
      <c r="CN892" s="5"/>
      <c r="CV892" t="s">
        <v>8739</v>
      </c>
    </row>
    <row r="893" spans="1:100" x14ac:dyDescent="0.25">
      <c r="A893" t="s">
        <v>8740</v>
      </c>
      <c r="C893" t="s">
        <v>6888</v>
      </c>
      <c r="K893" s="5" t="s">
        <v>6874</v>
      </c>
      <c r="L893" s="5" t="s">
        <v>6892</v>
      </c>
      <c r="AC893">
        <v>1</v>
      </c>
      <c r="AF893">
        <v>1</v>
      </c>
      <c r="AH893">
        <v>1</v>
      </c>
      <c r="AY893" s="5"/>
      <c r="BD893">
        <v>1</v>
      </c>
      <c r="BV893"/>
      <c r="BW893"/>
      <c r="BX893"/>
      <c r="BY893"/>
      <c r="BZ893"/>
      <c r="CA893"/>
      <c r="CB893" s="5"/>
      <c r="CC893" s="5"/>
      <c r="CD893" s="5"/>
      <c r="CE893" s="5"/>
      <c r="CF893" s="5"/>
      <c r="CG893" s="5"/>
      <c r="CI893" s="5"/>
      <c r="CJ893" s="5"/>
      <c r="CK893" s="5"/>
      <c r="CL893" s="5"/>
      <c r="CM893" s="5"/>
      <c r="CN893" s="5"/>
      <c r="CO893" s="9" t="s">
        <v>8719</v>
      </c>
      <c r="CP893">
        <v>-0.35</v>
      </c>
      <c r="CS893">
        <v>99999</v>
      </c>
    </row>
    <row r="894" spans="1:100" x14ac:dyDescent="0.25">
      <c r="A894" t="s">
        <v>8741</v>
      </c>
      <c r="C894" t="s">
        <v>6888</v>
      </c>
      <c r="K894" s="5" t="s">
        <v>6874</v>
      </c>
      <c r="L894" s="5" t="s">
        <v>6892</v>
      </c>
      <c r="AC894">
        <v>1</v>
      </c>
      <c r="AF894">
        <v>1</v>
      </c>
      <c r="AH894">
        <v>1</v>
      </c>
      <c r="AY894" s="5"/>
      <c r="BD894">
        <v>1</v>
      </c>
      <c r="BV894"/>
      <c r="BW894"/>
      <c r="BX894"/>
      <c r="BY894"/>
      <c r="BZ894"/>
      <c r="CA894"/>
      <c r="CB894" s="5"/>
      <c r="CC894" s="5"/>
      <c r="CD894" s="5"/>
      <c r="CE894" s="5"/>
      <c r="CF894" s="5"/>
      <c r="CG894" s="5"/>
      <c r="CI894" s="5"/>
      <c r="CJ894" s="5"/>
      <c r="CK894" s="5"/>
      <c r="CL894" s="5"/>
      <c r="CM894" s="5"/>
      <c r="CN894" s="5"/>
      <c r="CO894" s="9" t="s">
        <v>8719</v>
      </c>
      <c r="CP894">
        <v>-0.7</v>
      </c>
      <c r="CS894">
        <v>99999</v>
      </c>
    </row>
    <row r="895" spans="1:100" x14ac:dyDescent="0.25">
      <c r="A895" t="s">
        <v>8742</v>
      </c>
      <c r="C895" t="s">
        <v>6888</v>
      </c>
      <c r="K895" s="5" t="s">
        <v>6874</v>
      </c>
      <c r="L895" s="5" t="s">
        <v>6892</v>
      </c>
      <c r="AC895">
        <v>1</v>
      </c>
      <c r="AF895">
        <v>1</v>
      </c>
      <c r="AH895">
        <v>1</v>
      </c>
      <c r="AY895" s="5"/>
      <c r="BD895">
        <v>1</v>
      </c>
      <c r="BV895"/>
      <c r="BW895"/>
      <c r="BX895"/>
      <c r="BY895"/>
      <c r="BZ895"/>
      <c r="CA895"/>
      <c r="CB895" s="5"/>
      <c r="CC895" s="5"/>
      <c r="CD895" s="5"/>
      <c r="CE895" s="5"/>
      <c r="CF895" s="5"/>
      <c r="CG895" s="5"/>
      <c r="CI895" s="5"/>
      <c r="CJ895" s="5"/>
      <c r="CK895" s="5"/>
      <c r="CL895" s="5"/>
      <c r="CM895" s="5"/>
      <c r="CN895" s="5"/>
      <c r="CO895" s="9" t="s">
        <v>8719</v>
      </c>
      <c r="CP895">
        <v>-1</v>
      </c>
      <c r="CS895">
        <v>99999</v>
      </c>
    </row>
    <row r="896" spans="1:100" x14ac:dyDescent="0.25">
      <c r="A896" t="s">
        <v>8743</v>
      </c>
      <c r="C896" t="s">
        <v>8661</v>
      </c>
      <c r="K896" s="5" t="s">
        <v>6874</v>
      </c>
      <c r="L896" s="5" t="s">
        <v>8688</v>
      </c>
      <c r="AY896" s="5"/>
      <c r="BV896"/>
      <c r="BW896"/>
      <c r="BX896"/>
      <c r="BY896"/>
      <c r="BZ896"/>
      <c r="CA896"/>
      <c r="CB896" s="5"/>
      <c r="CC896" s="5"/>
      <c r="CD896" s="5"/>
      <c r="CE896" s="5"/>
      <c r="CF896" s="5"/>
      <c r="CG896" s="5"/>
      <c r="CI896" s="5"/>
      <c r="CJ896" s="5"/>
      <c r="CK896" s="5"/>
      <c r="CL896" s="5"/>
      <c r="CM896" s="5"/>
      <c r="CN896" s="5"/>
      <c r="CV896" t="s">
        <v>8744</v>
      </c>
    </row>
    <row r="897" spans="1:100" x14ac:dyDescent="0.25">
      <c r="A897" t="s">
        <v>8745</v>
      </c>
      <c r="C897" t="s">
        <v>8661</v>
      </c>
      <c r="K897" s="5" t="s">
        <v>6874</v>
      </c>
      <c r="L897" s="5" t="s">
        <v>8688</v>
      </c>
      <c r="AY897" s="5"/>
      <c r="BV897"/>
      <c r="BW897"/>
      <c r="BX897"/>
      <c r="BY897"/>
      <c r="BZ897"/>
      <c r="CA897"/>
      <c r="CB897" s="5"/>
      <c r="CC897" s="5"/>
      <c r="CD897" s="5"/>
      <c r="CE897" s="5"/>
      <c r="CF897" s="5"/>
      <c r="CG897" s="5"/>
      <c r="CI897" s="5"/>
      <c r="CJ897" s="5"/>
      <c r="CK897" s="5"/>
      <c r="CL897" s="5"/>
      <c r="CM897" s="5"/>
      <c r="CN897" s="5"/>
      <c r="CV897" t="s">
        <v>8689</v>
      </c>
    </row>
    <row r="898" spans="1:100" x14ac:dyDescent="0.25">
      <c r="A898" t="s">
        <v>8746</v>
      </c>
      <c r="C898" t="s">
        <v>8661</v>
      </c>
      <c r="K898" s="5" t="s">
        <v>6874</v>
      </c>
      <c r="L898" s="5" t="s">
        <v>8688</v>
      </c>
      <c r="AY898" s="5"/>
      <c r="BV898"/>
      <c r="BW898"/>
      <c r="BX898"/>
      <c r="BY898"/>
      <c r="BZ898"/>
      <c r="CA898"/>
      <c r="CB898" s="5"/>
      <c r="CC898" s="5"/>
      <c r="CD898" s="5"/>
      <c r="CE898" s="5"/>
      <c r="CF898" s="5"/>
      <c r="CG898" s="5"/>
      <c r="CI898" s="5"/>
      <c r="CJ898" s="5"/>
      <c r="CK898" s="5"/>
      <c r="CL898" s="5"/>
      <c r="CM898" s="5"/>
      <c r="CN898" s="5"/>
      <c r="CV898" t="s">
        <v>8747</v>
      </c>
    </row>
    <row r="899" spans="1:100" x14ac:dyDescent="0.25">
      <c r="A899" t="s">
        <v>8748</v>
      </c>
      <c r="C899" t="s">
        <v>8343</v>
      </c>
      <c r="K899" s="5" t="s">
        <v>6874</v>
      </c>
      <c r="L899" s="5" t="s">
        <v>8688</v>
      </c>
      <c r="X899" s="5">
        <v>1</v>
      </c>
      <c r="CV899" t="s">
        <v>8749</v>
      </c>
    </row>
    <row r="900" spans="1:100" x14ac:dyDescent="0.25">
      <c r="A900" t="s">
        <v>8750</v>
      </c>
      <c r="C900" t="s">
        <v>6888</v>
      </c>
      <c r="K900" s="5" t="s">
        <v>6874</v>
      </c>
      <c r="L900" s="5" t="s">
        <v>6892</v>
      </c>
      <c r="AC900">
        <v>1</v>
      </c>
      <c r="AF900">
        <v>1</v>
      </c>
      <c r="AH900">
        <v>1</v>
      </c>
      <c r="AY900" s="5"/>
      <c r="BD900">
        <v>1</v>
      </c>
      <c r="BV900"/>
      <c r="BW900"/>
      <c r="BX900"/>
      <c r="BY900"/>
      <c r="BZ900"/>
      <c r="CA900"/>
      <c r="CB900" s="5"/>
      <c r="CC900" s="5"/>
      <c r="CD900" s="5"/>
      <c r="CE900" s="5"/>
      <c r="CF900" s="5"/>
      <c r="CG900" s="5"/>
      <c r="CI900" s="5"/>
      <c r="CJ900" s="5"/>
      <c r="CK900" s="5"/>
      <c r="CL900" s="5"/>
      <c r="CM900" s="5"/>
      <c r="CN900" s="5"/>
      <c r="CO900" s="9" t="s">
        <v>8695</v>
      </c>
      <c r="CP900">
        <v>-0.1</v>
      </c>
      <c r="CS900">
        <v>99999</v>
      </c>
    </row>
    <row r="901" spans="1:100" x14ac:dyDescent="0.25">
      <c r="A901" t="s">
        <v>8751</v>
      </c>
      <c r="C901" t="s">
        <v>6888</v>
      </c>
      <c r="K901" s="5" t="s">
        <v>6874</v>
      </c>
      <c r="L901" s="5" t="s">
        <v>6892</v>
      </c>
      <c r="AC901">
        <v>1</v>
      </c>
      <c r="AF901">
        <v>1</v>
      </c>
      <c r="AH901">
        <v>1</v>
      </c>
      <c r="AY901" s="5"/>
      <c r="BD901">
        <v>1</v>
      </c>
      <c r="BV901"/>
      <c r="BW901"/>
      <c r="BX901"/>
      <c r="BY901"/>
      <c r="BZ901"/>
      <c r="CA901"/>
      <c r="CB901" s="5"/>
      <c r="CC901" s="5"/>
      <c r="CD901" s="5"/>
      <c r="CE901" s="5"/>
      <c r="CF901" s="5"/>
      <c r="CG901" s="5"/>
      <c r="CI901" s="5"/>
      <c r="CJ901" s="5"/>
      <c r="CK901" s="5"/>
      <c r="CL901" s="5"/>
      <c r="CM901" s="5"/>
      <c r="CN901" s="5"/>
      <c r="CO901" s="9" t="s">
        <v>8695</v>
      </c>
      <c r="CP901">
        <v>-0.25</v>
      </c>
      <c r="CS901">
        <v>99999</v>
      </c>
    </row>
    <row r="902" spans="1:100" x14ac:dyDescent="0.25">
      <c r="A902" t="s">
        <v>8752</v>
      </c>
      <c r="C902" t="s">
        <v>6888</v>
      </c>
      <c r="K902" s="5" t="s">
        <v>6874</v>
      </c>
      <c r="L902" s="5" t="s">
        <v>6892</v>
      </c>
      <c r="AC902">
        <v>1</v>
      </c>
      <c r="AF902">
        <v>1</v>
      </c>
      <c r="AH902">
        <v>1</v>
      </c>
      <c r="AY902" s="5"/>
      <c r="BD902">
        <v>1</v>
      </c>
      <c r="BV902"/>
      <c r="BW902"/>
      <c r="BX902"/>
      <c r="BY902"/>
      <c r="BZ902"/>
      <c r="CA902"/>
      <c r="CB902" s="5"/>
      <c r="CC902" s="5"/>
      <c r="CD902" s="5"/>
      <c r="CE902" s="5"/>
      <c r="CF902" s="5"/>
      <c r="CG902" s="5"/>
      <c r="CI902" s="5"/>
      <c r="CJ902" s="5"/>
      <c r="CK902" s="5"/>
      <c r="CL902" s="5"/>
      <c r="CM902" s="5"/>
      <c r="CN902" s="5"/>
      <c r="CO902" s="9" t="s">
        <v>8695</v>
      </c>
      <c r="CP902">
        <v>-0.5</v>
      </c>
      <c r="CS902">
        <v>99999</v>
      </c>
    </row>
    <row r="904" spans="1:100" x14ac:dyDescent="0.25">
      <c r="A904" t="s">
        <v>8753</v>
      </c>
      <c r="C904" t="s">
        <v>6888</v>
      </c>
      <c r="K904" s="5" t="s">
        <v>6874</v>
      </c>
      <c r="L904" s="5" t="s">
        <v>6980</v>
      </c>
      <c r="AC904">
        <v>1</v>
      </c>
      <c r="AG904" t="s">
        <v>6876</v>
      </c>
      <c r="AH904">
        <v>1</v>
      </c>
      <c r="AY904" s="5"/>
      <c r="BD904">
        <v>1</v>
      </c>
      <c r="BV904"/>
      <c r="BW904"/>
      <c r="BX904"/>
      <c r="BY904"/>
      <c r="BZ904"/>
      <c r="CA904"/>
      <c r="CB904" s="5"/>
      <c r="CC904" s="5"/>
      <c r="CD904" s="5"/>
      <c r="CE904" s="5"/>
      <c r="CF904" s="5"/>
      <c r="CG904" s="5"/>
      <c r="CI904" s="5"/>
      <c r="CJ904" s="5"/>
      <c r="CK904" s="5"/>
      <c r="CL904" s="5"/>
      <c r="CM904" s="5"/>
      <c r="CN904" s="5"/>
      <c r="CO904" s="9" t="s">
        <v>8754</v>
      </c>
      <c r="CS904">
        <v>10</v>
      </c>
    </row>
    <row r="905" spans="1:100" x14ac:dyDescent="0.25">
      <c r="A905" t="s">
        <v>8755</v>
      </c>
      <c r="C905" t="s">
        <v>6888</v>
      </c>
      <c r="K905" s="5" t="s">
        <v>6874</v>
      </c>
      <c r="L905" s="5" t="s">
        <v>6980</v>
      </c>
      <c r="AC905">
        <v>2</v>
      </c>
      <c r="AG905" t="s">
        <v>6876</v>
      </c>
      <c r="AH905">
        <v>1</v>
      </c>
      <c r="AY905" s="5"/>
      <c r="BD905">
        <v>1</v>
      </c>
      <c r="BV905"/>
      <c r="BW905"/>
      <c r="BX905"/>
      <c r="BY905"/>
      <c r="BZ905"/>
      <c r="CA905"/>
      <c r="CB905" s="5"/>
      <c r="CC905" s="5"/>
      <c r="CD905" s="5"/>
      <c r="CE905" s="5"/>
      <c r="CF905" s="5"/>
      <c r="CG905" s="5"/>
      <c r="CI905" s="5"/>
      <c r="CJ905" s="5"/>
      <c r="CK905" s="5"/>
      <c r="CL905" s="5"/>
      <c r="CM905" s="5"/>
      <c r="CN905" s="5"/>
      <c r="CO905" s="9" t="s">
        <v>8756</v>
      </c>
      <c r="CS905">
        <v>10</v>
      </c>
    </row>
    <row r="906" spans="1:100" x14ac:dyDescent="0.25">
      <c r="A906" s="23" t="s">
        <v>9734</v>
      </c>
      <c r="C906" t="s">
        <v>6888</v>
      </c>
      <c r="J906" t="s">
        <v>6905</v>
      </c>
      <c r="N906" s="5">
        <v>2</v>
      </c>
      <c r="AC906">
        <v>2</v>
      </c>
      <c r="AG906" t="s">
        <v>6876</v>
      </c>
      <c r="AH906">
        <v>1</v>
      </c>
      <c r="AY906" s="5"/>
      <c r="BD906">
        <v>1</v>
      </c>
      <c r="BV906" s="8">
        <v>0</v>
      </c>
      <c r="BW906" s="8">
        <v>5</v>
      </c>
      <c r="BX906" s="8">
        <v>1</v>
      </c>
      <c r="BY906" s="25" t="s">
        <v>9733</v>
      </c>
      <c r="BZ906"/>
      <c r="CA906"/>
      <c r="CB906" s="5"/>
      <c r="CC906" s="5"/>
      <c r="CD906" s="5"/>
      <c r="CE906" s="5"/>
      <c r="CF906" s="5"/>
      <c r="CG906" s="5"/>
      <c r="CI906" s="5"/>
      <c r="CJ906" s="5"/>
      <c r="CK906" s="5"/>
      <c r="CL906" s="5"/>
      <c r="CM906" s="5"/>
      <c r="CN906" s="5"/>
      <c r="CO906" s="9" t="s">
        <v>7520</v>
      </c>
      <c r="CP906">
        <v>100000</v>
      </c>
      <c r="CS906">
        <v>10</v>
      </c>
    </row>
    <row r="908" spans="1:100" x14ac:dyDescent="0.25">
      <c r="J908" s="5"/>
      <c r="M908"/>
      <c r="N908"/>
      <c r="P908"/>
      <c r="Y908" s="5"/>
      <c r="Z908" s="5"/>
      <c r="AA908" s="5"/>
      <c r="AB908" s="5"/>
      <c r="AW908"/>
      <c r="BO908"/>
      <c r="BP908"/>
      <c r="BV908"/>
    </row>
    <row r="909" spans="1:100" x14ac:dyDescent="0.25">
      <c r="A909" s="29" t="s">
        <v>9783</v>
      </c>
      <c r="C909" t="s">
        <v>6888</v>
      </c>
      <c r="J909" t="s">
        <v>6905</v>
      </c>
      <c r="K909" s="5" t="s">
        <v>9733</v>
      </c>
      <c r="N909" s="5">
        <v>1</v>
      </c>
      <c r="AC909">
        <v>1</v>
      </c>
      <c r="AF909">
        <v>1</v>
      </c>
      <c r="AG909" t="s">
        <v>6876</v>
      </c>
      <c r="AW909" s="31"/>
      <c r="BD909">
        <v>1</v>
      </c>
      <c r="BT909">
        <v>1</v>
      </c>
      <c r="BV909" s="8">
        <v>0</v>
      </c>
      <c r="BW909" s="8">
        <v>2</v>
      </c>
      <c r="BX909" s="8">
        <v>1</v>
      </c>
      <c r="BY909" s="8" t="s">
        <v>6907</v>
      </c>
      <c r="CO909" s="9" t="s">
        <v>9784</v>
      </c>
      <c r="CS909">
        <v>99999</v>
      </c>
    </row>
  </sheetData>
  <autoFilter ref="C1:C902" xr:uid="{00000000-0009-0000-0000-000002000000}"/>
  <phoneticPr fontId="14"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27"/>
  <sheetViews>
    <sheetView workbookViewId="0">
      <pane xSplit="1" ySplit="2" topLeftCell="B233" activePane="bottomRight" state="frozen"/>
      <selection pane="topRight"/>
      <selection pane="bottomLeft"/>
      <selection pane="bottomRight" activeCell="A257" sqref="A257:XFD257"/>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4140625" customWidth="1"/>
    <col min="16" max="16" width="22.1640625" customWidth="1"/>
    <col min="17" max="17" width="12.83203125" customWidth="1"/>
    <col min="20" max="20" width="9" customWidth="1"/>
  </cols>
  <sheetData>
    <row r="1" spans="1:17" x14ac:dyDescent="0.25">
      <c r="A1" t="s">
        <v>0</v>
      </c>
      <c r="B1" t="s">
        <v>86</v>
      </c>
      <c r="E1" t="s">
        <v>8758</v>
      </c>
      <c r="F1" t="s">
        <v>8759</v>
      </c>
      <c r="G1" t="s">
        <v>8760</v>
      </c>
      <c r="H1" t="s">
        <v>8761</v>
      </c>
      <c r="I1" t="s">
        <v>8762</v>
      </c>
      <c r="J1" t="s">
        <v>8763</v>
      </c>
      <c r="L1" t="s">
        <v>8764</v>
      </c>
      <c r="M1" t="s">
        <v>8765</v>
      </c>
      <c r="N1" t="s">
        <v>8766</v>
      </c>
      <c r="O1" t="s">
        <v>8767</v>
      </c>
      <c r="P1" t="s">
        <v>8768</v>
      </c>
    </row>
    <row r="2" spans="1:17" x14ac:dyDescent="0.25">
      <c r="A2" t="s">
        <v>0</v>
      </c>
      <c r="C2" t="s">
        <v>126</v>
      </c>
      <c r="D2" t="s">
        <v>153</v>
      </c>
      <c r="E2" t="s">
        <v>8769</v>
      </c>
      <c r="F2" t="s">
        <v>8770</v>
      </c>
      <c r="G2" t="s">
        <v>8771</v>
      </c>
      <c r="H2" t="s">
        <v>8772</v>
      </c>
      <c r="I2" t="s">
        <v>8773</v>
      </c>
      <c r="J2" t="s">
        <v>8774</v>
      </c>
      <c r="K2" t="s">
        <v>8775</v>
      </c>
      <c r="L2" t="s">
        <v>130</v>
      </c>
      <c r="M2" t="s">
        <v>8776</v>
      </c>
      <c r="N2" t="s">
        <v>8777</v>
      </c>
      <c r="O2" t="s">
        <v>8778</v>
      </c>
      <c r="P2" t="s">
        <v>8779</v>
      </c>
      <c r="Q2" t="s">
        <v>6839</v>
      </c>
    </row>
    <row r="3" spans="1:17" x14ac:dyDescent="0.25">
      <c r="A3" t="s">
        <v>2</v>
      </c>
      <c r="C3" t="s">
        <v>2</v>
      </c>
      <c r="D3" t="s">
        <v>2</v>
      </c>
      <c r="E3" t="s">
        <v>192</v>
      </c>
      <c r="F3" t="s">
        <v>192</v>
      </c>
      <c r="G3" t="s">
        <v>192</v>
      </c>
      <c r="H3" t="s">
        <v>190</v>
      </c>
      <c r="I3" t="s">
        <v>190</v>
      </c>
      <c r="J3" t="s">
        <v>6869</v>
      </c>
      <c r="K3" t="s">
        <v>191</v>
      </c>
      <c r="L3" t="s">
        <v>6833</v>
      </c>
      <c r="M3" t="s">
        <v>190</v>
      </c>
      <c r="N3" t="s">
        <v>190</v>
      </c>
      <c r="O3" t="s">
        <v>6833</v>
      </c>
      <c r="P3" t="s">
        <v>190</v>
      </c>
      <c r="Q3" t="s">
        <v>199</v>
      </c>
    </row>
    <row r="4" spans="1:17" x14ac:dyDescent="0.25">
      <c r="A4" t="s">
        <v>8780</v>
      </c>
      <c r="C4" t="s">
        <v>8780</v>
      </c>
    </row>
    <row r="5" spans="1:17" x14ac:dyDescent="0.25">
      <c r="A5" t="s">
        <v>7103</v>
      </c>
      <c r="C5" t="s">
        <v>8781</v>
      </c>
      <c r="K5">
        <v>5</v>
      </c>
      <c r="Q5" t="s">
        <v>8782</v>
      </c>
    </row>
    <row r="6" spans="1:17" x14ac:dyDescent="0.25">
      <c r="A6" t="s">
        <v>7050</v>
      </c>
      <c r="C6" t="s">
        <v>8781</v>
      </c>
      <c r="K6">
        <v>0.3</v>
      </c>
      <c r="Q6" t="s">
        <v>8783</v>
      </c>
    </row>
    <row r="7" spans="1:17" x14ac:dyDescent="0.25">
      <c r="A7" t="s">
        <v>7101</v>
      </c>
      <c r="C7" t="s">
        <v>8781</v>
      </c>
      <c r="K7">
        <v>5</v>
      </c>
      <c r="Q7" t="s">
        <v>8784</v>
      </c>
    </row>
    <row r="8" spans="1:17" x14ac:dyDescent="0.25">
      <c r="A8" t="s">
        <v>7105</v>
      </c>
      <c r="C8" t="s">
        <v>8781</v>
      </c>
      <c r="Q8" t="s">
        <v>8785</v>
      </c>
    </row>
    <row r="9" spans="1:17" x14ac:dyDescent="0.25">
      <c r="A9" s="23" t="s">
        <v>9744</v>
      </c>
      <c r="C9" t="s">
        <v>8781</v>
      </c>
      <c r="J9" s="29" t="s">
        <v>9745</v>
      </c>
      <c r="K9">
        <v>0.01</v>
      </c>
      <c r="Q9" t="s">
        <v>8786</v>
      </c>
    </row>
    <row r="10" spans="1:17" x14ac:dyDescent="0.25">
      <c r="A10" t="s">
        <v>7246</v>
      </c>
      <c r="C10" t="s">
        <v>8781</v>
      </c>
      <c r="K10">
        <v>0.01</v>
      </c>
      <c r="Q10" t="s">
        <v>8787</v>
      </c>
    </row>
    <row r="11" spans="1:17" x14ac:dyDescent="0.25">
      <c r="A11" t="s">
        <v>8302</v>
      </c>
      <c r="C11" t="s">
        <v>8781</v>
      </c>
      <c r="K11">
        <v>9999</v>
      </c>
      <c r="Q11" t="s">
        <v>8788</v>
      </c>
    </row>
    <row r="12" spans="1:17" x14ac:dyDescent="0.25">
      <c r="A12" t="s">
        <v>8789</v>
      </c>
      <c r="C12" t="s">
        <v>8781</v>
      </c>
      <c r="K12">
        <v>9999</v>
      </c>
      <c r="Q12" t="s">
        <v>8790</v>
      </c>
    </row>
    <row r="13" spans="1:17" x14ac:dyDescent="0.25">
      <c r="A13" t="s">
        <v>8202</v>
      </c>
      <c r="C13" t="s">
        <v>8781</v>
      </c>
      <c r="K13">
        <v>9999</v>
      </c>
      <c r="Q13" t="s">
        <v>8791</v>
      </c>
    </row>
    <row r="14" spans="1:17" x14ac:dyDescent="0.25">
      <c r="A14" t="s">
        <v>7262</v>
      </c>
      <c r="C14" t="s">
        <v>8781</v>
      </c>
      <c r="K14">
        <v>9999</v>
      </c>
      <c r="Q14" t="s">
        <v>8791</v>
      </c>
    </row>
    <row r="15" spans="1:17" x14ac:dyDescent="0.25">
      <c r="A15" t="s">
        <v>8792</v>
      </c>
      <c r="C15" t="s">
        <v>8781</v>
      </c>
      <c r="K15">
        <v>9999</v>
      </c>
      <c r="Q15" t="s">
        <v>8793</v>
      </c>
    </row>
    <row r="16" spans="1:17" x14ac:dyDescent="0.25">
      <c r="A16" t="s">
        <v>7163</v>
      </c>
      <c r="C16" t="s">
        <v>8781</v>
      </c>
      <c r="Q16" t="s">
        <v>8783</v>
      </c>
    </row>
    <row r="17" spans="1:17" x14ac:dyDescent="0.25">
      <c r="A17" t="s">
        <v>8794</v>
      </c>
      <c r="C17" t="s">
        <v>8781</v>
      </c>
      <c r="Q17" t="s">
        <v>8795</v>
      </c>
    </row>
    <row r="18" spans="1:17" x14ac:dyDescent="0.25">
      <c r="A18" t="s">
        <v>8796</v>
      </c>
      <c r="C18" t="s">
        <v>8781</v>
      </c>
      <c r="Q18" t="s">
        <v>8797</v>
      </c>
    </row>
    <row r="19" spans="1:17" x14ac:dyDescent="0.25">
      <c r="A19" t="s">
        <v>8798</v>
      </c>
      <c r="C19" t="s">
        <v>8781</v>
      </c>
      <c r="Q19" t="s">
        <v>8799</v>
      </c>
    </row>
    <row r="20" spans="1:17" x14ac:dyDescent="0.25">
      <c r="A20" t="s">
        <v>7399</v>
      </c>
      <c r="C20" t="s">
        <v>8800</v>
      </c>
      <c r="Q20" t="s">
        <v>8799</v>
      </c>
    </row>
    <row r="21" spans="1:17" x14ac:dyDescent="0.25">
      <c r="A21" t="s">
        <v>8801</v>
      </c>
      <c r="C21" t="s">
        <v>8781</v>
      </c>
      <c r="Q21" t="s">
        <v>8802</v>
      </c>
    </row>
    <row r="22" spans="1:17" x14ac:dyDescent="0.25">
      <c r="A22" t="s">
        <v>8803</v>
      </c>
      <c r="C22" t="s">
        <v>8781</v>
      </c>
      <c r="Q22" t="s">
        <v>8804</v>
      </c>
    </row>
    <row r="23" spans="1:17" x14ac:dyDescent="0.25">
      <c r="A23" t="s">
        <v>8805</v>
      </c>
      <c r="C23" t="s">
        <v>8781</v>
      </c>
      <c r="Q23" t="s">
        <v>8806</v>
      </c>
    </row>
    <row r="24" spans="1:17" x14ac:dyDescent="0.25">
      <c r="A24" t="s">
        <v>8137</v>
      </c>
      <c r="C24" t="s">
        <v>8781</v>
      </c>
      <c r="Q24" t="s">
        <v>8807</v>
      </c>
    </row>
    <row r="25" spans="1:17" x14ac:dyDescent="0.25">
      <c r="A25" t="s">
        <v>7089</v>
      </c>
      <c r="C25" t="s">
        <v>8781</v>
      </c>
      <c r="Q25" t="s">
        <v>8808</v>
      </c>
    </row>
    <row r="26" spans="1:17" x14ac:dyDescent="0.25">
      <c r="A26" t="s">
        <v>8151</v>
      </c>
      <c r="C26" t="s">
        <v>8781</v>
      </c>
      <c r="Q26" t="s">
        <v>8809</v>
      </c>
    </row>
    <row r="27" spans="1:17" x14ac:dyDescent="0.25">
      <c r="A27" t="s">
        <v>7775</v>
      </c>
      <c r="C27" t="s">
        <v>8800</v>
      </c>
      <c r="Q27" t="s">
        <v>8810</v>
      </c>
    </row>
    <row r="28" spans="1:17" x14ac:dyDescent="0.25">
      <c r="A28" t="s">
        <v>7565</v>
      </c>
      <c r="C28" t="s">
        <v>8781</v>
      </c>
      <c r="Q28" t="s">
        <v>8811</v>
      </c>
    </row>
    <row r="29" spans="1:17" x14ac:dyDescent="0.25">
      <c r="A29" t="s">
        <v>8812</v>
      </c>
      <c r="C29" t="s">
        <v>8781</v>
      </c>
      <c r="Q29" t="s">
        <v>8813</v>
      </c>
    </row>
    <row r="30" spans="1:17" x14ac:dyDescent="0.25">
      <c r="A30" t="s">
        <v>7599</v>
      </c>
      <c r="C30" t="s">
        <v>8781</v>
      </c>
      <c r="Q30" t="s">
        <v>8814</v>
      </c>
    </row>
    <row r="31" spans="1:17" x14ac:dyDescent="0.25">
      <c r="A31" t="s">
        <v>8815</v>
      </c>
      <c r="C31" t="s">
        <v>8781</v>
      </c>
      <c r="Q31" t="s">
        <v>8816</v>
      </c>
    </row>
    <row r="32" spans="1:17" x14ac:dyDescent="0.25">
      <c r="A32" t="s">
        <v>8504</v>
      </c>
      <c r="C32" t="s">
        <v>8781</v>
      </c>
      <c r="Q32" t="s">
        <v>8804</v>
      </c>
    </row>
    <row r="33" spans="1:17" x14ac:dyDescent="0.25">
      <c r="A33" t="s">
        <v>8660</v>
      </c>
      <c r="C33" t="s">
        <v>8781</v>
      </c>
      <c r="Q33" t="s">
        <v>8817</v>
      </c>
    </row>
    <row r="35" spans="1:17" x14ac:dyDescent="0.25">
      <c r="A35" t="s">
        <v>7053</v>
      </c>
      <c r="C35" t="s">
        <v>8781</v>
      </c>
      <c r="K35">
        <v>5</v>
      </c>
      <c r="N35">
        <v>1</v>
      </c>
      <c r="Q35" t="s">
        <v>8782</v>
      </c>
    </row>
    <row r="36" spans="1:17" x14ac:dyDescent="0.25">
      <c r="A36" t="s">
        <v>8818</v>
      </c>
      <c r="C36" t="s">
        <v>8781</v>
      </c>
      <c r="K36">
        <v>0.3</v>
      </c>
      <c r="N36">
        <v>1</v>
      </c>
      <c r="Q36" t="s">
        <v>8783</v>
      </c>
    </row>
    <row r="37" spans="1:17" x14ac:dyDescent="0.25">
      <c r="A37" t="s">
        <v>6893</v>
      </c>
      <c r="C37" t="s">
        <v>8781</v>
      </c>
      <c r="K37">
        <v>5</v>
      </c>
      <c r="N37">
        <v>1</v>
      </c>
      <c r="Q37" t="s">
        <v>8784</v>
      </c>
    </row>
    <row r="38" spans="1:17" x14ac:dyDescent="0.25">
      <c r="A38" t="s">
        <v>6895</v>
      </c>
      <c r="C38" t="s">
        <v>8781</v>
      </c>
      <c r="N38">
        <v>1</v>
      </c>
      <c r="Q38" t="s">
        <v>8785</v>
      </c>
    </row>
    <row r="39" spans="1:17" x14ac:dyDescent="0.25">
      <c r="A39" t="s">
        <v>6897</v>
      </c>
      <c r="C39" t="s">
        <v>8781</v>
      </c>
      <c r="K39">
        <v>0.01</v>
      </c>
      <c r="N39">
        <v>1</v>
      </c>
      <c r="Q39" t="s">
        <v>8787</v>
      </c>
    </row>
    <row r="40" spans="1:17" x14ac:dyDescent="0.25">
      <c r="A40" t="s">
        <v>6899</v>
      </c>
      <c r="C40" t="s">
        <v>8781</v>
      </c>
      <c r="K40">
        <v>9999</v>
      </c>
      <c r="N40">
        <v>1</v>
      </c>
      <c r="Q40" t="s">
        <v>8788</v>
      </c>
    </row>
    <row r="41" spans="1:17" x14ac:dyDescent="0.25">
      <c r="A41" t="s">
        <v>7899</v>
      </c>
      <c r="C41" t="s">
        <v>8781</v>
      </c>
      <c r="K41">
        <v>9999</v>
      </c>
      <c r="N41">
        <v>1</v>
      </c>
      <c r="Q41" t="s">
        <v>8790</v>
      </c>
    </row>
    <row r="42" spans="1:17" x14ac:dyDescent="0.25">
      <c r="A42" t="s">
        <v>8819</v>
      </c>
      <c r="C42" t="s">
        <v>8781</v>
      </c>
      <c r="N42">
        <v>1</v>
      </c>
      <c r="Q42" t="s">
        <v>8795</v>
      </c>
    </row>
    <row r="43" spans="1:17" x14ac:dyDescent="0.25">
      <c r="A43" t="s">
        <v>8678</v>
      </c>
      <c r="C43" t="s">
        <v>8781</v>
      </c>
      <c r="N43">
        <v>1</v>
      </c>
      <c r="Q43" t="s">
        <v>8797</v>
      </c>
    </row>
    <row r="44" spans="1:17" x14ac:dyDescent="0.25">
      <c r="A44" t="s">
        <v>8680</v>
      </c>
      <c r="C44" t="s">
        <v>8781</v>
      </c>
      <c r="N44">
        <v>1</v>
      </c>
      <c r="Q44" t="s">
        <v>8799</v>
      </c>
    </row>
    <row r="45" spans="1:17" x14ac:dyDescent="0.25">
      <c r="A45" t="s">
        <v>8682</v>
      </c>
      <c r="C45" t="s">
        <v>8781</v>
      </c>
      <c r="N45">
        <v>1</v>
      </c>
      <c r="Q45" t="s">
        <v>8802</v>
      </c>
    </row>
    <row r="46" spans="1:17" x14ac:dyDescent="0.25">
      <c r="A46" t="s">
        <v>8716</v>
      </c>
      <c r="C46" t="s">
        <v>8781</v>
      </c>
      <c r="N46">
        <v>1</v>
      </c>
      <c r="Q46" t="s">
        <v>8804</v>
      </c>
    </row>
    <row r="48" spans="1:17" x14ac:dyDescent="0.25">
      <c r="A48" t="s">
        <v>8695</v>
      </c>
      <c r="C48" t="s">
        <v>8781</v>
      </c>
      <c r="N48">
        <v>1</v>
      </c>
      <c r="Q48" t="s">
        <v>8820</v>
      </c>
    </row>
    <row r="49" spans="1:17" x14ac:dyDescent="0.25">
      <c r="A49" t="s">
        <v>8719</v>
      </c>
      <c r="C49" t="s">
        <v>8781</v>
      </c>
      <c r="N49">
        <v>1</v>
      </c>
      <c r="Q49" t="s">
        <v>8821</v>
      </c>
    </row>
    <row r="50" spans="1:17" x14ac:dyDescent="0.25">
      <c r="A50" t="s">
        <v>8676</v>
      </c>
      <c r="C50" t="s">
        <v>8781</v>
      </c>
      <c r="N50">
        <v>1</v>
      </c>
      <c r="Q50" t="s">
        <v>8822</v>
      </c>
    </row>
    <row r="51" spans="1:17" x14ac:dyDescent="0.25">
      <c r="A51" t="s">
        <v>8684</v>
      </c>
      <c r="C51" t="s">
        <v>8781</v>
      </c>
      <c r="N51">
        <v>1</v>
      </c>
      <c r="Q51" t="s">
        <v>8823</v>
      </c>
    </row>
    <row r="52" spans="1:17" x14ac:dyDescent="0.25">
      <c r="A52" t="s">
        <v>8708</v>
      </c>
      <c r="C52" t="s">
        <v>8781</v>
      </c>
      <c r="N52">
        <v>1</v>
      </c>
      <c r="Q52" t="s">
        <v>8824</v>
      </c>
    </row>
    <row r="53" spans="1:17" x14ac:dyDescent="0.25">
      <c r="A53" t="s">
        <v>8825</v>
      </c>
      <c r="B53" t="s">
        <v>8826</v>
      </c>
    </row>
    <row r="54" spans="1:17" x14ac:dyDescent="0.25">
      <c r="A54" t="s">
        <v>8686</v>
      </c>
      <c r="C54" t="s">
        <v>8781</v>
      </c>
      <c r="K54">
        <v>9999</v>
      </c>
      <c r="N54">
        <v>1</v>
      </c>
      <c r="Q54" t="s">
        <v>8790</v>
      </c>
    </row>
    <row r="55" spans="1:17" x14ac:dyDescent="0.25">
      <c r="A55" t="s">
        <v>8700</v>
      </c>
      <c r="C55" t="s">
        <v>8781</v>
      </c>
      <c r="N55">
        <v>1</v>
      </c>
      <c r="Q55" t="s">
        <v>8797</v>
      </c>
    </row>
    <row r="57" spans="1:17" x14ac:dyDescent="0.25">
      <c r="A57" t="s">
        <v>8827</v>
      </c>
      <c r="C57" t="s">
        <v>8781</v>
      </c>
      <c r="Q57" t="s">
        <v>8828</v>
      </c>
    </row>
    <row r="58" spans="1:17" x14ac:dyDescent="0.25">
      <c r="A58" t="s">
        <v>6883</v>
      </c>
      <c r="C58" t="s">
        <v>8781</v>
      </c>
      <c r="K58">
        <v>10</v>
      </c>
      <c r="Q58" t="s">
        <v>8828</v>
      </c>
    </row>
    <row r="60" spans="1:17" x14ac:dyDescent="0.25">
      <c r="A60" t="s">
        <v>8829</v>
      </c>
      <c r="C60" t="s">
        <v>8830</v>
      </c>
      <c r="H60">
        <v>1</v>
      </c>
      <c r="Q60" t="s">
        <v>8831</v>
      </c>
    </row>
    <row r="61" spans="1:17" x14ac:dyDescent="0.25">
      <c r="A61" t="s">
        <v>8832</v>
      </c>
      <c r="C61" t="s">
        <v>8833</v>
      </c>
      <c r="H61">
        <v>1</v>
      </c>
      <c r="Q61" t="s">
        <v>8820</v>
      </c>
    </row>
    <row r="63" spans="1:17" x14ac:dyDescent="0.25">
      <c r="A63" s="23" t="s">
        <v>9738</v>
      </c>
      <c r="C63" s="23" t="s">
        <v>9739</v>
      </c>
      <c r="Q63" s="23" t="s">
        <v>9737</v>
      </c>
    </row>
    <row r="65" spans="1:17" x14ac:dyDescent="0.25">
      <c r="A65" t="s">
        <v>8835</v>
      </c>
      <c r="C65" t="s">
        <v>8781</v>
      </c>
      <c r="K65">
        <v>9999</v>
      </c>
      <c r="N65">
        <v>1</v>
      </c>
      <c r="Q65" t="s">
        <v>8791</v>
      </c>
    </row>
    <row r="66" spans="1:17" x14ac:dyDescent="0.25">
      <c r="A66" t="s">
        <v>8836</v>
      </c>
      <c r="C66" t="s">
        <v>8781</v>
      </c>
      <c r="K66">
        <v>9999</v>
      </c>
      <c r="N66">
        <v>1</v>
      </c>
      <c r="Q66" t="s">
        <v>8791</v>
      </c>
    </row>
    <row r="67" spans="1:17" x14ac:dyDescent="0.25">
      <c r="A67" t="s">
        <v>8837</v>
      </c>
      <c r="C67" t="s">
        <v>8781</v>
      </c>
      <c r="K67">
        <v>9999</v>
      </c>
      <c r="N67">
        <v>1</v>
      </c>
      <c r="Q67" t="s">
        <v>8793</v>
      </c>
    </row>
    <row r="68" spans="1:17" x14ac:dyDescent="0.25">
      <c r="A68" t="s">
        <v>8838</v>
      </c>
      <c r="C68" t="s">
        <v>8838</v>
      </c>
    </row>
    <row r="69" spans="1:17" x14ac:dyDescent="0.25">
      <c r="A69" t="s">
        <v>6890</v>
      </c>
      <c r="C69" t="s">
        <v>8838</v>
      </c>
      <c r="N69">
        <v>1</v>
      </c>
    </row>
    <row r="70" spans="1:17" x14ac:dyDescent="0.25">
      <c r="A70" t="s">
        <v>7624</v>
      </c>
      <c r="C70" t="s">
        <v>7624</v>
      </c>
      <c r="J70" t="s">
        <v>7624</v>
      </c>
      <c r="Q70" t="s">
        <v>8839</v>
      </c>
    </row>
    <row r="71" spans="1:17" x14ac:dyDescent="0.25">
      <c r="A71" t="s">
        <v>6744</v>
      </c>
      <c r="C71" t="s">
        <v>6744</v>
      </c>
    </row>
    <row r="72" spans="1:17" x14ac:dyDescent="0.25">
      <c r="A72" t="s">
        <v>8840</v>
      </c>
      <c r="C72" t="s">
        <v>8841</v>
      </c>
    </row>
    <row r="73" spans="1:17" x14ac:dyDescent="0.25">
      <c r="A73" t="s">
        <v>7019</v>
      </c>
      <c r="C73" t="s">
        <v>7019</v>
      </c>
    </row>
    <row r="74" spans="1:17" x14ac:dyDescent="0.25">
      <c r="A74" t="s">
        <v>6878</v>
      </c>
      <c r="C74" t="s">
        <v>6878</v>
      </c>
      <c r="J74" t="s">
        <v>6878</v>
      </c>
      <c r="Q74" t="s">
        <v>8842</v>
      </c>
    </row>
    <row r="75" spans="1:17" x14ac:dyDescent="0.25">
      <c r="A75" t="s">
        <v>8338</v>
      </c>
      <c r="B75" t="s">
        <v>8843</v>
      </c>
      <c r="C75" t="s">
        <v>6878</v>
      </c>
    </row>
    <row r="76" spans="1:17" x14ac:dyDescent="0.25">
      <c r="A76" t="s">
        <v>8341</v>
      </c>
      <c r="C76" t="s">
        <v>8341</v>
      </c>
      <c r="J76" t="s">
        <v>8341</v>
      </c>
    </row>
    <row r="77" spans="1:17" x14ac:dyDescent="0.25">
      <c r="A77" t="s">
        <v>8844</v>
      </c>
      <c r="C77" t="s">
        <v>8341</v>
      </c>
    </row>
    <row r="78" spans="1:17" x14ac:dyDescent="0.25">
      <c r="A78" t="s">
        <v>8322</v>
      </c>
      <c r="C78" t="s">
        <v>8781</v>
      </c>
      <c r="H78">
        <v>1</v>
      </c>
      <c r="J78" t="s">
        <v>8322</v>
      </c>
      <c r="L78" t="s">
        <v>8845</v>
      </c>
      <c r="Q78" t="s">
        <v>8782</v>
      </c>
    </row>
    <row r="79" spans="1:17" x14ac:dyDescent="0.25">
      <c r="A79" t="s">
        <v>8845</v>
      </c>
      <c r="C79" t="s">
        <v>8845</v>
      </c>
      <c r="H79">
        <v>1</v>
      </c>
      <c r="J79" t="s">
        <v>8845</v>
      </c>
    </row>
    <row r="80" spans="1:17" x14ac:dyDescent="0.25">
      <c r="A80" t="s">
        <v>8314</v>
      </c>
      <c r="C80" t="s">
        <v>8314</v>
      </c>
    </row>
    <row r="81" spans="1:17" x14ac:dyDescent="0.25">
      <c r="A81" t="s">
        <v>8846</v>
      </c>
      <c r="C81" t="s">
        <v>8847</v>
      </c>
      <c r="Q81" t="s">
        <v>8848</v>
      </c>
    </row>
    <row r="82" spans="1:17" x14ac:dyDescent="0.25">
      <c r="A82" t="s">
        <v>7443</v>
      </c>
      <c r="C82" t="s">
        <v>7443</v>
      </c>
      <c r="J82" t="s">
        <v>8849</v>
      </c>
    </row>
    <row r="83" spans="1:17" x14ac:dyDescent="0.25">
      <c r="A83" t="s">
        <v>7817</v>
      </c>
      <c r="C83" t="s">
        <v>7817</v>
      </c>
    </row>
    <row r="84" spans="1:17" x14ac:dyDescent="0.25">
      <c r="A84" t="s">
        <v>8850</v>
      </c>
      <c r="C84" t="s">
        <v>7019</v>
      </c>
      <c r="J84" t="s">
        <v>8850</v>
      </c>
    </row>
    <row r="85" spans="1:17" x14ac:dyDescent="0.25">
      <c r="A85" t="s">
        <v>8851</v>
      </c>
      <c r="C85" t="s">
        <v>8834</v>
      </c>
      <c r="J85" t="s">
        <v>8852</v>
      </c>
      <c r="Q85" t="s">
        <v>8853</v>
      </c>
    </row>
    <row r="86" spans="1:17" x14ac:dyDescent="0.25">
      <c r="A86" t="s">
        <v>6881</v>
      </c>
      <c r="C86" t="s">
        <v>8854</v>
      </c>
      <c r="J86" t="s">
        <v>8849</v>
      </c>
      <c r="K86">
        <v>9999</v>
      </c>
      <c r="Q86" t="s">
        <v>8855</v>
      </c>
    </row>
    <row r="87" spans="1:17" x14ac:dyDescent="0.25">
      <c r="A87" t="s">
        <v>8856</v>
      </c>
      <c r="C87" t="s">
        <v>8857</v>
      </c>
    </row>
    <row r="89" spans="1:17" x14ac:dyDescent="0.25">
      <c r="A89" t="s">
        <v>8673</v>
      </c>
      <c r="C89" t="s">
        <v>8858</v>
      </c>
    </row>
    <row r="90" spans="1:17" x14ac:dyDescent="0.25">
      <c r="A90" t="s">
        <v>8325</v>
      </c>
      <c r="C90" t="s">
        <v>8858</v>
      </c>
    </row>
    <row r="91" spans="1:17" x14ac:dyDescent="0.25">
      <c r="A91" t="s">
        <v>845</v>
      </c>
      <c r="C91" t="s">
        <v>8781</v>
      </c>
      <c r="J91" t="s">
        <v>7101</v>
      </c>
      <c r="Q91" t="s">
        <v>8859</v>
      </c>
    </row>
    <row r="92" spans="1:17" x14ac:dyDescent="0.25">
      <c r="A92" t="s">
        <v>8860</v>
      </c>
      <c r="C92" t="s">
        <v>8830</v>
      </c>
      <c r="H92">
        <v>1</v>
      </c>
      <c r="K92">
        <v>3</v>
      </c>
      <c r="Q92" t="s">
        <v>8861</v>
      </c>
    </row>
    <row r="94" spans="1:17" x14ac:dyDescent="0.25">
      <c r="A94" t="s">
        <v>8728</v>
      </c>
      <c r="C94" t="s">
        <v>8781</v>
      </c>
      <c r="Q94" t="s">
        <v>8862</v>
      </c>
    </row>
    <row r="96" spans="1:17" x14ac:dyDescent="0.25">
      <c r="A96" t="s">
        <v>8863</v>
      </c>
      <c r="C96" t="s">
        <v>8781</v>
      </c>
      <c r="J96" t="s">
        <v>8864</v>
      </c>
      <c r="K96">
        <v>0.01</v>
      </c>
      <c r="Q96" t="s">
        <v>8786</v>
      </c>
    </row>
    <row r="97" spans="1:17" x14ac:dyDescent="0.25">
      <c r="A97" t="s">
        <v>7140</v>
      </c>
      <c r="C97" t="s">
        <v>8781</v>
      </c>
      <c r="J97" t="s">
        <v>8864</v>
      </c>
      <c r="K97">
        <v>0.01</v>
      </c>
      <c r="Q97" t="s">
        <v>8787</v>
      </c>
    </row>
    <row r="98" spans="1:17" x14ac:dyDescent="0.25">
      <c r="A98" t="s">
        <v>8865</v>
      </c>
      <c r="C98" t="s">
        <v>7426</v>
      </c>
      <c r="K98">
        <v>3</v>
      </c>
      <c r="Q98" t="s">
        <v>8866</v>
      </c>
    </row>
    <row r="99" spans="1:17" x14ac:dyDescent="0.25">
      <c r="A99" t="s">
        <v>7386</v>
      </c>
      <c r="C99" t="s">
        <v>7426</v>
      </c>
      <c r="K99">
        <v>3</v>
      </c>
      <c r="Q99" t="s">
        <v>8867</v>
      </c>
    </row>
    <row r="101" spans="1:17" x14ac:dyDescent="0.25">
      <c r="A101" t="s">
        <v>6938</v>
      </c>
      <c r="C101" t="s">
        <v>8781</v>
      </c>
      <c r="J101" t="s">
        <v>8868</v>
      </c>
      <c r="K101">
        <v>5</v>
      </c>
      <c r="Q101" t="s">
        <v>8859</v>
      </c>
    </row>
    <row r="102" spans="1:17" x14ac:dyDescent="0.25">
      <c r="A102" t="s">
        <v>8869</v>
      </c>
      <c r="C102" t="s">
        <v>7426</v>
      </c>
      <c r="J102" t="s">
        <v>7624</v>
      </c>
      <c r="K102">
        <v>3</v>
      </c>
      <c r="Q102" t="s">
        <v>8870</v>
      </c>
    </row>
    <row r="103" spans="1:17" x14ac:dyDescent="0.25">
      <c r="A103" t="s">
        <v>8871</v>
      </c>
      <c r="C103" t="s">
        <v>8872</v>
      </c>
      <c r="J103" t="s">
        <v>8422</v>
      </c>
    </row>
    <row r="105" spans="1:17" x14ac:dyDescent="0.25">
      <c r="A105" t="s">
        <v>8873</v>
      </c>
      <c r="C105" t="s">
        <v>8341</v>
      </c>
    </row>
    <row r="106" spans="1:17" x14ac:dyDescent="0.25">
      <c r="A106" t="s">
        <v>8874</v>
      </c>
      <c r="C106" t="s">
        <v>8858</v>
      </c>
    </row>
    <row r="107" spans="1:17" x14ac:dyDescent="0.25">
      <c r="A107" t="s">
        <v>8875</v>
      </c>
      <c r="C107" t="s">
        <v>8781</v>
      </c>
      <c r="Q107" t="s">
        <v>8799</v>
      </c>
    </row>
    <row r="108" spans="1:17" x14ac:dyDescent="0.25">
      <c r="A108" t="s">
        <v>8876</v>
      </c>
      <c r="C108" t="s">
        <v>8858</v>
      </c>
    </row>
    <row r="109" spans="1:17" x14ac:dyDescent="0.25">
      <c r="A109" t="s">
        <v>8877</v>
      </c>
      <c r="C109" t="s">
        <v>8781</v>
      </c>
      <c r="Q109" t="s">
        <v>8785</v>
      </c>
    </row>
    <row r="110" spans="1:17" x14ac:dyDescent="0.25">
      <c r="A110" t="s">
        <v>8878</v>
      </c>
      <c r="C110" t="s">
        <v>8781</v>
      </c>
      <c r="Q110" t="s">
        <v>8879</v>
      </c>
    </row>
    <row r="111" spans="1:17" x14ac:dyDescent="0.25">
      <c r="A111" t="s">
        <v>8880</v>
      </c>
      <c r="C111" t="s">
        <v>8800</v>
      </c>
      <c r="H111">
        <v>1</v>
      </c>
      <c r="Q111" t="s">
        <v>8811</v>
      </c>
    </row>
    <row r="112" spans="1:17" x14ac:dyDescent="0.25">
      <c r="A112" t="s">
        <v>8881</v>
      </c>
      <c r="C112" t="s">
        <v>8781</v>
      </c>
      <c r="H112">
        <v>1</v>
      </c>
      <c r="Q112" t="s">
        <v>8784</v>
      </c>
    </row>
    <row r="114" spans="1:17" x14ac:dyDescent="0.25">
      <c r="A114" t="s">
        <v>6942</v>
      </c>
      <c r="C114" t="s">
        <v>8781</v>
      </c>
      <c r="J114" t="s">
        <v>8882</v>
      </c>
      <c r="K114">
        <v>5</v>
      </c>
      <c r="Q114" t="s">
        <v>8784</v>
      </c>
    </row>
    <row r="115" spans="1:17" x14ac:dyDescent="0.25">
      <c r="A115" t="s">
        <v>7014</v>
      </c>
      <c r="C115" t="s">
        <v>7426</v>
      </c>
      <c r="J115" t="s">
        <v>8883</v>
      </c>
      <c r="K115">
        <v>3</v>
      </c>
      <c r="Q115" t="s">
        <v>8884</v>
      </c>
    </row>
    <row r="116" spans="1:17" x14ac:dyDescent="0.25">
      <c r="A116" t="s">
        <v>6908</v>
      </c>
      <c r="C116" t="s">
        <v>8781</v>
      </c>
      <c r="J116" t="s">
        <v>8868</v>
      </c>
      <c r="K116">
        <v>5</v>
      </c>
      <c r="Q116" t="s">
        <v>8784</v>
      </c>
    </row>
    <row r="117" spans="1:17" x14ac:dyDescent="0.25">
      <c r="A117" t="s">
        <v>6920</v>
      </c>
      <c r="C117" t="s">
        <v>8781</v>
      </c>
      <c r="J117" t="s">
        <v>8868</v>
      </c>
      <c r="K117">
        <v>5</v>
      </c>
      <c r="Q117" t="s">
        <v>8782</v>
      </c>
    </row>
    <row r="118" spans="1:17" x14ac:dyDescent="0.25">
      <c r="A118" t="s">
        <v>6962</v>
      </c>
      <c r="C118" t="s">
        <v>8781</v>
      </c>
      <c r="J118" t="s">
        <v>8885</v>
      </c>
      <c r="K118">
        <v>0.01</v>
      </c>
      <c r="Q118" t="s">
        <v>8787</v>
      </c>
    </row>
    <row r="119" spans="1:17" x14ac:dyDescent="0.25">
      <c r="A119" t="s">
        <v>7118</v>
      </c>
      <c r="C119" t="s">
        <v>8781</v>
      </c>
      <c r="J119" t="s">
        <v>7118</v>
      </c>
      <c r="K119">
        <v>5</v>
      </c>
      <c r="Q119" t="s">
        <v>8784</v>
      </c>
    </row>
    <row r="120" spans="1:17" x14ac:dyDescent="0.25">
      <c r="A120" t="s">
        <v>8886</v>
      </c>
      <c r="C120" t="s">
        <v>7426</v>
      </c>
      <c r="J120" t="s">
        <v>8887</v>
      </c>
      <c r="K120">
        <v>3</v>
      </c>
      <c r="Q120" t="s">
        <v>8888</v>
      </c>
    </row>
    <row r="121" spans="1:17" x14ac:dyDescent="0.25">
      <c r="A121" t="s">
        <v>7147</v>
      </c>
      <c r="C121" t="s">
        <v>8781</v>
      </c>
      <c r="K121">
        <v>9999</v>
      </c>
      <c r="N121">
        <v>1</v>
      </c>
      <c r="Q121" t="s">
        <v>8889</v>
      </c>
    </row>
    <row r="127" spans="1:17" x14ac:dyDescent="0.25">
      <c r="A127" t="s">
        <v>7180</v>
      </c>
      <c r="C127" t="s">
        <v>8781</v>
      </c>
      <c r="K127">
        <v>0.01</v>
      </c>
      <c r="Q127" t="s">
        <v>8891</v>
      </c>
    </row>
    <row r="128" spans="1:17" x14ac:dyDescent="0.25">
      <c r="A128" t="s">
        <v>7186</v>
      </c>
      <c r="C128" t="s">
        <v>8781</v>
      </c>
      <c r="J128" t="s">
        <v>8892</v>
      </c>
      <c r="K128">
        <v>0.01</v>
      </c>
      <c r="Q128" t="s">
        <v>8893</v>
      </c>
    </row>
    <row r="129" spans="1:17" x14ac:dyDescent="0.25">
      <c r="A129" t="s">
        <v>8894</v>
      </c>
      <c r="C129" t="s">
        <v>8781</v>
      </c>
      <c r="J129" t="s">
        <v>8894</v>
      </c>
      <c r="K129">
        <v>0.01</v>
      </c>
      <c r="Q129" t="s">
        <v>8782</v>
      </c>
    </row>
    <row r="130" spans="1:17" x14ac:dyDescent="0.25">
      <c r="A130" t="s">
        <v>7218</v>
      </c>
      <c r="C130" t="s">
        <v>8781</v>
      </c>
      <c r="J130" t="s">
        <v>7218</v>
      </c>
      <c r="Q130" t="s">
        <v>8783</v>
      </c>
    </row>
    <row r="131" spans="1:17" x14ac:dyDescent="0.25">
      <c r="A131" t="s">
        <v>8895</v>
      </c>
      <c r="C131" t="s">
        <v>8781</v>
      </c>
      <c r="J131" t="s">
        <v>8896</v>
      </c>
      <c r="K131">
        <v>5</v>
      </c>
      <c r="Q131" t="s">
        <v>8784</v>
      </c>
    </row>
    <row r="132" spans="1:17" x14ac:dyDescent="0.25">
      <c r="A132" t="s">
        <v>7251</v>
      </c>
      <c r="C132" t="s">
        <v>8833</v>
      </c>
      <c r="J132" t="s">
        <v>8897</v>
      </c>
      <c r="K132">
        <v>0.01</v>
      </c>
      <c r="Q132" t="s">
        <v>8787</v>
      </c>
    </row>
    <row r="133" spans="1:17" x14ac:dyDescent="0.25">
      <c r="A133" t="s">
        <v>7256</v>
      </c>
      <c r="C133" t="s">
        <v>8898</v>
      </c>
      <c r="J133" t="s">
        <v>8899</v>
      </c>
      <c r="Q133" t="s">
        <v>8900</v>
      </c>
    </row>
    <row r="134" spans="1:17" x14ac:dyDescent="0.25">
      <c r="A134" t="s">
        <v>7303</v>
      </c>
      <c r="C134" t="s">
        <v>8781</v>
      </c>
      <c r="K134">
        <v>0.01</v>
      </c>
      <c r="Q134" t="s">
        <v>8901</v>
      </c>
    </row>
    <row r="135" spans="1:17" x14ac:dyDescent="0.25">
      <c r="A135" t="s">
        <v>7309</v>
      </c>
      <c r="C135" t="s">
        <v>8902</v>
      </c>
      <c r="J135" t="s">
        <v>8903</v>
      </c>
      <c r="Q135" t="s">
        <v>8904</v>
      </c>
    </row>
    <row r="136" spans="1:17" x14ac:dyDescent="0.25">
      <c r="A136" t="s">
        <v>8905</v>
      </c>
      <c r="C136" t="s">
        <v>8902</v>
      </c>
      <c r="J136" t="s">
        <v>8903</v>
      </c>
      <c r="Q136" t="s">
        <v>8906</v>
      </c>
    </row>
    <row r="137" spans="1:17" x14ac:dyDescent="0.25">
      <c r="A137" t="s">
        <v>7318</v>
      </c>
      <c r="C137" t="s">
        <v>8858</v>
      </c>
      <c r="J137" t="s">
        <v>7319</v>
      </c>
    </row>
    <row r="138" spans="1:17" x14ac:dyDescent="0.25">
      <c r="A138" t="s">
        <v>7320</v>
      </c>
      <c r="C138" t="s">
        <v>8781</v>
      </c>
      <c r="K138">
        <v>0.01</v>
      </c>
      <c r="Q138" t="s">
        <v>8907</v>
      </c>
    </row>
    <row r="139" spans="1:17" x14ac:dyDescent="0.25">
      <c r="A139" t="s">
        <v>7329</v>
      </c>
      <c r="C139" t="s">
        <v>8902</v>
      </c>
      <c r="Q139" t="s">
        <v>8908</v>
      </c>
    </row>
    <row r="140" spans="1:17" x14ac:dyDescent="0.25">
      <c r="A140" t="s">
        <v>7334</v>
      </c>
      <c r="C140" t="s">
        <v>8781</v>
      </c>
      <c r="J140" t="s">
        <v>8909</v>
      </c>
      <c r="Q140" t="s">
        <v>8910</v>
      </c>
    </row>
    <row r="141" spans="1:17" x14ac:dyDescent="0.25">
      <c r="A141" t="s">
        <v>7341</v>
      </c>
      <c r="C141" t="s">
        <v>8781</v>
      </c>
      <c r="J141" t="s">
        <v>8885</v>
      </c>
      <c r="Q141" t="s">
        <v>8911</v>
      </c>
    </row>
    <row r="142" spans="1:17" x14ac:dyDescent="0.25">
      <c r="A142" t="s">
        <v>8912</v>
      </c>
      <c r="C142" t="s">
        <v>8902</v>
      </c>
      <c r="Q142" t="s">
        <v>8913</v>
      </c>
    </row>
    <row r="143" spans="1:17" x14ac:dyDescent="0.25">
      <c r="A143" t="s">
        <v>7358</v>
      </c>
      <c r="C143" t="s">
        <v>8781</v>
      </c>
      <c r="J143" t="s">
        <v>7362</v>
      </c>
      <c r="Q143" t="s">
        <v>8787</v>
      </c>
    </row>
    <row r="144" spans="1:17" x14ac:dyDescent="0.25">
      <c r="A144" t="s">
        <v>8914</v>
      </c>
      <c r="C144" t="s">
        <v>6721</v>
      </c>
      <c r="K144">
        <v>5</v>
      </c>
      <c r="Q144" t="s">
        <v>8915</v>
      </c>
    </row>
    <row r="145" spans="1:17" x14ac:dyDescent="0.25">
      <c r="A145" t="s">
        <v>7362</v>
      </c>
      <c r="C145" t="s">
        <v>8781</v>
      </c>
      <c r="Q145" t="s">
        <v>8916</v>
      </c>
    </row>
    <row r="146" spans="1:17" x14ac:dyDescent="0.25">
      <c r="A146" t="s">
        <v>7372</v>
      </c>
      <c r="C146" t="s">
        <v>8781</v>
      </c>
      <c r="K146">
        <v>0.01</v>
      </c>
      <c r="Q146" t="s">
        <v>8901</v>
      </c>
    </row>
    <row r="147" spans="1:17" x14ac:dyDescent="0.25">
      <c r="A147" t="s">
        <v>8917</v>
      </c>
      <c r="C147" t="s">
        <v>8902</v>
      </c>
      <c r="Q147" t="s">
        <v>8908</v>
      </c>
    </row>
    <row r="148" spans="1:17" x14ac:dyDescent="0.25">
      <c r="A148" t="s">
        <v>7407</v>
      </c>
      <c r="C148" t="s">
        <v>8781</v>
      </c>
      <c r="J148" t="s">
        <v>7407</v>
      </c>
      <c r="K148">
        <v>5</v>
      </c>
      <c r="Q148" t="s">
        <v>8806</v>
      </c>
    </row>
    <row r="149" spans="1:17" x14ac:dyDescent="0.25">
      <c r="A149" t="s">
        <v>8918</v>
      </c>
      <c r="C149" t="s">
        <v>8781</v>
      </c>
      <c r="J149" t="s">
        <v>8868</v>
      </c>
      <c r="K149">
        <v>0.01</v>
      </c>
      <c r="Q149" t="s">
        <v>8901</v>
      </c>
    </row>
    <row r="150" spans="1:17" x14ac:dyDescent="0.25">
      <c r="A150" t="s">
        <v>7411</v>
      </c>
      <c r="C150" t="s">
        <v>8919</v>
      </c>
      <c r="Q150" t="s">
        <v>8920</v>
      </c>
    </row>
    <row r="151" spans="1:17" x14ac:dyDescent="0.25">
      <c r="A151" t="s">
        <v>8921</v>
      </c>
      <c r="C151" t="s">
        <v>8919</v>
      </c>
      <c r="J151" t="s">
        <v>8922</v>
      </c>
      <c r="Q151" t="s">
        <v>8923</v>
      </c>
    </row>
    <row r="152" spans="1:17" x14ac:dyDescent="0.25">
      <c r="A152" t="s">
        <v>7416</v>
      </c>
      <c r="C152" t="s">
        <v>8781</v>
      </c>
      <c r="J152" t="s">
        <v>8868</v>
      </c>
      <c r="K152">
        <v>0.01</v>
      </c>
      <c r="Q152" t="s">
        <v>8893</v>
      </c>
    </row>
    <row r="153" spans="1:17" x14ac:dyDescent="0.25">
      <c r="A153" t="s">
        <v>8924</v>
      </c>
      <c r="C153" t="s">
        <v>8902</v>
      </c>
      <c r="Q153" t="s">
        <v>8913</v>
      </c>
    </row>
    <row r="154" spans="1:17" x14ac:dyDescent="0.25">
      <c r="A154" t="s">
        <v>7480</v>
      </c>
      <c r="C154" t="s">
        <v>8830</v>
      </c>
      <c r="K154">
        <v>3</v>
      </c>
      <c r="Q154" t="s">
        <v>8925</v>
      </c>
    </row>
    <row r="155" spans="1:17" x14ac:dyDescent="0.25">
      <c r="A155" t="s">
        <v>7500</v>
      </c>
      <c r="C155" t="s">
        <v>8781</v>
      </c>
      <c r="J155" t="s">
        <v>8926</v>
      </c>
      <c r="K155">
        <v>0.01</v>
      </c>
      <c r="Q155" t="s">
        <v>8859</v>
      </c>
    </row>
    <row r="156" spans="1:17" x14ac:dyDescent="0.25">
      <c r="A156" t="s">
        <v>7441</v>
      </c>
      <c r="C156" t="s">
        <v>8781</v>
      </c>
      <c r="J156" t="s">
        <v>8927</v>
      </c>
      <c r="K156">
        <v>5</v>
      </c>
      <c r="Q156" t="s">
        <v>8784</v>
      </c>
    </row>
    <row r="157" spans="1:17" x14ac:dyDescent="0.25">
      <c r="A157" t="s">
        <v>8928</v>
      </c>
      <c r="C157" t="s">
        <v>8781</v>
      </c>
      <c r="J157" t="s">
        <v>8929</v>
      </c>
      <c r="K157">
        <v>5</v>
      </c>
      <c r="Q157" t="s">
        <v>8784</v>
      </c>
    </row>
    <row r="158" spans="1:17" x14ac:dyDescent="0.25">
      <c r="A158" t="s">
        <v>8930</v>
      </c>
      <c r="C158" t="s">
        <v>8858</v>
      </c>
      <c r="J158" t="s">
        <v>8931</v>
      </c>
    </row>
    <row r="159" spans="1:17" x14ac:dyDescent="0.25">
      <c r="A159" t="s">
        <v>8932</v>
      </c>
      <c r="C159" t="s">
        <v>8858</v>
      </c>
      <c r="J159" t="s">
        <v>8933</v>
      </c>
    </row>
    <row r="160" spans="1:17" x14ac:dyDescent="0.25">
      <c r="A160" t="s">
        <v>8934</v>
      </c>
      <c r="C160" t="s">
        <v>8781</v>
      </c>
      <c r="J160" t="s">
        <v>7457</v>
      </c>
      <c r="K160">
        <v>5</v>
      </c>
      <c r="Q160" t="s">
        <v>8784</v>
      </c>
    </row>
    <row r="161" spans="1:17" x14ac:dyDescent="0.25">
      <c r="A161" t="s">
        <v>8935</v>
      </c>
      <c r="C161" t="s">
        <v>8858</v>
      </c>
      <c r="J161" t="s">
        <v>8936</v>
      </c>
    </row>
    <row r="162" spans="1:17" x14ac:dyDescent="0.25">
      <c r="A162" t="s">
        <v>7470</v>
      </c>
      <c r="C162" t="s">
        <v>8781</v>
      </c>
      <c r="J162" t="s">
        <v>8937</v>
      </c>
      <c r="K162">
        <v>5</v>
      </c>
      <c r="Q162" t="s">
        <v>8784</v>
      </c>
    </row>
    <row r="163" spans="1:17" x14ac:dyDescent="0.25">
      <c r="A163" t="s">
        <v>6929</v>
      </c>
      <c r="C163" t="s">
        <v>8781</v>
      </c>
      <c r="J163" t="s">
        <v>8868</v>
      </c>
      <c r="Q163" t="s">
        <v>8782</v>
      </c>
    </row>
    <row r="164" spans="1:17" x14ac:dyDescent="0.25">
      <c r="A164" t="s">
        <v>7544</v>
      </c>
      <c r="C164" t="s">
        <v>8858</v>
      </c>
      <c r="J164" t="s">
        <v>7543</v>
      </c>
    </row>
    <row r="165" spans="1:17" x14ac:dyDescent="0.25">
      <c r="A165" t="s">
        <v>7558</v>
      </c>
      <c r="C165" t="s">
        <v>8781</v>
      </c>
      <c r="J165" t="s">
        <v>7543</v>
      </c>
      <c r="Q165" t="s">
        <v>8938</v>
      </c>
    </row>
    <row r="166" spans="1:17" x14ac:dyDescent="0.25">
      <c r="A166" t="s">
        <v>7570</v>
      </c>
      <c r="C166" t="s">
        <v>8781</v>
      </c>
      <c r="J166" t="s">
        <v>8868</v>
      </c>
      <c r="Q166" t="s">
        <v>8807</v>
      </c>
    </row>
    <row r="167" spans="1:17" x14ac:dyDescent="0.25">
      <c r="A167" t="s">
        <v>7585</v>
      </c>
      <c r="C167" t="s">
        <v>7426</v>
      </c>
      <c r="H167">
        <v>1</v>
      </c>
      <c r="J167" t="s">
        <v>7624</v>
      </c>
      <c r="K167">
        <v>3</v>
      </c>
      <c r="Q167" t="s">
        <v>8939</v>
      </c>
    </row>
    <row r="168" spans="1:17" x14ac:dyDescent="0.25">
      <c r="A168" t="s">
        <v>7611</v>
      </c>
      <c r="C168" t="s">
        <v>8781</v>
      </c>
      <c r="J168" t="s">
        <v>8940</v>
      </c>
      <c r="Q168" t="s">
        <v>8916</v>
      </c>
    </row>
    <row r="169" spans="1:17" x14ac:dyDescent="0.25">
      <c r="A169" t="s">
        <v>8941</v>
      </c>
      <c r="C169" t="s">
        <v>8830</v>
      </c>
      <c r="J169" t="s">
        <v>8942</v>
      </c>
      <c r="K169">
        <v>3</v>
      </c>
      <c r="Q169" t="s">
        <v>8943</v>
      </c>
    </row>
    <row r="170" spans="1:17" x14ac:dyDescent="0.25">
      <c r="A170" t="s">
        <v>8944</v>
      </c>
      <c r="C170" t="s">
        <v>7426</v>
      </c>
      <c r="J170" t="s">
        <v>8945</v>
      </c>
      <c r="K170">
        <v>3</v>
      </c>
      <c r="Q170" t="s">
        <v>8946</v>
      </c>
    </row>
    <row r="171" spans="1:17" x14ac:dyDescent="0.25">
      <c r="A171" t="s">
        <v>8947</v>
      </c>
      <c r="C171" t="s">
        <v>8948</v>
      </c>
      <c r="Q171" t="s">
        <v>8949</v>
      </c>
    </row>
    <row r="172" spans="1:17" x14ac:dyDescent="0.25">
      <c r="A172" t="s">
        <v>7676</v>
      </c>
      <c r="C172" t="s">
        <v>8781</v>
      </c>
      <c r="J172" t="s">
        <v>7676</v>
      </c>
      <c r="Q172" t="s">
        <v>8916</v>
      </c>
    </row>
    <row r="173" spans="1:17" x14ac:dyDescent="0.25">
      <c r="A173" t="s">
        <v>7684</v>
      </c>
      <c r="C173" t="s">
        <v>7426</v>
      </c>
      <c r="K173">
        <v>3</v>
      </c>
      <c r="Q173" t="s">
        <v>8950</v>
      </c>
    </row>
    <row r="174" spans="1:17" x14ac:dyDescent="0.25">
      <c r="A174" t="s">
        <v>7685</v>
      </c>
      <c r="C174" t="s">
        <v>7426</v>
      </c>
      <c r="K174">
        <v>3</v>
      </c>
      <c r="Q174" t="s">
        <v>8951</v>
      </c>
    </row>
    <row r="175" spans="1:17" x14ac:dyDescent="0.25">
      <c r="A175" t="s">
        <v>7686</v>
      </c>
      <c r="C175" t="s">
        <v>8781</v>
      </c>
      <c r="J175" t="s">
        <v>8952</v>
      </c>
      <c r="K175">
        <v>0.01</v>
      </c>
      <c r="Q175" t="s">
        <v>8787</v>
      </c>
    </row>
    <row r="176" spans="1:17" x14ac:dyDescent="0.25">
      <c r="A176" t="s">
        <v>8953</v>
      </c>
      <c r="C176" t="s">
        <v>8902</v>
      </c>
      <c r="Q176" t="s">
        <v>8913</v>
      </c>
    </row>
    <row r="177" spans="1:17" x14ac:dyDescent="0.25">
      <c r="A177" t="s">
        <v>7706</v>
      </c>
      <c r="C177" t="s">
        <v>8781</v>
      </c>
      <c r="J177" t="s">
        <v>8940</v>
      </c>
      <c r="Q177" t="s">
        <v>8954</v>
      </c>
    </row>
    <row r="178" spans="1:17" x14ac:dyDescent="0.25">
      <c r="A178" t="s">
        <v>7711</v>
      </c>
      <c r="C178" t="s">
        <v>8781</v>
      </c>
      <c r="J178" t="s">
        <v>8955</v>
      </c>
      <c r="K178">
        <v>5</v>
      </c>
      <c r="Q178" t="s">
        <v>8784</v>
      </c>
    </row>
    <row r="179" spans="1:17" x14ac:dyDescent="0.25">
      <c r="A179" t="s">
        <v>7753</v>
      </c>
      <c r="C179" t="s">
        <v>8781</v>
      </c>
      <c r="E179">
        <v>1</v>
      </c>
      <c r="K179">
        <v>0.01</v>
      </c>
      <c r="Q179" t="s">
        <v>8890</v>
      </c>
    </row>
    <row r="180" spans="1:17" x14ac:dyDescent="0.25">
      <c r="A180" t="s">
        <v>7787</v>
      </c>
      <c r="C180" t="s">
        <v>8781</v>
      </c>
      <c r="Q180" t="s">
        <v>8956</v>
      </c>
    </row>
    <row r="181" spans="1:17" x14ac:dyDescent="0.25">
      <c r="A181" t="s">
        <v>7793</v>
      </c>
      <c r="C181" t="s">
        <v>8781</v>
      </c>
      <c r="K181">
        <v>0.01</v>
      </c>
      <c r="Q181" t="s">
        <v>8957</v>
      </c>
    </row>
    <row r="182" spans="1:17" x14ac:dyDescent="0.25">
      <c r="A182" t="s">
        <v>7795</v>
      </c>
      <c r="C182" t="s">
        <v>8781</v>
      </c>
      <c r="Q182" t="s">
        <v>8806</v>
      </c>
    </row>
    <row r="183" spans="1:17" x14ac:dyDescent="0.25">
      <c r="A183" t="s">
        <v>7822</v>
      </c>
      <c r="C183" t="s">
        <v>8958</v>
      </c>
      <c r="Q183" t="s">
        <v>8959</v>
      </c>
    </row>
    <row r="184" spans="1:17" x14ac:dyDescent="0.25">
      <c r="A184" t="s">
        <v>8960</v>
      </c>
      <c r="C184" t="s">
        <v>8781</v>
      </c>
      <c r="K184">
        <v>5</v>
      </c>
      <c r="Q184" t="s">
        <v>8784</v>
      </c>
    </row>
    <row r="185" spans="1:17" x14ac:dyDescent="0.25">
      <c r="A185" t="s">
        <v>7829</v>
      </c>
      <c r="C185" t="s">
        <v>7426</v>
      </c>
      <c r="K185">
        <v>3</v>
      </c>
      <c r="Q185" t="s">
        <v>8946</v>
      </c>
    </row>
    <row r="186" spans="1:17" x14ac:dyDescent="0.25">
      <c r="A186" t="s">
        <v>7831</v>
      </c>
      <c r="C186" t="s">
        <v>8858</v>
      </c>
    </row>
    <row r="187" spans="1:17" x14ac:dyDescent="0.25">
      <c r="A187" t="s">
        <v>7843</v>
      </c>
      <c r="C187" t="s">
        <v>8781</v>
      </c>
      <c r="Q187" t="s">
        <v>8954</v>
      </c>
    </row>
    <row r="188" spans="1:17" x14ac:dyDescent="0.25">
      <c r="A188" t="s">
        <v>8961</v>
      </c>
      <c r="C188" t="s">
        <v>7426</v>
      </c>
      <c r="Q188" t="s">
        <v>8962</v>
      </c>
    </row>
    <row r="192" spans="1:17" x14ac:dyDescent="0.25">
      <c r="A192" t="s">
        <v>7866</v>
      </c>
      <c r="C192" t="s">
        <v>8781</v>
      </c>
      <c r="I192">
        <v>1</v>
      </c>
      <c r="J192" t="s">
        <v>8963</v>
      </c>
      <c r="K192">
        <v>9999</v>
      </c>
      <c r="Q192" t="s">
        <v>8964</v>
      </c>
    </row>
    <row r="193" spans="1:17" x14ac:dyDescent="0.25">
      <c r="A193" t="s">
        <v>7894</v>
      </c>
      <c r="C193" t="s">
        <v>8781</v>
      </c>
      <c r="J193" t="s">
        <v>8965</v>
      </c>
      <c r="K193">
        <v>5</v>
      </c>
      <c r="Q193" t="s">
        <v>8784</v>
      </c>
    </row>
    <row r="194" spans="1:17" x14ac:dyDescent="0.25">
      <c r="A194" t="s">
        <v>7944</v>
      </c>
      <c r="C194" t="s">
        <v>8838</v>
      </c>
      <c r="J194" t="s">
        <v>8966</v>
      </c>
    </row>
    <row r="195" spans="1:17" x14ac:dyDescent="0.25">
      <c r="A195" t="s">
        <v>7925</v>
      </c>
      <c r="C195" t="s">
        <v>8781</v>
      </c>
      <c r="J195" t="s">
        <v>8967</v>
      </c>
      <c r="K195">
        <v>5</v>
      </c>
      <c r="Q195" t="s">
        <v>8784</v>
      </c>
    </row>
    <row r="196" spans="1:17" x14ac:dyDescent="0.25">
      <c r="A196" t="s">
        <v>8968</v>
      </c>
      <c r="C196" t="s">
        <v>8781</v>
      </c>
      <c r="J196" t="s">
        <v>8969</v>
      </c>
      <c r="Q196" t="s">
        <v>8970</v>
      </c>
    </row>
    <row r="197" spans="1:17" x14ac:dyDescent="0.25">
      <c r="A197" t="s">
        <v>8971</v>
      </c>
      <c r="C197" t="s">
        <v>8858</v>
      </c>
      <c r="J197" t="s">
        <v>8972</v>
      </c>
    </row>
    <row r="198" spans="1:17" x14ac:dyDescent="0.25">
      <c r="A198" t="s">
        <v>8973</v>
      </c>
      <c r="C198" t="s">
        <v>8858</v>
      </c>
      <c r="J198" t="s">
        <v>8974</v>
      </c>
    </row>
    <row r="199" spans="1:17" x14ac:dyDescent="0.25">
      <c r="A199" t="s">
        <v>7941</v>
      </c>
      <c r="C199" t="s">
        <v>8975</v>
      </c>
      <c r="Q199" t="s">
        <v>8976</v>
      </c>
    </row>
    <row r="200" spans="1:17" x14ac:dyDescent="0.25">
      <c r="A200" t="s">
        <v>7932</v>
      </c>
      <c r="C200" t="s">
        <v>6721</v>
      </c>
      <c r="K200">
        <v>5</v>
      </c>
      <c r="Q200" t="s">
        <v>8977</v>
      </c>
    </row>
    <row r="201" spans="1:17" x14ac:dyDescent="0.25">
      <c r="A201" t="s">
        <v>7981</v>
      </c>
      <c r="C201" t="s">
        <v>8838</v>
      </c>
      <c r="Q201" t="s">
        <v>8978</v>
      </c>
    </row>
    <row r="202" spans="1:17" x14ac:dyDescent="0.25">
      <c r="A202" t="s">
        <v>7960</v>
      </c>
      <c r="C202" t="s">
        <v>8781</v>
      </c>
      <c r="J202" t="s">
        <v>8979</v>
      </c>
      <c r="K202">
        <v>0.01</v>
      </c>
      <c r="Q202" t="s">
        <v>8787</v>
      </c>
    </row>
    <row r="203" spans="1:17" x14ac:dyDescent="0.25">
      <c r="A203" t="s">
        <v>7967</v>
      </c>
      <c r="C203" t="s">
        <v>8781</v>
      </c>
      <c r="J203" t="s">
        <v>8980</v>
      </c>
      <c r="K203">
        <v>5</v>
      </c>
      <c r="Q203" t="s">
        <v>8782</v>
      </c>
    </row>
    <row r="206" spans="1:17" x14ac:dyDescent="0.25">
      <c r="A206" t="s">
        <v>7985</v>
      </c>
      <c r="C206" t="s">
        <v>8781</v>
      </c>
      <c r="K206">
        <v>0.01</v>
      </c>
      <c r="Q206" t="s">
        <v>8821</v>
      </c>
    </row>
    <row r="207" spans="1:17" x14ac:dyDescent="0.25">
      <c r="A207" t="s">
        <v>7954</v>
      </c>
      <c r="C207" t="s">
        <v>8858</v>
      </c>
    </row>
    <row r="208" spans="1:17" x14ac:dyDescent="0.25">
      <c r="A208" t="s">
        <v>7983</v>
      </c>
      <c r="C208" t="s">
        <v>8982</v>
      </c>
    </row>
    <row r="209" spans="1:17" x14ac:dyDescent="0.25">
      <c r="A209" t="s">
        <v>7974</v>
      </c>
      <c r="C209" t="s">
        <v>7974</v>
      </c>
    </row>
    <row r="210" spans="1:17" x14ac:dyDescent="0.25">
      <c r="A210" t="s">
        <v>7977</v>
      </c>
      <c r="C210" t="s">
        <v>8858</v>
      </c>
    </row>
    <row r="212" spans="1:17" x14ac:dyDescent="0.25">
      <c r="A212" t="s">
        <v>7992</v>
      </c>
      <c r="C212" t="s">
        <v>8830</v>
      </c>
      <c r="J212" t="s">
        <v>8983</v>
      </c>
      <c r="K212">
        <v>3</v>
      </c>
      <c r="Q212" t="s">
        <v>8984</v>
      </c>
    </row>
    <row r="213" spans="1:17" x14ac:dyDescent="0.25">
      <c r="A213" t="s">
        <v>7990</v>
      </c>
      <c r="C213" t="s">
        <v>8858</v>
      </c>
    </row>
    <row r="214" spans="1:17" x14ac:dyDescent="0.25">
      <c r="A214" t="s">
        <v>8006</v>
      </c>
      <c r="C214" t="s">
        <v>7019</v>
      </c>
      <c r="J214" t="s">
        <v>8985</v>
      </c>
    </row>
    <row r="215" spans="1:17" x14ac:dyDescent="0.25">
      <c r="A215" t="s">
        <v>8008</v>
      </c>
      <c r="C215" t="s">
        <v>8781</v>
      </c>
      <c r="Q215" t="s">
        <v>8890</v>
      </c>
    </row>
    <row r="216" spans="1:17" x14ac:dyDescent="0.25">
      <c r="A216" t="s">
        <v>8015</v>
      </c>
      <c r="C216" t="s">
        <v>8781</v>
      </c>
      <c r="J216" t="s">
        <v>8986</v>
      </c>
      <c r="Q216" t="s">
        <v>8859</v>
      </c>
    </row>
    <row r="217" spans="1:17" x14ac:dyDescent="0.25">
      <c r="A217" t="s">
        <v>8028</v>
      </c>
      <c r="C217" t="s">
        <v>8781</v>
      </c>
      <c r="J217" t="s">
        <v>8986</v>
      </c>
      <c r="Q217" t="s">
        <v>8859</v>
      </c>
    </row>
    <row r="218" spans="1:17" x14ac:dyDescent="0.25">
      <c r="A218" t="s">
        <v>8987</v>
      </c>
      <c r="C218" t="s">
        <v>8858</v>
      </c>
      <c r="J218" t="s">
        <v>8988</v>
      </c>
    </row>
    <row r="220" spans="1:17" x14ac:dyDescent="0.25">
      <c r="A220" t="s">
        <v>8043</v>
      </c>
      <c r="C220" t="s">
        <v>8781</v>
      </c>
      <c r="J220" t="s">
        <v>8043</v>
      </c>
      <c r="Q220" t="s">
        <v>8938</v>
      </c>
    </row>
    <row r="221" spans="1:17" x14ac:dyDescent="0.25">
      <c r="A221" t="s">
        <v>8051</v>
      </c>
      <c r="C221" t="s">
        <v>8858</v>
      </c>
      <c r="J221" t="s">
        <v>8989</v>
      </c>
    </row>
    <row r="222" spans="1:17" x14ac:dyDescent="0.25">
      <c r="A222" t="s">
        <v>8057</v>
      </c>
      <c r="C222" t="s">
        <v>8781</v>
      </c>
      <c r="J222" t="s">
        <v>8990</v>
      </c>
      <c r="Q222" t="s">
        <v>8806</v>
      </c>
    </row>
    <row r="223" spans="1:17" x14ac:dyDescent="0.25">
      <c r="A223" t="s">
        <v>8991</v>
      </c>
      <c r="C223" t="s">
        <v>8781</v>
      </c>
      <c r="N223">
        <v>1</v>
      </c>
      <c r="Q223" t="s">
        <v>8890</v>
      </c>
    </row>
    <row r="224" spans="1:17" x14ac:dyDescent="0.25">
      <c r="A224" t="s">
        <v>8992</v>
      </c>
      <c r="C224" t="s">
        <v>8781</v>
      </c>
      <c r="J224" t="s">
        <v>8993</v>
      </c>
      <c r="Q224" t="s">
        <v>8806</v>
      </c>
    </row>
    <row r="226" spans="1:21" x14ac:dyDescent="0.25">
      <c r="A226" t="s">
        <v>8065</v>
      </c>
      <c r="C226" t="s">
        <v>8781</v>
      </c>
      <c r="J226" t="s">
        <v>8868</v>
      </c>
      <c r="Q226" t="s">
        <v>8859</v>
      </c>
    </row>
    <row r="227" spans="1:21" x14ac:dyDescent="0.25">
      <c r="A227" t="s">
        <v>8994</v>
      </c>
      <c r="C227" t="s">
        <v>8830</v>
      </c>
      <c r="J227" t="s">
        <v>8995</v>
      </c>
      <c r="Q227" t="s">
        <v>8996</v>
      </c>
      <c r="U227" t="s">
        <v>8997</v>
      </c>
    </row>
    <row r="228" spans="1:21" x14ac:dyDescent="0.25">
      <c r="A228" t="s">
        <v>8087</v>
      </c>
      <c r="C228" t="s">
        <v>8858</v>
      </c>
      <c r="J228" t="s">
        <v>8998</v>
      </c>
    </row>
    <row r="230" spans="1:21" x14ac:dyDescent="0.25">
      <c r="A230" t="s">
        <v>8096</v>
      </c>
      <c r="C230" t="s">
        <v>8781</v>
      </c>
      <c r="J230" t="s">
        <v>8868</v>
      </c>
      <c r="Q230" t="s">
        <v>8859</v>
      </c>
    </row>
    <row r="231" spans="1:21" x14ac:dyDescent="0.25">
      <c r="A231" t="s">
        <v>8113</v>
      </c>
      <c r="C231" t="s">
        <v>8781</v>
      </c>
      <c r="J231" t="s">
        <v>8999</v>
      </c>
      <c r="Q231" t="s">
        <v>8954</v>
      </c>
    </row>
    <row r="233" spans="1:21" x14ac:dyDescent="0.25">
      <c r="A233" t="s">
        <v>9000</v>
      </c>
      <c r="C233" t="s">
        <v>6721</v>
      </c>
      <c r="Q233" t="s">
        <v>9001</v>
      </c>
    </row>
    <row r="234" spans="1:21" x14ac:dyDescent="0.25">
      <c r="A234" t="s">
        <v>8150</v>
      </c>
      <c r="C234" t="s">
        <v>8858</v>
      </c>
    </row>
    <row r="235" spans="1:21" x14ac:dyDescent="0.25">
      <c r="A235" t="s">
        <v>9002</v>
      </c>
      <c r="C235" t="s">
        <v>7019</v>
      </c>
      <c r="J235" t="s">
        <v>9003</v>
      </c>
    </row>
    <row r="237" spans="1:21" x14ac:dyDescent="0.25">
      <c r="A237" t="s">
        <v>8162</v>
      </c>
      <c r="C237" t="s">
        <v>8781</v>
      </c>
      <c r="J237" t="s">
        <v>9004</v>
      </c>
      <c r="Q237" t="s">
        <v>8859</v>
      </c>
    </row>
    <row r="238" spans="1:21" x14ac:dyDescent="0.25">
      <c r="A238" t="s">
        <v>9005</v>
      </c>
      <c r="C238" t="s">
        <v>8898</v>
      </c>
      <c r="J238" s="29" t="s">
        <v>11241</v>
      </c>
      <c r="Q238" t="s">
        <v>9006</v>
      </c>
    </row>
    <row r="239" spans="1:21" x14ac:dyDescent="0.25">
      <c r="A239" t="s">
        <v>9007</v>
      </c>
      <c r="C239" t="s">
        <v>8781</v>
      </c>
      <c r="K239">
        <v>0.01</v>
      </c>
      <c r="O239" t="s">
        <v>9005</v>
      </c>
      <c r="Q239" t="s">
        <v>8787</v>
      </c>
    </row>
    <row r="240" spans="1:21" x14ac:dyDescent="0.25">
      <c r="A240" t="s">
        <v>8174</v>
      </c>
      <c r="C240" t="s">
        <v>8781</v>
      </c>
      <c r="J240" t="s">
        <v>9008</v>
      </c>
      <c r="K240">
        <v>5</v>
      </c>
      <c r="Q240" t="s">
        <v>8784</v>
      </c>
    </row>
    <row r="242" spans="1:17" x14ac:dyDescent="0.25">
      <c r="A242" t="s">
        <v>9009</v>
      </c>
      <c r="C242" t="s">
        <v>8781</v>
      </c>
      <c r="J242" t="s">
        <v>9010</v>
      </c>
      <c r="K242">
        <v>5</v>
      </c>
      <c r="Q242" t="s">
        <v>8784</v>
      </c>
    </row>
    <row r="243" spans="1:17" x14ac:dyDescent="0.25">
      <c r="A243" t="s">
        <v>9011</v>
      </c>
      <c r="C243" t="s">
        <v>8898</v>
      </c>
      <c r="J243" t="s">
        <v>9012</v>
      </c>
      <c r="Q243" t="s">
        <v>9013</v>
      </c>
    </row>
    <row r="244" spans="1:17" x14ac:dyDescent="0.25">
      <c r="A244" t="s">
        <v>9014</v>
      </c>
      <c r="C244" t="s">
        <v>8781</v>
      </c>
      <c r="K244">
        <v>0.01</v>
      </c>
      <c r="O244" t="s">
        <v>9011</v>
      </c>
      <c r="Q244" t="s">
        <v>8808</v>
      </c>
    </row>
    <row r="245" spans="1:17" x14ac:dyDescent="0.25">
      <c r="A245" t="s">
        <v>8191</v>
      </c>
      <c r="C245" t="s">
        <v>8781</v>
      </c>
      <c r="Q245" t="s">
        <v>9015</v>
      </c>
    </row>
    <row r="246" spans="1:17" x14ac:dyDescent="0.25">
      <c r="A246" s="29" t="s">
        <v>11244</v>
      </c>
      <c r="C246" t="s">
        <v>8781</v>
      </c>
      <c r="J246" t="s">
        <v>9016</v>
      </c>
      <c r="K246">
        <v>5</v>
      </c>
      <c r="Q246" t="s">
        <v>8784</v>
      </c>
    </row>
    <row r="248" spans="1:17" x14ac:dyDescent="0.25">
      <c r="A248" t="s">
        <v>8216</v>
      </c>
      <c r="C248" t="s">
        <v>8781</v>
      </c>
      <c r="J248" t="s">
        <v>9017</v>
      </c>
      <c r="Q248" t="s">
        <v>8787</v>
      </c>
    </row>
    <row r="249" spans="1:17" x14ac:dyDescent="0.25">
      <c r="A249" t="s">
        <v>9018</v>
      </c>
      <c r="C249" t="s">
        <v>8858</v>
      </c>
      <c r="J249" t="s">
        <v>9019</v>
      </c>
    </row>
    <row r="250" spans="1:17" x14ac:dyDescent="0.25">
      <c r="A250" t="s">
        <v>8209</v>
      </c>
      <c r="C250" t="s">
        <v>8781</v>
      </c>
      <c r="J250" t="s">
        <v>8868</v>
      </c>
      <c r="Q250" t="s">
        <v>8890</v>
      </c>
    </row>
    <row r="251" spans="1:17" x14ac:dyDescent="0.25">
      <c r="A251" t="s">
        <v>9020</v>
      </c>
      <c r="C251" t="s">
        <v>8781</v>
      </c>
      <c r="J251" t="s">
        <v>9021</v>
      </c>
      <c r="Q251" t="s">
        <v>8890</v>
      </c>
    </row>
    <row r="253" spans="1:17" x14ac:dyDescent="0.25">
      <c r="A253" t="s">
        <v>8229</v>
      </c>
      <c r="C253" t="s">
        <v>9022</v>
      </c>
      <c r="J253" t="s">
        <v>9023</v>
      </c>
      <c r="Q253" t="s">
        <v>8890</v>
      </c>
    </row>
    <row r="254" spans="1:17" x14ac:dyDescent="0.25">
      <c r="A254" t="s">
        <v>8247</v>
      </c>
      <c r="C254" t="s">
        <v>8781</v>
      </c>
      <c r="J254" t="s">
        <v>9024</v>
      </c>
      <c r="Q254" t="s">
        <v>9025</v>
      </c>
    </row>
    <row r="255" spans="1:17" x14ac:dyDescent="0.25">
      <c r="A255" t="s">
        <v>8249</v>
      </c>
      <c r="C255" t="s">
        <v>8858</v>
      </c>
      <c r="J255" t="s">
        <v>9026</v>
      </c>
    </row>
    <row r="258" spans="1:25" x14ac:dyDescent="0.25">
      <c r="A258" t="s">
        <v>8268</v>
      </c>
      <c r="C258" t="s">
        <v>8781</v>
      </c>
      <c r="I258">
        <v>1</v>
      </c>
      <c r="J258" t="s">
        <v>8963</v>
      </c>
      <c r="K258">
        <v>9999</v>
      </c>
      <c r="Q258" t="s">
        <v>9027</v>
      </c>
    </row>
    <row r="259" spans="1:25" x14ac:dyDescent="0.25">
      <c r="A259" t="s">
        <v>9028</v>
      </c>
      <c r="C259" t="s">
        <v>6721</v>
      </c>
      <c r="O259" t="s">
        <v>8268</v>
      </c>
      <c r="Q259" t="s">
        <v>9029</v>
      </c>
    </row>
    <row r="260" spans="1:25" x14ac:dyDescent="0.25">
      <c r="A260" t="s">
        <v>8278</v>
      </c>
      <c r="C260" t="s">
        <v>8781</v>
      </c>
      <c r="I260">
        <v>1</v>
      </c>
      <c r="J260" t="s">
        <v>8963</v>
      </c>
      <c r="K260">
        <v>9999</v>
      </c>
      <c r="Q260" t="s">
        <v>8916</v>
      </c>
    </row>
    <row r="261" spans="1:25" x14ac:dyDescent="0.25">
      <c r="A261" t="s">
        <v>9030</v>
      </c>
      <c r="C261" t="s">
        <v>6721</v>
      </c>
      <c r="Q261" t="s">
        <v>8977</v>
      </c>
    </row>
    <row r="263" spans="1:25" x14ac:dyDescent="0.25">
      <c r="A263" t="s">
        <v>8359</v>
      </c>
      <c r="C263" t="s">
        <v>9022</v>
      </c>
      <c r="J263" t="s">
        <v>8864</v>
      </c>
      <c r="Q263" t="s">
        <v>8786</v>
      </c>
    </row>
    <row r="264" spans="1:25" x14ac:dyDescent="0.25">
      <c r="A264" t="s">
        <v>9031</v>
      </c>
      <c r="C264" t="s">
        <v>6721</v>
      </c>
      <c r="K264">
        <v>5</v>
      </c>
      <c r="Q264" t="s">
        <v>9032</v>
      </c>
    </row>
    <row r="265" spans="1:25" x14ac:dyDescent="0.25">
      <c r="A265" t="s">
        <v>1037</v>
      </c>
      <c r="C265" t="s">
        <v>8781</v>
      </c>
      <c r="J265" t="s">
        <v>9033</v>
      </c>
      <c r="K265">
        <v>0.01</v>
      </c>
      <c r="Q265" t="s">
        <v>8786</v>
      </c>
    </row>
    <row r="266" spans="1:25" x14ac:dyDescent="0.25">
      <c r="A266" t="s">
        <v>9034</v>
      </c>
      <c r="C266" t="s">
        <v>6721</v>
      </c>
      <c r="K266">
        <v>5</v>
      </c>
      <c r="Q266" t="s">
        <v>9035</v>
      </c>
    </row>
    <row r="267" spans="1:25" x14ac:dyDescent="0.25">
      <c r="A267" t="s">
        <v>8371</v>
      </c>
      <c r="C267" t="s">
        <v>8781</v>
      </c>
      <c r="F267">
        <v>1</v>
      </c>
      <c r="Q267" t="s">
        <v>8808</v>
      </c>
    </row>
    <row r="268" spans="1:25" x14ac:dyDescent="0.25">
      <c r="A268" t="s">
        <v>8430</v>
      </c>
      <c r="C268" t="s">
        <v>8781</v>
      </c>
      <c r="F268">
        <v>1</v>
      </c>
      <c r="Q268" t="s">
        <v>8786</v>
      </c>
    </row>
    <row r="269" spans="1:25" x14ac:dyDescent="0.25">
      <c r="A269" t="s">
        <v>8377</v>
      </c>
      <c r="C269" t="s">
        <v>8830</v>
      </c>
      <c r="J269" t="s">
        <v>8995</v>
      </c>
      <c r="Q269" t="s">
        <v>9036</v>
      </c>
      <c r="Y269" t="s">
        <v>8997</v>
      </c>
    </row>
    <row r="270" spans="1:25" x14ac:dyDescent="0.25">
      <c r="A270" t="s">
        <v>8381</v>
      </c>
      <c r="C270" t="s">
        <v>8781</v>
      </c>
      <c r="J270" t="s">
        <v>8864</v>
      </c>
      <c r="K270">
        <v>0.01</v>
      </c>
      <c r="Q270" t="s">
        <v>8787</v>
      </c>
    </row>
    <row r="271" spans="1:25" x14ac:dyDescent="0.25">
      <c r="A271" t="s">
        <v>8662</v>
      </c>
      <c r="C271" t="s">
        <v>8781</v>
      </c>
      <c r="Q271" t="s">
        <v>9037</v>
      </c>
    </row>
    <row r="272" spans="1:25" x14ac:dyDescent="0.25">
      <c r="A272" t="s">
        <v>8395</v>
      </c>
      <c r="C272" t="s">
        <v>8781</v>
      </c>
      <c r="Q272" t="s">
        <v>9038</v>
      </c>
    </row>
    <row r="273" spans="1:17" x14ac:dyDescent="0.25">
      <c r="A273" t="s">
        <v>8408</v>
      </c>
      <c r="C273" t="s">
        <v>8781</v>
      </c>
      <c r="O273" t="s">
        <v>8410</v>
      </c>
      <c r="Q273" t="s">
        <v>8786</v>
      </c>
    </row>
    <row r="274" spans="1:17" x14ac:dyDescent="0.25">
      <c r="A274" t="s">
        <v>8425</v>
      </c>
      <c r="C274" t="s">
        <v>8781</v>
      </c>
      <c r="O274" t="s">
        <v>8410</v>
      </c>
      <c r="Q274" t="s">
        <v>9039</v>
      </c>
    </row>
    <row r="275" spans="1:17" x14ac:dyDescent="0.25">
      <c r="A275" t="s">
        <v>8422</v>
      </c>
      <c r="C275" t="s">
        <v>8858</v>
      </c>
      <c r="J275" t="s">
        <v>8422</v>
      </c>
    </row>
    <row r="276" spans="1:17" x14ac:dyDescent="0.25">
      <c r="A276" t="s">
        <v>8423</v>
      </c>
      <c r="C276" t="s">
        <v>8858</v>
      </c>
      <c r="J276" t="s">
        <v>8423</v>
      </c>
    </row>
    <row r="277" spans="1:17" x14ac:dyDescent="0.25">
      <c r="A277" t="s">
        <v>8410</v>
      </c>
      <c r="C277" t="s">
        <v>8898</v>
      </c>
      <c r="J277" t="s">
        <v>8885</v>
      </c>
      <c r="Q277" t="s">
        <v>9040</v>
      </c>
    </row>
    <row r="278" spans="1:17" x14ac:dyDescent="0.25">
      <c r="A278" t="s">
        <v>8469</v>
      </c>
      <c r="C278" t="s">
        <v>9041</v>
      </c>
      <c r="Q278" t="s">
        <v>9042</v>
      </c>
    </row>
    <row r="279" spans="1:17" x14ac:dyDescent="0.25">
      <c r="A279" t="s">
        <v>8470</v>
      </c>
      <c r="C279" t="s">
        <v>9041</v>
      </c>
      <c r="Q279" t="s">
        <v>9043</v>
      </c>
    </row>
    <row r="280" spans="1:17" x14ac:dyDescent="0.25">
      <c r="A280" t="s">
        <v>8374</v>
      </c>
      <c r="C280" t="s">
        <v>8781</v>
      </c>
      <c r="H280">
        <v>1</v>
      </c>
      <c r="Q280" t="s">
        <v>8795</v>
      </c>
    </row>
    <row r="281" spans="1:17" x14ac:dyDescent="0.25">
      <c r="A281" t="s">
        <v>1519</v>
      </c>
      <c r="C281" t="s">
        <v>6721</v>
      </c>
      <c r="O281" t="s">
        <v>8474</v>
      </c>
      <c r="Q281" t="s">
        <v>9044</v>
      </c>
    </row>
    <row r="282" spans="1:17" x14ac:dyDescent="0.25">
      <c r="A282" t="s">
        <v>8482</v>
      </c>
      <c r="C282" t="s">
        <v>8858</v>
      </c>
    </row>
    <row r="283" spans="1:17" x14ac:dyDescent="0.25">
      <c r="A283" t="s">
        <v>8474</v>
      </c>
      <c r="C283" t="s">
        <v>8858</v>
      </c>
    </row>
    <row r="284" spans="1:17" x14ac:dyDescent="0.25">
      <c r="A284" t="s">
        <v>9045</v>
      </c>
      <c r="C284" t="s">
        <v>8781</v>
      </c>
      <c r="K284">
        <v>0.01</v>
      </c>
      <c r="Q284" t="s">
        <v>8890</v>
      </c>
    </row>
    <row r="285" spans="1:17" x14ac:dyDescent="0.25">
      <c r="A285" t="s">
        <v>8609</v>
      </c>
      <c r="C285" t="s">
        <v>8781</v>
      </c>
      <c r="Q285" t="s">
        <v>9046</v>
      </c>
    </row>
    <row r="286" spans="1:17" x14ac:dyDescent="0.25">
      <c r="A286" t="s">
        <v>8490</v>
      </c>
      <c r="C286" t="s">
        <v>8781</v>
      </c>
      <c r="K286">
        <v>0.01</v>
      </c>
      <c r="Q286" t="s">
        <v>8901</v>
      </c>
    </row>
    <row r="287" spans="1:17" x14ac:dyDescent="0.25">
      <c r="A287" t="s">
        <v>8492</v>
      </c>
      <c r="C287" t="s">
        <v>8781</v>
      </c>
      <c r="O287" t="s">
        <v>8490</v>
      </c>
      <c r="Q287" t="s">
        <v>8783</v>
      </c>
    </row>
    <row r="288" spans="1:17" x14ac:dyDescent="0.25">
      <c r="A288" t="s">
        <v>8496</v>
      </c>
      <c r="C288" t="s">
        <v>8781</v>
      </c>
      <c r="O288" t="s">
        <v>8490</v>
      </c>
      <c r="Q288" t="s">
        <v>8782</v>
      </c>
    </row>
    <row r="289" spans="1:21" x14ac:dyDescent="0.25">
      <c r="A289" t="s">
        <v>8497</v>
      </c>
      <c r="C289" t="s">
        <v>8781</v>
      </c>
      <c r="O289" t="s">
        <v>8490</v>
      </c>
      <c r="Q289" t="s">
        <v>8784</v>
      </c>
    </row>
    <row r="290" spans="1:21" x14ac:dyDescent="0.25">
      <c r="A290" t="s">
        <v>8501</v>
      </c>
      <c r="C290" t="s">
        <v>6721</v>
      </c>
      <c r="Q290" t="s">
        <v>9047</v>
      </c>
    </row>
    <row r="291" spans="1:21" x14ac:dyDescent="0.25">
      <c r="A291" t="s">
        <v>8499</v>
      </c>
      <c r="C291" t="s">
        <v>8858</v>
      </c>
    </row>
    <row r="292" spans="1:21" x14ac:dyDescent="0.25">
      <c r="A292" t="s">
        <v>8509</v>
      </c>
      <c r="C292" t="s">
        <v>8781</v>
      </c>
      <c r="Q292" t="s">
        <v>9048</v>
      </c>
    </row>
    <row r="293" spans="1:21" x14ac:dyDescent="0.25">
      <c r="A293" t="s">
        <v>8525</v>
      </c>
      <c r="C293" t="s">
        <v>6721</v>
      </c>
      <c r="Q293" t="s">
        <v>9049</v>
      </c>
    </row>
    <row r="294" spans="1:21" x14ac:dyDescent="0.25">
      <c r="A294" t="s">
        <v>9050</v>
      </c>
      <c r="C294" t="s">
        <v>9051</v>
      </c>
      <c r="Q294" t="s">
        <v>9052</v>
      </c>
    </row>
    <row r="295" spans="1:21" x14ac:dyDescent="0.25">
      <c r="A295" t="s">
        <v>9053</v>
      </c>
      <c r="C295" t="s">
        <v>8781</v>
      </c>
      <c r="Q295" t="s">
        <v>9054</v>
      </c>
    </row>
    <row r="296" spans="1:21" x14ac:dyDescent="0.25">
      <c r="A296" t="s">
        <v>9055</v>
      </c>
      <c r="C296" t="s">
        <v>8830</v>
      </c>
      <c r="Q296" t="s">
        <v>9056</v>
      </c>
    </row>
    <row r="297" spans="1:21" x14ac:dyDescent="0.25">
      <c r="A297" t="s">
        <v>8575</v>
      </c>
      <c r="C297" t="s">
        <v>8781</v>
      </c>
      <c r="Q297" t="s">
        <v>8784</v>
      </c>
    </row>
    <row r="298" spans="1:21" x14ac:dyDescent="0.25">
      <c r="A298" t="s">
        <v>8571</v>
      </c>
      <c r="C298" t="s">
        <v>8781</v>
      </c>
      <c r="Q298" t="s">
        <v>8784</v>
      </c>
    </row>
    <row r="299" spans="1:21" x14ac:dyDescent="0.25">
      <c r="A299" t="s">
        <v>8611</v>
      </c>
      <c r="C299" t="s">
        <v>9057</v>
      </c>
      <c r="J299" t="s">
        <v>8995</v>
      </c>
      <c r="Q299" t="s">
        <v>9058</v>
      </c>
      <c r="U299" t="s">
        <v>8997</v>
      </c>
    </row>
    <row r="300" spans="1:21" x14ac:dyDescent="0.25">
      <c r="A300" t="s">
        <v>9059</v>
      </c>
      <c r="C300" t="s">
        <v>8781</v>
      </c>
      <c r="J300" t="s">
        <v>8868</v>
      </c>
      <c r="Q300" t="s">
        <v>9060</v>
      </c>
    </row>
    <row r="301" spans="1:21" x14ac:dyDescent="0.25">
      <c r="A301" t="s">
        <v>8619</v>
      </c>
      <c r="C301" s="23" t="s">
        <v>9725</v>
      </c>
      <c r="Q301" s="23" t="s">
        <v>9719</v>
      </c>
    </row>
    <row r="302" spans="1:21" x14ac:dyDescent="0.25">
      <c r="A302" t="s">
        <v>9061</v>
      </c>
      <c r="C302" t="s">
        <v>8781</v>
      </c>
      <c r="J302" t="s">
        <v>8868</v>
      </c>
      <c r="Q302" t="s">
        <v>9062</v>
      </c>
    </row>
    <row r="303" spans="1:21" x14ac:dyDescent="0.25">
      <c r="A303" t="s">
        <v>8639</v>
      </c>
      <c r="C303" t="s">
        <v>8858</v>
      </c>
    </row>
    <row r="304" spans="1:21" x14ac:dyDescent="0.25">
      <c r="A304" t="s">
        <v>1215</v>
      </c>
      <c r="C304" t="s">
        <v>8781</v>
      </c>
      <c r="H304">
        <v>1</v>
      </c>
      <c r="K304">
        <v>5</v>
      </c>
      <c r="Q304" t="s">
        <v>8782</v>
      </c>
    </row>
    <row r="305" spans="1:17" x14ac:dyDescent="0.25">
      <c r="A305" t="s">
        <v>9063</v>
      </c>
      <c r="C305" t="s">
        <v>8781</v>
      </c>
      <c r="F305">
        <v>1</v>
      </c>
      <c r="Q305" t="s">
        <v>8879</v>
      </c>
    </row>
    <row r="306" spans="1:17" x14ac:dyDescent="0.25">
      <c r="A306" t="s">
        <v>8441</v>
      </c>
      <c r="C306" t="s">
        <v>8781</v>
      </c>
      <c r="F306">
        <v>1</v>
      </c>
      <c r="H306">
        <v>1</v>
      </c>
      <c r="Q306" t="s">
        <v>8821</v>
      </c>
    </row>
    <row r="307" spans="1:17" x14ac:dyDescent="0.25">
      <c r="A307" t="s">
        <v>9064</v>
      </c>
      <c r="C307" t="s">
        <v>8847</v>
      </c>
      <c r="F307">
        <v>1</v>
      </c>
      <c r="Q307" t="s">
        <v>9065</v>
      </c>
    </row>
    <row r="308" spans="1:17" x14ac:dyDescent="0.25">
      <c r="A308" t="s">
        <v>8444</v>
      </c>
      <c r="C308" t="s">
        <v>8781</v>
      </c>
      <c r="J308" s="23" t="s">
        <v>9730</v>
      </c>
      <c r="Q308" t="s">
        <v>9066</v>
      </c>
    </row>
    <row r="309" spans="1:17" x14ac:dyDescent="0.25">
      <c r="A309" t="s">
        <v>8447</v>
      </c>
      <c r="C309" t="s">
        <v>9022</v>
      </c>
      <c r="J309" t="s">
        <v>8868</v>
      </c>
      <c r="Q309" t="s">
        <v>9067</v>
      </c>
    </row>
    <row r="310" spans="1:17" x14ac:dyDescent="0.25">
      <c r="A310" t="s">
        <v>8450</v>
      </c>
      <c r="C310" t="s">
        <v>8781</v>
      </c>
      <c r="J310" t="s">
        <v>7019</v>
      </c>
      <c r="Q310" t="s">
        <v>8820</v>
      </c>
    </row>
    <row r="311" spans="1:17" x14ac:dyDescent="0.25">
      <c r="A311" t="s">
        <v>8607</v>
      </c>
      <c r="C311" t="s">
        <v>8781</v>
      </c>
      <c r="H311">
        <v>1</v>
      </c>
      <c r="K311">
        <v>5</v>
      </c>
      <c r="Q311" t="s">
        <v>8782</v>
      </c>
    </row>
    <row r="312" spans="1:17" x14ac:dyDescent="0.25">
      <c r="A312" t="s">
        <v>8668</v>
      </c>
      <c r="C312" t="s">
        <v>8781</v>
      </c>
      <c r="H312">
        <v>1</v>
      </c>
      <c r="J312" t="s">
        <v>8883</v>
      </c>
      <c r="Q312" t="s">
        <v>9068</v>
      </c>
    </row>
    <row r="313" spans="1:17" x14ac:dyDescent="0.25">
      <c r="A313" t="s">
        <v>8669</v>
      </c>
      <c r="C313" t="s">
        <v>8781</v>
      </c>
      <c r="H313">
        <v>1</v>
      </c>
      <c r="J313" t="s">
        <v>8885</v>
      </c>
      <c r="K313">
        <v>9999</v>
      </c>
      <c r="Q313" t="s">
        <v>8786</v>
      </c>
    </row>
    <row r="314" spans="1:17" x14ac:dyDescent="0.25">
      <c r="A314" t="s">
        <v>8670</v>
      </c>
      <c r="C314" t="s">
        <v>8781</v>
      </c>
      <c r="H314">
        <v>1</v>
      </c>
      <c r="J314" t="s">
        <v>8864</v>
      </c>
      <c r="K314">
        <v>9999</v>
      </c>
      <c r="Q314" t="s">
        <v>8821</v>
      </c>
    </row>
    <row r="315" spans="1:17" x14ac:dyDescent="0.25">
      <c r="A315" t="s">
        <v>8671</v>
      </c>
      <c r="C315" t="s">
        <v>8781</v>
      </c>
      <c r="H315">
        <v>1</v>
      </c>
      <c r="K315">
        <v>0.1</v>
      </c>
      <c r="Q315" t="s">
        <v>8783</v>
      </c>
    </row>
    <row r="316" spans="1:17" x14ac:dyDescent="0.25">
      <c r="A316" t="s">
        <v>9069</v>
      </c>
      <c r="C316" t="s">
        <v>8781</v>
      </c>
      <c r="H316">
        <v>1</v>
      </c>
      <c r="J316" t="s">
        <v>8885</v>
      </c>
      <c r="K316">
        <v>0.2</v>
      </c>
      <c r="Q316" t="s">
        <v>8783</v>
      </c>
    </row>
    <row r="317" spans="1:17" x14ac:dyDescent="0.25">
      <c r="A317" t="s">
        <v>9070</v>
      </c>
      <c r="C317" t="s">
        <v>9070</v>
      </c>
    </row>
    <row r="318" spans="1:17" x14ac:dyDescent="0.25">
      <c r="A318" t="s">
        <v>9071</v>
      </c>
      <c r="C318" t="s">
        <v>9072</v>
      </c>
      <c r="Q318" t="s">
        <v>9073</v>
      </c>
    </row>
    <row r="319" spans="1:17" x14ac:dyDescent="0.25">
      <c r="A319" t="s">
        <v>8756</v>
      </c>
      <c r="C319" t="s">
        <v>8756</v>
      </c>
      <c r="J319" t="s">
        <v>8995</v>
      </c>
      <c r="P319">
        <v>1</v>
      </c>
    </row>
    <row r="320" spans="1:17" x14ac:dyDescent="0.25">
      <c r="A320" t="s">
        <v>8754</v>
      </c>
      <c r="C320" t="s">
        <v>8754</v>
      </c>
      <c r="J320" t="s">
        <v>8995</v>
      </c>
      <c r="P320">
        <v>1</v>
      </c>
    </row>
    <row r="321" spans="1:17" x14ac:dyDescent="0.25">
      <c r="A321" t="s">
        <v>9074</v>
      </c>
      <c r="C321" t="s">
        <v>9075</v>
      </c>
      <c r="Q321" t="s">
        <v>9076</v>
      </c>
    </row>
    <row r="322" spans="1:17" ht="13.8" customHeight="1" x14ac:dyDescent="0.25">
      <c r="A322" t="s">
        <v>9077</v>
      </c>
      <c r="C322" t="s">
        <v>9078</v>
      </c>
      <c r="Q322" t="s">
        <v>9079</v>
      </c>
    </row>
    <row r="323" spans="1:17" x14ac:dyDescent="0.25">
      <c r="A323" t="s">
        <v>8757</v>
      </c>
      <c r="C323" t="s">
        <v>9080</v>
      </c>
      <c r="Q323" t="s">
        <v>9081</v>
      </c>
    </row>
    <row r="324" spans="1:17" x14ac:dyDescent="0.25">
      <c r="A324" t="s">
        <v>9082</v>
      </c>
      <c r="C324" s="23" t="s">
        <v>9726</v>
      </c>
    </row>
    <row r="326" spans="1:17" x14ac:dyDescent="0.25">
      <c r="A326" s="23" t="s">
        <v>9728</v>
      </c>
      <c r="C326" s="23" t="s">
        <v>9729</v>
      </c>
      <c r="J326" s="23" t="s">
        <v>9730</v>
      </c>
      <c r="Q326" s="23" t="s">
        <v>9736</v>
      </c>
    </row>
    <row r="327" spans="1:17" x14ac:dyDescent="0.25">
      <c r="A327" s="29" t="s">
        <v>9785</v>
      </c>
      <c r="C327" t="s">
        <v>6721</v>
      </c>
      <c r="H327">
        <v>1</v>
      </c>
      <c r="N327">
        <v>1</v>
      </c>
      <c r="Q327" s="29" t="s">
        <v>9786</v>
      </c>
    </row>
  </sheetData>
  <autoFilter ref="C1:C324" xr:uid="{00000000-0009-0000-0000-000003000000}"/>
  <phoneticPr fontId="14"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7"/>
  <sheetViews>
    <sheetView workbookViewId="0">
      <selection activeCell="C27" sqref="C27"/>
    </sheetView>
  </sheetViews>
  <sheetFormatPr defaultColWidth="9" defaultRowHeight="14.05" x14ac:dyDescent="0.25"/>
  <cols>
    <col min="1" max="1" width="11.33203125" customWidth="1"/>
    <col min="2" max="2" width="11.25" customWidth="1"/>
    <col min="4" max="4" width="27.4140625" customWidth="1"/>
  </cols>
  <sheetData>
    <row r="1" spans="1:4" x14ac:dyDescent="0.25">
      <c r="A1" t="s">
        <v>0</v>
      </c>
      <c r="C1" t="s">
        <v>9083</v>
      </c>
    </row>
    <row r="2" spans="1:4" x14ac:dyDescent="0.25">
      <c r="A2" t="s">
        <v>0</v>
      </c>
      <c r="B2" t="s">
        <v>126</v>
      </c>
      <c r="C2" t="s">
        <v>9084</v>
      </c>
      <c r="D2" t="s">
        <v>6839</v>
      </c>
    </row>
    <row r="3" spans="1:4" x14ac:dyDescent="0.25">
      <c r="A3" t="s">
        <v>2</v>
      </c>
      <c r="B3" t="s">
        <v>2</v>
      </c>
      <c r="C3" t="s">
        <v>6833</v>
      </c>
      <c r="D3" t="s">
        <v>199</v>
      </c>
    </row>
    <row r="4" spans="1:4" x14ac:dyDescent="0.25">
      <c r="A4" t="s">
        <v>7024</v>
      </c>
      <c r="B4" t="s">
        <v>9085</v>
      </c>
      <c r="D4" t="s">
        <v>9086</v>
      </c>
    </row>
    <row r="5" spans="1:4" x14ac:dyDescent="0.25">
      <c r="A5" s="23" t="s">
        <v>9743</v>
      </c>
      <c r="B5" t="s">
        <v>9085</v>
      </c>
      <c r="D5" t="s">
        <v>9087</v>
      </c>
    </row>
    <row r="6" spans="1:4" x14ac:dyDescent="0.25">
      <c r="A6" t="s">
        <v>7066</v>
      </c>
      <c r="B6" t="s">
        <v>9088</v>
      </c>
      <c r="D6" t="s">
        <v>9089</v>
      </c>
    </row>
    <row r="7" spans="1:4" x14ac:dyDescent="0.25">
      <c r="A7" t="s">
        <v>9090</v>
      </c>
      <c r="B7" t="s">
        <v>9088</v>
      </c>
      <c r="D7" t="s">
        <v>8949</v>
      </c>
    </row>
    <row r="8" spans="1:4" x14ac:dyDescent="0.25">
      <c r="A8" t="s">
        <v>8390</v>
      </c>
      <c r="B8" t="s">
        <v>9088</v>
      </c>
      <c r="D8" t="s">
        <v>9091</v>
      </c>
    </row>
    <row r="9" spans="1:4" x14ac:dyDescent="0.25">
      <c r="A9" t="s">
        <v>6992</v>
      </c>
      <c r="B9" t="s">
        <v>9092</v>
      </c>
      <c r="D9" t="s">
        <v>9093</v>
      </c>
    </row>
    <row r="10" spans="1:4" x14ac:dyDescent="0.25">
      <c r="A10" t="s">
        <v>7134</v>
      </c>
      <c r="B10" t="s">
        <v>9092</v>
      </c>
      <c r="D10" t="s">
        <v>9094</v>
      </c>
    </row>
    <row r="11" spans="1:4" x14ac:dyDescent="0.25">
      <c r="A11" t="s">
        <v>8462</v>
      </c>
      <c r="B11" t="s">
        <v>9095</v>
      </c>
      <c r="C11" t="s">
        <v>8845</v>
      </c>
      <c r="D11" t="s">
        <v>9093</v>
      </c>
    </row>
    <row r="12" spans="1:4" x14ac:dyDescent="0.25">
      <c r="A12" t="s">
        <v>8309</v>
      </c>
      <c r="B12" t="s">
        <v>9095</v>
      </c>
      <c r="C12" t="s">
        <v>8845</v>
      </c>
      <c r="D12" t="s">
        <v>9096</v>
      </c>
    </row>
    <row r="13" spans="1:4" x14ac:dyDescent="0.25">
      <c r="A13" t="s">
        <v>8464</v>
      </c>
      <c r="B13" t="s">
        <v>9095</v>
      </c>
      <c r="C13" t="s">
        <v>8845</v>
      </c>
      <c r="D13" t="s">
        <v>9097</v>
      </c>
    </row>
    <row r="14" spans="1:4" x14ac:dyDescent="0.25">
      <c r="A14" t="s">
        <v>8465</v>
      </c>
      <c r="B14" t="s">
        <v>9095</v>
      </c>
      <c r="C14" t="s">
        <v>8845</v>
      </c>
      <c r="D14" t="s">
        <v>9098</v>
      </c>
    </row>
    <row r="15" spans="1:4" x14ac:dyDescent="0.25">
      <c r="A15" t="s">
        <v>7904</v>
      </c>
      <c r="B15" t="s">
        <v>9099</v>
      </c>
      <c r="D15" t="s">
        <v>9100</v>
      </c>
    </row>
    <row r="16" spans="1:4" x14ac:dyDescent="0.25">
      <c r="A16" t="s">
        <v>9101</v>
      </c>
      <c r="B16" s="23" t="s">
        <v>9740</v>
      </c>
      <c r="D16" t="s">
        <v>9102</v>
      </c>
    </row>
    <row r="17" spans="1:4" x14ac:dyDescent="0.25">
      <c r="A17" t="s">
        <v>7167</v>
      </c>
      <c r="B17" t="s">
        <v>8847</v>
      </c>
      <c r="D17" t="s">
        <v>9103</v>
      </c>
    </row>
    <row r="18" spans="1:4" x14ac:dyDescent="0.25">
      <c r="A18" t="s">
        <v>7431</v>
      </c>
      <c r="B18" t="s">
        <v>9099</v>
      </c>
      <c r="D18" t="s">
        <v>9104</v>
      </c>
    </row>
    <row r="19" spans="1:4" x14ac:dyDescent="0.25">
      <c r="A19" t="s">
        <v>7493</v>
      </c>
      <c r="B19" t="s">
        <v>7493</v>
      </c>
      <c r="D19" t="s">
        <v>9105</v>
      </c>
    </row>
    <row r="20" spans="1:4" x14ac:dyDescent="0.25">
      <c r="A20" t="s">
        <v>7506</v>
      </c>
      <c r="B20" t="s">
        <v>9106</v>
      </c>
      <c r="D20" t="s">
        <v>9107</v>
      </c>
    </row>
    <row r="21" spans="1:4" x14ac:dyDescent="0.25">
      <c r="A21" t="s">
        <v>7637</v>
      </c>
      <c r="B21" t="s">
        <v>9108</v>
      </c>
      <c r="D21" t="s">
        <v>9109</v>
      </c>
    </row>
    <row r="22" spans="1:4" x14ac:dyDescent="0.25">
      <c r="A22" t="s">
        <v>7713</v>
      </c>
      <c r="B22" t="s">
        <v>9085</v>
      </c>
      <c r="D22" t="s">
        <v>9110</v>
      </c>
    </row>
    <row r="23" spans="1:4" x14ac:dyDescent="0.25">
      <c r="A23" t="s">
        <v>7716</v>
      </c>
      <c r="B23" t="s">
        <v>9085</v>
      </c>
      <c r="D23" t="s">
        <v>9111</v>
      </c>
    </row>
    <row r="24" spans="1:4" x14ac:dyDescent="0.25">
      <c r="A24" t="s">
        <v>7717</v>
      </c>
      <c r="B24" t="s">
        <v>9112</v>
      </c>
      <c r="D24" t="s">
        <v>9113</v>
      </c>
    </row>
    <row r="25" spans="1:4" x14ac:dyDescent="0.25">
      <c r="A25" t="s">
        <v>7734</v>
      </c>
      <c r="B25" t="s">
        <v>9114</v>
      </c>
      <c r="D25" t="s">
        <v>9115</v>
      </c>
    </row>
    <row r="26" spans="1:4" x14ac:dyDescent="0.25">
      <c r="A26" t="s">
        <v>9116</v>
      </c>
      <c r="B26" t="s">
        <v>9117</v>
      </c>
      <c r="D26" t="s">
        <v>9118</v>
      </c>
    </row>
    <row r="27" spans="1:4" x14ac:dyDescent="0.25">
      <c r="A27" s="23" t="s">
        <v>9742</v>
      </c>
      <c r="B27" s="29" t="s">
        <v>9742</v>
      </c>
    </row>
  </sheetData>
  <phoneticPr fontId="14"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77"/>
  <sheetViews>
    <sheetView workbookViewId="0">
      <pane xSplit="1" ySplit="3" topLeftCell="B60" activePane="bottomRight" state="frozen"/>
      <selection pane="topRight"/>
      <selection pane="bottomLeft"/>
      <selection pane="bottomRight" activeCell="C75" sqref="C75"/>
    </sheetView>
  </sheetViews>
  <sheetFormatPr defaultColWidth="9" defaultRowHeight="14.05" x14ac:dyDescent="0.25"/>
  <cols>
    <col min="1" max="1" width="15.25" customWidth="1"/>
    <col min="3" max="3" width="27.25" customWidth="1"/>
    <col min="4" max="4" width="27.83203125" customWidth="1"/>
    <col min="10" max="10" width="9" customWidth="1"/>
  </cols>
  <sheetData>
    <row r="1" spans="1:10" x14ac:dyDescent="0.25">
      <c r="I1" t="s">
        <v>6726</v>
      </c>
    </row>
    <row r="2" spans="1:10" x14ac:dyDescent="0.25">
      <c r="A2" t="s">
        <v>0</v>
      </c>
      <c r="B2" t="s">
        <v>126</v>
      </c>
      <c r="C2" t="s">
        <v>128</v>
      </c>
      <c r="D2" t="s">
        <v>9119</v>
      </c>
      <c r="E2" t="s">
        <v>149</v>
      </c>
      <c r="F2" t="s">
        <v>9120</v>
      </c>
      <c r="G2" t="s">
        <v>9121</v>
      </c>
      <c r="H2" t="s">
        <v>9122</v>
      </c>
      <c r="I2" t="s">
        <v>6828</v>
      </c>
      <c r="J2" t="s">
        <v>6839</v>
      </c>
    </row>
    <row r="3" spans="1:10" x14ac:dyDescent="0.25">
      <c r="A3" t="s">
        <v>2</v>
      </c>
      <c r="B3" t="s">
        <v>2</v>
      </c>
      <c r="C3" t="s">
        <v>2</v>
      </c>
      <c r="D3" t="s">
        <v>2</v>
      </c>
      <c r="E3" t="s">
        <v>191</v>
      </c>
      <c r="F3" t="s">
        <v>192</v>
      </c>
      <c r="G3" t="s">
        <v>192</v>
      </c>
      <c r="H3" t="s">
        <v>192</v>
      </c>
      <c r="I3" t="s">
        <v>6868</v>
      </c>
      <c r="J3" t="s">
        <v>199</v>
      </c>
    </row>
    <row r="4" spans="1:10" x14ac:dyDescent="0.25">
      <c r="A4" t="s">
        <v>9123</v>
      </c>
      <c r="B4" t="s">
        <v>9124</v>
      </c>
      <c r="C4" t="s">
        <v>9125</v>
      </c>
      <c r="E4">
        <v>10</v>
      </c>
      <c r="H4">
        <v>1</v>
      </c>
      <c r="I4" t="s">
        <v>9116</v>
      </c>
      <c r="J4" t="s">
        <v>9126</v>
      </c>
    </row>
    <row r="6" spans="1:10" x14ac:dyDescent="0.25">
      <c r="A6" t="s">
        <v>8285</v>
      </c>
      <c r="B6" t="s">
        <v>6724</v>
      </c>
      <c r="C6" t="s">
        <v>9127</v>
      </c>
      <c r="E6">
        <v>10</v>
      </c>
      <c r="F6">
        <v>2</v>
      </c>
    </row>
    <row r="7" spans="1:10" x14ac:dyDescent="0.25">
      <c r="A7" t="s">
        <v>9128</v>
      </c>
      <c r="B7" t="s">
        <v>6724</v>
      </c>
      <c r="C7" t="s">
        <v>9129</v>
      </c>
      <c r="E7">
        <v>3</v>
      </c>
      <c r="J7" t="s">
        <v>9130</v>
      </c>
    </row>
    <row r="8" spans="1:10" x14ac:dyDescent="0.25">
      <c r="A8" t="s">
        <v>8295</v>
      </c>
      <c r="B8" t="s">
        <v>6724</v>
      </c>
      <c r="C8" t="s">
        <v>9129</v>
      </c>
      <c r="E8">
        <v>10</v>
      </c>
    </row>
    <row r="9" spans="1:10" x14ac:dyDescent="0.25">
      <c r="A9" t="s">
        <v>8642</v>
      </c>
      <c r="B9" t="s">
        <v>9131</v>
      </c>
      <c r="C9" t="s">
        <v>9132</v>
      </c>
      <c r="E9">
        <v>10</v>
      </c>
    </row>
    <row r="10" spans="1:10" x14ac:dyDescent="0.25">
      <c r="A10" t="s">
        <v>9133</v>
      </c>
      <c r="B10" t="s">
        <v>9133</v>
      </c>
      <c r="C10" t="s">
        <v>9134</v>
      </c>
      <c r="J10" t="s">
        <v>9135</v>
      </c>
    </row>
    <row r="11" spans="1:10" x14ac:dyDescent="0.25">
      <c r="A11" t="s">
        <v>9136</v>
      </c>
      <c r="B11" t="s">
        <v>9136</v>
      </c>
      <c r="E11">
        <v>10</v>
      </c>
      <c r="J11" t="s">
        <v>9137</v>
      </c>
    </row>
    <row r="13" spans="1:10" x14ac:dyDescent="0.25">
      <c r="A13" t="s">
        <v>6991</v>
      </c>
      <c r="B13" t="s">
        <v>6724</v>
      </c>
      <c r="C13" t="s">
        <v>9132</v>
      </c>
      <c r="E13">
        <v>10</v>
      </c>
    </row>
    <row r="14" spans="1:10" x14ac:dyDescent="0.25">
      <c r="A14" t="s">
        <v>6998</v>
      </c>
      <c r="B14" t="s">
        <v>6724</v>
      </c>
      <c r="C14" t="s">
        <v>9138</v>
      </c>
      <c r="E14">
        <v>10</v>
      </c>
      <c r="F14">
        <v>2</v>
      </c>
    </row>
    <row r="15" spans="1:10" x14ac:dyDescent="0.25">
      <c r="A15" t="s">
        <v>9139</v>
      </c>
      <c r="B15" t="s">
        <v>6724</v>
      </c>
      <c r="C15" t="s">
        <v>9140</v>
      </c>
      <c r="E15">
        <v>10</v>
      </c>
      <c r="F15">
        <v>2</v>
      </c>
    </row>
    <row r="17" spans="1:10" x14ac:dyDescent="0.25">
      <c r="A17" t="s">
        <v>7013</v>
      </c>
      <c r="B17" t="s">
        <v>6724</v>
      </c>
      <c r="C17" t="s">
        <v>9141</v>
      </c>
      <c r="E17">
        <v>10</v>
      </c>
      <c r="F17">
        <v>2</v>
      </c>
    </row>
    <row r="18" spans="1:10" x14ac:dyDescent="0.25">
      <c r="A18" t="s">
        <v>7029</v>
      </c>
      <c r="B18" t="s">
        <v>6724</v>
      </c>
      <c r="C18" t="s">
        <v>9142</v>
      </c>
      <c r="E18">
        <v>10</v>
      </c>
      <c r="F18">
        <v>2</v>
      </c>
    </row>
    <row r="19" spans="1:10" x14ac:dyDescent="0.25">
      <c r="A19" t="s">
        <v>7036</v>
      </c>
      <c r="B19" t="s">
        <v>6724</v>
      </c>
      <c r="C19" t="s">
        <v>9143</v>
      </c>
      <c r="E19">
        <v>10</v>
      </c>
      <c r="F19">
        <v>2</v>
      </c>
    </row>
    <row r="20" spans="1:10" x14ac:dyDescent="0.25">
      <c r="A20" t="s">
        <v>7039</v>
      </c>
      <c r="B20" t="s">
        <v>6724</v>
      </c>
      <c r="C20" t="s">
        <v>9144</v>
      </c>
      <c r="E20">
        <v>10</v>
      </c>
      <c r="F20">
        <v>2</v>
      </c>
      <c r="J20" t="s">
        <v>9145</v>
      </c>
    </row>
    <row r="21" spans="1:10" x14ac:dyDescent="0.25">
      <c r="A21" t="s">
        <v>7048</v>
      </c>
      <c r="B21" t="s">
        <v>6724</v>
      </c>
      <c r="C21" t="s">
        <v>9146</v>
      </c>
      <c r="E21">
        <v>10</v>
      </c>
      <c r="F21">
        <v>2</v>
      </c>
    </row>
    <row r="22" spans="1:10" x14ac:dyDescent="0.25">
      <c r="A22" t="s">
        <v>7056</v>
      </c>
      <c r="B22" t="s">
        <v>6724</v>
      </c>
      <c r="C22" t="s">
        <v>9147</v>
      </c>
      <c r="E22">
        <v>10</v>
      </c>
      <c r="F22">
        <v>2</v>
      </c>
    </row>
    <row r="23" spans="1:10" x14ac:dyDescent="0.25">
      <c r="A23" t="s">
        <v>7065</v>
      </c>
      <c r="B23" t="s">
        <v>6724</v>
      </c>
      <c r="C23" t="s">
        <v>9148</v>
      </c>
      <c r="E23">
        <v>10</v>
      </c>
      <c r="F23">
        <v>2</v>
      </c>
      <c r="J23" t="s">
        <v>9145</v>
      </c>
    </row>
    <row r="24" spans="1:10" x14ac:dyDescent="0.25">
      <c r="A24" t="s">
        <v>7867</v>
      </c>
      <c r="B24" t="s">
        <v>6724</v>
      </c>
      <c r="C24" t="s">
        <v>9149</v>
      </c>
      <c r="E24">
        <v>10</v>
      </c>
      <c r="F24">
        <v>1</v>
      </c>
      <c r="G24">
        <v>2</v>
      </c>
      <c r="J24" t="s">
        <v>9135</v>
      </c>
    </row>
    <row r="25" spans="1:10" x14ac:dyDescent="0.25">
      <c r="A25" t="s">
        <v>6978</v>
      </c>
      <c r="B25" t="s">
        <v>6724</v>
      </c>
      <c r="C25" t="s">
        <v>9150</v>
      </c>
      <c r="E25">
        <v>6</v>
      </c>
      <c r="F25">
        <v>2</v>
      </c>
      <c r="J25" t="s">
        <v>9151</v>
      </c>
    </row>
    <row r="26" spans="1:10" x14ac:dyDescent="0.25">
      <c r="A26" t="s">
        <v>7996</v>
      </c>
      <c r="B26" t="s">
        <v>6724</v>
      </c>
      <c r="C26" t="s">
        <v>9152</v>
      </c>
      <c r="E26">
        <v>10</v>
      </c>
      <c r="F26">
        <v>2</v>
      </c>
    </row>
    <row r="27" spans="1:10" x14ac:dyDescent="0.25">
      <c r="A27" t="s">
        <v>8016</v>
      </c>
      <c r="B27" t="s">
        <v>6724</v>
      </c>
      <c r="C27" t="s">
        <v>9153</v>
      </c>
      <c r="E27">
        <v>10</v>
      </c>
      <c r="F27">
        <v>2</v>
      </c>
    </row>
    <row r="28" spans="1:10" x14ac:dyDescent="0.25">
      <c r="A28" t="s">
        <v>8032</v>
      </c>
      <c r="B28" t="s">
        <v>6724</v>
      </c>
      <c r="C28" t="s">
        <v>9154</v>
      </c>
      <c r="E28">
        <v>100</v>
      </c>
      <c r="F28">
        <v>2</v>
      </c>
    </row>
    <row r="29" spans="1:10" x14ac:dyDescent="0.25">
      <c r="A29" t="s">
        <v>8089</v>
      </c>
      <c r="B29" t="s">
        <v>6724</v>
      </c>
      <c r="C29" t="s">
        <v>9155</v>
      </c>
      <c r="E29">
        <v>10</v>
      </c>
      <c r="F29">
        <v>2</v>
      </c>
    </row>
    <row r="30" spans="1:10" x14ac:dyDescent="0.25">
      <c r="A30" t="s">
        <v>8105</v>
      </c>
      <c r="B30" t="s">
        <v>6724</v>
      </c>
      <c r="C30" t="s">
        <v>9156</v>
      </c>
      <c r="E30">
        <v>10</v>
      </c>
      <c r="F30">
        <v>2</v>
      </c>
    </row>
    <row r="31" spans="1:10" x14ac:dyDescent="0.25">
      <c r="A31" t="s">
        <v>8114</v>
      </c>
      <c r="B31" t="s">
        <v>6724</v>
      </c>
      <c r="C31" t="s">
        <v>9157</v>
      </c>
      <c r="E31">
        <v>10</v>
      </c>
      <c r="F31">
        <v>2</v>
      </c>
      <c r="J31" t="s">
        <v>9158</v>
      </c>
    </row>
    <row r="32" spans="1:10" x14ac:dyDescent="0.25">
      <c r="A32" t="s">
        <v>8117</v>
      </c>
      <c r="B32" t="s">
        <v>6724</v>
      </c>
      <c r="C32" t="s">
        <v>9159</v>
      </c>
      <c r="E32">
        <v>10</v>
      </c>
      <c r="F32">
        <v>2</v>
      </c>
    </row>
    <row r="33" spans="1:10" x14ac:dyDescent="0.25">
      <c r="A33" t="s">
        <v>8133</v>
      </c>
      <c r="B33" t="s">
        <v>6724</v>
      </c>
      <c r="C33" t="s">
        <v>9160</v>
      </c>
      <c r="E33">
        <v>10</v>
      </c>
      <c r="F33">
        <v>2</v>
      </c>
    </row>
    <row r="34" spans="1:10" x14ac:dyDescent="0.25">
      <c r="A34" t="s">
        <v>8145</v>
      </c>
      <c r="B34" t="s">
        <v>6724</v>
      </c>
      <c r="C34" s="29" t="s">
        <v>9780</v>
      </c>
      <c r="E34">
        <v>10</v>
      </c>
      <c r="F34">
        <v>2</v>
      </c>
      <c r="J34" t="s">
        <v>9145</v>
      </c>
    </row>
    <row r="35" spans="1:10" x14ac:dyDescent="0.25">
      <c r="A35" t="s">
        <v>9161</v>
      </c>
      <c r="B35" t="s">
        <v>6724</v>
      </c>
      <c r="C35" t="s">
        <v>9162</v>
      </c>
      <c r="E35">
        <v>10</v>
      </c>
      <c r="F35">
        <v>2</v>
      </c>
    </row>
    <row r="36" spans="1:10" x14ac:dyDescent="0.25">
      <c r="A36" t="s">
        <v>7088</v>
      </c>
      <c r="B36" t="s">
        <v>6724</v>
      </c>
      <c r="C36" t="s">
        <v>9163</v>
      </c>
      <c r="E36">
        <v>10</v>
      </c>
      <c r="F36">
        <v>2</v>
      </c>
    </row>
    <row r="37" spans="1:10" x14ac:dyDescent="0.25">
      <c r="A37" t="s">
        <v>7139</v>
      </c>
      <c r="B37" t="s">
        <v>6724</v>
      </c>
      <c r="C37" t="s">
        <v>9164</v>
      </c>
      <c r="E37">
        <v>10</v>
      </c>
      <c r="F37">
        <v>2</v>
      </c>
      <c r="J37" t="s">
        <v>9145</v>
      </c>
    </row>
    <row r="38" spans="1:10" x14ac:dyDescent="0.25">
      <c r="A38" t="s">
        <v>7146</v>
      </c>
      <c r="B38" t="s">
        <v>6724</v>
      </c>
      <c r="C38" t="s">
        <v>9165</v>
      </c>
      <c r="E38">
        <v>10</v>
      </c>
      <c r="F38">
        <v>2</v>
      </c>
      <c r="J38" t="s">
        <v>9145</v>
      </c>
    </row>
    <row r="39" spans="1:10" x14ac:dyDescent="0.25">
      <c r="A39" t="s">
        <v>7151</v>
      </c>
      <c r="B39" t="s">
        <v>6724</v>
      </c>
      <c r="C39" t="s">
        <v>9166</v>
      </c>
      <c r="E39">
        <v>10</v>
      </c>
      <c r="F39">
        <v>2</v>
      </c>
    </row>
    <row r="40" spans="1:10" x14ac:dyDescent="0.25">
      <c r="A40" t="s">
        <v>7162</v>
      </c>
      <c r="B40" t="s">
        <v>9136</v>
      </c>
      <c r="C40" t="s">
        <v>9166</v>
      </c>
      <c r="E40">
        <v>10</v>
      </c>
      <c r="J40" t="s">
        <v>9167</v>
      </c>
    </row>
    <row r="41" spans="1:10" x14ac:dyDescent="0.25">
      <c r="A41" t="s">
        <v>7210</v>
      </c>
      <c r="B41" t="s">
        <v>6724</v>
      </c>
      <c r="C41" t="s">
        <v>9125</v>
      </c>
      <c r="E41">
        <v>10</v>
      </c>
      <c r="F41">
        <v>2</v>
      </c>
    </row>
    <row r="42" spans="1:10" x14ac:dyDescent="0.25">
      <c r="A42" t="s">
        <v>7217</v>
      </c>
      <c r="B42" t="s">
        <v>6724</v>
      </c>
      <c r="C42" t="s">
        <v>9168</v>
      </c>
      <c r="E42">
        <v>10</v>
      </c>
      <c r="F42">
        <v>2</v>
      </c>
    </row>
    <row r="43" spans="1:10" x14ac:dyDescent="0.25">
      <c r="A43" t="s">
        <v>7290</v>
      </c>
      <c r="B43" t="s">
        <v>6724</v>
      </c>
      <c r="C43" t="s">
        <v>9169</v>
      </c>
      <c r="E43">
        <v>10</v>
      </c>
      <c r="F43">
        <v>2</v>
      </c>
      <c r="J43" t="s">
        <v>9151</v>
      </c>
    </row>
    <row r="44" spans="1:10" x14ac:dyDescent="0.25">
      <c r="A44" t="s">
        <v>7352</v>
      </c>
      <c r="B44" t="s">
        <v>6724</v>
      </c>
      <c r="C44" t="s">
        <v>9170</v>
      </c>
      <c r="E44">
        <v>10</v>
      </c>
      <c r="F44">
        <v>2</v>
      </c>
    </row>
    <row r="45" spans="1:10" x14ac:dyDescent="0.25">
      <c r="A45" t="s">
        <v>7387</v>
      </c>
      <c r="B45" t="s">
        <v>6724</v>
      </c>
      <c r="C45" t="s">
        <v>9171</v>
      </c>
      <c r="E45">
        <v>10</v>
      </c>
      <c r="F45">
        <v>2</v>
      </c>
    </row>
    <row r="46" spans="1:10" x14ac:dyDescent="0.25">
      <c r="A46" t="s">
        <v>7458</v>
      </c>
      <c r="B46" t="s">
        <v>6724</v>
      </c>
      <c r="C46" t="s">
        <v>9172</v>
      </c>
      <c r="E46">
        <v>10</v>
      </c>
      <c r="F46">
        <v>2</v>
      </c>
    </row>
    <row r="47" spans="1:10" x14ac:dyDescent="0.25">
      <c r="A47" t="s">
        <v>7479</v>
      </c>
      <c r="B47" t="s">
        <v>6724</v>
      </c>
      <c r="C47" t="s">
        <v>9173</v>
      </c>
      <c r="E47">
        <v>10</v>
      </c>
      <c r="F47">
        <v>2</v>
      </c>
      <c r="J47" t="s">
        <v>9151</v>
      </c>
    </row>
    <row r="48" spans="1:10" x14ac:dyDescent="0.25">
      <c r="A48" t="s">
        <v>7492</v>
      </c>
      <c r="B48" t="s">
        <v>6724</v>
      </c>
      <c r="C48" t="s">
        <v>9174</v>
      </c>
      <c r="E48">
        <v>10</v>
      </c>
      <c r="F48">
        <v>2</v>
      </c>
      <c r="J48" t="s">
        <v>9151</v>
      </c>
    </row>
    <row r="49" spans="1:10" x14ac:dyDescent="0.25">
      <c r="A49" t="s">
        <v>7501</v>
      </c>
      <c r="B49" t="s">
        <v>6724</v>
      </c>
      <c r="C49" t="s">
        <v>9175</v>
      </c>
      <c r="E49">
        <v>10</v>
      </c>
      <c r="F49">
        <v>2</v>
      </c>
      <c r="J49" t="s">
        <v>9151</v>
      </c>
    </row>
    <row r="50" spans="1:10" x14ac:dyDescent="0.25">
      <c r="A50" t="s">
        <v>7505</v>
      </c>
      <c r="B50" t="s">
        <v>6724</v>
      </c>
      <c r="C50" t="s">
        <v>9176</v>
      </c>
      <c r="E50">
        <v>10</v>
      </c>
      <c r="F50">
        <v>2</v>
      </c>
      <c r="J50" t="s">
        <v>9151</v>
      </c>
    </row>
    <row r="51" spans="1:10" x14ac:dyDescent="0.25">
      <c r="A51" t="s">
        <v>7512</v>
      </c>
      <c r="B51" t="s">
        <v>6724</v>
      </c>
      <c r="C51" t="s">
        <v>9177</v>
      </c>
      <c r="E51">
        <v>10</v>
      </c>
      <c r="F51">
        <v>2</v>
      </c>
      <c r="J51" t="s">
        <v>9151</v>
      </c>
    </row>
    <row r="52" spans="1:10" x14ac:dyDescent="0.25">
      <c r="A52" t="s">
        <v>7519</v>
      </c>
      <c r="B52" t="s">
        <v>6724</v>
      </c>
      <c r="C52" t="s">
        <v>9178</v>
      </c>
      <c r="E52">
        <v>10</v>
      </c>
      <c r="F52">
        <v>2</v>
      </c>
      <c r="J52" t="s">
        <v>9151</v>
      </c>
    </row>
    <row r="53" spans="1:10" x14ac:dyDescent="0.25">
      <c r="A53" t="s">
        <v>7525</v>
      </c>
      <c r="B53" t="s">
        <v>6724</v>
      </c>
      <c r="C53" t="s">
        <v>9179</v>
      </c>
      <c r="E53">
        <v>10</v>
      </c>
      <c r="F53">
        <v>2</v>
      </c>
    </row>
    <row r="54" spans="1:10" x14ac:dyDescent="0.25">
      <c r="A54" t="s">
        <v>7541</v>
      </c>
      <c r="B54" t="s">
        <v>6724</v>
      </c>
      <c r="C54" t="s">
        <v>9180</v>
      </c>
      <c r="E54">
        <v>10</v>
      </c>
      <c r="F54">
        <v>2</v>
      </c>
    </row>
    <row r="55" spans="1:10" x14ac:dyDescent="0.25">
      <c r="A55" t="s">
        <v>7553</v>
      </c>
      <c r="B55" t="s">
        <v>6724</v>
      </c>
      <c r="C55" s="29" t="s">
        <v>9781</v>
      </c>
      <c r="E55">
        <v>10</v>
      </c>
      <c r="F55">
        <v>2</v>
      </c>
    </row>
    <row r="56" spans="1:10" x14ac:dyDescent="0.25">
      <c r="A56" t="s">
        <v>7571</v>
      </c>
      <c r="B56" t="s">
        <v>9133</v>
      </c>
      <c r="C56" t="s">
        <v>9181</v>
      </c>
      <c r="H56">
        <v>1</v>
      </c>
      <c r="J56" t="s">
        <v>9182</v>
      </c>
    </row>
    <row r="57" spans="1:10" x14ac:dyDescent="0.25">
      <c r="A57" t="s">
        <v>7576</v>
      </c>
      <c r="B57" t="s">
        <v>6724</v>
      </c>
      <c r="C57" t="s">
        <v>9183</v>
      </c>
      <c r="E57">
        <v>10</v>
      </c>
      <c r="F57">
        <v>2</v>
      </c>
    </row>
    <row r="58" spans="1:10" x14ac:dyDescent="0.25">
      <c r="A58" t="s">
        <v>7614</v>
      </c>
      <c r="B58" t="s">
        <v>6724</v>
      </c>
      <c r="C58" t="s">
        <v>9184</v>
      </c>
      <c r="E58">
        <v>10</v>
      </c>
      <c r="F58">
        <v>2</v>
      </c>
      <c r="J58" t="s">
        <v>9151</v>
      </c>
    </row>
    <row r="59" spans="1:10" x14ac:dyDescent="0.25">
      <c r="A59" t="s">
        <v>9185</v>
      </c>
      <c r="B59" t="s">
        <v>6724</v>
      </c>
      <c r="C59" t="s">
        <v>9186</v>
      </c>
      <c r="E59">
        <v>10</v>
      </c>
      <c r="F59">
        <v>2</v>
      </c>
    </row>
    <row r="60" spans="1:10" x14ac:dyDescent="0.25">
      <c r="A60" t="s">
        <v>7733</v>
      </c>
      <c r="B60" t="s">
        <v>6724</v>
      </c>
      <c r="C60" t="s">
        <v>9187</v>
      </c>
      <c r="E60">
        <v>10</v>
      </c>
      <c r="F60">
        <v>2</v>
      </c>
    </row>
    <row r="61" spans="1:10" x14ac:dyDescent="0.25">
      <c r="A61" t="s">
        <v>7746</v>
      </c>
      <c r="B61" t="s">
        <v>9133</v>
      </c>
      <c r="C61" t="s">
        <v>9188</v>
      </c>
      <c r="E61">
        <v>10</v>
      </c>
      <c r="F61">
        <v>2</v>
      </c>
      <c r="J61" t="s">
        <v>9182</v>
      </c>
    </row>
    <row r="62" spans="1:10" x14ac:dyDescent="0.25">
      <c r="A62" t="s">
        <v>7751</v>
      </c>
      <c r="B62" t="s">
        <v>6724</v>
      </c>
      <c r="C62" t="s">
        <v>9189</v>
      </c>
      <c r="E62">
        <v>10</v>
      </c>
      <c r="F62">
        <v>2</v>
      </c>
    </row>
    <row r="63" spans="1:10" x14ac:dyDescent="0.25">
      <c r="A63" t="s">
        <v>7759</v>
      </c>
      <c r="B63" t="s">
        <v>9190</v>
      </c>
      <c r="C63" t="s">
        <v>9191</v>
      </c>
      <c r="D63" t="s">
        <v>9192</v>
      </c>
      <c r="E63">
        <v>10</v>
      </c>
      <c r="F63">
        <v>2</v>
      </c>
    </row>
    <row r="64" spans="1:10" x14ac:dyDescent="0.25">
      <c r="A64" t="s">
        <v>7768</v>
      </c>
      <c r="B64" t="s">
        <v>9190</v>
      </c>
      <c r="C64" t="s">
        <v>9191</v>
      </c>
      <c r="D64" t="s">
        <v>9193</v>
      </c>
      <c r="E64">
        <v>10</v>
      </c>
      <c r="F64">
        <v>2</v>
      </c>
    </row>
    <row r="65" spans="1:10" x14ac:dyDescent="0.25">
      <c r="A65" t="s">
        <v>7772</v>
      </c>
      <c r="B65" t="s">
        <v>6724</v>
      </c>
      <c r="C65" t="s">
        <v>9194</v>
      </c>
      <c r="E65">
        <v>10</v>
      </c>
      <c r="F65">
        <v>2</v>
      </c>
    </row>
    <row r="66" spans="1:10" x14ac:dyDescent="0.25">
      <c r="A66" t="s">
        <v>7259</v>
      </c>
      <c r="B66" t="s">
        <v>6724</v>
      </c>
      <c r="C66" t="s">
        <v>9195</v>
      </c>
      <c r="E66">
        <v>10</v>
      </c>
      <c r="F66">
        <v>2</v>
      </c>
    </row>
    <row r="67" spans="1:10" x14ac:dyDescent="0.25">
      <c r="A67" t="s">
        <v>7269</v>
      </c>
      <c r="B67" t="s">
        <v>9190</v>
      </c>
      <c r="C67" t="s">
        <v>9195</v>
      </c>
      <c r="D67" t="s">
        <v>9196</v>
      </c>
      <c r="E67">
        <v>10</v>
      </c>
      <c r="F67">
        <v>2</v>
      </c>
    </row>
    <row r="68" spans="1:10" x14ac:dyDescent="0.25">
      <c r="A68" t="s">
        <v>7276</v>
      </c>
      <c r="B68" t="s">
        <v>9190</v>
      </c>
      <c r="C68" t="s">
        <v>9197</v>
      </c>
      <c r="D68" t="s">
        <v>9196</v>
      </c>
      <c r="E68">
        <v>10</v>
      </c>
      <c r="F68">
        <v>2</v>
      </c>
    </row>
    <row r="69" spans="1:10" x14ac:dyDescent="0.25">
      <c r="A69" t="s">
        <v>8368</v>
      </c>
      <c r="B69" t="s">
        <v>6724</v>
      </c>
      <c r="C69" t="s">
        <v>9178</v>
      </c>
      <c r="E69">
        <v>5</v>
      </c>
      <c r="F69">
        <v>2</v>
      </c>
    </row>
    <row r="70" spans="1:10" x14ac:dyDescent="0.25">
      <c r="A70" t="s">
        <v>8318</v>
      </c>
      <c r="B70" t="s">
        <v>6724</v>
      </c>
      <c r="C70" t="s">
        <v>9178</v>
      </c>
      <c r="E70">
        <v>5</v>
      </c>
      <c r="F70">
        <v>2</v>
      </c>
      <c r="J70" t="s">
        <v>9130</v>
      </c>
    </row>
    <row r="71" spans="1:10" x14ac:dyDescent="0.25">
      <c r="A71" t="s">
        <v>8401</v>
      </c>
      <c r="B71" t="s">
        <v>6724</v>
      </c>
      <c r="C71" t="s">
        <v>9173</v>
      </c>
      <c r="E71">
        <v>10</v>
      </c>
      <c r="F71">
        <v>2</v>
      </c>
    </row>
    <row r="72" spans="1:10" x14ac:dyDescent="0.25">
      <c r="A72" t="s">
        <v>8399</v>
      </c>
      <c r="B72" t="s">
        <v>6724</v>
      </c>
      <c r="C72" t="s">
        <v>9174</v>
      </c>
      <c r="E72">
        <v>10</v>
      </c>
      <c r="F72">
        <v>2</v>
      </c>
    </row>
    <row r="73" spans="1:10" x14ac:dyDescent="0.25">
      <c r="A73" t="s">
        <v>8421</v>
      </c>
      <c r="B73" t="s">
        <v>9136</v>
      </c>
      <c r="C73" t="s">
        <v>9198</v>
      </c>
      <c r="E73">
        <v>999999</v>
      </c>
      <c r="F73">
        <v>2</v>
      </c>
      <c r="H73">
        <v>1</v>
      </c>
      <c r="J73" t="s">
        <v>9199</v>
      </c>
    </row>
    <row r="74" spans="1:10" x14ac:dyDescent="0.25">
      <c r="A74" t="s">
        <v>8366</v>
      </c>
      <c r="B74" t="s">
        <v>9200</v>
      </c>
      <c r="C74" t="s">
        <v>9191</v>
      </c>
      <c r="D74" t="s">
        <v>9193</v>
      </c>
      <c r="E74">
        <v>10</v>
      </c>
      <c r="F74">
        <v>2</v>
      </c>
      <c r="J74" t="s">
        <v>9201</v>
      </c>
    </row>
    <row r="75" spans="1:10" x14ac:dyDescent="0.25">
      <c r="A75" t="s">
        <v>8641</v>
      </c>
      <c r="B75" t="s">
        <v>9131</v>
      </c>
      <c r="C75" s="29" t="s">
        <v>11245</v>
      </c>
      <c r="E75">
        <v>2.5</v>
      </c>
    </row>
    <row r="76" spans="1:10" x14ac:dyDescent="0.25">
      <c r="A76" t="s">
        <v>8583</v>
      </c>
      <c r="B76" t="s">
        <v>9133</v>
      </c>
      <c r="C76" t="s">
        <v>9202</v>
      </c>
      <c r="E76">
        <v>10</v>
      </c>
      <c r="F76">
        <v>2</v>
      </c>
      <c r="J76" t="s">
        <v>9203</v>
      </c>
    </row>
    <row r="77" spans="1:10" x14ac:dyDescent="0.25">
      <c r="A77" t="s">
        <v>9204</v>
      </c>
      <c r="B77" t="s">
        <v>9205</v>
      </c>
      <c r="C77" t="s">
        <v>9179</v>
      </c>
      <c r="E77">
        <v>5</v>
      </c>
      <c r="F77">
        <v>2</v>
      </c>
    </row>
  </sheetData>
  <autoFilter ref="B1:B77" xr:uid="{00000000-0001-0000-0500-000000000000}"/>
  <phoneticPr fontId="14"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A6A413-51A6-4F4A-9F91-DFC806120237}">
  <dimension ref="A1:M1098"/>
  <sheetViews>
    <sheetView zoomScaleNormal="100" workbookViewId="0">
      <pane xSplit="1" ySplit="3" topLeftCell="B263" activePane="bottomRight" state="frozen"/>
      <selection pane="topRight"/>
      <selection pane="bottomLeft"/>
      <selection pane="bottomRight" activeCell="A265" sqref="A265:XFD266"/>
    </sheetView>
  </sheetViews>
  <sheetFormatPr defaultColWidth="9" defaultRowHeight="14.05" x14ac:dyDescent="0.25"/>
  <cols>
    <col min="1" max="1" width="23.58203125" customWidth="1"/>
    <col min="2" max="2" width="29.25" customWidth="1"/>
    <col min="3" max="4" width="10.08203125" customWidth="1"/>
    <col min="5" max="6" width="11.25" customWidth="1"/>
    <col min="7" max="7" width="13.6640625" customWidth="1"/>
    <col min="8" max="9" width="11.25" customWidth="1"/>
    <col min="10" max="10" width="17.58203125" customWidth="1"/>
    <col min="11" max="11" width="11" customWidth="1"/>
  </cols>
  <sheetData>
    <row r="1" spans="1:13" x14ac:dyDescent="0.25">
      <c r="A1" t="s">
        <v>0</v>
      </c>
      <c r="B1" t="s">
        <v>9206</v>
      </c>
      <c r="C1" t="s">
        <v>9207</v>
      </c>
      <c r="D1" t="s">
        <v>9208</v>
      </c>
      <c r="E1" t="s">
        <v>9209</v>
      </c>
      <c r="F1" t="s">
        <v>9210</v>
      </c>
      <c r="H1" t="s">
        <v>9211</v>
      </c>
      <c r="I1" t="s">
        <v>9212</v>
      </c>
      <c r="J1" t="s">
        <v>9213</v>
      </c>
      <c r="K1" t="s">
        <v>9214</v>
      </c>
      <c r="L1" t="s">
        <v>9215</v>
      </c>
      <c r="M1" s="29" t="s">
        <v>11216</v>
      </c>
    </row>
    <row r="2" spans="1:13" x14ac:dyDescent="0.25">
      <c r="A2" t="s">
        <v>0</v>
      </c>
      <c r="B2" t="s">
        <v>9216</v>
      </c>
      <c r="C2" t="s">
        <v>9217</v>
      </c>
      <c r="D2" t="s">
        <v>9218</v>
      </c>
      <c r="E2" t="s">
        <v>9219</v>
      </c>
      <c r="F2" t="s">
        <v>9220</v>
      </c>
      <c r="G2" t="s">
        <v>9221</v>
      </c>
      <c r="H2" t="s">
        <v>9222</v>
      </c>
      <c r="I2" t="s">
        <v>9223</v>
      </c>
      <c r="J2" t="s">
        <v>9224</v>
      </c>
      <c r="K2" t="s">
        <v>9120</v>
      </c>
      <c r="L2" t="s">
        <v>171</v>
      </c>
      <c r="M2" s="29" t="s">
        <v>11215</v>
      </c>
    </row>
    <row r="3" spans="1:13" x14ac:dyDescent="0.25">
      <c r="A3" t="s">
        <v>2</v>
      </c>
      <c r="B3" t="s">
        <v>2</v>
      </c>
      <c r="C3" t="s">
        <v>192</v>
      </c>
      <c r="D3" t="s">
        <v>11214</v>
      </c>
      <c r="E3" t="s">
        <v>2</v>
      </c>
      <c r="F3" t="s">
        <v>190</v>
      </c>
      <c r="G3" t="s">
        <v>190</v>
      </c>
      <c r="H3" t="s">
        <v>192</v>
      </c>
      <c r="I3" t="s">
        <v>192</v>
      </c>
      <c r="J3" t="s">
        <v>192</v>
      </c>
      <c r="K3" t="s">
        <v>191</v>
      </c>
      <c r="L3" t="s">
        <v>191</v>
      </c>
      <c r="M3" s="29" t="s">
        <v>9790</v>
      </c>
    </row>
    <row r="4" spans="1:13" x14ac:dyDescent="0.25">
      <c r="M4" s="29"/>
    </row>
    <row r="5" spans="1:13" x14ac:dyDescent="0.25">
      <c r="A5" t="s">
        <v>8286</v>
      </c>
      <c r="B5" t="s">
        <v>8286</v>
      </c>
      <c r="L5">
        <v>5</v>
      </c>
    </row>
    <row r="6" spans="1:13" x14ac:dyDescent="0.25">
      <c r="A6" t="s">
        <v>8287</v>
      </c>
      <c r="B6" t="s">
        <v>8287</v>
      </c>
      <c r="L6">
        <v>5</v>
      </c>
    </row>
    <row r="7" spans="1:13" x14ac:dyDescent="0.25">
      <c r="A7" t="s">
        <v>9225</v>
      </c>
      <c r="B7" t="s">
        <v>9225</v>
      </c>
      <c r="L7">
        <v>5</v>
      </c>
    </row>
    <row r="8" spans="1:13" x14ac:dyDescent="0.25">
      <c r="A8" t="s">
        <v>7624</v>
      </c>
      <c r="B8" t="s">
        <v>9253</v>
      </c>
      <c r="H8">
        <v>3</v>
      </c>
      <c r="K8">
        <v>60</v>
      </c>
    </row>
    <row r="9" spans="1:13" x14ac:dyDescent="0.25">
      <c r="A9" t="s">
        <v>11213</v>
      </c>
      <c r="B9" t="s">
        <v>9255</v>
      </c>
      <c r="D9" t="s">
        <v>11212</v>
      </c>
      <c r="H9">
        <v>3</v>
      </c>
      <c r="K9">
        <v>60</v>
      </c>
    </row>
    <row r="10" spans="1:13" x14ac:dyDescent="0.25">
      <c r="A10" s="29"/>
      <c r="B10" s="29"/>
      <c r="D10" s="29"/>
    </row>
    <row r="11" spans="1:13" x14ac:dyDescent="0.25">
      <c r="A11" s="29" t="s">
        <v>11211</v>
      </c>
      <c r="B11" s="29" t="s">
        <v>11210</v>
      </c>
      <c r="D11" s="29"/>
      <c r="H11">
        <v>5</v>
      </c>
      <c r="L11">
        <v>5</v>
      </c>
    </row>
    <row r="12" spans="1:13" x14ac:dyDescent="0.25">
      <c r="A12" s="29" t="s">
        <v>11209</v>
      </c>
      <c r="B12" s="29" t="s">
        <v>11208</v>
      </c>
      <c r="D12" s="29"/>
      <c r="H12">
        <v>5</v>
      </c>
      <c r="L12">
        <v>5</v>
      </c>
    </row>
    <row r="13" spans="1:13" x14ac:dyDescent="0.25">
      <c r="A13" s="29" t="s">
        <v>11207</v>
      </c>
      <c r="B13" s="29" t="s">
        <v>11206</v>
      </c>
      <c r="D13" s="29"/>
      <c r="H13">
        <v>5</v>
      </c>
      <c r="L13">
        <v>1.5</v>
      </c>
    </row>
    <row r="14" spans="1:13" x14ac:dyDescent="0.25">
      <c r="A14" s="29" t="s">
        <v>11205</v>
      </c>
      <c r="B14" s="29" t="s">
        <v>11204</v>
      </c>
      <c r="D14" s="29"/>
      <c r="H14">
        <v>5</v>
      </c>
      <c r="L14">
        <v>1.5</v>
      </c>
    </row>
    <row r="15" spans="1:13" x14ac:dyDescent="0.25">
      <c r="A15" s="29" t="s">
        <v>11203</v>
      </c>
      <c r="B15" s="29" t="s">
        <v>11202</v>
      </c>
      <c r="D15" s="29"/>
      <c r="H15">
        <v>5</v>
      </c>
      <c r="L15">
        <v>1.5</v>
      </c>
    </row>
    <row r="16" spans="1:13" x14ac:dyDescent="0.25">
      <c r="A16" s="29" t="s">
        <v>11201</v>
      </c>
      <c r="B16" s="29" t="s">
        <v>11200</v>
      </c>
      <c r="D16" s="29"/>
      <c r="H16">
        <v>5</v>
      </c>
      <c r="L16">
        <v>1.5</v>
      </c>
    </row>
    <row r="17" spans="1:12" x14ac:dyDescent="0.25">
      <c r="A17" s="29" t="s">
        <v>11199</v>
      </c>
      <c r="B17" s="29" t="s">
        <v>11198</v>
      </c>
      <c r="D17" s="29"/>
      <c r="H17">
        <v>5</v>
      </c>
    </row>
    <row r="18" spans="1:12" x14ac:dyDescent="0.25">
      <c r="A18" s="29" t="s">
        <v>11197</v>
      </c>
      <c r="B18" s="29" t="s">
        <v>11196</v>
      </c>
      <c r="D18" s="29"/>
      <c r="H18">
        <v>5</v>
      </c>
    </row>
    <row r="19" spans="1:12" x14ac:dyDescent="0.25">
      <c r="A19" s="29" t="s">
        <v>11195</v>
      </c>
      <c r="B19" s="29" t="s">
        <v>11194</v>
      </c>
      <c r="H19">
        <v>3</v>
      </c>
      <c r="K19">
        <v>60</v>
      </c>
      <c r="L19">
        <v>5</v>
      </c>
    </row>
    <row r="20" spans="1:12" x14ac:dyDescent="0.25">
      <c r="A20" s="29" t="s">
        <v>11193</v>
      </c>
      <c r="B20" s="29" t="s">
        <v>11191</v>
      </c>
      <c r="H20">
        <v>3</v>
      </c>
      <c r="K20">
        <v>60</v>
      </c>
      <c r="L20">
        <v>5</v>
      </c>
    </row>
    <row r="21" spans="1:12" x14ac:dyDescent="0.25">
      <c r="A21" s="29" t="s">
        <v>11192</v>
      </c>
      <c r="B21" s="29" t="s">
        <v>11191</v>
      </c>
      <c r="D21" s="29" t="s">
        <v>11190</v>
      </c>
      <c r="H21">
        <v>3</v>
      </c>
      <c r="K21">
        <v>60</v>
      </c>
      <c r="L21">
        <v>5</v>
      </c>
    </row>
    <row r="22" spans="1:12" x14ac:dyDescent="0.25">
      <c r="A22" s="29" t="s">
        <v>11189</v>
      </c>
      <c r="B22" s="29" t="s">
        <v>11188</v>
      </c>
      <c r="D22" s="29" t="s">
        <v>11187</v>
      </c>
      <c r="H22">
        <v>5</v>
      </c>
      <c r="K22">
        <v>60</v>
      </c>
    </row>
    <row r="23" spans="1:12" x14ac:dyDescent="0.25">
      <c r="A23" s="29"/>
      <c r="B23" s="29"/>
      <c r="D23" s="29"/>
    </row>
    <row r="24" spans="1:12" x14ac:dyDescent="0.25">
      <c r="A24" s="29"/>
      <c r="B24" s="29"/>
      <c r="D24" s="29"/>
    </row>
    <row r="25" spans="1:12" x14ac:dyDescent="0.25">
      <c r="A25" s="29"/>
      <c r="B25" s="29"/>
      <c r="D25" s="29"/>
    </row>
    <row r="26" spans="1:12" x14ac:dyDescent="0.25">
      <c r="A26" s="29"/>
      <c r="B26" s="29"/>
      <c r="D26" s="29"/>
    </row>
    <row r="28" spans="1:12" x14ac:dyDescent="0.25">
      <c r="A28" s="29"/>
      <c r="B28" s="29"/>
    </row>
    <row r="29" spans="1:12" x14ac:dyDescent="0.25">
      <c r="A29" t="s">
        <v>6878</v>
      </c>
      <c r="B29" t="s">
        <v>9226</v>
      </c>
      <c r="D29" t="s">
        <v>11186</v>
      </c>
      <c r="H29">
        <v>3</v>
      </c>
      <c r="K29">
        <v>60</v>
      </c>
    </row>
    <row r="30" spans="1:12" x14ac:dyDescent="0.25">
      <c r="A30" s="29" t="s">
        <v>11185</v>
      </c>
      <c r="B30" t="s">
        <v>11184</v>
      </c>
      <c r="D30" s="29" t="s">
        <v>11183</v>
      </c>
      <c r="H30">
        <v>3</v>
      </c>
      <c r="K30">
        <v>60</v>
      </c>
    </row>
    <row r="31" spans="1:12" x14ac:dyDescent="0.25">
      <c r="A31" s="29"/>
      <c r="B31" s="29"/>
    </row>
    <row r="32" spans="1:12" x14ac:dyDescent="0.25">
      <c r="A32" t="s">
        <v>8329</v>
      </c>
      <c r="B32" t="s">
        <v>8329</v>
      </c>
      <c r="D32" t="s">
        <v>11182</v>
      </c>
      <c r="L32">
        <v>9999</v>
      </c>
    </row>
    <row r="34" spans="1:12" x14ac:dyDescent="0.25">
      <c r="A34" t="s">
        <v>8461</v>
      </c>
      <c r="B34" t="s">
        <v>8461</v>
      </c>
      <c r="E34" t="s">
        <v>8321</v>
      </c>
      <c r="L34">
        <v>5</v>
      </c>
    </row>
    <row r="36" spans="1:12" x14ac:dyDescent="0.25">
      <c r="A36" s="29"/>
      <c r="B36" s="29"/>
    </row>
    <row r="37" spans="1:12" x14ac:dyDescent="0.25">
      <c r="A37" s="29"/>
      <c r="B37" s="29"/>
    </row>
    <row r="38" spans="1:12" x14ac:dyDescent="0.25">
      <c r="A38" s="29"/>
      <c r="B38" s="29"/>
    </row>
    <row r="39" spans="1:12" x14ac:dyDescent="0.25">
      <c r="A39" s="29"/>
      <c r="B39" s="29"/>
    </row>
    <row r="40" spans="1:12" x14ac:dyDescent="0.25">
      <c r="A40" s="29"/>
      <c r="B40" s="29"/>
    </row>
    <row r="41" spans="1:12" x14ac:dyDescent="0.25">
      <c r="A41" s="29"/>
      <c r="B41" s="29"/>
    </row>
    <row r="42" spans="1:12" x14ac:dyDescent="0.25">
      <c r="A42" s="29"/>
      <c r="B42" s="29"/>
    </row>
    <row r="43" spans="1:12" x14ac:dyDescent="0.25">
      <c r="A43" t="s">
        <v>9227</v>
      </c>
      <c r="B43" t="s">
        <v>9228</v>
      </c>
      <c r="H43">
        <v>3</v>
      </c>
      <c r="K43">
        <v>60</v>
      </c>
      <c r="L43">
        <v>5</v>
      </c>
    </row>
    <row r="44" spans="1:12" x14ac:dyDescent="0.25">
      <c r="A44" s="29" t="s">
        <v>11181</v>
      </c>
      <c r="B44" s="29" t="s">
        <v>11180</v>
      </c>
      <c r="H44">
        <v>3</v>
      </c>
      <c r="L44">
        <v>5</v>
      </c>
    </row>
    <row r="45" spans="1:12" x14ac:dyDescent="0.25">
      <c r="A45" s="29" t="s">
        <v>11179</v>
      </c>
      <c r="B45" s="29" t="s">
        <v>11178</v>
      </c>
      <c r="H45">
        <v>3</v>
      </c>
      <c r="L45">
        <v>5</v>
      </c>
    </row>
    <row r="46" spans="1:12" x14ac:dyDescent="0.25">
      <c r="A46" s="29" t="s">
        <v>11177</v>
      </c>
      <c r="B46" t="s">
        <v>11176</v>
      </c>
      <c r="H46">
        <v>3</v>
      </c>
      <c r="L46">
        <v>5</v>
      </c>
    </row>
    <row r="47" spans="1:12" x14ac:dyDescent="0.25">
      <c r="A47" s="29"/>
      <c r="B47" s="29"/>
    </row>
    <row r="48" spans="1:12" x14ac:dyDescent="0.25">
      <c r="A48" s="29"/>
      <c r="B48" s="29"/>
    </row>
    <row r="49" spans="1:12" x14ac:dyDescent="0.25">
      <c r="A49" s="29"/>
      <c r="B49" s="29"/>
    </row>
    <row r="50" spans="1:12" x14ac:dyDescent="0.25">
      <c r="A50" s="29" t="s">
        <v>11175</v>
      </c>
      <c r="B50" s="29" t="s">
        <v>11174</v>
      </c>
      <c r="H50">
        <v>3</v>
      </c>
      <c r="L50">
        <v>5</v>
      </c>
    </row>
    <row r="51" spans="1:12" x14ac:dyDescent="0.25">
      <c r="A51" s="29" t="s">
        <v>11173</v>
      </c>
      <c r="B51" s="29" t="s">
        <v>11172</v>
      </c>
      <c r="H51">
        <v>3</v>
      </c>
      <c r="K51">
        <v>60</v>
      </c>
      <c r="L51">
        <v>5</v>
      </c>
    </row>
    <row r="52" spans="1:12" x14ac:dyDescent="0.25">
      <c r="A52" s="29" t="s">
        <v>11171</v>
      </c>
      <c r="B52" s="29" t="s">
        <v>11170</v>
      </c>
      <c r="H52">
        <v>3</v>
      </c>
      <c r="L52">
        <v>5</v>
      </c>
    </row>
    <row r="53" spans="1:12" x14ac:dyDescent="0.25">
      <c r="A53" s="29" t="s">
        <v>11169</v>
      </c>
      <c r="B53" s="29" t="s">
        <v>11168</v>
      </c>
      <c r="H53">
        <v>3</v>
      </c>
      <c r="L53">
        <v>5</v>
      </c>
    </row>
    <row r="54" spans="1:12" x14ac:dyDescent="0.25">
      <c r="A54" s="29" t="s">
        <v>11167</v>
      </c>
      <c r="B54" s="29" t="s">
        <v>11166</v>
      </c>
      <c r="D54" s="29" t="s">
        <v>11165</v>
      </c>
      <c r="H54">
        <v>3</v>
      </c>
      <c r="L54">
        <v>5</v>
      </c>
    </row>
    <row r="55" spans="1:12" x14ac:dyDescent="0.25">
      <c r="A55" s="29" t="s">
        <v>11164</v>
      </c>
      <c r="B55" s="29" t="s">
        <v>11163</v>
      </c>
      <c r="D55" s="29" t="s">
        <v>9867</v>
      </c>
      <c r="J55">
        <v>2</v>
      </c>
      <c r="K55">
        <v>60</v>
      </c>
      <c r="L55">
        <v>10</v>
      </c>
    </row>
    <row r="56" spans="1:12" x14ac:dyDescent="0.25">
      <c r="A56" s="29" t="s">
        <v>11162</v>
      </c>
      <c r="B56" s="29" t="s">
        <v>11161</v>
      </c>
      <c r="D56" s="29"/>
      <c r="H56">
        <v>3</v>
      </c>
      <c r="K56">
        <v>60</v>
      </c>
      <c r="L56">
        <v>5</v>
      </c>
    </row>
    <row r="57" spans="1:12" x14ac:dyDescent="0.25">
      <c r="A57" s="29" t="s">
        <v>11160</v>
      </c>
      <c r="B57" s="29" t="s">
        <v>11159</v>
      </c>
      <c r="D57" s="29"/>
      <c r="H57">
        <v>3</v>
      </c>
      <c r="K57">
        <v>60</v>
      </c>
      <c r="L57">
        <v>5</v>
      </c>
    </row>
    <row r="58" spans="1:12" x14ac:dyDescent="0.25">
      <c r="A58" s="29" t="s">
        <v>11158</v>
      </c>
      <c r="B58" t="s">
        <v>11157</v>
      </c>
      <c r="H58">
        <v>3</v>
      </c>
      <c r="K58">
        <v>60</v>
      </c>
      <c r="L58">
        <v>5</v>
      </c>
    </row>
    <row r="60" spans="1:12" x14ac:dyDescent="0.25">
      <c r="A60" s="29" t="s">
        <v>11156</v>
      </c>
      <c r="B60" s="29" t="s">
        <v>11155</v>
      </c>
      <c r="H60">
        <v>3</v>
      </c>
      <c r="L60">
        <v>5</v>
      </c>
    </row>
    <row r="61" spans="1:12" x14ac:dyDescent="0.25">
      <c r="A61" s="29" t="s">
        <v>11154</v>
      </c>
      <c r="B61" s="29" t="s">
        <v>11153</v>
      </c>
      <c r="H61">
        <v>3</v>
      </c>
      <c r="L61">
        <v>5</v>
      </c>
    </row>
    <row r="62" spans="1:12" x14ac:dyDescent="0.25">
      <c r="A62" s="29" t="s">
        <v>11152</v>
      </c>
      <c r="B62" s="29" t="s">
        <v>11151</v>
      </c>
      <c r="H62">
        <v>3</v>
      </c>
      <c r="L62">
        <v>5</v>
      </c>
    </row>
    <row r="63" spans="1:12" x14ac:dyDescent="0.25">
      <c r="A63" s="29" t="s">
        <v>11150</v>
      </c>
      <c r="B63" s="29" t="s">
        <v>11149</v>
      </c>
      <c r="H63">
        <v>3</v>
      </c>
      <c r="L63">
        <v>5</v>
      </c>
    </row>
    <row r="64" spans="1:12" x14ac:dyDescent="0.25">
      <c r="A64" s="29" t="s">
        <v>11148</v>
      </c>
      <c r="B64" s="29" t="s">
        <v>9805</v>
      </c>
      <c r="H64">
        <v>3</v>
      </c>
      <c r="L64">
        <v>5</v>
      </c>
    </row>
    <row r="65" spans="1:13" x14ac:dyDescent="0.25">
      <c r="A65" s="29" t="s">
        <v>11147</v>
      </c>
      <c r="B65" s="29" t="s">
        <v>11146</v>
      </c>
      <c r="H65">
        <v>3</v>
      </c>
      <c r="L65">
        <v>5</v>
      </c>
    </row>
    <row r="66" spans="1:13" x14ac:dyDescent="0.25">
      <c r="A66" t="s">
        <v>9229</v>
      </c>
      <c r="B66" t="s">
        <v>9230</v>
      </c>
    </row>
    <row r="67" spans="1:13" x14ac:dyDescent="0.25">
      <c r="A67" t="s">
        <v>9231</v>
      </c>
      <c r="B67" t="s">
        <v>9232</v>
      </c>
    </row>
    <row r="68" spans="1:13" x14ac:dyDescent="0.25">
      <c r="A68" t="s">
        <v>6889</v>
      </c>
      <c r="B68" t="s">
        <v>9233</v>
      </c>
      <c r="K68">
        <v>60</v>
      </c>
      <c r="L68">
        <v>5</v>
      </c>
    </row>
    <row r="69" spans="1:13" x14ac:dyDescent="0.25">
      <c r="A69" t="s">
        <v>7987</v>
      </c>
      <c r="B69" t="s">
        <v>9234</v>
      </c>
      <c r="K69">
        <v>60</v>
      </c>
      <c r="L69">
        <v>5</v>
      </c>
    </row>
    <row r="70" spans="1:13" x14ac:dyDescent="0.25">
      <c r="A70" s="29" t="s">
        <v>11145</v>
      </c>
      <c r="B70" s="29" t="s">
        <v>11144</v>
      </c>
      <c r="H70">
        <v>3</v>
      </c>
      <c r="J70">
        <v>2</v>
      </c>
      <c r="L70">
        <v>99999</v>
      </c>
      <c r="M70">
        <v>1</v>
      </c>
    </row>
    <row r="71" spans="1:13" x14ac:dyDescent="0.25">
      <c r="A71" s="29" t="s">
        <v>11143</v>
      </c>
      <c r="B71" t="s">
        <v>9235</v>
      </c>
      <c r="D71" t="s">
        <v>9236</v>
      </c>
      <c r="L71">
        <v>5</v>
      </c>
    </row>
    <row r="72" spans="1:13" x14ac:dyDescent="0.25">
      <c r="A72" t="s">
        <v>9237</v>
      </c>
      <c r="B72" t="s">
        <v>9235</v>
      </c>
      <c r="L72">
        <v>5</v>
      </c>
    </row>
    <row r="73" spans="1:13" x14ac:dyDescent="0.25">
      <c r="A73" t="s">
        <v>9238</v>
      </c>
      <c r="B73" t="s">
        <v>9239</v>
      </c>
      <c r="E73" t="s">
        <v>206</v>
      </c>
      <c r="L73">
        <v>5</v>
      </c>
    </row>
    <row r="74" spans="1:13" x14ac:dyDescent="0.25">
      <c r="A74" t="s">
        <v>7019</v>
      </c>
      <c r="B74" t="s">
        <v>9240</v>
      </c>
      <c r="D74" t="s">
        <v>9241</v>
      </c>
    </row>
    <row r="75" spans="1:13" x14ac:dyDescent="0.25">
      <c r="A75" t="s">
        <v>9242</v>
      </c>
      <c r="B75" t="s">
        <v>9243</v>
      </c>
      <c r="K75">
        <v>60</v>
      </c>
      <c r="L75">
        <v>5</v>
      </c>
    </row>
    <row r="76" spans="1:13" x14ac:dyDescent="0.25">
      <c r="A76" t="s">
        <v>9244</v>
      </c>
      <c r="B76" t="s">
        <v>9245</v>
      </c>
      <c r="J76">
        <v>2</v>
      </c>
      <c r="K76">
        <v>90</v>
      </c>
      <c r="L76">
        <v>5</v>
      </c>
    </row>
    <row r="77" spans="1:13" x14ac:dyDescent="0.25">
      <c r="A77" t="s">
        <v>9246</v>
      </c>
      <c r="B77" t="s">
        <v>9247</v>
      </c>
      <c r="L77">
        <v>5</v>
      </c>
    </row>
    <row r="78" spans="1:13" x14ac:dyDescent="0.25">
      <c r="A78" s="29" t="s">
        <v>11142</v>
      </c>
      <c r="B78" t="s">
        <v>9248</v>
      </c>
      <c r="L78">
        <v>5</v>
      </c>
    </row>
    <row r="79" spans="1:13" x14ac:dyDescent="0.25">
      <c r="A79" t="s">
        <v>8868</v>
      </c>
      <c r="B79" t="s">
        <v>9249</v>
      </c>
      <c r="H79">
        <v>3</v>
      </c>
      <c r="K79">
        <v>60</v>
      </c>
    </row>
    <row r="80" spans="1:13" x14ac:dyDescent="0.25">
      <c r="A80" s="29" t="s">
        <v>11141</v>
      </c>
      <c r="B80" t="s">
        <v>11140</v>
      </c>
      <c r="H80">
        <v>3</v>
      </c>
      <c r="K80">
        <v>60</v>
      </c>
    </row>
    <row r="81" spans="1:12" x14ac:dyDescent="0.25">
      <c r="A81" t="s">
        <v>11139</v>
      </c>
      <c r="B81" t="s">
        <v>11138</v>
      </c>
      <c r="H81">
        <v>3</v>
      </c>
      <c r="K81">
        <v>60</v>
      </c>
    </row>
    <row r="82" spans="1:12" x14ac:dyDescent="0.25">
      <c r="A82" s="29" t="s">
        <v>11137</v>
      </c>
      <c r="B82" s="29" t="s">
        <v>11136</v>
      </c>
      <c r="H82">
        <v>3</v>
      </c>
      <c r="L82">
        <v>5</v>
      </c>
    </row>
    <row r="83" spans="1:12" x14ac:dyDescent="0.25">
      <c r="A83" s="29" t="s">
        <v>11135</v>
      </c>
      <c r="B83" s="29" t="s">
        <v>11134</v>
      </c>
      <c r="H83">
        <v>3</v>
      </c>
      <c r="L83">
        <v>5</v>
      </c>
    </row>
    <row r="84" spans="1:12" x14ac:dyDescent="0.25">
      <c r="A84" t="s">
        <v>8885</v>
      </c>
      <c r="B84" t="s">
        <v>9250</v>
      </c>
      <c r="H84">
        <v>3</v>
      </c>
      <c r="K84">
        <v>60</v>
      </c>
    </row>
    <row r="85" spans="1:12" x14ac:dyDescent="0.25">
      <c r="A85" t="s">
        <v>11133</v>
      </c>
      <c r="B85" t="s">
        <v>9250</v>
      </c>
      <c r="F85">
        <v>1</v>
      </c>
      <c r="H85">
        <v>1</v>
      </c>
      <c r="I85">
        <v>1</v>
      </c>
      <c r="K85">
        <v>60</v>
      </c>
    </row>
    <row r="86" spans="1:12" x14ac:dyDescent="0.25">
      <c r="A86" t="s">
        <v>8882</v>
      </c>
      <c r="B86" t="s">
        <v>9251</v>
      </c>
      <c r="H86">
        <v>3</v>
      </c>
      <c r="K86">
        <v>60</v>
      </c>
    </row>
    <row r="87" spans="1:12" x14ac:dyDescent="0.25">
      <c r="A87" t="s">
        <v>9252</v>
      </c>
      <c r="B87" t="s">
        <v>9253</v>
      </c>
      <c r="L87">
        <v>5</v>
      </c>
    </row>
    <row r="88" spans="1:12" x14ac:dyDescent="0.25">
      <c r="A88" t="s">
        <v>9254</v>
      </c>
      <c r="B88" t="s">
        <v>9255</v>
      </c>
    </row>
    <row r="89" spans="1:12" x14ac:dyDescent="0.25">
      <c r="A89" t="s">
        <v>6999</v>
      </c>
      <c r="B89" t="s">
        <v>9256</v>
      </c>
    </row>
    <row r="90" spans="1:12" x14ac:dyDescent="0.25">
      <c r="A90" t="s">
        <v>9257</v>
      </c>
      <c r="B90" t="s">
        <v>9258</v>
      </c>
    </row>
    <row r="91" spans="1:12" x14ac:dyDescent="0.25">
      <c r="A91" t="s">
        <v>11132</v>
      </c>
      <c r="B91" t="s">
        <v>11131</v>
      </c>
    </row>
    <row r="92" spans="1:12" x14ac:dyDescent="0.25">
      <c r="A92" t="s">
        <v>9259</v>
      </c>
      <c r="B92" t="s">
        <v>9260</v>
      </c>
    </row>
    <row r="93" spans="1:12" x14ac:dyDescent="0.25">
      <c r="A93" t="s">
        <v>7101</v>
      </c>
      <c r="B93" t="s">
        <v>9261</v>
      </c>
      <c r="D93" t="s">
        <v>9236</v>
      </c>
      <c r="H93">
        <v>3</v>
      </c>
      <c r="K93">
        <v>60</v>
      </c>
    </row>
    <row r="94" spans="1:12" x14ac:dyDescent="0.25">
      <c r="A94" s="29" t="s">
        <v>11130</v>
      </c>
      <c r="B94" t="s">
        <v>9262</v>
      </c>
      <c r="D94" t="s">
        <v>9241</v>
      </c>
      <c r="H94">
        <v>3</v>
      </c>
      <c r="I94">
        <v>0</v>
      </c>
      <c r="K94">
        <v>60</v>
      </c>
    </row>
    <row r="95" spans="1:12" x14ac:dyDescent="0.25">
      <c r="A95" t="s">
        <v>11129</v>
      </c>
      <c r="B95" t="s">
        <v>11128</v>
      </c>
    </row>
    <row r="96" spans="1:12" x14ac:dyDescent="0.25">
      <c r="A96" t="s">
        <v>11127</v>
      </c>
      <c r="B96" t="s">
        <v>11126</v>
      </c>
    </row>
    <row r="97" spans="1:12" x14ac:dyDescent="0.25">
      <c r="A97" t="s">
        <v>11125</v>
      </c>
      <c r="B97" t="s">
        <v>9138</v>
      </c>
    </row>
    <row r="98" spans="1:12" x14ac:dyDescent="0.25">
      <c r="A98" t="s">
        <v>11124</v>
      </c>
      <c r="B98" t="s">
        <v>9140</v>
      </c>
    </row>
    <row r="100" spans="1:12" x14ac:dyDescent="0.25">
      <c r="A100" t="s">
        <v>8852</v>
      </c>
      <c r="B100" t="s">
        <v>9263</v>
      </c>
      <c r="H100">
        <v>3</v>
      </c>
      <c r="K100">
        <v>60</v>
      </c>
    </row>
    <row r="101" spans="1:12" x14ac:dyDescent="0.25">
      <c r="A101" t="s">
        <v>8995</v>
      </c>
      <c r="B101" t="s">
        <v>9264</v>
      </c>
      <c r="H101">
        <v>3</v>
      </c>
      <c r="I101">
        <v>0</v>
      </c>
      <c r="K101">
        <v>60</v>
      </c>
    </row>
    <row r="102" spans="1:12" x14ac:dyDescent="0.25">
      <c r="A102" t="s">
        <v>8322</v>
      </c>
      <c r="B102" t="s">
        <v>9265</v>
      </c>
      <c r="D102" t="s">
        <v>9241</v>
      </c>
      <c r="H102">
        <v>3</v>
      </c>
      <c r="I102">
        <v>0</v>
      </c>
      <c r="K102">
        <v>60</v>
      </c>
    </row>
    <row r="103" spans="1:12" x14ac:dyDescent="0.25">
      <c r="A103" t="s">
        <v>9266</v>
      </c>
      <c r="B103" t="s">
        <v>9267</v>
      </c>
      <c r="H103">
        <v>3</v>
      </c>
      <c r="I103">
        <v>0</v>
      </c>
      <c r="K103">
        <v>60</v>
      </c>
    </row>
    <row r="104" spans="1:12" x14ac:dyDescent="0.25">
      <c r="A104" s="29" t="s">
        <v>11123</v>
      </c>
      <c r="B104" t="s">
        <v>9268</v>
      </c>
      <c r="H104">
        <v>3</v>
      </c>
      <c r="K104">
        <v>60</v>
      </c>
    </row>
    <row r="105" spans="1:12" x14ac:dyDescent="0.25">
      <c r="A105" t="s">
        <v>9033</v>
      </c>
      <c r="B105" t="s">
        <v>9269</v>
      </c>
      <c r="D105" s="2" t="s">
        <v>9270</v>
      </c>
      <c r="H105">
        <v>3</v>
      </c>
      <c r="I105">
        <v>0</v>
      </c>
      <c r="K105">
        <v>90</v>
      </c>
    </row>
    <row r="106" spans="1:12" x14ac:dyDescent="0.25">
      <c r="A106" s="29" t="s">
        <v>11122</v>
      </c>
      <c r="B106" t="s">
        <v>10290</v>
      </c>
      <c r="H106">
        <v>3</v>
      </c>
    </row>
    <row r="107" spans="1:12" x14ac:dyDescent="0.25">
      <c r="A107" t="s">
        <v>11121</v>
      </c>
      <c r="B107" t="s">
        <v>11120</v>
      </c>
      <c r="H107">
        <v>3</v>
      </c>
    </row>
    <row r="108" spans="1:12" x14ac:dyDescent="0.25">
      <c r="A108" s="29" t="s">
        <v>11119</v>
      </c>
      <c r="B108" t="s">
        <v>11118</v>
      </c>
      <c r="H108">
        <v>3</v>
      </c>
      <c r="L108">
        <v>3</v>
      </c>
    </row>
    <row r="109" spans="1:12" x14ac:dyDescent="0.25">
      <c r="A109" t="s">
        <v>8581</v>
      </c>
      <c r="B109" t="s">
        <v>9271</v>
      </c>
      <c r="D109" t="s">
        <v>9241</v>
      </c>
      <c r="H109">
        <v>3</v>
      </c>
      <c r="I109">
        <v>0</v>
      </c>
      <c r="K109">
        <v>60</v>
      </c>
    </row>
    <row r="110" spans="1:12" x14ac:dyDescent="0.25">
      <c r="A110" s="29" t="s">
        <v>11117</v>
      </c>
      <c r="B110" t="s">
        <v>9272</v>
      </c>
      <c r="D110" t="s">
        <v>9273</v>
      </c>
      <c r="H110">
        <v>3</v>
      </c>
      <c r="I110">
        <v>0</v>
      </c>
      <c r="K110">
        <v>60</v>
      </c>
    </row>
    <row r="111" spans="1:12" x14ac:dyDescent="0.25">
      <c r="A111" s="29" t="s">
        <v>11116</v>
      </c>
      <c r="B111" s="29" t="s">
        <v>11115</v>
      </c>
      <c r="H111">
        <v>3</v>
      </c>
      <c r="I111">
        <v>0</v>
      </c>
      <c r="K111">
        <v>60</v>
      </c>
    </row>
    <row r="112" spans="1:12" x14ac:dyDescent="0.25">
      <c r="A112" t="s">
        <v>8845</v>
      </c>
      <c r="B112" t="s">
        <v>9274</v>
      </c>
      <c r="H112">
        <v>3</v>
      </c>
      <c r="I112">
        <v>0</v>
      </c>
      <c r="K112">
        <v>60</v>
      </c>
    </row>
    <row r="113" spans="1:12" x14ac:dyDescent="0.25">
      <c r="A113" t="s">
        <v>9275</v>
      </c>
      <c r="B113" t="s">
        <v>9276</v>
      </c>
      <c r="H113">
        <v>3</v>
      </c>
      <c r="I113">
        <v>0</v>
      </c>
      <c r="K113">
        <v>60</v>
      </c>
    </row>
    <row r="114" spans="1:12" x14ac:dyDescent="0.25">
      <c r="A114" s="29" t="s">
        <v>11114</v>
      </c>
      <c r="B114" t="s">
        <v>9277</v>
      </c>
      <c r="H114">
        <v>3</v>
      </c>
      <c r="I114">
        <v>0</v>
      </c>
      <c r="K114">
        <v>60</v>
      </c>
    </row>
    <row r="115" spans="1:12" x14ac:dyDescent="0.25">
      <c r="A115" s="29" t="s">
        <v>11113</v>
      </c>
      <c r="B115" s="29" t="s">
        <v>11112</v>
      </c>
      <c r="H115">
        <v>3</v>
      </c>
      <c r="I115">
        <v>0</v>
      </c>
      <c r="K115">
        <v>60</v>
      </c>
    </row>
    <row r="116" spans="1:12" x14ac:dyDescent="0.25">
      <c r="A116" t="s">
        <v>8849</v>
      </c>
      <c r="B116" t="s">
        <v>9278</v>
      </c>
      <c r="H116">
        <v>3</v>
      </c>
      <c r="I116">
        <v>0</v>
      </c>
      <c r="K116">
        <v>60</v>
      </c>
    </row>
    <row r="117" spans="1:12" x14ac:dyDescent="0.25">
      <c r="A117" s="29" t="s">
        <v>11111</v>
      </c>
      <c r="B117" t="s">
        <v>9279</v>
      </c>
      <c r="D117" t="s">
        <v>9386</v>
      </c>
      <c r="H117">
        <v>3</v>
      </c>
      <c r="I117">
        <v>0</v>
      </c>
      <c r="K117">
        <v>60</v>
      </c>
    </row>
    <row r="118" spans="1:12" x14ac:dyDescent="0.25">
      <c r="A118" s="29" t="s">
        <v>11110</v>
      </c>
      <c r="B118" s="29" t="s">
        <v>11109</v>
      </c>
      <c r="D118" t="s">
        <v>9386</v>
      </c>
      <c r="H118">
        <v>3</v>
      </c>
      <c r="I118">
        <v>0</v>
      </c>
      <c r="K118">
        <v>60</v>
      </c>
      <c r="L118">
        <v>5</v>
      </c>
    </row>
    <row r="119" spans="1:12" x14ac:dyDescent="0.25">
      <c r="A119" t="s">
        <v>8881</v>
      </c>
      <c r="B119" s="29" t="s">
        <v>11108</v>
      </c>
      <c r="D119" t="s">
        <v>11107</v>
      </c>
      <c r="H119">
        <v>3</v>
      </c>
      <c r="I119">
        <v>0</v>
      </c>
      <c r="K119">
        <v>60</v>
      </c>
    </row>
    <row r="120" spans="1:12" x14ac:dyDescent="0.25">
      <c r="A120" t="s">
        <v>11106</v>
      </c>
      <c r="B120" t="s">
        <v>11105</v>
      </c>
      <c r="H120">
        <v>3</v>
      </c>
      <c r="K120">
        <v>60</v>
      </c>
      <c r="L120">
        <v>5</v>
      </c>
    </row>
    <row r="121" spans="1:12" x14ac:dyDescent="0.25">
      <c r="A121" s="29" t="s">
        <v>11104</v>
      </c>
      <c r="B121" s="29" t="s">
        <v>11103</v>
      </c>
      <c r="D121" t="s">
        <v>11053</v>
      </c>
      <c r="H121">
        <v>3</v>
      </c>
      <c r="K121">
        <v>60</v>
      </c>
      <c r="L121">
        <v>5</v>
      </c>
    </row>
    <row r="122" spans="1:12" x14ac:dyDescent="0.25">
      <c r="A122" s="29" t="s">
        <v>11102</v>
      </c>
      <c r="B122" s="29" t="s">
        <v>11102</v>
      </c>
      <c r="C122">
        <v>1</v>
      </c>
      <c r="D122" t="s">
        <v>11053</v>
      </c>
      <c r="H122">
        <v>1</v>
      </c>
      <c r="I122">
        <v>1</v>
      </c>
      <c r="K122">
        <v>60</v>
      </c>
    </row>
    <row r="123" spans="1:12" x14ac:dyDescent="0.25">
      <c r="A123" t="s">
        <v>11101</v>
      </c>
      <c r="B123" t="s">
        <v>11100</v>
      </c>
      <c r="D123" t="s">
        <v>11093</v>
      </c>
      <c r="H123">
        <v>3</v>
      </c>
      <c r="K123">
        <v>90</v>
      </c>
    </row>
    <row r="124" spans="1:12" x14ac:dyDescent="0.25">
      <c r="A124" t="s">
        <v>11099</v>
      </c>
      <c r="B124" t="s">
        <v>11098</v>
      </c>
      <c r="D124" t="s">
        <v>11093</v>
      </c>
      <c r="H124">
        <v>3</v>
      </c>
      <c r="K124">
        <v>90</v>
      </c>
    </row>
    <row r="125" spans="1:12" x14ac:dyDescent="0.25">
      <c r="A125" s="29" t="s">
        <v>11097</v>
      </c>
      <c r="B125" s="29" t="s">
        <v>11096</v>
      </c>
      <c r="D125" t="s">
        <v>11093</v>
      </c>
      <c r="H125">
        <v>3</v>
      </c>
      <c r="K125">
        <v>90</v>
      </c>
    </row>
    <row r="126" spans="1:12" x14ac:dyDescent="0.25">
      <c r="A126" s="29" t="s">
        <v>11095</v>
      </c>
      <c r="B126" s="29" t="s">
        <v>11094</v>
      </c>
      <c r="D126" t="s">
        <v>11093</v>
      </c>
      <c r="H126">
        <v>3</v>
      </c>
      <c r="K126">
        <v>90</v>
      </c>
    </row>
    <row r="127" spans="1:12" x14ac:dyDescent="0.25">
      <c r="A127" t="s">
        <v>11092</v>
      </c>
      <c r="B127" t="s">
        <v>10959</v>
      </c>
      <c r="C127">
        <v>1</v>
      </c>
      <c r="D127" t="s">
        <v>9399</v>
      </c>
      <c r="H127">
        <v>3</v>
      </c>
      <c r="I127">
        <v>1</v>
      </c>
      <c r="K127">
        <v>100</v>
      </c>
      <c r="L127">
        <v>5</v>
      </c>
    </row>
    <row r="128" spans="1:12" x14ac:dyDescent="0.25">
      <c r="A128" t="s">
        <v>11091</v>
      </c>
      <c r="B128" t="s">
        <v>10959</v>
      </c>
      <c r="C128">
        <v>1</v>
      </c>
      <c r="D128" t="s">
        <v>9399</v>
      </c>
      <c r="H128">
        <v>3</v>
      </c>
      <c r="I128">
        <v>1</v>
      </c>
      <c r="K128">
        <v>100</v>
      </c>
      <c r="L128">
        <v>5</v>
      </c>
    </row>
    <row r="129" spans="1:12" x14ac:dyDescent="0.25">
      <c r="A129" s="29" t="s">
        <v>11090</v>
      </c>
      <c r="B129" t="s">
        <v>11089</v>
      </c>
      <c r="C129">
        <v>1</v>
      </c>
      <c r="D129" t="s">
        <v>11073</v>
      </c>
      <c r="H129">
        <v>3</v>
      </c>
      <c r="I129">
        <v>1</v>
      </c>
      <c r="K129">
        <v>100</v>
      </c>
    </row>
    <row r="130" spans="1:12" x14ac:dyDescent="0.25">
      <c r="A130" s="29" t="s">
        <v>11088</v>
      </c>
      <c r="B130" s="29" t="s">
        <v>11087</v>
      </c>
      <c r="D130" s="29"/>
      <c r="H130">
        <v>3</v>
      </c>
      <c r="L130">
        <v>5</v>
      </c>
    </row>
    <row r="131" spans="1:12" x14ac:dyDescent="0.25">
      <c r="A131" s="29" t="s">
        <v>11086</v>
      </c>
      <c r="B131" s="29" t="s">
        <v>11085</v>
      </c>
      <c r="D131" s="29" t="s">
        <v>10129</v>
      </c>
      <c r="H131">
        <v>3</v>
      </c>
      <c r="L131">
        <v>5</v>
      </c>
    </row>
    <row r="132" spans="1:12" x14ac:dyDescent="0.25">
      <c r="A132" s="29" t="s">
        <v>11084</v>
      </c>
      <c r="B132" s="29" t="s">
        <v>11083</v>
      </c>
      <c r="D132" s="29"/>
      <c r="H132">
        <v>3</v>
      </c>
      <c r="L132">
        <v>2</v>
      </c>
    </row>
    <row r="133" spans="1:12" x14ac:dyDescent="0.25">
      <c r="A133" s="29" t="s">
        <v>11082</v>
      </c>
      <c r="B133" s="29" t="s">
        <v>11081</v>
      </c>
      <c r="D133" s="29" t="s">
        <v>10129</v>
      </c>
      <c r="H133">
        <v>3</v>
      </c>
      <c r="L133">
        <v>2</v>
      </c>
    </row>
    <row r="134" spans="1:12" x14ac:dyDescent="0.25">
      <c r="A134" s="29" t="s">
        <v>11080</v>
      </c>
      <c r="B134" s="29" t="s">
        <v>11079</v>
      </c>
      <c r="D134" s="29"/>
      <c r="H134">
        <v>3</v>
      </c>
      <c r="K134">
        <v>60</v>
      </c>
      <c r="L134">
        <v>5</v>
      </c>
    </row>
    <row r="136" spans="1:12" x14ac:dyDescent="0.25">
      <c r="A136" s="29" t="s">
        <v>11078</v>
      </c>
      <c r="B136" t="s">
        <v>9280</v>
      </c>
      <c r="K136">
        <v>60</v>
      </c>
      <c r="L136">
        <v>1.5</v>
      </c>
    </row>
    <row r="137" spans="1:12" x14ac:dyDescent="0.25">
      <c r="A137" t="s">
        <v>6985</v>
      </c>
      <c r="B137" t="s">
        <v>9281</v>
      </c>
      <c r="I137">
        <v>2</v>
      </c>
      <c r="L137">
        <v>0.3</v>
      </c>
    </row>
    <row r="138" spans="1:12" x14ac:dyDescent="0.25">
      <c r="A138" t="s">
        <v>9282</v>
      </c>
      <c r="B138" t="s">
        <v>9283</v>
      </c>
      <c r="L138">
        <v>5</v>
      </c>
    </row>
    <row r="139" spans="1:12" x14ac:dyDescent="0.25">
      <c r="A139" t="s">
        <v>9284</v>
      </c>
      <c r="B139" t="s">
        <v>9285</v>
      </c>
      <c r="L139">
        <v>5</v>
      </c>
    </row>
    <row r="140" spans="1:12" x14ac:dyDescent="0.25">
      <c r="A140" s="29" t="s">
        <v>11077</v>
      </c>
      <c r="B140" s="29" t="s">
        <v>11076</v>
      </c>
      <c r="D140" t="s">
        <v>11073</v>
      </c>
      <c r="H140">
        <v>3</v>
      </c>
      <c r="L140">
        <v>5</v>
      </c>
    </row>
    <row r="141" spans="1:12" x14ac:dyDescent="0.25">
      <c r="A141" s="29" t="s">
        <v>11075</v>
      </c>
      <c r="B141" s="29" t="s">
        <v>11074</v>
      </c>
      <c r="D141" t="s">
        <v>11073</v>
      </c>
      <c r="H141">
        <v>3</v>
      </c>
      <c r="L141">
        <v>5</v>
      </c>
    </row>
    <row r="142" spans="1:12" x14ac:dyDescent="0.25">
      <c r="A142" t="s">
        <v>8341</v>
      </c>
      <c r="B142" t="s">
        <v>9286</v>
      </c>
      <c r="H142">
        <v>3</v>
      </c>
      <c r="I142">
        <v>0</v>
      </c>
      <c r="K142">
        <v>60</v>
      </c>
    </row>
    <row r="143" spans="1:12" x14ac:dyDescent="0.25">
      <c r="A143" t="s">
        <v>11072</v>
      </c>
      <c r="B143" t="s">
        <v>11071</v>
      </c>
      <c r="H143">
        <v>3</v>
      </c>
      <c r="I143">
        <v>0</v>
      </c>
      <c r="K143">
        <v>60</v>
      </c>
    </row>
    <row r="145" spans="1:12" x14ac:dyDescent="0.25">
      <c r="A145" s="29" t="s">
        <v>11070</v>
      </c>
      <c r="B145" t="s">
        <v>9287</v>
      </c>
      <c r="E145" t="s">
        <v>4249</v>
      </c>
      <c r="H145">
        <v>4</v>
      </c>
      <c r="I145">
        <v>2</v>
      </c>
      <c r="L145">
        <v>5</v>
      </c>
    </row>
    <row r="146" spans="1:12" x14ac:dyDescent="0.25">
      <c r="A146" t="s">
        <v>7015</v>
      </c>
      <c r="B146" t="s">
        <v>9288</v>
      </c>
      <c r="I146">
        <v>2</v>
      </c>
      <c r="L146">
        <v>5</v>
      </c>
    </row>
    <row r="147" spans="1:12" x14ac:dyDescent="0.25">
      <c r="A147" t="s">
        <v>8883</v>
      </c>
      <c r="B147" t="s">
        <v>9289</v>
      </c>
      <c r="C147">
        <v>1</v>
      </c>
      <c r="I147">
        <v>2</v>
      </c>
      <c r="K147">
        <v>60</v>
      </c>
    </row>
    <row r="148" spans="1:12" x14ac:dyDescent="0.25">
      <c r="A148" t="s">
        <v>7022</v>
      </c>
      <c r="B148" t="s">
        <v>9290</v>
      </c>
      <c r="I148">
        <v>2</v>
      </c>
      <c r="L148">
        <v>5</v>
      </c>
    </row>
    <row r="149" spans="1:12" x14ac:dyDescent="0.25">
      <c r="A149" t="s">
        <v>7025</v>
      </c>
      <c r="B149" t="s">
        <v>9291</v>
      </c>
      <c r="L149">
        <v>5</v>
      </c>
    </row>
    <row r="150" spans="1:12" x14ac:dyDescent="0.25">
      <c r="A150" t="s">
        <v>7031</v>
      </c>
      <c r="B150" t="s">
        <v>9292</v>
      </c>
      <c r="L150">
        <v>5</v>
      </c>
    </row>
    <row r="151" spans="1:12" x14ac:dyDescent="0.25">
      <c r="A151" s="29" t="s">
        <v>11069</v>
      </c>
      <c r="B151" t="s">
        <v>9293</v>
      </c>
      <c r="I151">
        <v>2</v>
      </c>
      <c r="L151">
        <v>5</v>
      </c>
    </row>
    <row r="152" spans="1:12" x14ac:dyDescent="0.25">
      <c r="A152" t="s">
        <v>7040</v>
      </c>
      <c r="B152" t="s">
        <v>9294</v>
      </c>
      <c r="E152" t="s">
        <v>9295</v>
      </c>
      <c r="I152">
        <v>1</v>
      </c>
      <c r="L152">
        <v>5</v>
      </c>
    </row>
    <row r="153" spans="1:12" x14ac:dyDescent="0.25">
      <c r="A153" t="s">
        <v>7051</v>
      </c>
      <c r="B153" t="s">
        <v>9296</v>
      </c>
      <c r="I153">
        <v>2</v>
      </c>
      <c r="L153">
        <v>5</v>
      </c>
    </row>
    <row r="154" spans="1:12" x14ac:dyDescent="0.25">
      <c r="A154" t="s">
        <v>7057</v>
      </c>
      <c r="B154" t="s">
        <v>9297</v>
      </c>
      <c r="I154">
        <v>2</v>
      </c>
      <c r="L154">
        <v>5</v>
      </c>
    </row>
    <row r="155" spans="1:12" x14ac:dyDescent="0.25">
      <c r="A155" t="s">
        <v>7062</v>
      </c>
      <c r="B155" t="s">
        <v>9298</v>
      </c>
      <c r="E155" t="s">
        <v>4249</v>
      </c>
      <c r="I155">
        <v>1</v>
      </c>
      <c r="L155">
        <v>5</v>
      </c>
    </row>
    <row r="156" spans="1:12" x14ac:dyDescent="0.25">
      <c r="A156" t="s">
        <v>7074</v>
      </c>
      <c r="B156" t="s">
        <v>9299</v>
      </c>
      <c r="I156">
        <v>2</v>
      </c>
      <c r="L156">
        <v>5</v>
      </c>
    </row>
    <row r="158" spans="1:12" x14ac:dyDescent="0.25">
      <c r="A158" t="s">
        <v>7868</v>
      </c>
      <c r="B158" t="s">
        <v>9300</v>
      </c>
      <c r="I158">
        <v>2</v>
      </c>
      <c r="L158">
        <v>5</v>
      </c>
    </row>
    <row r="159" spans="1:12" x14ac:dyDescent="0.25">
      <c r="A159" t="s">
        <v>7864</v>
      </c>
      <c r="B159" t="s">
        <v>9301</v>
      </c>
      <c r="E159" t="s">
        <v>9302</v>
      </c>
      <c r="I159">
        <v>1</v>
      </c>
      <c r="L159">
        <v>5</v>
      </c>
    </row>
    <row r="160" spans="1:12" x14ac:dyDescent="0.25">
      <c r="A160" t="s">
        <v>7873</v>
      </c>
      <c r="B160" t="s">
        <v>9303</v>
      </c>
      <c r="I160">
        <v>2</v>
      </c>
      <c r="L160">
        <v>5</v>
      </c>
    </row>
    <row r="161" spans="1:12" x14ac:dyDescent="0.25">
      <c r="A161" t="s">
        <v>8963</v>
      </c>
      <c r="B161" s="29" t="s">
        <v>11068</v>
      </c>
      <c r="I161">
        <v>1</v>
      </c>
      <c r="K161">
        <v>60</v>
      </c>
    </row>
    <row r="162" spans="1:12" x14ac:dyDescent="0.25">
      <c r="A162" t="s">
        <v>7890</v>
      </c>
      <c r="B162" t="s">
        <v>9305</v>
      </c>
      <c r="I162">
        <v>2</v>
      </c>
      <c r="L162">
        <v>5</v>
      </c>
    </row>
    <row r="163" spans="1:12" x14ac:dyDescent="0.25">
      <c r="A163" t="s">
        <v>7889</v>
      </c>
      <c r="B163" t="s">
        <v>9306</v>
      </c>
      <c r="D163" t="s">
        <v>9307</v>
      </c>
      <c r="J163">
        <v>2</v>
      </c>
      <c r="L163">
        <v>5</v>
      </c>
    </row>
    <row r="164" spans="1:12" x14ac:dyDescent="0.25">
      <c r="A164" t="s">
        <v>8965</v>
      </c>
      <c r="B164" t="s">
        <v>9308</v>
      </c>
      <c r="I164">
        <v>1</v>
      </c>
      <c r="K164">
        <v>60</v>
      </c>
    </row>
    <row r="165" spans="1:12" x14ac:dyDescent="0.25">
      <c r="A165" t="s">
        <v>7906</v>
      </c>
      <c r="B165" t="s">
        <v>9309</v>
      </c>
      <c r="I165">
        <v>2</v>
      </c>
      <c r="L165">
        <v>5</v>
      </c>
    </row>
    <row r="166" spans="1:12" x14ac:dyDescent="0.25">
      <c r="A166" t="s">
        <v>7905</v>
      </c>
      <c r="B166" t="s">
        <v>9310</v>
      </c>
      <c r="D166" t="s">
        <v>9311</v>
      </c>
      <c r="I166">
        <v>2</v>
      </c>
      <c r="K166">
        <v>60</v>
      </c>
      <c r="L166">
        <v>5</v>
      </c>
    </row>
    <row r="167" spans="1:12" x14ac:dyDescent="0.25">
      <c r="A167" t="s">
        <v>8966</v>
      </c>
      <c r="B167" t="s">
        <v>9312</v>
      </c>
      <c r="I167">
        <v>1</v>
      </c>
    </row>
    <row r="168" spans="1:12" x14ac:dyDescent="0.25">
      <c r="A168" t="s">
        <v>7913</v>
      </c>
      <c r="B168" t="s">
        <v>9313</v>
      </c>
      <c r="I168">
        <v>2</v>
      </c>
      <c r="L168">
        <v>5</v>
      </c>
    </row>
    <row r="169" spans="1:12" x14ac:dyDescent="0.25">
      <c r="A169" t="s">
        <v>7912</v>
      </c>
      <c r="B169" t="s">
        <v>9314</v>
      </c>
      <c r="D169" t="s">
        <v>9311</v>
      </c>
      <c r="I169">
        <v>2</v>
      </c>
      <c r="K169">
        <v>60</v>
      </c>
      <c r="L169">
        <v>5</v>
      </c>
    </row>
    <row r="170" spans="1:12" x14ac:dyDescent="0.25">
      <c r="A170" t="s">
        <v>8967</v>
      </c>
      <c r="B170" t="s">
        <v>9315</v>
      </c>
      <c r="I170">
        <v>1</v>
      </c>
    </row>
    <row r="171" spans="1:12" x14ac:dyDescent="0.25">
      <c r="A171" t="s">
        <v>7924</v>
      </c>
      <c r="B171" t="s">
        <v>9316</v>
      </c>
      <c r="J171">
        <v>2</v>
      </c>
      <c r="L171">
        <v>5</v>
      </c>
    </row>
    <row r="172" spans="1:12" x14ac:dyDescent="0.25">
      <c r="A172" t="s">
        <v>7923</v>
      </c>
      <c r="B172" t="s">
        <v>9317</v>
      </c>
      <c r="E172" t="s">
        <v>9318</v>
      </c>
      <c r="I172">
        <v>2</v>
      </c>
      <c r="L172">
        <v>5</v>
      </c>
    </row>
    <row r="173" spans="1:12" x14ac:dyDescent="0.25">
      <c r="A173" t="s">
        <v>8969</v>
      </c>
      <c r="B173" t="s">
        <v>9319</v>
      </c>
      <c r="E173" t="s">
        <v>9320</v>
      </c>
      <c r="F173">
        <v>1</v>
      </c>
      <c r="H173">
        <v>1</v>
      </c>
      <c r="I173">
        <v>1</v>
      </c>
    </row>
    <row r="174" spans="1:12" x14ac:dyDescent="0.25">
      <c r="A174" t="s">
        <v>11234</v>
      </c>
      <c r="B174" t="s">
        <v>9321</v>
      </c>
      <c r="I174">
        <v>1</v>
      </c>
    </row>
    <row r="175" spans="1:12" x14ac:dyDescent="0.25">
      <c r="A175" t="s">
        <v>8972</v>
      </c>
      <c r="B175" t="s">
        <v>11235</v>
      </c>
      <c r="E175" t="s">
        <v>11236</v>
      </c>
      <c r="F175">
        <v>1</v>
      </c>
      <c r="G175">
        <v>1</v>
      </c>
    </row>
    <row r="176" spans="1:12" x14ac:dyDescent="0.25">
      <c r="A176" t="s">
        <v>8974</v>
      </c>
      <c r="B176" t="s">
        <v>11237</v>
      </c>
      <c r="E176" t="s">
        <v>11238</v>
      </c>
      <c r="F176">
        <v>1</v>
      </c>
      <c r="G176">
        <v>1</v>
      </c>
    </row>
    <row r="177" spans="1:12" x14ac:dyDescent="0.25">
      <c r="A177" t="s">
        <v>7935</v>
      </c>
      <c r="B177" t="s">
        <v>9322</v>
      </c>
      <c r="D177" s="29" t="s">
        <v>11243</v>
      </c>
      <c r="I177">
        <v>2</v>
      </c>
      <c r="K177">
        <v>120</v>
      </c>
      <c r="L177">
        <v>5</v>
      </c>
    </row>
    <row r="178" spans="1:12" x14ac:dyDescent="0.25">
      <c r="A178" t="s">
        <v>7926</v>
      </c>
      <c r="B178" t="s">
        <v>9323</v>
      </c>
      <c r="I178">
        <v>2</v>
      </c>
      <c r="L178">
        <v>5</v>
      </c>
    </row>
    <row r="179" spans="1:12" x14ac:dyDescent="0.25">
      <c r="A179" s="29" t="s">
        <v>11067</v>
      </c>
      <c r="B179" t="s">
        <v>9324</v>
      </c>
      <c r="I179">
        <v>2</v>
      </c>
      <c r="L179">
        <v>5</v>
      </c>
    </row>
    <row r="180" spans="1:12" x14ac:dyDescent="0.25">
      <c r="A180" t="s">
        <v>7949</v>
      </c>
      <c r="B180" t="s">
        <v>9325</v>
      </c>
      <c r="I180">
        <v>2</v>
      </c>
      <c r="L180">
        <v>5</v>
      </c>
    </row>
    <row r="181" spans="1:12" x14ac:dyDescent="0.25">
      <c r="A181" t="s">
        <v>8979</v>
      </c>
      <c r="B181" t="s">
        <v>9326</v>
      </c>
      <c r="I181">
        <v>1</v>
      </c>
      <c r="K181">
        <v>60</v>
      </c>
    </row>
    <row r="182" spans="1:12" x14ac:dyDescent="0.25">
      <c r="A182" t="s">
        <v>8980</v>
      </c>
      <c r="B182" t="s">
        <v>9327</v>
      </c>
      <c r="I182">
        <v>1</v>
      </c>
      <c r="K182">
        <v>60</v>
      </c>
    </row>
    <row r="183" spans="1:12" x14ac:dyDescent="0.25">
      <c r="A183" t="s">
        <v>8981</v>
      </c>
      <c r="B183" t="s">
        <v>9328</v>
      </c>
      <c r="I183">
        <v>1</v>
      </c>
      <c r="K183">
        <v>60</v>
      </c>
    </row>
    <row r="184" spans="1:12" x14ac:dyDescent="0.25">
      <c r="A184" t="s">
        <v>8983</v>
      </c>
      <c r="B184" t="s">
        <v>9329</v>
      </c>
      <c r="H184">
        <v>1</v>
      </c>
      <c r="I184">
        <v>1</v>
      </c>
      <c r="K184">
        <v>60</v>
      </c>
    </row>
    <row r="185" spans="1:12" x14ac:dyDescent="0.25">
      <c r="A185" t="s">
        <v>7994</v>
      </c>
      <c r="B185" t="s">
        <v>9330</v>
      </c>
      <c r="K185">
        <v>60</v>
      </c>
      <c r="L185">
        <v>5</v>
      </c>
    </row>
    <row r="186" spans="1:12" x14ac:dyDescent="0.25">
      <c r="A186" t="s">
        <v>7998</v>
      </c>
      <c r="B186" t="s">
        <v>9331</v>
      </c>
      <c r="K186">
        <v>60</v>
      </c>
      <c r="L186">
        <v>5</v>
      </c>
    </row>
    <row r="187" spans="1:12" x14ac:dyDescent="0.25">
      <c r="A187" s="29" t="s">
        <v>11066</v>
      </c>
      <c r="B187" t="s">
        <v>9332</v>
      </c>
      <c r="H187">
        <v>3</v>
      </c>
      <c r="I187">
        <v>2</v>
      </c>
      <c r="K187">
        <v>60</v>
      </c>
      <c r="L187">
        <v>5</v>
      </c>
    </row>
    <row r="188" spans="1:12" x14ac:dyDescent="0.25">
      <c r="A188" t="s">
        <v>8013</v>
      </c>
      <c r="B188" t="s">
        <v>9333</v>
      </c>
      <c r="I188">
        <v>2</v>
      </c>
      <c r="L188">
        <v>5</v>
      </c>
    </row>
    <row r="189" spans="1:12" x14ac:dyDescent="0.25">
      <c r="A189" t="s">
        <v>8986</v>
      </c>
      <c r="B189" t="s">
        <v>9334</v>
      </c>
      <c r="H189">
        <v>3</v>
      </c>
      <c r="I189">
        <v>2</v>
      </c>
      <c r="K189">
        <v>60</v>
      </c>
      <c r="L189">
        <v>5</v>
      </c>
    </row>
    <row r="190" spans="1:12" x14ac:dyDescent="0.25">
      <c r="A190" s="29" t="s">
        <v>11065</v>
      </c>
      <c r="B190" s="29" t="s">
        <v>11064</v>
      </c>
      <c r="H190">
        <v>3</v>
      </c>
      <c r="I190">
        <v>2</v>
      </c>
      <c r="K190">
        <v>60</v>
      </c>
      <c r="L190">
        <v>5</v>
      </c>
    </row>
    <row r="191" spans="1:12" x14ac:dyDescent="0.25">
      <c r="A191" t="s">
        <v>8018</v>
      </c>
      <c r="B191" t="s">
        <v>9335</v>
      </c>
      <c r="K191">
        <v>60</v>
      </c>
      <c r="L191">
        <v>5</v>
      </c>
    </row>
    <row r="192" spans="1:12" x14ac:dyDescent="0.25">
      <c r="A192" t="s">
        <v>8043</v>
      </c>
      <c r="B192" t="s">
        <v>9336</v>
      </c>
      <c r="I192">
        <v>1</v>
      </c>
      <c r="K192">
        <v>60</v>
      </c>
    </row>
    <row r="193" spans="1:12" x14ac:dyDescent="0.25">
      <c r="A193" t="s">
        <v>8040</v>
      </c>
      <c r="B193" t="s">
        <v>9337</v>
      </c>
      <c r="I193">
        <v>2</v>
      </c>
      <c r="K193">
        <v>60</v>
      </c>
      <c r="L193">
        <v>5</v>
      </c>
    </row>
    <row r="194" spans="1:12" x14ac:dyDescent="0.25">
      <c r="A194" t="s">
        <v>8034</v>
      </c>
      <c r="B194" t="s">
        <v>9338</v>
      </c>
      <c r="I194">
        <v>2</v>
      </c>
      <c r="K194">
        <v>60</v>
      </c>
      <c r="L194">
        <v>5</v>
      </c>
    </row>
    <row r="195" spans="1:12" x14ac:dyDescent="0.25">
      <c r="A195" t="s">
        <v>8039</v>
      </c>
      <c r="B195" t="s">
        <v>9339</v>
      </c>
      <c r="E195" t="s">
        <v>4249</v>
      </c>
      <c r="I195">
        <v>2</v>
      </c>
      <c r="K195">
        <v>60</v>
      </c>
      <c r="L195">
        <v>0.2</v>
      </c>
    </row>
    <row r="196" spans="1:12" x14ac:dyDescent="0.25">
      <c r="A196" t="s">
        <v>8033</v>
      </c>
      <c r="B196" t="s">
        <v>9340</v>
      </c>
      <c r="E196" t="s">
        <v>4249</v>
      </c>
      <c r="I196">
        <v>2</v>
      </c>
      <c r="K196">
        <v>60</v>
      </c>
      <c r="L196">
        <v>0.2</v>
      </c>
    </row>
    <row r="197" spans="1:12" x14ac:dyDescent="0.25">
      <c r="A197" t="s">
        <v>8989</v>
      </c>
      <c r="B197" t="s">
        <v>9341</v>
      </c>
      <c r="I197">
        <v>1</v>
      </c>
      <c r="K197">
        <v>60</v>
      </c>
    </row>
    <row r="198" spans="1:12" x14ac:dyDescent="0.25">
      <c r="A198" t="s">
        <v>8990</v>
      </c>
      <c r="B198" t="s">
        <v>9342</v>
      </c>
      <c r="I198">
        <v>1</v>
      </c>
      <c r="K198">
        <v>60</v>
      </c>
    </row>
    <row r="204" spans="1:12" x14ac:dyDescent="0.25">
      <c r="A204" t="s">
        <v>8060</v>
      </c>
      <c r="B204" t="s">
        <v>9343</v>
      </c>
      <c r="E204" t="s">
        <v>4249</v>
      </c>
      <c r="J204">
        <v>2</v>
      </c>
      <c r="L204">
        <v>5</v>
      </c>
    </row>
    <row r="205" spans="1:12" x14ac:dyDescent="0.25">
      <c r="A205" s="29" t="s">
        <v>11063</v>
      </c>
      <c r="B205" s="29" t="s">
        <v>11062</v>
      </c>
      <c r="E205" t="s">
        <v>11061</v>
      </c>
      <c r="J205">
        <v>2</v>
      </c>
      <c r="L205">
        <v>5</v>
      </c>
    </row>
    <row r="206" spans="1:12" x14ac:dyDescent="0.25">
      <c r="A206" t="s">
        <v>8076</v>
      </c>
      <c r="B206" t="s">
        <v>9344</v>
      </c>
      <c r="J206">
        <v>2</v>
      </c>
      <c r="L206">
        <v>5</v>
      </c>
    </row>
    <row r="207" spans="1:12" x14ac:dyDescent="0.25">
      <c r="A207" t="s">
        <v>8075</v>
      </c>
      <c r="B207" t="s">
        <v>9345</v>
      </c>
      <c r="E207" t="s">
        <v>4249</v>
      </c>
      <c r="I207">
        <v>2</v>
      </c>
      <c r="K207">
        <v>60</v>
      </c>
      <c r="L207">
        <v>5</v>
      </c>
    </row>
    <row r="208" spans="1:12" x14ac:dyDescent="0.25">
      <c r="A208" t="s">
        <v>8998</v>
      </c>
      <c r="B208" t="s">
        <v>9346</v>
      </c>
      <c r="I208">
        <v>1</v>
      </c>
      <c r="K208">
        <v>60</v>
      </c>
    </row>
    <row r="209" spans="1:12" x14ac:dyDescent="0.25">
      <c r="A209" t="s">
        <v>8083</v>
      </c>
      <c r="B209" t="s">
        <v>9347</v>
      </c>
      <c r="J209">
        <v>2</v>
      </c>
      <c r="L209">
        <v>20</v>
      </c>
    </row>
    <row r="210" spans="1:12" x14ac:dyDescent="0.25">
      <c r="A210" t="s">
        <v>8084</v>
      </c>
      <c r="B210" t="s">
        <v>9348</v>
      </c>
      <c r="E210" t="s">
        <v>4249</v>
      </c>
      <c r="J210">
        <v>2</v>
      </c>
      <c r="L210">
        <v>20</v>
      </c>
    </row>
    <row r="211" spans="1:12" x14ac:dyDescent="0.25">
      <c r="A211" s="29" t="s">
        <v>11060</v>
      </c>
      <c r="B211" t="s">
        <v>9349</v>
      </c>
      <c r="I211">
        <v>2</v>
      </c>
      <c r="K211">
        <v>60</v>
      </c>
      <c r="L211">
        <v>5</v>
      </c>
    </row>
    <row r="212" spans="1:12" x14ac:dyDescent="0.25">
      <c r="A212" t="s">
        <v>8090</v>
      </c>
      <c r="B212" t="s">
        <v>9350</v>
      </c>
      <c r="E212" t="s">
        <v>4249</v>
      </c>
      <c r="I212">
        <v>2</v>
      </c>
      <c r="K212">
        <v>60</v>
      </c>
      <c r="L212">
        <v>5</v>
      </c>
    </row>
    <row r="213" spans="1:12" x14ac:dyDescent="0.25">
      <c r="A213" s="29" t="s">
        <v>11059</v>
      </c>
      <c r="B213" s="29" t="s">
        <v>11250</v>
      </c>
      <c r="I213">
        <v>2</v>
      </c>
      <c r="K213">
        <v>60</v>
      </c>
      <c r="L213">
        <v>5</v>
      </c>
    </row>
    <row r="214" spans="1:12" x14ac:dyDescent="0.25">
      <c r="A214" t="s">
        <v>8106</v>
      </c>
      <c r="B214" s="29" t="s">
        <v>11249</v>
      </c>
      <c r="I214">
        <v>1</v>
      </c>
      <c r="K214">
        <v>60</v>
      </c>
      <c r="L214">
        <v>5</v>
      </c>
    </row>
    <row r="215" spans="1:12" x14ac:dyDescent="0.25">
      <c r="A215" t="s">
        <v>8999</v>
      </c>
      <c r="B215" t="s">
        <v>9351</v>
      </c>
      <c r="H215">
        <v>1</v>
      </c>
      <c r="I215">
        <v>2</v>
      </c>
      <c r="K215">
        <v>60</v>
      </c>
      <c r="L215">
        <v>30</v>
      </c>
    </row>
    <row r="216" spans="1:12" x14ac:dyDescent="0.25">
      <c r="A216" t="s">
        <v>9352</v>
      </c>
      <c r="B216" t="s">
        <v>9353</v>
      </c>
      <c r="I216">
        <v>2</v>
      </c>
      <c r="K216">
        <v>60</v>
      </c>
      <c r="L216">
        <v>5</v>
      </c>
    </row>
    <row r="217" spans="1:12" x14ac:dyDescent="0.25">
      <c r="A217" t="s">
        <v>8119</v>
      </c>
      <c r="B217" t="s">
        <v>9354</v>
      </c>
      <c r="I217">
        <v>2</v>
      </c>
      <c r="K217">
        <v>60</v>
      </c>
      <c r="L217">
        <v>5</v>
      </c>
    </row>
    <row r="218" spans="1:12" x14ac:dyDescent="0.25">
      <c r="A218" t="s">
        <v>8118</v>
      </c>
      <c r="B218" t="s">
        <v>9355</v>
      </c>
      <c r="E218" t="s">
        <v>9356</v>
      </c>
      <c r="F218">
        <v>1</v>
      </c>
      <c r="I218">
        <v>2</v>
      </c>
      <c r="K218">
        <v>60</v>
      </c>
      <c r="L218">
        <v>5</v>
      </c>
    </row>
    <row r="219" spans="1:12" x14ac:dyDescent="0.25">
      <c r="A219" t="s">
        <v>9003</v>
      </c>
      <c r="B219" t="s">
        <v>9357</v>
      </c>
      <c r="E219" t="s">
        <v>9356</v>
      </c>
      <c r="F219">
        <v>1</v>
      </c>
      <c r="I219">
        <v>1</v>
      </c>
      <c r="K219">
        <v>60</v>
      </c>
    </row>
    <row r="220" spans="1:12" x14ac:dyDescent="0.25">
      <c r="A220" t="s">
        <v>8134</v>
      </c>
      <c r="B220" t="s">
        <v>9358</v>
      </c>
      <c r="I220">
        <v>2</v>
      </c>
      <c r="K220">
        <v>60</v>
      </c>
      <c r="L220">
        <v>5</v>
      </c>
    </row>
    <row r="221" spans="1:12" x14ac:dyDescent="0.25">
      <c r="A221" t="s">
        <v>8135</v>
      </c>
      <c r="B221" t="s">
        <v>9359</v>
      </c>
      <c r="E221" t="s">
        <v>9356</v>
      </c>
      <c r="F221">
        <v>1</v>
      </c>
      <c r="I221">
        <v>2</v>
      </c>
      <c r="K221">
        <v>60</v>
      </c>
      <c r="L221">
        <v>30</v>
      </c>
    </row>
    <row r="222" spans="1:12" x14ac:dyDescent="0.25">
      <c r="A222" t="s">
        <v>8146</v>
      </c>
      <c r="B222" t="s">
        <v>9360</v>
      </c>
      <c r="E222" t="s">
        <v>9356</v>
      </c>
      <c r="F222">
        <v>1</v>
      </c>
      <c r="I222">
        <v>2</v>
      </c>
      <c r="K222">
        <v>60</v>
      </c>
      <c r="L222">
        <v>25</v>
      </c>
    </row>
    <row r="223" spans="1:12" x14ac:dyDescent="0.25">
      <c r="A223" t="s">
        <v>9361</v>
      </c>
      <c r="B223" t="s">
        <v>9362</v>
      </c>
      <c r="I223">
        <v>2</v>
      </c>
      <c r="K223">
        <v>60</v>
      </c>
      <c r="L223">
        <v>5</v>
      </c>
    </row>
    <row r="224" spans="1:12" x14ac:dyDescent="0.25">
      <c r="A224" t="s">
        <v>9363</v>
      </c>
      <c r="B224" t="s">
        <v>9364</v>
      </c>
      <c r="E224" t="s">
        <v>7049</v>
      </c>
      <c r="I224">
        <v>2</v>
      </c>
      <c r="K224">
        <v>60</v>
      </c>
      <c r="L224">
        <v>5</v>
      </c>
    </row>
    <row r="225" spans="1:12" x14ac:dyDescent="0.25">
      <c r="A225" t="s">
        <v>9004</v>
      </c>
      <c r="B225" t="s">
        <v>9365</v>
      </c>
      <c r="I225">
        <v>1</v>
      </c>
      <c r="K225">
        <v>60</v>
      </c>
    </row>
    <row r="226" spans="1:12" x14ac:dyDescent="0.25">
      <c r="A226" s="29" t="s">
        <v>11240</v>
      </c>
      <c r="B226" t="s">
        <v>11239</v>
      </c>
      <c r="I226">
        <v>1</v>
      </c>
    </row>
    <row r="227" spans="1:12" x14ac:dyDescent="0.25">
      <c r="A227" t="s">
        <v>9366</v>
      </c>
      <c r="B227" t="s">
        <v>9367</v>
      </c>
      <c r="E227" t="s">
        <v>7049</v>
      </c>
      <c r="I227">
        <v>2</v>
      </c>
      <c r="K227">
        <v>60</v>
      </c>
      <c r="L227">
        <v>5</v>
      </c>
    </row>
    <row r="228" spans="1:12" x14ac:dyDescent="0.25">
      <c r="A228" t="s">
        <v>9008</v>
      </c>
      <c r="B228" t="s">
        <v>9368</v>
      </c>
      <c r="I228">
        <v>3</v>
      </c>
      <c r="K228">
        <v>60</v>
      </c>
    </row>
    <row r="229" spans="1:12" x14ac:dyDescent="0.25">
      <c r="A229" s="29" t="s">
        <v>11058</v>
      </c>
      <c r="B229" t="s">
        <v>9369</v>
      </c>
      <c r="I229">
        <v>2</v>
      </c>
      <c r="K229">
        <v>60</v>
      </c>
      <c r="L229">
        <v>5</v>
      </c>
    </row>
    <row r="230" spans="1:12" x14ac:dyDescent="0.25">
      <c r="A230" t="s">
        <v>8176</v>
      </c>
      <c r="B230" t="s">
        <v>9370</v>
      </c>
      <c r="I230">
        <v>2</v>
      </c>
      <c r="K230">
        <v>60</v>
      </c>
      <c r="L230">
        <v>5</v>
      </c>
    </row>
    <row r="231" spans="1:12" x14ac:dyDescent="0.25">
      <c r="A231" t="s">
        <v>9010</v>
      </c>
      <c r="B231" t="s">
        <v>9371</v>
      </c>
      <c r="I231">
        <v>1</v>
      </c>
      <c r="K231">
        <v>60</v>
      </c>
    </row>
    <row r="232" spans="1:12" x14ac:dyDescent="0.25">
      <c r="A232" t="s">
        <v>9012</v>
      </c>
      <c r="B232" t="s">
        <v>9372</v>
      </c>
      <c r="H232">
        <v>3</v>
      </c>
      <c r="I232">
        <v>0</v>
      </c>
      <c r="K232">
        <v>60</v>
      </c>
    </row>
    <row r="233" spans="1:12" x14ac:dyDescent="0.25">
      <c r="A233" s="29" t="s">
        <v>11057</v>
      </c>
      <c r="B233" s="29" t="s">
        <v>11242</v>
      </c>
      <c r="J233">
        <v>2</v>
      </c>
      <c r="K233">
        <v>90</v>
      </c>
      <c r="L233">
        <v>60</v>
      </c>
    </row>
    <row r="234" spans="1:12" x14ac:dyDescent="0.25">
      <c r="A234" t="s">
        <v>8200</v>
      </c>
      <c r="B234" t="s">
        <v>9373</v>
      </c>
      <c r="I234">
        <v>1</v>
      </c>
      <c r="K234">
        <v>60</v>
      </c>
      <c r="L234">
        <v>5</v>
      </c>
    </row>
    <row r="235" spans="1:12" x14ac:dyDescent="0.25">
      <c r="A235" t="s">
        <v>8199</v>
      </c>
      <c r="B235" t="s">
        <v>9374</v>
      </c>
      <c r="E235" t="s">
        <v>9375</v>
      </c>
      <c r="I235">
        <v>1</v>
      </c>
      <c r="K235">
        <v>60</v>
      </c>
      <c r="L235">
        <v>5</v>
      </c>
    </row>
    <row r="236" spans="1:12" x14ac:dyDescent="0.25">
      <c r="A236" t="s">
        <v>9017</v>
      </c>
      <c r="B236" t="s">
        <v>9376</v>
      </c>
      <c r="C236">
        <v>1</v>
      </c>
      <c r="D236" t="s">
        <v>9377</v>
      </c>
      <c r="H236">
        <v>1</v>
      </c>
      <c r="I236">
        <v>1</v>
      </c>
      <c r="K236">
        <v>100</v>
      </c>
    </row>
    <row r="237" spans="1:12" x14ac:dyDescent="0.25">
      <c r="A237" t="s">
        <v>8222</v>
      </c>
      <c r="B237" t="s">
        <v>9378</v>
      </c>
      <c r="I237">
        <v>1</v>
      </c>
      <c r="K237">
        <v>60</v>
      </c>
      <c r="L237">
        <v>5</v>
      </c>
    </row>
    <row r="238" spans="1:12" x14ac:dyDescent="0.25">
      <c r="A238" t="s">
        <v>8223</v>
      </c>
      <c r="B238" t="s">
        <v>9379</v>
      </c>
      <c r="E238" t="s">
        <v>9375</v>
      </c>
      <c r="I238">
        <v>1</v>
      </c>
      <c r="K238">
        <v>60</v>
      </c>
      <c r="L238">
        <v>25</v>
      </c>
    </row>
    <row r="239" spans="1:12" x14ac:dyDescent="0.25">
      <c r="A239" t="s">
        <v>8227</v>
      </c>
      <c r="B239" t="s">
        <v>9380</v>
      </c>
      <c r="I239">
        <v>1</v>
      </c>
      <c r="K239">
        <v>60</v>
      </c>
      <c r="L239">
        <v>5</v>
      </c>
    </row>
    <row r="240" spans="1:12" x14ac:dyDescent="0.25">
      <c r="A240" t="s">
        <v>9023</v>
      </c>
      <c r="B240" t="s">
        <v>9381</v>
      </c>
      <c r="E240" t="s">
        <v>9382</v>
      </c>
      <c r="F240">
        <v>1</v>
      </c>
      <c r="I240">
        <v>1</v>
      </c>
      <c r="K240">
        <v>60</v>
      </c>
    </row>
    <row r="241" spans="1:12" x14ac:dyDescent="0.25">
      <c r="A241" t="s">
        <v>8234</v>
      </c>
      <c r="B241" t="s">
        <v>9383</v>
      </c>
      <c r="I241">
        <v>1</v>
      </c>
      <c r="K241">
        <v>60</v>
      </c>
      <c r="L241">
        <v>5</v>
      </c>
    </row>
    <row r="242" spans="1:12" x14ac:dyDescent="0.25">
      <c r="A242" t="s">
        <v>8233</v>
      </c>
      <c r="B242" t="s">
        <v>9384</v>
      </c>
      <c r="I242">
        <v>1</v>
      </c>
      <c r="K242">
        <v>60</v>
      </c>
      <c r="L242">
        <v>5</v>
      </c>
    </row>
    <row r="243" spans="1:12" x14ac:dyDescent="0.25">
      <c r="A243" t="s">
        <v>8239</v>
      </c>
      <c r="B243" t="s">
        <v>9385</v>
      </c>
      <c r="D243" t="s">
        <v>9386</v>
      </c>
      <c r="J243">
        <v>2</v>
      </c>
      <c r="L243">
        <v>5</v>
      </c>
    </row>
    <row r="244" spans="1:12" x14ac:dyDescent="0.25">
      <c r="A244" s="29" t="s">
        <v>11056</v>
      </c>
      <c r="B244" t="s">
        <v>9385</v>
      </c>
      <c r="J244">
        <v>2</v>
      </c>
      <c r="L244">
        <v>5</v>
      </c>
    </row>
    <row r="245" spans="1:12" x14ac:dyDescent="0.25">
      <c r="A245" t="s">
        <v>9024</v>
      </c>
      <c r="B245" t="s">
        <v>9387</v>
      </c>
      <c r="H245">
        <v>3</v>
      </c>
      <c r="K245">
        <v>60</v>
      </c>
    </row>
    <row r="246" spans="1:12" x14ac:dyDescent="0.25">
      <c r="A246" t="s">
        <v>8245</v>
      </c>
      <c r="B246" t="s">
        <v>9388</v>
      </c>
      <c r="D246" s="29" t="s">
        <v>10129</v>
      </c>
      <c r="H246">
        <v>3</v>
      </c>
      <c r="L246">
        <v>60</v>
      </c>
    </row>
    <row r="247" spans="1:12" x14ac:dyDescent="0.25">
      <c r="A247" t="s">
        <v>9026</v>
      </c>
      <c r="B247" t="s">
        <v>9389</v>
      </c>
      <c r="I247">
        <v>1</v>
      </c>
      <c r="K247">
        <v>60</v>
      </c>
    </row>
    <row r="248" spans="1:12" x14ac:dyDescent="0.25">
      <c r="A248" t="s">
        <v>7091</v>
      </c>
      <c r="B248" t="s">
        <v>9390</v>
      </c>
      <c r="I248">
        <v>2</v>
      </c>
      <c r="L248">
        <v>5</v>
      </c>
    </row>
    <row r="249" spans="1:12" x14ac:dyDescent="0.25">
      <c r="A249" t="s">
        <v>7090</v>
      </c>
      <c r="B249" t="s">
        <v>9391</v>
      </c>
      <c r="E249" t="s">
        <v>4249</v>
      </c>
      <c r="I249">
        <v>1</v>
      </c>
      <c r="L249">
        <v>5</v>
      </c>
    </row>
    <row r="250" spans="1:12" x14ac:dyDescent="0.25">
      <c r="A250" t="s">
        <v>7108</v>
      </c>
      <c r="B250" t="s">
        <v>9392</v>
      </c>
      <c r="I250">
        <v>2</v>
      </c>
      <c r="K250">
        <v>60</v>
      </c>
      <c r="L250">
        <v>5</v>
      </c>
    </row>
    <row r="251" spans="1:12" x14ac:dyDescent="0.25">
      <c r="A251" t="s">
        <v>7107</v>
      </c>
      <c r="B251" t="s">
        <v>9393</v>
      </c>
      <c r="E251" t="s">
        <v>4249</v>
      </c>
      <c r="H251">
        <v>2</v>
      </c>
      <c r="I251">
        <v>1</v>
      </c>
      <c r="K251">
        <v>60</v>
      </c>
      <c r="L251">
        <v>5</v>
      </c>
    </row>
    <row r="252" spans="1:12" x14ac:dyDescent="0.25">
      <c r="A252" t="s">
        <v>7118</v>
      </c>
      <c r="B252" t="s">
        <v>11229</v>
      </c>
      <c r="I252">
        <v>1</v>
      </c>
      <c r="K252">
        <v>60</v>
      </c>
    </row>
    <row r="253" spans="1:12" x14ac:dyDescent="0.25">
      <c r="A253" t="s">
        <v>7115</v>
      </c>
      <c r="B253" t="s">
        <v>9394</v>
      </c>
      <c r="I253">
        <v>2</v>
      </c>
      <c r="K253">
        <v>60</v>
      </c>
      <c r="L253">
        <v>5</v>
      </c>
    </row>
    <row r="254" spans="1:12" x14ac:dyDescent="0.25">
      <c r="A254" t="s">
        <v>7114</v>
      </c>
      <c r="B254" t="s">
        <v>9395</v>
      </c>
      <c r="E254" t="s">
        <v>4249</v>
      </c>
      <c r="H254">
        <v>2</v>
      </c>
      <c r="I254">
        <v>1</v>
      </c>
      <c r="K254">
        <v>60</v>
      </c>
      <c r="L254">
        <v>5</v>
      </c>
    </row>
    <row r="255" spans="1:12" x14ac:dyDescent="0.25">
      <c r="A255" t="s">
        <v>7116</v>
      </c>
      <c r="B255" t="s">
        <v>9396</v>
      </c>
      <c r="J255">
        <v>2</v>
      </c>
      <c r="L255">
        <v>1.5</v>
      </c>
    </row>
    <row r="258" spans="1:12" x14ac:dyDescent="0.25">
      <c r="A258" t="s">
        <v>7122</v>
      </c>
      <c r="B258" t="s">
        <v>9397</v>
      </c>
      <c r="I258">
        <v>2</v>
      </c>
      <c r="K258">
        <v>60</v>
      </c>
      <c r="L258">
        <v>5</v>
      </c>
    </row>
    <row r="259" spans="1:12" x14ac:dyDescent="0.25">
      <c r="A259" t="s">
        <v>7121</v>
      </c>
      <c r="B259" t="s">
        <v>9398</v>
      </c>
      <c r="D259" t="s">
        <v>9399</v>
      </c>
      <c r="H259">
        <v>2</v>
      </c>
      <c r="I259">
        <v>1</v>
      </c>
      <c r="K259">
        <v>60</v>
      </c>
      <c r="L259">
        <v>5</v>
      </c>
    </row>
    <row r="260" spans="1:12" x14ac:dyDescent="0.25">
      <c r="A260" t="s">
        <v>7128</v>
      </c>
      <c r="B260" t="s">
        <v>9400</v>
      </c>
      <c r="I260">
        <v>2</v>
      </c>
      <c r="K260">
        <v>60</v>
      </c>
      <c r="L260">
        <v>5</v>
      </c>
    </row>
    <row r="261" spans="1:12" x14ac:dyDescent="0.25">
      <c r="A261" t="s">
        <v>7127</v>
      </c>
      <c r="B261" t="s">
        <v>9401</v>
      </c>
      <c r="D261" t="s">
        <v>9399</v>
      </c>
      <c r="H261">
        <v>2</v>
      </c>
      <c r="I261">
        <v>1</v>
      </c>
      <c r="K261">
        <v>60</v>
      </c>
      <c r="L261">
        <v>5</v>
      </c>
    </row>
    <row r="262" spans="1:12" x14ac:dyDescent="0.25">
      <c r="A262" t="s">
        <v>8887</v>
      </c>
      <c r="B262" t="s">
        <v>9402</v>
      </c>
      <c r="I262">
        <v>2</v>
      </c>
      <c r="K262">
        <v>60</v>
      </c>
      <c r="L262">
        <v>5</v>
      </c>
    </row>
    <row r="263" spans="1:12" x14ac:dyDescent="0.25">
      <c r="A263" t="s">
        <v>7141</v>
      </c>
      <c r="B263" t="s">
        <v>9403</v>
      </c>
      <c r="I263">
        <v>2</v>
      </c>
      <c r="K263">
        <v>60</v>
      </c>
      <c r="L263">
        <v>5</v>
      </c>
    </row>
    <row r="264" spans="1:12" x14ac:dyDescent="0.25">
      <c r="A264" t="s">
        <v>7152</v>
      </c>
      <c r="B264" t="s">
        <v>9404</v>
      </c>
      <c r="I264">
        <v>2</v>
      </c>
      <c r="K264">
        <v>60</v>
      </c>
      <c r="L264">
        <v>5</v>
      </c>
    </row>
    <row r="271" spans="1:12" x14ac:dyDescent="0.25">
      <c r="A271" t="s">
        <v>7168</v>
      </c>
      <c r="B271" t="s">
        <v>9405</v>
      </c>
      <c r="I271">
        <v>2</v>
      </c>
      <c r="K271">
        <v>60</v>
      </c>
      <c r="L271">
        <v>5</v>
      </c>
    </row>
    <row r="272" spans="1:12" x14ac:dyDescent="0.25">
      <c r="A272" t="s">
        <v>7171</v>
      </c>
      <c r="B272" t="s">
        <v>9406</v>
      </c>
      <c r="I272">
        <v>2</v>
      </c>
      <c r="K272">
        <v>60</v>
      </c>
      <c r="L272">
        <v>5</v>
      </c>
    </row>
    <row r="273" spans="1:12" x14ac:dyDescent="0.25">
      <c r="A273" t="s">
        <v>7179</v>
      </c>
      <c r="B273" t="s">
        <v>9407</v>
      </c>
      <c r="I273">
        <v>2</v>
      </c>
      <c r="K273">
        <v>60</v>
      </c>
      <c r="L273">
        <v>5</v>
      </c>
    </row>
    <row r="274" spans="1:12" x14ac:dyDescent="0.25">
      <c r="A274" t="s">
        <v>7178</v>
      </c>
      <c r="B274" t="s">
        <v>9408</v>
      </c>
      <c r="H274">
        <v>2</v>
      </c>
      <c r="I274">
        <v>1</v>
      </c>
      <c r="K274">
        <v>60</v>
      </c>
      <c r="L274">
        <v>5</v>
      </c>
    </row>
    <row r="275" spans="1:12" x14ac:dyDescent="0.25">
      <c r="A275" t="s">
        <v>8892</v>
      </c>
      <c r="B275" t="s">
        <v>9409</v>
      </c>
      <c r="I275">
        <v>2</v>
      </c>
      <c r="K275">
        <v>60</v>
      </c>
      <c r="L275">
        <v>5</v>
      </c>
    </row>
    <row r="276" spans="1:12" x14ac:dyDescent="0.25">
      <c r="A276" t="s">
        <v>7212</v>
      </c>
      <c r="B276" t="s">
        <v>9410</v>
      </c>
      <c r="I276">
        <v>2</v>
      </c>
      <c r="K276">
        <v>60</v>
      </c>
      <c r="L276">
        <v>5</v>
      </c>
    </row>
    <row r="277" spans="1:12" x14ac:dyDescent="0.25">
      <c r="A277" t="s">
        <v>7211</v>
      </c>
      <c r="B277" t="s">
        <v>9411</v>
      </c>
      <c r="I277">
        <v>2</v>
      </c>
      <c r="K277">
        <v>60</v>
      </c>
      <c r="L277">
        <v>5</v>
      </c>
    </row>
    <row r="278" spans="1:12" x14ac:dyDescent="0.25">
      <c r="A278" t="s">
        <v>7218</v>
      </c>
      <c r="B278" t="s">
        <v>9412</v>
      </c>
      <c r="H278">
        <v>3</v>
      </c>
      <c r="K278">
        <v>60</v>
      </c>
      <c r="L278">
        <v>5</v>
      </c>
    </row>
    <row r="279" spans="1:12" x14ac:dyDescent="0.25">
      <c r="A279" t="s">
        <v>7220</v>
      </c>
      <c r="B279" t="s">
        <v>9413</v>
      </c>
      <c r="I279">
        <v>2</v>
      </c>
      <c r="K279">
        <v>60</v>
      </c>
      <c r="L279">
        <v>5</v>
      </c>
    </row>
    <row r="280" spans="1:12" x14ac:dyDescent="0.25">
      <c r="A280" t="s">
        <v>7219</v>
      </c>
      <c r="B280" t="s">
        <v>9414</v>
      </c>
      <c r="I280">
        <v>2</v>
      </c>
      <c r="K280">
        <v>60</v>
      </c>
      <c r="L280">
        <v>5</v>
      </c>
    </row>
    <row r="281" spans="1:12" x14ac:dyDescent="0.25">
      <c r="A281" t="s">
        <v>8894</v>
      </c>
      <c r="B281" t="s">
        <v>9415</v>
      </c>
      <c r="I281">
        <v>2</v>
      </c>
      <c r="K281">
        <v>60</v>
      </c>
      <c r="L281">
        <v>5</v>
      </c>
    </row>
    <row r="282" spans="1:12" x14ac:dyDescent="0.25">
      <c r="A282" t="s">
        <v>7231</v>
      </c>
      <c r="B282" t="s">
        <v>9416</v>
      </c>
      <c r="I282">
        <v>2</v>
      </c>
      <c r="K282">
        <v>60</v>
      </c>
      <c r="L282">
        <v>5</v>
      </c>
    </row>
    <row r="283" spans="1:12" x14ac:dyDescent="0.25">
      <c r="A283" t="s">
        <v>8896</v>
      </c>
      <c r="B283" t="s">
        <v>9417</v>
      </c>
      <c r="I283">
        <v>2</v>
      </c>
      <c r="K283">
        <v>60</v>
      </c>
      <c r="L283">
        <v>5</v>
      </c>
    </row>
    <row r="284" spans="1:12" x14ac:dyDescent="0.25">
      <c r="A284" t="s">
        <v>7190</v>
      </c>
      <c r="B284" t="s">
        <v>9418</v>
      </c>
      <c r="I284">
        <v>2</v>
      </c>
      <c r="K284">
        <v>60</v>
      </c>
      <c r="L284">
        <v>5</v>
      </c>
    </row>
    <row r="285" spans="1:12" x14ac:dyDescent="0.25">
      <c r="A285" t="s">
        <v>7199</v>
      </c>
      <c r="B285" t="s">
        <v>9419</v>
      </c>
      <c r="I285">
        <v>2</v>
      </c>
      <c r="K285">
        <v>60</v>
      </c>
      <c r="L285">
        <v>5</v>
      </c>
    </row>
    <row r="286" spans="1:12" x14ac:dyDescent="0.25">
      <c r="A286" t="s">
        <v>7244</v>
      </c>
      <c r="B286" t="s">
        <v>9420</v>
      </c>
      <c r="I286">
        <v>2</v>
      </c>
      <c r="K286">
        <v>60</v>
      </c>
      <c r="L286">
        <v>5</v>
      </c>
    </row>
    <row r="287" spans="1:12" x14ac:dyDescent="0.25">
      <c r="A287" t="s">
        <v>7243</v>
      </c>
      <c r="B287" t="s">
        <v>9421</v>
      </c>
      <c r="I287">
        <v>2</v>
      </c>
      <c r="K287">
        <v>60</v>
      </c>
      <c r="L287">
        <v>0.2</v>
      </c>
    </row>
    <row r="288" spans="1:12" x14ac:dyDescent="0.25">
      <c r="A288" t="s">
        <v>8897</v>
      </c>
      <c r="B288" t="s">
        <v>9422</v>
      </c>
      <c r="I288">
        <v>2</v>
      </c>
      <c r="K288">
        <v>60</v>
      </c>
      <c r="L288">
        <v>5</v>
      </c>
    </row>
    <row r="289" spans="1:12" x14ac:dyDescent="0.25">
      <c r="A289" t="s">
        <v>8899</v>
      </c>
      <c r="B289" t="s">
        <v>9423</v>
      </c>
      <c r="I289">
        <v>2</v>
      </c>
      <c r="K289">
        <v>60</v>
      </c>
      <c r="L289">
        <v>5</v>
      </c>
    </row>
    <row r="290" spans="1:12" x14ac:dyDescent="0.25">
      <c r="A290" t="s">
        <v>7291</v>
      </c>
      <c r="B290" t="s">
        <v>9424</v>
      </c>
      <c r="I290">
        <v>2</v>
      </c>
      <c r="K290">
        <v>60</v>
      </c>
      <c r="L290">
        <v>5</v>
      </c>
    </row>
    <row r="291" spans="1:12" x14ac:dyDescent="0.25">
      <c r="A291" s="29" t="s">
        <v>11055</v>
      </c>
      <c r="B291" t="s">
        <v>9425</v>
      </c>
      <c r="D291" t="s">
        <v>9386</v>
      </c>
      <c r="H291">
        <v>3</v>
      </c>
      <c r="I291">
        <v>2</v>
      </c>
      <c r="K291">
        <v>60</v>
      </c>
      <c r="L291">
        <v>5</v>
      </c>
    </row>
    <row r="292" spans="1:12" x14ac:dyDescent="0.25">
      <c r="A292" t="s">
        <v>11054</v>
      </c>
      <c r="B292" t="s">
        <v>9425</v>
      </c>
      <c r="C292">
        <v>1</v>
      </c>
      <c r="D292" t="s">
        <v>11053</v>
      </c>
      <c r="H292">
        <v>1</v>
      </c>
      <c r="I292">
        <v>1</v>
      </c>
      <c r="K292">
        <v>60</v>
      </c>
    </row>
    <row r="293" spans="1:12" x14ac:dyDescent="0.25">
      <c r="A293" s="29" t="s">
        <v>11052</v>
      </c>
      <c r="B293" s="29" t="s">
        <v>11051</v>
      </c>
      <c r="D293" t="s">
        <v>9386</v>
      </c>
      <c r="H293">
        <v>3</v>
      </c>
      <c r="I293">
        <v>2</v>
      </c>
      <c r="K293">
        <v>60</v>
      </c>
      <c r="L293">
        <v>5</v>
      </c>
    </row>
    <row r="294" spans="1:12" x14ac:dyDescent="0.25">
      <c r="A294" t="s">
        <v>7314</v>
      </c>
      <c r="B294" t="s">
        <v>9426</v>
      </c>
      <c r="I294">
        <v>2</v>
      </c>
      <c r="K294">
        <v>60</v>
      </c>
      <c r="L294">
        <v>5</v>
      </c>
    </row>
    <row r="295" spans="1:12" x14ac:dyDescent="0.25">
      <c r="A295" t="s">
        <v>7316</v>
      </c>
      <c r="B295" t="s">
        <v>9427</v>
      </c>
      <c r="D295" t="s">
        <v>9428</v>
      </c>
      <c r="I295">
        <v>2</v>
      </c>
      <c r="K295">
        <v>60</v>
      </c>
      <c r="L295">
        <v>5</v>
      </c>
    </row>
    <row r="296" spans="1:12" x14ac:dyDescent="0.25">
      <c r="A296" t="s">
        <v>7319</v>
      </c>
      <c r="B296" t="s">
        <v>9429</v>
      </c>
      <c r="H296">
        <v>3</v>
      </c>
      <c r="L296">
        <v>5</v>
      </c>
    </row>
    <row r="297" spans="1:12" x14ac:dyDescent="0.25">
      <c r="A297" t="s">
        <v>7327</v>
      </c>
      <c r="B297" t="s">
        <v>9430</v>
      </c>
      <c r="I297">
        <v>2</v>
      </c>
      <c r="K297">
        <v>60</v>
      </c>
      <c r="L297">
        <v>5</v>
      </c>
    </row>
    <row r="298" spans="1:12" x14ac:dyDescent="0.25">
      <c r="A298" t="s">
        <v>7326</v>
      </c>
      <c r="B298" t="s">
        <v>9431</v>
      </c>
      <c r="I298">
        <v>2</v>
      </c>
      <c r="K298">
        <v>60</v>
      </c>
      <c r="L298">
        <v>5</v>
      </c>
    </row>
    <row r="299" spans="1:12" x14ac:dyDescent="0.25">
      <c r="A299" t="s">
        <v>8909</v>
      </c>
      <c r="B299" t="s">
        <v>11230</v>
      </c>
      <c r="I299">
        <v>2</v>
      </c>
      <c r="K299">
        <v>60</v>
      </c>
      <c r="L299">
        <v>5</v>
      </c>
    </row>
    <row r="300" spans="1:12" x14ac:dyDescent="0.25">
      <c r="A300" t="s">
        <v>7353</v>
      </c>
      <c r="B300" t="s">
        <v>9432</v>
      </c>
      <c r="I300">
        <v>2</v>
      </c>
      <c r="K300">
        <v>60</v>
      </c>
      <c r="L300">
        <v>5</v>
      </c>
    </row>
    <row r="301" spans="1:12" x14ac:dyDescent="0.25">
      <c r="A301" t="s">
        <v>7362</v>
      </c>
      <c r="B301" t="s">
        <v>9433</v>
      </c>
      <c r="I301">
        <v>2</v>
      </c>
      <c r="K301">
        <v>60</v>
      </c>
      <c r="L301">
        <v>5</v>
      </c>
    </row>
    <row r="302" spans="1:12" x14ac:dyDescent="0.25">
      <c r="A302" t="s">
        <v>7367</v>
      </c>
      <c r="B302" t="s">
        <v>9434</v>
      </c>
      <c r="I302">
        <v>2</v>
      </c>
      <c r="K302">
        <v>60</v>
      </c>
      <c r="L302">
        <v>5</v>
      </c>
    </row>
    <row r="303" spans="1:12" x14ac:dyDescent="0.25">
      <c r="A303" t="s">
        <v>7366</v>
      </c>
      <c r="B303" t="s">
        <v>9435</v>
      </c>
      <c r="I303">
        <v>2</v>
      </c>
      <c r="K303">
        <v>60</v>
      </c>
      <c r="L303">
        <v>5</v>
      </c>
    </row>
    <row r="304" spans="1:12" x14ac:dyDescent="0.25">
      <c r="A304" t="s">
        <v>7385</v>
      </c>
      <c r="B304" t="s">
        <v>9436</v>
      </c>
      <c r="J304">
        <v>2</v>
      </c>
      <c r="L304">
        <v>60</v>
      </c>
    </row>
    <row r="305" spans="1:12" x14ac:dyDescent="0.25">
      <c r="A305" t="s">
        <v>7388</v>
      </c>
      <c r="B305" t="s">
        <v>9437</v>
      </c>
      <c r="H305">
        <v>3</v>
      </c>
      <c r="I305">
        <v>2</v>
      </c>
      <c r="K305">
        <v>60</v>
      </c>
      <c r="L305">
        <v>5</v>
      </c>
    </row>
    <row r="306" spans="1:12" x14ac:dyDescent="0.25">
      <c r="A306" t="s">
        <v>7395</v>
      </c>
      <c r="B306" t="s">
        <v>9438</v>
      </c>
      <c r="J306">
        <v>2</v>
      </c>
      <c r="L306">
        <v>30</v>
      </c>
    </row>
    <row r="307" spans="1:12" x14ac:dyDescent="0.25">
      <c r="A307" t="s">
        <v>7407</v>
      </c>
      <c r="B307" t="s">
        <v>9439</v>
      </c>
      <c r="I307">
        <v>2</v>
      </c>
      <c r="K307">
        <v>60</v>
      </c>
      <c r="L307">
        <v>40</v>
      </c>
    </row>
    <row r="314" spans="1:12" x14ac:dyDescent="0.25">
      <c r="A314" s="29"/>
    </row>
    <row r="315" spans="1:12" x14ac:dyDescent="0.25">
      <c r="A315" t="s">
        <v>7410</v>
      </c>
      <c r="B315" t="s">
        <v>9440</v>
      </c>
      <c r="I315">
        <v>2</v>
      </c>
      <c r="K315">
        <v>60</v>
      </c>
      <c r="L315">
        <v>5</v>
      </c>
    </row>
    <row r="316" spans="1:12" x14ac:dyDescent="0.25">
      <c r="A316" t="s">
        <v>8922</v>
      </c>
      <c r="B316" t="s">
        <v>9441</v>
      </c>
      <c r="E316" t="s">
        <v>7049</v>
      </c>
      <c r="F316">
        <v>1</v>
      </c>
      <c r="H316">
        <v>4</v>
      </c>
      <c r="I316">
        <v>2</v>
      </c>
    </row>
    <row r="317" spans="1:12" x14ac:dyDescent="0.25">
      <c r="A317" t="s">
        <v>7419</v>
      </c>
      <c r="B317" t="s">
        <v>9442</v>
      </c>
      <c r="I317">
        <v>2</v>
      </c>
      <c r="K317">
        <v>60</v>
      </c>
      <c r="L317">
        <v>5</v>
      </c>
    </row>
    <row r="318" spans="1:12" x14ac:dyDescent="0.25">
      <c r="A318" t="s">
        <v>7418</v>
      </c>
      <c r="B318" t="s">
        <v>9443</v>
      </c>
      <c r="I318">
        <v>2</v>
      </c>
      <c r="K318">
        <v>60</v>
      </c>
      <c r="L318">
        <v>5</v>
      </c>
    </row>
    <row r="319" spans="1:12" x14ac:dyDescent="0.25">
      <c r="A319" t="s">
        <v>7423</v>
      </c>
      <c r="B319" t="s">
        <v>9444</v>
      </c>
      <c r="I319">
        <v>2</v>
      </c>
      <c r="K319">
        <v>60</v>
      </c>
      <c r="L319">
        <v>5</v>
      </c>
    </row>
    <row r="320" spans="1:12" x14ac:dyDescent="0.25">
      <c r="A320" t="s">
        <v>7433</v>
      </c>
      <c r="B320" t="s">
        <v>9445</v>
      </c>
      <c r="I320">
        <v>2</v>
      </c>
      <c r="K320">
        <v>60</v>
      </c>
      <c r="L320">
        <v>5</v>
      </c>
    </row>
    <row r="321" spans="1:12" x14ac:dyDescent="0.25">
      <c r="A321" t="s">
        <v>7432</v>
      </c>
      <c r="B321" t="s">
        <v>9446</v>
      </c>
      <c r="I321">
        <v>2</v>
      </c>
      <c r="K321">
        <v>60</v>
      </c>
      <c r="L321">
        <v>5</v>
      </c>
    </row>
    <row r="322" spans="1:12" x14ac:dyDescent="0.25">
      <c r="A322" t="s">
        <v>8927</v>
      </c>
      <c r="B322" t="s">
        <v>9447</v>
      </c>
      <c r="I322">
        <v>2</v>
      </c>
      <c r="K322">
        <v>60</v>
      </c>
      <c r="L322">
        <v>40</v>
      </c>
    </row>
    <row r="323" spans="1:12" x14ac:dyDescent="0.25">
      <c r="A323" t="s">
        <v>7440</v>
      </c>
      <c r="B323" t="s">
        <v>9448</v>
      </c>
      <c r="I323">
        <v>2</v>
      </c>
      <c r="K323">
        <v>60</v>
      </c>
      <c r="L323">
        <v>5</v>
      </c>
    </row>
    <row r="324" spans="1:12" x14ac:dyDescent="0.25">
      <c r="A324" t="s">
        <v>7439</v>
      </c>
      <c r="B324" t="s">
        <v>9449</v>
      </c>
      <c r="I324">
        <v>2</v>
      </c>
      <c r="K324">
        <v>60</v>
      </c>
      <c r="L324">
        <v>5</v>
      </c>
    </row>
    <row r="325" spans="1:12" x14ac:dyDescent="0.25">
      <c r="A325" t="s">
        <v>7445</v>
      </c>
      <c r="B325" t="s">
        <v>9450</v>
      </c>
      <c r="I325">
        <v>2</v>
      </c>
      <c r="K325">
        <v>60</v>
      </c>
      <c r="L325">
        <v>5</v>
      </c>
    </row>
    <row r="326" spans="1:12" x14ac:dyDescent="0.25">
      <c r="A326" t="s">
        <v>7444</v>
      </c>
      <c r="B326" t="s">
        <v>9451</v>
      </c>
      <c r="I326">
        <v>2</v>
      </c>
      <c r="K326">
        <v>60</v>
      </c>
      <c r="L326">
        <v>5</v>
      </c>
    </row>
    <row r="327" spans="1:12" x14ac:dyDescent="0.25">
      <c r="A327" t="s">
        <v>7447</v>
      </c>
      <c r="B327" t="s">
        <v>9452</v>
      </c>
      <c r="I327">
        <v>2</v>
      </c>
      <c r="K327">
        <v>60</v>
      </c>
      <c r="L327">
        <v>5</v>
      </c>
    </row>
    <row r="328" spans="1:12" x14ac:dyDescent="0.25">
      <c r="A328" t="s">
        <v>7446</v>
      </c>
      <c r="B328" t="s">
        <v>9453</v>
      </c>
      <c r="I328">
        <v>2</v>
      </c>
      <c r="K328">
        <v>60</v>
      </c>
      <c r="L328">
        <v>5</v>
      </c>
    </row>
    <row r="329" spans="1:12" x14ac:dyDescent="0.25">
      <c r="A329" t="s">
        <v>8929</v>
      </c>
      <c r="B329" t="s">
        <v>9454</v>
      </c>
      <c r="I329">
        <v>2</v>
      </c>
      <c r="K329">
        <v>60</v>
      </c>
      <c r="L329">
        <v>40</v>
      </c>
    </row>
    <row r="330" spans="1:12" x14ac:dyDescent="0.25">
      <c r="A330" t="s">
        <v>8931</v>
      </c>
      <c r="B330" t="s">
        <v>11231</v>
      </c>
      <c r="E330" t="s">
        <v>11232</v>
      </c>
      <c r="F330">
        <v>1</v>
      </c>
      <c r="H330">
        <v>2</v>
      </c>
      <c r="I330">
        <v>1</v>
      </c>
    </row>
    <row r="331" spans="1:12" x14ac:dyDescent="0.25">
      <c r="A331" t="s">
        <v>8933</v>
      </c>
      <c r="B331" t="s">
        <v>11233</v>
      </c>
      <c r="E331" t="s">
        <v>9375</v>
      </c>
      <c r="F331">
        <v>1</v>
      </c>
      <c r="H331">
        <v>2</v>
      </c>
      <c r="I331">
        <v>1</v>
      </c>
    </row>
    <row r="332" spans="1:12" x14ac:dyDescent="0.25">
      <c r="A332" t="s">
        <v>7457</v>
      </c>
      <c r="B332" t="s">
        <v>9455</v>
      </c>
      <c r="I332">
        <v>2</v>
      </c>
      <c r="K332">
        <v>60</v>
      </c>
      <c r="L332">
        <v>40</v>
      </c>
    </row>
    <row r="333" spans="1:12" x14ac:dyDescent="0.25">
      <c r="A333" t="s">
        <v>7460</v>
      </c>
      <c r="B333" t="s">
        <v>9456</v>
      </c>
      <c r="I333">
        <v>2</v>
      </c>
      <c r="K333">
        <v>60</v>
      </c>
      <c r="L333">
        <v>5</v>
      </c>
    </row>
    <row r="334" spans="1:12" x14ac:dyDescent="0.25">
      <c r="A334" t="s">
        <v>7459</v>
      </c>
      <c r="B334" t="s">
        <v>9457</v>
      </c>
      <c r="D334" t="s">
        <v>9386</v>
      </c>
      <c r="H334">
        <v>4</v>
      </c>
      <c r="I334">
        <v>2</v>
      </c>
      <c r="K334">
        <v>60</v>
      </c>
      <c r="L334">
        <v>0.2</v>
      </c>
    </row>
    <row r="335" spans="1:12" x14ac:dyDescent="0.25">
      <c r="A335" t="s">
        <v>7464</v>
      </c>
      <c r="B335" t="s">
        <v>9458</v>
      </c>
      <c r="I335">
        <v>2</v>
      </c>
      <c r="K335">
        <v>60</v>
      </c>
      <c r="L335">
        <v>5</v>
      </c>
    </row>
    <row r="336" spans="1:12" x14ac:dyDescent="0.25">
      <c r="A336" t="s">
        <v>7463</v>
      </c>
      <c r="B336" t="s">
        <v>9459</v>
      </c>
      <c r="I336">
        <v>2</v>
      </c>
      <c r="K336">
        <v>60</v>
      </c>
      <c r="L336">
        <v>5</v>
      </c>
    </row>
    <row r="337" spans="1:12" x14ac:dyDescent="0.25">
      <c r="A337" t="s">
        <v>8936</v>
      </c>
      <c r="B337" t="s">
        <v>9460</v>
      </c>
      <c r="E337" t="s">
        <v>9461</v>
      </c>
      <c r="F337">
        <v>1</v>
      </c>
      <c r="H337">
        <v>2</v>
      </c>
      <c r="I337">
        <v>1</v>
      </c>
    </row>
    <row r="338" spans="1:12" x14ac:dyDescent="0.25">
      <c r="A338" t="s">
        <v>8937</v>
      </c>
      <c r="B338" t="s">
        <v>9462</v>
      </c>
      <c r="H338">
        <v>3</v>
      </c>
      <c r="K338">
        <v>60</v>
      </c>
      <c r="L338">
        <v>5</v>
      </c>
    </row>
    <row r="339" spans="1:12" x14ac:dyDescent="0.25">
      <c r="A339" t="s">
        <v>7481</v>
      </c>
      <c r="B339" t="s">
        <v>9463</v>
      </c>
      <c r="E339" t="s">
        <v>4249</v>
      </c>
      <c r="I339">
        <v>2</v>
      </c>
      <c r="K339">
        <v>60</v>
      </c>
      <c r="L339">
        <v>5</v>
      </c>
    </row>
    <row r="340" spans="1:12" x14ac:dyDescent="0.25">
      <c r="A340" t="s">
        <v>7494</v>
      </c>
      <c r="B340" t="s">
        <v>9464</v>
      </c>
      <c r="I340">
        <v>2</v>
      </c>
      <c r="K340">
        <v>60</v>
      </c>
      <c r="L340">
        <v>5</v>
      </c>
    </row>
    <row r="341" spans="1:12" x14ac:dyDescent="0.25">
      <c r="A341" t="s">
        <v>8926</v>
      </c>
      <c r="B341" t="s">
        <v>9465</v>
      </c>
      <c r="E341" t="s">
        <v>9466</v>
      </c>
      <c r="F341">
        <v>1</v>
      </c>
      <c r="H341">
        <v>2</v>
      </c>
      <c r="I341">
        <v>1</v>
      </c>
    </row>
    <row r="342" spans="1:12" x14ac:dyDescent="0.25">
      <c r="A342" t="s">
        <v>7503</v>
      </c>
      <c r="B342" t="s">
        <v>9467</v>
      </c>
      <c r="I342">
        <v>2</v>
      </c>
      <c r="K342">
        <v>60</v>
      </c>
      <c r="L342">
        <v>5</v>
      </c>
    </row>
    <row r="343" spans="1:12" x14ac:dyDescent="0.25">
      <c r="A343" t="s">
        <v>7502</v>
      </c>
      <c r="B343" t="s">
        <v>9468</v>
      </c>
      <c r="I343">
        <v>2</v>
      </c>
      <c r="K343">
        <v>60</v>
      </c>
      <c r="L343">
        <v>5</v>
      </c>
    </row>
    <row r="344" spans="1:12" x14ac:dyDescent="0.25">
      <c r="A344" t="s">
        <v>7507</v>
      </c>
      <c r="B344" t="s">
        <v>9469</v>
      </c>
      <c r="I344">
        <v>2</v>
      </c>
      <c r="K344">
        <v>60</v>
      </c>
      <c r="L344">
        <v>5</v>
      </c>
    </row>
    <row r="345" spans="1:12" x14ac:dyDescent="0.25">
      <c r="A345" t="s">
        <v>7514</v>
      </c>
      <c r="B345" t="s">
        <v>9470</v>
      </c>
      <c r="I345">
        <v>2</v>
      </c>
      <c r="K345">
        <v>60</v>
      </c>
      <c r="L345">
        <v>5</v>
      </c>
    </row>
    <row r="346" spans="1:12" x14ac:dyDescent="0.25">
      <c r="A346" t="s">
        <v>7513</v>
      </c>
      <c r="B346" t="s">
        <v>9471</v>
      </c>
      <c r="I346">
        <v>2</v>
      </c>
      <c r="K346">
        <v>60</v>
      </c>
      <c r="L346">
        <v>5</v>
      </c>
    </row>
    <row r="347" spans="1:12" x14ac:dyDescent="0.25">
      <c r="A347" s="29" t="s">
        <v>11050</v>
      </c>
      <c r="B347" t="s">
        <v>9472</v>
      </c>
      <c r="I347">
        <v>2</v>
      </c>
      <c r="K347">
        <v>60</v>
      </c>
      <c r="L347">
        <v>5</v>
      </c>
    </row>
    <row r="348" spans="1:12" x14ac:dyDescent="0.25">
      <c r="A348" t="s">
        <v>7521</v>
      </c>
      <c r="B348" t="s">
        <v>9473</v>
      </c>
      <c r="I348">
        <v>2</v>
      </c>
      <c r="K348">
        <v>60</v>
      </c>
      <c r="L348">
        <v>5</v>
      </c>
    </row>
    <row r="349" spans="1:12" x14ac:dyDescent="0.25">
      <c r="A349" t="s">
        <v>7527</v>
      </c>
      <c r="B349" t="s">
        <v>9474</v>
      </c>
      <c r="I349">
        <v>2</v>
      </c>
      <c r="K349">
        <v>60</v>
      </c>
      <c r="L349">
        <v>5</v>
      </c>
    </row>
    <row r="350" spans="1:12" x14ac:dyDescent="0.25">
      <c r="A350" t="s">
        <v>7526</v>
      </c>
      <c r="B350" t="s">
        <v>9475</v>
      </c>
      <c r="I350">
        <v>2</v>
      </c>
      <c r="K350">
        <v>60</v>
      </c>
      <c r="L350">
        <v>5</v>
      </c>
    </row>
    <row r="351" spans="1:12" x14ac:dyDescent="0.25">
      <c r="A351" t="s">
        <v>7542</v>
      </c>
      <c r="B351" t="s">
        <v>9476</v>
      </c>
      <c r="I351">
        <v>2</v>
      </c>
      <c r="K351">
        <v>60</v>
      </c>
      <c r="L351">
        <v>5</v>
      </c>
    </row>
    <row r="352" spans="1:12" x14ac:dyDescent="0.25">
      <c r="A352" t="s">
        <v>7543</v>
      </c>
      <c r="B352" t="s">
        <v>9477</v>
      </c>
      <c r="I352">
        <v>2</v>
      </c>
      <c r="K352">
        <v>60</v>
      </c>
      <c r="L352">
        <v>5</v>
      </c>
    </row>
    <row r="353" spans="1:12" x14ac:dyDescent="0.25">
      <c r="A353" t="s">
        <v>7555</v>
      </c>
      <c r="B353" t="s">
        <v>9478</v>
      </c>
      <c r="I353">
        <v>2</v>
      </c>
      <c r="K353">
        <v>60</v>
      </c>
      <c r="L353">
        <v>5</v>
      </c>
    </row>
    <row r="354" spans="1:12" x14ac:dyDescent="0.25">
      <c r="A354" t="s">
        <v>7554</v>
      </c>
      <c r="B354" t="s">
        <v>9479</v>
      </c>
      <c r="I354">
        <v>2</v>
      </c>
      <c r="K354">
        <v>60</v>
      </c>
      <c r="L354">
        <v>1</v>
      </c>
    </row>
    <row r="355" spans="1:12" x14ac:dyDescent="0.25">
      <c r="A355" t="s">
        <v>7557</v>
      </c>
      <c r="B355" t="s">
        <v>9480</v>
      </c>
      <c r="I355">
        <v>2</v>
      </c>
      <c r="K355">
        <v>60</v>
      </c>
      <c r="L355">
        <v>30</v>
      </c>
    </row>
    <row r="356" spans="1:12" x14ac:dyDescent="0.25">
      <c r="A356" t="s">
        <v>7556</v>
      </c>
      <c r="B356" t="s">
        <v>9481</v>
      </c>
      <c r="I356">
        <v>2</v>
      </c>
      <c r="K356">
        <v>60</v>
      </c>
      <c r="L356">
        <v>5</v>
      </c>
    </row>
    <row r="357" spans="1:12" x14ac:dyDescent="0.25">
      <c r="A357" t="s">
        <v>7562</v>
      </c>
      <c r="B357" t="s">
        <v>9482</v>
      </c>
      <c r="I357">
        <v>2</v>
      </c>
      <c r="K357">
        <v>60</v>
      </c>
      <c r="L357">
        <v>5</v>
      </c>
    </row>
    <row r="358" spans="1:12" x14ac:dyDescent="0.25">
      <c r="A358" t="s">
        <v>7572</v>
      </c>
      <c r="B358" t="s">
        <v>9483</v>
      </c>
      <c r="D358" t="s">
        <v>9307</v>
      </c>
      <c r="I358">
        <v>2</v>
      </c>
      <c r="K358">
        <v>60</v>
      </c>
      <c r="L358">
        <v>5</v>
      </c>
    </row>
    <row r="359" spans="1:12" x14ac:dyDescent="0.25">
      <c r="A359" t="s">
        <v>7573</v>
      </c>
      <c r="B359" t="s">
        <v>9484</v>
      </c>
      <c r="I359">
        <v>2</v>
      </c>
      <c r="K359">
        <v>60</v>
      </c>
      <c r="L359">
        <v>5</v>
      </c>
    </row>
    <row r="360" spans="1:12" x14ac:dyDescent="0.25">
      <c r="A360" t="s">
        <v>7574</v>
      </c>
      <c r="B360" t="s">
        <v>9485</v>
      </c>
      <c r="I360">
        <v>2</v>
      </c>
      <c r="K360">
        <v>90</v>
      </c>
      <c r="L360">
        <v>1.5</v>
      </c>
    </row>
    <row r="361" spans="1:12" x14ac:dyDescent="0.25">
      <c r="A361" t="s">
        <v>7578</v>
      </c>
      <c r="B361" t="s">
        <v>9486</v>
      </c>
      <c r="I361">
        <v>2</v>
      </c>
      <c r="K361">
        <v>60</v>
      </c>
      <c r="L361">
        <v>5</v>
      </c>
    </row>
    <row r="362" spans="1:12" x14ac:dyDescent="0.25">
      <c r="A362" t="s">
        <v>7577</v>
      </c>
      <c r="B362" t="s">
        <v>9487</v>
      </c>
      <c r="I362">
        <v>2</v>
      </c>
      <c r="K362">
        <v>60</v>
      </c>
      <c r="L362">
        <v>5</v>
      </c>
    </row>
    <row r="363" spans="1:12" x14ac:dyDescent="0.25">
      <c r="A363" t="s">
        <v>7591</v>
      </c>
      <c r="B363" t="s">
        <v>9488</v>
      </c>
      <c r="I363">
        <v>2</v>
      </c>
      <c r="K363">
        <v>60</v>
      </c>
      <c r="L363">
        <v>2</v>
      </c>
    </row>
    <row r="364" spans="1:12" x14ac:dyDescent="0.25">
      <c r="A364" t="s">
        <v>7596</v>
      </c>
      <c r="B364" t="s">
        <v>9489</v>
      </c>
      <c r="I364">
        <v>2</v>
      </c>
      <c r="K364">
        <v>60</v>
      </c>
      <c r="L364">
        <v>5</v>
      </c>
    </row>
    <row r="365" spans="1:12" x14ac:dyDescent="0.25">
      <c r="A365" t="s">
        <v>7604</v>
      </c>
      <c r="B365" t="s">
        <v>9490</v>
      </c>
      <c r="I365">
        <v>2</v>
      </c>
      <c r="K365">
        <v>60</v>
      </c>
      <c r="L365">
        <v>5</v>
      </c>
    </row>
    <row r="366" spans="1:12" x14ac:dyDescent="0.25">
      <c r="A366" t="s">
        <v>7605</v>
      </c>
      <c r="B366" t="s">
        <v>9491</v>
      </c>
      <c r="I366">
        <v>2</v>
      </c>
      <c r="K366">
        <v>60</v>
      </c>
      <c r="L366">
        <v>5</v>
      </c>
    </row>
    <row r="367" spans="1:12" x14ac:dyDescent="0.25">
      <c r="A367" t="s">
        <v>8940</v>
      </c>
      <c r="B367" t="s">
        <v>9492</v>
      </c>
      <c r="I367">
        <v>2</v>
      </c>
      <c r="K367">
        <v>60</v>
      </c>
      <c r="L367">
        <v>40</v>
      </c>
    </row>
    <row r="368" spans="1:12" x14ac:dyDescent="0.25">
      <c r="A368" t="s">
        <v>7627</v>
      </c>
      <c r="B368" t="s">
        <v>9493</v>
      </c>
      <c r="I368">
        <v>2</v>
      </c>
      <c r="K368">
        <v>60</v>
      </c>
      <c r="L368">
        <v>5</v>
      </c>
    </row>
    <row r="369" spans="1:12" x14ac:dyDescent="0.25">
      <c r="A369" t="s">
        <v>7626</v>
      </c>
      <c r="B369" t="s">
        <v>9494</v>
      </c>
      <c r="I369">
        <v>2</v>
      </c>
      <c r="K369">
        <v>60</v>
      </c>
      <c r="L369">
        <v>5</v>
      </c>
    </row>
    <row r="370" spans="1:12" x14ac:dyDescent="0.25">
      <c r="A370" t="s">
        <v>7639</v>
      </c>
      <c r="B370" t="s">
        <v>9495</v>
      </c>
      <c r="I370">
        <v>2</v>
      </c>
      <c r="K370">
        <v>60</v>
      </c>
      <c r="L370">
        <v>5</v>
      </c>
    </row>
    <row r="371" spans="1:12" x14ac:dyDescent="0.25">
      <c r="A371" t="s">
        <v>7638</v>
      </c>
      <c r="B371" t="s">
        <v>9496</v>
      </c>
      <c r="I371">
        <v>2</v>
      </c>
      <c r="K371">
        <v>60</v>
      </c>
      <c r="L371">
        <v>5</v>
      </c>
    </row>
    <row r="372" spans="1:12" x14ac:dyDescent="0.25">
      <c r="A372" t="s">
        <v>8942</v>
      </c>
      <c r="B372" t="s">
        <v>9497</v>
      </c>
      <c r="D372" t="s">
        <v>9386</v>
      </c>
      <c r="H372">
        <v>3</v>
      </c>
      <c r="I372">
        <v>2</v>
      </c>
      <c r="K372">
        <v>60</v>
      </c>
      <c r="L372">
        <v>40</v>
      </c>
    </row>
    <row r="373" spans="1:12" x14ac:dyDescent="0.25">
      <c r="A373" t="s">
        <v>7648</v>
      </c>
      <c r="B373" t="s">
        <v>9498</v>
      </c>
      <c r="I373">
        <v>2</v>
      </c>
      <c r="K373">
        <v>60</v>
      </c>
      <c r="L373">
        <v>5</v>
      </c>
    </row>
    <row r="374" spans="1:12" x14ac:dyDescent="0.25">
      <c r="A374" t="s">
        <v>7647</v>
      </c>
      <c r="B374" t="s">
        <v>9499</v>
      </c>
      <c r="I374">
        <v>2</v>
      </c>
      <c r="K374">
        <v>60</v>
      </c>
      <c r="L374">
        <v>5</v>
      </c>
    </row>
    <row r="375" spans="1:12" x14ac:dyDescent="0.25">
      <c r="A375" t="s">
        <v>8945</v>
      </c>
      <c r="B375" t="s">
        <v>9500</v>
      </c>
      <c r="E375" t="s">
        <v>3383</v>
      </c>
      <c r="I375">
        <v>2</v>
      </c>
      <c r="K375">
        <v>60</v>
      </c>
      <c r="L375">
        <v>40</v>
      </c>
    </row>
    <row r="376" spans="1:12" x14ac:dyDescent="0.25">
      <c r="A376" t="s">
        <v>7658</v>
      </c>
      <c r="B376" t="s">
        <v>9501</v>
      </c>
      <c r="I376">
        <v>0</v>
      </c>
      <c r="K376">
        <v>60</v>
      </c>
      <c r="L376">
        <v>5</v>
      </c>
    </row>
    <row r="377" spans="1:12" x14ac:dyDescent="0.25">
      <c r="A377" t="s">
        <v>7660</v>
      </c>
      <c r="B377" t="s">
        <v>9502</v>
      </c>
      <c r="H377">
        <v>3</v>
      </c>
      <c r="I377">
        <v>2</v>
      </c>
      <c r="K377">
        <v>60</v>
      </c>
      <c r="L377">
        <v>5</v>
      </c>
    </row>
    <row r="378" spans="1:12" x14ac:dyDescent="0.25">
      <c r="A378" t="s">
        <v>7676</v>
      </c>
      <c r="B378" t="s">
        <v>9503</v>
      </c>
      <c r="H378">
        <v>3</v>
      </c>
      <c r="K378">
        <v>60</v>
      </c>
      <c r="L378">
        <v>5</v>
      </c>
    </row>
    <row r="379" spans="1:12" x14ac:dyDescent="0.25">
      <c r="A379" t="s">
        <v>7674</v>
      </c>
      <c r="B379" t="s">
        <v>9504</v>
      </c>
      <c r="H379">
        <v>3</v>
      </c>
      <c r="I379">
        <v>2</v>
      </c>
      <c r="K379">
        <v>60</v>
      </c>
      <c r="L379">
        <v>5</v>
      </c>
    </row>
    <row r="380" spans="1:12" x14ac:dyDescent="0.25">
      <c r="A380" t="s">
        <v>7675</v>
      </c>
      <c r="B380" t="s">
        <v>9505</v>
      </c>
      <c r="J380">
        <v>2</v>
      </c>
      <c r="K380">
        <v>60</v>
      </c>
      <c r="L380">
        <v>5</v>
      </c>
    </row>
    <row r="381" spans="1:12" x14ac:dyDescent="0.25">
      <c r="A381" t="s">
        <v>7681</v>
      </c>
      <c r="B381" t="s">
        <v>9506</v>
      </c>
      <c r="H381">
        <v>3</v>
      </c>
      <c r="I381">
        <v>2</v>
      </c>
      <c r="K381">
        <v>60</v>
      </c>
      <c r="L381">
        <v>5</v>
      </c>
    </row>
    <row r="382" spans="1:12" x14ac:dyDescent="0.25">
      <c r="A382" s="29" t="s">
        <v>11049</v>
      </c>
      <c r="B382" t="s">
        <v>9507</v>
      </c>
      <c r="H382">
        <v>4</v>
      </c>
      <c r="I382">
        <v>2</v>
      </c>
      <c r="K382">
        <v>60</v>
      </c>
      <c r="L382">
        <v>5</v>
      </c>
    </row>
    <row r="383" spans="1:12" x14ac:dyDescent="0.25">
      <c r="A383" s="29" t="s">
        <v>11048</v>
      </c>
      <c r="B383" s="29" t="s">
        <v>11047</v>
      </c>
      <c r="H383">
        <v>4</v>
      </c>
      <c r="I383">
        <v>2</v>
      </c>
      <c r="K383">
        <v>60</v>
      </c>
      <c r="L383">
        <v>5</v>
      </c>
    </row>
    <row r="384" spans="1:12" x14ac:dyDescent="0.25">
      <c r="A384" s="29" t="s">
        <v>11046</v>
      </c>
      <c r="B384" s="29" t="s">
        <v>11045</v>
      </c>
      <c r="H384">
        <v>4</v>
      </c>
      <c r="I384">
        <v>2</v>
      </c>
      <c r="K384">
        <v>60</v>
      </c>
      <c r="L384">
        <v>5</v>
      </c>
    </row>
    <row r="385" spans="1:12" x14ac:dyDescent="0.25">
      <c r="A385" s="29" t="s">
        <v>11044</v>
      </c>
      <c r="B385" s="29" t="s">
        <v>11043</v>
      </c>
      <c r="H385">
        <v>4</v>
      </c>
      <c r="I385">
        <v>2</v>
      </c>
      <c r="K385">
        <v>60</v>
      </c>
      <c r="L385">
        <v>5</v>
      </c>
    </row>
    <row r="386" spans="1:12" x14ac:dyDescent="0.25">
      <c r="A386" t="s">
        <v>8952</v>
      </c>
      <c r="B386" t="s">
        <v>9508</v>
      </c>
      <c r="J386">
        <v>2</v>
      </c>
      <c r="L386">
        <v>5</v>
      </c>
    </row>
    <row r="387" spans="1:12" x14ac:dyDescent="0.25">
      <c r="A387" t="s">
        <v>7694</v>
      </c>
      <c r="B387" t="s">
        <v>9509</v>
      </c>
      <c r="H387">
        <v>4</v>
      </c>
      <c r="I387">
        <v>2</v>
      </c>
      <c r="K387">
        <v>60</v>
      </c>
      <c r="L387">
        <v>5</v>
      </c>
    </row>
    <row r="388" spans="1:12" x14ac:dyDescent="0.25">
      <c r="A388" t="s">
        <v>7696</v>
      </c>
      <c r="B388" t="s">
        <v>9510</v>
      </c>
      <c r="I388">
        <v>2</v>
      </c>
      <c r="K388">
        <v>60</v>
      </c>
      <c r="L388">
        <v>5</v>
      </c>
    </row>
    <row r="389" spans="1:12" x14ac:dyDescent="0.25">
      <c r="A389" t="s">
        <v>9511</v>
      </c>
      <c r="B389" t="s">
        <v>9512</v>
      </c>
      <c r="I389">
        <v>2</v>
      </c>
      <c r="K389">
        <v>60</v>
      </c>
      <c r="L389">
        <v>5</v>
      </c>
    </row>
    <row r="390" spans="1:12" x14ac:dyDescent="0.25">
      <c r="A390" t="s">
        <v>9513</v>
      </c>
      <c r="B390" t="s">
        <v>9514</v>
      </c>
      <c r="I390">
        <v>2</v>
      </c>
      <c r="K390">
        <v>60</v>
      </c>
      <c r="L390">
        <v>5</v>
      </c>
    </row>
    <row r="391" spans="1:12" x14ac:dyDescent="0.25">
      <c r="A391" t="s">
        <v>7715</v>
      </c>
      <c r="B391" t="s">
        <v>9515</v>
      </c>
      <c r="I391">
        <v>2</v>
      </c>
      <c r="K391">
        <v>60</v>
      </c>
      <c r="L391">
        <v>5</v>
      </c>
    </row>
    <row r="392" spans="1:12" x14ac:dyDescent="0.25">
      <c r="A392" t="s">
        <v>7714</v>
      </c>
      <c r="B392" t="s">
        <v>9516</v>
      </c>
      <c r="E392" t="s">
        <v>4249</v>
      </c>
      <c r="I392">
        <v>2</v>
      </c>
      <c r="K392">
        <v>60</v>
      </c>
      <c r="L392">
        <v>5</v>
      </c>
    </row>
    <row r="393" spans="1:12" x14ac:dyDescent="0.25">
      <c r="A393" t="s">
        <v>8955</v>
      </c>
      <c r="B393" t="s">
        <v>9517</v>
      </c>
      <c r="D393" s="29" t="s">
        <v>11042</v>
      </c>
      <c r="E393" t="s">
        <v>9461</v>
      </c>
      <c r="F393">
        <v>1</v>
      </c>
      <c r="G393">
        <v>1</v>
      </c>
      <c r="H393">
        <v>2</v>
      </c>
      <c r="I393">
        <v>1</v>
      </c>
      <c r="J393">
        <v>2</v>
      </c>
      <c r="K393">
        <v>60</v>
      </c>
      <c r="L393">
        <v>5</v>
      </c>
    </row>
    <row r="394" spans="1:12" x14ac:dyDescent="0.25">
      <c r="A394" t="s">
        <v>7728</v>
      </c>
      <c r="B394" t="s">
        <v>9518</v>
      </c>
      <c r="I394">
        <v>2</v>
      </c>
      <c r="K394">
        <v>60</v>
      </c>
      <c r="L394">
        <v>5</v>
      </c>
    </row>
    <row r="395" spans="1:12" x14ac:dyDescent="0.25">
      <c r="A395" t="s">
        <v>7736</v>
      </c>
      <c r="B395" t="s">
        <v>9519</v>
      </c>
      <c r="I395">
        <v>2</v>
      </c>
      <c r="K395">
        <v>60</v>
      </c>
      <c r="L395">
        <v>5</v>
      </c>
    </row>
    <row r="396" spans="1:12" x14ac:dyDescent="0.25">
      <c r="A396" t="s">
        <v>7735</v>
      </c>
      <c r="B396" t="s">
        <v>9520</v>
      </c>
      <c r="I396">
        <v>2</v>
      </c>
      <c r="K396">
        <v>60</v>
      </c>
      <c r="L396">
        <v>5</v>
      </c>
    </row>
    <row r="397" spans="1:12" x14ac:dyDescent="0.25">
      <c r="A397" t="s">
        <v>7748</v>
      </c>
      <c r="B397" t="s">
        <v>9521</v>
      </c>
      <c r="I397">
        <v>2</v>
      </c>
      <c r="K397">
        <v>60</v>
      </c>
      <c r="L397">
        <v>1</v>
      </c>
    </row>
    <row r="398" spans="1:12" x14ac:dyDescent="0.25">
      <c r="A398" t="s">
        <v>7749</v>
      </c>
      <c r="B398" t="s">
        <v>9522</v>
      </c>
      <c r="I398">
        <v>2</v>
      </c>
      <c r="K398">
        <v>0</v>
      </c>
      <c r="L398">
        <v>5</v>
      </c>
    </row>
    <row r="399" spans="1:12" x14ac:dyDescent="0.25">
      <c r="A399" t="s">
        <v>7752</v>
      </c>
      <c r="B399" t="s">
        <v>9523</v>
      </c>
      <c r="I399">
        <v>2</v>
      </c>
      <c r="K399">
        <v>60</v>
      </c>
      <c r="L399">
        <v>5</v>
      </c>
    </row>
    <row r="400" spans="1:12" x14ac:dyDescent="0.25">
      <c r="A400" t="s">
        <v>9524</v>
      </c>
      <c r="B400" t="s">
        <v>9525</v>
      </c>
      <c r="H400">
        <v>3</v>
      </c>
      <c r="J400">
        <v>2</v>
      </c>
      <c r="K400">
        <v>60</v>
      </c>
      <c r="L400">
        <v>40</v>
      </c>
    </row>
    <row r="401" spans="1:12" x14ac:dyDescent="0.25">
      <c r="A401" t="s">
        <v>7762</v>
      </c>
      <c r="B401" t="s">
        <v>9526</v>
      </c>
      <c r="I401">
        <v>2</v>
      </c>
      <c r="K401">
        <v>60</v>
      </c>
      <c r="L401">
        <v>0.5</v>
      </c>
    </row>
    <row r="402" spans="1:12" x14ac:dyDescent="0.25">
      <c r="A402" t="s">
        <v>7761</v>
      </c>
      <c r="B402" t="s">
        <v>9527</v>
      </c>
      <c r="I402">
        <v>2</v>
      </c>
      <c r="K402">
        <v>60</v>
      </c>
      <c r="L402">
        <v>5</v>
      </c>
    </row>
    <row r="403" spans="1:12" x14ac:dyDescent="0.25">
      <c r="A403" t="s">
        <v>7769</v>
      </c>
      <c r="B403" t="s">
        <v>9528</v>
      </c>
      <c r="I403">
        <v>2</v>
      </c>
      <c r="K403">
        <v>60</v>
      </c>
      <c r="L403">
        <v>0.5</v>
      </c>
    </row>
    <row r="404" spans="1:12" x14ac:dyDescent="0.25">
      <c r="A404" t="s">
        <v>7773</v>
      </c>
      <c r="B404" t="s">
        <v>9529</v>
      </c>
      <c r="I404">
        <v>2</v>
      </c>
      <c r="K404">
        <v>60</v>
      </c>
      <c r="L404">
        <v>5</v>
      </c>
    </row>
    <row r="405" spans="1:12" x14ac:dyDescent="0.25">
      <c r="A405" t="s">
        <v>7782</v>
      </c>
      <c r="B405" t="s">
        <v>9530</v>
      </c>
      <c r="J405">
        <v>2</v>
      </c>
      <c r="L405">
        <v>40</v>
      </c>
    </row>
    <row r="406" spans="1:12" x14ac:dyDescent="0.25">
      <c r="A406" t="s">
        <v>7789</v>
      </c>
      <c r="B406" t="s">
        <v>9531</v>
      </c>
      <c r="J406">
        <v>2</v>
      </c>
      <c r="L406">
        <v>40</v>
      </c>
    </row>
    <row r="407" spans="1:12" x14ac:dyDescent="0.25">
      <c r="A407" t="s">
        <v>7781</v>
      </c>
      <c r="B407" t="s">
        <v>9532</v>
      </c>
      <c r="I407">
        <v>2</v>
      </c>
      <c r="K407">
        <v>60</v>
      </c>
      <c r="L407">
        <v>1</v>
      </c>
    </row>
    <row r="408" spans="1:12" x14ac:dyDescent="0.25">
      <c r="A408" t="s">
        <v>11041</v>
      </c>
      <c r="B408" t="s">
        <v>9532</v>
      </c>
      <c r="D408" t="s">
        <v>11040</v>
      </c>
      <c r="I408">
        <v>2</v>
      </c>
      <c r="K408">
        <v>60</v>
      </c>
      <c r="L408">
        <v>1</v>
      </c>
    </row>
    <row r="409" spans="1:12" x14ac:dyDescent="0.25">
      <c r="A409" t="s">
        <v>7792</v>
      </c>
      <c r="B409" t="s">
        <v>9533</v>
      </c>
      <c r="I409">
        <v>2</v>
      </c>
      <c r="K409">
        <v>60</v>
      </c>
      <c r="L409">
        <v>5</v>
      </c>
    </row>
    <row r="410" spans="1:12" x14ac:dyDescent="0.25">
      <c r="A410" t="s">
        <v>7791</v>
      </c>
      <c r="B410" t="s">
        <v>9534</v>
      </c>
      <c r="I410">
        <v>2</v>
      </c>
      <c r="K410">
        <v>60</v>
      </c>
      <c r="L410">
        <v>5</v>
      </c>
    </row>
    <row r="411" spans="1:12" x14ac:dyDescent="0.25">
      <c r="A411" t="s">
        <v>7805</v>
      </c>
      <c r="B411" t="s">
        <v>9535</v>
      </c>
      <c r="J411">
        <v>2</v>
      </c>
      <c r="L411">
        <v>40</v>
      </c>
    </row>
    <row r="412" spans="1:12" x14ac:dyDescent="0.25">
      <c r="A412" t="s">
        <v>7808</v>
      </c>
      <c r="B412" t="s">
        <v>9536</v>
      </c>
      <c r="J412">
        <v>2</v>
      </c>
      <c r="L412">
        <v>9999</v>
      </c>
    </row>
    <row r="413" spans="1:12" x14ac:dyDescent="0.25">
      <c r="A413" t="s">
        <v>7827</v>
      </c>
      <c r="B413" t="s">
        <v>9537</v>
      </c>
      <c r="I413">
        <v>2</v>
      </c>
      <c r="K413">
        <v>60</v>
      </c>
      <c r="L413">
        <v>5</v>
      </c>
    </row>
    <row r="414" spans="1:12" x14ac:dyDescent="0.25">
      <c r="A414" t="s">
        <v>7826</v>
      </c>
      <c r="B414" t="s">
        <v>9538</v>
      </c>
      <c r="I414">
        <v>2</v>
      </c>
      <c r="K414">
        <v>60</v>
      </c>
      <c r="L414">
        <v>1.5</v>
      </c>
    </row>
    <row r="415" spans="1:12" x14ac:dyDescent="0.25">
      <c r="A415" t="s">
        <v>7838</v>
      </c>
      <c r="B415" t="s">
        <v>9539</v>
      </c>
      <c r="I415">
        <v>2</v>
      </c>
      <c r="K415">
        <v>60</v>
      </c>
      <c r="L415">
        <v>5</v>
      </c>
    </row>
    <row r="416" spans="1:12" x14ac:dyDescent="0.25">
      <c r="A416" t="s">
        <v>7837</v>
      </c>
      <c r="B416" t="s">
        <v>9540</v>
      </c>
      <c r="I416">
        <v>2</v>
      </c>
      <c r="K416">
        <v>60</v>
      </c>
      <c r="L416">
        <v>1.5</v>
      </c>
    </row>
    <row r="417" spans="1:12" x14ac:dyDescent="0.25">
      <c r="A417" t="s">
        <v>7846</v>
      </c>
      <c r="B417" t="s">
        <v>9541</v>
      </c>
      <c r="I417">
        <v>2</v>
      </c>
      <c r="K417">
        <v>60</v>
      </c>
      <c r="L417">
        <v>5</v>
      </c>
    </row>
    <row r="418" spans="1:12" x14ac:dyDescent="0.25">
      <c r="A418" t="s">
        <v>7844</v>
      </c>
      <c r="B418" t="s">
        <v>9542</v>
      </c>
      <c r="I418">
        <v>2</v>
      </c>
      <c r="K418">
        <v>60</v>
      </c>
      <c r="L418">
        <v>5</v>
      </c>
    </row>
    <row r="419" spans="1:12" x14ac:dyDescent="0.25">
      <c r="A419" t="s">
        <v>7845</v>
      </c>
      <c r="B419" t="s">
        <v>9543</v>
      </c>
      <c r="I419">
        <v>2</v>
      </c>
      <c r="K419">
        <v>60</v>
      </c>
      <c r="L419">
        <v>1.5</v>
      </c>
    </row>
    <row r="420" spans="1:12" x14ac:dyDescent="0.25">
      <c r="A420" t="s">
        <v>7849</v>
      </c>
      <c r="B420" t="s">
        <v>9544</v>
      </c>
      <c r="I420">
        <v>2</v>
      </c>
      <c r="K420">
        <v>60</v>
      </c>
      <c r="L420">
        <v>5</v>
      </c>
    </row>
    <row r="421" spans="1:12" x14ac:dyDescent="0.25">
      <c r="A421" t="s">
        <v>7855</v>
      </c>
      <c r="B421" t="s">
        <v>9545</v>
      </c>
      <c r="I421">
        <v>2</v>
      </c>
      <c r="K421">
        <v>60</v>
      </c>
      <c r="L421">
        <v>5</v>
      </c>
    </row>
    <row r="422" spans="1:12" x14ac:dyDescent="0.25">
      <c r="A422" t="s">
        <v>7862</v>
      </c>
      <c r="B422" t="s">
        <v>9546</v>
      </c>
      <c r="I422">
        <v>2</v>
      </c>
      <c r="K422">
        <v>60</v>
      </c>
      <c r="L422">
        <v>5</v>
      </c>
    </row>
    <row r="423" spans="1:12" x14ac:dyDescent="0.25">
      <c r="A423" t="s">
        <v>7861</v>
      </c>
      <c r="B423" t="s">
        <v>9547</v>
      </c>
      <c r="I423">
        <v>2</v>
      </c>
      <c r="K423">
        <v>60</v>
      </c>
      <c r="L423">
        <v>5</v>
      </c>
    </row>
    <row r="424" spans="1:12" x14ac:dyDescent="0.25">
      <c r="A424" t="s">
        <v>9548</v>
      </c>
      <c r="B424" t="s">
        <v>9549</v>
      </c>
      <c r="H424">
        <v>2</v>
      </c>
      <c r="J424">
        <v>2</v>
      </c>
      <c r="K424">
        <v>60</v>
      </c>
      <c r="L424">
        <v>40</v>
      </c>
    </row>
    <row r="425" spans="1:12" x14ac:dyDescent="0.25">
      <c r="A425" t="s">
        <v>7260</v>
      </c>
      <c r="B425" t="s">
        <v>9550</v>
      </c>
      <c r="I425">
        <v>2</v>
      </c>
      <c r="K425">
        <v>60</v>
      </c>
      <c r="L425">
        <v>5</v>
      </c>
    </row>
    <row r="429" spans="1:12" x14ac:dyDescent="0.25">
      <c r="A429" t="s">
        <v>11039</v>
      </c>
      <c r="B429" t="s">
        <v>11038</v>
      </c>
      <c r="I429">
        <v>2</v>
      </c>
      <c r="K429">
        <v>60</v>
      </c>
      <c r="L429">
        <v>5</v>
      </c>
    </row>
    <row r="430" spans="1:12" x14ac:dyDescent="0.25">
      <c r="A430" t="s">
        <v>11037</v>
      </c>
      <c r="B430" t="s">
        <v>11036</v>
      </c>
      <c r="I430">
        <v>2</v>
      </c>
      <c r="K430">
        <v>60</v>
      </c>
      <c r="L430">
        <v>5</v>
      </c>
    </row>
    <row r="431" spans="1:12" x14ac:dyDescent="0.25">
      <c r="A431" t="s">
        <v>11035</v>
      </c>
      <c r="B431" t="s">
        <v>11034</v>
      </c>
      <c r="E431" t="s">
        <v>11033</v>
      </c>
      <c r="F431">
        <v>1</v>
      </c>
      <c r="G431">
        <v>1</v>
      </c>
      <c r="H431">
        <v>2</v>
      </c>
      <c r="I431">
        <v>2</v>
      </c>
      <c r="K431">
        <v>60</v>
      </c>
      <c r="L431">
        <v>5</v>
      </c>
    </row>
    <row r="432" spans="1:12" x14ac:dyDescent="0.25">
      <c r="A432" t="s">
        <v>11032</v>
      </c>
      <c r="B432" t="s">
        <v>11031</v>
      </c>
      <c r="H432">
        <v>1</v>
      </c>
      <c r="I432">
        <v>2</v>
      </c>
      <c r="K432">
        <v>60</v>
      </c>
      <c r="L432">
        <v>5</v>
      </c>
    </row>
    <row r="433" spans="1:12" x14ac:dyDescent="0.25">
      <c r="A433" t="s">
        <v>11030</v>
      </c>
      <c r="B433" t="s">
        <v>11029</v>
      </c>
      <c r="J433">
        <v>2</v>
      </c>
      <c r="L433">
        <v>35</v>
      </c>
    </row>
    <row r="434" spans="1:12" x14ac:dyDescent="0.25">
      <c r="A434" s="29" t="s">
        <v>11028</v>
      </c>
      <c r="B434" s="29" t="s">
        <v>11027</v>
      </c>
      <c r="J434">
        <v>2</v>
      </c>
      <c r="L434">
        <v>5</v>
      </c>
    </row>
    <row r="435" spans="1:12" x14ac:dyDescent="0.25">
      <c r="A435" t="s">
        <v>11026</v>
      </c>
      <c r="B435" t="s">
        <v>11025</v>
      </c>
      <c r="H435">
        <v>3</v>
      </c>
      <c r="K435">
        <v>60</v>
      </c>
      <c r="L435">
        <v>5</v>
      </c>
    </row>
    <row r="436" spans="1:12" x14ac:dyDescent="0.25">
      <c r="A436" s="29" t="s">
        <v>11024</v>
      </c>
      <c r="B436" t="s">
        <v>11023</v>
      </c>
      <c r="H436">
        <v>4</v>
      </c>
      <c r="I436">
        <v>2</v>
      </c>
      <c r="K436">
        <v>60</v>
      </c>
      <c r="L436">
        <v>5</v>
      </c>
    </row>
    <row r="437" spans="1:12" x14ac:dyDescent="0.25">
      <c r="A437" s="29" t="s">
        <v>11022</v>
      </c>
      <c r="B437" t="s">
        <v>11021</v>
      </c>
      <c r="D437" s="29"/>
      <c r="H437">
        <v>8</v>
      </c>
      <c r="J437">
        <v>2</v>
      </c>
      <c r="L437">
        <v>5</v>
      </c>
    </row>
    <row r="438" spans="1:12" x14ac:dyDescent="0.25">
      <c r="A438" t="s">
        <v>11020</v>
      </c>
      <c r="B438" t="s">
        <v>11019</v>
      </c>
      <c r="K438">
        <v>60</v>
      </c>
      <c r="L438">
        <v>5</v>
      </c>
    </row>
    <row r="439" spans="1:12" x14ac:dyDescent="0.25">
      <c r="A439" t="s">
        <v>11018</v>
      </c>
      <c r="B439" t="s">
        <v>11017</v>
      </c>
      <c r="D439" t="s">
        <v>9399</v>
      </c>
      <c r="I439">
        <v>3</v>
      </c>
      <c r="K439">
        <v>90</v>
      </c>
    </row>
    <row r="440" spans="1:12" x14ac:dyDescent="0.25">
      <c r="A440" t="s">
        <v>11016</v>
      </c>
      <c r="B440" t="s">
        <v>11015</v>
      </c>
      <c r="D440" t="s">
        <v>9399</v>
      </c>
      <c r="H440">
        <v>3</v>
      </c>
      <c r="K440">
        <v>60</v>
      </c>
      <c r="L440">
        <v>5</v>
      </c>
    </row>
    <row r="441" spans="1:12" x14ac:dyDescent="0.25">
      <c r="A441" s="29" t="s">
        <v>11014</v>
      </c>
      <c r="B441" t="s">
        <v>11013</v>
      </c>
      <c r="H441">
        <v>4</v>
      </c>
      <c r="I441">
        <v>2</v>
      </c>
      <c r="K441">
        <v>60</v>
      </c>
      <c r="L441">
        <v>5</v>
      </c>
    </row>
    <row r="442" spans="1:12" x14ac:dyDescent="0.25">
      <c r="A442" s="29" t="s">
        <v>11012</v>
      </c>
      <c r="B442" t="s">
        <v>11011</v>
      </c>
      <c r="I442">
        <v>2</v>
      </c>
      <c r="K442">
        <v>60</v>
      </c>
      <c r="L442">
        <v>5</v>
      </c>
    </row>
    <row r="443" spans="1:12" x14ac:dyDescent="0.25">
      <c r="A443" t="s">
        <v>11010</v>
      </c>
      <c r="B443" t="s">
        <v>11009</v>
      </c>
      <c r="I443">
        <v>2</v>
      </c>
      <c r="K443">
        <v>60</v>
      </c>
      <c r="L443">
        <v>5</v>
      </c>
    </row>
    <row r="444" spans="1:12" x14ac:dyDescent="0.25">
      <c r="A444" t="s">
        <v>11008</v>
      </c>
      <c r="B444" t="s">
        <v>11007</v>
      </c>
      <c r="D444" t="s">
        <v>9399</v>
      </c>
      <c r="H444">
        <v>3</v>
      </c>
      <c r="K444">
        <v>60</v>
      </c>
    </row>
    <row r="445" spans="1:12" x14ac:dyDescent="0.25">
      <c r="A445" t="s">
        <v>11006</v>
      </c>
      <c r="B445" t="s">
        <v>11005</v>
      </c>
      <c r="J445">
        <v>2</v>
      </c>
      <c r="K445">
        <v>90</v>
      </c>
      <c r="L445">
        <v>5</v>
      </c>
    </row>
    <row r="446" spans="1:12" x14ac:dyDescent="0.25">
      <c r="A446" t="s">
        <v>11004</v>
      </c>
      <c r="B446" t="s">
        <v>11003</v>
      </c>
      <c r="D446" t="s">
        <v>9399</v>
      </c>
      <c r="J446">
        <v>2</v>
      </c>
      <c r="K446">
        <v>90</v>
      </c>
      <c r="L446">
        <v>5</v>
      </c>
    </row>
    <row r="447" spans="1:12" x14ac:dyDescent="0.25">
      <c r="A447" t="s">
        <v>11002</v>
      </c>
      <c r="B447" t="s">
        <v>11000</v>
      </c>
      <c r="D447" t="s">
        <v>9399</v>
      </c>
      <c r="I447">
        <v>2</v>
      </c>
      <c r="K447">
        <v>60</v>
      </c>
      <c r="L447">
        <v>5</v>
      </c>
    </row>
    <row r="448" spans="1:12" x14ac:dyDescent="0.25">
      <c r="A448" s="29" t="s">
        <v>11001</v>
      </c>
      <c r="B448" t="s">
        <v>11000</v>
      </c>
      <c r="D448" t="s">
        <v>9399</v>
      </c>
      <c r="H448">
        <v>4</v>
      </c>
      <c r="I448">
        <v>2</v>
      </c>
      <c r="K448">
        <v>90</v>
      </c>
      <c r="L448">
        <v>5</v>
      </c>
    </row>
    <row r="449" spans="1:12" x14ac:dyDescent="0.25">
      <c r="A449" t="s">
        <v>10999</v>
      </c>
      <c r="B449" t="s">
        <v>10998</v>
      </c>
      <c r="D449" t="s">
        <v>9399</v>
      </c>
      <c r="I449">
        <v>2</v>
      </c>
      <c r="K449">
        <v>60</v>
      </c>
      <c r="L449">
        <v>5</v>
      </c>
    </row>
    <row r="450" spans="1:12" x14ac:dyDescent="0.25">
      <c r="A450" t="s">
        <v>10997</v>
      </c>
      <c r="B450" t="s">
        <v>10996</v>
      </c>
      <c r="D450" t="s">
        <v>9399</v>
      </c>
      <c r="I450">
        <v>2</v>
      </c>
      <c r="K450">
        <v>60</v>
      </c>
      <c r="L450">
        <v>5</v>
      </c>
    </row>
    <row r="451" spans="1:12" x14ac:dyDescent="0.25">
      <c r="A451" t="s">
        <v>10995</v>
      </c>
      <c r="B451" t="s">
        <v>10994</v>
      </c>
      <c r="D451" t="s">
        <v>9399</v>
      </c>
      <c r="I451">
        <v>2</v>
      </c>
      <c r="K451">
        <v>60</v>
      </c>
      <c r="L451">
        <v>5</v>
      </c>
    </row>
    <row r="452" spans="1:12" x14ac:dyDescent="0.25">
      <c r="A452" t="s">
        <v>10993</v>
      </c>
      <c r="B452" t="s">
        <v>10992</v>
      </c>
      <c r="D452" t="s">
        <v>9399</v>
      </c>
      <c r="I452">
        <v>2</v>
      </c>
      <c r="K452">
        <v>60</v>
      </c>
      <c r="L452">
        <v>5</v>
      </c>
    </row>
    <row r="453" spans="1:12" x14ac:dyDescent="0.25">
      <c r="A453" t="s">
        <v>10991</v>
      </c>
      <c r="B453" t="s">
        <v>10990</v>
      </c>
      <c r="D453" t="s">
        <v>9399</v>
      </c>
      <c r="I453">
        <v>2</v>
      </c>
      <c r="K453">
        <v>60</v>
      </c>
      <c r="L453">
        <v>5</v>
      </c>
    </row>
    <row r="454" spans="1:12" x14ac:dyDescent="0.25">
      <c r="A454" t="s">
        <v>10989</v>
      </c>
      <c r="B454" t="s">
        <v>10988</v>
      </c>
      <c r="I454">
        <v>1</v>
      </c>
      <c r="J454">
        <v>2</v>
      </c>
      <c r="L454">
        <v>5</v>
      </c>
    </row>
    <row r="455" spans="1:12" x14ac:dyDescent="0.25">
      <c r="A455" t="s">
        <v>10987</v>
      </c>
      <c r="B455" t="s">
        <v>10986</v>
      </c>
      <c r="D455" t="s">
        <v>9399</v>
      </c>
      <c r="I455">
        <v>2</v>
      </c>
      <c r="K455">
        <v>60</v>
      </c>
      <c r="L455">
        <v>5</v>
      </c>
    </row>
    <row r="457" spans="1:12" x14ac:dyDescent="0.25">
      <c r="A457" s="29" t="s">
        <v>10985</v>
      </c>
      <c r="B457" t="s">
        <v>10984</v>
      </c>
      <c r="K457">
        <v>60</v>
      </c>
      <c r="L457">
        <v>5</v>
      </c>
    </row>
    <row r="458" spans="1:12" x14ac:dyDescent="0.25">
      <c r="A458" t="s">
        <v>8416</v>
      </c>
      <c r="B458" t="s">
        <v>10426</v>
      </c>
      <c r="H458">
        <v>3</v>
      </c>
      <c r="L458">
        <v>5</v>
      </c>
    </row>
    <row r="459" spans="1:12" x14ac:dyDescent="0.25">
      <c r="A459" s="29" t="s">
        <v>10983</v>
      </c>
      <c r="B459" t="s">
        <v>10982</v>
      </c>
      <c r="K459">
        <v>60</v>
      </c>
      <c r="L459">
        <v>5</v>
      </c>
    </row>
    <row r="460" spans="1:12" x14ac:dyDescent="0.25">
      <c r="A460" s="29" t="s">
        <v>10981</v>
      </c>
      <c r="B460" t="s">
        <v>10980</v>
      </c>
      <c r="D460" s="29"/>
      <c r="K460">
        <v>60</v>
      </c>
      <c r="L460">
        <v>5</v>
      </c>
    </row>
    <row r="461" spans="1:12" x14ac:dyDescent="0.25">
      <c r="A461" t="s">
        <v>8422</v>
      </c>
      <c r="B461" t="s">
        <v>11227</v>
      </c>
      <c r="D461" t="s">
        <v>9241</v>
      </c>
      <c r="H461">
        <v>3</v>
      </c>
      <c r="I461">
        <v>0</v>
      </c>
      <c r="K461">
        <v>60</v>
      </c>
    </row>
    <row r="462" spans="1:12" x14ac:dyDescent="0.25">
      <c r="A462" t="s">
        <v>8423</v>
      </c>
      <c r="B462" t="s">
        <v>11228</v>
      </c>
      <c r="D462" t="s">
        <v>9241</v>
      </c>
      <c r="H462">
        <v>3</v>
      </c>
      <c r="I462">
        <v>0</v>
      </c>
      <c r="K462">
        <v>60</v>
      </c>
    </row>
    <row r="463" spans="1:12" x14ac:dyDescent="0.25">
      <c r="A463" s="29" t="s">
        <v>10979</v>
      </c>
      <c r="B463" t="s">
        <v>9551</v>
      </c>
      <c r="H463">
        <v>3</v>
      </c>
      <c r="K463">
        <v>60</v>
      </c>
      <c r="L463">
        <v>5</v>
      </c>
    </row>
    <row r="464" spans="1:12" x14ac:dyDescent="0.25">
      <c r="A464" t="s">
        <v>8627</v>
      </c>
      <c r="B464" t="s">
        <v>9552</v>
      </c>
      <c r="C464">
        <v>1</v>
      </c>
      <c r="J464">
        <v>2</v>
      </c>
      <c r="L464">
        <v>1</v>
      </c>
    </row>
    <row r="465" spans="1:12" x14ac:dyDescent="0.25">
      <c r="A465" t="s">
        <v>10978</v>
      </c>
      <c r="B465" t="s">
        <v>9300</v>
      </c>
      <c r="E465" t="s">
        <v>10976</v>
      </c>
      <c r="I465">
        <v>2</v>
      </c>
      <c r="L465">
        <v>5</v>
      </c>
    </row>
    <row r="466" spans="1:12" x14ac:dyDescent="0.25">
      <c r="A466" t="s">
        <v>10977</v>
      </c>
      <c r="B466" t="s">
        <v>9303</v>
      </c>
      <c r="E466" t="s">
        <v>10976</v>
      </c>
      <c r="I466">
        <v>2</v>
      </c>
      <c r="L466">
        <v>5</v>
      </c>
    </row>
    <row r="467" spans="1:12" x14ac:dyDescent="0.25">
      <c r="A467" t="s">
        <v>10975</v>
      </c>
      <c r="B467" t="s">
        <v>10974</v>
      </c>
      <c r="H467">
        <v>3</v>
      </c>
    </row>
    <row r="468" spans="1:12" x14ac:dyDescent="0.25">
      <c r="A468" t="s">
        <v>10973</v>
      </c>
      <c r="B468" t="s">
        <v>9342</v>
      </c>
      <c r="H468">
        <v>3</v>
      </c>
      <c r="I468">
        <v>1</v>
      </c>
      <c r="K468">
        <v>60</v>
      </c>
    </row>
    <row r="469" spans="1:12" x14ac:dyDescent="0.25">
      <c r="A469" t="s">
        <v>2506</v>
      </c>
      <c r="B469" t="s">
        <v>9264</v>
      </c>
      <c r="C469">
        <v>1</v>
      </c>
      <c r="D469" t="s">
        <v>10972</v>
      </c>
      <c r="H469">
        <v>1</v>
      </c>
      <c r="I469">
        <v>2</v>
      </c>
      <c r="J469">
        <v>2</v>
      </c>
      <c r="K469">
        <v>60</v>
      </c>
      <c r="L469">
        <v>30</v>
      </c>
    </row>
    <row r="470" spans="1:12" x14ac:dyDescent="0.25">
      <c r="A470" t="s">
        <v>10971</v>
      </c>
      <c r="B470" t="s">
        <v>9264</v>
      </c>
      <c r="C470">
        <v>1</v>
      </c>
      <c r="H470">
        <v>1</v>
      </c>
      <c r="I470">
        <v>2</v>
      </c>
      <c r="J470">
        <v>2</v>
      </c>
      <c r="K470">
        <v>60</v>
      </c>
      <c r="L470">
        <v>30</v>
      </c>
    </row>
    <row r="471" spans="1:12" x14ac:dyDescent="0.25">
      <c r="A471" t="s">
        <v>10970</v>
      </c>
      <c r="B471" t="s">
        <v>9483</v>
      </c>
      <c r="E471" t="s">
        <v>10969</v>
      </c>
      <c r="I471">
        <v>2</v>
      </c>
      <c r="K471">
        <v>60</v>
      </c>
      <c r="L471">
        <v>2.5</v>
      </c>
    </row>
    <row r="472" spans="1:12" x14ac:dyDescent="0.25">
      <c r="A472" t="s">
        <v>10968</v>
      </c>
      <c r="B472" t="s">
        <v>9454</v>
      </c>
      <c r="D472" t="s">
        <v>10967</v>
      </c>
      <c r="H472">
        <v>3</v>
      </c>
      <c r="I472">
        <v>2</v>
      </c>
      <c r="K472">
        <v>60</v>
      </c>
      <c r="L472">
        <v>9999</v>
      </c>
    </row>
    <row r="473" spans="1:12" x14ac:dyDescent="0.25">
      <c r="A473" t="s">
        <v>10966</v>
      </c>
      <c r="B473" t="s">
        <v>9228</v>
      </c>
      <c r="D473" t="s">
        <v>10965</v>
      </c>
      <c r="E473" t="s">
        <v>10964</v>
      </c>
      <c r="H473">
        <v>1</v>
      </c>
      <c r="K473">
        <v>60</v>
      </c>
      <c r="L473">
        <v>0.1</v>
      </c>
    </row>
    <row r="474" spans="1:12" x14ac:dyDescent="0.25">
      <c r="A474" t="s">
        <v>10963</v>
      </c>
      <c r="B474" t="s">
        <v>9409</v>
      </c>
      <c r="D474" t="s">
        <v>10962</v>
      </c>
      <c r="E474" t="s">
        <v>8354</v>
      </c>
      <c r="H474">
        <v>1</v>
      </c>
      <c r="L474">
        <v>1</v>
      </c>
    </row>
    <row r="475" spans="1:12" x14ac:dyDescent="0.25">
      <c r="A475" t="s">
        <v>10961</v>
      </c>
      <c r="B475" t="s">
        <v>9476</v>
      </c>
      <c r="E475" t="s">
        <v>10957</v>
      </c>
      <c r="I475">
        <v>2</v>
      </c>
      <c r="L475">
        <v>5</v>
      </c>
    </row>
    <row r="476" spans="1:12" x14ac:dyDescent="0.25">
      <c r="A476" t="s">
        <v>10960</v>
      </c>
      <c r="B476" t="s">
        <v>10959</v>
      </c>
      <c r="D476" t="s">
        <v>10714</v>
      </c>
      <c r="H476">
        <v>3</v>
      </c>
      <c r="K476">
        <v>80</v>
      </c>
    </row>
    <row r="477" spans="1:12" x14ac:dyDescent="0.25">
      <c r="A477" t="s">
        <v>10958</v>
      </c>
      <c r="B477" t="s">
        <v>9460</v>
      </c>
      <c r="D477" t="s">
        <v>9377</v>
      </c>
      <c r="E477" t="s">
        <v>10957</v>
      </c>
      <c r="H477">
        <v>1</v>
      </c>
      <c r="I477">
        <v>1</v>
      </c>
      <c r="K477">
        <v>60</v>
      </c>
      <c r="L477">
        <v>0.6</v>
      </c>
    </row>
    <row r="478" spans="1:12" x14ac:dyDescent="0.25">
      <c r="A478" t="s">
        <v>10956</v>
      </c>
      <c r="B478" t="s">
        <v>9460</v>
      </c>
      <c r="D478" s="2" t="s">
        <v>10955</v>
      </c>
      <c r="H478">
        <v>1</v>
      </c>
      <c r="I478">
        <v>2</v>
      </c>
      <c r="K478">
        <v>60</v>
      </c>
      <c r="L478">
        <v>1</v>
      </c>
    </row>
    <row r="479" spans="1:12" x14ac:dyDescent="0.25">
      <c r="A479" t="s">
        <v>10954</v>
      </c>
      <c r="B479" t="s">
        <v>9462</v>
      </c>
      <c r="H479">
        <v>3</v>
      </c>
      <c r="I479">
        <v>2</v>
      </c>
      <c r="K479">
        <v>60</v>
      </c>
      <c r="L479">
        <v>40</v>
      </c>
    </row>
    <row r="480" spans="1:12" x14ac:dyDescent="0.25">
      <c r="A480" t="s">
        <v>10953</v>
      </c>
      <c r="B480" t="s">
        <v>9304</v>
      </c>
      <c r="H480">
        <v>1</v>
      </c>
      <c r="I480">
        <v>1</v>
      </c>
      <c r="K480">
        <v>60</v>
      </c>
    </row>
    <row r="481" spans="1:12" x14ac:dyDescent="0.25">
      <c r="A481" t="s">
        <v>10952</v>
      </c>
      <c r="B481" t="s">
        <v>10951</v>
      </c>
      <c r="H481">
        <v>3</v>
      </c>
      <c r="K481">
        <v>60</v>
      </c>
      <c r="L481">
        <v>5</v>
      </c>
    </row>
    <row r="482" spans="1:12" x14ac:dyDescent="0.25">
      <c r="A482" s="29" t="s">
        <v>10950</v>
      </c>
      <c r="B482" t="s">
        <v>10949</v>
      </c>
      <c r="K482">
        <v>60</v>
      </c>
      <c r="L482">
        <v>5</v>
      </c>
    </row>
    <row r="483" spans="1:12" x14ac:dyDescent="0.25">
      <c r="A483" t="s">
        <v>10948</v>
      </c>
      <c r="B483" t="s">
        <v>10947</v>
      </c>
      <c r="H483">
        <v>3</v>
      </c>
      <c r="K483">
        <v>60</v>
      </c>
      <c r="L483">
        <v>5</v>
      </c>
    </row>
    <row r="484" spans="1:12" x14ac:dyDescent="0.25">
      <c r="A484" t="s">
        <v>10946</v>
      </c>
      <c r="B484" t="s">
        <v>10945</v>
      </c>
      <c r="H484">
        <v>3</v>
      </c>
      <c r="K484">
        <v>60</v>
      </c>
      <c r="L484">
        <v>5</v>
      </c>
    </row>
    <row r="485" spans="1:12" x14ac:dyDescent="0.25">
      <c r="A485" t="s">
        <v>10944</v>
      </c>
      <c r="B485" t="s">
        <v>10943</v>
      </c>
      <c r="K485">
        <v>60</v>
      </c>
      <c r="L485">
        <v>5</v>
      </c>
    </row>
    <row r="486" spans="1:12" x14ac:dyDescent="0.25">
      <c r="A486" t="s">
        <v>10942</v>
      </c>
      <c r="B486" t="s">
        <v>10941</v>
      </c>
      <c r="H486">
        <v>3</v>
      </c>
      <c r="K486">
        <v>60</v>
      </c>
      <c r="L486">
        <v>5</v>
      </c>
    </row>
    <row r="487" spans="1:12" x14ac:dyDescent="0.25">
      <c r="A487" t="s">
        <v>10940</v>
      </c>
      <c r="B487" t="s">
        <v>10939</v>
      </c>
      <c r="H487">
        <v>3</v>
      </c>
      <c r="K487">
        <v>60</v>
      </c>
      <c r="L487">
        <v>5</v>
      </c>
    </row>
    <row r="488" spans="1:12" x14ac:dyDescent="0.25">
      <c r="A488" s="29" t="s">
        <v>10938</v>
      </c>
      <c r="B488" t="s">
        <v>10937</v>
      </c>
      <c r="H488">
        <v>3</v>
      </c>
      <c r="K488">
        <v>60</v>
      </c>
      <c r="L488">
        <v>5</v>
      </c>
    </row>
    <row r="489" spans="1:12" x14ac:dyDescent="0.25">
      <c r="A489" t="s">
        <v>10936</v>
      </c>
      <c r="B489" t="s">
        <v>10936</v>
      </c>
      <c r="H489">
        <v>3</v>
      </c>
      <c r="K489">
        <v>60</v>
      </c>
      <c r="L489">
        <v>5</v>
      </c>
    </row>
    <row r="490" spans="1:12" x14ac:dyDescent="0.25">
      <c r="A490" t="s">
        <v>10935</v>
      </c>
      <c r="B490" t="s">
        <v>10935</v>
      </c>
      <c r="H490">
        <v>3</v>
      </c>
      <c r="K490">
        <v>60</v>
      </c>
      <c r="L490">
        <v>5</v>
      </c>
    </row>
    <row r="491" spans="1:12" x14ac:dyDescent="0.25">
      <c r="A491" t="s">
        <v>10934</v>
      </c>
      <c r="B491" t="s">
        <v>10934</v>
      </c>
      <c r="H491">
        <v>3</v>
      </c>
      <c r="K491">
        <v>60</v>
      </c>
      <c r="L491">
        <v>5</v>
      </c>
    </row>
    <row r="492" spans="1:12" x14ac:dyDescent="0.25">
      <c r="A492" t="s">
        <v>10933</v>
      </c>
      <c r="B492" t="s">
        <v>10932</v>
      </c>
      <c r="H492">
        <v>3</v>
      </c>
      <c r="K492">
        <v>60</v>
      </c>
      <c r="L492">
        <v>5</v>
      </c>
    </row>
    <row r="493" spans="1:12" x14ac:dyDescent="0.25">
      <c r="A493" s="29" t="s">
        <v>10931</v>
      </c>
      <c r="B493" s="29" t="s">
        <v>10930</v>
      </c>
      <c r="H493">
        <v>3</v>
      </c>
      <c r="K493">
        <v>60</v>
      </c>
      <c r="L493">
        <v>5</v>
      </c>
    </row>
    <row r="494" spans="1:12" x14ac:dyDescent="0.25">
      <c r="A494" t="s">
        <v>10929</v>
      </c>
      <c r="B494" s="29" t="s">
        <v>10928</v>
      </c>
      <c r="H494">
        <v>3</v>
      </c>
      <c r="K494">
        <v>60</v>
      </c>
    </row>
    <row r="495" spans="1:12" x14ac:dyDescent="0.25">
      <c r="A495" t="s">
        <v>10927</v>
      </c>
      <c r="B495" t="s">
        <v>10926</v>
      </c>
      <c r="H495">
        <v>3</v>
      </c>
      <c r="K495">
        <v>60</v>
      </c>
    </row>
    <row r="496" spans="1:12" x14ac:dyDescent="0.25">
      <c r="A496" t="s">
        <v>10925</v>
      </c>
      <c r="B496" t="s">
        <v>10924</v>
      </c>
      <c r="H496">
        <v>3</v>
      </c>
      <c r="K496">
        <v>90</v>
      </c>
    </row>
    <row r="497" spans="1:12" x14ac:dyDescent="0.25">
      <c r="A497" t="s">
        <v>10923</v>
      </c>
      <c r="B497" t="s">
        <v>10922</v>
      </c>
      <c r="H497">
        <v>3</v>
      </c>
      <c r="K497">
        <v>60</v>
      </c>
    </row>
    <row r="498" spans="1:12" x14ac:dyDescent="0.25">
      <c r="A498" t="s">
        <v>10921</v>
      </c>
      <c r="B498" t="s">
        <v>10921</v>
      </c>
      <c r="H498">
        <v>3</v>
      </c>
      <c r="K498">
        <v>60</v>
      </c>
    </row>
    <row r="499" spans="1:12" x14ac:dyDescent="0.25">
      <c r="A499" t="s">
        <v>10920</v>
      </c>
      <c r="B499" t="s">
        <v>10919</v>
      </c>
      <c r="D499" s="29"/>
      <c r="H499">
        <v>3</v>
      </c>
    </row>
    <row r="500" spans="1:12" x14ac:dyDescent="0.25">
      <c r="A500" t="s">
        <v>10918</v>
      </c>
      <c r="B500" t="s">
        <v>10917</v>
      </c>
      <c r="I500">
        <v>2</v>
      </c>
      <c r="K500">
        <v>60</v>
      </c>
      <c r="L500">
        <v>5</v>
      </c>
    </row>
    <row r="501" spans="1:12" x14ac:dyDescent="0.25">
      <c r="A501" s="29" t="s">
        <v>10916</v>
      </c>
      <c r="B501" t="s">
        <v>10915</v>
      </c>
      <c r="I501">
        <v>2</v>
      </c>
      <c r="K501">
        <v>60</v>
      </c>
      <c r="L501">
        <v>5</v>
      </c>
    </row>
    <row r="502" spans="1:12" x14ac:dyDescent="0.25">
      <c r="A502" t="s">
        <v>10914</v>
      </c>
      <c r="B502" t="s">
        <v>10913</v>
      </c>
      <c r="I502">
        <v>2</v>
      </c>
      <c r="K502">
        <v>60</v>
      </c>
      <c r="L502">
        <v>1</v>
      </c>
    </row>
    <row r="503" spans="1:12" x14ac:dyDescent="0.25">
      <c r="A503" t="s">
        <v>10912</v>
      </c>
      <c r="B503" t="s">
        <v>10911</v>
      </c>
      <c r="K503">
        <v>60</v>
      </c>
      <c r="L503">
        <v>5</v>
      </c>
    </row>
    <row r="504" spans="1:12" x14ac:dyDescent="0.25">
      <c r="A504" t="s">
        <v>10910</v>
      </c>
      <c r="B504" t="s">
        <v>10909</v>
      </c>
      <c r="D504" t="s">
        <v>10908</v>
      </c>
      <c r="I504">
        <v>2</v>
      </c>
      <c r="K504">
        <v>60</v>
      </c>
      <c r="L504">
        <v>1</v>
      </c>
    </row>
    <row r="505" spans="1:12" x14ac:dyDescent="0.25">
      <c r="A505" s="29" t="s">
        <v>10907</v>
      </c>
      <c r="B505" t="s">
        <v>10906</v>
      </c>
      <c r="H505">
        <v>3</v>
      </c>
      <c r="K505">
        <v>60</v>
      </c>
    </row>
    <row r="506" spans="1:12" x14ac:dyDescent="0.25">
      <c r="A506" t="s">
        <v>10905</v>
      </c>
      <c r="B506" t="s">
        <v>10904</v>
      </c>
      <c r="K506">
        <v>60</v>
      </c>
      <c r="L506">
        <v>5</v>
      </c>
    </row>
    <row r="507" spans="1:12" x14ac:dyDescent="0.25">
      <c r="A507" s="29" t="s">
        <v>10903</v>
      </c>
      <c r="B507" t="s">
        <v>10901</v>
      </c>
      <c r="K507">
        <v>60</v>
      </c>
      <c r="L507">
        <v>5</v>
      </c>
    </row>
    <row r="508" spans="1:12" x14ac:dyDescent="0.25">
      <c r="A508" t="s">
        <v>10902</v>
      </c>
      <c r="B508" t="s">
        <v>10901</v>
      </c>
      <c r="I508">
        <v>1</v>
      </c>
      <c r="K508">
        <v>60</v>
      </c>
      <c r="L508">
        <v>5</v>
      </c>
    </row>
    <row r="509" spans="1:12" x14ac:dyDescent="0.25">
      <c r="A509" t="s">
        <v>10900</v>
      </c>
      <c r="B509" t="s">
        <v>10899</v>
      </c>
      <c r="K509">
        <v>60</v>
      </c>
      <c r="L509">
        <v>5</v>
      </c>
    </row>
    <row r="510" spans="1:12" x14ac:dyDescent="0.25">
      <c r="A510" t="s">
        <v>10898</v>
      </c>
      <c r="B510" t="s">
        <v>10897</v>
      </c>
      <c r="K510">
        <v>60</v>
      </c>
      <c r="L510">
        <v>5</v>
      </c>
    </row>
    <row r="511" spans="1:12" x14ac:dyDescent="0.25">
      <c r="A511" t="s">
        <v>10896</v>
      </c>
      <c r="B511" t="s">
        <v>10895</v>
      </c>
      <c r="C511">
        <v>1</v>
      </c>
      <c r="E511" t="s">
        <v>4249</v>
      </c>
      <c r="H511">
        <v>1</v>
      </c>
      <c r="I511">
        <v>2</v>
      </c>
      <c r="K511">
        <v>60</v>
      </c>
      <c r="L511">
        <v>5</v>
      </c>
    </row>
    <row r="512" spans="1:12" x14ac:dyDescent="0.25">
      <c r="A512" t="s">
        <v>10894</v>
      </c>
      <c r="B512" t="s">
        <v>10892</v>
      </c>
      <c r="C512">
        <v>1</v>
      </c>
      <c r="E512" t="s">
        <v>4249</v>
      </c>
      <c r="H512">
        <v>1</v>
      </c>
      <c r="I512">
        <v>2</v>
      </c>
      <c r="K512">
        <v>60</v>
      </c>
      <c r="L512">
        <v>5</v>
      </c>
    </row>
    <row r="513" spans="1:12" x14ac:dyDescent="0.25">
      <c r="A513" t="s">
        <v>10893</v>
      </c>
      <c r="B513" t="s">
        <v>10892</v>
      </c>
      <c r="H513">
        <v>1</v>
      </c>
      <c r="I513">
        <v>2</v>
      </c>
      <c r="K513">
        <v>60</v>
      </c>
      <c r="L513">
        <v>5</v>
      </c>
    </row>
    <row r="514" spans="1:12" x14ac:dyDescent="0.25">
      <c r="A514" t="s">
        <v>10891</v>
      </c>
      <c r="B514" t="s">
        <v>10890</v>
      </c>
      <c r="D514" t="s">
        <v>10682</v>
      </c>
      <c r="H514">
        <v>3</v>
      </c>
      <c r="K514">
        <v>60</v>
      </c>
      <c r="L514">
        <v>5</v>
      </c>
    </row>
    <row r="515" spans="1:12" x14ac:dyDescent="0.25">
      <c r="A515" t="s">
        <v>10889</v>
      </c>
      <c r="B515" t="s">
        <v>10888</v>
      </c>
      <c r="H515">
        <v>3</v>
      </c>
      <c r="K515">
        <v>60</v>
      </c>
      <c r="L515">
        <v>5</v>
      </c>
    </row>
    <row r="516" spans="1:12" x14ac:dyDescent="0.25">
      <c r="A516" s="29" t="s">
        <v>10887</v>
      </c>
      <c r="B516" t="s">
        <v>10886</v>
      </c>
      <c r="H516">
        <v>3</v>
      </c>
      <c r="K516">
        <v>60</v>
      </c>
      <c r="L516">
        <v>5</v>
      </c>
    </row>
    <row r="517" spans="1:12" x14ac:dyDescent="0.25">
      <c r="A517" s="29" t="s">
        <v>10885</v>
      </c>
      <c r="B517" s="29" t="s">
        <v>10884</v>
      </c>
      <c r="H517">
        <v>3</v>
      </c>
      <c r="K517">
        <v>60</v>
      </c>
      <c r="L517">
        <v>5</v>
      </c>
    </row>
    <row r="518" spans="1:12" x14ac:dyDescent="0.25">
      <c r="A518" t="s">
        <v>10883</v>
      </c>
      <c r="B518" t="s">
        <v>10882</v>
      </c>
      <c r="H518">
        <v>3</v>
      </c>
      <c r="K518">
        <v>60</v>
      </c>
      <c r="L518">
        <v>5</v>
      </c>
    </row>
    <row r="519" spans="1:12" x14ac:dyDescent="0.25">
      <c r="A519" t="s">
        <v>10881</v>
      </c>
      <c r="B519" t="s">
        <v>10880</v>
      </c>
      <c r="D519" s="32"/>
      <c r="K519">
        <v>60</v>
      </c>
      <c r="L519">
        <v>5</v>
      </c>
    </row>
    <row r="520" spans="1:12" x14ac:dyDescent="0.25">
      <c r="A520" t="s">
        <v>10879</v>
      </c>
      <c r="B520" t="s">
        <v>10878</v>
      </c>
      <c r="K520">
        <v>60</v>
      </c>
      <c r="L520">
        <v>5</v>
      </c>
    </row>
    <row r="521" spans="1:12" x14ac:dyDescent="0.25">
      <c r="A521" t="s">
        <v>10877</v>
      </c>
      <c r="B521" t="s">
        <v>10876</v>
      </c>
      <c r="H521">
        <v>3</v>
      </c>
      <c r="L521">
        <v>5</v>
      </c>
    </row>
    <row r="522" spans="1:12" x14ac:dyDescent="0.25">
      <c r="A522" t="s">
        <v>10875</v>
      </c>
      <c r="B522" t="s">
        <v>10874</v>
      </c>
      <c r="C522">
        <v>1</v>
      </c>
      <c r="E522" t="s">
        <v>4249</v>
      </c>
      <c r="H522">
        <v>1</v>
      </c>
      <c r="I522">
        <v>2</v>
      </c>
      <c r="K522">
        <v>60</v>
      </c>
      <c r="L522">
        <v>5</v>
      </c>
    </row>
    <row r="523" spans="1:12" x14ac:dyDescent="0.25">
      <c r="A523" t="s">
        <v>10873</v>
      </c>
      <c r="B523" t="s">
        <v>10872</v>
      </c>
      <c r="C523">
        <v>1</v>
      </c>
      <c r="E523" t="s">
        <v>4249</v>
      </c>
      <c r="H523">
        <v>1</v>
      </c>
      <c r="I523">
        <v>2</v>
      </c>
      <c r="K523">
        <v>60</v>
      </c>
      <c r="L523">
        <v>5</v>
      </c>
    </row>
    <row r="524" spans="1:12" x14ac:dyDescent="0.25">
      <c r="A524" t="s">
        <v>10871</v>
      </c>
      <c r="B524" t="s">
        <v>10870</v>
      </c>
      <c r="H524">
        <v>3</v>
      </c>
      <c r="L524">
        <v>5</v>
      </c>
    </row>
    <row r="525" spans="1:12" x14ac:dyDescent="0.25">
      <c r="A525" t="s">
        <v>10869</v>
      </c>
      <c r="B525" t="s">
        <v>10868</v>
      </c>
      <c r="C525">
        <v>1</v>
      </c>
      <c r="E525" t="s">
        <v>4249</v>
      </c>
      <c r="H525">
        <v>1</v>
      </c>
      <c r="I525">
        <v>2</v>
      </c>
      <c r="K525">
        <v>60</v>
      </c>
      <c r="L525">
        <v>5</v>
      </c>
    </row>
    <row r="526" spans="1:12" x14ac:dyDescent="0.25">
      <c r="A526" t="s">
        <v>10867</v>
      </c>
      <c r="B526" t="s">
        <v>10866</v>
      </c>
      <c r="H526">
        <v>3</v>
      </c>
      <c r="K526">
        <v>60</v>
      </c>
      <c r="L526">
        <v>5</v>
      </c>
    </row>
    <row r="527" spans="1:12" x14ac:dyDescent="0.25">
      <c r="A527" t="s">
        <v>10865</v>
      </c>
      <c r="B527" t="s">
        <v>10864</v>
      </c>
      <c r="H527">
        <v>3</v>
      </c>
      <c r="K527">
        <v>60</v>
      </c>
      <c r="L527">
        <v>5</v>
      </c>
    </row>
    <row r="528" spans="1:12" x14ac:dyDescent="0.25">
      <c r="A528" t="s">
        <v>10863</v>
      </c>
      <c r="B528" t="s">
        <v>10862</v>
      </c>
      <c r="I528">
        <v>2</v>
      </c>
      <c r="K528">
        <v>60</v>
      </c>
      <c r="L528">
        <v>5</v>
      </c>
    </row>
    <row r="529" spans="1:12" x14ac:dyDescent="0.25">
      <c r="A529" s="29" t="s">
        <v>10861</v>
      </c>
      <c r="B529" t="s">
        <v>10860</v>
      </c>
      <c r="D529" t="s">
        <v>10859</v>
      </c>
      <c r="H529">
        <v>3</v>
      </c>
      <c r="I529">
        <v>2</v>
      </c>
      <c r="K529">
        <v>60</v>
      </c>
      <c r="L529">
        <v>5</v>
      </c>
    </row>
    <row r="530" spans="1:12" x14ac:dyDescent="0.25">
      <c r="A530" t="s">
        <v>10858</v>
      </c>
      <c r="B530" t="s">
        <v>10857</v>
      </c>
      <c r="I530">
        <v>2</v>
      </c>
      <c r="K530">
        <v>60</v>
      </c>
      <c r="L530">
        <v>5</v>
      </c>
    </row>
    <row r="531" spans="1:12" x14ac:dyDescent="0.25">
      <c r="A531" t="s">
        <v>10856</v>
      </c>
      <c r="B531" t="s">
        <v>10855</v>
      </c>
      <c r="I531">
        <v>2</v>
      </c>
      <c r="K531">
        <v>60</v>
      </c>
      <c r="L531">
        <v>5</v>
      </c>
    </row>
    <row r="532" spans="1:12" x14ac:dyDescent="0.25">
      <c r="A532" t="s">
        <v>10854</v>
      </c>
      <c r="B532" t="s">
        <v>10853</v>
      </c>
      <c r="I532">
        <v>2</v>
      </c>
      <c r="K532">
        <v>60</v>
      </c>
      <c r="L532">
        <v>5</v>
      </c>
    </row>
    <row r="533" spans="1:12" x14ac:dyDescent="0.25">
      <c r="A533" t="s">
        <v>10852</v>
      </c>
      <c r="B533" t="s">
        <v>10851</v>
      </c>
      <c r="C533">
        <v>1</v>
      </c>
      <c r="E533" t="s">
        <v>4249</v>
      </c>
      <c r="H533">
        <v>1</v>
      </c>
      <c r="I533">
        <v>2</v>
      </c>
      <c r="K533">
        <v>60</v>
      </c>
      <c r="L533">
        <v>5</v>
      </c>
    </row>
    <row r="534" spans="1:12" x14ac:dyDescent="0.25">
      <c r="A534" t="s">
        <v>10850</v>
      </c>
      <c r="B534" t="s">
        <v>10849</v>
      </c>
      <c r="I534">
        <v>2</v>
      </c>
      <c r="K534">
        <v>60</v>
      </c>
      <c r="L534">
        <v>5</v>
      </c>
    </row>
    <row r="535" spans="1:12" x14ac:dyDescent="0.25">
      <c r="A535" t="s">
        <v>10848</v>
      </c>
      <c r="B535" t="s">
        <v>10847</v>
      </c>
      <c r="I535">
        <v>2</v>
      </c>
      <c r="K535">
        <v>60</v>
      </c>
      <c r="L535">
        <v>5</v>
      </c>
    </row>
    <row r="536" spans="1:12" x14ac:dyDescent="0.25">
      <c r="A536" t="s">
        <v>10846</v>
      </c>
      <c r="B536" t="s">
        <v>10845</v>
      </c>
      <c r="I536">
        <v>2</v>
      </c>
      <c r="K536">
        <v>60</v>
      </c>
      <c r="L536">
        <v>5</v>
      </c>
    </row>
    <row r="537" spans="1:12" x14ac:dyDescent="0.25">
      <c r="A537" t="s">
        <v>10844</v>
      </c>
      <c r="B537" t="s">
        <v>10843</v>
      </c>
      <c r="I537">
        <v>2</v>
      </c>
      <c r="K537">
        <v>60</v>
      </c>
      <c r="L537">
        <v>5</v>
      </c>
    </row>
    <row r="538" spans="1:12" x14ac:dyDescent="0.25">
      <c r="A538" t="s">
        <v>10842</v>
      </c>
      <c r="B538" t="s">
        <v>10841</v>
      </c>
      <c r="I538">
        <v>2</v>
      </c>
      <c r="K538">
        <v>60</v>
      </c>
      <c r="L538">
        <v>5</v>
      </c>
    </row>
    <row r="539" spans="1:12" x14ac:dyDescent="0.25">
      <c r="A539" t="s">
        <v>10840</v>
      </c>
      <c r="B539" t="s">
        <v>10839</v>
      </c>
      <c r="H539">
        <v>3</v>
      </c>
      <c r="L539">
        <v>5</v>
      </c>
    </row>
    <row r="540" spans="1:12" x14ac:dyDescent="0.25">
      <c r="A540" t="s">
        <v>10838</v>
      </c>
      <c r="B540" t="s">
        <v>10837</v>
      </c>
      <c r="I540">
        <v>2</v>
      </c>
      <c r="K540">
        <v>60</v>
      </c>
      <c r="L540">
        <v>5</v>
      </c>
    </row>
    <row r="541" spans="1:12" x14ac:dyDescent="0.25">
      <c r="A541" t="s">
        <v>10836</v>
      </c>
      <c r="B541" t="s">
        <v>10835</v>
      </c>
      <c r="I541">
        <v>1</v>
      </c>
      <c r="K541">
        <v>60</v>
      </c>
      <c r="L541">
        <v>5</v>
      </c>
    </row>
    <row r="542" spans="1:12" x14ac:dyDescent="0.25">
      <c r="A542" t="s">
        <v>10834</v>
      </c>
      <c r="B542" t="s">
        <v>10833</v>
      </c>
      <c r="I542">
        <v>2</v>
      </c>
      <c r="K542">
        <v>60</v>
      </c>
      <c r="L542">
        <v>5</v>
      </c>
    </row>
    <row r="543" spans="1:12" x14ac:dyDescent="0.25">
      <c r="A543" t="s">
        <v>10832</v>
      </c>
      <c r="B543" t="s">
        <v>10831</v>
      </c>
      <c r="I543">
        <v>1</v>
      </c>
      <c r="K543">
        <v>60</v>
      </c>
      <c r="L543">
        <v>5</v>
      </c>
    </row>
    <row r="544" spans="1:12" x14ac:dyDescent="0.25">
      <c r="A544" t="s">
        <v>10830</v>
      </c>
      <c r="B544" t="s">
        <v>10829</v>
      </c>
      <c r="E544" t="s">
        <v>10828</v>
      </c>
      <c r="F544">
        <v>1</v>
      </c>
      <c r="I544">
        <v>1</v>
      </c>
      <c r="K544">
        <v>60</v>
      </c>
      <c r="L544">
        <v>5</v>
      </c>
    </row>
    <row r="545" spans="1:12" x14ac:dyDescent="0.25">
      <c r="A545" t="s">
        <v>10827</v>
      </c>
      <c r="B545" t="s">
        <v>10826</v>
      </c>
      <c r="H545">
        <v>3</v>
      </c>
      <c r="K545">
        <v>60</v>
      </c>
      <c r="L545">
        <v>5</v>
      </c>
    </row>
    <row r="546" spans="1:12" x14ac:dyDescent="0.25">
      <c r="A546" t="s">
        <v>10825</v>
      </c>
      <c r="B546" t="s">
        <v>10824</v>
      </c>
      <c r="I546">
        <v>2</v>
      </c>
      <c r="K546">
        <v>60</v>
      </c>
      <c r="L546">
        <v>5</v>
      </c>
    </row>
    <row r="547" spans="1:12" x14ac:dyDescent="0.25">
      <c r="A547" t="s">
        <v>10823</v>
      </c>
      <c r="B547" t="s">
        <v>10822</v>
      </c>
      <c r="I547">
        <v>2</v>
      </c>
      <c r="K547">
        <v>60</v>
      </c>
      <c r="L547">
        <v>5</v>
      </c>
    </row>
    <row r="548" spans="1:12" x14ac:dyDescent="0.25">
      <c r="A548" t="s">
        <v>10821</v>
      </c>
      <c r="B548" t="s">
        <v>10820</v>
      </c>
      <c r="I548">
        <v>2</v>
      </c>
      <c r="K548">
        <v>60</v>
      </c>
      <c r="L548">
        <v>5</v>
      </c>
    </row>
    <row r="549" spans="1:12" x14ac:dyDescent="0.25">
      <c r="A549" t="s">
        <v>10819</v>
      </c>
      <c r="B549" t="s">
        <v>10818</v>
      </c>
      <c r="C549">
        <v>1</v>
      </c>
      <c r="E549" t="s">
        <v>8354</v>
      </c>
      <c r="H549">
        <v>1</v>
      </c>
      <c r="I549">
        <v>2</v>
      </c>
      <c r="K549">
        <v>60</v>
      </c>
      <c r="L549">
        <v>5</v>
      </c>
    </row>
    <row r="550" spans="1:12" x14ac:dyDescent="0.25">
      <c r="A550" s="29" t="s">
        <v>10817</v>
      </c>
      <c r="B550" t="s">
        <v>10816</v>
      </c>
      <c r="I550">
        <v>2</v>
      </c>
      <c r="K550">
        <v>60</v>
      </c>
      <c r="L550">
        <v>5</v>
      </c>
    </row>
    <row r="551" spans="1:12" x14ac:dyDescent="0.25">
      <c r="A551" t="s">
        <v>10815</v>
      </c>
      <c r="B551" t="s">
        <v>10814</v>
      </c>
      <c r="I551">
        <v>2</v>
      </c>
      <c r="K551">
        <v>60</v>
      </c>
      <c r="L551">
        <v>5</v>
      </c>
    </row>
    <row r="552" spans="1:12" x14ac:dyDescent="0.25">
      <c r="A552" t="s">
        <v>10813</v>
      </c>
      <c r="B552" t="s">
        <v>10812</v>
      </c>
      <c r="I552">
        <v>2</v>
      </c>
      <c r="K552">
        <v>60</v>
      </c>
      <c r="L552">
        <v>5</v>
      </c>
    </row>
    <row r="564" spans="1:12" x14ac:dyDescent="0.25">
      <c r="A564" t="s">
        <v>10811</v>
      </c>
      <c r="B564" t="s">
        <v>10810</v>
      </c>
      <c r="H564">
        <v>3</v>
      </c>
      <c r="K564">
        <v>60</v>
      </c>
      <c r="L564">
        <v>5</v>
      </c>
    </row>
    <row r="565" spans="1:12" x14ac:dyDescent="0.25">
      <c r="A565" t="s">
        <v>10809</v>
      </c>
      <c r="B565" t="s">
        <v>10808</v>
      </c>
      <c r="I565">
        <v>2</v>
      </c>
      <c r="K565">
        <v>60</v>
      </c>
      <c r="L565">
        <v>5</v>
      </c>
    </row>
    <row r="566" spans="1:12" x14ac:dyDescent="0.25">
      <c r="A566" t="s">
        <v>10807</v>
      </c>
      <c r="B566" t="s">
        <v>10806</v>
      </c>
      <c r="I566">
        <v>2</v>
      </c>
      <c r="K566">
        <v>60</v>
      </c>
      <c r="L566">
        <v>2</v>
      </c>
    </row>
    <row r="567" spans="1:12" x14ac:dyDescent="0.25">
      <c r="A567" t="s">
        <v>10805</v>
      </c>
      <c r="B567" t="s">
        <v>10804</v>
      </c>
      <c r="I567">
        <v>2</v>
      </c>
      <c r="K567">
        <v>60</v>
      </c>
      <c r="L567">
        <v>5</v>
      </c>
    </row>
    <row r="568" spans="1:12" x14ac:dyDescent="0.25">
      <c r="A568" t="s">
        <v>10803</v>
      </c>
      <c r="B568" t="s">
        <v>10802</v>
      </c>
      <c r="I568">
        <v>2</v>
      </c>
      <c r="K568">
        <v>60</v>
      </c>
      <c r="L568">
        <v>5</v>
      </c>
    </row>
    <row r="569" spans="1:12" x14ac:dyDescent="0.25">
      <c r="A569" s="29" t="s">
        <v>10801</v>
      </c>
      <c r="B569" t="s">
        <v>10455</v>
      </c>
      <c r="I569">
        <v>2</v>
      </c>
      <c r="K569">
        <v>60</v>
      </c>
      <c r="L569">
        <v>2</v>
      </c>
    </row>
    <row r="570" spans="1:12" x14ac:dyDescent="0.25">
      <c r="A570" s="29" t="s">
        <v>10800</v>
      </c>
      <c r="B570" s="29" t="s">
        <v>10799</v>
      </c>
      <c r="H570">
        <v>3</v>
      </c>
      <c r="L570">
        <v>5</v>
      </c>
    </row>
    <row r="571" spans="1:12" x14ac:dyDescent="0.25">
      <c r="A571" s="29" t="s">
        <v>10798</v>
      </c>
      <c r="B571" t="s">
        <v>10797</v>
      </c>
      <c r="H571">
        <v>3</v>
      </c>
      <c r="K571">
        <v>60</v>
      </c>
      <c r="L571">
        <v>5</v>
      </c>
    </row>
    <row r="572" spans="1:12" x14ac:dyDescent="0.25">
      <c r="A572" t="s">
        <v>10796</v>
      </c>
      <c r="B572" t="s">
        <v>10795</v>
      </c>
      <c r="D572" t="s">
        <v>10794</v>
      </c>
      <c r="I572">
        <v>2</v>
      </c>
      <c r="K572">
        <v>60</v>
      </c>
      <c r="L572">
        <v>5</v>
      </c>
    </row>
    <row r="573" spans="1:12" x14ac:dyDescent="0.25">
      <c r="A573" t="s">
        <v>10793</v>
      </c>
      <c r="B573" s="29" t="s">
        <v>10792</v>
      </c>
      <c r="E573" t="s">
        <v>10791</v>
      </c>
      <c r="F573">
        <v>1</v>
      </c>
      <c r="G573">
        <v>1</v>
      </c>
      <c r="H573">
        <v>4</v>
      </c>
      <c r="I573">
        <v>2</v>
      </c>
      <c r="K573">
        <v>60</v>
      </c>
      <c r="L573">
        <v>5</v>
      </c>
    </row>
    <row r="574" spans="1:12" x14ac:dyDescent="0.25">
      <c r="A574" t="s">
        <v>10790</v>
      </c>
      <c r="B574" t="s">
        <v>10789</v>
      </c>
      <c r="I574">
        <v>2</v>
      </c>
      <c r="K574">
        <v>60</v>
      </c>
      <c r="L574">
        <v>5</v>
      </c>
    </row>
    <row r="575" spans="1:12" x14ac:dyDescent="0.25">
      <c r="A575" t="s">
        <v>10788</v>
      </c>
      <c r="B575" t="s">
        <v>10787</v>
      </c>
      <c r="I575">
        <v>2</v>
      </c>
      <c r="K575">
        <v>90</v>
      </c>
      <c r="L575">
        <v>5</v>
      </c>
    </row>
    <row r="576" spans="1:12" x14ac:dyDescent="0.25">
      <c r="A576" t="s">
        <v>10786</v>
      </c>
      <c r="B576" t="s">
        <v>10785</v>
      </c>
      <c r="I576">
        <v>2</v>
      </c>
      <c r="K576">
        <v>60</v>
      </c>
      <c r="L576">
        <v>5</v>
      </c>
    </row>
    <row r="577" spans="1:12" x14ac:dyDescent="0.25">
      <c r="A577" t="s">
        <v>10784</v>
      </c>
      <c r="B577" t="s">
        <v>10783</v>
      </c>
      <c r="H577">
        <v>1</v>
      </c>
      <c r="I577">
        <v>2</v>
      </c>
      <c r="K577">
        <v>60</v>
      </c>
      <c r="L577">
        <v>5</v>
      </c>
    </row>
    <row r="578" spans="1:12" x14ac:dyDescent="0.25">
      <c r="A578" t="s">
        <v>10782</v>
      </c>
      <c r="B578" t="s">
        <v>10781</v>
      </c>
      <c r="I578">
        <v>2</v>
      </c>
      <c r="K578">
        <v>60</v>
      </c>
      <c r="L578">
        <v>5</v>
      </c>
    </row>
    <row r="579" spans="1:12" x14ac:dyDescent="0.25">
      <c r="A579" t="s">
        <v>10780</v>
      </c>
      <c r="B579" t="s">
        <v>10779</v>
      </c>
      <c r="I579">
        <v>2</v>
      </c>
      <c r="K579">
        <v>60</v>
      </c>
      <c r="L579">
        <v>5</v>
      </c>
    </row>
    <row r="580" spans="1:12" x14ac:dyDescent="0.25">
      <c r="A580" t="s">
        <v>10778</v>
      </c>
      <c r="B580" t="s">
        <v>10777</v>
      </c>
      <c r="I580">
        <v>2</v>
      </c>
      <c r="K580">
        <v>60</v>
      </c>
      <c r="L580">
        <v>5</v>
      </c>
    </row>
    <row r="581" spans="1:12" x14ac:dyDescent="0.25">
      <c r="A581" t="s">
        <v>10776</v>
      </c>
      <c r="B581" t="s">
        <v>10775</v>
      </c>
      <c r="I581">
        <v>2</v>
      </c>
      <c r="K581">
        <v>60</v>
      </c>
      <c r="L581">
        <v>5</v>
      </c>
    </row>
    <row r="582" spans="1:12" x14ac:dyDescent="0.25">
      <c r="A582" t="s">
        <v>10774</v>
      </c>
      <c r="B582" t="s">
        <v>10773</v>
      </c>
      <c r="I582">
        <v>2</v>
      </c>
      <c r="K582">
        <v>60</v>
      </c>
      <c r="L582">
        <v>5</v>
      </c>
    </row>
    <row r="583" spans="1:12" x14ac:dyDescent="0.25">
      <c r="A583" t="s">
        <v>10772</v>
      </c>
      <c r="B583" t="s">
        <v>10771</v>
      </c>
      <c r="I583">
        <v>2</v>
      </c>
      <c r="K583">
        <v>60</v>
      </c>
      <c r="L583">
        <v>5</v>
      </c>
    </row>
    <row r="584" spans="1:12" x14ac:dyDescent="0.25">
      <c r="A584" t="s">
        <v>10770</v>
      </c>
      <c r="B584" t="s">
        <v>10769</v>
      </c>
      <c r="I584">
        <v>2</v>
      </c>
      <c r="K584">
        <v>60</v>
      </c>
      <c r="L584">
        <v>5</v>
      </c>
    </row>
    <row r="585" spans="1:12" x14ac:dyDescent="0.25">
      <c r="A585" t="s">
        <v>10768</v>
      </c>
      <c r="B585" t="s">
        <v>10767</v>
      </c>
      <c r="H585">
        <v>3</v>
      </c>
      <c r="K585">
        <v>60</v>
      </c>
      <c r="L585">
        <v>5</v>
      </c>
    </row>
    <row r="586" spans="1:12" x14ac:dyDescent="0.25">
      <c r="A586" t="s">
        <v>10766</v>
      </c>
      <c r="B586" t="s">
        <v>10765</v>
      </c>
      <c r="H586">
        <v>3</v>
      </c>
      <c r="K586">
        <v>90</v>
      </c>
      <c r="L586">
        <v>5</v>
      </c>
    </row>
    <row r="587" spans="1:12" x14ac:dyDescent="0.25">
      <c r="A587" t="s">
        <v>10764</v>
      </c>
      <c r="B587" t="s">
        <v>10763</v>
      </c>
      <c r="I587">
        <v>2</v>
      </c>
      <c r="K587">
        <v>60</v>
      </c>
      <c r="L587">
        <v>5</v>
      </c>
    </row>
    <row r="588" spans="1:12" x14ac:dyDescent="0.25">
      <c r="A588" t="s">
        <v>10762</v>
      </c>
      <c r="B588" t="s">
        <v>10761</v>
      </c>
      <c r="H588">
        <v>3</v>
      </c>
      <c r="K588">
        <v>90</v>
      </c>
      <c r="L588">
        <v>5</v>
      </c>
    </row>
    <row r="589" spans="1:12" x14ac:dyDescent="0.25">
      <c r="A589" t="s">
        <v>10760</v>
      </c>
      <c r="B589" t="s">
        <v>10759</v>
      </c>
      <c r="I589">
        <v>2</v>
      </c>
      <c r="K589">
        <v>60</v>
      </c>
      <c r="L589">
        <v>5</v>
      </c>
    </row>
    <row r="591" spans="1:12" x14ac:dyDescent="0.25">
      <c r="A591" t="s">
        <v>10758</v>
      </c>
      <c r="B591" t="s">
        <v>10757</v>
      </c>
      <c r="I591">
        <v>2</v>
      </c>
      <c r="K591">
        <v>60</v>
      </c>
      <c r="L591">
        <v>5</v>
      </c>
    </row>
    <row r="592" spans="1:12" x14ac:dyDescent="0.25">
      <c r="A592" t="s">
        <v>10756</v>
      </c>
      <c r="B592" t="s">
        <v>10755</v>
      </c>
      <c r="D592" s="29"/>
      <c r="H592">
        <v>3</v>
      </c>
      <c r="L592">
        <v>5</v>
      </c>
    </row>
    <row r="593" spans="1:12" x14ac:dyDescent="0.25">
      <c r="A593" t="s">
        <v>10754</v>
      </c>
      <c r="B593" t="s">
        <v>10753</v>
      </c>
      <c r="I593">
        <v>2</v>
      </c>
      <c r="K593">
        <v>60</v>
      </c>
      <c r="L593">
        <v>5</v>
      </c>
    </row>
    <row r="594" spans="1:12" x14ac:dyDescent="0.25">
      <c r="A594" t="s">
        <v>10752</v>
      </c>
      <c r="B594" t="s">
        <v>10751</v>
      </c>
      <c r="I594">
        <v>2</v>
      </c>
      <c r="K594">
        <v>60</v>
      </c>
      <c r="L594">
        <v>5</v>
      </c>
    </row>
    <row r="595" spans="1:12" x14ac:dyDescent="0.25">
      <c r="A595" t="s">
        <v>10750</v>
      </c>
      <c r="B595" t="s">
        <v>10749</v>
      </c>
      <c r="I595">
        <v>2</v>
      </c>
      <c r="K595">
        <v>60</v>
      </c>
      <c r="L595">
        <v>5</v>
      </c>
    </row>
    <row r="596" spans="1:12" x14ac:dyDescent="0.25">
      <c r="A596" t="s">
        <v>10748</v>
      </c>
      <c r="B596" t="s">
        <v>10747</v>
      </c>
      <c r="I596">
        <v>2</v>
      </c>
      <c r="K596">
        <v>60</v>
      </c>
      <c r="L596">
        <v>5</v>
      </c>
    </row>
    <row r="597" spans="1:12" x14ac:dyDescent="0.25">
      <c r="A597" t="s">
        <v>10746</v>
      </c>
      <c r="B597" t="s">
        <v>10745</v>
      </c>
      <c r="I597">
        <v>2</v>
      </c>
      <c r="K597">
        <v>60</v>
      </c>
      <c r="L597">
        <v>5</v>
      </c>
    </row>
    <row r="598" spans="1:12" x14ac:dyDescent="0.25">
      <c r="A598" t="s">
        <v>10744</v>
      </c>
      <c r="B598" t="s">
        <v>10743</v>
      </c>
      <c r="I598">
        <v>2</v>
      </c>
      <c r="K598">
        <v>90</v>
      </c>
      <c r="L598">
        <v>5</v>
      </c>
    </row>
    <row r="599" spans="1:12" x14ac:dyDescent="0.25">
      <c r="A599" t="s">
        <v>10742</v>
      </c>
      <c r="B599" t="s">
        <v>10741</v>
      </c>
      <c r="I599">
        <v>2</v>
      </c>
      <c r="K599">
        <v>60</v>
      </c>
      <c r="L599">
        <v>5</v>
      </c>
    </row>
    <row r="600" spans="1:12" x14ac:dyDescent="0.25">
      <c r="A600" t="s">
        <v>10740</v>
      </c>
      <c r="B600" t="s">
        <v>10739</v>
      </c>
      <c r="I600">
        <v>2</v>
      </c>
      <c r="L600">
        <v>5</v>
      </c>
    </row>
    <row r="601" spans="1:12" x14ac:dyDescent="0.25">
      <c r="A601" t="s">
        <v>10738</v>
      </c>
      <c r="B601" t="s">
        <v>10737</v>
      </c>
      <c r="H601">
        <v>3</v>
      </c>
      <c r="K601">
        <v>60</v>
      </c>
      <c r="L601">
        <v>5</v>
      </c>
    </row>
    <row r="602" spans="1:12" x14ac:dyDescent="0.25">
      <c r="A602" t="s">
        <v>10736</v>
      </c>
      <c r="B602" t="s">
        <v>10735</v>
      </c>
      <c r="H602">
        <v>3</v>
      </c>
      <c r="K602">
        <v>60</v>
      </c>
      <c r="L602">
        <v>5</v>
      </c>
    </row>
    <row r="603" spans="1:12" x14ac:dyDescent="0.25">
      <c r="A603" t="s">
        <v>10734</v>
      </c>
      <c r="B603" t="s">
        <v>10733</v>
      </c>
      <c r="K603">
        <v>60</v>
      </c>
      <c r="L603">
        <v>5</v>
      </c>
    </row>
    <row r="604" spans="1:12" x14ac:dyDescent="0.25">
      <c r="A604" s="29" t="s">
        <v>10732</v>
      </c>
      <c r="B604" t="s">
        <v>10731</v>
      </c>
      <c r="H604">
        <v>3</v>
      </c>
      <c r="K604">
        <v>60</v>
      </c>
      <c r="L604">
        <v>5</v>
      </c>
    </row>
    <row r="605" spans="1:12" x14ac:dyDescent="0.25">
      <c r="A605" t="s">
        <v>10730</v>
      </c>
      <c r="B605" t="s">
        <v>10729</v>
      </c>
      <c r="H605">
        <v>3</v>
      </c>
      <c r="K605">
        <v>60</v>
      </c>
      <c r="L605">
        <v>5</v>
      </c>
    </row>
    <row r="606" spans="1:12" x14ac:dyDescent="0.25">
      <c r="A606" t="s">
        <v>10728</v>
      </c>
      <c r="B606" t="s">
        <v>10727</v>
      </c>
      <c r="H606">
        <v>3</v>
      </c>
      <c r="K606">
        <v>60</v>
      </c>
      <c r="L606">
        <v>5</v>
      </c>
    </row>
    <row r="607" spans="1:12" x14ac:dyDescent="0.25">
      <c r="A607" t="s">
        <v>10726</v>
      </c>
      <c r="B607" t="s">
        <v>10725</v>
      </c>
      <c r="K607">
        <v>60</v>
      </c>
      <c r="L607">
        <v>5</v>
      </c>
    </row>
    <row r="608" spans="1:12" x14ac:dyDescent="0.25">
      <c r="A608" t="s">
        <v>10724</v>
      </c>
      <c r="B608" t="s">
        <v>10723</v>
      </c>
      <c r="K608">
        <v>60</v>
      </c>
      <c r="L608">
        <v>5</v>
      </c>
    </row>
    <row r="609" spans="1:12" x14ac:dyDescent="0.25">
      <c r="A609" t="s">
        <v>10722</v>
      </c>
      <c r="B609" t="s">
        <v>10721</v>
      </c>
      <c r="H609">
        <v>3</v>
      </c>
      <c r="K609">
        <v>60</v>
      </c>
      <c r="L609">
        <v>5</v>
      </c>
    </row>
    <row r="610" spans="1:12" x14ac:dyDescent="0.25">
      <c r="A610" s="29" t="s">
        <v>10720</v>
      </c>
      <c r="B610" t="s">
        <v>10719</v>
      </c>
      <c r="D610" s="29" t="s">
        <v>9874</v>
      </c>
      <c r="K610">
        <v>90</v>
      </c>
      <c r="L610">
        <v>5</v>
      </c>
    </row>
    <row r="611" spans="1:12" x14ac:dyDescent="0.25">
      <c r="A611" t="s">
        <v>10718</v>
      </c>
      <c r="B611" t="s">
        <v>10717</v>
      </c>
      <c r="K611">
        <v>60</v>
      </c>
      <c r="L611">
        <v>5</v>
      </c>
    </row>
    <row r="612" spans="1:12" x14ac:dyDescent="0.25">
      <c r="A612" t="s">
        <v>10716</v>
      </c>
      <c r="B612" t="s">
        <v>10715</v>
      </c>
      <c r="D612" t="s">
        <v>10714</v>
      </c>
      <c r="H612">
        <v>3</v>
      </c>
      <c r="K612">
        <v>60</v>
      </c>
      <c r="L612">
        <v>5</v>
      </c>
    </row>
    <row r="613" spans="1:12" x14ac:dyDescent="0.25">
      <c r="A613" t="s">
        <v>10713</v>
      </c>
      <c r="B613" t="s">
        <v>10712</v>
      </c>
      <c r="I613">
        <v>2</v>
      </c>
      <c r="K613">
        <v>60</v>
      </c>
      <c r="L613">
        <v>5</v>
      </c>
    </row>
    <row r="614" spans="1:12" x14ac:dyDescent="0.25">
      <c r="A614" t="s">
        <v>10711</v>
      </c>
      <c r="B614" t="s">
        <v>10710</v>
      </c>
      <c r="H614">
        <v>1</v>
      </c>
      <c r="I614">
        <v>2</v>
      </c>
      <c r="K614">
        <v>60</v>
      </c>
      <c r="L614">
        <v>5</v>
      </c>
    </row>
    <row r="615" spans="1:12" x14ac:dyDescent="0.25">
      <c r="A615" t="s">
        <v>10709</v>
      </c>
      <c r="B615" t="s">
        <v>10708</v>
      </c>
      <c r="I615">
        <v>2</v>
      </c>
      <c r="K615">
        <v>60</v>
      </c>
      <c r="L615">
        <v>5</v>
      </c>
    </row>
    <row r="616" spans="1:12" x14ac:dyDescent="0.25">
      <c r="A616" t="s">
        <v>10707</v>
      </c>
      <c r="B616" t="s">
        <v>10706</v>
      </c>
      <c r="I616">
        <v>2</v>
      </c>
      <c r="K616">
        <v>60</v>
      </c>
      <c r="L616">
        <v>5</v>
      </c>
    </row>
    <row r="617" spans="1:12" x14ac:dyDescent="0.25">
      <c r="A617" t="s">
        <v>10705</v>
      </c>
      <c r="B617" t="s">
        <v>10704</v>
      </c>
      <c r="I617">
        <v>2</v>
      </c>
      <c r="K617">
        <v>60</v>
      </c>
      <c r="L617">
        <v>5</v>
      </c>
    </row>
    <row r="618" spans="1:12" x14ac:dyDescent="0.25">
      <c r="A618" s="29" t="s">
        <v>10703</v>
      </c>
      <c r="B618" t="s">
        <v>10702</v>
      </c>
      <c r="I618">
        <v>2</v>
      </c>
      <c r="K618">
        <v>60</v>
      </c>
      <c r="L618">
        <v>5</v>
      </c>
    </row>
    <row r="619" spans="1:12" x14ac:dyDescent="0.25">
      <c r="A619" t="s">
        <v>10701</v>
      </c>
      <c r="B619" t="s">
        <v>10700</v>
      </c>
      <c r="D619" t="s">
        <v>9311</v>
      </c>
      <c r="I619">
        <v>2</v>
      </c>
      <c r="K619">
        <v>60</v>
      </c>
      <c r="L619">
        <v>5</v>
      </c>
    </row>
    <row r="620" spans="1:12" x14ac:dyDescent="0.25">
      <c r="A620" t="s">
        <v>10699</v>
      </c>
      <c r="B620" t="s">
        <v>10698</v>
      </c>
      <c r="H620">
        <v>1</v>
      </c>
      <c r="I620">
        <v>2</v>
      </c>
      <c r="K620">
        <v>60</v>
      </c>
      <c r="L620">
        <v>5</v>
      </c>
    </row>
    <row r="622" spans="1:12" x14ac:dyDescent="0.25">
      <c r="A622" s="29" t="s">
        <v>10697</v>
      </c>
      <c r="B622" t="s">
        <v>10358</v>
      </c>
      <c r="H622">
        <v>1</v>
      </c>
      <c r="I622">
        <v>2</v>
      </c>
      <c r="K622">
        <v>60</v>
      </c>
      <c r="L622">
        <v>5</v>
      </c>
    </row>
    <row r="623" spans="1:12" x14ac:dyDescent="0.25">
      <c r="A623" s="29" t="s">
        <v>10696</v>
      </c>
      <c r="B623" t="s">
        <v>10347</v>
      </c>
      <c r="E623" s="29" t="s">
        <v>10344</v>
      </c>
      <c r="F623">
        <v>1</v>
      </c>
      <c r="H623">
        <v>1</v>
      </c>
      <c r="I623">
        <v>2</v>
      </c>
      <c r="K623">
        <v>60</v>
      </c>
      <c r="L623">
        <v>5</v>
      </c>
    </row>
    <row r="624" spans="1:12" x14ac:dyDescent="0.25">
      <c r="A624" s="29" t="s">
        <v>10695</v>
      </c>
      <c r="B624" t="s">
        <v>10356</v>
      </c>
      <c r="H624">
        <v>1</v>
      </c>
      <c r="I624">
        <v>2</v>
      </c>
      <c r="K624">
        <v>60</v>
      </c>
      <c r="L624">
        <v>5</v>
      </c>
    </row>
    <row r="625" spans="1:13" x14ac:dyDescent="0.25">
      <c r="A625" s="29" t="s">
        <v>10694</v>
      </c>
      <c r="B625" t="s">
        <v>10345</v>
      </c>
      <c r="E625" s="29" t="s">
        <v>10344</v>
      </c>
      <c r="F625">
        <v>1</v>
      </c>
      <c r="H625">
        <v>1</v>
      </c>
      <c r="I625">
        <v>2</v>
      </c>
      <c r="K625">
        <v>60</v>
      </c>
      <c r="L625">
        <v>5</v>
      </c>
    </row>
    <row r="626" spans="1:13" x14ac:dyDescent="0.25">
      <c r="A626" s="29" t="s">
        <v>10693</v>
      </c>
      <c r="B626" t="s">
        <v>10354</v>
      </c>
      <c r="H626">
        <v>1</v>
      </c>
      <c r="I626">
        <v>2</v>
      </c>
      <c r="K626">
        <v>60</v>
      </c>
      <c r="L626">
        <v>5</v>
      </c>
      <c r="M626">
        <v>1</v>
      </c>
    </row>
    <row r="627" spans="1:13" x14ac:dyDescent="0.25">
      <c r="A627" s="29" t="s">
        <v>10692</v>
      </c>
      <c r="B627" t="s">
        <v>10352</v>
      </c>
      <c r="E627" s="29" t="s">
        <v>10351</v>
      </c>
      <c r="F627">
        <v>1</v>
      </c>
      <c r="H627">
        <v>1</v>
      </c>
      <c r="I627">
        <v>2</v>
      </c>
      <c r="K627">
        <v>60</v>
      </c>
      <c r="L627">
        <v>5</v>
      </c>
    </row>
    <row r="628" spans="1:13" x14ac:dyDescent="0.25">
      <c r="A628" s="29" t="s">
        <v>10691</v>
      </c>
      <c r="B628" t="s">
        <v>10349</v>
      </c>
      <c r="H628">
        <v>1</v>
      </c>
      <c r="I628">
        <v>1</v>
      </c>
      <c r="K628">
        <v>60</v>
      </c>
      <c r="L628">
        <v>5</v>
      </c>
    </row>
    <row r="629" spans="1:13" x14ac:dyDescent="0.25">
      <c r="A629" s="29"/>
      <c r="B629" s="29"/>
    </row>
    <row r="630" spans="1:13" x14ac:dyDescent="0.25">
      <c r="A630" s="29"/>
      <c r="B630" s="29"/>
    </row>
    <row r="631" spans="1:13" x14ac:dyDescent="0.25">
      <c r="A631" s="29"/>
      <c r="B631" s="29"/>
      <c r="E631" s="29"/>
    </row>
    <row r="632" spans="1:13" x14ac:dyDescent="0.25">
      <c r="A632" s="29" t="s">
        <v>10690</v>
      </c>
      <c r="B632" t="s">
        <v>10689</v>
      </c>
      <c r="H632">
        <v>1</v>
      </c>
      <c r="I632">
        <v>2</v>
      </c>
      <c r="K632">
        <v>60</v>
      </c>
      <c r="L632">
        <v>5</v>
      </c>
    </row>
    <row r="633" spans="1:13" x14ac:dyDescent="0.25">
      <c r="A633" s="29" t="s">
        <v>10688</v>
      </c>
      <c r="B633" t="s">
        <v>10687</v>
      </c>
      <c r="D633" s="29"/>
      <c r="I633">
        <v>2</v>
      </c>
      <c r="K633">
        <v>60</v>
      </c>
      <c r="L633">
        <v>5</v>
      </c>
    </row>
    <row r="634" spans="1:13" x14ac:dyDescent="0.25">
      <c r="A634" s="29" t="s">
        <v>10686</v>
      </c>
      <c r="B634" t="s">
        <v>10685</v>
      </c>
      <c r="H634">
        <v>1</v>
      </c>
      <c r="I634">
        <v>2</v>
      </c>
      <c r="K634">
        <v>60</v>
      </c>
      <c r="L634">
        <v>5</v>
      </c>
    </row>
    <row r="635" spans="1:13" x14ac:dyDescent="0.25">
      <c r="A635" s="29" t="s">
        <v>10684</v>
      </c>
      <c r="B635" t="s">
        <v>10683</v>
      </c>
      <c r="D635" s="29"/>
      <c r="I635">
        <v>2</v>
      </c>
      <c r="K635">
        <v>60</v>
      </c>
      <c r="L635">
        <v>5</v>
      </c>
    </row>
    <row r="636" spans="1:13" x14ac:dyDescent="0.25">
      <c r="A636" s="29"/>
      <c r="B636" s="29"/>
    </row>
    <row r="637" spans="1:13" x14ac:dyDescent="0.25">
      <c r="A637" s="29"/>
      <c r="B637" s="29"/>
    </row>
    <row r="638" spans="1:13" x14ac:dyDescent="0.25">
      <c r="A638" s="29" t="s">
        <v>10681</v>
      </c>
      <c r="B638" t="s">
        <v>10680</v>
      </c>
      <c r="I638">
        <v>2</v>
      </c>
      <c r="K638">
        <v>60</v>
      </c>
      <c r="L638">
        <v>5</v>
      </c>
    </row>
    <row r="639" spans="1:13" x14ac:dyDescent="0.25">
      <c r="A639" s="29" t="s">
        <v>10679</v>
      </c>
      <c r="B639" t="s">
        <v>10678</v>
      </c>
      <c r="I639">
        <v>2</v>
      </c>
      <c r="K639">
        <v>60</v>
      </c>
      <c r="L639">
        <v>5</v>
      </c>
    </row>
    <row r="640" spans="1:13" x14ac:dyDescent="0.25">
      <c r="A640" s="29" t="s">
        <v>10677</v>
      </c>
      <c r="B640" t="s">
        <v>10676</v>
      </c>
      <c r="I640">
        <v>2</v>
      </c>
      <c r="K640">
        <v>60</v>
      </c>
      <c r="L640">
        <v>5</v>
      </c>
    </row>
    <row r="641" spans="1:12" x14ac:dyDescent="0.25">
      <c r="A641" s="29" t="s">
        <v>10675</v>
      </c>
      <c r="B641" t="s">
        <v>10674</v>
      </c>
      <c r="H641">
        <v>3</v>
      </c>
      <c r="K641">
        <v>60</v>
      </c>
      <c r="L641">
        <v>5</v>
      </c>
    </row>
    <row r="642" spans="1:12" x14ac:dyDescent="0.25">
      <c r="A642" s="29" t="s">
        <v>10673</v>
      </c>
      <c r="B642" t="s">
        <v>10672</v>
      </c>
      <c r="I642">
        <v>2</v>
      </c>
      <c r="K642">
        <v>60</v>
      </c>
      <c r="L642">
        <v>5</v>
      </c>
    </row>
    <row r="643" spans="1:12" x14ac:dyDescent="0.25">
      <c r="A643" s="29" t="s">
        <v>10671</v>
      </c>
      <c r="B643" t="s">
        <v>10670</v>
      </c>
      <c r="H643">
        <v>3</v>
      </c>
      <c r="K643">
        <v>60</v>
      </c>
      <c r="L643">
        <v>5</v>
      </c>
    </row>
    <row r="644" spans="1:12" x14ac:dyDescent="0.25">
      <c r="A644" s="29"/>
      <c r="B644" s="29"/>
      <c r="D644" s="29"/>
    </row>
    <row r="645" spans="1:12" x14ac:dyDescent="0.25">
      <c r="A645" s="29"/>
      <c r="B645" s="29"/>
      <c r="D645" s="29"/>
    </row>
    <row r="646" spans="1:12" x14ac:dyDescent="0.25">
      <c r="A646" s="29" t="s">
        <v>10669</v>
      </c>
      <c r="B646" t="s">
        <v>10668</v>
      </c>
      <c r="K646">
        <v>60</v>
      </c>
      <c r="L646">
        <v>5</v>
      </c>
    </row>
    <row r="647" spans="1:12" x14ac:dyDescent="0.25">
      <c r="A647" s="29" t="s">
        <v>10667</v>
      </c>
      <c r="B647" t="s">
        <v>10666</v>
      </c>
    </row>
    <row r="648" spans="1:12" x14ac:dyDescent="0.25">
      <c r="A648" s="29" t="s">
        <v>10665</v>
      </c>
      <c r="B648" t="s">
        <v>10664</v>
      </c>
      <c r="I648">
        <v>2</v>
      </c>
      <c r="K648">
        <v>60</v>
      </c>
      <c r="L648">
        <v>5</v>
      </c>
    </row>
    <row r="649" spans="1:12" x14ac:dyDescent="0.25">
      <c r="A649" s="29" t="s">
        <v>10663</v>
      </c>
      <c r="B649" t="s">
        <v>10662</v>
      </c>
      <c r="H649">
        <v>3</v>
      </c>
      <c r="I649">
        <v>2</v>
      </c>
      <c r="K649">
        <v>60</v>
      </c>
      <c r="L649">
        <v>5</v>
      </c>
    </row>
    <row r="650" spans="1:12" x14ac:dyDescent="0.25">
      <c r="A650" s="29" t="s">
        <v>10661</v>
      </c>
      <c r="B650" t="s">
        <v>10660</v>
      </c>
      <c r="H650">
        <v>3</v>
      </c>
      <c r="I650">
        <v>2</v>
      </c>
      <c r="K650">
        <v>60</v>
      </c>
      <c r="L650">
        <v>5</v>
      </c>
    </row>
    <row r="651" spans="1:12" x14ac:dyDescent="0.25">
      <c r="A651" s="29" t="s">
        <v>10659</v>
      </c>
      <c r="B651" t="s">
        <v>10658</v>
      </c>
      <c r="I651">
        <v>2</v>
      </c>
      <c r="K651">
        <v>60</v>
      </c>
      <c r="L651">
        <v>5</v>
      </c>
    </row>
    <row r="652" spans="1:12" x14ac:dyDescent="0.25">
      <c r="A652" s="29" t="s">
        <v>10657</v>
      </c>
      <c r="B652" t="s">
        <v>10656</v>
      </c>
      <c r="H652">
        <v>3</v>
      </c>
      <c r="I652">
        <v>2</v>
      </c>
      <c r="K652">
        <v>60</v>
      </c>
      <c r="L652">
        <v>5</v>
      </c>
    </row>
    <row r="653" spans="1:12" x14ac:dyDescent="0.25">
      <c r="A653" s="29" t="s">
        <v>10655</v>
      </c>
      <c r="B653" t="s">
        <v>10654</v>
      </c>
      <c r="I653">
        <v>2</v>
      </c>
      <c r="K653">
        <v>60</v>
      </c>
      <c r="L653">
        <v>5</v>
      </c>
    </row>
    <row r="654" spans="1:12" x14ac:dyDescent="0.25">
      <c r="A654" s="29" t="s">
        <v>10653</v>
      </c>
      <c r="B654" t="s">
        <v>10652</v>
      </c>
      <c r="H654">
        <v>3</v>
      </c>
      <c r="I654">
        <v>2</v>
      </c>
      <c r="K654">
        <v>60</v>
      </c>
      <c r="L654">
        <v>5</v>
      </c>
    </row>
    <row r="655" spans="1:12" x14ac:dyDescent="0.25">
      <c r="A655" s="29" t="s">
        <v>10651</v>
      </c>
      <c r="B655" t="s">
        <v>10650</v>
      </c>
      <c r="I655">
        <v>2</v>
      </c>
      <c r="K655">
        <v>60</v>
      </c>
      <c r="L655">
        <v>5</v>
      </c>
    </row>
    <row r="656" spans="1:12" x14ac:dyDescent="0.25">
      <c r="A656" s="29" t="s">
        <v>10649</v>
      </c>
      <c r="B656" t="s">
        <v>10648</v>
      </c>
      <c r="I656">
        <v>2</v>
      </c>
      <c r="K656">
        <v>60</v>
      </c>
      <c r="L656">
        <v>5</v>
      </c>
    </row>
    <row r="657" spans="1:12" x14ac:dyDescent="0.25">
      <c r="A657" s="29" t="s">
        <v>10647</v>
      </c>
      <c r="B657" t="s">
        <v>10646</v>
      </c>
      <c r="I657">
        <v>2</v>
      </c>
      <c r="K657">
        <v>60</v>
      </c>
      <c r="L657">
        <v>5</v>
      </c>
    </row>
    <row r="658" spans="1:12" x14ac:dyDescent="0.25">
      <c r="A658" s="29" t="s">
        <v>10645</v>
      </c>
      <c r="B658" t="s">
        <v>10644</v>
      </c>
      <c r="I658">
        <v>2</v>
      </c>
      <c r="K658">
        <v>60</v>
      </c>
      <c r="L658">
        <v>5</v>
      </c>
    </row>
    <row r="659" spans="1:12" x14ac:dyDescent="0.25">
      <c r="A659" s="29" t="s">
        <v>10643</v>
      </c>
      <c r="B659" t="s">
        <v>10642</v>
      </c>
      <c r="I659">
        <v>2</v>
      </c>
      <c r="K659">
        <v>60</v>
      </c>
      <c r="L659">
        <v>5</v>
      </c>
    </row>
    <row r="660" spans="1:12" x14ac:dyDescent="0.25">
      <c r="A660" s="29" t="s">
        <v>10641</v>
      </c>
      <c r="B660" t="s">
        <v>10640</v>
      </c>
      <c r="I660">
        <v>2</v>
      </c>
      <c r="K660">
        <v>60</v>
      </c>
      <c r="L660">
        <v>5</v>
      </c>
    </row>
    <row r="661" spans="1:12" x14ac:dyDescent="0.25">
      <c r="A661" s="29" t="s">
        <v>10639</v>
      </c>
      <c r="B661" t="s">
        <v>10638</v>
      </c>
      <c r="I661">
        <v>2</v>
      </c>
      <c r="K661">
        <v>60</v>
      </c>
      <c r="L661">
        <v>5</v>
      </c>
    </row>
    <row r="662" spans="1:12" x14ac:dyDescent="0.25">
      <c r="A662" s="29" t="s">
        <v>10637</v>
      </c>
      <c r="B662" t="s">
        <v>10636</v>
      </c>
      <c r="I662">
        <v>2</v>
      </c>
      <c r="K662">
        <v>60</v>
      </c>
      <c r="L662">
        <v>5</v>
      </c>
    </row>
    <row r="663" spans="1:12" x14ac:dyDescent="0.25">
      <c r="A663" s="29" t="s">
        <v>10635</v>
      </c>
      <c r="B663" t="s">
        <v>10634</v>
      </c>
      <c r="I663">
        <v>2</v>
      </c>
      <c r="K663">
        <v>60</v>
      </c>
      <c r="L663">
        <v>5</v>
      </c>
    </row>
    <row r="664" spans="1:12" x14ac:dyDescent="0.25">
      <c r="A664" s="29" t="s">
        <v>10633</v>
      </c>
      <c r="B664" t="s">
        <v>10632</v>
      </c>
      <c r="E664" s="29"/>
      <c r="H664">
        <v>1</v>
      </c>
      <c r="I664">
        <v>2</v>
      </c>
      <c r="K664">
        <v>60</v>
      </c>
      <c r="L664">
        <v>5</v>
      </c>
    </row>
    <row r="665" spans="1:12" x14ac:dyDescent="0.25">
      <c r="A665" s="29" t="s">
        <v>10631</v>
      </c>
      <c r="B665" t="s">
        <v>10630</v>
      </c>
      <c r="I665">
        <v>2</v>
      </c>
      <c r="K665">
        <v>60</v>
      </c>
      <c r="L665">
        <v>5</v>
      </c>
    </row>
    <row r="666" spans="1:12" x14ac:dyDescent="0.25">
      <c r="A666" s="29" t="s">
        <v>10629</v>
      </c>
      <c r="B666" t="s">
        <v>10628</v>
      </c>
      <c r="I666">
        <v>2</v>
      </c>
      <c r="K666">
        <v>60</v>
      </c>
      <c r="L666">
        <v>5</v>
      </c>
    </row>
    <row r="667" spans="1:12" x14ac:dyDescent="0.25">
      <c r="A667" s="29" t="s">
        <v>10627</v>
      </c>
      <c r="B667" t="s">
        <v>10626</v>
      </c>
      <c r="I667">
        <v>2</v>
      </c>
      <c r="K667">
        <v>60</v>
      </c>
      <c r="L667">
        <v>5</v>
      </c>
    </row>
    <row r="668" spans="1:12" x14ac:dyDescent="0.25">
      <c r="A668" s="29" t="s">
        <v>10625</v>
      </c>
      <c r="B668" t="s">
        <v>10624</v>
      </c>
      <c r="H668">
        <v>3</v>
      </c>
      <c r="K668">
        <v>60</v>
      </c>
      <c r="L668">
        <v>5</v>
      </c>
    </row>
    <row r="669" spans="1:12" x14ac:dyDescent="0.25">
      <c r="A669" s="29" t="s">
        <v>10623</v>
      </c>
      <c r="B669" s="29" t="s">
        <v>10622</v>
      </c>
      <c r="H669">
        <v>3</v>
      </c>
      <c r="K669">
        <v>60</v>
      </c>
      <c r="L669">
        <v>5</v>
      </c>
    </row>
    <row r="670" spans="1:12" x14ac:dyDescent="0.25">
      <c r="A670" s="29" t="s">
        <v>10621</v>
      </c>
      <c r="B670" t="s">
        <v>10620</v>
      </c>
      <c r="I670">
        <v>2</v>
      </c>
      <c r="K670">
        <v>60</v>
      </c>
      <c r="L670">
        <v>5</v>
      </c>
    </row>
    <row r="671" spans="1:12" x14ac:dyDescent="0.25">
      <c r="A671" s="29" t="s">
        <v>10619</v>
      </c>
      <c r="B671" t="s">
        <v>10618</v>
      </c>
      <c r="I671">
        <v>2</v>
      </c>
      <c r="L671">
        <v>5</v>
      </c>
    </row>
    <row r="672" spans="1:12" x14ac:dyDescent="0.25">
      <c r="A672" s="29" t="s">
        <v>10617</v>
      </c>
      <c r="B672" t="s">
        <v>10616</v>
      </c>
      <c r="I672">
        <v>2</v>
      </c>
      <c r="K672">
        <v>60</v>
      </c>
      <c r="L672">
        <v>5</v>
      </c>
    </row>
    <row r="673" spans="1:12" x14ac:dyDescent="0.25">
      <c r="A673" s="29" t="s">
        <v>10615</v>
      </c>
      <c r="B673" t="s">
        <v>10614</v>
      </c>
      <c r="I673">
        <v>2</v>
      </c>
      <c r="K673">
        <v>60</v>
      </c>
      <c r="L673">
        <v>5</v>
      </c>
    </row>
    <row r="674" spans="1:12" x14ac:dyDescent="0.25">
      <c r="A674" s="29" t="s">
        <v>10613</v>
      </c>
      <c r="B674" t="s">
        <v>10612</v>
      </c>
      <c r="I674">
        <v>2</v>
      </c>
      <c r="K674">
        <v>60</v>
      </c>
      <c r="L674">
        <v>5</v>
      </c>
    </row>
    <row r="675" spans="1:12" x14ac:dyDescent="0.25">
      <c r="A675" s="29" t="s">
        <v>10611</v>
      </c>
      <c r="B675" t="s">
        <v>10610</v>
      </c>
      <c r="I675">
        <v>2</v>
      </c>
      <c r="K675">
        <v>60</v>
      </c>
      <c r="L675">
        <v>5</v>
      </c>
    </row>
    <row r="676" spans="1:12" x14ac:dyDescent="0.25">
      <c r="A676" s="29" t="s">
        <v>10609</v>
      </c>
      <c r="B676" t="s">
        <v>10608</v>
      </c>
      <c r="I676">
        <v>2</v>
      </c>
      <c r="K676">
        <v>60</v>
      </c>
      <c r="L676">
        <v>5</v>
      </c>
    </row>
    <row r="677" spans="1:12" x14ac:dyDescent="0.25">
      <c r="A677" s="29" t="s">
        <v>10607</v>
      </c>
      <c r="B677" t="s">
        <v>10606</v>
      </c>
      <c r="I677">
        <v>2</v>
      </c>
      <c r="K677">
        <v>60</v>
      </c>
      <c r="L677">
        <v>5</v>
      </c>
    </row>
    <row r="678" spans="1:12" x14ac:dyDescent="0.25">
      <c r="A678" s="29" t="s">
        <v>10605</v>
      </c>
      <c r="B678" t="s">
        <v>10604</v>
      </c>
      <c r="I678">
        <v>2</v>
      </c>
      <c r="K678">
        <v>60</v>
      </c>
      <c r="L678">
        <v>5</v>
      </c>
    </row>
    <row r="679" spans="1:12" x14ac:dyDescent="0.25">
      <c r="A679" s="29" t="s">
        <v>10603</v>
      </c>
      <c r="B679" t="s">
        <v>10602</v>
      </c>
      <c r="I679">
        <v>2</v>
      </c>
      <c r="K679">
        <v>60</v>
      </c>
      <c r="L679">
        <v>5</v>
      </c>
    </row>
    <row r="680" spans="1:12" x14ac:dyDescent="0.25">
      <c r="A680" s="29" t="s">
        <v>10601</v>
      </c>
      <c r="B680" t="s">
        <v>10600</v>
      </c>
      <c r="H680">
        <v>3</v>
      </c>
      <c r="K680">
        <v>60</v>
      </c>
      <c r="L680">
        <v>5</v>
      </c>
    </row>
    <row r="681" spans="1:12" x14ac:dyDescent="0.25">
      <c r="A681" s="29" t="s">
        <v>10599</v>
      </c>
      <c r="B681" t="s">
        <v>10598</v>
      </c>
      <c r="H681">
        <v>3</v>
      </c>
      <c r="K681">
        <v>60</v>
      </c>
      <c r="L681">
        <v>5</v>
      </c>
    </row>
    <row r="682" spans="1:12" x14ac:dyDescent="0.25">
      <c r="A682" s="29" t="s">
        <v>10597</v>
      </c>
      <c r="B682" t="s">
        <v>10596</v>
      </c>
      <c r="H682">
        <v>3</v>
      </c>
      <c r="K682">
        <v>60</v>
      </c>
      <c r="L682">
        <v>5</v>
      </c>
    </row>
    <row r="683" spans="1:12" x14ac:dyDescent="0.25">
      <c r="A683" s="29" t="s">
        <v>10595</v>
      </c>
      <c r="B683" t="s">
        <v>10594</v>
      </c>
      <c r="H683">
        <v>3</v>
      </c>
      <c r="K683">
        <v>60</v>
      </c>
      <c r="L683">
        <v>5</v>
      </c>
    </row>
    <row r="684" spans="1:12" x14ac:dyDescent="0.25">
      <c r="A684" s="29" t="s">
        <v>10593</v>
      </c>
      <c r="B684" t="s">
        <v>10592</v>
      </c>
      <c r="K684">
        <v>60</v>
      </c>
      <c r="L684">
        <v>5</v>
      </c>
    </row>
    <row r="685" spans="1:12" x14ac:dyDescent="0.25">
      <c r="A685" s="29" t="s">
        <v>10591</v>
      </c>
      <c r="B685" t="s">
        <v>10590</v>
      </c>
      <c r="I685">
        <v>2</v>
      </c>
      <c r="K685">
        <v>60</v>
      </c>
      <c r="L685">
        <v>5</v>
      </c>
    </row>
    <row r="686" spans="1:12" x14ac:dyDescent="0.25">
      <c r="A686" s="29" t="s">
        <v>10589</v>
      </c>
      <c r="B686" t="s">
        <v>10588</v>
      </c>
      <c r="H686">
        <v>3</v>
      </c>
      <c r="K686">
        <v>60</v>
      </c>
      <c r="L686">
        <v>5</v>
      </c>
    </row>
    <row r="687" spans="1:12" x14ac:dyDescent="0.25">
      <c r="A687" s="29" t="s">
        <v>10587</v>
      </c>
      <c r="B687" t="s">
        <v>10586</v>
      </c>
      <c r="I687">
        <v>2</v>
      </c>
      <c r="K687">
        <v>60</v>
      </c>
      <c r="L687">
        <v>5</v>
      </c>
    </row>
    <row r="688" spans="1:12" x14ac:dyDescent="0.25">
      <c r="A688" s="29" t="s">
        <v>10585</v>
      </c>
      <c r="B688" t="s">
        <v>10584</v>
      </c>
      <c r="I688">
        <v>2</v>
      </c>
      <c r="K688">
        <v>60</v>
      </c>
      <c r="L688">
        <v>5</v>
      </c>
    </row>
    <row r="689" spans="1:12" x14ac:dyDescent="0.25">
      <c r="A689" s="29" t="s">
        <v>10583</v>
      </c>
      <c r="B689" t="s">
        <v>10582</v>
      </c>
      <c r="I689">
        <v>2</v>
      </c>
      <c r="K689">
        <v>60</v>
      </c>
      <c r="L689">
        <v>5</v>
      </c>
    </row>
    <row r="690" spans="1:12" x14ac:dyDescent="0.25">
      <c r="A690" s="29" t="s">
        <v>10581</v>
      </c>
      <c r="B690" t="s">
        <v>10580</v>
      </c>
      <c r="I690">
        <v>2</v>
      </c>
      <c r="K690">
        <v>60</v>
      </c>
      <c r="L690">
        <v>5</v>
      </c>
    </row>
    <row r="691" spans="1:12" x14ac:dyDescent="0.25">
      <c r="A691" s="29" t="s">
        <v>10579</v>
      </c>
      <c r="B691" t="s">
        <v>10578</v>
      </c>
      <c r="I691">
        <v>2</v>
      </c>
      <c r="K691">
        <v>60</v>
      </c>
      <c r="L691">
        <v>5</v>
      </c>
    </row>
    <row r="692" spans="1:12" x14ac:dyDescent="0.25">
      <c r="A692" s="29" t="s">
        <v>10577</v>
      </c>
      <c r="B692" t="s">
        <v>10576</v>
      </c>
      <c r="H692">
        <v>3</v>
      </c>
      <c r="K692">
        <v>60</v>
      </c>
      <c r="L692">
        <v>5</v>
      </c>
    </row>
    <row r="693" spans="1:12" x14ac:dyDescent="0.25">
      <c r="A693" s="29"/>
      <c r="B693" s="29"/>
    </row>
    <row r="694" spans="1:12" x14ac:dyDescent="0.25">
      <c r="A694" s="29" t="s">
        <v>10575</v>
      </c>
      <c r="B694" t="s">
        <v>10574</v>
      </c>
      <c r="K694">
        <v>60</v>
      </c>
      <c r="L694">
        <v>5</v>
      </c>
    </row>
    <row r="695" spans="1:12" x14ac:dyDescent="0.25">
      <c r="A695" s="29" t="s">
        <v>10573</v>
      </c>
      <c r="B695" t="s">
        <v>10572</v>
      </c>
      <c r="K695">
        <v>60</v>
      </c>
      <c r="L695">
        <v>5</v>
      </c>
    </row>
    <row r="696" spans="1:12" x14ac:dyDescent="0.25">
      <c r="A696" s="29" t="s">
        <v>10571</v>
      </c>
      <c r="B696" t="s">
        <v>10570</v>
      </c>
      <c r="D696" s="29" t="s">
        <v>10129</v>
      </c>
      <c r="H696">
        <v>3</v>
      </c>
      <c r="K696">
        <v>90</v>
      </c>
      <c r="L696">
        <v>5</v>
      </c>
    </row>
    <row r="697" spans="1:12" x14ac:dyDescent="0.25">
      <c r="A697" s="29" t="s">
        <v>10569</v>
      </c>
      <c r="B697" t="s">
        <v>10568</v>
      </c>
      <c r="H697">
        <v>1</v>
      </c>
      <c r="I697">
        <v>2</v>
      </c>
      <c r="K697">
        <v>60</v>
      </c>
      <c r="L697">
        <v>5</v>
      </c>
    </row>
    <row r="698" spans="1:12" x14ac:dyDescent="0.25">
      <c r="A698" s="29" t="s">
        <v>10567</v>
      </c>
      <c r="B698" t="s">
        <v>10566</v>
      </c>
      <c r="H698">
        <v>1</v>
      </c>
      <c r="I698">
        <v>2</v>
      </c>
      <c r="K698">
        <v>60</v>
      </c>
      <c r="L698">
        <v>5</v>
      </c>
    </row>
    <row r="699" spans="1:12" x14ac:dyDescent="0.25">
      <c r="A699" s="29" t="s">
        <v>10565</v>
      </c>
      <c r="B699" t="s">
        <v>10564</v>
      </c>
      <c r="K699">
        <v>60</v>
      </c>
      <c r="L699">
        <v>5</v>
      </c>
    </row>
    <row r="700" spans="1:12" x14ac:dyDescent="0.25">
      <c r="A700" s="29" t="s">
        <v>10563</v>
      </c>
      <c r="B700" t="s">
        <v>10562</v>
      </c>
      <c r="H700">
        <v>3</v>
      </c>
      <c r="K700">
        <v>60</v>
      </c>
      <c r="L700">
        <v>5</v>
      </c>
    </row>
    <row r="701" spans="1:12" x14ac:dyDescent="0.25">
      <c r="A701" s="29" t="s">
        <v>10561</v>
      </c>
      <c r="B701" t="s">
        <v>10560</v>
      </c>
      <c r="H701">
        <v>3</v>
      </c>
      <c r="K701">
        <v>60</v>
      </c>
      <c r="L701">
        <v>5</v>
      </c>
    </row>
    <row r="702" spans="1:12" x14ac:dyDescent="0.25">
      <c r="A702" s="29" t="s">
        <v>10559</v>
      </c>
      <c r="B702" t="s">
        <v>10558</v>
      </c>
      <c r="D702" s="29"/>
      <c r="K702">
        <v>60</v>
      </c>
      <c r="L702">
        <v>1</v>
      </c>
    </row>
    <row r="703" spans="1:12" x14ac:dyDescent="0.25">
      <c r="A703" s="29" t="s">
        <v>10557</v>
      </c>
      <c r="B703" t="s">
        <v>10556</v>
      </c>
      <c r="D703" s="29"/>
      <c r="K703">
        <v>60</v>
      </c>
      <c r="L703">
        <v>1</v>
      </c>
    </row>
    <row r="704" spans="1:12" x14ac:dyDescent="0.25">
      <c r="A704" s="29" t="s">
        <v>10555</v>
      </c>
      <c r="B704" t="s">
        <v>10554</v>
      </c>
      <c r="D704" s="29"/>
      <c r="K704">
        <v>60</v>
      </c>
      <c r="L704">
        <v>1</v>
      </c>
    </row>
    <row r="705" spans="1:12" x14ac:dyDescent="0.25">
      <c r="A705" s="29" t="s">
        <v>10553</v>
      </c>
      <c r="B705" t="s">
        <v>10552</v>
      </c>
      <c r="K705">
        <v>60</v>
      </c>
      <c r="L705">
        <v>5</v>
      </c>
    </row>
    <row r="706" spans="1:12" x14ac:dyDescent="0.25">
      <c r="A706" s="29" t="s">
        <v>10551</v>
      </c>
      <c r="B706" t="s">
        <v>10550</v>
      </c>
      <c r="D706" s="29"/>
      <c r="H706">
        <v>3</v>
      </c>
      <c r="K706">
        <v>90</v>
      </c>
      <c r="L706">
        <v>5</v>
      </c>
    </row>
    <row r="707" spans="1:12" x14ac:dyDescent="0.25">
      <c r="A707" s="29" t="s">
        <v>10549</v>
      </c>
      <c r="B707" t="s">
        <v>10548</v>
      </c>
      <c r="H707">
        <v>3</v>
      </c>
      <c r="J707">
        <v>2</v>
      </c>
      <c r="L707">
        <v>5</v>
      </c>
    </row>
    <row r="708" spans="1:12" x14ac:dyDescent="0.25">
      <c r="A708" s="29" t="s">
        <v>10547</v>
      </c>
      <c r="B708" t="s">
        <v>10546</v>
      </c>
      <c r="H708">
        <v>3</v>
      </c>
      <c r="K708">
        <v>60</v>
      </c>
      <c r="L708">
        <v>5</v>
      </c>
    </row>
    <row r="709" spans="1:12" x14ac:dyDescent="0.25">
      <c r="A709" s="29" t="s">
        <v>10545</v>
      </c>
      <c r="B709" t="s">
        <v>10544</v>
      </c>
      <c r="H709">
        <v>3</v>
      </c>
      <c r="K709">
        <v>60</v>
      </c>
      <c r="L709">
        <v>5</v>
      </c>
    </row>
    <row r="710" spans="1:12" x14ac:dyDescent="0.25">
      <c r="A710" s="29" t="s">
        <v>10543</v>
      </c>
      <c r="B710" t="s">
        <v>10542</v>
      </c>
      <c r="H710">
        <v>3</v>
      </c>
      <c r="K710">
        <v>60</v>
      </c>
      <c r="L710">
        <v>5</v>
      </c>
    </row>
    <row r="711" spans="1:12" x14ac:dyDescent="0.25">
      <c r="A711" s="29" t="s">
        <v>10541</v>
      </c>
      <c r="B711" t="s">
        <v>10540</v>
      </c>
      <c r="K711">
        <v>60</v>
      </c>
      <c r="L711">
        <v>5</v>
      </c>
    </row>
    <row r="712" spans="1:12" x14ac:dyDescent="0.25">
      <c r="A712" s="29" t="s">
        <v>10539</v>
      </c>
      <c r="B712" t="s">
        <v>10538</v>
      </c>
      <c r="H712">
        <v>3</v>
      </c>
      <c r="K712">
        <v>60</v>
      </c>
      <c r="L712">
        <v>5</v>
      </c>
    </row>
    <row r="713" spans="1:12" x14ac:dyDescent="0.25">
      <c r="A713" s="29"/>
    </row>
    <row r="714" spans="1:12" x14ac:dyDescent="0.25">
      <c r="A714" s="29"/>
      <c r="B714" s="29"/>
    </row>
    <row r="715" spans="1:12" x14ac:dyDescent="0.25">
      <c r="A715" s="29" t="s">
        <v>10537</v>
      </c>
      <c r="B715" t="s">
        <v>10536</v>
      </c>
      <c r="H715">
        <v>3</v>
      </c>
      <c r="K715">
        <v>90</v>
      </c>
      <c r="L715">
        <v>5</v>
      </c>
    </row>
    <row r="716" spans="1:12" x14ac:dyDescent="0.25">
      <c r="A716" s="29"/>
      <c r="B716" s="29"/>
    </row>
    <row r="717" spans="1:12" x14ac:dyDescent="0.25">
      <c r="A717" s="29" t="s">
        <v>10535</v>
      </c>
      <c r="B717" s="29" t="s">
        <v>10534</v>
      </c>
      <c r="I717">
        <v>2</v>
      </c>
      <c r="K717">
        <v>60</v>
      </c>
      <c r="L717">
        <v>5</v>
      </c>
    </row>
    <row r="718" spans="1:12" x14ac:dyDescent="0.25">
      <c r="A718" s="29" t="s">
        <v>10533</v>
      </c>
      <c r="B718" s="29" t="s">
        <v>10532</v>
      </c>
      <c r="I718">
        <v>2</v>
      </c>
      <c r="K718">
        <v>60</v>
      </c>
      <c r="L718">
        <v>5</v>
      </c>
    </row>
    <row r="719" spans="1:12" x14ac:dyDescent="0.25">
      <c r="A719" s="29" t="s">
        <v>10531</v>
      </c>
      <c r="B719" s="29" t="s">
        <v>10530</v>
      </c>
      <c r="H719">
        <v>3</v>
      </c>
      <c r="K719">
        <v>60</v>
      </c>
      <c r="L719">
        <v>5</v>
      </c>
    </row>
    <row r="720" spans="1:12" x14ac:dyDescent="0.25">
      <c r="A720" s="29" t="s">
        <v>10529</v>
      </c>
      <c r="B720" s="29" t="s">
        <v>10528</v>
      </c>
      <c r="H720">
        <v>3</v>
      </c>
      <c r="K720">
        <v>60</v>
      </c>
      <c r="L720">
        <v>5</v>
      </c>
    </row>
    <row r="721" spans="1:12" x14ac:dyDescent="0.25">
      <c r="A721" s="29" t="s">
        <v>10527</v>
      </c>
      <c r="B721" t="s">
        <v>10526</v>
      </c>
      <c r="I721">
        <v>2</v>
      </c>
      <c r="K721">
        <v>60</v>
      </c>
      <c r="L721">
        <v>5</v>
      </c>
    </row>
    <row r="722" spans="1:12" x14ac:dyDescent="0.25">
      <c r="A722" s="29" t="s">
        <v>10525</v>
      </c>
      <c r="B722" t="s">
        <v>10524</v>
      </c>
      <c r="H722">
        <v>3</v>
      </c>
      <c r="L722">
        <v>5</v>
      </c>
    </row>
    <row r="723" spans="1:12" x14ac:dyDescent="0.25">
      <c r="A723" s="29" t="s">
        <v>10523</v>
      </c>
      <c r="B723" s="29" t="s">
        <v>10522</v>
      </c>
      <c r="H723">
        <v>3</v>
      </c>
      <c r="L723">
        <v>5</v>
      </c>
    </row>
    <row r="724" spans="1:12" x14ac:dyDescent="0.25">
      <c r="A724" s="29" t="s">
        <v>10521</v>
      </c>
      <c r="B724" t="s">
        <v>10520</v>
      </c>
      <c r="H724">
        <v>3</v>
      </c>
      <c r="L724">
        <v>5</v>
      </c>
    </row>
    <row r="725" spans="1:12" x14ac:dyDescent="0.25">
      <c r="A725" s="29" t="s">
        <v>10519</v>
      </c>
      <c r="B725" t="s">
        <v>10518</v>
      </c>
      <c r="I725">
        <v>2</v>
      </c>
      <c r="K725">
        <v>60</v>
      </c>
      <c r="L725">
        <v>5</v>
      </c>
    </row>
    <row r="726" spans="1:12" x14ac:dyDescent="0.25">
      <c r="A726" s="29" t="s">
        <v>10517</v>
      </c>
      <c r="B726" t="s">
        <v>10516</v>
      </c>
      <c r="H726">
        <v>3</v>
      </c>
      <c r="K726">
        <v>60</v>
      </c>
      <c r="L726">
        <v>5</v>
      </c>
    </row>
    <row r="727" spans="1:12" x14ac:dyDescent="0.25">
      <c r="A727" s="29" t="s">
        <v>10515</v>
      </c>
      <c r="B727" s="29" t="s">
        <v>10514</v>
      </c>
      <c r="H727">
        <v>3</v>
      </c>
      <c r="K727">
        <v>60</v>
      </c>
      <c r="L727">
        <v>5</v>
      </c>
    </row>
    <row r="728" spans="1:12" x14ac:dyDescent="0.25">
      <c r="A728" s="29" t="s">
        <v>10513</v>
      </c>
      <c r="B728" s="29" t="s">
        <v>10512</v>
      </c>
      <c r="H728">
        <v>3</v>
      </c>
      <c r="K728">
        <v>60</v>
      </c>
      <c r="L728">
        <v>5</v>
      </c>
    </row>
    <row r="729" spans="1:12" x14ac:dyDescent="0.25">
      <c r="A729" s="29" t="s">
        <v>10511</v>
      </c>
      <c r="B729" t="s">
        <v>10510</v>
      </c>
      <c r="H729">
        <v>3</v>
      </c>
      <c r="K729">
        <v>60</v>
      </c>
      <c r="L729">
        <v>5</v>
      </c>
    </row>
    <row r="730" spans="1:12" x14ac:dyDescent="0.25">
      <c r="A730" s="29" t="s">
        <v>10509</v>
      </c>
      <c r="B730" s="29" t="s">
        <v>10508</v>
      </c>
      <c r="H730">
        <v>3</v>
      </c>
      <c r="K730">
        <v>60</v>
      </c>
      <c r="L730">
        <v>5</v>
      </c>
    </row>
    <row r="731" spans="1:12" x14ac:dyDescent="0.25">
      <c r="A731" s="29" t="s">
        <v>10507</v>
      </c>
      <c r="B731" t="s">
        <v>10506</v>
      </c>
      <c r="K731">
        <v>60</v>
      </c>
      <c r="L731">
        <v>5</v>
      </c>
    </row>
    <row r="732" spans="1:12" x14ac:dyDescent="0.25">
      <c r="A732" s="29" t="s">
        <v>10505</v>
      </c>
      <c r="B732" s="29" t="s">
        <v>10504</v>
      </c>
      <c r="D732" s="29" t="s">
        <v>9844</v>
      </c>
      <c r="H732">
        <v>3</v>
      </c>
      <c r="L732">
        <v>5</v>
      </c>
    </row>
    <row r="733" spans="1:12" x14ac:dyDescent="0.25">
      <c r="A733" s="29" t="s">
        <v>10503</v>
      </c>
      <c r="B733" t="s">
        <v>10502</v>
      </c>
      <c r="D733" s="29" t="s">
        <v>9844</v>
      </c>
      <c r="H733">
        <v>3</v>
      </c>
      <c r="L733">
        <v>5</v>
      </c>
    </row>
    <row r="734" spans="1:12" x14ac:dyDescent="0.25">
      <c r="A734" s="29" t="s">
        <v>10501</v>
      </c>
      <c r="B734" s="29" t="s">
        <v>10500</v>
      </c>
      <c r="D734" s="29" t="s">
        <v>9844</v>
      </c>
      <c r="H734">
        <v>3</v>
      </c>
      <c r="L734">
        <v>5</v>
      </c>
    </row>
    <row r="735" spans="1:12" x14ac:dyDescent="0.25">
      <c r="A735" s="29" t="s">
        <v>10499</v>
      </c>
      <c r="B735" t="s">
        <v>10498</v>
      </c>
      <c r="I735">
        <v>2</v>
      </c>
      <c r="K735">
        <v>60</v>
      </c>
      <c r="L735">
        <v>5</v>
      </c>
    </row>
    <row r="736" spans="1:12" x14ac:dyDescent="0.25">
      <c r="A736" s="29" t="s">
        <v>10497</v>
      </c>
      <c r="B736" t="s">
        <v>10496</v>
      </c>
      <c r="I736">
        <v>2</v>
      </c>
      <c r="K736">
        <v>60</v>
      </c>
      <c r="L736">
        <v>5</v>
      </c>
    </row>
    <row r="737" spans="1:12" x14ac:dyDescent="0.25">
      <c r="A737" s="29" t="s">
        <v>10495</v>
      </c>
      <c r="B737" t="s">
        <v>10494</v>
      </c>
      <c r="D737" s="32" t="s">
        <v>10493</v>
      </c>
      <c r="E737" s="29" t="s">
        <v>10492</v>
      </c>
      <c r="J737">
        <v>2</v>
      </c>
      <c r="K737">
        <v>60</v>
      </c>
      <c r="L737">
        <v>5</v>
      </c>
    </row>
    <row r="738" spans="1:12" x14ac:dyDescent="0.25">
      <c r="A738" s="29" t="s">
        <v>10491</v>
      </c>
      <c r="B738" s="29" t="s">
        <v>10490</v>
      </c>
      <c r="D738" s="29"/>
      <c r="H738">
        <v>3</v>
      </c>
      <c r="L738">
        <v>5</v>
      </c>
    </row>
    <row r="739" spans="1:12" x14ac:dyDescent="0.25">
      <c r="A739" s="29" t="s">
        <v>10489</v>
      </c>
      <c r="B739" t="s">
        <v>10488</v>
      </c>
      <c r="H739">
        <v>3</v>
      </c>
      <c r="L739">
        <v>5</v>
      </c>
    </row>
    <row r="740" spans="1:12" x14ac:dyDescent="0.25">
      <c r="A740" s="29" t="s">
        <v>10487</v>
      </c>
      <c r="B740" s="29" t="s">
        <v>10486</v>
      </c>
      <c r="H740">
        <v>3</v>
      </c>
      <c r="L740">
        <v>5</v>
      </c>
    </row>
    <row r="741" spans="1:12" x14ac:dyDescent="0.25">
      <c r="A741" s="29" t="s">
        <v>10485</v>
      </c>
      <c r="B741" t="s">
        <v>10484</v>
      </c>
      <c r="H741">
        <v>3</v>
      </c>
      <c r="L741">
        <v>5</v>
      </c>
    </row>
    <row r="742" spans="1:12" x14ac:dyDescent="0.25">
      <c r="A742" s="29" t="s">
        <v>10483</v>
      </c>
      <c r="B742" t="s">
        <v>10482</v>
      </c>
      <c r="H742">
        <v>3</v>
      </c>
      <c r="L742">
        <v>5</v>
      </c>
    </row>
    <row r="743" spans="1:12" x14ac:dyDescent="0.25">
      <c r="A743" s="29" t="s">
        <v>10481</v>
      </c>
      <c r="B743" s="29" t="s">
        <v>10480</v>
      </c>
      <c r="H743">
        <v>3</v>
      </c>
      <c r="L743">
        <v>5</v>
      </c>
    </row>
    <row r="744" spans="1:12" x14ac:dyDescent="0.25">
      <c r="A744" s="29" t="s">
        <v>10479</v>
      </c>
      <c r="B744" s="29" t="s">
        <v>10478</v>
      </c>
      <c r="D744" s="32"/>
      <c r="H744">
        <v>3</v>
      </c>
      <c r="L744">
        <v>5</v>
      </c>
    </row>
    <row r="745" spans="1:12" x14ac:dyDescent="0.25">
      <c r="A745" s="29" t="s">
        <v>10477</v>
      </c>
      <c r="B745" t="s">
        <v>10476</v>
      </c>
      <c r="D745" s="32"/>
      <c r="H745">
        <v>3</v>
      </c>
      <c r="L745">
        <v>5</v>
      </c>
    </row>
    <row r="746" spans="1:12" x14ac:dyDescent="0.25">
      <c r="A746" s="29" t="s">
        <v>10475</v>
      </c>
      <c r="B746" t="s">
        <v>10474</v>
      </c>
      <c r="I746">
        <v>1</v>
      </c>
      <c r="J746">
        <v>2</v>
      </c>
      <c r="L746">
        <v>5</v>
      </c>
    </row>
    <row r="747" spans="1:12" x14ac:dyDescent="0.25">
      <c r="A747" s="29" t="s">
        <v>10473</v>
      </c>
      <c r="B747" t="s">
        <v>10472</v>
      </c>
      <c r="H747">
        <v>3</v>
      </c>
      <c r="L747">
        <v>5</v>
      </c>
    </row>
    <row r="748" spans="1:12" x14ac:dyDescent="0.25">
      <c r="A748" s="29" t="s">
        <v>10471</v>
      </c>
      <c r="B748" t="s">
        <v>10470</v>
      </c>
      <c r="I748">
        <v>2</v>
      </c>
      <c r="K748">
        <v>60</v>
      </c>
      <c r="L748">
        <v>5</v>
      </c>
    </row>
    <row r="749" spans="1:12" x14ac:dyDescent="0.25">
      <c r="A749" s="29" t="s">
        <v>10469</v>
      </c>
      <c r="B749" t="s">
        <v>10468</v>
      </c>
      <c r="H749">
        <v>3</v>
      </c>
      <c r="K749">
        <v>60</v>
      </c>
      <c r="L749">
        <v>5</v>
      </c>
    </row>
    <row r="750" spans="1:12" x14ac:dyDescent="0.25">
      <c r="A750" s="29" t="s">
        <v>10467</v>
      </c>
      <c r="B750" t="s">
        <v>10466</v>
      </c>
      <c r="H750">
        <v>4</v>
      </c>
      <c r="I750">
        <v>2</v>
      </c>
      <c r="K750">
        <v>60</v>
      </c>
      <c r="L750">
        <v>5</v>
      </c>
    </row>
    <row r="751" spans="1:12" x14ac:dyDescent="0.25">
      <c r="A751" s="29" t="s">
        <v>10465</v>
      </c>
      <c r="B751" t="s">
        <v>10464</v>
      </c>
      <c r="D751" s="29"/>
      <c r="E751" s="29"/>
      <c r="H751">
        <v>4</v>
      </c>
      <c r="K751">
        <v>60</v>
      </c>
      <c r="L751">
        <v>5</v>
      </c>
    </row>
    <row r="752" spans="1:12" x14ac:dyDescent="0.25">
      <c r="A752" s="29" t="s">
        <v>10463</v>
      </c>
      <c r="B752" s="29" t="s">
        <v>10462</v>
      </c>
      <c r="D752" s="29"/>
      <c r="E752" s="29" t="s">
        <v>10461</v>
      </c>
      <c r="H752">
        <v>4</v>
      </c>
      <c r="K752">
        <v>60</v>
      </c>
      <c r="L752">
        <v>5</v>
      </c>
    </row>
    <row r="753" spans="1:13" x14ac:dyDescent="0.25">
      <c r="A753" s="29" t="s">
        <v>10460</v>
      </c>
      <c r="B753" s="29" t="s">
        <v>10459</v>
      </c>
      <c r="H753">
        <v>4</v>
      </c>
      <c r="I753">
        <v>2</v>
      </c>
      <c r="K753">
        <v>60</v>
      </c>
      <c r="L753">
        <v>5</v>
      </c>
    </row>
    <row r="754" spans="1:13" x14ac:dyDescent="0.25">
      <c r="A754" s="29" t="s">
        <v>10458</v>
      </c>
      <c r="B754" s="29" t="s">
        <v>10457</v>
      </c>
      <c r="D754" s="29"/>
      <c r="H754">
        <v>3</v>
      </c>
      <c r="L754">
        <v>5</v>
      </c>
    </row>
    <row r="755" spans="1:13" x14ac:dyDescent="0.25">
      <c r="A755" s="29" t="s">
        <v>10456</v>
      </c>
      <c r="B755" t="s">
        <v>10455</v>
      </c>
      <c r="H755">
        <v>3</v>
      </c>
      <c r="K755">
        <v>60</v>
      </c>
      <c r="L755">
        <v>5</v>
      </c>
    </row>
    <row r="756" spans="1:13" x14ac:dyDescent="0.25">
      <c r="A756" s="29" t="s">
        <v>10454</v>
      </c>
      <c r="B756" t="s">
        <v>10453</v>
      </c>
      <c r="H756">
        <v>3</v>
      </c>
      <c r="L756">
        <v>5</v>
      </c>
      <c r="M756">
        <v>1</v>
      </c>
    </row>
    <row r="757" spans="1:13" x14ac:dyDescent="0.25">
      <c r="A757" s="29" t="s">
        <v>10452</v>
      </c>
      <c r="B757" t="s">
        <v>10451</v>
      </c>
      <c r="K757">
        <v>60</v>
      </c>
      <c r="L757">
        <v>5</v>
      </c>
    </row>
    <row r="758" spans="1:13" x14ac:dyDescent="0.25">
      <c r="A758" s="29" t="s">
        <v>10450</v>
      </c>
      <c r="B758" t="s">
        <v>10449</v>
      </c>
      <c r="H758">
        <v>3</v>
      </c>
      <c r="K758">
        <v>60</v>
      </c>
      <c r="L758">
        <v>5</v>
      </c>
    </row>
    <row r="759" spans="1:13" x14ac:dyDescent="0.25">
      <c r="A759" s="29" t="s">
        <v>10448</v>
      </c>
      <c r="B759" t="s">
        <v>10447</v>
      </c>
      <c r="H759">
        <v>3</v>
      </c>
      <c r="K759">
        <v>60</v>
      </c>
      <c r="L759">
        <v>5</v>
      </c>
    </row>
    <row r="760" spans="1:13" x14ac:dyDescent="0.25">
      <c r="A760" s="29" t="s">
        <v>10446</v>
      </c>
      <c r="B760" t="s">
        <v>10445</v>
      </c>
      <c r="K760">
        <v>60</v>
      </c>
      <c r="L760">
        <v>5</v>
      </c>
    </row>
    <row r="761" spans="1:13" x14ac:dyDescent="0.25">
      <c r="A761" s="29" t="s">
        <v>10444</v>
      </c>
      <c r="B761" t="s">
        <v>10443</v>
      </c>
      <c r="H761">
        <v>3</v>
      </c>
      <c r="L761">
        <v>5</v>
      </c>
    </row>
    <row r="762" spans="1:13" x14ac:dyDescent="0.25">
      <c r="A762" s="29" t="s">
        <v>10442</v>
      </c>
      <c r="B762" t="s">
        <v>10441</v>
      </c>
      <c r="H762">
        <v>3</v>
      </c>
      <c r="K762">
        <v>60</v>
      </c>
      <c r="L762">
        <v>5</v>
      </c>
    </row>
    <row r="763" spans="1:13" x14ac:dyDescent="0.25">
      <c r="A763" s="29" t="s">
        <v>10440</v>
      </c>
      <c r="B763" t="s">
        <v>10439</v>
      </c>
      <c r="K763">
        <v>60</v>
      </c>
      <c r="L763">
        <v>5</v>
      </c>
    </row>
    <row r="764" spans="1:13" x14ac:dyDescent="0.25">
      <c r="A764" s="29" t="s">
        <v>10438</v>
      </c>
      <c r="B764" t="s">
        <v>10437</v>
      </c>
      <c r="K764">
        <v>60</v>
      </c>
      <c r="L764">
        <v>5</v>
      </c>
    </row>
    <row r="765" spans="1:13" x14ac:dyDescent="0.25">
      <c r="A765" s="29" t="s">
        <v>10436</v>
      </c>
      <c r="B765" t="s">
        <v>10435</v>
      </c>
      <c r="K765">
        <v>60</v>
      </c>
      <c r="L765">
        <v>5</v>
      </c>
    </row>
    <row r="766" spans="1:13" x14ac:dyDescent="0.25">
      <c r="A766" s="29" t="s">
        <v>10434</v>
      </c>
      <c r="B766" t="s">
        <v>10433</v>
      </c>
      <c r="H766">
        <v>3</v>
      </c>
      <c r="L766">
        <v>5</v>
      </c>
    </row>
    <row r="767" spans="1:13" x14ac:dyDescent="0.25">
      <c r="A767" s="29" t="s">
        <v>10432</v>
      </c>
      <c r="B767" s="29" t="s">
        <v>10430</v>
      </c>
      <c r="H767">
        <v>3</v>
      </c>
      <c r="L767">
        <v>1</v>
      </c>
    </row>
    <row r="768" spans="1:13" x14ac:dyDescent="0.25">
      <c r="A768" s="29" t="s">
        <v>10431</v>
      </c>
      <c r="B768" s="29" t="s">
        <v>10430</v>
      </c>
      <c r="L768">
        <v>1</v>
      </c>
    </row>
    <row r="769" spans="1:12" x14ac:dyDescent="0.25">
      <c r="A769" s="29" t="s">
        <v>10429</v>
      </c>
      <c r="B769" t="s">
        <v>10428</v>
      </c>
      <c r="H769">
        <v>3</v>
      </c>
      <c r="L769">
        <v>5</v>
      </c>
    </row>
    <row r="770" spans="1:12" x14ac:dyDescent="0.25">
      <c r="A770" s="29" t="s">
        <v>10427</v>
      </c>
      <c r="B770" t="s">
        <v>10426</v>
      </c>
      <c r="H770">
        <v>3</v>
      </c>
      <c r="L770">
        <v>5</v>
      </c>
    </row>
    <row r="771" spans="1:12" x14ac:dyDescent="0.25">
      <c r="A771" s="29" t="s">
        <v>10425</v>
      </c>
      <c r="B771" t="s">
        <v>10424</v>
      </c>
      <c r="H771">
        <v>3</v>
      </c>
      <c r="K771">
        <v>60</v>
      </c>
      <c r="L771">
        <v>5</v>
      </c>
    </row>
    <row r="772" spans="1:12" x14ac:dyDescent="0.25">
      <c r="A772" s="29" t="s">
        <v>10423</v>
      </c>
      <c r="B772" t="s">
        <v>10422</v>
      </c>
      <c r="H772">
        <v>3</v>
      </c>
      <c r="K772">
        <v>60</v>
      </c>
      <c r="L772">
        <v>5</v>
      </c>
    </row>
    <row r="773" spans="1:12" x14ac:dyDescent="0.25">
      <c r="A773" s="29" t="s">
        <v>10421</v>
      </c>
      <c r="B773" t="s">
        <v>10420</v>
      </c>
      <c r="H773">
        <v>3</v>
      </c>
      <c r="K773">
        <v>60</v>
      </c>
      <c r="L773">
        <v>5</v>
      </c>
    </row>
    <row r="774" spans="1:12" x14ac:dyDescent="0.25">
      <c r="A774" s="29" t="s">
        <v>10419</v>
      </c>
      <c r="B774" t="s">
        <v>10418</v>
      </c>
      <c r="K774">
        <v>60</v>
      </c>
      <c r="L774">
        <v>5</v>
      </c>
    </row>
    <row r="775" spans="1:12" x14ac:dyDescent="0.25">
      <c r="A775" s="29" t="s">
        <v>10417</v>
      </c>
      <c r="B775" t="s">
        <v>10416</v>
      </c>
      <c r="D775" s="29" t="s">
        <v>10129</v>
      </c>
      <c r="H775">
        <v>3</v>
      </c>
      <c r="L775">
        <v>5</v>
      </c>
    </row>
    <row r="776" spans="1:12" x14ac:dyDescent="0.25">
      <c r="A776" s="29" t="s">
        <v>10415</v>
      </c>
      <c r="B776" t="s">
        <v>10414</v>
      </c>
      <c r="H776">
        <v>3</v>
      </c>
      <c r="L776">
        <v>5</v>
      </c>
    </row>
    <row r="777" spans="1:12" x14ac:dyDescent="0.25">
      <c r="A777" s="29" t="s">
        <v>10413</v>
      </c>
      <c r="B777" t="s">
        <v>10412</v>
      </c>
      <c r="H777">
        <v>3</v>
      </c>
      <c r="L777">
        <v>5</v>
      </c>
    </row>
    <row r="778" spans="1:12" x14ac:dyDescent="0.25">
      <c r="A778" s="29" t="s">
        <v>10411</v>
      </c>
      <c r="B778" t="s">
        <v>10410</v>
      </c>
      <c r="H778">
        <v>3</v>
      </c>
      <c r="K778">
        <v>60</v>
      </c>
      <c r="L778">
        <v>5</v>
      </c>
    </row>
    <row r="779" spans="1:12" x14ac:dyDescent="0.25">
      <c r="A779" s="29" t="s">
        <v>10409</v>
      </c>
      <c r="B779" t="s">
        <v>10408</v>
      </c>
      <c r="H779">
        <v>3</v>
      </c>
      <c r="L779">
        <v>5</v>
      </c>
    </row>
    <row r="780" spans="1:12" x14ac:dyDescent="0.25">
      <c r="A780" s="29" t="s">
        <v>10407</v>
      </c>
      <c r="B780" s="29" t="s">
        <v>10406</v>
      </c>
      <c r="H780">
        <v>3</v>
      </c>
      <c r="L780">
        <v>5</v>
      </c>
    </row>
    <row r="781" spans="1:12" x14ac:dyDescent="0.25">
      <c r="A781" s="29" t="s">
        <v>10405</v>
      </c>
      <c r="B781" t="s">
        <v>10404</v>
      </c>
      <c r="D781" s="29" t="s">
        <v>10403</v>
      </c>
      <c r="H781">
        <v>3</v>
      </c>
      <c r="L781">
        <v>5</v>
      </c>
    </row>
    <row r="782" spans="1:12" x14ac:dyDescent="0.25">
      <c r="A782" s="29" t="s">
        <v>10402</v>
      </c>
      <c r="B782" t="s">
        <v>10401</v>
      </c>
      <c r="H782">
        <v>3</v>
      </c>
      <c r="K782">
        <v>60</v>
      </c>
      <c r="L782">
        <v>5</v>
      </c>
    </row>
    <row r="783" spans="1:12" x14ac:dyDescent="0.25">
      <c r="A783" s="29" t="s">
        <v>10400</v>
      </c>
      <c r="B783" t="s">
        <v>10399</v>
      </c>
      <c r="H783">
        <v>3</v>
      </c>
      <c r="L783">
        <v>5</v>
      </c>
    </row>
    <row r="784" spans="1:12" x14ac:dyDescent="0.25">
      <c r="A784" s="29" t="s">
        <v>10398</v>
      </c>
      <c r="B784" t="s">
        <v>9960</v>
      </c>
      <c r="H784">
        <v>3</v>
      </c>
      <c r="L784">
        <v>5</v>
      </c>
    </row>
    <row r="785" spans="1:12" x14ac:dyDescent="0.25">
      <c r="A785" s="29" t="s">
        <v>10397</v>
      </c>
      <c r="B785" t="s">
        <v>10396</v>
      </c>
      <c r="H785">
        <v>3</v>
      </c>
      <c r="L785">
        <v>5</v>
      </c>
    </row>
    <row r="786" spans="1:12" x14ac:dyDescent="0.25">
      <c r="A786" s="29" t="s">
        <v>10395</v>
      </c>
      <c r="B786" t="s">
        <v>10394</v>
      </c>
      <c r="K786">
        <v>60</v>
      </c>
      <c r="L786">
        <v>5</v>
      </c>
    </row>
    <row r="787" spans="1:12" x14ac:dyDescent="0.25">
      <c r="A787" s="29" t="s">
        <v>10393</v>
      </c>
      <c r="B787" t="s">
        <v>10392</v>
      </c>
      <c r="E787" s="29" t="s">
        <v>10391</v>
      </c>
      <c r="H787">
        <v>4</v>
      </c>
      <c r="I787">
        <v>2</v>
      </c>
      <c r="K787">
        <v>60</v>
      </c>
      <c r="L787">
        <v>5</v>
      </c>
    </row>
    <row r="788" spans="1:12" x14ac:dyDescent="0.25">
      <c r="A788" s="29" t="s">
        <v>10390</v>
      </c>
      <c r="B788" t="s">
        <v>10389</v>
      </c>
      <c r="K788">
        <v>60</v>
      </c>
      <c r="L788">
        <v>5</v>
      </c>
    </row>
    <row r="789" spans="1:12" x14ac:dyDescent="0.25">
      <c r="A789" s="29" t="s">
        <v>10388</v>
      </c>
      <c r="B789" t="s">
        <v>10387</v>
      </c>
      <c r="H789">
        <v>3</v>
      </c>
      <c r="I789">
        <v>2</v>
      </c>
      <c r="K789">
        <v>60</v>
      </c>
      <c r="L789">
        <v>5</v>
      </c>
    </row>
    <row r="790" spans="1:12" x14ac:dyDescent="0.25">
      <c r="A790" s="29" t="s">
        <v>10386</v>
      </c>
      <c r="B790" t="s">
        <v>10385</v>
      </c>
      <c r="E790" s="29" t="s">
        <v>10382</v>
      </c>
      <c r="H790">
        <v>4</v>
      </c>
      <c r="I790">
        <v>2</v>
      </c>
      <c r="K790">
        <v>60</v>
      </c>
      <c r="L790">
        <v>5</v>
      </c>
    </row>
    <row r="791" spans="1:12" x14ac:dyDescent="0.25">
      <c r="A791" s="29" t="s">
        <v>10384</v>
      </c>
      <c r="B791" t="s">
        <v>10383</v>
      </c>
      <c r="E791" s="29" t="s">
        <v>10382</v>
      </c>
      <c r="H791">
        <v>4</v>
      </c>
      <c r="I791">
        <v>2</v>
      </c>
      <c r="K791">
        <v>60</v>
      </c>
      <c r="L791">
        <v>5</v>
      </c>
    </row>
    <row r="792" spans="1:12" x14ac:dyDescent="0.25">
      <c r="A792" s="29" t="s">
        <v>10381</v>
      </c>
      <c r="B792" t="s">
        <v>10380</v>
      </c>
      <c r="H792">
        <v>3</v>
      </c>
      <c r="I792">
        <v>2</v>
      </c>
      <c r="K792">
        <v>60</v>
      </c>
      <c r="L792">
        <v>5</v>
      </c>
    </row>
    <row r="793" spans="1:12" x14ac:dyDescent="0.25">
      <c r="A793" s="29" t="s">
        <v>10379</v>
      </c>
      <c r="B793" t="s">
        <v>10378</v>
      </c>
      <c r="H793">
        <v>3</v>
      </c>
      <c r="K793">
        <v>60</v>
      </c>
      <c r="L793">
        <v>5</v>
      </c>
    </row>
    <row r="794" spans="1:12" x14ac:dyDescent="0.25">
      <c r="A794" s="29" t="s">
        <v>10377</v>
      </c>
      <c r="B794" t="s">
        <v>10376</v>
      </c>
      <c r="K794">
        <v>60</v>
      </c>
      <c r="L794">
        <v>5</v>
      </c>
    </row>
    <row r="795" spans="1:12" x14ac:dyDescent="0.25">
      <c r="A795" s="29" t="s">
        <v>10375</v>
      </c>
      <c r="B795" t="s">
        <v>10374</v>
      </c>
      <c r="H795">
        <v>3</v>
      </c>
      <c r="K795">
        <v>60</v>
      </c>
      <c r="L795">
        <v>5</v>
      </c>
    </row>
    <row r="796" spans="1:12" x14ac:dyDescent="0.25">
      <c r="A796" s="29" t="s">
        <v>10373</v>
      </c>
      <c r="B796" t="s">
        <v>10372</v>
      </c>
      <c r="H796">
        <v>3</v>
      </c>
      <c r="K796">
        <v>60</v>
      </c>
      <c r="L796">
        <v>5</v>
      </c>
    </row>
    <row r="797" spans="1:12" x14ac:dyDescent="0.25">
      <c r="A797" s="29" t="s">
        <v>10371</v>
      </c>
      <c r="B797" t="s">
        <v>10370</v>
      </c>
      <c r="E797" s="29" t="s">
        <v>10367</v>
      </c>
      <c r="H797">
        <v>4</v>
      </c>
      <c r="I797">
        <v>2</v>
      </c>
      <c r="K797">
        <v>60</v>
      </c>
      <c r="L797">
        <v>5</v>
      </c>
    </row>
    <row r="798" spans="1:12" x14ac:dyDescent="0.25">
      <c r="A798" s="29" t="s">
        <v>10369</v>
      </c>
      <c r="B798" t="s">
        <v>10368</v>
      </c>
      <c r="E798" s="29" t="s">
        <v>10367</v>
      </c>
      <c r="H798">
        <v>4</v>
      </c>
      <c r="I798">
        <v>2</v>
      </c>
      <c r="K798">
        <v>60</v>
      </c>
      <c r="L798">
        <v>5</v>
      </c>
    </row>
    <row r="799" spans="1:12" x14ac:dyDescent="0.25">
      <c r="A799" s="29" t="s">
        <v>10366</v>
      </c>
      <c r="B799" t="s">
        <v>10364</v>
      </c>
      <c r="D799" s="29" t="s">
        <v>9874</v>
      </c>
      <c r="E799" s="29" t="s">
        <v>10363</v>
      </c>
      <c r="H799">
        <v>4</v>
      </c>
      <c r="I799">
        <v>2</v>
      </c>
      <c r="K799">
        <v>60</v>
      </c>
      <c r="L799">
        <v>5</v>
      </c>
    </row>
    <row r="800" spans="1:12" x14ac:dyDescent="0.25">
      <c r="A800" s="29" t="s">
        <v>10365</v>
      </c>
      <c r="B800" t="s">
        <v>10364</v>
      </c>
      <c r="E800" s="29" t="s">
        <v>10363</v>
      </c>
      <c r="H800">
        <v>4</v>
      </c>
      <c r="I800">
        <v>2</v>
      </c>
      <c r="K800">
        <v>60</v>
      </c>
      <c r="L800">
        <v>5</v>
      </c>
    </row>
    <row r="801" spans="1:12" x14ac:dyDescent="0.25">
      <c r="A801" s="29" t="s">
        <v>10362</v>
      </c>
      <c r="B801" s="29" t="s">
        <v>10361</v>
      </c>
      <c r="E801" s="29" t="s">
        <v>10360</v>
      </c>
      <c r="H801">
        <v>4</v>
      </c>
      <c r="I801">
        <v>2</v>
      </c>
      <c r="K801">
        <v>60</v>
      </c>
      <c r="L801">
        <v>5</v>
      </c>
    </row>
    <row r="802" spans="1:12" x14ac:dyDescent="0.25">
      <c r="A802" s="29" t="s">
        <v>10359</v>
      </c>
      <c r="B802" t="s">
        <v>10358</v>
      </c>
      <c r="I802">
        <v>2</v>
      </c>
      <c r="K802">
        <v>60</v>
      </c>
      <c r="L802">
        <v>5</v>
      </c>
    </row>
    <row r="803" spans="1:12" x14ac:dyDescent="0.25">
      <c r="A803" s="29" t="s">
        <v>10357</v>
      </c>
      <c r="B803" t="s">
        <v>10356</v>
      </c>
      <c r="I803">
        <v>2</v>
      </c>
      <c r="K803">
        <v>60</v>
      </c>
      <c r="L803">
        <v>5</v>
      </c>
    </row>
    <row r="804" spans="1:12" x14ac:dyDescent="0.25">
      <c r="A804" s="29" t="s">
        <v>10355</v>
      </c>
      <c r="B804" t="s">
        <v>10354</v>
      </c>
      <c r="H804">
        <v>3</v>
      </c>
      <c r="I804">
        <v>2</v>
      </c>
      <c r="K804">
        <v>60</v>
      </c>
      <c r="L804">
        <v>5</v>
      </c>
    </row>
    <row r="805" spans="1:12" x14ac:dyDescent="0.25">
      <c r="A805" s="29" t="s">
        <v>10353</v>
      </c>
      <c r="B805" t="s">
        <v>10352</v>
      </c>
      <c r="E805" s="29" t="s">
        <v>10351</v>
      </c>
      <c r="H805">
        <v>4</v>
      </c>
      <c r="I805">
        <v>2</v>
      </c>
      <c r="K805">
        <v>60</v>
      </c>
      <c r="L805">
        <v>5</v>
      </c>
    </row>
    <row r="806" spans="1:12" x14ac:dyDescent="0.25">
      <c r="A806" s="29"/>
      <c r="B806" s="29"/>
      <c r="E806" s="29"/>
    </row>
    <row r="807" spans="1:12" x14ac:dyDescent="0.25">
      <c r="A807" s="29" t="s">
        <v>10350</v>
      </c>
      <c r="B807" t="s">
        <v>10349</v>
      </c>
      <c r="H807">
        <v>3</v>
      </c>
      <c r="I807">
        <v>2</v>
      </c>
      <c r="K807">
        <v>60</v>
      </c>
      <c r="L807">
        <v>5</v>
      </c>
    </row>
    <row r="808" spans="1:12" x14ac:dyDescent="0.25">
      <c r="A808" s="29" t="s">
        <v>10348</v>
      </c>
      <c r="B808" t="s">
        <v>10347</v>
      </c>
      <c r="E808" s="29" t="s">
        <v>10344</v>
      </c>
      <c r="H808">
        <v>4</v>
      </c>
      <c r="I808">
        <v>2</v>
      </c>
      <c r="K808">
        <v>60</v>
      </c>
      <c r="L808">
        <v>5</v>
      </c>
    </row>
    <row r="809" spans="1:12" x14ac:dyDescent="0.25">
      <c r="A809" s="29" t="s">
        <v>10346</v>
      </c>
      <c r="B809" t="s">
        <v>10345</v>
      </c>
      <c r="E809" s="29" t="s">
        <v>10344</v>
      </c>
      <c r="H809">
        <v>4</v>
      </c>
      <c r="I809">
        <v>2</v>
      </c>
      <c r="K809">
        <v>60</v>
      </c>
      <c r="L809">
        <v>5</v>
      </c>
    </row>
    <row r="810" spans="1:12" x14ac:dyDescent="0.25">
      <c r="A810" s="29" t="s">
        <v>10343</v>
      </c>
      <c r="B810" t="s">
        <v>10342</v>
      </c>
      <c r="D810" s="29" t="s">
        <v>10129</v>
      </c>
      <c r="H810">
        <v>3</v>
      </c>
      <c r="L810">
        <v>5</v>
      </c>
    </row>
    <row r="811" spans="1:12" x14ac:dyDescent="0.25">
      <c r="A811" s="29" t="s">
        <v>10341</v>
      </c>
      <c r="B811" s="29" t="s">
        <v>10340</v>
      </c>
      <c r="H811">
        <v>3</v>
      </c>
      <c r="L811">
        <v>5</v>
      </c>
    </row>
    <row r="812" spans="1:12" x14ac:dyDescent="0.25">
      <c r="A812" s="29" t="s">
        <v>10339</v>
      </c>
      <c r="B812" t="s">
        <v>10338</v>
      </c>
      <c r="D812" s="29" t="s">
        <v>10129</v>
      </c>
      <c r="H812">
        <v>4</v>
      </c>
      <c r="I812">
        <v>2</v>
      </c>
      <c r="K812">
        <v>90</v>
      </c>
      <c r="L812">
        <v>5</v>
      </c>
    </row>
    <row r="813" spans="1:12" x14ac:dyDescent="0.25">
      <c r="A813" s="29" t="s">
        <v>10337</v>
      </c>
      <c r="B813" t="s">
        <v>10336</v>
      </c>
      <c r="H813">
        <v>3</v>
      </c>
      <c r="K813">
        <v>60</v>
      </c>
      <c r="L813">
        <v>5</v>
      </c>
    </row>
    <row r="814" spans="1:12" x14ac:dyDescent="0.25">
      <c r="A814" s="29" t="s">
        <v>10335</v>
      </c>
      <c r="B814" t="s">
        <v>10334</v>
      </c>
      <c r="K814">
        <v>60</v>
      </c>
      <c r="L814">
        <v>5</v>
      </c>
    </row>
    <row r="815" spans="1:12" x14ac:dyDescent="0.25">
      <c r="A815" s="29" t="s">
        <v>10333</v>
      </c>
      <c r="B815" t="s">
        <v>10332</v>
      </c>
      <c r="K815">
        <v>60</v>
      </c>
      <c r="L815">
        <v>5</v>
      </c>
    </row>
    <row r="816" spans="1:12" x14ac:dyDescent="0.25">
      <c r="A816" s="29" t="s">
        <v>10331</v>
      </c>
      <c r="B816" t="s">
        <v>10330</v>
      </c>
      <c r="H816">
        <v>4</v>
      </c>
      <c r="I816">
        <v>2</v>
      </c>
      <c r="K816">
        <v>60</v>
      </c>
      <c r="L816">
        <v>5</v>
      </c>
    </row>
    <row r="817" spans="1:12" x14ac:dyDescent="0.25">
      <c r="A817" s="29" t="s">
        <v>10329</v>
      </c>
      <c r="B817" t="s">
        <v>10328</v>
      </c>
      <c r="D817" s="29" t="s">
        <v>10129</v>
      </c>
      <c r="H817">
        <v>4</v>
      </c>
      <c r="I817">
        <v>2</v>
      </c>
      <c r="K817">
        <v>90</v>
      </c>
      <c r="L817">
        <v>5</v>
      </c>
    </row>
    <row r="818" spans="1:12" x14ac:dyDescent="0.25">
      <c r="A818" s="29" t="s">
        <v>10327</v>
      </c>
      <c r="B818" t="s">
        <v>10326</v>
      </c>
      <c r="D818" s="29" t="s">
        <v>10129</v>
      </c>
      <c r="H818">
        <v>4</v>
      </c>
      <c r="I818">
        <v>2</v>
      </c>
      <c r="K818">
        <v>90</v>
      </c>
      <c r="L818">
        <v>5</v>
      </c>
    </row>
    <row r="819" spans="1:12" x14ac:dyDescent="0.25">
      <c r="A819" s="29" t="s">
        <v>10325</v>
      </c>
      <c r="B819" t="s">
        <v>10324</v>
      </c>
      <c r="D819" s="29" t="s">
        <v>10129</v>
      </c>
      <c r="H819">
        <v>4</v>
      </c>
      <c r="I819">
        <v>2</v>
      </c>
      <c r="K819">
        <v>90</v>
      </c>
      <c r="L819">
        <v>5</v>
      </c>
    </row>
    <row r="820" spans="1:12" x14ac:dyDescent="0.25">
      <c r="A820" s="29" t="s">
        <v>10323</v>
      </c>
      <c r="B820" t="s">
        <v>10322</v>
      </c>
      <c r="H820">
        <v>4</v>
      </c>
      <c r="I820">
        <v>2</v>
      </c>
      <c r="K820">
        <v>60</v>
      </c>
      <c r="L820">
        <v>5</v>
      </c>
    </row>
    <row r="821" spans="1:12" x14ac:dyDescent="0.25">
      <c r="A821" s="29" t="s">
        <v>10321</v>
      </c>
      <c r="B821" t="s">
        <v>10320</v>
      </c>
      <c r="D821" s="29" t="s">
        <v>9844</v>
      </c>
      <c r="H821">
        <v>3</v>
      </c>
      <c r="L821">
        <v>5</v>
      </c>
    </row>
    <row r="822" spans="1:12" x14ac:dyDescent="0.25">
      <c r="A822" s="29" t="s">
        <v>10319</v>
      </c>
      <c r="B822" t="s">
        <v>10318</v>
      </c>
      <c r="H822">
        <v>3</v>
      </c>
      <c r="K822">
        <v>60</v>
      </c>
      <c r="L822">
        <v>5</v>
      </c>
    </row>
    <row r="823" spans="1:12" x14ac:dyDescent="0.25">
      <c r="A823" s="29" t="s">
        <v>10317</v>
      </c>
      <c r="B823" s="29" t="s">
        <v>10316</v>
      </c>
      <c r="K823">
        <v>60</v>
      </c>
      <c r="L823">
        <v>2</v>
      </c>
    </row>
    <row r="824" spans="1:12" x14ac:dyDescent="0.25">
      <c r="A824" s="29" t="s">
        <v>10315</v>
      </c>
      <c r="B824" t="s">
        <v>10314</v>
      </c>
      <c r="H824">
        <v>4</v>
      </c>
      <c r="I824">
        <v>2</v>
      </c>
      <c r="K824">
        <v>60</v>
      </c>
      <c r="L824">
        <v>2</v>
      </c>
    </row>
    <row r="825" spans="1:12" x14ac:dyDescent="0.25">
      <c r="A825" s="29" t="s">
        <v>10313</v>
      </c>
      <c r="B825" t="s">
        <v>10312</v>
      </c>
      <c r="H825">
        <v>3</v>
      </c>
      <c r="L825">
        <v>5</v>
      </c>
    </row>
    <row r="826" spans="1:12" x14ac:dyDescent="0.25">
      <c r="A826" s="29" t="s">
        <v>10311</v>
      </c>
      <c r="B826" s="29" t="s">
        <v>10310</v>
      </c>
      <c r="H826">
        <v>3</v>
      </c>
      <c r="K826">
        <v>90</v>
      </c>
      <c r="L826">
        <v>5</v>
      </c>
    </row>
    <row r="827" spans="1:12" x14ac:dyDescent="0.25">
      <c r="A827" s="29" t="s">
        <v>10309</v>
      </c>
      <c r="B827" t="s">
        <v>10308</v>
      </c>
      <c r="H827">
        <v>3</v>
      </c>
      <c r="L827">
        <v>5</v>
      </c>
    </row>
    <row r="828" spans="1:12" x14ac:dyDescent="0.25">
      <c r="A828" s="29" t="s">
        <v>10307</v>
      </c>
      <c r="B828" t="s">
        <v>10306</v>
      </c>
      <c r="K828">
        <v>60</v>
      </c>
      <c r="L828">
        <v>5</v>
      </c>
    </row>
    <row r="829" spans="1:12" x14ac:dyDescent="0.25">
      <c r="A829" s="29" t="s">
        <v>10305</v>
      </c>
      <c r="B829" t="s">
        <v>10304</v>
      </c>
      <c r="J829">
        <v>2</v>
      </c>
      <c r="L829">
        <v>5</v>
      </c>
    </row>
    <row r="830" spans="1:12" x14ac:dyDescent="0.25">
      <c r="A830" s="29" t="s">
        <v>10303</v>
      </c>
      <c r="B830" s="29" t="s">
        <v>10302</v>
      </c>
      <c r="J830">
        <v>2</v>
      </c>
      <c r="L830">
        <v>5</v>
      </c>
    </row>
    <row r="831" spans="1:12" x14ac:dyDescent="0.25">
      <c r="A831" s="29" t="s">
        <v>10301</v>
      </c>
      <c r="B831" t="s">
        <v>10300</v>
      </c>
      <c r="H831">
        <v>3</v>
      </c>
      <c r="K831">
        <v>60</v>
      </c>
      <c r="L831">
        <v>5</v>
      </c>
    </row>
    <row r="832" spans="1:12" x14ac:dyDescent="0.25">
      <c r="A832" s="29" t="s">
        <v>10299</v>
      </c>
      <c r="B832" t="s">
        <v>10298</v>
      </c>
      <c r="L832">
        <v>5</v>
      </c>
    </row>
    <row r="833" spans="1:12" x14ac:dyDescent="0.25">
      <c r="A833" s="29" t="s">
        <v>10297</v>
      </c>
      <c r="B833" s="29" t="s">
        <v>10296</v>
      </c>
      <c r="H833">
        <v>4</v>
      </c>
      <c r="I833">
        <v>2</v>
      </c>
      <c r="K833">
        <v>60</v>
      </c>
      <c r="L833">
        <v>5</v>
      </c>
    </row>
    <row r="834" spans="1:12" x14ac:dyDescent="0.25">
      <c r="A834" s="29" t="s">
        <v>10295</v>
      </c>
      <c r="B834" s="29" t="s">
        <v>10294</v>
      </c>
      <c r="H834">
        <v>3</v>
      </c>
      <c r="L834">
        <v>5</v>
      </c>
    </row>
    <row r="835" spans="1:12" x14ac:dyDescent="0.25">
      <c r="A835" s="29" t="s">
        <v>10293</v>
      </c>
      <c r="B835" t="s">
        <v>10292</v>
      </c>
      <c r="H835">
        <v>3</v>
      </c>
      <c r="K835">
        <v>60</v>
      </c>
      <c r="L835">
        <v>5</v>
      </c>
    </row>
    <row r="836" spans="1:12" x14ac:dyDescent="0.25">
      <c r="A836" s="29" t="s">
        <v>10291</v>
      </c>
      <c r="B836" t="s">
        <v>10290</v>
      </c>
      <c r="D836" s="29" t="s">
        <v>10289</v>
      </c>
      <c r="H836">
        <v>3</v>
      </c>
    </row>
    <row r="837" spans="1:12" x14ac:dyDescent="0.25">
      <c r="A837" s="29" t="s">
        <v>10288</v>
      </c>
      <c r="B837" s="29" t="s">
        <v>10287</v>
      </c>
      <c r="K837">
        <v>60</v>
      </c>
      <c r="L837">
        <v>5</v>
      </c>
    </row>
    <row r="838" spans="1:12" x14ac:dyDescent="0.25">
      <c r="A838" s="29" t="s">
        <v>10286</v>
      </c>
      <c r="B838" t="s">
        <v>10285</v>
      </c>
      <c r="H838">
        <v>3</v>
      </c>
      <c r="L838">
        <v>3</v>
      </c>
    </row>
    <row r="839" spans="1:12" x14ac:dyDescent="0.25">
      <c r="A839" s="29" t="s">
        <v>10284</v>
      </c>
      <c r="B839" s="29" t="s">
        <v>10283</v>
      </c>
      <c r="H839">
        <v>3</v>
      </c>
      <c r="L839">
        <v>5</v>
      </c>
    </row>
    <row r="840" spans="1:12" x14ac:dyDescent="0.25">
      <c r="A840" s="29" t="s">
        <v>10282</v>
      </c>
      <c r="B840" s="29" t="s">
        <v>10018</v>
      </c>
      <c r="D840" s="29"/>
      <c r="H840">
        <v>3</v>
      </c>
      <c r="L840">
        <v>1</v>
      </c>
    </row>
    <row r="841" spans="1:12" x14ac:dyDescent="0.25">
      <c r="A841" s="29" t="s">
        <v>10281</v>
      </c>
      <c r="B841" t="s">
        <v>10280</v>
      </c>
      <c r="H841">
        <v>3</v>
      </c>
      <c r="L841">
        <v>5</v>
      </c>
    </row>
    <row r="842" spans="1:12" x14ac:dyDescent="0.25">
      <c r="A842" s="29" t="s">
        <v>10279</v>
      </c>
      <c r="B842" s="29" t="s">
        <v>10278</v>
      </c>
      <c r="D842" s="29" t="s">
        <v>10277</v>
      </c>
      <c r="H842">
        <v>3</v>
      </c>
      <c r="K842">
        <v>60</v>
      </c>
      <c r="L842">
        <v>5</v>
      </c>
    </row>
    <row r="843" spans="1:12" x14ac:dyDescent="0.25">
      <c r="A843" s="29" t="s">
        <v>10276</v>
      </c>
      <c r="B843" t="s">
        <v>10275</v>
      </c>
      <c r="D843" s="29"/>
      <c r="H843">
        <v>3</v>
      </c>
      <c r="L843">
        <v>5</v>
      </c>
    </row>
    <row r="844" spans="1:12" x14ac:dyDescent="0.25">
      <c r="A844" s="29" t="s">
        <v>10274</v>
      </c>
      <c r="B844" t="s">
        <v>10273</v>
      </c>
      <c r="K844">
        <v>60</v>
      </c>
      <c r="L844">
        <v>5</v>
      </c>
    </row>
    <row r="845" spans="1:12" x14ac:dyDescent="0.25">
      <c r="A845" s="29" t="s">
        <v>10272</v>
      </c>
      <c r="B845" t="s">
        <v>10271</v>
      </c>
      <c r="K845">
        <v>60</v>
      </c>
      <c r="L845">
        <v>2</v>
      </c>
    </row>
    <row r="846" spans="1:12" x14ac:dyDescent="0.25">
      <c r="A846" s="29" t="s">
        <v>10270</v>
      </c>
      <c r="B846" t="s">
        <v>10269</v>
      </c>
      <c r="H846">
        <v>4</v>
      </c>
      <c r="I846">
        <v>2</v>
      </c>
      <c r="K846">
        <v>60</v>
      </c>
      <c r="L846">
        <v>1.5</v>
      </c>
    </row>
    <row r="847" spans="1:12" x14ac:dyDescent="0.25">
      <c r="A847" s="29" t="s">
        <v>10268</v>
      </c>
      <c r="B847" t="s">
        <v>10267</v>
      </c>
      <c r="H847">
        <v>3</v>
      </c>
      <c r="K847">
        <v>60</v>
      </c>
      <c r="L847">
        <v>5</v>
      </c>
    </row>
    <row r="848" spans="1:12" x14ac:dyDescent="0.25">
      <c r="A848" s="29" t="s">
        <v>10266</v>
      </c>
      <c r="B848" t="s">
        <v>10265</v>
      </c>
      <c r="H848">
        <v>3</v>
      </c>
      <c r="K848">
        <v>60</v>
      </c>
      <c r="L848">
        <v>5</v>
      </c>
    </row>
    <row r="849" spans="1:12" x14ac:dyDescent="0.25">
      <c r="A849" s="29" t="s">
        <v>10264</v>
      </c>
      <c r="B849" t="s">
        <v>10263</v>
      </c>
      <c r="H849">
        <v>3</v>
      </c>
      <c r="L849">
        <v>2.5</v>
      </c>
    </row>
    <row r="850" spans="1:12" x14ac:dyDescent="0.25">
      <c r="A850" s="29" t="s">
        <v>10262</v>
      </c>
      <c r="B850" t="s">
        <v>10261</v>
      </c>
      <c r="K850">
        <v>60</v>
      </c>
      <c r="L850">
        <v>5</v>
      </c>
    </row>
    <row r="851" spans="1:12" x14ac:dyDescent="0.25">
      <c r="A851" s="29" t="s">
        <v>10260</v>
      </c>
      <c r="B851" t="s">
        <v>10259</v>
      </c>
      <c r="H851">
        <v>3</v>
      </c>
      <c r="K851">
        <v>60</v>
      </c>
      <c r="L851">
        <v>5</v>
      </c>
    </row>
    <row r="852" spans="1:12" x14ac:dyDescent="0.25">
      <c r="A852" s="29" t="s">
        <v>10258</v>
      </c>
      <c r="B852" t="s">
        <v>10257</v>
      </c>
      <c r="H852">
        <v>3</v>
      </c>
      <c r="L852">
        <v>2.5</v>
      </c>
    </row>
    <row r="853" spans="1:12" x14ac:dyDescent="0.25">
      <c r="A853" s="29" t="s">
        <v>10256</v>
      </c>
      <c r="B853" t="s">
        <v>10255</v>
      </c>
      <c r="H853">
        <v>3</v>
      </c>
      <c r="K853">
        <v>60</v>
      </c>
      <c r="L853">
        <v>5</v>
      </c>
    </row>
    <row r="854" spans="1:12" x14ac:dyDescent="0.25">
      <c r="A854" s="29" t="s">
        <v>10254</v>
      </c>
      <c r="B854" t="s">
        <v>10253</v>
      </c>
      <c r="K854">
        <v>60</v>
      </c>
      <c r="L854">
        <v>5</v>
      </c>
    </row>
    <row r="855" spans="1:12" x14ac:dyDescent="0.25">
      <c r="A855" s="29" t="s">
        <v>10252</v>
      </c>
      <c r="B855" t="s">
        <v>10251</v>
      </c>
      <c r="H855">
        <v>3</v>
      </c>
      <c r="L855">
        <v>5</v>
      </c>
    </row>
    <row r="856" spans="1:12" x14ac:dyDescent="0.25">
      <c r="A856" s="29" t="s">
        <v>10250</v>
      </c>
      <c r="B856" t="s">
        <v>10249</v>
      </c>
      <c r="K856">
        <v>60</v>
      </c>
      <c r="L856">
        <v>5</v>
      </c>
    </row>
    <row r="857" spans="1:12" x14ac:dyDescent="0.25">
      <c r="A857" s="29" t="s">
        <v>10248</v>
      </c>
      <c r="B857" t="s">
        <v>10247</v>
      </c>
      <c r="H857">
        <v>5</v>
      </c>
      <c r="K857">
        <v>60</v>
      </c>
      <c r="L857">
        <v>5</v>
      </c>
    </row>
    <row r="858" spans="1:12" x14ac:dyDescent="0.25">
      <c r="A858" s="29" t="s">
        <v>10246</v>
      </c>
      <c r="B858" t="s">
        <v>10245</v>
      </c>
      <c r="H858">
        <v>3</v>
      </c>
      <c r="L858">
        <v>6</v>
      </c>
    </row>
    <row r="859" spans="1:12" x14ac:dyDescent="0.25">
      <c r="A859" s="29" t="s">
        <v>10244</v>
      </c>
      <c r="B859" t="s">
        <v>10243</v>
      </c>
      <c r="H859">
        <v>3</v>
      </c>
      <c r="L859">
        <v>5</v>
      </c>
    </row>
    <row r="860" spans="1:12" x14ac:dyDescent="0.25">
      <c r="A860" s="29" t="s">
        <v>10242</v>
      </c>
      <c r="B860" s="29" t="s">
        <v>10241</v>
      </c>
      <c r="H860">
        <v>3</v>
      </c>
      <c r="L860">
        <v>5</v>
      </c>
    </row>
    <row r="861" spans="1:12" x14ac:dyDescent="0.25">
      <c r="A861" s="29" t="s">
        <v>10240</v>
      </c>
      <c r="B861" t="s">
        <v>10239</v>
      </c>
      <c r="E861" s="29" t="s">
        <v>10230</v>
      </c>
      <c r="H861">
        <v>4</v>
      </c>
      <c r="I861">
        <v>2</v>
      </c>
      <c r="K861">
        <v>60</v>
      </c>
      <c r="L861">
        <v>3.5</v>
      </c>
    </row>
    <row r="862" spans="1:12" x14ac:dyDescent="0.25">
      <c r="A862" s="29" t="s">
        <v>10238</v>
      </c>
      <c r="B862" t="s">
        <v>10237</v>
      </c>
      <c r="H862">
        <v>4</v>
      </c>
      <c r="I862">
        <v>2</v>
      </c>
      <c r="K862">
        <v>60</v>
      </c>
      <c r="L862">
        <v>3.5</v>
      </c>
    </row>
    <row r="863" spans="1:12" x14ac:dyDescent="0.25">
      <c r="A863" s="29" t="s">
        <v>10236</v>
      </c>
      <c r="B863" t="s">
        <v>10235</v>
      </c>
      <c r="H863">
        <v>3</v>
      </c>
      <c r="K863">
        <v>60</v>
      </c>
      <c r="L863">
        <v>5</v>
      </c>
    </row>
    <row r="864" spans="1:12" x14ac:dyDescent="0.25">
      <c r="A864" s="29" t="s">
        <v>10234</v>
      </c>
      <c r="B864" t="s">
        <v>10233</v>
      </c>
      <c r="H864">
        <v>3</v>
      </c>
      <c r="K864">
        <v>60</v>
      </c>
      <c r="L864">
        <v>5</v>
      </c>
    </row>
    <row r="865" spans="1:12" x14ac:dyDescent="0.25">
      <c r="A865" s="29" t="s">
        <v>10232</v>
      </c>
      <c r="B865" t="s">
        <v>10231</v>
      </c>
      <c r="E865" s="29" t="s">
        <v>10230</v>
      </c>
      <c r="H865">
        <v>4</v>
      </c>
      <c r="I865">
        <v>2</v>
      </c>
      <c r="K865">
        <v>60</v>
      </c>
      <c r="L865">
        <v>5</v>
      </c>
    </row>
    <row r="866" spans="1:12" x14ac:dyDescent="0.25">
      <c r="A866" s="29" t="s">
        <v>10229</v>
      </c>
      <c r="B866" t="s">
        <v>10228</v>
      </c>
      <c r="H866">
        <v>4</v>
      </c>
      <c r="I866">
        <v>2</v>
      </c>
      <c r="K866">
        <v>60</v>
      </c>
      <c r="L866">
        <v>5</v>
      </c>
    </row>
    <row r="867" spans="1:12" x14ac:dyDescent="0.25">
      <c r="A867" s="29" t="s">
        <v>10227</v>
      </c>
      <c r="B867" t="s">
        <v>10226</v>
      </c>
      <c r="H867">
        <v>3</v>
      </c>
      <c r="K867">
        <v>60</v>
      </c>
      <c r="L867">
        <v>5</v>
      </c>
    </row>
    <row r="868" spans="1:12" x14ac:dyDescent="0.25">
      <c r="A868" s="29" t="s">
        <v>10225</v>
      </c>
      <c r="B868" t="s">
        <v>10224</v>
      </c>
      <c r="D868" s="29" t="s">
        <v>10134</v>
      </c>
      <c r="H868">
        <v>3</v>
      </c>
      <c r="L868">
        <v>5</v>
      </c>
    </row>
    <row r="869" spans="1:12" x14ac:dyDescent="0.25">
      <c r="A869" s="29" t="s">
        <v>10223</v>
      </c>
      <c r="B869" t="s">
        <v>10222</v>
      </c>
      <c r="K869">
        <v>60</v>
      </c>
      <c r="L869">
        <v>5</v>
      </c>
    </row>
    <row r="870" spans="1:12" x14ac:dyDescent="0.25">
      <c r="A870" s="29" t="s">
        <v>10221</v>
      </c>
      <c r="B870" t="s">
        <v>10220</v>
      </c>
      <c r="H870">
        <v>3</v>
      </c>
      <c r="K870">
        <v>60</v>
      </c>
      <c r="L870">
        <v>5</v>
      </c>
    </row>
    <row r="871" spans="1:12" x14ac:dyDescent="0.25">
      <c r="A871" s="29" t="s">
        <v>10219</v>
      </c>
      <c r="B871" t="s">
        <v>10218</v>
      </c>
      <c r="D871" s="29" t="s">
        <v>9844</v>
      </c>
      <c r="H871">
        <v>3</v>
      </c>
      <c r="K871">
        <v>60</v>
      </c>
      <c r="L871">
        <v>5</v>
      </c>
    </row>
    <row r="872" spans="1:12" x14ac:dyDescent="0.25">
      <c r="A872" s="29" t="s">
        <v>10217</v>
      </c>
      <c r="B872" t="s">
        <v>10216</v>
      </c>
      <c r="H872">
        <v>3</v>
      </c>
      <c r="K872">
        <v>60</v>
      </c>
      <c r="L872">
        <v>5</v>
      </c>
    </row>
    <row r="873" spans="1:12" x14ac:dyDescent="0.25">
      <c r="A873" s="29" t="s">
        <v>10215</v>
      </c>
      <c r="B873" t="s">
        <v>10214</v>
      </c>
      <c r="E873" s="29" t="s">
        <v>10213</v>
      </c>
      <c r="H873">
        <v>4</v>
      </c>
      <c r="I873">
        <v>2</v>
      </c>
      <c r="K873">
        <v>60</v>
      </c>
      <c r="L873">
        <v>5</v>
      </c>
    </row>
    <row r="874" spans="1:12" x14ac:dyDescent="0.25">
      <c r="A874" s="29" t="s">
        <v>10212</v>
      </c>
      <c r="B874" t="s">
        <v>10211</v>
      </c>
      <c r="E874" s="29" t="s">
        <v>10210</v>
      </c>
      <c r="H874">
        <v>4</v>
      </c>
      <c r="I874">
        <v>2</v>
      </c>
      <c r="K874">
        <v>60</v>
      </c>
      <c r="L874">
        <v>5</v>
      </c>
    </row>
    <row r="875" spans="1:12" x14ac:dyDescent="0.25">
      <c r="A875" s="29" t="s">
        <v>10209</v>
      </c>
      <c r="B875" t="s">
        <v>10208</v>
      </c>
      <c r="H875">
        <v>3</v>
      </c>
      <c r="K875">
        <v>60</v>
      </c>
      <c r="L875">
        <v>5</v>
      </c>
    </row>
    <row r="876" spans="1:12" x14ac:dyDescent="0.25">
      <c r="A876" s="29" t="s">
        <v>10207</v>
      </c>
      <c r="B876" t="s">
        <v>10206</v>
      </c>
      <c r="H876">
        <v>3</v>
      </c>
      <c r="K876">
        <v>60</v>
      </c>
      <c r="L876">
        <v>5</v>
      </c>
    </row>
    <row r="877" spans="1:12" x14ac:dyDescent="0.25">
      <c r="A877" s="29" t="s">
        <v>10205</v>
      </c>
      <c r="B877" t="s">
        <v>10204</v>
      </c>
      <c r="H877">
        <v>3</v>
      </c>
      <c r="K877">
        <v>60</v>
      </c>
      <c r="L877">
        <v>5</v>
      </c>
    </row>
    <row r="878" spans="1:12" x14ac:dyDescent="0.25">
      <c r="A878" s="29" t="s">
        <v>10203</v>
      </c>
      <c r="B878" t="s">
        <v>10202</v>
      </c>
      <c r="H878">
        <v>3</v>
      </c>
      <c r="K878">
        <v>60</v>
      </c>
      <c r="L878">
        <v>5</v>
      </c>
    </row>
    <row r="879" spans="1:12" x14ac:dyDescent="0.25">
      <c r="A879" s="29" t="s">
        <v>10201</v>
      </c>
      <c r="B879" t="s">
        <v>10200</v>
      </c>
      <c r="D879" s="29" t="s">
        <v>9867</v>
      </c>
      <c r="H879">
        <v>3</v>
      </c>
      <c r="K879">
        <v>60</v>
      </c>
      <c r="L879">
        <v>5</v>
      </c>
    </row>
    <row r="880" spans="1:12" x14ac:dyDescent="0.25">
      <c r="A880" s="29" t="s">
        <v>10199</v>
      </c>
      <c r="B880" s="29" t="s">
        <v>10198</v>
      </c>
      <c r="H880">
        <v>3</v>
      </c>
      <c r="L880">
        <v>5</v>
      </c>
    </row>
    <row r="881" spans="1:12" x14ac:dyDescent="0.25">
      <c r="A881" s="29" t="s">
        <v>10197</v>
      </c>
      <c r="B881" t="s">
        <v>10196</v>
      </c>
      <c r="K881">
        <v>60</v>
      </c>
      <c r="L881">
        <v>5</v>
      </c>
    </row>
    <row r="882" spans="1:12" x14ac:dyDescent="0.25">
      <c r="A882" s="29" t="s">
        <v>10195</v>
      </c>
      <c r="B882" t="s">
        <v>10194</v>
      </c>
      <c r="E882" s="29" t="s">
        <v>10163</v>
      </c>
      <c r="H882">
        <v>4</v>
      </c>
      <c r="I882">
        <v>2</v>
      </c>
      <c r="K882">
        <v>60</v>
      </c>
      <c r="L882">
        <v>5</v>
      </c>
    </row>
    <row r="883" spans="1:12" x14ac:dyDescent="0.25">
      <c r="A883" s="29" t="s">
        <v>10193</v>
      </c>
      <c r="B883" t="s">
        <v>10192</v>
      </c>
      <c r="K883">
        <v>60</v>
      </c>
      <c r="L883">
        <v>5</v>
      </c>
    </row>
    <row r="884" spans="1:12" x14ac:dyDescent="0.25">
      <c r="A884" s="29" t="s">
        <v>10191</v>
      </c>
      <c r="B884" t="s">
        <v>10190</v>
      </c>
      <c r="D884" s="29" t="s">
        <v>9867</v>
      </c>
      <c r="K884">
        <v>60</v>
      </c>
      <c r="L884">
        <v>5</v>
      </c>
    </row>
    <row r="885" spans="1:12" x14ac:dyDescent="0.25">
      <c r="A885" s="29" t="s">
        <v>10189</v>
      </c>
      <c r="B885" t="s">
        <v>10188</v>
      </c>
      <c r="K885">
        <v>60</v>
      </c>
      <c r="L885">
        <v>5</v>
      </c>
    </row>
    <row r="886" spans="1:12" x14ac:dyDescent="0.25">
      <c r="A886" s="29" t="s">
        <v>10187</v>
      </c>
      <c r="B886" t="s">
        <v>10186</v>
      </c>
      <c r="K886">
        <v>60</v>
      </c>
      <c r="L886">
        <v>5</v>
      </c>
    </row>
    <row r="887" spans="1:12" x14ac:dyDescent="0.25">
      <c r="A887" s="29" t="s">
        <v>10185</v>
      </c>
      <c r="B887" t="s">
        <v>10184</v>
      </c>
      <c r="E887" s="29" t="s">
        <v>10163</v>
      </c>
      <c r="H887">
        <v>4</v>
      </c>
      <c r="I887">
        <v>2</v>
      </c>
      <c r="K887">
        <v>60</v>
      </c>
      <c r="L887">
        <v>5</v>
      </c>
    </row>
    <row r="888" spans="1:12" x14ac:dyDescent="0.25">
      <c r="A888" s="29" t="s">
        <v>10183</v>
      </c>
      <c r="B888" t="s">
        <v>10182</v>
      </c>
      <c r="K888">
        <v>60</v>
      </c>
      <c r="L888">
        <v>5</v>
      </c>
    </row>
    <row r="889" spans="1:12" x14ac:dyDescent="0.25">
      <c r="A889" s="29" t="s">
        <v>10181</v>
      </c>
      <c r="B889" t="s">
        <v>10180</v>
      </c>
      <c r="J889">
        <v>2</v>
      </c>
      <c r="L889">
        <v>5</v>
      </c>
    </row>
    <row r="890" spans="1:12" x14ac:dyDescent="0.25">
      <c r="A890" s="29" t="s">
        <v>10179</v>
      </c>
      <c r="B890" t="s">
        <v>10178</v>
      </c>
      <c r="J890">
        <v>2</v>
      </c>
      <c r="L890">
        <v>5</v>
      </c>
    </row>
    <row r="891" spans="1:12" x14ac:dyDescent="0.25">
      <c r="A891" s="29" t="s">
        <v>10177</v>
      </c>
      <c r="B891" t="s">
        <v>10176</v>
      </c>
      <c r="E891" s="29" t="s">
        <v>10163</v>
      </c>
      <c r="H891">
        <v>4</v>
      </c>
      <c r="I891">
        <v>2</v>
      </c>
      <c r="K891">
        <v>60</v>
      </c>
      <c r="L891">
        <v>5</v>
      </c>
    </row>
    <row r="892" spans="1:12" x14ac:dyDescent="0.25">
      <c r="A892" s="29" t="s">
        <v>10175</v>
      </c>
      <c r="B892" t="s">
        <v>10174</v>
      </c>
      <c r="K892">
        <v>60</v>
      </c>
      <c r="L892">
        <v>5</v>
      </c>
    </row>
    <row r="893" spans="1:12" x14ac:dyDescent="0.25">
      <c r="A893" s="29" t="s">
        <v>10173</v>
      </c>
      <c r="B893" t="s">
        <v>10172</v>
      </c>
      <c r="K893">
        <v>60</v>
      </c>
      <c r="L893">
        <v>5</v>
      </c>
    </row>
    <row r="894" spans="1:12" x14ac:dyDescent="0.25">
      <c r="A894" s="29" t="s">
        <v>10171</v>
      </c>
      <c r="B894" t="s">
        <v>10170</v>
      </c>
      <c r="H894">
        <v>3</v>
      </c>
      <c r="K894">
        <v>60</v>
      </c>
      <c r="L894">
        <v>5</v>
      </c>
    </row>
    <row r="895" spans="1:12" x14ac:dyDescent="0.25">
      <c r="A895" s="29" t="s">
        <v>10169</v>
      </c>
      <c r="B895" s="29" t="s">
        <v>10168</v>
      </c>
      <c r="H895">
        <v>3</v>
      </c>
      <c r="K895">
        <v>60</v>
      </c>
      <c r="L895">
        <v>5</v>
      </c>
    </row>
    <row r="896" spans="1:12" x14ac:dyDescent="0.25">
      <c r="A896" s="29" t="s">
        <v>10167</v>
      </c>
      <c r="B896" t="s">
        <v>10166</v>
      </c>
      <c r="E896" s="29"/>
      <c r="K896">
        <v>60</v>
      </c>
      <c r="L896">
        <v>5</v>
      </c>
    </row>
    <row r="897" spans="1:12" x14ac:dyDescent="0.25">
      <c r="A897" s="29" t="s">
        <v>10165</v>
      </c>
      <c r="B897" t="s">
        <v>10164</v>
      </c>
      <c r="E897" s="29" t="s">
        <v>10163</v>
      </c>
      <c r="H897">
        <v>4</v>
      </c>
      <c r="I897">
        <v>2</v>
      </c>
      <c r="K897">
        <v>60</v>
      </c>
      <c r="L897">
        <v>5</v>
      </c>
    </row>
    <row r="898" spans="1:12" x14ac:dyDescent="0.25">
      <c r="A898" s="29" t="s">
        <v>10162</v>
      </c>
      <c r="B898" t="s">
        <v>10161</v>
      </c>
      <c r="K898">
        <v>60</v>
      </c>
      <c r="L898">
        <v>5</v>
      </c>
    </row>
    <row r="899" spans="1:12" x14ac:dyDescent="0.25">
      <c r="A899" s="29" t="s">
        <v>10160</v>
      </c>
      <c r="B899" t="s">
        <v>10159</v>
      </c>
      <c r="K899">
        <v>60</v>
      </c>
      <c r="L899">
        <v>5</v>
      </c>
    </row>
    <row r="900" spans="1:12" x14ac:dyDescent="0.25">
      <c r="A900" s="29" t="s">
        <v>10158</v>
      </c>
      <c r="B900" t="s">
        <v>10157</v>
      </c>
      <c r="H900">
        <v>3</v>
      </c>
      <c r="K900">
        <v>60</v>
      </c>
      <c r="L900">
        <v>5</v>
      </c>
    </row>
    <row r="901" spans="1:12" x14ac:dyDescent="0.25">
      <c r="A901" s="29" t="s">
        <v>10156</v>
      </c>
      <c r="B901" t="s">
        <v>10155</v>
      </c>
      <c r="K901">
        <v>60</v>
      </c>
      <c r="L901">
        <v>5</v>
      </c>
    </row>
    <row r="902" spans="1:12" x14ac:dyDescent="0.25">
      <c r="A902" s="29" t="s">
        <v>10154</v>
      </c>
      <c r="B902" t="s">
        <v>10153</v>
      </c>
      <c r="H902">
        <v>4</v>
      </c>
      <c r="I902">
        <v>2</v>
      </c>
      <c r="K902">
        <v>60</v>
      </c>
      <c r="L902">
        <v>5</v>
      </c>
    </row>
    <row r="903" spans="1:12" x14ac:dyDescent="0.25">
      <c r="A903" s="29" t="s">
        <v>10152</v>
      </c>
      <c r="B903" t="s">
        <v>10151</v>
      </c>
      <c r="K903">
        <v>60</v>
      </c>
      <c r="L903">
        <v>5</v>
      </c>
    </row>
    <row r="904" spans="1:12" x14ac:dyDescent="0.25">
      <c r="A904" s="29" t="s">
        <v>10150</v>
      </c>
      <c r="B904" t="s">
        <v>10149</v>
      </c>
      <c r="H904">
        <v>4</v>
      </c>
      <c r="I904">
        <v>2</v>
      </c>
      <c r="K904">
        <v>60</v>
      </c>
      <c r="L904">
        <v>5</v>
      </c>
    </row>
    <row r="905" spans="1:12" x14ac:dyDescent="0.25">
      <c r="A905" s="29" t="s">
        <v>10148</v>
      </c>
      <c r="B905" t="s">
        <v>10147</v>
      </c>
      <c r="K905">
        <v>60</v>
      </c>
      <c r="L905">
        <v>5</v>
      </c>
    </row>
    <row r="906" spans="1:12" x14ac:dyDescent="0.25">
      <c r="A906" s="29" t="s">
        <v>10146</v>
      </c>
      <c r="B906" t="s">
        <v>10145</v>
      </c>
      <c r="H906">
        <v>4</v>
      </c>
      <c r="I906">
        <v>2</v>
      </c>
      <c r="K906">
        <v>60</v>
      </c>
      <c r="L906">
        <v>5</v>
      </c>
    </row>
    <row r="907" spans="1:12" x14ac:dyDescent="0.25">
      <c r="A907" s="29" t="s">
        <v>10144</v>
      </c>
      <c r="B907" t="s">
        <v>10143</v>
      </c>
      <c r="H907">
        <v>4</v>
      </c>
      <c r="I907">
        <v>2</v>
      </c>
      <c r="K907">
        <v>60</v>
      </c>
      <c r="L907">
        <v>5</v>
      </c>
    </row>
    <row r="908" spans="1:12" x14ac:dyDescent="0.25">
      <c r="A908" s="29" t="s">
        <v>10142</v>
      </c>
      <c r="B908" t="s">
        <v>10141</v>
      </c>
      <c r="H908">
        <v>4</v>
      </c>
      <c r="I908">
        <v>2</v>
      </c>
      <c r="K908">
        <v>60</v>
      </c>
      <c r="L908">
        <v>5</v>
      </c>
    </row>
    <row r="909" spans="1:12" x14ac:dyDescent="0.25">
      <c r="A909" s="29" t="s">
        <v>10140</v>
      </c>
      <c r="B909" t="s">
        <v>10139</v>
      </c>
      <c r="K909">
        <v>60</v>
      </c>
      <c r="L909">
        <v>5</v>
      </c>
    </row>
    <row r="910" spans="1:12" x14ac:dyDescent="0.25">
      <c r="A910" s="29" t="s">
        <v>10138</v>
      </c>
      <c r="B910" t="s">
        <v>10137</v>
      </c>
      <c r="H910">
        <v>3</v>
      </c>
      <c r="L910">
        <v>5</v>
      </c>
    </row>
    <row r="911" spans="1:12" x14ac:dyDescent="0.25">
      <c r="A911" s="29" t="s">
        <v>10136</v>
      </c>
      <c r="B911" t="s">
        <v>10135</v>
      </c>
      <c r="D911" s="29" t="s">
        <v>10134</v>
      </c>
      <c r="H911">
        <v>3</v>
      </c>
      <c r="L911">
        <v>5</v>
      </c>
    </row>
    <row r="912" spans="1:12" x14ac:dyDescent="0.25">
      <c r="A912" s="29" t="s">
        <v>10133</v>
      </c>
      <c r="B912" t="s">
        <v>10132</v>
      </c>
      <c r="H912">
        <v>4</v>
      </c>
      <c r="I912">
        <v>2</v>
      </c>
      <c r="K912">
        <v>60</v>
      </c>
      <c r="L912">
        <v>5</v>
      </c>
    </row>
    <row r="913" spans="1:12" x14ac:dyDescent="0.25">
      <c r="A913" s="29" t="s">
        <v>10131</v>
      </c>
      <c r="B913" t="s">
        <v>10130</v>
      </c>
      <c r="D913" s="29" t="s">
        <v>10129</v>
      </c>
      <c r="H913">
        <v>4</v>
      </c>
      <c r="I913">
        <v>1</v>
      </c>
      <c r="K913">
        <v>90</v>
      </c>
      <c r="L913">
        <v>5</v>
      </c>
    </row>
    <row r="914" spans="1:12" x14ac:dyDescent="0.25">
      <c r="A914" s="29" t="s">
        <v>10128</v>
      </c>
      <c r="B914" t="s">
        <v>10127</v>
      </c>
      <c r="H914">
        <v>3</v>
      </c>
      <c r="K914">
        <v>60</v>
      </c>
      <c r="L914">
        <v>5</v>
      </c>
    </row>
    <row r="915" spans="1:12" x14ac:dyDescent="0.25">
      <c r="A915" s="29" t="s">
        <v>10126</v>
      </c>
      <c r="B915" t="s">
        <v>10125</v>
      </c>
      <c r="H915">
        <v>3</v>
      </c>
      <c r="K915">
        <v>60</v>
      </c>
      <c r="L915">
        <v>6</v>
      </c>
    </row>
    <row r="916" spans="1:12" x14ac:dyDescent="0.25">
      <c r="A916" s="29" t="s">
        <v>10124</v>
      </c>
      <c r="B916" s="29" t="s">
        <v>10123</v>
      </c>
      <c r="H916">
        <v>3</v>
      </c>
      <c r="K916">
        <v>60</v>
      </c>
      <c r="L916">
        <v>6</v>
      </c>
    </row>
    <row r="917" spans="1:12" x14ac:dyDescent="0.25">
      <c r="A917" s="29" t="s">
        <v>10122</v>
      </c>
      <c r="B917" t="s">
        <v>10121</v>
      </c>
      <c r="H917">
        <v>3</v>
      </c>
      <c r="L917">
        <v>3</v>
      </c>
    </row>
    <row r="918" spans="1:12" x14ac:dyDescent="0.25">
      <c r="A918" s="29" t="s">
        <v>10120</v>
      </c>
      <c r="B918" t="s">
        <v>10119</v>
      </c>
      <c r="K918">
        <v>60</v>
      </c>
      <c r="L918">
        <v>5</v>
      </c>
    </row>
    <row r="919" spans="1:12" x14ac:dyDescent="0.25">
      <c r="A919" s="29" t="s">
        <v>10118</v>
      </c>
      <c r="B919" t="s">
        <v>10117</v>
      </c>
      <c r="K919">
        <v>60</v>
      </c>
      <c r="L919">
        <v>5</v>
      </c>
    </row>
    <row r="920" spans="1:12" x14ac:dyDescent="0.25">
      <c r="A920" s="29" t="s">
        <v>10116</v>
      </c>
      <c r="B920" t="s">
        <v>10115</v>
      </c>
      <c r="H920">
        <v>3</v>
      </c>
      <c r="K920">
        <v>60</v>
      </c>
      <c r="L920">
        <v>5</v>
      </c>
    </row>
    <row r="921" spans="1:12" x14ac:dyDescent="0.25">
      <c r="A921" s="29" t="s">
        <v>10114</v>
      </c>
      <c r="B921" t="s">
        <v>10113</v>
      </c>
      <c r="D921" s="29"/>
      <c r="H921">
        <v>4</v>
      </c>
      <c r="I921">
        <v>2</v>
      </c>
      <c r="K921">
        <v>60</v>
      </c>
      <c r="L921">
        <v>5</v>
      </c>
    </row>
    <row r="922" spans="1:12" x14ac:dyDescent="0.25">
      <c r="A922" s="29" t="s">
        <v>10112</v>
      </c>
      <c r="B922" t="s">
        <v>10111</v>
      </c>
      <c r="J922">
        <v>2</v>
      </c>
      <c r="L922">
        <v>4</v>
      </c>
    </row>
    <row r="923" spans="1:12" x14ac:dyDescent="0.25">
      <c r="A923" s="29" t="s">
        <v>10110</v>
      </c>
      <c r="B923" t="s">
        <v>10109</v>
      </c>
      <c r="H923">
        <v>4</v>
      </c>
      <c r="I923">
        <v>2</v>
      </c>
      <c r="K923">
        <v>60</v>
      </c>
      <c r="L923">
        <v>5</v>
      </c>
    </row>
    <row r="924" spans="1:12" x14ac:dyDescent="0.25">
      <c r="A924" s="29" t="s">
        <v>10108</v>
      </c>
      <c r="B924" t="s">
        <v>10107</v>
      </c>
      <c r="J924">
        <v>2</v>
      </c>
      <c r="L924">
        <v>2</v>
      </c>
    </row>
    <row r="925" spans="1:12" x14ac:dyDescent="0.25">
      <c r="A925" s="29" t="s">
        <v>10106</v>
      </c>
      <c r="B925" t="s">
        <v>10105</v>
      </c>
      <c r="J925">
        <v>2</v>
      </c>
      <c r="L925">
        <v>5</v>
      </c>
    </row>
    <row r="926" spans="1:12" x14ac:dyDescent="0.25">
      <c r="A926" s="29" t="s">
        <v>10104</v>
      </c>
      <c r="B926" t="s">
        <v>10103</v>
      </c>
      <c r="D926" s="29" t="s">
        <v>9844</v>
      </c>
      <c r="H926">
        <v>3</v>
      </c>
      <c r="I926">
        <v>2</v>
      </c>
      <c r="K926">
        <v>60</v>
      </c>
      <c r="L926">
        <v>5</v>
      </c>
    </row>
    <row r="927" spans="1:12" x14ac:dyDescent="0.25">
      <c r="A927" s="29" t="s">
        <v>10102</v>
      </c>
      <c r="B927" s="29" t="s">
        <v>10101</v>
      </c>
      <c r="D927" s="29"/>
      <c r="H927">
        <v>3</v>
      </c>
      <c r="I927">
        <v>2</v>
      </c>
      <c r="K927">
        <v>60</v>
      </c>
      <c r="L927">
        <v>5</v>
      </c>
    </row>
    <row r="928" spans="1:12" x14ac:dyDescent="0.25">
      <c r="A928" s="29" t="s">
        <v>10100</v>
      </c>
      <c r="B928" s="29" t="s">
        <v>10099</v>
      </c>
      <c r="D928" s="29"/>
      <c r="H928">
        <v>3</v>
      </c>
      <c r="I928">
        <v>2</v>
      </c>
      <c r="K928">
        <v>60</v>
      </c>
      <c r="L928">
        <v>5</v>
      </c>
    </row>
    <row r="929" spans="1:12" x14ac:dyDescent="0.25">
      <c r="A929" s="29"/>
      <c r="B929" s="29"/>
      <c r="D929" s="29"/>
    </row>
    <row r="930" spans="1:12" x14ac:dyDescent="0.25">
      <c r="A930" s="29"/>
      <c r="B930" s="29"/>
      <c r="D930" s="29"/>
    </row>
    <row r="931" spans="1:12" x14ac:dyDescent="0.25">
      <c r="A931" s="29"/>
      <c r="B931" s="29"/>
      <c r="D931" s="29"/>
    </row>
    <row r="932" spans="1:12" x14ac:dyDescent="0.25">
      <c r="A932" s="29"/>
      <c r="B932" s="29"/>
      <c r="D932" s="29"/>
    </row>
    <row r="933" spans="1:12" x14ac:dyDescent="0.25">
      <c r="A933" s="29" t="s">
        <v>10098</v>
      </c>
      <c r="B933" t="s">
        <v>10097</v>
      </c>
      <c r="H933">
        <v>4</v>
      </c>
      <c r="I933">
        <v>2</v>
      </c>
      <c r="K933">
        <v>90</v>
      </c>
      <c r="L933">
        <v>5</v>
      </c>
    </row>
    <row r="934" spans="1:12" x14ac:dyDescent="0.25">
      <c r="A934" s="29" t="s">
        <v>10096</v>
      </c>
      <c r="B934" s="29" t="s">
        <v>10095</v>
      </c>
      <c r="H934">
        <v>3</v>
      </c>
      <c r="K934">
        <v>60</v>
      </c>
      <c r="L934">
        <v>5</v>
      </c>
    </row>
    <row r="935" spans="1:12" x14ac:dyDescent="0.25">
      <c r="A935" s="29" t="s">
        <v>10094</v>
      </c>
      <c r="B935" t="s">
        <v>9336</v>
      </c>
      <c r="D935" s="29" t="s">
        <v>9844</v>
      </c>
      <c r="H935">
        <v>3</v>
      </c>
      <c r="K935">
        <v>60</v>
      </c>
      <c r="L935">
        <v>5</v>
      </c>
    </row>
    <row r="936" spans="1:12" x14ac:dyDescent="0.25">
      <c r="A936" s="29" t="s">
        <v>10093</v>
      </c>
      <c r="B936" s="29" t="s">
        <v>10092</v>
      </c>
      <c r="H936">
        <v>3</v>
      </c>
      <c r="L936">
        <v>5</v>
      </c>
    </row>
    <row r="937" spans="1:12" x14ac:dyDescent="0.25">
      <c r="A937" s="29" t="s">
        <v>10091</v>
      </c>
      <c r="B937" s="29" t="s">
        <v>10077</v>
      </c>
      <c r="H937">
        <v>3</v>
      </c>
      <c r="L937">
        <v>5</v>
      </c>
    </row>
    <row r="938" spans="1:12" x14ac:dyDescent="0.25">
      <c r="A938" s="29" t="s">
        <v>10090</v>
      </c>
      <c r="B938" s="29" t="s">
        <v>10089</v>
      </c>
      <c r="H938">
        <v>3</v>
      </c>
      <c r="L938">
        <v>5</v>
      </c>
    </row>
    <row r="939" spans="1:12" x14ac:dyDescent="0.25">
      <c r="A939" s="29" t="s">
        <v>10088</v>
      </c>
      <c r="B939" s="29" t="s">
        <v>10087</v>
      </c>
      <c r="H939">
        <v>3</v>
      </c>
      <c r="L939">
        <v>5</v>
      </c>
    </row>
    <row r="940" spans="1:12" x14ac:dyDescent="0.25">
      <c r="A940" s="29" t="s">
        <v>10086</v>
      </c>
      <c r="B940" s="29" t="s">
        <v>10085</v>
      </c>
      <c r="H940">
        <v>3</v>
      </c>
      <c r="L940">
        <v>5</v>
      </c>
    </row>
    <row r="941" spans="1:12" x14ac:dyDescent="0.25">
      <c r="A941" s="29" t="s">
        <v>10084</v>
      </c>
      <c r="B941" s="29" t="s">
        <v>10083</v>
      </c>
      <c r="H941">
        <v>3</v>
      </c>
      <c r="L941">
        <v>5</v>
      </c>
    </row>
    <row r="942" spans="1:12" x14ac:dyDescent="0.25">
      <c r="A942" s="29" t="s">
        <v>10082</v>
      </c>
      <c r="B942" s="29" t="s">
        <v>10081</v>
      </c>
      <c r="H942">
        <v>3</v>
      </c>
      <c r="L942">
        <v>5</v>
      </c>
    </row>
    <row r="943" spans="1:12" x14ac:dyDescent="0.25">
      <c r="A943" s="29" t="s">
        <v>10080</v>
      </c>
      <c r="B943" s="29" t="s">
        <v>10079</v>
      </c>
      <c r="H943">
        <v>3</v>
      </c>
      <c r="L943">
        <v>1</v>
      </c>
    </row>
    <row r="944" spans="1:12" x14ac:dyDescent="0.25">
      <c r="A944" s="29" t="s">
        <v>10078</v>
      </c>
      <c r="B944" s="29" t="s">
        <v>10077</v>
      </c>
      <c r="H944">
        <v>7</v>
      </c>
      <c r="L944">
        <v>5</v>
      </c>
    </row>
    <row r="945" spans="1:12" x14ac:dyDescent="0.25">
      <c r="A945" s="29" t="s">
        <v>10076</v>
      </c>
      <c r="B945" t="s">
        <v>10075</v>
      </c>
      <c r="K945">
        <v>60</v>
      </c>
      <c r="L945">
        <v>5</v>
      </c>
    </row>
    <row r="946" spans="1:12" x14ac:dyDescent="0.25">
      <c r="A946" s="29" t="s">
        <v>10074</v>
      </c>
      <c r="B946" t="s">
        <v>10073</v>
      </c>
      <c r="H946">
        <v>3</v>
      </c>
      <c r="K946">
        <v>60</v>
      </c>
      <c r="L946">
        <v>5</v>
      </c>
    </row>
    <row r="947" spans="1:12" x14ac:dyDescent="0.25">
      <c r="A947" s="29" t="s">
        <v>10072</v>
      </c>
      <c r="B947" t="s">
        <v>10071</v>
      </c>
      <c r="K947">
        <v>60</v>
      </c>
      <c r="L947">
        <v>5</v>
      </c>
    </row>
    <row r="948" spans="1:12" x14ac:dyDescent="0.25">
      <c r="A948" s="29" t="s">
        <v>10070</v>
      </c>
      <c r="B948" t="s">
        <v>10069</v>
      </c>
      <c r="H948">
        <v>3</v>
      </c>
      <c r="K948">
        <v>60</v>
      </c>
      <c r="L948">
        <v>5</v>
      </c>
    </row>
    <row r="949" spans="1:12" x14ac:dyDescent="0.25">
      <c r="A949" s="29" t="s">
        <v>10068</v>
      </c>
      <c r="B949" t="s">
        <v>10067</v>
      </c>
      <c r="K949">
        <v>60</v>
      </c>
      <c r="L949">
        <v>5</v>
      </c>
    </row>
    <row r="950" spans="1:12" x14ac:dyDescent="0.25">
      <c r="A950" s="29" t="s">
        <v>10066</v>
      </c>
      <c r="B950" t="s">
        <v>10065</v>
      </c>
      <c r="H950">
        <v>4</v>
      </c>
      <c r="I950">
        <v>2</v>
      </c>
      <c r="K950">
        <v>60</v>
      </c>
      <c r="L950">
        <v>5</v>
      </c>
    </row>
    <row r="951" spans="1:12" x14ac:dyDescent="0.25">
      <c r="A951" s="29" t="s">
        <v>10064</v>
      </c>
      <c r="B951" s="29" t="s">
        <v>10063</v>
      </c>
      <c r="D951" s="29"/>
      <c r="H951">
        <v>3</v>
      </c>
      <c r="L951">
        <v>5</v>
      </c>
    </row>
    <row r="952" spans="1:12" x14ac:dyDescent="0.25">
      <c r="A952" s="29" t="s">
        <v>10062</v>
      </c>
      <c r="B952" s="29" t="s">
        <v>10061</v>
      </c>
      <c r="H952">
        <v>3</v>
      </c>
      <c r="K952">
        <v>60</v>
      </c>
      <c r="L952">
        <v>5</v>
      </c>
    </row>
    <row r="953" spans="1:12" x14ac:dyDescent="0.25">
      <c r="A953" s="29" t="s">
        <v>10060</v>
      </c>
      <c r="B953" t="s">
        <v>10059</v>
      </c>
      <c r="K953">
        <v>60</v>
      </c>
      <c r="L953">
        <v>5</v>
      </c>
    </row>
    <row r="954" spans="1:12" x14ac:dyDescent="0.25">
      <c r="A954" s="29" t="s">
        <v>10058</v>
      </c>
      <c r="B954" t="s">
        <v>10057</v>
      </c>
      <c r="K954">
        <v>60</v>
      </c>
      <c r="L954">
        <v>5</v>
      </c>
    </row>
    <row r="955" spans="1:12" x14ac:dyDescent="0.25">
      <c r="A955" s="29" t="s">
        <v>10056</v>
      </c>
      <c r="B955" t="s">
        <v>10055</v>
      </c>
      <c r="K955">
        <v>60</v>
      </c>
      <c r="L955">
        <v>5</v>
      </c>
    </row>
    <row r="956" spans="1:12" x14ac:dyDescent="0.25">
      <c r="A956" s="29" t="s">
        <v>10054</v>
      </c>
      <c r="B956" t="s">
        <v>10053</v>
      </c>
      <c r="K956">
        <v>60</v>
      </c>
      <c r="L956">
        <v>5</v>
      </c>
    </row>
    <row r="957" spans="1:12" x14ac:dyDescent="0.25">
      <c r="A957" s="29" t="s">
        <v>10052</v>
      </c>
      <c r="B957" t="s">
        <v>10051</v>
      </c>
      <c r="H957">
        <v>3</v>
      </c>
      <c r="K957">
        <v>60</v>
      </c>
      <c r="L957">
        <v>5</v>
      </c>
    </row>
    <row r="958" spans="1:12" x14ac:dyDescent="0.25">
      <c r="A958" s="29" t="s">
        <v>10050</v>
      </c>
      <c r="B958" t="s">
        <v>10049</v>
      </c>
      <c r="H958">
        <v>3</v>
      </c>
      <c r="K958">
        <v>60</v>
      </c>
      <c r="L958">
        <v>5</v>
      </c>
    </row>
    <row r="959" spans="1:12" x14ac:dyDescent="0.25">
      <c r="A959" s="29" t="s">
        <v>10048</v>
      </c>
      <c r="B959" t="s">
        <v>10047</v>
      </c>
      <c r="H959">
        <v>3</v>
      </c>
      <c r="K959">
        <v>60</v>
      </c>
      <c r="L959">
        <v>5</v>
      </c>
    </row>
    <row r="960" spans="1:12" x14ac:dyDescent="0.25">
      <c r="A960" s="29" t="s">
        <v>10046</v>
      </c>
      <c r="B960" t="s">
        <v>10045</v>
      </c>
      <c r="H960">
        <v>3</v>
      </c>
      <c r="K960">
        <v>60</v>
      </c>
      <c r="L960">
        <v>5</v>
      </c>
    </row>
    <row r="961" spans="1:12" x14ac:dyDescent="0.25">
      <c r="A961" s="29" t="s">
        <v>10044</v>
      </c>
      <c r="B961" t="s">
        <v>10030</v>
      </c>
      <c r="H961">
        <v>4</v>
      </c>
      <c r="I961">
        <v>2</v>
      </c>
      <c r="K961">
        <v>60</v>
      </c>
      <c r="L961">
        <v>5</v>
      </c>
    </row>
    <row r="962" spans="1:12" x14ac:dyDescent="0.25">
      <c r="A962" s="29" t="s">
        <v>10043</v>
      </c>
      <c r="B962" t="s">
        <v>10042</v>
      </c>
      <c r="H962">
        <v>4</v>
      </c>
      <c r="I962">
        <v>2</v>
      </c>
      <c r="K962">
        <v>60</v>
      </c>
      <c r="L962">
        <v>5</v>
      </c>
    </row>
    <row r="963" spans="1:12" x14ac:dyDescent="0.25">
      <c r="A963" s="29" t="s">
        <v>10041</v>
      </c>
      <c r="B963" t="s">
        <v>10040</v>
      </c>
      <c r="H963">
        <v>3</v>
      </c>
      <c r="L963">
        <v>5</v>
      </c>
    </row>
    <row r="964" spans="1:12" x14ac:dyDescent="0.25">
      <c r="A964" s="29" t="s">
        <v>10039</v>
      </c>
      <c r="B964" t="s">
        <v>10038</v>
      </c>
      <c r="H964">
        <v>3</v>
      </c>
      <c r="L964">
        <v>5</v>
      </c>
    </row>
    <row r="965" spans="1:12" x14ac:dyDescent="0.25">
      <c r="A965" s="29" t="s">
        <v>10037</v>
      </c>
      <c r="B965" s="29" t="s">
        <v>10036</v>
      </c>
      <c r="D965" s="29" t="s">
        <v>9867</v>
      </c>
      <c r="J965">
        <v>2</v>
      </c>
      <c r="L965">
        <v>1.5</v>
      </c>
    </row>
    <row r="966" spans="1:12" x14ac:dyDescent="0.25">
      <c r="A966" s="29" t="s">
        <v>10035</v>
      </c>
      <c r="B966" s="29" t="s">
        <v>10034</v>
      </c>
      <c r="D966" s="29"/>
      <c r="E966" s="29"/>
      <c r="H966">
        <v>3</v>
      </c>
      <c r="K966">
        <v>60</v>
      </c>
      <c r="L966">
        <v>5</v>
      </c>
    </row>
    <row r="967" spans="1:12" x14ac:dyDescent="0.25">
      <c r="A967" s="29" t="s">
        <v>10033</v>
      </c>
      <c r="B967" s="29" t="s">
        <v>10032</v>
      </c>
      <c r="D967" s="29" t="s">
        <v>9844</v>
      </c>
      <c r="L967">
        <v>5</v>
      </c>
    </row>
    <row r="968" spans="1:12" x14ac:dyDescent="0.25">
      <c r="A968" s="29" t="s">
        <v>10031</v>
      </c>
      <c r="B968" t="s">
        <v>10030</v>
      </c>
      <c r="H968">
        <v>3</v>
      </c>
      <c r="I968">
        <v>2</v>
      </c>
      <c r="K968">
        <v>60</v>
      </c>
      <c r="L968">
        <v>5</v>
      </c>
    </row>
    <row r="969" spans="1:12" x14ac:dyDescent="0.25">
      <c r="A969" s="29" t="s">
        <v>10029</v>
      </c>
      <c r="B969" s="29" t="s">
        <v>10028</v>
      </c>
      <c r="H969">
        <v>3</v>
      </c>
      <c r="I969">
        <v>2</v>
      </c>
      <c r="K969">
        <v>60</v>
      </c>
      <c r="L969">
        <v>5</v>
      </c>
    </row>
    <row r="970" spans="1:12" x14ac:dyDescent="0.25">
      <c r="A970" s="29" t="s">
        <v>10027</v>
      </c>
      <c r="B970" t="s">
        <v>10026</v>
      </c>
      <c r="K970">
        <v>60</v>
      </c>
      <c r="L970">
        <v>5</v>
      </c>
    </row>
    <row r="971" spans="1:12" x14ac:dyDescent="0.25">
      <c r="A971" s="29" t="s">
        <v>10025</v>
      </c>
      <c r="B971" s="29" t="s">
        <v>10024</v>
      </c>
      <c r="L971">
        <v>2.5</v>
      </c>
    </row>
    <row r="972" spans="1:12" x14ac:dyDescent="0.25">
      <c r="A972" s="29" t="s">
        <v>10023</v>
      </c>
      <c r="B972" s="29" t="s">
        <v>10022</v>
      </c>
      <c r="L972">
        <v>2.5</v>
      </c>
    </row>
    <row r="973" spans="1:12" x14ac:dyDescent="0.25">
      <c r="A973" s="29" t="s">
        <v>10021</v>
      </c>
      <c r="B973" t="s">
        <v>10020</v>
      </c>
      <c r="L973">
        <v>5</v>
      </c>
    </row>
    <row r="974" spans="1:12" x14ac:dyDescent="0.25">
      <c r="A974" s="29" t="s">
        <v>10019</v>
      </c>
      <c r="B974" s="29" t="s">
        <v>10018</v>
      </c>
      <c r="D974" s="29"/>
      <c r="H974">
        <v>3</v>
      </c>
      <c r="L974">
        <v>8</v>
      </c>
    </row>
    <row r="975" spans="1:12" x14ac:dyDescent="0.25">
      <c r="A975" s="29" t="s">
        <v>10017</v>
      </c>
      <c r="B975" s="29" t="s">
        <v>10016</v>
      </c>
      <c r="D975" s="29"/>
      <c r="H975">
        <v>3</v>
      </c>
      <c r="L975">
        <v>5</v>
      </c>
    </row>
    <row r="976" spans="1:12" x14ac:dyDescent="0.25">
      <c r="A976" s="29" t="s">
        <v>10015</v>
      </c>
      <c r="B976" s="29" t="s">
        <v>10014</v>
      </c>
      <c r="D976" s="29"/>
      <c r="H976">
        <v>3</v>
      </c>
      <c r="L976">
        <v>5</v>
      </c>
    </row>
    <row r="977" spans="1:12" x14ac:dyDescent="0.25">
      <c r="A977" s="29" t="s">
        <v>10013</v>
      </c>
      <c r="B977" t="s">
        <v>10012</v>
      </c>
      <c r="K977">
        <v>60</v>
      </c>
      <c r="L977">
        <v>5</v>
      </c>
    </row>
    <row r="978" spans="1:12" x14ac:dyDescent="0.25">
      <c r="A978" s="29" t="s">
        <v>10011</v>
      </c>
      <c r="B978" t="s">
        <v>10010</v>
      </c>
      <c r="K978">
        <v>60</v>
      </c>
      <c r="L978">
        <v>5</v>
      </c>
    </row>
    <row r="979" spans="1:12" x14ac:dyDescent="0.25">
      <c r="A979" s="29" t="s">
        <v>10009</v>
      </c>
      <c r="B979" t="s">
        <v>10008</v>
      </c>
      <c r="K979">
        <v>60</v>
      </c>
      <c r="L979">
        <v>5</v>
      </c>
    </row>
    <row r="980" spans="1:12" x14ac:dyDescent="0.25">
      <c r="A980" s="29" t="s">
        <v>10007</v>
      </c>
      <c r="B980" t="s">
        <v>10006</v>
      </c>
      <c r="H980">
        <v>4</v>
      </c>
      <c r="I980">
        <v>2</v>
      </c>
      <c r="K980">
        <v>60</v>
      </c>
      <c r="L980">
        <v>5</v>
      </c>
    </row>
    <row r="981" spans="1:12" x14ac:dyDescent="0.25">
      <c r="A981" s="29" t="s">
        <v>10005</v>
      </c>
      <c r="B981" t="s">
        <v>10004</v>
      </c>
      <c r="H981">
        <v>4</v>
      </c>
      <c r="I981">
        <v>2</v>
      </c>
      <c r="K981">
        <v>60</v>
      </c>
      <c r="L981">
        <v>5</v>
      </c>
    </row>
    <row r="982" spans="1:12" x14ac:dyDescent="0.25">
      <c r="A982" s="29" t="s">
        <v>10003</v>
      </c>
      <c r="B982" s="29" t="s">
        <v>10002</v>
      </c>
      <c r="D982" s="29"/>
      <c r="H982">
        <v>3</v>
      </c>
      <c r="L982">
        <v>5</v>
      </c>
    </row>
    <row r="983" spans="1:12" x14ac:dyDescent="0.25">
      <c r="A983" s="29" t="s">
        <v>10001</v>
      </c>
      <c r="B983" t="s">
        <v>10000</v>
      </c>
      <c r="K983">
        <v>60</v>
      </c>
      <c r="L983">
        <v>5</v>
      </c>
    </row>
    <row r="984" spans="1:12" x14ac:dyDescent="0.25">
      <c r="A984" s="29" t="s">
        <v>9999</v>
      </c>
      <c r="B984" t="s">
        <v>9998</v>
      </c>
      <c r="H984">
        <v>3</v>
      </c>
      <c r="L984">
        <v>5</v>
      </c>
    </row>
    <row r="985" spans="1:12" x14ac:dyDescent="0.25">
      <c r="A985" s="29" t="s">
        <v>9997</v>
      </c>
      <c r="B985" t="s">
        <v>9996</v>
      </c>
      <c r="H985">
        <v>3</v>
      </c>
      <c r="K985">
        <v>60</v>
      </c>
      <c r="L985">
        <v>5</v>
      </c>
    </row>
    <row r="986" spans="1:12" x14ac:dyDescent="0.25">
      <c r="A986" s="29" t="s">
        <v>9995</v>
      </c>
      <c r="B986" t="s">
        <v>9994</v>
      </c>
      <c r="J986">
        <v>2</v>
      </c>
    </row>
    <row r="987" spans="1:12" x14ac:dyDescent="0.25">
      <c r="A987" s="29" t="s">
        <v>9993</v>
      </c>
      <c r="B987" t="s">
        <v>9992</v>
      </c>
      <c r="J987">
        <v>2</v>
      </c>
    </row>
    <row r="988" spans="1:12" x14ac:dyDescent="0.25">
      <c r="A988" s="29" t="s">
        <v>9991</v>
      </c>
      <c r="B988" t="s">
        <v>9990</v>
      </c>
      <c r="I988">
        <v>2</v>
      </c>
      <c r="L988">
        <v>5</v>
      </c>
    </row>
    <row r="989" spans="1:12" x14ac:dyDescent="0.25">
      <c r="A989" s="29" t="s">
        <v>9989</v>
      </c>
      <c r="B989" t="s">
        <v>9988</v>
      </c>
      <c r="H989">
        <v>3</v>
      </c>
      <c r="K989">
        <v>60</v>
      </c>
      <c r="L989">
        <v>5</v>
      </c>
    </row>
    <row r="990" spans="1:12" x14ac:dyDescent="0.25">
      <c r="A990" s="29" t="s">
        <v>9987</v>
      </c>
      <c r="B990" t="s">
        <v>9986</v>
      </c>
      <c r="H990">
        <v>3</v>
      </c>
      <c r="L990">
        <v>5</v>
      </c>
    </row>
    <row r="991" spans="1:12" x14ac:dyDescent="0.25">
      <c r="A991" s="29" t="s">
        <v>9985</v>
      </c>
      <c r="B991" s="29" t="s">
        <v>9984</v>
      </c>
      <c r="H991">
        <v>3</v>
      </c>
      <c r="L991">
        <v>5</v>
      </c>
    </row>
    <row r="992" spans="1:12" x14ac:dyDescent="0.25">
      <c r="A992" s="29" t="s">
        <v>9983</v>
      </c>
      <c r="B992" t="s">
        <v>9982</v>
      </c>
      <c r="H992">
        <v>3</v>
      </c>
      <c r="K992">
        <v>60</v>
      </c>
      <c r="L992">
        <v>5</v>
      </c>
    </row>
    <row r="993" spans="1:12" x14ac:dyDescent="0.25">
      <c r="A993" s="29" t="s">
        <v>9981</v>
      </c>
      <c r="B993" t="s">
        <v>9980</v>
      </c>
      <c r="K993">
        <v>60</v>
      </c>
      <c r="L993">
        <v>5</v>
      </c>
    </row>
    <row r="994" spans="1:12" x14ac:dyDescent="0.25">
      <c r="A994" s="29" t="s">
        <v>9979</v>
      </c>
      <c r="B994" t="s">
        <v>9978</v>
      </c>
      <c r="H994">
        <v>3</v>
      </c>
      <c r="K994">
        <v>60</v>
      </c>
      <c r="L994">
        <v>5</v>
      </c>
    </row>
    <row r="995" spans="1:12" x14ac:dyDescent="0.25">
      <c r="A995" s="29" t="s">
        <v>9977</v>
      </c>
      <c r="B995" t="s">
        <v>9976</v>
      </c>
      <c r="K995">
        <v>60</v>
      </c>
      <c r="L995">
        <v>5</v>
      </c>
    </row>
    <row r="996" spans="1:12" x14ac:dyDescent="0.25">
      <c r="A996" s="29" t="s">
        <v>9975</v>
      </c>
      <c r="B996" t="s">
        <v>9974</v>
      </c>
      <c r="H996">
        <v>4</v>
      </c>
      <c r="I996">
        <v>2</v>
      </c>
      <c r="K996">
        <v>60</v>
      </c>
      <c r="L996">
        <v>5</v>
      </c>
    </row>
    <row r="997" spans="1:12" x14ac:dyDescent="0.25">
      <c r="A997" s="29" t="s">
        <v>9973</v>
      </c>
      <c r="B997" t="s">
        <v>9972</v>
      </c>
      <c r="L997">
        <v>5</v>
      </c>
    </row>
    <row r="998" spans="1:12" x14ac:dyDescent="0.25">
      <c r="A998" s="29" t="s">
        <v>9971</v>
      </c>
      <c r="B998" t="s">
        <v>9970</v>
      </c>
      <c r="L998">
        <v>5</v>
      </c>
    </row>
    <row r="999" spans="1:12" x14ac:dyDescent="0.25">
      <c r="A999" s="29" t="s">
        <v>9969</v>
      </c>
      <c r="B999" t="s">
        <v>9968</v>
      </c>
      <c r="K999">
        <v>60</v>
      </c>
      <c r="L999">
        <v>5</v>
      </c>
    </row>
    <row r="1000" spans="1:12" x14ac:dyDescent="0.25">
      <c r="A1000" s="29" t="s">
        <v>9967</v>
      </c>
      <c r="B1000" t="s">
        <v>9966</v>
      </c>
      <c r="H1000">
        <v>3</v>
      </c>
      <c r="K1000">
        <v>60</v>
      </c>
      <c r="L1000">
        <v>5</v>
      </c>
    </row>
    <row r="1001" spans="1:12" x14ac:dyDescent="0.25">
      <c r="A1001" s="29" t="s">
        <v>9965</v>
      </c>
      <c r="B1001" t="s">
        <v>9964</v>
      </c>
      <c r="K1001">
        <v>60</v>
      </c>
      <c r="L1001">
        <v>5</v>
      </c>
    </row>
    <row r="1002" spans="1:12" x14ac:dyDescent="0.25">
      <c r="A1002" s="29" t="s">
        <v>9963</v>
      </c>
      <c r="B1002" t="s">
        <v>9962</v>
      </c>
      <c r="K1002">
        <v>60</v>
      </c>
      <c r="L1002">
        <v>5</v>
      </c>
    </row>
    <row r="1003" spans="1:12" x14ac:dyDescent="0.25">
      <c r="A1003" s="29" t="s">
        <v>9961</v>
      </c>
      <c r="B1003" t="s">
        <v>9960</v>
      </c>
      <c r="H1003">
        <v>3</v>
      </c>
      <c r="L1003">
        <v>30</v>
      </c>
    </row>
    <row r="1004" spans="1:12" x14ac:dyDescent="0.25">
      <c r="A1004" s="29" t="s">
        <v>9959</v>
      </c>
      <c r="B1004" t="s">
        <v>9958</v>
      </c>
      <c r="K1004">
        <v>60</v>
      </c>
      <c r="L1004">
        <v>5</v>
      </c>
    </row>
    <row r="1005" spans="1:12" x14ac:dyDescent="0.25">
      <c r="A1005" s="29" t="s">
        <v>9957</v>
      </c>
      <c r="B1005" t="s">
        <v>9956</v>
      </c>
      <c r="K1005">
        <v>60</v>
      </c>
      <c r="L1005">
        <v>5</v>
      </c>
    </row>
    <row r="1006" spans="1:12" x14ac:dyDescent="0.25">
      <c r="A1006" s="29" t="s">
        <v>9955</v>
      </c>
      <c r="B1006" t="s">
        <v>9954</v>
      </c>
      <c r="H1006">
        <v>3</v>
      </c>
      <c r="I1006">
        <v>2</v>
      </c>
      <c r="L1006">
        <v>5</v>
      </c>
    </row>
    <row r="1007" spans="1:12" x14ac:dyDescent="0.25">
      <c r="A1007" s="29" t="s">
        <v>9953</v>
      </c>
      <c r="B1007" t="s">
        <v>9952</v>
      </c>
      <c r="H1007">
        <v>3</v>
      </c>
      <c r="K1007">
        <v>60</v>
      </c>
      <c r="L1007">
        <v>5</v>
      </c>
    </row>
    <row r="1008" spans="1:12" x14ac:dyDescent="0.25">
      <c r="A1008" s="29" t="s">
        <v>9951</v>
      </c>
      <c r="B1008" t="s">
        <v>9950</v>
      </c>
      <c r="H1008">
        <v>3</v>
      </c>
      <c r="K1008">
        <v>60</v>
      </c>
      <c r="L1008">
        <v>5</v>
      </c>
    </row>
    <row r="1009" spans="1:13" x14ac:dyDescent="0.25">
      <c r="A1009" s="29" t="s">
        <v>9949</v>
      </c>
      <c r="B1009" s="29" t="s">
        <v>9948</v>
      </c>
      <c r="H1009">
        <v>3</v>
      </c>
      <c r="I1009">
        <v>2</v>
      </c>
      <c r="L1009">
        <v>5</v>
      </c>
    </row>
    <row r="1010" spans="1:13" x14ac:dyDescent="0.25">
      <c r="A1010" s="29" t="s">
        <v>9947</v>
      </c>
      <c r="B1010" t="s">
        <v>9946</v>
      </c>
      <c r="K1010">
        <v>60</v>
      </c>
      <c r="L1010">
        <v>5</v>
      </c>
    </row>
    <row r="1011" spans="1:13" x14ac:dyDescent="0.25">
      <c r="A1011" s="29" t="s">
        <v>9945</v>
      </c>
      <c r="B1011" t="s">
        <v>9944</v>
      </c>
      <c r="K1011">
        <v>60</v>
      </c>
      <c r="L1011">
        <v>5</v>
      </c>
    </row>
    <row r="1012" spans="1:13" x14ac:dyDescent="0.25">
      <c r="A1012" s="29" t="s">
        <v>9943</v>
      </c>
      <c r="B1012" t="s">
        <v>9942</v>
      </c>
      <c r="K1012">
        <v>60</v>
      </c>
      <c r="L1012">
        <v>5</v>
      </c>
    </row>
    <row r="1013" spans="1:13" x14ac:dyDescent="0.25">
      <c r="A1013" s="29" t="s">
        <v>9941</v>
      </c>
      <c r="B1013" t="s">
        <v>9940</v>
      </c>
      <c r="J1013">
        <v>2</v>
      </c>
      <c r="L1013">
        <v>5</v>
      </c>
    </row>
    <row r="1014" spans="1:13" x14ac:dyDescent="0.25">
      <c r="A1014" s="29" t="s">
        <v>9939</v>
      </c>
      <c r="B1014" t="s">
        <v>9938</v>
      </c>
      <c r="K1014">
        <v>60</v>
      </c>
      <c r="L1014">
        <v>3</v>
      </c>
      <c r="M1014">
        <v>1</v>
      </c>
    </row>
    <row r="1015" spans="1:13" x14ac:dyDescent="0.25">
      <c r="A1015" s="29" t="s">
        <v>9937</v>
      </c>
      <c r="B1015" s="29" t="s">
        <v>9936</v>
      </c>
      <c r="K1015">
        <v>60</v>
      </c>
      <c r="L1015">
        <v>3</v>
      </c>
      <c r="M1015">
        <v>1</v>
      </c>
    </row>
    <row r="1016" spans="1:13" x14ac:dyDescent="0.25">
      <c r="A1016" s="29" t="s">
        <v>9935</v>
      </c>
      <c r="B1016" t="s">
        <v>9934</v>
      </c>
      <c r="H1016">
        <v>4</v>
      </c>
      <c r="I1016">
        <v>2</v>
      </c>
      <c r="K1016">
        <v>60</v>
      </c>
      <c r="L1016">
        <v>5</v>
      </c>
    </row>
    <row r="1017" spans="1:13" x14ac:dyDescent="0.25">
      <c r="A1017" s="29" t="s">
        <v>9933</v>
      </c>
      <c r="B1017" t="s">
        <v>9932</v>
      </c>
      <c r="K1017">
        <v>60</v>
      </c>
      <c r="L1017">
        <v>5</v>
      </c>
    </row>
    <row r="1018" spans="1:13" x14ac:dyDescent="0.25">
      <c r="A1018" s="29" t="s">
        <v>9931</v>
      </c>
      <c r="B1018" t="s">
        <v>9930</v>
      </c>
      <c r="K1018">
        <v>60</v>
      </c>
      <c r="L1018">
        <v>5</v>
      </c>
    </row>
    <row r="1019" spans="1:13" x14ac:dyDescent="0.25">
      <c r="A1019" s="29" t="s">
        <v>9929</v>
      </c>
      <c r="B1019" t="s">
        <v>9928</v>
      </c>
      <c r="H1019">
        <v>4</v>
      </c>
      <c r="I1019">
        <v>2</v>
      </c>
      <c r="K1019">
        <v>60</v>
      </c>
      <c r="L1019">
        <v>5</v>
      </c>
    </row>
    <row r="1020" spans="1:13" x14ac:dyDescent="0.25">
      <c r="A1020" s="29" t="s">
        <v>9927</v>
      </c>
      <c r="B1020" s="29" t="s">
        <v>9926</v>
      </c>
      <c r="H1020">
        <v>3</v>
      </c>
      <c r="K1020">
        <v>60</v>
      </c>
      <c r="L1020">
        <v>5</v>
      </c>
    </row>
    <row r="1021" spans="1:13" x14ac:dyDescent="0.25">
      <c r="A1021" s="29" t="s">
        <v>9925</v>
      </c>
      <c r="B1021" t="s">
        <v>9924</v>
      </c>
      <c r="H1021">
        <v>4</v>
      </c>
      <c r="I1021">
        <v>2</v>
      </c>
      <c r="K1021">
        <v>60</v>
      </c>
      <c r="L1021">
        <v>5</v>
      </c>
    </row>
    <row r="1022" spans="1:13" x14ac:dyDescent="0.25">
      <c r="A1022" s="29" t="s">
        <v>9923</v>
      </c>
      <c r="B1022" s="29" t="s">
        <v>9922</v>
      </c>
      <c r="J1022">
        <v>2</v>
      </c>
      <c r="K1022">
        <v>60</v>
      </c>
      <c r="L1022">
        <v>5</v>
      </c>
      <c r="M1022">
        <v>1</v>
      </c>
    </row>
    <row r="1023" spans="1:13" x14ac:dyDescent="0.25">
      <c r="A1023" s="29" t="s">
        <v>9921</v>
      </c>
      <c r="B1023" t="s">
        <v>9920</v>
      </c>
      <c r="J1023">
        <v>2</v>
      </c>
      <c r="L1023">
        <v>5</v>
      </c>
      <c r="M1023">
        <v>1</v>
      </c>
    </row>
    <row r="1024" spans="1:13" x14ac:dyDescent="0.25">
      <c r="A1024" s="29" t="s">
        <v>9919</v>
      </c>
      <c r="B1024" t="s">
        <v>9918</v>
      </c>
      <c r="H1024">
        <v>3</v>
      </c>
      <c r="L1024">
        <v>5</v>
      </c>
    </row>
    <row r="1025" spans="1:13" x14ac:dyDescent="0.25">
      <c r="A1025" s="29" t="s">
        <v>9917</v>
      </c>
      <c r="B1025" s="29" t="s">
        <v>9916</v>
      </c>
      <c r="H1025">
        <v>3</v>
      </c>
      <c r="L1025">
        <v>5</v>
      </c>
    </row>
    <row r="1026" spans="1:13" x14ac:dyDescent="0.25">
      <c r="A1026" s="29" t="s">
        <v>9915</v>
      </c>
      <c r="B1026" s="29" t="s">
        <v>9914</v>
      </c>
      <c r="H1026">
        <v>3</v>
      </c>
      <c r="L1026">
        <v>5</v>
      </c>
    </row>
    <row r="1027" spans="1:13" x14ac:dyDescent="0.25">
      <c r="A1027" s="29" t="s">
        <v>9913</v>
      </c>
      <c r="B1027" t="s">
        <v>9553</v>
      </c>
      <c r="H1027">
        <v>3</v>
      </c>
      <c r="K1027">
        <v>60</v>
      </c>
      <c r="L1027">
        <v>5</v>
      </c>
    </row>
    <row r="1028" spans="1:13" x14ac:dyDescent="0.25">
      <c r="A1028" s="29" t="s">
        <v>9912</v>
      </c>
      <c r="B1028" s="29" t="s">
        <v>9911</v>
      </c>
      <c r="H1028">
        <v>3</v>
      </c>
      <c r="K1028">
        <v>60</v>
      </c>
      <c r="L1028">
        <v>5</v>
      </c>
    </row>
    <row r="1029" spans="1:13" x14ac:dyDescent="0.25">
      <c r="A1029" s="29" t="s">
        <v>9910</v>
      </c>
      <c r="B1029" t="s">
        <v>9909</v>
      </c>
      <c r="K1029">
        <v>60</v>
      </c>
      <c r="L1029">
        <v>5</v>
      </c>
    </row>
    <row r="1030" spans="1:13" x14ac:dyDescent="0.25">
      <c r="A1030" s="29" t="s">
        <v>9908</v>
      </c>
      <c r="B1030" t="s">
        <v>9907</v>
      </c>
      <c r="K1030">
        <v>60</v>
      </c>
      <c r="L1030">
        <v>5</v>
      </c>
    </row>
    <row r="1031" spans="1:13" x14ac:dyDescent="0.25">
      <c r="A1031" s="29" t="s">
        <v>9906</v>
      </c>
      <c r="B1031" t="s">
        <v>9905</v>
      </c>
      <c r="L1031">
        <v>14</v>
      </c>
      <c r="M1031">
        <v>1</v>
      </c>
    </row>
    <row r="1032" spans="1:13" x14ac:dyDescent="0.25">
      <c r="A1032" s="29" t="s">
        <v>9904</v>
      </c>
      <c r="B1032" s="29" t="s">
        <v>9903</v>
      </c>
      <c r="H1032">
        <v>3</v>
      </c>
      <c r="J1032">
        <v>2</v>
      </c>
      <c r="L1032">
        <v>5</v>
      </c>
    </row>
    <row r="1033" spans="1:13" x14ac:dyDescent="0.25">
      <c r="A1033" s="29" t="s">
        <v>9902</v>
      </c>
      <c r="B1033" s="29" t="s">
        <v>9901</v>
      </c>
      <c r="H1033">
        <v>3</v>
      </c>
      <c r="J1033">
        <v>2</v>
      </c>
      <c r="L1033">
        <v>5</v>
      </c>
    </row>
    <row r="1034" spans="1:13" x14ac:dyDescent="0.25">
      <c r="A1034" s="29" t="s">
        <v>9900</v>
      </c>
      <c r="B1034" t="s">
        <v>9899</v>
      </c>
      <c r="K1034">
        <v>60</v>
      </c>
      <c r="L1034">
        <v>5</v>
      </c>
    </row>
    <row r="1035" spans="1:13" x14ac:dyDescent="0.25">
      <c r="A1035" s="29" t="s">
        <v>9898</v>
      </c>
      <c r="B1035" t="s">
        <v>9897</v>
      </c>
      <c r="H1035">
        <v>3</v>
      </c>
      <c r="K1035">
        <v>60</v>
      </c>
      <c r="L1035">
        <v>5</v>
      </c>
    </row>
    <row r="1036" spans="1:13" x14ac:dyDescent="0.25">
      <c r="A1036" s="29" t="s">
        <v>9896</v>
      </c>
      <c r="B1036" t="s">
        <v>9895</v>
      </c>
      <c r="H1036">
        <v>3</v>
      </c>
      <c r="K1036">
        <v>60</v>
      </c>
      <c r="L1036">
        <v>5</v>
      </c>
    </row>
    <row r="1037" spans="1:13" x14ac:dyDescent="0.25">
      <c r="A1037" s="29" t="s">
        <v>9894</v>
      </c>
      <c r="B1037" t="s">
        <v>9893</v>
      </c>
      <c r="L1037">
        <v>5</v>
      </c>
    </row>
    <row r="1038" spans="1:13" x14ac:dyDescent="0.25">
      <c r="A1038" s="29" t="s">
        <v>9892</v>
      </c>
      <c r="B1038" t="s">
        <v>9891</v>
      </c>
      <c r="H1038">
        <v>3</v>
      </c>
      <c r="K1038">
        <v>60</v>
      </c>
      <c r="L1038">
        <v>5</v>
      </c>
    </row>
    <row r="1039" spans="1:13" x14ac:dyDescent="0.25">
      <c r="A1039" s="29" t="s">
        <v>9890</v>
      </c>
      <c r="B1039" s="29" t="s">
        <v>9889</v>
      </c>
      <c r="H1039">
        <v>3</v>
      </c>
      <c r="I1039">
        <v>2</v>
      </c>
      <c r="K1039">
        <v>60</v>
      </c>
      <c r="L1039">
        <v>5</v>
      </c>
    </row>
    <row r="1040" spans="1:13" x14ac:dyDescent="0.25">
      <c r="A1040" s="29" t="s">
        <v>9888</v>
      </c>
      <c r="B1040" t="s">
        <v>9887</v>
      </c>
      <c r="L1040">
        <v>5</v>
      </c>
    </row>
    <row r="1041" spans="1:12" x14ac:dyDescent="0.25">
      <c r="A1041" s="29" t="s">
        <v>9886</v>
      </c>
      <c r="B1041" s="29" t="s">
        <v>9885</v>
      </c>
      <c r="L1041">
        <v>5</v>
      </c>
    </row>
    <row r="1042" spans="1:12" x14ac:dyDescent="0.25">
      <c r="A1042" s="29" t="s">
        <v>9884</v>
      </c>
      <c r="B1042" t="s">
        <v>9883</v>
      </c>
      <c r="H1042">
        <v>3</v>
      </c>
      <c r="K1042">
        <v>60</v>
      </c>
      <c r="L1042">
        <v>5</v>
      </c>
    </row>
    <row r="1043" spans="1:12" x14ac:dyDescent="0.25">
      <c r="A1043" s="29" t="s">
        <v>9882</v>
      </c>
      <c r="B1043" t="s">
        <v>9881</v>
      </c>
      <c r="L1043">
        <v>5</v>
      </c>
    </row>
    <row r="1044" spans="1:12" x14ac:dyDescent="0.25">
      <c r="A1044" s="29" t="s">
        <v>9880</v>
      </c>
      <c r="B1044" t="s">
        <v>9879</v>
      </c>
      <c r="D1044" s="29" t="s">
        <v>9874</v>
      </c>
      <c r="H1044">
        <v>3</v>
      </c>
      <c r="L1044">
        <v>5</v>
      </c>
    </row>
    <row r="1045" spans="1:12" x14ac:dyDescent="0.25">
      <c r="A1045" s="29" t="s">
        <v>9878</v>
      </c>
      <c r="B1045" s="29" t="s">
        <v>9877</v>
      </c>
      <c r="D1045" s="29" t="s">
        <v>9874</v>
      </c>
      <c r="H1045">
        <v>3</v>
      </c>
      <c r="L1045">
        <v>5</v>
      </c>
    </row>
    <row r="1046" spans="1:12" x14ac:dyDescent="0.25">
      <c r="A1046" s="29" t="s">
        <v>9876</v>
      </c>
      <c r="B1046" s="29" t="s">
        <v>9875</v>
      </c>
      <c r="D1046" s="29" t="s">
        <v>9874</v>
      </c>
      <c r="H1046">
        <v>3</v>
      </c>
      <c r="L1046">
        <v>5</v>
      </c>
    </row>
    <row r="1047" spans="1:12" x14ac:dyDescent="0.25">
      <c r="A1047" s="29" t="s">
        <v>9873</v>
      </c>
      <c r="B1047" t="s">
        <v>9872</v>
      </c>
      <c r="D1047" s="29"/>
      <c r="K1047">
        <v>60</v>
      </c>
      <c r="L1047">
        <v>5</v>
      </c>
    </row>
    <row r="1048" spans="1:12" x14ac:dyDescent="0.25">
      <c r="A1048" s="29" t="s">
        <v>9871</v>
      </c>
      <c r="B1048" t="s">
        <v>9870</v>
      </c>
      <c r="H1048">
        <v>3</v>
      </c>
      <c r="K1048">
        <v>60</v>
      </c>
      <c r="L1048">
        <v>5</v>
      </c>
    </row>
    <row r="1049" spans="1:12" x14ac:dyDescent="0.25">
      <c r="A1049" s="29" t="s">
        <v>9869</v>
      </c>
      <c r="B1049" s="29" t="s">
        <v>9868</v>
      </c>
      <c r="D1049" s="29" t="s">
        <v>9867</v>
      </c>
      <c r="L1049">
        <v>5</v>
      </c>
    </row>
    <row r="1050" spans="1:12" x14ac:dyDescent="0.25">
      <c r="A1050" s="29" t="s">
        <v>9866</v>
      </c>
      <c r="B1050" t="s">
        <v>9865</v>
      </c>
      <c r="D1050" s="29"/>
      <c r="L1050">
        <v>5</v>
      </c>
    </row>
    <row r="1051" spans="1:12" x14ac:dyDescent="0.25">
      <c r="A1051" s="29" t="s">
        <v>9864</v>
      </c>
      <c r="B1051" t="s">
        <v>9863</v>
      </c>
      <c r="H1051">
        <v>3</v>
      </c>
      <c r="I1051">
        <v>2</v>
      </c>
      <c r="K1051">
        <v>60</v>
      </c>
      <c r="L1051">
        <v>5</v>
      </c>
    </row>
    <row r="1052" spans="1:12" x14ac:dyDescent="0.25">
      <c r="A1052" s="29" t="s">
        <v>9862</v>
      </c>
      <c r="B1052" t="s">
        <v>9861</v>
      </c>
      <c r="L1052">
        <v>5</v>
      </c>
    </row>
    <row r="1053" spans="1:12" x14ac:dyDescent="0.25">
      <c r="A1053" s="29" t="s">
        <v>9860</v>
      </c>
      <c r="B1053" s="29" t="s">
        <v>9859</v>
      </c>
      <c r="H1053">
        <v>3</v>
      </c>
      <c r="K1053">
        <v>60</v>
      </c>
      <c r="L1053">
        <v>5</v>
      </c>
    </row>
    <row r="1054" spans="1:12" x14ac:dyDescent="0.25">
      <c r="A1054" s="29" t="s">
        <v>9858</v>
      </c>
      <c r="B1054" t="s">
        <v>9857</v>
      </c>
      <c r="H1054">
        <v>3</v>
      </c>
      <c r="K1054">
        <v>60</v>
      </c>
      <c r="L1054">
        <v>5</v>
      </c>
    </row>
    <row r="1055" spans="1:12" x14ac:dyDescent="0.25">
      <c r="A1055" s="29" t="s">
        <v>9856</v>
      </c>
      <c r="B1055" t="s">
        <v>9855</v>
      </c>
      <c r="L1055">
        <v>5</v>
      </c>
    </row>
    <row r="1056" spans="1:12" x14ac:dyDescent="0.25">
      <c r="A1056" s="29" t="s">
        <v>9854</v>
      </c>
      <c r="B1056" t="s">
        <v>9853</v>
      </c>
      <c r="K1056">
        <v>60</v>
      </c>
      <c r="L1056">
        <v>5</v>
      </c>
    </row>
    <row r="1057" spans="1:12" x14ac:dyDescent="0.25">
      <c r="A1057" s="29" t="s">
        <v>9852</v>
      </c>
      <c r="B1057" t="s">
        <v>9851</v>
      </c>
      <c r="L1057">
        <v>5</v>
      </c>
    </row>
    <row r="1058" spans="1:12" x14ac:dyDescent="0.25">
      <c r="A1058" s="29" t="s">
        <v>9850</v>
      </c>
      <c r="B1058" t="s">
        <v>9849</v>
      </c>
      <c r="H1058">
        <v>3</v>
      </c>
      <c r="J1058">
        <v>2</v>
      </c>
      <c r="L1058">
        <v>5</v>
      </c>
    </row>
    <row r="1059" spans="1:12" x14ac:dyDescent="0.25">
      <c r="A1059" s="29" t="s">
        <v>9848</v>
      </c>
      <c r="B1059" s="29" t="s">
        <v>9847</v>
      </c>
      <c r="J1059">
        <v>2</v>
      </c>
      <c r="L1059">
        <v>5</v>
      </c>
    </row>
    <row r="1060" spans="1:12" x14ac:dyDescent="0.25">
      <c r="A1060" s="29" t="s">
        <v>9846</v>
      </c>
      <c r="B1060" s="29" t="s">
        <v>9845</v>
      </c>
      <c r="D1060" s="29" t="s">
        <v>9844</v>
      </c>
      <c r="L1060">
        <v>5</v>
      </c>
    </row>
    <row r="1061" spans="1:12" x14ac:dyDescent="0.25">
      <c r="A1061" s="29" t="s">
        <v>9843</v>
      </c>
      <c r="B1061" t="s">
        <v>9842</v>
      </c>
      <c r="K1061">
        <v>60</v>
      </c>
      <c r="L1061">
        <v>5</v>
      </c>
    </row>
    <row r="1062" spans="1:12" x14ac:dyDescent="0.25">
      <c r="A1062" s="29" t="s">
        <v>9841</v>
      </c>
      <c r="B1062" t="s">
        <v>9840</v>
      </c>
      <c r="K1062">
        <v>60</v>
      </c>
      <c r="L1062">
        <v>5</v>
      </c>
    </row>
    <row r="1063" spans="1:12" x14ac:dyDescent="0.25">
      <c r="A1063" s="29" t="s">
        <v>9839</v>
      </c>
      <c r="B1063" t="s">
        <v>9838</v>
      </c>
      <c r="K1063">
        <v>60</v>
      </c>
      <c r="L1063">
        <v>5</v>
      </c>
    </row>
    <row r="1064" spans="1:12" x14ac:dyDescent="0.25">
      <c r="A1064" s="29" t="s">
        <v>9837</v>
      </c>
      <c r="B1064" t="s">
        <v>9836</v>
      </c>
      <c r="H1064">
        <v>3</v>
      </c>
      <c r="K1064">
        <v>60</v>
      </c>
      <c r="L1064">
        <v>5</v>
      </c>
    </row>
    <row r="1065" spans="1:12" x14ac:dyDescent="0.25">
      <c r="A1065" s="29" t="s">
        <v>9835</v>
      </c>
      <c r="B1065" s="29" t="s">
        <v>9834</v>
      </c>
      <c r="H1065">
        <v>3</v>
      </c>
      <c r="K1065">
        <v>60</v>
      </c>
      <c r="L1065">
        <v>5</v>
      </c>
    </row>
    <row r="1066" spans="1:12" x14ac:dyDescent="0.25">
      <c r="A1066" t="s">
        <v>9833</v>
      </c>
      <c r="B1066" t="s">
        <v>9385</v>
      </c>
      <c r="D1066" t="s">
        <v>9311</v>
      </c>
      <c r="J1066">
        <v>2</v>
      </c>
      <c r="L1066">
        <v>5</v>
      </c>
    </row>
    <row r="1067" spans="1:12" x14ac:dyDescent="0.25">
      <c r="A1067" s="29" t="s">
        <v>9832</v>
      </c>
      <c r="B1067" s="29" t="s">
        <v>9831</v>
      </c>
    </row>
    <row r="1068" spans="1:12" x14ac:dyDescent="0.25">
      <c r="A1068" s="29" t="s">
        <v>9830</v>
      </c>
      <c r="B1068" s="29" t="s">
        <v>9829</v>
      </c>
      <c r="H1068">
        <v>3</v>
      </c>
      <c r="K1068">
        <v>60</v>
      </c>
      <c r="L1068">
        <v>5</v>
      </c>
    </row>
    <row r="1069" spans="1:12" x14ac:dyDescent="0.25">
      <c r="A1069" s="29" t="s">
        <v>9828</v>
      </c>
      <c r="B1069" t="s">
        <v>9827</v>
      </c>
      <c r="H1069">
        <v>3</v>
      </c>
      <c r="I1069">
        <v>2</v>
      </c>
      <c r="K1069">
        <v>60</v>
      </c>
      <c r="L1069">
        <v>5</v>
      </c>
    </row>
    <row r="1070" spans="1:12" x14ac:dyDescent="0.25">
      <c r="A1070" s="29" t="s">
        <v>9826</v>
      </c>
      <c r="B1070" s="29" t="s">
        <v>9825</v>
      </c>
      <c r="H1070">
        <v>4</v>
      </c>
      <c r="I1070">
        <v>2</v>
      </c>
      <c r="K1070">
        <v>60</v>
      </c>
      <c r="L1070">
        <v>5</v>
      </c>
    </row>
    <row r="1071" spans="1:12" x14ac:dyDescent="0.25">
      <c r="A1071" s="29" t="s">
        <v>9824</v>
      </c>
      <c r="B1071" t="s">
        <v>9823</v>
      </c>
      <c r="H1071">
        <v>3</v>
      </c>
      <c r="I1071">
        <v>2</v>
      </c>
      <c r="K1071">
        <v>60</v>
      </c>
      <c r="L1071">
        <v>5</v>
      </c>
    </row>
    <row r="1072" spans="1:12" x14ac:dyDescent="0.25">
      <c r="A1072" s="29" t="s">
        <v>9822</v>
      </c>
      <c r="B1072" t="s">
        <v>9821</v>
      </c>
      <c r="K1072">
        <v>60</v>
      </c>
      <c r="L1072">
        <v>5</v>
      </c>
    </row>
    <row r="1073" spans="1:12" x14ac:dyDescent="0.25">
      <c r="A1073" s="29" t="s">
        <v>9820</v>
      </c>
      <c r="B1073" t="s">
        <v>9819</v>
      </c>
      <c r="H1073">
        <v>4</v>
      </c>
      <c r="I1073">
        <v>2</v>
      </c>
      <c r="K1073">
        <v>60</v>
      </c>
      <c r="L1073">
        <v>5</v>
      </c>
    </row>
    <row r="1074" spans="1:12" x14ac:dyDescent="0.25">
      <c r="A1074" s="29" t="s">
        <v>9818</v>
      </c>
      <c r="B1074" t="s">
        <v>9817</v>
      </c>
      <c r="H1074">
        <v>3</v>
      </c>
      <c r="I1074">
        <v>2</v>
      </c>
      <c r="K1074">
        <v>60</v>
      </c>
      <c r="L1074">
        <v>5</v>
      </c>
    </row>
    <row r="1075" spans="1:12" x14ac:dyDescent="0.25">
      <c r="A1075" s="29" t="s">
        <v>9816</v>
      </c>
      <c r="B1075" t="s">
        <v>9815</v>
      </c>
      <c r="K1075">
        <v>60</v>
      </c>
      <c r="L1075">
        <v>5</v>
      </c>
    </row>
    <row r="1076" spans="1:12" x14ac:dyDescent="0.25">
      <c r="A1076" s="29" t="s">
        <v>9814</v>
      </c>
      <c r="B1076" t="s">
        <v>9813</v>
      </c>
      <c r="H1076">
        <v>3</v>
      </c>
      <c r="L1076">
        <v>5</v>
      </c>
    </row>
    <row r="1077" spans="1:12" x14ac:dyDescent="0.25">
      <c r="A1077" s="29" t="s">
        <v>9812</v>
      </c>
      <c r="B1077" s="29" t="s">
        <v>9811</v>
      </c>
      <c r="H1077">
        <v>3</v>
      </c>
      <c r="I1077">
        <v>2</v>
      </c>
      <c r="K1077">
        <v>60</v>
      </c>
      <c r="L1077">
        <v>5</v>
      </c>
    </row>
    <row r="1078" spans="1:12" x14ac:dyDescent="0.25">
      <c r="A1078" s="29" t="s">
        <v>9810</v>
      </c>
      <c r="B1078" s="29" t="s">
        <v>9809</v>
      </c>
      <c r="H1078">
        <v>3</v>
      </c>
      <c r="K1078">
        <v>40</v>
      </c>
      <c r="L1078">
        <v>5</v>
      </c>
    </row>
    <row r="1079" spans="1:12" x14ac:dyDescent="0.25">
      <c r="A1079" s="29" t="s">
        <v>9808</v>
      </c>
      <c r="B1079" s="29" t="s">
        <v>9807</v>
      </c>
      <c r="D1079" s="29"/>
      <c r="H1079">
        <v>5</v>
      </c>
      <c r="L1079">
        <v>1.5</v>
      </c>
    </row>
    <row r="1080" spans="1:12" x14ac:dyDescent="0.25">
      <c r="A1080" s="29" t="s">
        <v>9806</v>
      </c>
      <c r="B1080" s="29" t="s">
        <v>9805</v>
      </c>
      <c r="H1080">
        <v>8</v>
      </c>
      <c r="L1080">
        <v>5</v>
      </c>
    </row>
    <row r="1081" spans="1:12" x14ac:dyDescent="0.25">
      <c r="A1081" s="29" t="s">
        <v>9804</v>
      </c>
      <c r="B1081" s="29" t="s">
        <v>9803</v>
      </c>
      <c r="H1081">
        <v>3</v>
      </c>
      <c r="L1081">
        <v>5</v>
      </c>
    </row>
    <row r="1082" spans="1:12" x14ac:dyDescent="0.25">
      <c r="A1082" s="29" t="s">
        <v>9802</v>
      </c>
      <c r="B1082" t="s">
        <v>9801</v>
      </c>
      <c r="H1082">
        <v>3</v>
      </c>
      <c r="L1082">
        <v>5</v>
      </c>
    </row>
    <row r="1083" spans="1:12" x14ac:dyDescent="0.25">
      <c r="A1083" s="29" t="s">
        <v>9800</v>
      </c>
      <c r="B1083" s="29" t="s">
        <v>9799</v>
      </c>
      <c r="H1083">
        <v>3</v>
      </c>
      <c r="L1083">
        <v>5</v>
      </c>
    </row>
    <row r="1084" spans="1:12" x14ac:dyDescent="0.25">
      <c r="A1084" s="29" t="s">
        <v>9798</v>
      </c>
      <c r="B1084" t="s">
        <v>9797</v>
      </c>
      <c r="H1084">
        <v>3</v>
      </c>
      <c r="L1084">
        <v>5</v>
      </c>
    </row>
    <row r="1085" spans="1:12" x14ac:dyDescent="0.25">
      <c r="A1085" s="29" t="s">
        <v>9796</v>
      </c>
      <c r="B1085" s="29" t="s">
        <v>9795</v>
      </c>
      <c r="H1085">
        <v>3</v>
      </c>
      <c r="L1085">
        <v>5</v>
      </c>
    </row>
    <row r="1086" spans="1:12" x14ac:dyDescent="0.25">
      <c r="A1086" s="29" t="s">
        <v>9794</v>
      </c>
      <c r="B1086" t="s">
        <v>9793</v>
      </c>
      <c r="H1086">
        <v>4</v>
      </c>
      <c r="I1086">
        <v>2</v>
      </c>
      <c r="K1086">
        <v>60</v>
      </c>
      <c r="L1086">
        <v>5</v>
      </c>
    </row>
    <row r="1087" spans="1:12" x14ac:dyDescent="0.25">
      <c r="A1087" s="29" t="s">
        <v>9792</v>
      </c>
      <c r="B1087" t="s">
        <v>9791</v>
      </c>
      <c r="H1087">
        <v>3</v>
      </c>
      <c r="L1087">
        <v>5</v>
      </c>
    </row>
    <row r="1089" spans="1:12" x14ac:dyDescent="0.25">
      <c r="A1089" t="s">
        <v>7189</v>
      </c>
      <c r="B1089" t="s">
        <v>11217</v>
      </c>
      <c r="I1089">
        <v>2</v>
      </c>
      <c r="K1089">
        <v>60</v>
      </c>
      <c r="L1089">
        <v>0.2</v>
      </c>
    </row>
    <row r="1090" spans="1:12" x14ac:dyDescent="0.25">
      <c r="A1090" t="s">
        <v>7198</v>
      </c>
      <c r="B1090" t="s">
        <v>11219</v>
      </c>
      <c r="I1090">
        <v>2</v>
      </c>
      <c r="K1090">
        <v>60</v>
      </c>
      <c r="L1090">
        <v>0.2</v>
      </c>
    </row>
    <row r="1091" spans="1:12" x14ac:dyDescent="0.25">
      <c r="A1091" t="s">
        <v>7409</v>
      </c>
      <c r="B1091" t="s">
        <v>11218</v>
      </c>
      <c r="I1091">
        <v>2</v>
      </c>
      <c r="K1091">
        <v>60</v>
      </c>
      <c r="L1091">
        <v>0.2</v>
      </c>
    </row>
    <row r="1092" spans="1:12" x14ac:dyDescent="0.25">
      <c r="A1092" t="s">
        <v>9021</v>
      </c>
      <c r="B1092" t="s">
        <v>11220</v>
      </c>
      <c r="I1092">
        <v>1</v>
      </c>
      <c r="K1092">
        <v>60</v>
      </c>
    </row>
    <row r="1093" spans="1:12" x14ac:dyDescent="0.25">
      <c r="A1093" t="s">
        <v>9019</v>
      </c>
      <c r="B1093" t="s">
        <v>11221</v>
      </c>
      <c r="D1093" t="s">
        <v>9307</v>
      </c>
      <c r="I1093">
        <v>1</v>
      </c>
      <c r="K1093">
        <v>60</v>
      </c>
    </row>
    <row r="1094" spans="1:12" x14ac:dyDescent="0.25">
      <c r="A1094" t="s">
        <v>7993</v>
      </c>
      <c r="B1094" t="s">
        <v>11222</v>
      </c>
      <c r="I1094">
        <v>2</v>
      </c>
      <c r="K1094">
        <v>60</v>
      </c>
      <c r="L1094">
        <v>0.2</v>
      </c>
    </row>
    <row r="1095" spans="1:12" x14ac:dyDescent="0.25">
      <c r="A1095" t="s">
        <v>7997</v>
      </c>
      <c r="B1095" t="s">
        <v>11223</v>
      </c>
      <c r="I1095">
        <v>2</v>
      </c>
      <c r="K1095">
        <v>60</v>
      </c>
      <c r="L1095">
        <v>0.2</v>
      </c>
    </row>
    <row r="1096" spans="1:12" x14ac:dyDescent="0.25">
      <c r="A1096" t="s">
        <v>8012</v>
      </c>
      <c r="B1096" t="s">
        <v>11224</v>
      </c>
      <c r="I1096">
        <v>2</v>
      </c>
      <c r="K1096">
        <v>60</v>
      </c>
      <c r="L1096">
        <v>5</v>
      </c>
    </row>
    <row r="1097" spans="1:12" x14ac:dyDescent="0.25">
      <c r="A1097" t="s">
        <v>8988</v>
      </c>
      <c r="B1097" t="s">
        <v>11225</v>
      </c>
      <c r="E1097" t="s">
        <v>7049</v>
      </c>
      <c r="F1097">
        <v>1</v>
      </c>
      <c r="H1097">
        <v>2</v>
      </c>
      <c r="I1097">
        <v>1</v>
      </c>
    </row>
    <row r="1098" spans="1:12" x14ac:dyDescent="0.25">
      <c r="A1098" t="s">
        <v>8017</v>
      </c>
      <c r="B1098" t="s">
        <v>11226</v>
      </c>
      <c r="I1098">
        <v>2</v>
      </c>
      <c r="K1098">
        <v>60</v>
      </c>
      <c r="L1098">
        <v>0.2</v>
      </c>
    </row>
  </sheetData>
  <phoneticPr fontId="18"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3" topLeftCell="B4" activePane="bottomRight" state="frozen"/>
      <selection pane="topRight" activeCell="B1" sqref="B1"/>
      <selection pane="bottomLeft" activeCell="A4" sqref="A4"/>
      <selection pane="bottomRight" activeCell="A3" sqref="A3:XFD3"/>
    </sheetView>
  </sheetViews>
  <sheetFormatPr defaultColWidth="9" defaultRowHeight="14.05" x14ac:dyDescent="0.25"/>
  <cols>
    <col min="1" max="1" width="19.08203125" style="1" customWidth="1"/>
    <col min="2" max="2" width="16.25" style="1" customWidth="1"/>
    <col min="3" max="3" width="16.33203125" style="1" customWidth="1"/>
    <col min="4" max="4" width="47.83203125" style="1" customWidth="1"/>
    <col min="5" max="5" width="10.25" style="1" customWidth="1"/>
    <col min="6" max="6" width="12.83203125" style="1" customWidth="1"/>
    <col min="7" max="9" width="9" style="1"/>
    <col min="10" max="10" width="11.83203125" style="1" customWidth="1"/>
    <col min="11" max="16384" width="9" style="1"/>
  </cols>
  <sheetData>
    <row r="2" spans="1:10" x14ac:dyDescent="0.25">
      <c r="A2" s="1" t="s">
        <v>0</v>
      </c>
      <c r="B2" s="1" t="s">
        <v>6751</v>
      </c>
      <c r="C2" s="1" t="s">
        <v>153</v>
      </c>
      <c r="D2" s="1" t="s">
        <v>9554</v>
      </c>
      <c r="E2" s="1" t="s">
        <v>9555</v>
      </c>
      <c r="F2" s="1" t="s">
        <v>155</v>
      </c>
      <c r="G2" s="1" t="s">
        <v>9556</v>
      </c>
      <c r="H2" s="1" t="s">
        <v>6778</v>
      </c>
      <c r="I2" s="1" t="s">
        <v>9557</v>
      </c>
      <c r="J2" s="1" t="s">
        <v>131</v>
      </c>
    </row>
    <row r="3" spans="1:10" x14ac:dyDescent="0.25">
      <c r="A3" s="1" t="s">
        <v>2</v>
      </c>
      <c r="B3" s="1" t="s">
        <v>2</v>
      </c>
      <c r="C3" s="1" t="s">
        <v>2</v>
      </c>
      <c r="D3" s="1" t="s">
        <v>2</v>
      </c>
      <c r="E3" s="1" t="s">
        <v>192</v>
      </c>
      <c r="F3" s="1" t="s">
        <v>193</v>
      </c>
      <c r="G3" s="1" t="s">
        <v>192</v>
      </c>
      <c r="H3" s="1" t="s">
        <v>9558</v>
      </c>
      <c r="I3" s="1" t="s">
        <v>192</v>
      </c>
      <c r="J3" s="1" t="s">
        <v>192</v>
      </c>
    </row>
    <row r="4" spans="1:10" x14ac:dyDescent="0.25">
      <c r="A4" s="1" t="s">
        <v>9559</v>
      </c>
      <c r="B4" s="1" t="s">
        <v>9560</v>
      </c>
      <c r="C4" s="1" t="s">
        <v>9560</v>
      </c>
    </row>
    <row r="5" spans="1:10" x14ac:dyDescent="0.25">
      <c r="A5" s="1" t="s">
        <v>9561</v>
      </c>
      <c r="B5" s="1" t="s">
        <v>9562</v>
      </c>
      <c r="C5" s="1" t="s">
        <v>9562</v>
      </c>
      <c r="F5" s="1" t="s">
        <v>8693</v>
      </c>
    </row>
    <row r="6" spans="1:10" x14ac:dyDescent="0.25">
      <c r="A6" s="1" t="s">
        <v>9563</v>
      </c>
      <c r="B6" s="1" t="s">
        <v>9564</v>
      </c>
      <c r="C6" s="1" t="s">
        <v>9564</v>
      </c>
    </row>
    <row r="8" spans="1:10" x14ac:dyDescent="0.25">
      <c r="A8" s="1" t="s">
        <v>9565</v>
      </c>
      <c r="B8" s="1" t="s">
        <v>9565</v>
      </c>
      <c r="C8" s="1" t="s">
        <v>9565</v>
      </c>
      <c r="D8" s="1" t="s">
        <v>9566</v>
      </c>
      <c r="F8" s="1" t="s">
        <v>8694</v>
      </c>
      <c r="J8" s="1">
        <v>-1</v>
      </c>
    </row>
    <row r="9" spans="1:10" x14ac:dyDescent="0.25">
      <c r="A9" s="1" t="s">
        <v>9567</v>
      </c>
      <c r="B9" s="1" t="s">
        <v>9567</v>
      </c>
      <c r="C9" s="1" t="s">
        <v>9567</v>
      </c>
      <c r="D9" s="1" t="s">
        <v>9568</v>
      </c>
      <c r="F9" s="1" t="s">
        <v>8696</v>
      </c>
      <c r="J9" s="1">
        <v>-1</v>
      </c>
    </row>
    <row r="10" spans="1:10" x14ac:dyDescent="0.25">
      <c r="A10" s="1" t="s">
        <v>9569</v>
      </c>
      <c r="B10" s="1" t="s">
        <v>9569</v>
      </c>
      <c r="C10" s="1" t="s">
        <v>9569</v>
      </c>
      <c r="D10" s="1" t="s">
        <v>9570</v>
      </c>
      <c r="F10" s="1" t="s">
        <v>8698</v>
      </c>
      <c r="J10" s="1">
        <v>-1</v>
      </c>
    </row>
    <row r="11" spans="1:10" x14ac:dyDescent="0.25">
      <c r="A11" s="1" t="s">
        <v>9571</v>
      </c>
      <c r="B11" s="1" t="s">
        <v>9571</v>
      </c>
      <c r="C11" s="1" t="s">
        <v>9571</v>
      </c>
      <c r="D11" s="1" t="s">
        <v>9572</v>
      </c>
      <c r="F11" s="1" t="s">
        <v>8699</v>
      </c>
      <c r="J11" s="1">
        <v>-1</v>
      </c>
    </row>
    <row r="12" spans="1:10" x14ac:dyDescent="0.25">
      <c r="A12" s="1" t="s">
        <v>9573</v>
      </c>
      <c r="B12" s="1" t="s">
        <v>9573</v>
      </c>
      <c r="C12" s="1" t="s">
        <v>9573</v>
      </c>
      <c r="D12" s="1" t="s">
        <v>9574</v>
      </c>
      <c r="F12" s="1" t="s">
        <v>8701</v>
      </c>
      <c r="J12" s="1">
        <v>-1</v>
      </c>
    </row>
    <row r="13" spans="1:10" x14ac:dyDescent="0.25">
      <c r="A13" s="1" t="s">
        <v>9575</v>
      </c>
      <c r="B13" s="1" t="s">
        <v>9573</v>
      </c>
      <c r="C13" s="1" t="s">
        <v>9575</v>
      </c>
      <c r="D13" s="1" t="s">
        <v>9576</v>
      </c>
      <c r="F13" s="1" t="s">
        <v>8702</v>
      </c>
      <c r="J13" s="1">
        <v>-1</v>
      </c>
    </row>
    <row r="17" spans="1:10" x14ac:dyDescent="0.25">
      <c r="A17" s="1" t="s">
        <v>9577</v>
      </c>
      <c r="B17" s="1" t="s">
        <v>9577</v>
      </c>
      <c r="C17" s="1" t="s">
        <v>9577</v>
      </c>
      <c r="D17" s="1" t="s">
        <v>9578</v>
      </c>
      <c r="E17" s="1">
        <v>1</v>
      </c>
      <c r="F17" s="1" t="s">
        <v>8704</v>
      </c>
      <c r="J17" s="1">
        <v>1</v>
      </c>
    </row>
    <row r="18" spans="1:10" x14ac:dyDescent="0.25">
      <c r="A18" s="1" t="s">
        <v>9579</v>
      </c>
      <c r="B18" s="1" t="s">
        <v>9579</v>
      </c>
      <c r="C18" s="1" t="s">
        <v>9579</v>
      </c>
      <c r="D18" s="1" t="s">
        <v>9580</v>
      </c>
      <c r="E18" s="1">
        <v>1</v>
      </c>
      <c r="F18" s="1" t="s">
        <v>8705</v>
      </c>
      <c r="J18" s="1">
        <v>2</v>
      </c>
    </row>
    <row r="19" spans="1:10" x14ac:dyDescent="0.25">
      <c r="A19" s="1" t="s">
        <v>9581</v>
      </c>
      <c r="B19" s="1" t="s">
        <v>9581</v>
      </c>
      <c r="C19" s="1" t="s">
        <v>9581</v>
      </c>
      <c r="D19" s="1" t="s">
        <v>9582</v>
      </c>
      <c r="E19" s="1">
        <v>1</v>
      </c>
      <c r="F19" s="1" t="s">
        <v>8706</v>
      </c>
      <c r="J19" s="1">
        <v>3</v>
      </c>
    </row>
    <row r="20" spans="1:10" x14ac:dyDescent="0.25">
      <c r="A20" s="1" t="s">
        <v>9583</v>
      </c>
      <c r="B20" s="1" t="s">
        <v>9583</v>
      </c>
      <c r="C20" s="1" t="s">
        <v>9583</v>
      </c>
      <c r="D20" s="1" t="s">
        <v>9584</v>
      </c>
      <c r="E20" s="1">
        <v>2</v>
      </c>
      <c r="F20" s="1" t="s">
        <v>8707</v>
      </c>
      <c r="J20" s="1">
        <v>1</v>
      </c>
    </row>
    <row r="21" spans="1:10" x14ac:dyDescent="0.25">
      <c r="A21" s="1" t="s">
        <v>9585</v>
      </c>
      <c r="B21" s="1" t="s">
        <v>9585</v>
      </c>
      <c r="C21" s="1" t="s">
        <v>9585</v>
      </c>
      <c r="D21" s="1" t="s">
        <v>9586</v>
      </c>
      <c r="E21" s="1">
        <v>2</v>
      </c>
      <c r="F21" s="1" t="s">
        <v>8709</v>
      </c>
      <c r="J21" s="1">
        <v>2</v>
      </c>
    </row>
    <row r="22" spans="1:10" x14ac:dyDescent="0.25">
      <c r="A22" s="1" t="s">
        <v>9587</v>
      </c>
      <c r="B22" s="1" t="s">
        <v>9587</v>
      </c>
      <c r="C22" s="1" t="s">
        <v>9587</v>
      </c>
      <c r="D22" s="1" t="s">
        <v>9588</v>
      </c>
      <c r="E22" s="1">
        <v>2</v>
      </c>
      <c r="F22" s="1" t="s">
        <v>8710</v>
      </c>
      <c r="J22" s="1">
        <v>3</v>
      </c>
    </row>
    <row r="23" spans="1:10" x14ac:dyDescent="0.25">
      <c r="A23" s="1" t="s">
        <v>9589</v>
      </c>
      <c r="B23" s="1" t="s">
        <v>9589</v>
      </c>
      <c r="C23" s="1" t="s">
        <v>9589</v>
      </c>
      <c r="D23" s="1" t="s">
        <v>9590</v>
      </c>
      <c r="E23" s="1">
        <v>3</v>
      </c>
      <c r="F23" s="1" t="s">
        <v>8711</v>
      </c>
      <c r="J23" s="1">
        <v>1</v>
      </c>
    </row>
    <row r="24" spans="1:10" x14ac:dyDescent="0.25">
      <c r="A24" s="1" t="s">
        <v>9591</v>
      </c>
      <c r="B24" s="1" t="s">
        <v>9591</v>
      </c>
      <c r="C24" s="1" t="s">
        <v>9591</v>
      </c>
      <c r="D24" s="1" t="s">
        <v>9592</v>
      </c>
      <c r="E24" s="1">
        <v>3</v>
      </c>
      <c r="F24" s="1" t="s">
        <v>8712</v>
      </c>
      <c r="J24" s="1">
        <v>2</v>
      </c>
    </row>
    <row r="25" spans="1:10" x14ac:dyDescent="0.25">
      <c r="A25" s="1" t="s">
        <v>9593</v>
      </c>
      <c r="B25" s="1" t="s">
        <v>9593</v>
      </c>
      <c r="C25" s="1" t="s">
        <v>9593</v>
      </c>
      <c r="D25" s="1" t="s">
        <v>9594</v>
      </c>
      <c r="E25" s="1">
        <v>3</v>
      </c>
      <c r="F25" s="1" t="s">
        <v>8713</v>
      </c>
      <c r="J25" s="1">
        <v>3</v>
      </c>
    </row>
    <row r="26" spans="1:10" x14ac:dyDescent="0.25">
      <c r="A26" s="1" t="s">
        <v>9595</v>
      </c>
      <c r="B26" s="1" t="s">
        <v>9595</v>
      </c>
      <c r="C26" s="1" t="s">
        <v>9595</v>
      </c>
      <c r="D26" s="1" t="s">
        <v>9596</v>
      </c>
      <c r="E26" s="1">
        <v>4</v>
      </c>
      <c r="F26" s="1" t="s">
        <v>8714</v>
      </c>
      <c r="J26" s="1">
        <v>2</v>
      </c>
    </row>
    <row r="27" spans="1:10" x14ac:dyDescent="0.25">
      <c r="A27" s="1" t="s">
        <v>9562</v>
      </c>
      <c r="B27" s="1" t="s">
        <v>9562</v>
      </c>
      <c r="C27" s="1" t="s">
        <v>9562</v>
      </c>
      <c r="D27" s="1" t="s">
        <v>9597</v>
      </c>
      <c r="E27" s="1">
        <v>5</v>
      </c>
      <c r="F27" s="1" t="s">
        <v>8715</v>
      </c>
      <c r="J27" s="1">
        <v>1</v>
      </c>
    </row>
    <row r="28" spans="1:10" x14ac:dyDescent="0.25">
      <c r="A28" s="1" t="s">
        <v>9598</v>
      </c>
      <c r="B28" s="1" t="s">
        <v>9598</v>
      </c>
      <c r="C28" s="1" t="s">
        <v>9598</v>
      </c>
      <c r="D28" s="1" t="s">
        <v>9599</v>
      </c>
      <c r="E28" s="1">
        <v>5</v>
      </c>
      <c r="F28" s="1" t="s">
        <v>8717</v>
      </c>
      <c r="J28" s="1">
        <v>2</v>
      </c>
    </row>
    <row r="29" spans="1:10" x14ac:dyDescent="0.25">
      <c r="A29" s="1" t="s">
        <v>9600</v>
      </c>
      <c r="B29" s="1" t="s">
        <v>9600</v>
      </c>
      <c r="C29" s="1" t="s">
        <v>9600</v>
      </c>
      <c r="D29" s="1" t="s">
        <v>9601</v>
      </c>
      <c r="E29" s="1">
        <v>6</v>
      </c>
      <c r="F29" s="1" t="s">
        <v>8718</v>
      </c>
      <c r="J29" s="1">
        <v>1</v>
      </c>
    </row>
    <row r="30" spans="1:10" x14ac:dyDescent="0.25">
      <c r="A30" s="1" t="s">
        <v>9560</v>
      </c>
      <c r="B30" s="1" t="s">
        <v>9560</v>
      </c>
      <c r="C30" s="1" t="s">
        <v>9560</v>
      </c>
      <c r="D30" s="1" t="s">
        <v>9602</v>
      </c>
      <c r="E30" s="1">
        <v>7</v>
      </c>
      <c r="F30" s="1" t="s">
        <v>8720</v>
      </c>
      <c r="J30" s="1">
        <v>1</v>
      </c>
    </row>
    <row r="31" spans="1:10" x14ac:dyDescent="0.25">
      <c r="A31" s="1" t="s">
        <v>9603</v>
      </c>
      <c r="B31" s="1" t="s">
        <v>9560</v>
      </c>
      <c r="C31" s="1" t="s">
        <v>9603</v>
      </c>
      <c r="D31" s="1" t="s">
        <v>9604</v>
      </c>
      <c r="E31" s="1">
        <v>7</v>
      </c>
      <c r="F31" s="1" t="s">
        <v>8721</v>
      </c>
      <c r="J31" s="1">
        <v>2</v>
      </c>
    </row>
    <row r="32" spans="1:10" x14ac:dyDescent="0.25">
      <c r="A32" s="1" t="s">
        <v>9605</v>
      </c>
      <c r="B32" s="1" t="s">
        <v>9605</v>
      </c>
      <c r="C32" s="1" t="s">
        <v>9605</v>
      </c>
      <c r="D32" s="1" t="s">
        <v>9606</v>
      </c>
      <c r="E32" s="1">
        <v>8</v>
      </c>
      <c r="F32" s="1" t="s">
        <v>8722</v>
      </c>
      <c r="J32" s="1">
        <v>1</v>
      </c>
    </row>
    <row r="33" spans="1:10" x14ac:dyDescent="0.25">
      <c r="A33" s="1" t="s">
        <v>9607</v>
      </c>
      <c r="B33" s="1" t="s">
        <v>9607</v>
      </c>
      <c r="C33" s="1" t="s">
        <v>9607</v>
      </c>
      <c r="D33" s="1" t="s">
        <v>9608</v>
      </c>
      <c r="E33" s="1">
        <v>8</v>
      </c>
      <c r="F33" s="1" t="s">
        <v>8724</v>
      </c>
      <c r="J33" s="1">
        <v>2</v>
      </c>
    </row>
    <row r="34" spans="1:10" x14ac:dyDescent="0.25">
      <c r="A34" s="1" t="s">
        <v>9609</v>
      </c>
      <c r="B34" s="1" t="s">
        <v>9609</v>
      </c>
      <c r="C34" s="1" t="s">
        <v>9609</v>
      </c>
      <c r="D34" s="1" t="s">
        <v>9610</v>
      </c>
      <c r="E34" s="1">
        <v>8</v>
      </c>
      <c r="F34" s="1" t="s">
        <v>8725</v>
      </c>
      <c r="J34" s="1">
        <v>3</v>
      </c>
    </row>
    <row r="35" spans="1:10" x14ac:dyDescent="0.25">
      <c r="A35" s="1" t="s">
        <v>9611</v>
      </c>
      <c r="B35" s="1" t="s">
        <v>9611</v>
      </c>
      <c r="C35" s="1" t="s">
        <v>9611</v>
      </c>
      <c r="D35" s="1" t="s">
        <v>9612</v>
      </c>
      <c r="E35" s="1">
        <v>9</v>
      </c>
      <c r="F35" s="1" t="s">
        <v>8727</v>
      </c>
      <c r="J35" s="1">
        <v>1</v>
      </c>
    </row>
    <row r="36" spans="1:10" x14ac:dyDescent="0.25">
      <c r="A36" s="1" t="s">
        <v>9613</v>
      </c>
      <c r="B36" s="1" t="s">
        <v>9613</v>
      </c>
      <c r="C36" s="1" t="s">
        <v>9613</v>
      </c>
      <c r="D36" s="1" t="s">
        <v>9614</v>
      </c>
      <c r="E36" s="1">
        <v>9</v>
      </c>
      <c r="F36" s="1" t="s">
        <v>8730</v>
      </c>
      <c r="J36" s="1">
        <v>2</v>
      </c>
    </row>
    <row r="37" spans="1:10" x14ac:dyDescent="0.25">
      <c r="A37" s="1" t="s">
        <v>9615</v>
      </c>
      <c r="B37" s="1" t="s">
        <v>9615</v>
      </c>
      <c r="C37" s="1" t="s">
        <v>9615</v>
      </c>
      <c r="D37" s="1" t="s">
        <v>9616</v>
      </c>
      <c r="E37" s="1">
        <v>9</v>
      </c>
      <c r="F37" s="1" t="s">
        <v>8732</v>
      </c>
      <c r="J37" s="1">
        <v>3</v>
      </c>
    </row>
    <row r="38" spans="1:10" x14ac:dyDescent="0.25">
      <c r="A38" s="1" t="s">
        <v>9617</v>
      </c>
      <c r="B38" s="1" t="s">
        <v>9617</v>
      </c>
      <c r="C38" s="1" t="s">
        <v>9617</v>
      </c>
      <c r="D38" s="1" t="s">
        <v>9618</v>
      </c>
      <c r="E38" s="1">
        <v>10</v>
      </c>
      <c r="G38" s="1">
        <v>10</v>
      </c>
      <c r="J38" s="1">
        <v>1</v>
      </c>
    </row>
    <row r="39" spans="1:10" x14ac:dyDescent="0.25">
      <c r="A39" s="1" t="s">
        <v>9619</v>
      </c>
      <c r="B39" s="1" t="s">
        <v>9619</v>
      </c>
      <c r="C39" s="1" t="s">
        <v>9619</v>
      </c>
      <c r="D39" s="1" t="s">
        <v>9620</v>
      </c>
      <c r="E39" s="1">
        <v>10</v>
      </c>
      <c r="G39" s="1">
        <v>7</v>
      </c>
      <c r="J39" s="1">
        <v>2</v>
      </c>
    </row>
    <row r="40" spans="1:10" x14ac:dyDescent="0.25">
      <c r="A40" s="1" t="s">
        <v>9621</v>
      </c>
      <c r="B40" s="1" t="s">
        <v>9621</v>
      </c>
      <c r="C40" s="1" t="s">
        <v>9621</v>
      </c>
      <c r="D40" s="1" t="s">
        <v>9622</v>
      </c>
      <c r="E40" s="1">
        <v>10</v>
      </c>
      <c r="G40" s="1">
        <v>4</v>
      </c>
      <c r="J40" s="1">
        <v>3</v>
      </c>
    </row>
    <row r="41" spans="1:10" x14ac:dyDescent="0.25">
      <c r="A41" s="1" t="s">
        <v>9623</v>
      </c>
      <c r="B41" s="1" t="s">
        <v>9623</v>
      </c>
      <c r="C41" s="1" t="s">
        <v>9623</v>
      </c>
      <c r="D41" s="1" t="s">
        <v>9624</v>
      </c>
      <c r="E41" s="1">
        <v>11</v>
      </c>
      <c r="F41" s="1" t="s">
        <v>8734</v>
      </c>
      <c r="J41" s="1">
        <v>1</v>
      </c>
    </row>
    <row r="42" spans="1:10" x14ac:dyDescent="0.25">
      <c r="A42" s="1" t="s">
        <v>9625</v>
      </c>
      <c r="B42" s="1" t="s">
        <v>9625</v>
      </c>
      <c r="C42" s="1" t="s">
        <v>9625</v>
      </c>
      <c r="D42" s="1" t="s">
        <v>9626</v>
      </c>
      <c r="E42" s="1">
        <v>11</v>
      </c>
      <c r="F42" s="1" t="s">
        <v>8736</v>
      </c>
      <c r="J42" s="1">
        <v>2</v>
      </c>
    </row>
    <row r="43" spans="1:10" x14ac:dyDescent="0.25">
      <c r="A43" s="1" t="s">
        <v>9627</v>
      </c>
      <c r="B43" s="1" t="s">
        <v>9627</v>
      </c>
      <c r="C43" s="1" t="s">
        <v>9627</v>
      </c>
      <c r="D43" s="1" t="s">
        <v>9628</v>
      </c>
      <c r="E43" s="1">
        <v>11</v>
      </c>
      <c r="F43" s="1" t="s">
        <v>8738</v>
      </c>
      <c r="J43" s="1">
        <v>3</v>
      </c>
    </row>
    <row r="44" spans="1:10" x14ac:dyDescent="0.25">
      <c r="A44" s="1" t="s">
        <v>9629</v>
      </c>
      <c r="B44" s="1" t="s">
        <v>9630</v>
      </c>
      <c r="C44" s="1" t="s">
        <v>9631</v>
      </c>
      <c r="D44" s="1" t="s">
        <v>9632</v>
      </c>
      <c r="E44" s="1">
        <v>12</v>
      </c>
      <c r="H44" s="1" t="s">
        <v>9633</v>
      </c>
      <c r="J44" s="1">
        <v>2</v>
      </c>
    </row>
    <row r="45" spans="1:10" x14ac:dyDescent="0.25">
      <c r="A45" s="1" t="s">
        <v>9634</v>
      </c>
      <c r="B45" s="1" t="s">
        <v>9635</v>
      </c>
      <c r="C45" s="1" t="s">
        <v>9631</v>
      </c>
      <c r="D45" s="1" t="s">
        <v>9636</v>
      </c>
      <c r="E45" s="1">
        <v>12</v>
      </c>
      <c r="H45" s="1" t="s">
        <v>9637</v>
      </c>
      <c r="J45" s="1">
        <v>2</v>
      </c>
    </row>
    <row r="46" spans="1:10" x14ac:dyDescent="0.25">
      <c r="A46" s="1" t="s">
        <v>9638</v>
      </c>
      <c r="B46" s="1" t="s">
        <v>9639</v>
      </c>
      <c r="C46" s="1" t="s">
        <v>9631</v>
      </c>
      <c r="D46" s="1" t="s">
        <v>9640</v>
      </c>
      <c r="E46" s="1">
        <v>12</v>
      </c>
      <c r="H46" s="1" t="s">
        <v>9641</v>
      </c>
      <c r="J46" s="1">
        <v>2</v>
      </c>
    </row>
    <row r="47" spans="1:10" x14ac:dyDescent="0.25">
      <c r="A47" s="1" t="s">
        <v>9642</v>
      </c>
      <c r="B47" s="1" t="s">
        <v>9643</v>
      </c>
      <c r="C47" s="1" t="s">
        <v>9631</v>
      </c>
      <c r="D47" s="1" t="s">
        <v>9644</v>
      </c>
      <c r="E47" s="1">
        <v>12</v>
      </c>
      <c r="H47" s="1" t="s">
        <v>9645</v>
      </c>
      <c r="J47" s="1">
        <v>2</v>
      </c>
    </row>
    <row r="48" spans="1:10" x14ac:dyDescent="0.25">
      <c r="A48" s="1" t="s">
        <v>9646</v>
      </c>
      <c r="B48" s="1" t="s">
        <v>9647</v>
      </c>
      <c r="C48" s="1" t="s">
        <v>9631</v>
      </c>
      <c r="D48" s="1" t="s">
        <v>9648</v>
      </c>
      <c r="E48" s="1">
        <v>12</v>
      </c>
      <c r="H48" s="1" t="s">
        <v>9649</v>
      </c>
      <c r="J48" s="1">
        <v>2</v>
      </c>
    </row>
    <row r="49" spans="1:10" x14ac:dyDescent="0.25">
      <c r="A49" s="1" t="s">
        <v>9650</v>
      </c>
      <c r="B49" s="1" t="s">
        <v>9631</v>
      </c>
      <c r="C49" s="1" t="s">
        <v>9631</v>
      </c>
      <c r="D49" s="1" t="s">
        <v>9651</v>
      </c>
      <c r="E49" s="1">
        <v>12</v>
      </c>
      <c r="H49" s="1" t="s">
        <v>9652</v>
      </c>
      <c r="J49" s="1">
        <v>2</v>
      </c>
    </row>
    <row r="50" spans="1:10" x14ac:dyDescent="0.25">
      <c r="A50" s="1" t="s">
        <v>9653</v>
      </c>
      <c r="B50" s="1" t="s">
        <v>9653</v>
      </c>
      <c r="C50" s="1" t="s">
        <v>9653</v>
      </c>
      <c r="D50" s="1" t="s">
        <v>9654</v>
      </c>
      <c r="E50" s="1">
        <v>13</v>
      </c>
      <c r="F50" s="1" t="s">
        <v>8740</v>
      </c>
      <c r="J50" s="1">
        <v>1</v>
      </c>
    </row>
    <row r="51" spans="1:10" x14ac:dyDescent="0.25">
      <c r="A51" s="1" t="s">
        <v>9655</v>
      </c>
      <c r="B51" s="1" t="s">
        <v>9655</v>
      </c>
      <c r="C51" s="1" t="s">
        <v>9655</v>
      </c>
      <c r="D51" s="1" t="s">
        <v>9656</v>
      </c>
      <c r="E51" s="1">
        <v>13</v>
      </c>
      <c r="F51" s="1" t="s">
        <v>8741</v>
      </c>
      <c r="J51" s="1">
        <v>2</v>
      </c>
    </row>
    <row r="52" spans="1:10" x14ac:dyDescent="0.25">
      <c r="A52" s="1" t="s">
        <v>9657</v>
      </c>
      <c r="B52" s="1" t="s">
        <v>9657</v>
      </c>
      <c r="C52" s="1" t="s">
        <v>9657</v>
      </c>
      <c r="D52" s="1" t="s">
        <v>9658</v>
      </c>
      <c r="E52" s="1">
        <v>13</v>
      </c>
      <c r="F52" s="1" t="s">
        <v>8742</v>
      </c>
      <c r="J52" s="1">
        <v>3</v>
      </c>
    </row>
    <row r="53" spans="1:10" x14ac:dyDescent="0.25">
      <c r="A53" s="1" t="s">
        <v>9659</v>
      </c>
      <c r="B53" s="1" t="s">
        <v>9659</v>
      </c>
      <c r="C53" s="1" t="s">
        <v>9659</v>
      </c>
      <c r="D53" s="1" t="s">
        <v>9660</v>
      </c>
      <c r="E53" s="1">
        <v>14</v>
      </c>
      <c r="I53" s="1">
        <v>1</v>
      </c>
      <c r="J53" s="1">
        <v>1</v>
      </c>
    </row>
    <row r="54" spans="1:10" x14ac:dyDescent="0.25">
      <c r="A54" s="1" t="s">
        <v>9661</v>
      </c>
      <c r="B54" s="1" t="s">
        <v>9661</v>
      </c>
      <c r="C54" s="1" t="s">
        <v>9661</v>
      </c>
      <c r="D54" s="1" t="s">
        <v>9662</v>
      </c>
      <c r="E54" s="1">
        <v>15</v>
      </c>
      <c r="F54" s="1" t="s">
        <v>8743</v>
      </c>
      <c r="J54" s="1">
        <v>1</v>
      </c>
    </row>
    <row r="55" spans="1:10" x14ac:dyDescent="0.25">
      <c r="A55" s="1" t="s">
        <v>9663</v>
      </c>
      <c r="B55" s="1" t="s">
        <v>9663</v>
      </c>
      <c r="C55" s="1" t="s">
        <v>9663</v>
      </c>
      <c r="D55" s="1" t="s">
        <v>9664</v>
      </c>
      <c r="E55" s="1">
        <v>15</v>
      </c>
      <c r="F55" s="1" t="s">
        <v>8745</v>
      </c>
      <c r="J55" s="1">
        <v>2</v>
      </c>
    </row>
    <row r="56" spans="1:10" x14ac:dyDescent="0.25">
      <c r="A56" s="1" t="s">
        <v>9665</v>
      </c>
      <c r="B56" s="1" t="s">
        <v>9665</v>
      </c>
      <c r="C56" s="1" t="s">
        <v>9665</v>
      </c>
      <c r="D56" s="1" t="s">
        <v>9666</v>
      </c>
      <c r="E56" s="1">
        <v>15</v>
      </c>
      <c r="F56" s="1" t="s">
        <v>8746</v>
      </c>
      <c r="J56" s="1">
        <v>3</v>
      </c>
    </row>
    <row r="57" spans="1:10" x14ac:dyDescent="0.25">
      <c r="A57" s="1" t="s">
        <v>9667</v>
      </c>
      <c r="B57" s="1" t="s">
        <v>9667</v>
      </c>
      <c r="C57" s="1" t="s">
        <v>9667</v>
      </c>
      <c r="D57" s="1" t="s">
        <v>9668</v>
      </c>
      <c r="E57" s="1">
        <v>16</v>
      </c>
      <c r="F57" s="1" t="s">
        <v>8748</v>
      </c>
      <c r="J57" s="1">
        <v>3</v>
      </c>
    </row>
    <row r="58" spans="1:10" x14ac:dyDescent="0.25">
      <c r="A58" s="1" t="s">
        <v>9669</v>
      </c>
      <c r="B58" s="1" t="s">
        <v>9669</v>
      </c>
      <c r="C58" s="1" t="s">
        <v>9669</v>
      </c>
      <c r="D58" s="1" t="s">
        <v>9670</v>
      </c>
      <c r="E58" s="1">
        <v>17</v>
      </c>
      <c r="F58" s="1" t="s">
        <v>8750</v>
      </c>
      <c r="J58" s="1">
        <v>1</v>
      </c>
    </row>
    <row r="59" spans="1:10" x14ac:dyDescent="0.25">
      <c r="A59" s="1" t="s">
        <v>9671</v>
      </c>
      <c r="B59" s="1" t="s">
        <v>9671</v>
      </c>
      <c r="C59" s="1" t="s">
        <v>9671</v>
      </c>
      <c r="D59" s="1" t="s">
        <v>9672</v>
      </c>
      <c r="E59" s="1">
        <v>17</v>
      </c>
      <c r="F59" s="1" t="s">
        <v>8751</v>
      </c>
      <c r="J59" s="1">
        <v>2</v>
      </c>
    </row>
    <row r="60" spans="1:10" x14ac:dyDescent="0.25">
      <c r="A60" s="1" t="s">
        <v>9673</v>
      </c>
      <c r="B60" s="1" t="s">
        <v>9673</v>
      </c>
      <c r="C60" s="1" t="s">
        <v>9673</v>
      </c>
      <c r="D60" s="1" t="s">
        <v>9674</v>
      </c>
      <c r="E60" s="1">
        <v>17</v>
      </c>
      <c r="F60" s="1" t="s">
        <v>8752</v>
      </c>
      <c r="J60" s="1">
        <v>3</v>
      </c>
    </row>
  </sheetData>
  <phoneticPr fontId="14"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3"/>
  <sheetViews>
    <sheetView workbookViewId="0">
      <selection activeCell="E32" sqref="E32"/>
    </sheetView>
  </sheetViews>
  <sheetFormatPr defaultColWidth="8.6640625" defaultRowHeight="14.05" x14ac:dyDescent="0.25"/>
  <cols>
    <col min="1" max="1" width="8.6640625" style="1"/>
    <col min="2" max="2" width="13.83203125" style="1" customWidth="1"/>
    <col min="3" max="3" width="20.4140625" style="1" customWidth="1"/>
    <col min="4" max="4" width="39.6640625" style="1" customWidth="1"/>
    <col min="5" max="5" width="37.4140625" style="1" customWidth="1"/>
    <col min="6" max="6" width="39.4140625" style="1" customWidth="1"/>
    <col min="7" max="7" width="38.4140625" style="1" customWidth="1"/>
    <col min="8" max="8" width="32.25" style="1" customWidth="1"/>
    <col min="9" max="9" width="39.9140625" style="1" customWidth="1"/>
    <col min="10" max="16384" width="8.6640625" style="1"/>
  </cols>
  <sheetData>
    <row r="1" spans="1:9" x14ac:dyDescent="0.25">
      <c r="A1" s="1" t="s">
        <v>0</v>
      </c>
      <c r="B1" s="1" t="s">
        <v>9675</v>
      </c>
      <c r="C1" s="1" t="s">
        <v>9676</v>
      </c>
      <c r="D1" s="1" t="s">
        <v>9677</v>
      </c>
      <c r="E1" s="1" t="s">
        <v>9678</v>
      </c>
      <c r="F1" s="1" t="s">
        <v>9679</v>
      </c>
      <c r="G1" s="1" t="s">
        <v>9680</v>
      </c>
      <c r="H1" s="1" t="s">
        <v>9681</v>
      </c>
      <c r="I1" s="1" t="s">
        <v>9682</v>
      </c>
    </row>
    <row r="2" spans="1:9" x14ac:dyDescent="0.25">
      <c r="A2" s="1" t="s">
        <v>0</v>
      </c>
      <c r="B2" s="1" t="s">
        <v>9683</v>
      </c>
      <c r="C2" s="1" t="s">
        <v>9684</v>
      </c>
      <c r="D2" s="1" t="s">
        <v>9685</v>
      </c>
      <c r="E2" s="1" t="s">
        <v>9686</v>
      </c>
      <c r="F2" s="1" t="s">
        <v>9687</v>
      </c>
      <c r="G2" s="1" t="s">
        <v>9688</v>
      </c>
      <c r="H2" s="1" t="s">
        <v>9689</v>
      </c>
      <c r="I2" s="1" t="s">
        <v>9690</v>
      </c>
    </row>
    <row r="3" spans="1:9" x14ac:dyDescent="0.25">
      <c r="A3" s="1" t="s">
        <v>2</v>
      </c>
      <c r="B3" s="1" t="s">
        <v>190</v>
      </c>
      <c r="C3" s="1" t="s">
        <v>190</v>
      </c>
      <c r="D3" s="1" t="s">
        <v>2</v>
      </c>
      <c r="E3" s="1" t="s">
        <v>2</v>
      </c>
      <c r="F3" s="1" t="s">
        <v>2</v>
      </c>
      <c r="G3" s="1" t="s">
        <v>2</v>
      </c>
      <c r="H3" s="1" t="s">
        <v>2</v>
      </c>
      <c r="I3" s="1" t="s">
        <v>2</v>
      </c>
    </row>
  </sheetData>
  <phoneticPr fontId="14" type="noConversion"/>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CardData</vt:lpstr>
      <vt:lpstr>UnitData</vt:lpstr>
      <vt:lpstr>SkillData</vt:lpstr>
      <vt:lpstr>BuffData</vt:lpstr>
      <vt:lpstr>ModifyData</vt:lpstr>
      <vt:lpstr>BulletData</vt:lpstr>
      <vt:lpstr>EffectData</vt:lpstr>
      <vt:lpstr>ContractData</vt:lpstr>
      <vt:lpstr>SpineData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2026-10-28T20:27:09Z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2052-12.1.0.26895</vt:lpwstr>
  </property>
  <property fmtid="{D5CDD505-2E9C-101B-9397-08002B2CF9AE}" pid="3" name="ICV">
    <vt:lpwstr>CB94523E41B44DAE99CC12982DC882B4</vt:lpwstr>
  </property>
  <property fmtid="{D5CDD505-2E9C-101B-9397-08002B2CF9AE}" pid="4" name="CalculationRule">
    <vt:i4>0</vt:i4>
  </property>
</Properties>
</file>