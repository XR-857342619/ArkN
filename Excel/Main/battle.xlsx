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30228"/>
  <workbookPr/>
  <mc:AlternateContent xmlns:mc="http://schemas.openxmlformats.org/markup-compatibility/2006">
    <mc:Choice Requires="x15">
      <x15ac:absPath xmlns:x15ac="http://schemas.microsoft.com/office/spreadsheetml/2010/11/ac" url="D:\UnityWork\zhou-master\Excel\Main\"/>
    </mc:Choice>
  </mc:AlternateContent>
  <xr:revisionPtr revIDLastSave="0" documentId="13_ncr:1_{99F515F6-D4B8-4D34-BBD9-6D26CD22ECA6}" xr6:coauthVersionLast="47" xr6:coauthVersionMax="47" xr10:uidLastSave="{00000000-0000-0000-0000-000000000000}"/>
  <bookViews>
    <workbookView xWindow="-103" yWindow="-103" windowWidth="24144" windowHeight="14447"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 name="SpineData" sheetId="13" r:id="rId9"/>
  </sheets>
  <definedNames>
    <definedName name="_xlnm._FilterDatabase" localSheetId="3" hidden="1">BuffData!$C$1:$C$324</definedName>
    <definedName name="_xlnm._FilterDatabase" localSheetId="2" hidden="1">SkillData!$C$1:$C$904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 i="1" l="1"/>
  <c r="BC703" i="1"/>
  <c r="F703" i="1"/>
  <c r="BC702" i="1"/>
  <c r="F702" i="1"/>
  <c r="BC701" i="1"/>
  <c r="F701" i="1"/>
  <c r="BC700" i="1"/>
  <c r="F700" i="1"/>
  <c r="BC699" i="1"/>
  <c r="F699" i="1"/>
  <c r="BC698" i="1"/>
  <c r="F698" i="1"/>
  <c r="BC697" i="1"/>
  <c r="F697" i="1"/>
  <c r="BC696" i="1"/>
  <c r="F696" i="1"/>
  <c r="BC695" i="1"/>
  <c r="F695" i="1"/>
  <c r="BC694" i="1"/>
  <c r="F694" i="1"/>
  <c r="BC693" i="1"/>
  <c r="F693" i="1"/>
  <c r="BC692" i="1"/>
  <c r="F692" i="1"/>
  <c r="BC691" i="1"/>
  <c r="F691" i="1"/>
  <c r="BC690" i="1"/>
  <c r="F690" i="1"/>
  <c r="BC689" i="1"/>
  <c r="F689" i="1"/>
  <c r="BC688" i="1"/>
  <c r="F688" i="1"/>
  <c r="BC687" i="1"/>
  <c r="F687" i="1"/>
  <c r="BC686" i="1"/>
  <c r="F686" i="1"/>
  <c r="BC685" i="1"/>
  <c r="F685" i="1"/>
  <c r="BC684" i="1"/>
  <c r="F684" i="1"/>
  <c r="BC683" i="1"/>
  <c r="F683" i="1"/>
  <c r="BC682" i="1"/>
  <c r="F682" i="1"/>
  <c r="BC681" i="1"/>
  <c r="F681" i="1"/>
  <c r="BC680" i="1"/>
  <c r="F680" i="1"/>
  <c r="BC679" i="1"/>
  <c r="F679" i="1"/>
  <c r="BC678" i="1"/>
  <c r="BC677" i="1"/>
  <c r="F677" i="1"/>
  <c r="BC676" i="1"/>
  <c r="F676" i="1"/>
  <c r="BC675" i="1"/>
  <c r="F675" i="1"/>
  <c r="BC674" i="1"/>
  <c r="F674" i="1"/>
  <c r="BC673" i="1"/>
  <c r="F673" i="1"/>
  <c r="BC672" i="1"/>
  <c r="F672" i="1"/>
  <c r="BC671" i="1"/>
  <c r="F671" i="1"/>
  <c r="BC670" i="1"/>
  <c r="F670" i="1"/>
  <c r="BC669" i="1"/>
  <c r="F669" i="1"/>
  <c r="BC668" i="1"/>
  <c r="F668" i="1"/>
  <c r="BC667" i="1"/>
  <c r="F667" i="1"/>
  <c r="BC666" i="1"/>
  <c r="F666" i="1"/>
  <c r="BC665" i="1"/>
  <c r="F665" i="1"/>
  <c r="BC664" i="1"/>
  <c r="F664" i="1"/>
  <c r="BC663" i="1"/>
  <c r="F663" i="1"/>
  <c r="BC662" i="1"/>
  <c r="F662" i="1"/>
  <c r="BC661" i="1"/>
  <c r="F661" i="1"/>
  <c r="BC660" i="1"/>
  <c r="F660" i="1"/>
  <c r="BC659" i="1"/>
  <c r="F659" i="1"/>
  <c r="BC658" i="1"/>
  <c r="F658" i="1"/>
  <c r="BC657" i="1"/>
  <c r="F657" i="1"/>
  <c r="BC656" i="1"/>
  <c r="F656" i="1"/>
  <c r="BC655" i="1"/>
  <c r="F655" i="1"/>
  <c r="BC654" i="1"/>
  <c r="F654" i="1"/>
  <c r="BC653" i="1"/>
  <c r="F653" i="1"/>
  <c r="BC652" i="1"/>
  <c r="F652" i="1"/>
  <c r="BC651" i="1"/>
  <c r="F651" i="1"/>
  <c r="BC650" i="1"/>
  <c r="F650" i="1"/>
  <c r="BC649" i="1"/>
  <c r="F649" i="1"/>
  <c r="BC648" i="1"/>
  <c r="F648" i="1"/>
  <c r="BC647" i="1"/>
  <c r="F647" i="1"/>
  <c r="BC646" i="1"/>
  <c r="F646" i="1"/>
  <c r="BC645" i="1"/>
  <c r="F645" i="1"/>
  <c r="BC644" i="1"/>
  <c r="F644" i="1"/>
  <c r="BC643" i="1"/>
  <c r="F643" i="1"/>
  <c r="BC642" i="1"/>
  <c r="F642" i="1"/>
  <c r="BC641" i="1"/>
  <c r="F641" i="1"/>
  <c r="BC640" i="1"/>
  <c r="F640" i="1"/>
  <c r="BC639" i="1"/>
  <c r="F639" i="1"/>
  <c r="BC638" i="1"/>
  <c r="F638" i="1"/>
  <c r="BC637" i="1"/>
  <c r="F637" i="1"/>
  <c r="BC636" i="1"/>
  <c r="F636" i="1"/>
  <c r="BC635" i="1"/>
  <c r="F635" i="1"/>
  <c r="BC634" i="1"/>
  <c r="F634" i="1"/>
  <c r="BC633" i="1"/>
  <c r="F633" i="1"/>
  <c r="BC632" i="1"/>
  <c r="F632" i="1"/>
  <c r="BC631" i="1"/>
  <c r="F631" i="1"/>
  <c r="BC630" i="1"/>
  <c r="F630" i="1"/>
  <c r="BC629" i="1"/>
  <c r="F629" i="1"/>
  <c r="BC628" i="1"/>
  <c r="F628" i="1"/>
  <c r="BC627" i="1"/>
  <c r="F627" i="1"/>
  <c r="BC626" i="1"/>
  <c r="F626" i="1"/>
  <c r="BC625" i="1"/>
  <c r="F625" i="1"/>
  <c r="BC624" i="1"/>
  <c r="F624" i="1"/>
  <c r="BC623" i="1"/>
  <c r="F623" i="1"/>
  <c r="BC622" i="1"/>
  <c r="F622" i="1"/>
  <c r="BC621" i="1"/>
  <c r="F621" i="1"/>
  <c r="BC620" i="1"/>
  <c r="F620" i="1"/>
  <c r="BC619" i="1"/>
  <c r="F619" i="1"/>
  <c r="BC618" i="1"/>
  <c r="F618" i="1"/>
  <c r="BC617" i="1"/>
  <c r="F617" i="1"/>
  <c r="BC616" i="1"/>
  <c r="F616" i="1"/>
  <c r="BC615" i="1"/>
  <c r="F615" i="1"/>
  <c r="BC614" i="1"/>
  <c r="F614" i="1"/>
  <c r="BC613" i="1"/>
  <c r="F613" i="1"/>
  <c r="BC612" i="1"/>
  <c r="F612" i="1"/>
  <c r="BC611" i="1"/>
  <c r="F611" i="1"/>
  <c r="BC610" i="1"/>
  <c r="F610" i="1"/>
  <c r="BC609" i="1"/>
  <c r="F609" i="1"/>
  <c r="BC608" i="1"/>
  <c r="F608" i="1"/>
  <c r="BC607" i="1"/>
  <c r="F607" i="1"/>
  <c r="BC606" i="1"/>
  <c r="F606" i="1"/>
  <c r="BC605" i="1"/>
  <c r="F605" i="1"/>
  <c r="BC604" i="1"/>
  <c r="F604" i="1"/>
  <c r="BC603" i="1"/>
  <c r="F603" i="1"/>
  <c r="BC602" i="1"/>
  <c r="F602" i="1"/>
  <c r="BC601" i="1"/>
  <c r="F601" i="1"/>
  <c r="BC600" i="1"/>
  <c r="F600" i="1"/>
  <c r="BC599" i="1"/>
  <c r="F599" i="1"/>
  <c r="BC598" i="1"/>
  <c r="F598" i="1"/>
  <c r="BC597" i="1"/>
  <c r="F597" i="1"/>
  <c r="BC596" i="1"/>
  <c r="F596" i="1"/>
  <c r="BC595" i="1"/>
  <c r="F595" i="1"/>
  <c r="BC594" i="1"/>
  <c r="F594" i="1"/>
  <c r="BC593" i="1"/>
  <c r="F593" i="1"/>
  <c r="BC592" i="1"/>
  <c r="F592" i="1"/>
  <c r="BC591" i="1"/>
  <c r="F591" i="1"/>
  <c r="BC590" i="1"/>
  <c r="F590" i="1"/>
  <c r="BC589" i="1"/>
  <c r="F589" i="1"/>
  <c r="BC588" i="1"/>
  <c r="F588" i="1"/>
  <c r="BC587" i="1"/>
  <c r="F587" i="1"/>
  <c r="BC586" i="1"/>
  <c r="F586" i="1"/>
  <c r="BC585" i="1"/>
  <c r="F585" i="1"/>
  <c r="BC584" i="1"/>
  <c r="F584" i="1"/>
  <c r="BC583" i="1"/>
  <c r="F583" i="1"/>
  <c r="BC582" i="1"/>
  <c r="F582" i="1"/>
  <c r="BC581" i="1"/>
  <c r="F581" i="1"/>
  <c r="BC580" i="1"/>
  <c r="F580" i="1"/>
  <c r="BC579" i="1"/>
  <c r="F579" i="1"/>
  <c r="BC578" i="1"/>
  <c r="F578" i="1"/>
  <c r="BC577" i="1"/>
  <c r="F577" i="1"/>
  <c r="BC576" i="1"/>
  <c r="F576" i="1"/>
  <c r="BC575" i="1"/>
  <c r="F575" i="1"/>
  <c r="BC574" i="1"/>
  <c r="F574" i="1"/>
  <c r="BC573" i="1"/>
  <c r="F573" i="1"/>
  <c r="BC572" i="1"/>
  <c r="F572" i="1"/>
  <c r="BC571" i="1"/>
  <c r="F571" i="1"/>
  <c r="BC570" i="1"/>
  <c r="F570" i="1"/>
  <c r="BC569" i="1"/>
  <c r="F569" i="1"/>
  <c r="BC568" i="1"/>
  <c r="F568" i="1"/>
  <c r="BC567" i="1"/>
  <c r="F567" i="1"/>
  <c r="BC566" i="1"/>
  <c r="F566" i="1"/>
  <c r="BC565" i="1"/>
  <c r="F565" i="1"/>
  <c r="BC564" i="1"/>
  <c r="F564" i="1"/>
  <c r="BC563" i="1"/>
  <c r="F563" i="1"/>
  <c r="BC562" i="1"/>
  <c r="F562" i="1"/>
  <c r="BC561" i="1"/>
  <c r="F561" i="1"/>
  <c r="BC560" i="1"/>
  <c r="F560" i="1"/>
  <c r="BC559" i="1"/>
  <c r="F559" i="1"/>
  <c r="BC558" i="1"/>
  <c r="F558" i="1"/>
  <c r="BC557" i="1"/>
  <c r="F557" i="1"/>
  <c r="BC556" i="1"/>
  <c r="F556" i="1"/>
  <c r="BC555" i="1"/>
  <c r="F555" i="1"/>
  <c r="BC554" i="1"/>
  <c r="F554" i="1"/>
  <c r="BC553" i="1"/>
  <c r="F553" i="1"/>
  <c r="BC552" i="1"/>
  <c r="F552" i="1"/>
  <c r="BC551" i="1"/>
  <c r="F551" i="1"/>
  <c r="BC550" i="1"/>
  <c r="F550" i="1"/>
  <c r="BC549" i="1"/>
  <c r="F549" i="1"/>
  <c r="BC548" i="1"/>
  <c r="F548" i="1"/>
  <c r="BC547" i="1"/>
  <c r="F547" i="1"/>
  <c r="BC546" i="1"/>
  <c r="F546" i="1"/>
  <c r="BC545" i="1"/>
  <c r="F545" i="1"/>
  <c r="BC544" i="1"/>
  <c r="F544" i="1"/>
  <c r="BC543" i="1"/>
  <c r="F543" i="1"/>
  <c r="BC542" i="1"/>
  <c r="F542" i="1"/>
  <c r="BC541" i="1"/>
  <c r="F541" i="1"/>
  <c r="BC540" i="1"/>
  <c r="F540" i="1"/>
  <c r="BC539" i="1"/>
  <c r="F539" i="1"/>
  <c r="BC538" i="1"/>
  <c r="F538" i="1"/>
  <c r="BC537" i="1"/>
  <c r="F537" i="1"/>
  <c r="BC536" i="1"/>
  <c r="F536" i="1"/>
  <c r="BC535" i="1"/>
  <c r="F535" i="1"/>
  <c r="BC534" i="1"/>
  <c r="F534" i="1"/>
  <c r="BC533" i="1"/>
  <c r="F533" i="1"/>
  <c r="BC532" i="1"/>
  <c r="F532" i="1"/>
  <c r="BC531" i="1"/>
  <c r="F531" i="1"/>
  <c r="BC530" i="1"/>
  <c r="F530" i="1"/>
  <c r="BC529" i="1"/>
  <c r="F529" i="1"/>
  <c r="BC528" i="1"/>
  <c r="F528" i="1"/>
  <c r="BC527" i="1"/>
  <c r="F527" i="1"/>
  <c r="BC526" i="1"/>
  <c r="F526" i="1"/>
  <c r="BC525" i="1"/>
  <c r="F525" i="1"/>
  <c r="BC524" i="1"/>
  <c r="F524" i="1"/>
  <c r="BC523" i="1"/>
  <c r="F523" i="1"/>
  <c r="BC522" i="1"/>
  <c r="F522" i="1"/>
  <c r="BC521" i="1"/>
  <c r="BC520" i="1"/>
  <c r="F520" i="1"/>
  <c r="BC519" i="1"/>
  <c r="F519" i="1"/>
  <c r="BC518" i="1"/>
  <c r="F518" i="1"/>
  <c r="BC517" i="1"/>
  <c r="F517" i="1"/>
  <c r="BC516" i="1"/>
  <c r="F516" i="1"/>
  <c r="BC515" i="1"/>
  <c r="F515" i="1"/>
  <c r="BC514" i="1"/>
  <c r="F514" i="1"/>
  <c r="BC513" i="1"/>
  <c r="F513" i="1"/>
  <c r="BC512" i="1"/>
  <c r="F512" i="1"/>
  <c r="BC511" i="1"/>
  <c r="F511" i="1"/>
  <c r="BC510" i="1"/>
  <c r="F510" i="1"/>
  <c r="BC509" i="1"/>
  <c r="F509" i="1"/>
  <c r="BC508" i="1"/>
  <c r="F508" i="1"/>
  <c r="BC507" i="1"/>
  <c r="F507" i="1"/>
  <c r="BC506" i="1"/>
  <c r="F506" i="1"/>
  <c r="BC505" i="1"/>
  <c r="F505" i="1"/>
  <c r="BC504" i="1"/>
  <c r="F504" i="1"/>
  <c r="BC503" i="1"/>
  <c r="F503" i="1"/>
  <c r="BC502" i="1"/>
  <c r="F502" i="1"/>
  <c r="BC501" i="1"/>
  <c r="F501" i="1"/>
  <c r="BC500" i="1"/>
  <c r="F500" i="1"/>
  <c r="BC499" i="1"/>
  <c r="F499" i="1"/>
  <c r="BC498" i="1"/>
  <c r="F498" i="1"/>
  <c r="BC497" i="1"/>
  <c r="F497" i="1"/>
  <c r="BC496" i="1"/>
  <c r="F496" i="1"/>
  <c r="BC495" i="1"/>
  <c r="F495" i="1"/>
  <c r="BC494" i="1"/>
  <c r="F494" i="1"/>
  <c r="BC493" i="1"/>
  <c r="F493" i="1"/>
  <c r="BC492" i="1"/>
  <c r="F492" i="1"/>
  <c r="BC491" i="1"/>
  <c r="F491" i="1"/>
  <c r="BC490" i="1"/>
  <c r="F490" i="1"/>
  <c r="BC489" i="1"/>
  <c r="F489" i="1"/>
  <c r="BC488" i="1"/>
  <c r="F488" i="1"/>
  <c r="BC487" i="1"/>
  <c r="F487" i="1"/>
  <c r="BC486" i="1"/>
  <c r="F486" i="1"/>
  <c r="BC485" i="1"/>
  <c r="F485" i="1"/>
  <c r="BC484" i="1"/>
  <c r="F484" i="1"/>
  <c r="BC483" i="1"/>
  <c r="F483" i="1"/>
  <c r="BC482" i="1"/>
  <c r="F482" i="1"/>
  <c r="BC481" i="1"/>
  <c r="F481" i="1"/>
  <c r="BC480" i="1"/>
  <c r="F480" i="1"/>
  <c r="BC479" i="1"/>
  <c r="F479" i="1"/>
  <c r="BC478" i="1"/>
  <c r="F478" i="1"/>
  <c r="BC477" i="1"/>
  <c r="F477" i="1"/>
  <c r="BC476" i="1"/>
  <c r="F476" i="1"/>
  <c r="BC475" i="1"/>
  <c r="F475" i="1"/>
  <c r="BC474" i="1"/>
  <c r="F474" i="1"/>
  <c r="BC473" i="1"/>
  <c r="F473" i="1"/>
  <c r="BC472" i="1"/>
  <c r="F472" i="1"/>
  <c r="BC471" i="1"/>
  <c r="F471" i="1"/>
  <c r="BC470" i="1"/>
  <c r="F470" i="1"/>
  <c r="BC469" i="1"/>
  <c r="F469" i="1"/>
  <c r="BC468" i="1"/>
  <c r="F468" i="1"/>
  <c r="BC467" i="1"/>
  <c r="F467" i="1"/>
  <c r="BC466" i="1"/>
  <c r="F466" i="1"/>
  <c r="BC465" i="1"/>
  <c r="F465" i="1"/>
  <c r="BC464" i="1"/>
  <c r="F464" i="1"/>
  <c r="BC463" i="1"/>
  <c r="F463" i="1"/>
  <c r="BC462" i="1"/>
  <c r="F462" i="1"/>
  <c r="BC461" i="1"/>
  <c r="F461" i="1"/>
  <c r="BC460" i="1"/>
  <c r="F460" i="1"/>
  <c r="BC459" i="1"/>
  <c r="F459" i="1"/>
  <c r="BC458" i="1"/>
  <c r="F458" i="1"/>
  <c r="BC457" i="1"/>
  <c r="F457" i="1"/>
  <c r="BC456" i="1"/>
  <c r="F456" i="1"/>
  <c r="BC455" i="1"/>
  <c r="F455" i="1"/>
  <c r="BC454" i="1"/>
  <c r="F454" i="1"/>
  <c r="BC453" i="1"/>
  <c r="F453" i="1"/>
  <c r="BC452" i="1"/>
  <c r="F452" i="1"/>
  <c r="BC451" i="1"/>
  <c r="F451" i="1"/>
  <c r="BC450" i="1"/>
  <c r="F450" i="1"/>
  <c r="BC449" i="1"/>
  <c r="F449" i="1"/>
  <c r="BC448" i="1"/>
  <c r="F448" i="1"/>
  <c r="BC447" i="1"/>
  <c r="F447" i="1"/>
  <c r="BC446" i="1"/>
  <c r="F446" i="1"/>
  <c r="BC445" i="1"/>
  <c r="F445" i="1"/>
  <c r="BC444" i="1"/>
  <c r="F444" i="1"/>
  <c r="BC443" i="1"/>
  <c r="F443" i="1"/>
  <c r="BC442" i="1"/>
  <c r="F442" i="1"/>
  <c r="BC441" i="1"/>
  <c r="F441" i="1"/>
  <c r="BC440" i="1"/>
  <c r="F440" i="1"/>
  <c r="BC439" i="1"/>
  <c r="F439" i="1"/>
  <c r="BC438" i="1"/>
  <c r="F438" i="1"/>
  <c r="BC437" i="1"/>
  <c r="F437" i="1"/>
  <c r="BC436" i="1"/>
  <c r="F436" i="1"/>
  <c r="BC435" i="1"/>
  <c r="F435" i="1"/>
  <c r="BC434" i="1"/>
  <c r="F434" i="1"/>
  <c r="BC433" i="1"/>
  <c r="F433" i="1"/>
  <c r="BC432" i="1"/>
  <c r="F432" i="1"/>
  <c r="BC431" i="1"/>
  <c r="F431" i="1"/>
  <c r="BC430" i="1"/>
  <c r="F430" i="1"/>
  <c r="BC429" i="1"/>
  <c r="F429" i="1"/>
  <c r="BC428" i="1"/>
  <c r="F428" i="1"/>
  <c r="BC427" i="1"/>
  <c r="F427" i="1"/>
  <c r="BC426" i="1"/>
  <c r="F426" i="1"/>
  <c r="BC425" i="1"/>
  <c r="F425" i="1"/>
  <c r="BC424" i="1"/>
  <c r="F424" i="1"/>
  <c r="BC423" i="1"/>
  <c r="F423" i="1"/>
  <c r="BC422" i="1"/>
  <c r="F422" i="1"/>
  <c r="BC421" i="1"/>
  <c r="F421" i="1"/>
  <c r="BC420" i="1"/>
  <c r="F420" i="1"/>
  <c r="BC419" i="1"/>
  <c r="F419" i="1"/>
  <c r="BC418" i="1"/>
  <c r="F418" i="1"/>
  <c r="BC417" i="1"/>
  <c r="F417" i="1"/>
  <c r="BC416" i="1"/>
  <c r="F416" i="1"/>
  <c r="BC415" i="1"/>
  <c r="F415" i="1"/>
  <c r="BC414" i="1"/>
  <c r="F414" i="1"/>
  <c r="BC413" i="1"/>
  <c r="F413" i="1"/>
  <c r="BC412" i="1"/>
  <c r="F412" i="1"/>
  <c r="BC411" i="1"/>
  <c r="F411" i="1"/>
  <c r="BC410" i="1"/>
  <c r="F410" i="1"/>
  <c r="BC409" i="1"/>
  <c r="F409" i="1"/>
  <c r="BC408" i="1"/>
  <c r="F408" i="1"/>
  <c r="BC407" i="1"/>
  <c r="F407" i="1"/>
  <c r="BC406" i="1"/>
  <c r="F406" i="1"/>
  <c r="BC405" i="1"/>
  <c r="F405" i="1"/>
  <c r="BC404" i="1"/>
  <c r="F404" i="1"/>
  <c r="BC403" i="1"/>
  <c r="F403" i="1"/>
  <c r="BC402" i="1"/>
  <c r="F402" i="1"/>
  <c r="BC401" i="1"/>
  <c r="F401" i="1"/>
  <c r="BC400" i="1"/>
  <c r="F400" i="1"/>
  <c r="BC399" i="1"/>
  <c r="F399" i="1"/>
  <c r="BC398" i="1"/>
  <c r="F398" i="1"/>
  <c r="BC397" i="1"/>
  <c r="F397" i="1"/>
  <c r="BC396" i="1"/>
  <c r="F396" i="1"/>
  <c r="BC395" i="1"/>
  <c r="F395" i="1"/>
  <c r="BC394" i="1"/>
  <c r="F394" i="1"/>
  <c r="BC393" i="1"/>
  <c r="F393" i="1"/>
  <c r="BC392" i="1"/>
  <c r="F392" i="1"/>
  <c r="BC391" i="1"/>
  <c r="F391" i="1"/>
  <c r="BC390" i="1"/>
  <c r="F390" i="1"/>
  <c r="BC389" i="1"/>
  <c r="F389" i="1"/>
  <c r="BC388" i="1"/>
  <c r="F388" i="1"/>
  <c r="BC387" i="1"/>
  <c r="F387" i="1"/>
  <c r="BC386" i="1"/>
  <c r="F386" i="1"/>
  <c r="BC385" i="1"/>
  <c r="F385" i="1"/>
  <c r="BC384" i="1"/>
  <c r="F384" i="1"/>
  <c r="BC383" i="1"/>
  <c r="F383" i="1"/>
  <c r="BC382" i="1"/>
  <c r="F382" i="1"/>
  <c r="BC381" i="1"/>
  <c r="F381" i="1"/>
  <c r="BC380" i="1"/>
  <c r="F380" i="1"/>
  <c r="BC379" i="1"/>
  <c r="F379" i="1"/>
  <c r="BC378" i="1"/>
  <c r="F378" i="1"/>
  <c r="BC377" i="1"/>
  <c r="F377" i="1"/>
  <c r="BC376" i="1"/>
  <c r="F376" i="1"/>
  <c r="BC375" i="1"/>
  <c r="F375" i="1"/>
  <c r="BC374" i="1"/>
  <c r="F374" i="1"/>
  <c r="BC373" i="1"/>
  <c r="F373" i="1"/>
  <c r="BC372" i="1"/>
  <c r="F372" i="1"/>
  <c r="BC371" i="1"/>
  <c r="F371" i="1"/>
  <c r="BC370" i="1"/>
  <c r="F370" i="1"/>
  <c r="BC369" i="1"/>
  <c r="F369" i="1"/>
  <c r="BC368" i="1"/>
  <c r="F368" i="1"/>
  <c r="BC367" i="1"/>
  <c r="F367" i="1"/>
  <c r="BC366" i="1"/>
  <c r="F366" i="1"/>
  <c r="BC365" i="1"/>
  <c r="F365" i="1"/>
  <c r="BC364" i="1"/>
  <c r="F364" i="1"/>
  <c r="BC363" i="1"/>
  <c r="F363" i="1"/>
  <c r="BC362" i="1"/>
  <c r="F362" i="1"/>
  <c r="BC361" i="1"/>
  <c r="F361" i="1"/>
  <c r="BC360" i="1"/>
  <c r="F360" i="1"/>
  <c r="BC359" i="1"/>
  <c r="F359" i="1"/>
  <c r="BC358" i="1"/>
  <c r="F358" i="1"/>
  <c r="BC357" i="1"/>
  <c r="F357" i="1"/>
  <c r="BC356" i="1"/>
  <c r="F356" i="1"/>
  <c r="BC355" i="1"/>
  <c r="F355" i="1"/>
  <c r="BC354" i="1"/>
  <c r="F354" i="1"/>
  <c r="BC353" i="1"/>
  <c r="F353" i="1"/>
  <c r="BC352" i="1"/>
  <c r="F352" i="1"/>
  <c r="BC351" i="1"/>
  <c r="F351" i="1"/>
  <c r="BC350" i="1"/>
  <c r="F350" i="1"/>
  <c r="BC349" i="1"/>
  <c r="F349" i="1"/>
  <c r="BC348" i="1"/>
  <c r="F348" i="1"/>
  <c r="BC347" i="1"/>
  <c r="F347" i="1"/>
  <c r="BC346" i="1"/>
  <c r="F346" i="1"/>
  <c r="BC345" i="1"/>
  <c r="F345" i="1"/>
  <c r="BC344" i="1"/>
  <c r="F344" i="1"/>
  <c r="BC343" i="1"/>
  <c r="F343" i="1"/>
  <c r="BC342" i="1"/>
  <c r="F342" i="1"/>
  <c r="BC341" i="1"/>
  <c r="F341" i="1"/>
  <c r="BC340" i="1"/>
  <c r="F340" i="1"/>
  <c r="BC339" i="1"/>
  <c r="F339" i="1"/>
  <c r="BC338" i="1"/>
  <c r="F338" i="1"/>
  <c r="BC337" i="1"/>
  <c r="F337" i="1"/>
  <c r="BC336" i="1"/>
  <c r="F336" i="1"/>
  <c r="BC335" i="1"/>
  <c r="F335" i="1"/>
  <c r="BC334" i="1"/>
  <c r="F334" i="1"/>
  <c r="BC333" i="1"/>
  <c r="F333" i="1"/>
  <c r="BC332" i="1"/>
  <c r="F332" i="1"/>
  <c r="BC331" i="1"/>
  <c r="F331" i="1"/>
  <c r="BC330" i="1"/>
  <c r="F330" i="1"/>
  <c r="BC329" i="1"/>
  <c r="F329" i="1"/>
  <c r="BC328" i="1"/>
  <c r="F328" i="1"/>
  <c r="BC327" i="1"/>
  <c r="F327" i="1"/>
  <c r="BC326" i="1"/>
  <c r="F326" i="1"/>
  <c r="BC325" i="1"/>
  <c r="F325" i="1"/>
  <c r="BC324" i="1"/>
  <c r="F324" i="1"/>
  <c r="BC323" i="1"/>
  <c r="F323" i="1"/>
  <c r="BC322" i="1"/>
  <c r="F322" i="1"/>
  <c r="BC321" i="1"/>
  <c r="F321" i="1"/>
  <c r="BC320" i="1"/>
  <c r="F320" i="1"/>
  <c r="BC319" i="1"/>
  <c r="F319" i="1"/>
  <c r="BC318" i="1"/>
  <c r="F318" i="1"/>
  <c r="BC317" i="1"/>
  <c r="F317" i="1"/>
  <c r="BC316" i="1"/>
  <c r="F316" i="1"/>
  <c r="BC315" i="1"/>
  <c r="F315" i="1"/>
  <c r="BC314" i="1"/>
  <c r="F314" i="1"/>
  <c r="BC313" i="1"/>
  <c r="F313" i="1"/>
  <c r="BC312" i="1"/>
  <c r="F312" i="1"/>
  <c r="BC311" i="1"/>
  <c r="F311" i="1"/>
  <c r="BC310" i="1"/>
  <c r="F310" i="1"/>
  <c r="BC309" i="1"/>
  <c r="F309" i="1"/>
  <c r="BC308" i="1"/>
  <c r="F308" i="1"/>
  <c r="BC307" i="1"/>
  <c r="F307" i="1"/>
  <c r="BC306" i="1"/>
  <c r="F306" i="1"/>
  <c r="BC305" i="1"/>
  <c r="F305" i="1"/>
  <c r="BC304" i="1"/>
  <c r="F304" i="1"/>
  <c r="BC303" i="1"/>
  <c r="F303" i="1"/>
  <c r="BC302" i="1"/>
  <c r="F302" i="1"/>
  <c r="BC301" i="1"/>
  <c r="F301" i="1"/>
  <c r="BC300" i="1"/>
  <c r="F300" i="1"/>
  <c r="BC299" i="1"/>
  <c r="F299" i="1"/>
  <c r="BC298" i="1"/>
  <c r="F298" i="1"/>
  <c r="BC297" i="1"/>
  <c r="F297" i="1"/>
  <c r="BC296" i="1"/>
  <c r="F296" i="1"/>
  <c r="BC295" i="1"/>
  <c r="F295" i="1"/>
  <c r="BC294" i="1"/>
  <c r="F294" i="1"/>
  <c r="BC293" i="1"/>
  <c r="F293" i="1"/>
  <c r="BC292" i="1"/>
  <c r="F292" i="1"/>
  <c r="BC291" i="1"/>
  <c r="F291" i="1"/>
  <c r="BC290" i="1"/>
  <c r="F290" i="1"/>
  <c r="BC289" i="1"/>
  <c r="F289" i="1"/>
  <c r="BC288" i="1"/>
  <c r="F288" i="1"/>
  <c r="BC287" i="1"/>
  <c r="F287" i="1"/>
  <c r="BC286" i="1"/>
  <c r="F286" i="1"/>
  <c r="BC285" i="1"/>
  <c r="F285" i="1"/>
  <c r="BC284" i="1"/>
  <c r="F284" i="1"/>
  <c r="BC283" i="1"/>
  <c r="F283" i="1"/>
  <c r="BC282" i="1"/>
  <c r="F282" i="1"/>
  <c r="BC281" i="1"/>
  <c r="F281" i="1"/>
  <c r="BC280" i="1"/>
  <c r="F280" i="1"/>
  <c r="BC279" i="1"/>
  <c r="F279" i="1"/>
  <c r="BC278" i="1"/>
  <c r="F278" i="1"/>
  <c r="BC277" i="1"/>
  <c r="F277" i="1"/>
  <c r="BC276" i="1"/>
  <c r="F276" i="1"/>
  <c r="BC275" i="1"/>
  <c r="F275" i="1"/>
  <c r="BC274" i="1"/>
  <c r="F274" i="1"/>
  <c r="BC273" i="1"/>
  <c r="F273" i="1"/>
  <c r="BC272" i="1"/>
  <c r="F272" i="1"/>
  <c r="BC271" i="1"/>
  <c r="F271" i="1"/>
  <c r="BC270" i="1"/>
  <c r="F270" i="1"/>
  <c r="BC269" i="1"/>
  <c r="F269" i="1"/>
  <c r="BC268" i="1"/>
  <c r="F268" i="1"/>
  <c r="BC267" i="1"/>
  <c r="F267" i="1"/>
  <c r="BC266" i="1"/>
  <c r="F266" i="1"/>
  <c r="BC265" i="1"/>
  <c r="F265" i="1"/>
  <c r="BC264" i="1"/>
  <c r="F264" i="1"/>
  <c r="BC263" i="1"/>
  <c r="F263" i="1"/>
  <c r="BC262" i="1"/>
  <c r="F262" i="1"/>
  <c r="BC261" i="1"/>
  <c r="F261" i="1"/>
  <c r="BC260" i="1"/>
  <c r="F260" i="1"/>
  <c r="BC259" i="1"/>
  <c r="F259" i="1"/>
  <c r="BC258" i="1"/>
  <c r="F258" i="1"/>
  <c r="BC257" i="1"/>
  <c r="F257" i="1"/>
  <c r="BC256" i="1"/>
  <c r="F256" i="1"/>
  <c r="BC255" i="1"/>
  <c r="F255" i="1"/>
  <c r="BC254" i="1"/>
  <c r="F254" i="1"/>
  <c r="BC253" i="1"/>
  <c r="F253" i="1"/>
  <c r="BC252" i="1"/>
  <c r="F252" i="1"/>
  <c r="BC251" i="1"/>
  <c r="F251" i="1"/>
  <c r="BC250" i="1"/>
  <c r="F250" i="1"/>
  <c r="BC249" i="1"/>
  <c r="F249" i="1"/>
  <c r="BC248" i="1"/>
  <c r="BC247" i="1"/>
  <c r="BC246" i="1"/>
  <c r="F246" i="1"/>
  <c r="BC245" i="1"/>
  <c r="F245" i="1"/>
  <c r="BC244" i="1"/>
  <c r="F244" i="1"/>
  <c r="BC243" i="1"/>
  <c r="F243" i="1"/>
  <c r="BC242" i="1"/>
  <c r="F242" i="1"/>
  <c r="BC241" i="1"/>
  <c r="F241" i="1"/>
  <c r="BC240" i="1"/>
  <c r="F240" i="1"/>
  <c r="BC239" i="1"/>
  <c r="F239" i="1"/>
  <c r="BC238" i="1"/>
  <c r="F238" i="1"/>
  <c r="BC237" i="1"/>
  <c r="BC236" i="1"/>
  <c r="F236" i="1"/>
  <c r="BC235" i="1"/>
  <c r="F235" i="1"/>
  <c r="BC234" i="1"/>
  <c r="F234" i="1"/>
  <c r="BC233" i="1"/>
  <c r="F233" i="1"/>
  <c r="BC232" i="1"/>
  <c r="F232" i="1"/>
  <c r="BC231" i="1"/>
  <c r="F231" i="1"/>
  <c r="BC230" i="1"/>
  <c r="F230" i="1"/>
  <c r="BC229" i="1"/>
  <c r="F229" i="1"/>
  <c r="BC228" i="1"/>
  <c r="F228" i="1"/>
  <c r="BC227" i="1"/>
  <c r="F227" i="1"/>
  <c r="BC226" i="1"/>
  <c r="F226" i="1"/>
  <c r="BC225" i="1"/>
  <c r="F225" i="1"/>
  <c r="BC224" i="1"/>
  <c r="F224" i="1"/>
  <c r="BC223" i="1"/>
  <c r="F223" i="1"/>
  <c r="BC222" i="1"/>
  <c r="F222" i="1"/>
  <c r="BC221" i="1"/>
  <c r="F221" i="1"/>
  <c r="BC220" i="1"/>
  <c r="F220" i="1"/>
  <c r="BC219" i="1"/>
  <c r="F219" i="1"/>
  <c r="BC218" i="1"/>
  <c r="F218" i="1"/>
  <c r="BC217" i="1"/>
  <c r="F217" i="1"/>
  <c r="BC216" i="1"/>
  <c r="F216" i="1"/>
  <c r="BC215" i="1"/>
  <c r="F215" i="1"/>
  <c r="BC214" i="1"/>
  <c r="F214" i="1"/>
  <c r="BC213" i="1"/>
  <c r="F213" i="1"/>
  <c r="BC212" i="1"/>
  <c r="F212" i="1"/>
  <c r="BC211" i="1"/>
  <c r="F211" i="1"/>
  <c r="BC210" i="1"/>
  <c r="F210" i="1"/>
  <c r="BC209" i="1"/>
  <c r="F209" i="1"/>
  <c r="BC208" i="1"/>
  <c r="F208" i="1"/>
  <c r="BC207" i="1"/>
  <c r="F207" i="1"/>
  <c r="BC206" i="1"/>
  <c r="F206" i="1"/>
  <c r="BC205" i="1"/>
  <c r="F205" i="1"/>
  <c r="BC204" i="1"/>
  <c r="F204" i="1"/>
  <c r="BC203" i="1"/>
  <c r="F203" i="1"/>
  <c r="BC202" i="1"/>
  <c r="F202" i="1"/>
  <c r="BC201" i="1"/>
  <c r="F201" i="1"/>
  <c r="BC200" i="1"/>
  <c r="F200" i="1"/>
  <c r="BC199" i="1"/>
  <c r="F199" i="1"/>
  <c r="BC198" i="1"/>
  <c r="F198" i="1"/>
  <c r="BC197" i="1"/>
  <c r="F197" i="1"/>
  <c r="BC196" i="1"/>
  <c r="F196" i="1"/>
  <c r="BC195" i="1"/>
  <c r="F195" i="1"/>
  <c r="BC194" i="1"/>
  <c r="F194" i="1"/>
  <c r="BC193" i="1"/>
  <c r="F193" i="1"/>
  <c r="BC192" i="1"/>
  <c r="F192" i="1"/>
  <c r="BC191" i="1"/>
  <c r="F191" i="1"/>
  <c r="BC190" i="1"/>
  <c r="F190" i="1"/>
  <c r="BC189" i="1"/>
  <c r="F189" i="1"/>
  <c r="BC188" i="1"/>
  <c r="F188" i="1"/>
  <c r="BC187" i="1"/>
  <c r="F187" i="1"/>
  <c r="BC186" i="1"/>
  <c r="F186" i="1"/>
  <c r="BC185" i="1"/>
  <c r="F185" i="1"/>
  <c r="BC184" i="1"/>
  <c r="F184" i="1"/>
  <c r="BC183" i="1"/>
  <c r="F183" i="1"/>
  <c r="BC182" i="1"/>
  <c r="F182" i="1"/>
  <c r="BC181" i="1"/>
  <c r="F181" i="1"/>
  <c r="BC180" i="1"/>
  <c r="F180" i="1"/>
  <c r="BC179" i="1"/>
  <c r="F179" i="1"/>
  <c r="BC178" i="1"/>
  <c r="F178" i="1"/>
  <c r="BC177" i="1"/>
  <c r="F177" i="1"/>
  <c r="BC176" i="1"/>
  <c r="F176" i="1"/>
  <c r="BC175" i="1"/>
  <c r="F175" i="1"/>
  <c r="BC174" i="1"/>
  <c r="F174" i="1"/>
  <c r="BC173" i="1"/>
  <c r="F173" i="1"/>
  <c r="BC172" i="1"/>
  <c r="F172" i="1"/>
  <c r="BC171" i="1"/>
  <c r="F171" i="1"/>
  <c r="BC170" i="1"/>
  <c r="F170" i="1"/>
  <c r="BC169" i="1"/>
  <c r="F169" i="1"/>
  <c r="BC168" i="1"/>
  <c r="F168" i="1"/>
  <c r="BC167" i="1"/>
  <c r="F167" i="1"/>
  <c r="BC166" i="1"/>
  <c r="F166" i="1"/>
  <c r="BE135" i="1"/>
  <c r="BD135" i="1"/>
  <c r="BC135" i="1"/>
  <c r="F135" i="1"/>
  <c r="BE134" i="1"/>
  <c r="BD134" i="1"/>
  <c r="BC134" i="1"/>
  <c r="F134" i="1"/>
  <c r="BE133" i="1"/>
  <c r="BD133" i="1"/>
  <c r="BC133" i="1"/>
  <c r="F133" i="1"/>
  <c r="BE132" i="1"/>
  <c r="BD132" i="1"/>
  <c r="F131" i="1"/>
  <c r="BE130" i="1"/>
  <c r="BD130" i="1"/>
  <c r="BC130" i="1"/>
  <c r="F130" i="1"/>
  <c r="BE129" i="1"/>
  <c r="BD129" i="1"/>
  <c r="BC129" i="1"/>
  <c r="F129" i="1"/>
  <c r="BE128" i="1"/>
  <c r="BD128" i="1"/>
  <c r="BC128" i="1"/>
  <c r="F128" i="1"/>
  <c r="BE127" i="1"/>
  <c r="BD127" i="1"/>
  <c r="BC127" i="1"/>
  <c r="F127" i="1"/>
  <c r="BE126" i="1"/>
  <c r="BD126" i="1"/>
  <c r="BC126" i="1"/>
  <c r="F126" i="1"/>
  <c r="BE125" i="1"/>
  <c r="BD125" i="1"/>
  <c r="BC125" i="1"/>
  <c r="F125" i="1"/>
  <c r="BE124" i="1"/>
  <c r="BD124" i="1"/>
  <c r="BE123" i="1"/>
  <c r="BD123" i="1"/>
  <c r="BC123" i="1"/>
  <c r="F123" i="1"/>
  <c r="BE122" i="1"/>
  <c r="BD122" i="1"/>
  <c r="BC122" i="1"/>
  <c r="F122" i="1"/>
  <c r="BE121" i="1"/>
  <c r="BD121" i="1"/>
  <c r="BC121" i="1"/>
  <c r="F121" i="1"/>
  <c r="BE120" i="1"/>
  <c r="BD120" i="1"/>
  <c r="BC120" i="1"/>
  <c r="F120" i="1"/>
  <c r="BE119" i="1"/>
  <c r="BD119" i="1"/>
  <c r="BC119" i="1"/>
  <c r="F119" i="1"/>
  <c r="BE116" i="1"/>
  <c r="BD116" i="1"/>
  <c r="BC116" i="1"/>
  <c r="F116" i="1"/>
  <c r="BE115" i="1"/>
  <c r="BD115" i="1"/>
  <c r="BC115" i="1"/>
  <c r="F115" i="1"/>
  <c r="BE114" i="1"/>
  <c r="BD114" i="1"/>
  <c r="BC114" i="1"/>
  <c r="F114" i="1"/>
  <c r="BE113" i="1"/>
  <c r="BD113" i="1"/>
  <c r="BC113" i="1"/>
  <c r="F113" i="1"/>
  <c r="BE112" i="1"/>
  <c r="BD112" i="1"/>
  <c r="BC112" i="1"/>
  <c r="F112" i="1"/>
  <c r="BE111" i="1"/>
  <c r="BD111" i="1"/>
  <c r="BC111" i="1"/>
  <c r="F111" i="1"/>
  <c r="BE110" i="1"/>
  <c r="BD110" i="1"/>
  <c r="BC110" i="1"/>
  <c r="F110" i="1"/>
  <c r="BE109" i="1"/>
  <c r="BD109" i="1"/>
  <c r="BC109" i="1"/>
  <c r="F109" i="1"/>
  <c r="BE108" i="1"/>
  <c r="BD108" i="1"/>
  <c r="BC108" i="1"/>
  <c r="F108" i="1"/>
  <c r="BE107" i="1"/>
  <c r="BD107" i="1"/>
  <c r="BC107" i="1"/>
  <c r="F107" i="1"/>
  <c r="BE106" i="1"/>
  <c r="BD106" i="1"/>
  <c r="BC106" i="1"/>
  <c r="BE105" i="1"/>
  <c r="BD105" i="1"/>
  <c r="BC105" i="1"/>
  <c r="F105" i="1"/>
  <c r="BE104" i="1"/>
  <c r="BD104" i="1"/>
  <c r="BC104" i="1"/>
  <c r="F104" i="1"/>
  <c r="BE103" i="1"/>
  <c r="BD103" i="1"/>
  <c r="BE102" i="1"/>
  <c r="BD102" i="1"/>
  <c r="BC102" i="1"/>
  <c r="F102" i="1"/>
  <c r="BE101" i="1"/>
  <c r="BD101" i="1"/>
  <c r="BC101" i="1"/>
  <c r="F101" i="1"/>
  <c r="BE100" i="1"/>
  <c r="BD100" i="1"/>
  <c r="BE99" i="1"/>
  <c r="BD99" i="1"/>
  <c r="BC99" i="1"/>
  <c r="F99" i="1"/>
  <c r="BE98" i="1"/>
  <c r="BD98" i="1"/>
  <c r="BC98" i="1"/>
  <c r="F98" i="1"/>
  <c r="BE97" i="1"/>
  <c r="BD97" i="1"/>
  <c r="BC97" i="1"/>
  <c r="F97" i="1"/>
  <c r="BE96" i="1"/>
  <c r="BD96" i="1"/>
  <c r="BC96" i="1"/>
  <c r="F96" i="1"/>
  <c r="BE95" i="1"/>
  <c r="BD95" i="1"/>
  <c r="BC95" i="1"/>
  <c r="F95" i="1"/>
  <c r="BE94" i="1"/>
  <c r="BD94" i="1"/>
  <c r="BC94" i="1"/>
  <c r="F94" i="1"/>
  <c r="BE93" i="1"/>
  <c r="BD93" i="1"/>
  <c r="BC93" i="1"/>
  <c r="F93" i="1"/>
  <c r="BE92" i="1"/>
  <c r="BD92" i="1"/>
  <c r="BC92" i="1"/>
  <c r="F92" i="1"/>
  <c r="BE91" i="1"/>
  <c r="BD91" i="1"/>
  <c r="BC91" i="1"/>
  <c r="F91" i="1"/>
  <c r="BE90" i="1"/>
  <c r="BD90" i="1"/>
  <c r="BC90" i="1"/>
  <c r="F90" i="1"/>
  <c r="BE89" i="1"/>
  <c r="BD89" i="1"/>
  <c r="BC89" i="1"/>
  <c r="F89" i="1"/>
  <c r="BE86" i="1"/>
  <c r="BD86" i="1"/>
  <c r="BC86" i="1"/>
  <c r="F86" i="1"/>
  <c r="BE85" i="1"/>
  <c r="BD85" i="1"/>
  <c r="BE84" i="1"/>
  <c r="BD84" i="1"/>
  <c r="BC84" i="1"/>
  <c r="F84" i="1"/>
  <c r="BE83" i="1"/>
  <c r="BD83" i="1"/>
  <c r="BC83" i="1"/>
  <c r="F83" i="1"/>
  <c r="BE82" i="1"/>
  <c r="BD82" i="1"/>
  <c r="BC82" i="1"/>
  <c r="F82" i="1"/>
  <c r="BE81" i="1"/>
  <c r="BD81" i="1"/>
  <c r="BC81" i="1"/>
  <c r="F81" i="1"/>
  <c r="BE80" i="1"/>
  <c r="BD80" i="1"/>
  <c r="BC80" i="1"/>
  <c r="F80" i="1"/>
  <c r="BE79" i="1"/>
  <c r="BD79" i="1"/>
  <c r="BC79" i="1"/>
  <c r="F79" i="1"/>
  <c r="BE78" i="1"/>
  <c r="BD78" i="1"/>
  <c r="BC78" i="1"/>
  <c r="F78" i="1"/>
  <c r="BE77" i="1"/>
  <c r="BD77" i="1"/>
  <c r="BC77" i="1"/>
  <c r="F77" i="1"/>
  <c r="BE76" i="1"/>
  <c r="BD76" i="1"/>
  <c r="BC76" i="1"/>
  <c r="F76" i="1"/>
  <c r="BE75" i="1"/>
  <c r="BD75" i="1"/>
  <c r="BC75" i="1"/>
  <c r="F75" i="1"/>
  <c r="BE74" i="1"/>
  <c r="BD74" i="1"/>
  <c r="BC74" i="1"/>
  <c r="F74" i="1"/>
  <c r="BE73" i="1"/>
  <c r="BD73" i="1"/>
  <c r="BC73" i="1"/>
  <c r="F73" i="1"/>
  <c r="BE72" i="1"/>
  <c r="BD72" i="1"/>
  <c r="BC72" i="1"/>
  <c r="F72" i="1"/>
  <c r="BE71" i="1"/>
  <c r="BD71" i="1"/>
  <c r="BC71" i="1"/>
  <c r="F71" i="1"/>
  <c r="BE70" i="1"/>
  <c r="BD70" i="1"/>
  <c r="BC70" i="1"/>
  <c r="F70" i="1"/>
  <c r="BE69" i="1"/>
  <c r="BD69" i="1"/>
  <c r="BC69" i="1"/>
  <c r="F69" i="1"/>
  <c r="BE68" i="1"/>
  <c r="BD68" i="1"/>
  <c r="BC68" i="1"/>
  <c r="F68" i="1"/>
  <c r="BE67" i="1"/>
  <c r="BD67" i="1"/>
  <c r="BC67" i="1"/>
  <c r="F67" i="1"/>
  <c r="BE66" i="1"/>
  <c r="BD66" i="1"/>
  <c r="BC66" i="1"/>
  <c r="F66" i="1"/>
  <c r="BE65" i="1"/>
  <c r="BD65" i="1"/>
  <c r="BC65" i="1"/>
  <c r="F65" i="1"/>
  <c r="BE62" i="1"/>
  <c r="BD62" i="1"/>
  <c r="BC62" i="1"/>
  <c r="F62" i="1"/>
  <c r="BE61" i="1"/>
  <c r="BD61" i="1"/>
  <c r="BC61" i="1"/>
  <c r="F61" i="1"/>
  <c r="BE60" i="1"/>
  <c r="BD60" i="1"/>
  <c r="BC60" i="1"/>
  <c r="F60" i="1"/>
  <c r="BE59" i="1"/>
  <c r="BD59" i="1"/>
  <c r="BC59" i="1"/>
  <c r="F59" i="1"/>
  <c r="BE58" i="1"/>
  <c r="BD58" i="1"/>
  <c r="BC58" i="1"/>
  <c r="F58" i="1"/>
  <c r="BE57" i="1"/>
  <c r="BD57" i="1"/>
  <c r="BC57" i="1"/>
  <c r="F57" i="1"/>
  <c r="BE56" i="1"/>
  <c r="BD56" i="1"/>
  <c r="BC56" i="1"/>
  <c r="F56" i="1"/>
  <c r="BE55" i="1"/>
  <c r="BD55" i="1"/>
  <c r="BC55" i="1"/>
  <c r="F55" i="1"/>
  <c r="BE54" i="1"/>
  <c r="BD54" i="1"/>
  <c r="BC54" i="1"/>
  <c r="F54" i="1"/>
  <c r="BE53" i="1"/>
  <c r="BD53" i="1"/>
  <c r="BC53" i="1"/>
  <c r="F53" i="1"/>
  <c r="BE52" i="1"/>
  <c r="BD52" i="1"/>
  <c r="BC52" i="1"/>
  <c r="F52" i="1"/>
  <c r="BE51" i="1"/>
  <c r="BD51" i="1"/>
  <c r="BC51" i="1"/>
  <c r="F51" i="1"/>
  <c r="BE50" i="1"/>
  <c r="BD50" i="1"/>
  <c r="BC50" i="1"/>
  <c r="F50" i="1"/>
  <c r="BE49" i="1"/>
  <c r="BD49" i="1"/>
  <c r="BC49" i="1"/>
  <c r="F49" i="1"/>
  <c r="BE47" i="1"/>
  <c r="BD47" i="1"/>
  <c r="BC47" i="1"/>
  <c r="F47" i="1"/>
  <c r="BE46" i="1"/>
  <c r="BD46" i="1"/>
  <c r="BC46" i="1"/>
  <c r="F46" i="1"/>
  <c r="BE45" i="1"/>
  <c r="BD45" i="1"/>
  <c r="BC45" i="1"/>
  <c r="F45" i="1"/>
  <c r="BE44" i="1"/>
  <c r="BD44" i="1"/>
  <c r="BC44" i="1"/>
  <c r="F44" i="1"/>
  <c r="BE43" i="1"/>
  <c r="BD43" i="1"/>
  <c r="BC43" i="1"/>
  <c r="F43" i="1"/>
  <c r="BC38" i="1"/>
  <c r="F38" i="1"/>
  <c r="BC37" i="1"/>
  <c r="F37" i="1"/>
  <c r="BC36" i="1"/>
  <c r="F36" i="1"/>
  <c r="BC35" i="1"/>
  <c r="F35" i="1"/>
  <c r="BC34" i="1"/>
  <c r="BC33" i="1"/>
  <c r="F33" i="1"/>
  <c r="BC32" i="1"/>
  <c r="BC31" i="1"/>
  <c r="BC30" i="1"/>
  <c r="BC29" i="1"/>
  <c r="F29" i="1"/>
  <c r="BC28" i="1"/>
  <c r="F28" i="1"/>
  <c r="BC27" i="1"/>
  <c r="F27" i="1"/>
  <c r="BC26" i="1"/>
  <c r="F26" i="1"/>
  <c r="BC25" i="1"/>
  <c r="F25" i="1"/>
  <c r="BC24" i="1"/>
  <c r="F24" i="1"/>
  <c r="BC23" i="1"/>
  <c r="BC22" i="1"/>
  <c r="F22" i="1"/>
  <c r="BC21" i="1"/>
  <c r="F21" i="1"/>
  <c r="BC20" i="1"/>
  <c r="F20" i="1"/>
  <c r="BC19" i="1"/>
  <c r="F19" i="1"/>
  <c r="BC18" i="1"/>
  <c r="F18" i="1"/>
  <c r="BC17" i="1"/>
  <c r="F17" i="1"/>
  <c r="BC16" i="1"/>
  <c r="F16" i="1"/>
  <c r="BC15" i="1"/>
  <c r="F15" i="1"/>
  <c r="BC14" i="1"/>
  <c r="F14" i="1"/>
  <c r="BC13" i="1"/>
  <c r="F13" i="1"/>
  <c r="BC12" i="1"/>
  <c r="F12" i="1"/>
  <c r="BC11" i="1"/>
  <c r="F11" i="1"/>
  <c r="BC10" i="1"/>
  <c r="F10" i="1"/>
  <c r="BC9" i="1"/>
  <c r="F9" i="1"/>
  <c r="BC8" i="1"/>
  <c r="F8" i="1"/>
  <c r="BC7" i="1"/>
  <c r="BC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BB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R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T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Q133"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Q238"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Q243"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Q277"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<sst xmlns="http://schemas.openxmlformats.org/spreadsheetml/2006/main" count="18142" uniqueCount="6235">
  <si>
    <t>Id</t>
  </si>
  <si>
    <t>units</t>
  </si>
  <si>
    <t>string</t>
  </si>
  <si>
    <t>UnitData[]</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</si>
  <si>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</si>
  <si>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</si>
  <si>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</si>
  <si>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</si>
  <si>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</si>
  <si>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</si>
  <si>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</si>
  <si>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</si>
  <si>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</si>
  <si>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</si>
  <si>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</si>
  <si>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</si>
  <si>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</si>
  <si>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</si>
  <si>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</si>
  <si>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</si>
  <si>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</si>
  <si>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</si>
  <si>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</si>
  <si>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</si>
  <si>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</si>
  <si>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</si>
  <si>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</si>
  <si>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</si>
  <si>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</si>
  <si>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</si>
  <si>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</si>
  <si>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</si>
  <si>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</si>
  <si>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</si>
  <si>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</si>
  <si>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</si>
  <si>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</si>
  <si>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</si>
  <si>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</si>
  <si>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</si>
  <si>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</si>
  <si>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</si>
  <si>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</si>
  <si>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</si>
  <si>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</si>
  <si>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</si>
  <si>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</si>
  <si>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</si>
  <si>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</si>
  <si>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</si>
  <si>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</si>
  <si>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</si>
  <si>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</si>
  <si>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</si>
  <si>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</si>
  <si>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</si>
  <si>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</si>
  <si>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</si>
  <si>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</si>
  <si>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</si>
  <si>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</si>
  <si>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</si>
  <si>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</si>
  <si>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</si>
  <si>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</si>
  <si>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</si>
  <si>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</si>
  <si>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</si>
  <si>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</si>
  <si>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</si>
  <si>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</si>
  <si>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</si>
  <si>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</si>
  <si>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</si>
  <si>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</si>
  <si>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</si>
  <si>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</si>
  <si>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</si>
  <si>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</si>
  <si>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</si>
  <si>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</si>
  <si>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</si>
  <si>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</si>
  <si>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</si>
  <si>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</si>
  <si>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</si>
  <si>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</si>
  <si>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</si>
  <si>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</si>
  <si>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</si>
  <si>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</si>
  <si>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</si>
  <si>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</si>
  <si>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</si>
  <si>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</si>
  <si>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</si>
  <si>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</si>
  <si>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</si>
  <si>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</si>
  <si>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</si>
  <si>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</si>
  <si>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</si>
  <si>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</si>
  <si>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</si>
  <si>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</si>
  <si>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</si>
  <si>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</si>
  <si>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</si>
  <si>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</si>
  <si>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</si>
  <si>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阻挡个数</t>
  </si>
  <si>
    <t>返还倍率</t>
  </si>
  <si>
    <t>不占用地板</t>
  </si>
  <si>
    <t>生命恢复</t>
  </si>
  <si>
    <t>不参与击杀计数</t>
  </si>
  <si>
    <t>终点伤害</t>
  </si>
  <si>
    <t>抗性</t>
  </si>
  <si>
    <t>半径</t>
  </si>
  <si>
    <t>大小</t>
  </si>
  <si>
    <t>阻挡？</t>
  </si>
  <si>
    <t>仅阻挡时可被攻击</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</si>
  <si>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</si>
  <si>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</si>
  <si>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</si>
  <si>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</si>
  <si>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</si>
  <si>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</si>
  <si>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</si>
  <si>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</si>
  <si>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</si>
  <si>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</si>
  <si>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</si>
  <si>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</si>
  <si>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</si>
  <si>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</si>
  <si>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</si>
  <si>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</si>
  <si>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</si>
  <si>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</si>
  <si>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</si>
  <si>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</si>
  <si>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</si>
  <si>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</si>
  <si>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</si>
  <si>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</si>
  <si>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</si>
  <si>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</si>
  <si>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</si>
  <si>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</si>
  <si>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</si>
  <si>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</si>
  <si>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</si>
  <si>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</si>
  <si>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</si>
  <si>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</si>
  <si>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</si>
  <si>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</si>
  <si>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</si>
  <si>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</si>
  <si>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</si>
  <si>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</si>
  <si>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</si>
  <si>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StopCount</t>
  </si>
  <si>
    <t>LeaveReturn</t>
  </si>
  <si>
    <t>NotUseTile</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</si>
  <si>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</si>
  <si>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</si>
  <si>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</si>
  <si>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</si>
  <si>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</si>
  <si>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</si>
  <si>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</si>
  <si>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</si>
  <si>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</si>
  <si>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</si>
  <si>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</si>
  <si>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</si>
  <si>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</si>
  <si>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</si>
  <si>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</si>
  <si>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</si>
  <si>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</si>
  <si>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</si>
  <si>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</si>
  <si>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</si>
  <si>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</si>
  <si>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</si>
  <si>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</si>
  <si>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</si>
  <si>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</si>
  <si>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</si>
  <si>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</si>
  <si>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</si>
  <si>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</si>
  <si>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</si>
  <si>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</si>
  <si>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</si>
  <si>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</si>
  <si>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</si>
  <si>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</si>
  <si>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</si>
  <si>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</si>
  <si>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</si>
  <si>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</si>
  <si>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</si>
  <si>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</si>
  <si>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</si>
  <si>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</si>
  <si>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</si>
  <si>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</si>
  <si>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</si>
  <si>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</si>
  <si>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</si>
  <si>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</si>
  <si>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</si>
  <si>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</si>
  <si>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</si>
  <si>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</si>
  <si>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</si>
  <si>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</si>
  <si>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</si>
  <si>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</si>
  <si>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</si>
  <si>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</si>
  <si>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</si>
  <si>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</si>
  <si>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</si>
  <si>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</si>
  <si>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</si>
  <si>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</si>
  <si>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</si>
  <si>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</si>
  <si>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</si>
  <si>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</si>
  <si>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</si>
  <si>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</si>
  <si>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</si>
  <si>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</si>
  <si>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</si>
  <si>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</si>
  <si>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</si>
  <si>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</si>
  <si>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</si>
  <si>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</si>
  <si>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</si>
  <si>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</si>
  <si>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</si>
  <si>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</si>
  <si>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</si>
  <si>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</si>
  <si>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</si>
  <si>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</si>
  <si>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</si>
  <si>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</si>
  <si>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</si>
  <si>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</si>
  <si>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</si>
  <si>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</si>
  <si>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</si>
  <si>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</si>
  <si>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</si>
  <si>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</si>
  <si>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</si>
  <si>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</si>
  <si>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</si>
  <si>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</si>
  <si>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</si>
  <si>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</si>
  <si>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</si>
  <si>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</si>
  <si>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</si>
  <si>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</si>
  <si>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</si>
  <si>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</si>
  <si>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</si>
  <si>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</si>
  <si>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</si>
  <si>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</si>
  <si>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</si>
  <si>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</si>
  <si>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</si>
  <si>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</si>
  <si>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</si>
  <si>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</si>
  <si>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</si>
  <si>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</si>
  <si>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</si>
  <si>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</si>
  <si>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</si>
  <si>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</si>
  <si>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</si>
  <si>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</si>
  <si>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</si>
  <si>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</si>
  <si>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</si>
  <si>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</si>
  <si>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</si>
  <si>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</si>
  <si>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</si>
  <si>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</si>
  <si>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</si>
  <si>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</si>
  <si>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</si>
  <si>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</si>
  <si>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</si>
  <si>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</si>
  <si>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</si>
  <si>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</si>
  <si>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</si>
  <si>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</si>
  <si>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</si>
  <si>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</si>
  <si>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</si>
  <si>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</si>
  <si>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</si>
  <si>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</si>
  <si>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</si>
  <si>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</si>
  <si>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</si>
  <si>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</si>
  <si>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狙击步兵攻击,狙击步兵眩晕攻击,测试被动1</t>
  </si>
  <si>
    <t>神射手</t>
  </si>
  <si>
    <t>gansho_2</t>
  </si>
  <si>
    <t>1057</t>
  </si>
  <si>
    <t>神射手攻击</t>
  </si>
  <si>
    <t>{"天赋1":"天赋1描述","天赋2":"天赋2描述"}</t>
  </si>
  <si>
    <t>#干员</t>
  </si>
  <si>
    <t>干员</t>
  </si>
  <si>
    <t>medic2</t>
  </si>
  <si>
    <t>医疗小车攻击,医疗小车落地奶</t>
  </si>
  <si>
    <t>医疗</t>
  </si>
  <si>
    <t>医师</t>
  </si>
  <si>
    <t>211,81,1500,1500</t>
  </si>
  <si>
    <t>远程位</t>
  </si>
  <si>
    <t>罗德岛,远程</t>
  </si>
  <si>
    <t>恢复友方单位生命，且不受部署数量限制，但再部署时间极长</t>
  </si>
  <si>
    <t>{"救援喷雾·VI":"部署后立即恢复全场友方单位500点生命"}</t>
  </si>
  <si>
    <t>cast3</t>
  </si>
  <si>
    <t>近卫小车攻击,近卫小车加攻</t>
  </si>
  <si>
    <t>近卫</t>
  </si>
  <si>
    <t>无畏者</t>
  </si>
  <si>
    <t>近战位</t>
  </si>
  <si>
    <t>罗德岛,近战</t>
  </si>
  <si>
    <t>能够阻挡一个敌人，且不受部署数量限制，但再部署时间极长</t>
  </si>
  <si>
    <t>{"战术整理·VI":"部署后10秒内所有友方【近战位】单位的攻击力和防御力+20%"}</t>
  </si>
  <si>
    <t>noirc</t>
  </si>
  <si>
    <t>斑点攻击,黑角被动</t>
  </si>
  <si>
    <t>重装</t>
  </si>
  <si>
    <t>铁卫</t>
  </si>
  <si>
    <t>罗德岛,行动组A4,东,近战</t>
  </si>
  <si>
    <t>能够阻挡三个敌人</t>
  </si>
  <si>
    <t>{"装甲改良":"生命上限和防御力各直接乘算里属于叠加，并非叠乘12%+12%"}</t>
  </si>
  <si>
    <t>rang</t>
  </si>
  <si>
    <t>巡林者攻击</t>
  </si>
  <si>
    <t>狙击</t>
  </si>
  <si>
    <t>速射手</t>
  </si>
  <si>
    <t>罗德岛,行动组A4,远程</t>
  </si>
  <si>
    <t>优先攻击空中单位</t>
  </si>
  <si>
    <t>{"空射大师":"攻击飞行目标时，攻击力+50%"}</t>
  </si>
  <si>
    <t>durin</t>
  </si>
  <si>
    <t>杜林攻击,杜林被动</t>
  </si>
  <si>
    <t>术士</t>
  </si>
  <si>
    <t>中坚术师</t>
  </si>
  <si>
    <t>攻击造成法术伤害</t>
  </si>
  <si>
    <t>{"小个子的幸运":"获得50%的法术闪避"}</t>
  </si>
  <si>
    <t>spot</t>
  </si>
  <si>
    <t>斑点攻击</t>
  </si>
  <si>
    <t>斑点奶人</t>
  </si>
  <si>
    <t>守护者</t>
  </si>
  <si>
    <t>罗德岛,行动组A6,萨尔贡,近战</t>
  </si>
  <si>
    <t>技能可以治疗友方单位</t>
  </si>
  <si>
    <t>{"烟雾加装":"治疗友方单位后为其提供持续3秒的25%物理闪避"}</t>
  </si>
  <si>
    <t>popka</t>
  </si>
  <si>
    <t>泡普卡攻击,三星被动加攻血</t>
  </si>
  <si>
    <t>攻击强化1</t>
  </si>
  <si>
    <t>强攻手</t>
  </si>
  <si>
    <t>罗德岛,行动组A6,雷姆必拓,近战</t>
  </si>
  <si>
    <t>同时攻击阻挡的所有敌人</t>
  </si>
  <si>
    <t>{"生命攻击提升":"生命上限8%，攻击力8%"}</t>
  </si>
  <si>
    <t>midn</t>
  </si>
  <si>
    <t>月见夜远攻,月见夜攻击</t>
  </si>
  <si>
    <t>月见夜技能远攻</t>
  </si>
  <si>
    <t>领主</t>
  </si>
  <si>
    <t>罗德岛,行动组A6,东,近战</t>
  </si>
  <si>
    <t>可以进行远程攻击，但此时攻击力降低至80%</t>
  </si>
  <si>
    <t>{"要害瞄准·初级":"攻击时，20%几率当次攻击的攻击力提升至160%"}</t>
  </si>
  <si>
    <t>catap</t>
  </si>
  <si>
    <t>空爆攻击,三星被动减费</t>
  </si>
  <si>
    <t>空爆技能</t>
  </si>
  <si>
    <t>炮手</t>
  </si>
  <si>
    <t>罗德岛,行动组A6,卡西米尔,远程</t>
  </si>
  <si>
    <t>攻击造成群体物理伤害</t>
  </si>
  <si>
    <t>{"轻量化":"自身部署费用-1"}</t>
  </si>
  <si>
    <t>orchid</t>
  </si>
  <si>
    <t>梓兰攻击,梓兰被动加攻速</t>
  </si>
  <si>
    <t>迅捷打击1</t>
  </si>
  <si>
    <t>辅助</t>
  </si>
  <si>
    <t>凝滞师</t>
  </si>
  <si>
    <t>罗德岛,行动组A6,哥伦比亚,远程</t>
  </si>
  <si>
    <t>攻击造成法术伤害，并对敌人造成短暂的停顿移动速度降低80%</t>
  </si>
  <si>
    <t>{"施法速度提升":"攻击速度+9"}</t>
  </si>
  <si>
    <t>stward</t>
  </si>
  <si>
    <t>史都华德攻击,史都华德被动加攻击</t>
  </si>
  <si>
    <t>史都华德技能</t>
  </si>
  <si>
    <t>罗德岛,行动组A4,谢拉格,远程</t>
  </si>
  <si>
    <t>{"铠甲突破":"攻击力+6%，优先攻击防御力最高的敌人"}</t>
  </si>
  <si>
    <t>ansel</t>
  </si>
  <si>
    <t>安塞尔攻击</t>
  </si>
  <si>
    <t>安塞尔技能</t>
  </si>
  <si>
    <t>罗德岛,行动组A4,雷姆必拓,远程</t>
  </si>
  <si>
    <t>恢复友方单位生命</t>
  </si>
  <si>
    <t>{"附加治疗":"有18%的几率额外治疗一名友方单位"}</t>
  </si>
  <si>
    <t>hibisc</t>
  </si>
  <si>
    <t>芙蓉攻击,三星被动加攻击</t>
  </si>
  <si>
    <t>治疗强化1</t>
  </si>
  <si>
    <t>罗德岛,行动组A1,维多利亚,远程</t>
  </si>
  <si>
    <t>{"治疗力提升":"攻击力+8%"}</t>
  </si>
  <si>
    <t>lava</t>
  </si>
  <si>
    <t>炎熔攻击,炎熔部署回技力</t>
  </si>
  <si>
    <t>攻速强化1</t>
  </si>
  <si>
    <t>扩散术师</t>
  </si>
  <si>
    <t>攻击造成群体法术伤害</t>
  </si>
  <si>
    <t>{"快速技能使用":"部署后立即获得30点技力"}</t>
  </si>
  <si>
    <t>adnach</t>
  </si>
  <si>
    <t>安德切尔攻击,安德切尔被动加攻速</t>
  </si>
  <si>
    <t>罗德岛,行动组A4,拉特兰,远程</t>
  </si>
  <si>
    <t>{"短板突破":"攻击速度+8，优先攻击使用远程武器的敌人"}</t>
  </si>
  <si>
    <t>kroos</t>
  </si>
  <si>
    <t>124</t>
  </si>
  <si>
    <t>克洛斯攻击</t>
  </si>
  <si>
    <t>克洛斯技能</t>
  </si>
  <si>
    <t>罗德岛,行动组A1,雷姆必拓,远程</t>
  </si>
  <si>
    <t>beagle</t>
  </si>
  <si>
    <t>米格鲁攻击,三星被动加防御</t>
  </si>
  <si>
    <t>防御提升1</t>
  </si>
  <si>
    <t>罗德岛,行动组A1,玻利瓦尔,近战</t>
  </si>
  <si>
    <t>{"防御提升":"防御力+10%"}</t>
  </si>
  <si>
    <t>ardign</t>
  </si>
  <si>
    <t>卡提攻击,三星被动加生命</t>
  </si>
  <si>
    <t>生命回复1</t>
  </si>
  <si>
    <t>罗德岛,行动组A4,莱塔尼亚,近战</t>
  </si>
  <si>
    <t>{"生命上限提升":"生命上限+12%"}</t>
  </si>
  <si>
    <t>melan</t>
  </si>
  <si>
    <t>玫兰沙攻击,三星被动加攻击</t>
  </si>
  <si>
    <t>罗德岛,行动组A4,维多利亚,近战</t>
  </si>
  <si>
    <t>能够阻挡一个敌人</t>
  </si>
  <si>
    <t>{"攻击提升":"攻击力+8%"}</t>
  </si>
  <si>
    <t>nights</t>
  </si>
  <si>
    <t>夜烟攻击</t>
  </si>
  <si>
    <t>攻击强化2,夜烟2技能</t>
  </si>
  <si>
    <t>维多利亚,远程</t>
  </si>
  <si>
    <t>{"黑色迷雾":"攻击使目标法术抗性90%-10%，持续1秒"}</t>
  </si>
  <si>
    <t>fmout</t>
  </si>
  <si>
    <t>远山攻击,远山被动</t>
  </si>
  <si>
    <t>攻速强化2,远山2</t>
  </si>
  <si>
    <t>萨米,远程</t>
  </si>
  <si>
    <t>{"占卜":"部署后随机永久获得下列一项增益：攻击力直接乘算里属于叠加，并非叠乘7%+7%；攻击速度7+7；生命上限直接乘算里属于叠加，并非叠乘12%+12%"}</t>
  </si>
  <si>
    <t>jesica</t>
  </si>
  <si>
    <t>杰西卡攻击</t>
  </si>
  <si>
    <t>杰西卡强力击,杰西卡2</t>
  </si>
  <si>
    <t>哥伦比亚,黑钢国际,维多利亚,远程</t>
  </si>
  <si>
    <t>{"快速弹匣":"攻击速度+6"}</t>
  </si>
  <si>
    <t>shotst</t>
  </si>
  <si>
    <t>流星攻击</t>
  </si>
  <si>
    <t>流星碎甲击,流星碎甲击2</t>
  </si>
  <si>
    <t>卡西米尔,远程</t>
  </si>
  <si>
    <t>{"空射专精":"攻击飞行目标时，攻击力+20%"}</t>
  </si>
  <si>
    <t>yuki</t>
  </si>
  <si>
    <t>白雪攻击,白雪被动</t>
  </si>
  <si>
    <t>白雪1,白雪2</t>
  </si>
  <si>
    <t>东,远程</t>
  </si>
  <si>
    <t>{"重型手里剑":"攻击间隔略微增大0.2(+0.2)，但攻击力直接乘算里属于叠加，并非叠乘20%+20%"}</t>
  </si>
  <si>
    <t>doberm</t>
  </si>
  <si>
    <t>杜宾攻击,杜宾被动</t>
  </si>
  <si>
    <t>杜宾强力击,杜宾2自身</t>
  </si>
  <si>
    <t>教官</t>
  </si>
  <si>
    <t>罗德岛,玻利瓦尔,近战</t>
  </si>
  <si>
    <t>可以攻击到较远敌人，攻击自身未阻挡的敌人时攻击力提升至120%</t>
  </si>
  <si>
    <t>{"新人教官":"在场时，[注 1]所有三星干员的攻击力直接乘算里属于叠加，并非叠乘5%+5%"}</t>
  </si>
  <si>
    <t>gyuki</t>
  </si>
  <si>
    <t>缠丸攻击,缠丸被动</t>
  </si>
  <si>
    <t>生命回复2,缠丸2</t>
  </si>
  <si>
    <t>东,近战</t>
  </si>
  <si>
    <t>{"恶鬼体质":"防御力直接乘算里属于叠加，并非叠乘(-20%)-20%，但最大生命值直接乘算里属于叠加，并非叠乘20%+20%"}</t>
  </si>
  <si>
    <t>frostl</t>
  </si>
  <si>
    <t>霜叶远攻,霜叶攻击</t>
  </si>
  <si>
    <t>霜叶强力击,霜叶2远攻</t>
  </si>
  <si>
    <t>罗德岛,哥伦比亚,近战</t>
  </si>
  <si>
    <t>{"掩护打击":"攻击范围扩大，但攻击间隔略微增大0.15(+0.15s)"}</t>
  </si>
  <si>
    <t>estell</t>
  </si>
  <si>
    <t>艾丝黛尔</t>
  </si>
  <si>
    <t>艾斯黛尔攻击,艾斯黛尔被动</t>
  </si>
  <si>
    <t>攻击强化2,艾斯黛尔2</t>
  </si>
  <si>
    <t>萨尔贡,近战</t>
  </si>
  <si>
    <t>{"自愈能力":"周围8格内有敌人倒下时，恢复自身最大生命值7%的生命"}</t>
  </si>
  <si>
    <t>frncat</t>
  </si>
  <si>
    <t>慕斯攻击,慕斯连击</t>
  </si>
  <si>
    <t>慕斯强力击,慕斯2</t>
  </si>
  <si>
    <t>术战者</t>
  </si>
  <si>
    <t>维多利亚,近战</t>
  </si>
  <si>
    <t>{"连击":"攻击时有10%的几率连续攻击两次"}</t>
  </si>
  <si>
    <t>gravel</t>
  </si>
  <si>
    <t>砾攻击,砾被动</t>
  </si>
  <si>
    <t>砾1,砾2</t>
  </si>
  <si>
    <t>特种</t>
  </si>
  <si>
    <t>处决者</t>
  </si>
  <si>
    <t>卡西米尔,近战</t>
  </si>
  <si>
    <t>再部署时间大幅度减少</t>
  </si>
  <si>
    <t>{"快速部署":"自身部署费用(-1)-1"}</t>
  </si>
  <si>
    <t>rope</t>
  </si>
  <si>
    <t>暗锁攻击,暗锁被动闪避</t>
  </si>
  <si>
    <t>暗锁拉人,暗锁主动拉人</t>
  </si>
  <si>
    <t>钩索师</t>
  </si>
  <si>
    <t>炎,龙门,雷姆必拓,近战</t>
  </si>
  <si>
    <t>技能可以使敌人产生位移可以放置于远程位</t>
  </si>
  <si>
    <t>{"听觉训练":"获得34%（+4%）的物理闪避"}</t>
  </si>
  <si>
    <t>Skill_Start,Skill_Loop,Skill_End</t>
  </si>
  <si>
    <t>sqrrel</t>
  </si>
  <si>
    <t>阿消攻击,阿消被动魔防</t>
  </si>
  <si>
    <t>阿消推人,阿消主动推人</t>
  </si>
  <si>
    <t>推击手</t>
  </si>
  <si>
    <t>炎,龙门,近战</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</si>
  <si>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</si>
  <si>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</si>
  <si>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</si>
  <si>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</si>
  <si>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</si>
  <si>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</si>
  <si>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</si>
  <si>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</si>
  <si>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</si>
  <si>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</si>
  <si>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</si>
  <si>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</si>
  <si>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治疗强化2,调香师2</t>
  </si>
  <si>
    <t>群愈师</t>
  </si>
  <si>
    <t>罗德岛,米诺斯,远程</t>
  </si>
  <si>
    <t>同时恢复三个友方单位的生命</t>
  </si>
  <si>
    <t>{"熏衣草":"在战场时全体友方单位每秒恢复相当于调香师攻击力3%的生命"}</t>
  </si>
  <si>
    <t>yak</t>
  </si>
  <si>
    <t>角峰攻击,角峰被动</t>
  </si>
  <si>
    <t>角峰1,角峰2</t>
  </si>
  <si>
    <t>谢拉格,喀兰贸易,近战</t>
  </si>
  <si>
    <t>{"雪原卫士":"法术抗性7+7"}</t>
  </si>
  <si>
    <t>snakek</t>
  </si>
  <si>
    <t>蛇屠箱攻击,蛇屠箱被动</t>
  </si>
  <si>
    <t>防御提升2,蛇屠箱2</t>
  </si>
  <si>
    <t>哥伦比亚,近战</t>
  </si>
  <si>
    <t>{"防御专精":"防御力直接乘算里属于叠加，并非叠乘6%+6%"}</t>
  </si>
  <si>
    <t>sunbr</t>
  </si>
  <si>
    <t>古米攻击</t>
  </si>
  <si>
    <t>古米1,古米2</t>
  </si>
  <si>
    <t>乌萨斯,乌萨斯学生自治团,近战</t>
  </si>
  <si>
    <t>{"平底锅专精":"攻击时，10%几率当次攻击的攻击力提升至150%，并晕眩无法移动、阻挡、攻击及使用技能敌人0.5秒"}</t>
  </si>
  <si>
    <t>deepcl</t>
  </si>
  <si>
    <t>深海色攻击,获得触手,深海色天赋</t>
  </si>
  <si>
    <t>深海色1,深海色2</t>
  </si>
  <si>
    <t>召唤师</t>
  </si>
  <si>
    <t>阿戈尔,远程</t>
  </si>
  <si>
    <t>攻击造成法术伤害可以使用召唤物协助作战</t>
  </si>
  <si>
    <t>{"召唤触手":"可以使用两个触手召唤物来协助作战"}</t>
  </si>
  <si>
    <t>触手</t>
  </si>
  <si>
    <t>110</t>
  </si>
  <si>
    <t>token_10001_deepcl_tentacle</t>
  </si>
  <si>
    <t>斑点攻击,通用绝食</t>
  </si>
  <si>
    <t>头像_召唤物_触手</t>
  </si>
  <si>
    <t>召唤物,近战</t>
  </si>
  <si>
    <t>skgoat</t>
  </si>
  <si>
    <t>地灵攻击</t>
  </si>
  <si>
    <t>攻击强化2,地灵2</t>
  </si>
  <si>
    <t>莱塔尼亚,远程</t>
  </si>
  <si>
    <t>{"地质勘探":"略微延长特性停顿移动速度降低80%的持续时间(+0.1)"}</t>
  </si>
  <si>
    <t>plosis</t>
  </si>
  <si>
    <t>白面鸮攻击,白面鸮被动</t>
  </si>
  <si>
    <t>治疗强化3,白面鸮2</t>
  </si>
  <si>
    <t>哥伦比亚,莱茵生命,远程</t>
  </si>
  <si>
    <t>{"技力光环":"在场时所有友方单位的技力自然回复速度0.15+0.15/秒（同类效果取最高）"}</t>
  </si>
  <si>
    <t>franka</t>
  </si>
  <si>
    <t>芙兰卡攻击,芙兰卡被动</t>
  </si>
  <si>
    <t>迅捷打击3,芙兰卡2攻击</t>
  </si>
  <si>
    <t>哥伦比亚,黑钢国际,近战</t>
  </si>
  <si>
    <t>{"铝热剑":"攻击时有10%的几率无视目标的防御"}</t>
  </si>
  <si>
    <t>tiger</t>
  </si>
  <si>
    <t>因陀罗攻击,因陀罗被动攻击</t>
  </si>
  <si>
    <t>因陀罗1,因陀罗2攻击</t>
  </si>
  <si>
    <t>斗士</t>
  </si>
  <si>
    <t>维多利亚,格拉斯哥帮</t>
  </si>
  <si>
    <t>{"虎拳迅击 ":"有33%（+3%）的概率闪避敌人的近战物理攻击，成功闪避后自己的下一次攻击攻击力+100%"}</t>
  </si>
  <si>
    <t>whitew</t>
  </si>
  <si>
    <t>拉普兰德远攻</t>
  </si>
  <si>
    <t>拉普兰德1,拉普兰德2</t>
  </si>
  <si>
    <t>叙拉古,近战</t>
  </si>
  <si>
    <t>{"精神摧毁":"攻击使目标的特殊能力失效，持续1秒"}</t>
  </si>
  <si>
    <t>幽灵鲨攻击,幽灵鲨被动</t>
  </si>
  <si>
    <t>攻击强化3,幽灵鲨2buff</t>
  </si>
  <si>
    <t>阿戈尔,深海猎人,近战</t>
  </si>
  <si>
    <t>{"体力上限提升":"生命上限直接乘算里属于叠加，并非叠乘10%+10%"}</t>
  </si>
  <si>
    <t>bluep</t>
  </si>
  <si>
    <t>蓝毒攻击</t>
  </si>
  <si>
    <t>蓝毒1,蓝毒2</t>
  </si>
  <si>
    <t>伊比利亚,远程</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</si>
  <si>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</si>
  <si>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</si>
  <si>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</si>
  <si>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</si>
  <si>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</si>
  <si>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</si>
  <si>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</si>
  <si>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</si>
  <si>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罗德岛,卡兹戴尔,远程</t>
  </si>
  <si>
    <t>{"爆破附着改装":"普通攻击和技能释放时，15%几率当次攻击的攻击力直接乘算里属于叠加，并非叠乘60%+60%"}</t>
  </si>
  <si>
    <t>amiya</t>
  </si>
  <si>
    <t>002</t>
  </si>
  <si>
    <t>阿米娅攻击,阿米娅被动</t>
  </si>
  <si>
    <t>攻速强化3,阿米娅2,阿米娅3</t>
  </si>
  <si>
    <t>罗德岛,雷姆必拓,远程</t>
  </si>
  <si>
    <t>{"？？？":"？？？？？"}</t>
  </si>
  <si>
    <t>skfire</t>
  </si>
  <si>
    <t>166</t>
  </si>
  <si>
    <t>天火攻击,天火被动</t>
  </si>
  <si>
    <t>攻击强化3,天火2</t>
  </si>
  <si>
    <t>{"法术狙击":"在场时，所有被阻挡的敌人受到法术伤害时提升7%"}</t>
  </si>
  <si>
    <t>otter</t>
  </si>
  <si>
    <t>242</t>
  </si>
  <si>
    <t>梅尔攻击,获得机械水濑</t>
  </si>
  <si>
    <t>梅尔1,梅尔2</t>
  </si>
  <si>
    <t>{"机械水獭":"可以使用3个机械水獭召唤物。被机械水獭阻挡的敌人[注 1]攻击速度(-10)-10"}</t>
  </si>
  <si>
    <t>Skill</t>
  </si>
  <si>
    <t>机械水濑</t>
  </si>
  <si>
    <t>token_10004_otter_motter</t>
  </si>
  <si>
    <t>机械水濑攻击,机械水濑1,通用绝食</t>
  </si>
  <si>
    <t>头像_召唤物_机械水獭</t>
  </si>
  <si>
    <t>nearl</t>
  </si>
  <si>
    <t>临光攻击,临光被动</t>
  </si>
  <si>
    <t>临光1,临光2</t>
  </si>
  <si>
    <t>使徒,卡西米尔,近战</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</si>
  <si>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</si>
  <si>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</si>
  <si>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</si>
  <si>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</si>
  <si>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</si>
  <si>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</si>
  <si>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</si>
  <si>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</si>
  <si>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</si>
  <si>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召唤物,近战,远程</t>
  </si>
  <si>
    <t>bldsk</t>
  </si>
  <si>
    <t>华法琳攻击,华法琳被动</t>
  </si>
  <si>
    <t>华法琳1,华法琳2</t>
  </si>
  <si>
    <t>{"血液样本回收":"攻击范围内有敌人倒下时，为自身和范围内随机一名友方单位回复1点技力"}</t>
  </si>
  <si>
    <t>red</t>
  </si>
  <si>
    <t>红攻击,测试被动</t>
  </si>
  <si>
    <t>红1,红2</t>
  </si>
  <si>
    <t>罗德岛,S.W.E.E.P,近战</t>
  </si>
  <si>
    <t>{"刺骨":"每次攻击至少造成20%攻击力的伤害"}</t>
  </si>
  <si>
    <t>liskam</t>
  </si>
  <si>
    <t>char_107_liskarm</t>
  </si>
  <si>
    <t>雷蛇攻击,雷蛇被动</t>
  </si>
  <si>
    <t>雷蛇1,雷蛇2</t>
  </si>
  <si>
    <t>{"战术防御":"受到攻击时，回复自己和周围一格内随机一名友方角色1点技力","雷抗 ":"法术抗性+13（+3）"}</t>
  </si>
  <si>
    <t>moeshd</t>
  </si>
  <si>
    <t>可颂攻击,可颂被动</t>
  </si>
  <si>
    <t>可颂1,可颂2</t>
  </si>
  <si>
    <t>炎,龙门,企鹅物流,米诺斯,近战</t>
  </si>
  <si>
    <t>{"奇迹力场":"有10%的几率闪避[注 1]物理和法术伤害。周围四格内的友方单位获得一半该效果"}</t>
  </si>
  <si>
    <t>hpsts</t>
  </si>
  <si>
    <t>火神攻击,通用绝食</t>
  </si>
  <si>
    <t>火神1,火神2</t>
  </si>
  <si>
    <t>不屈者</t>
  </si>
  <si>
    <t>米诺斯,近战</t>
  </si>
  <si>
    <t>无法被友方角色治疗</t>
  </si>
  <si>
    <t>{"自我防护":"技能开启时，每秒恢复最大生命值4%的生命"}</t>
  </si>
  <si>
    <t>prove</t>
  </si>
  <si>
    <t>普罗旺斯攻击</t>
  </si>
  <si>
    <t>普罗旺斯1,普罗旺斯攻击2</t>
  </si>
  <si>
    <t>重射手</t>
  </si>
  <si>
    <t>叙拉古,远程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</si>
  <si>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</si>
  <si>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</si>
  <si>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</si>
  <si>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</si>
  <si>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</si>
  <si>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</si>
  <si>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</si>
  <si>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</si>
  <si>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</si>
  <si>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</si>
  <si>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</si>
  <si>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</si>
  <si>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</si>
  <si>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</si>
  <si>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</si>
  <si>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谢拉格,喀兰贸易,远程</t>
  </si>
  <si>
    <t>{"虚弱化":"攻击范围内的敌人生命少于40%时，令其获得15%的脆弱受到的所有伤害提升相应比例（同名效果取最高）效果","双响":"攻击时同时攻击两个目标"}</t>
  </si>
  <si>
    <t>glassb</t>
  </si>
  <si>
    <t>真理攻击,真理被动</t>
  </si>
  <si>
    <t>真理1,真理2</t>
  </si>
  <si>
    <t>乌萨斯,乌萨斯学生自治团,远程</t>
  </si>
  <si>
    <t>{"探知者":"防御力直接乘算里属于叠加，并非叠乘(-35%)-35%，但攻击速度18+18"}</t>
  </si>
  <si>
    <t>sora</t>
  </si>
  <si>
    <t>空攻击,空被动</t>
  </si>
  <si>
    <t>空1,空2</t>
  </si>
  <si>
    <t>吟游者</t>
  </si>
  <si>
    <t>炎,龙门,企鹅物流,远程</t>
  </si>
  <si>
    <t>不攻击，持续恢复范围内所有友军生命（每秒相当于自身攻击力10%的生命），自身不受鼓舞影响，攻击范围内存在2名及以上其他干员时，攻击力+8%（不受技能影响）</t>
  </si>
  <si>
    <t>{"安可":"技能结束后，60%几率立即回复60%的最大技力"}</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</si>
  <si>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</si>
  <si>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</si>
  <si>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</si>
  <si>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</si>
  <si>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</si>
  <si>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</si>
  <si>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panda</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</si>
  <si>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</si>
  <si>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</si>
  <si>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</si>
  <si>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</si>
  <si>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</si>
  <si>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</si>
  <si>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</si>
  <si>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</si>
  <si>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</si>
  <si>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</si>
  <si>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</si>
  <si>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</si>
  <si>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</si>
  <si>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</si>
  <si>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</si>
  <si>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</si>
  <si>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</si>
  <si>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</si>
  <si>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</si>
  <si>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</si>
  <si>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</si>
  <si>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</si>
  <si>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</si>
  <si>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</si>
  <si>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</si>
  <si>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</si>
  <si>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</si>
  <si>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</si>
  <si>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</si>
  <si>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</si>
  <si>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</si>
  <si>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攻击强化3,棘刺进入防御,棘刺至高Buff</t>
  </si>
  <si>
    <t>伊比利亚,近战</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</si>
  <si>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</si>
  <si>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</si>
  <si>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</si>
  <si>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</si>
  <si>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</si>
  <si>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</si>
  <si>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</si>
  <si>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</si>
  <si>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</si>
  <si>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</si>
  <si>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</si>
  <si>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</si>
  <si>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</si>
  <si>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</si>
  <si>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</si>
  <si>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</si>
  <si>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</si>
  <si>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</si>
  <si>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</si>
  <si>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</si>
  <si>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</si>
  <si>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</si>
  <si>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</si>
  <si>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{"加速力场 ":"在场时全场友方单位攻速+8（+1）","兼职工作":"技能未开启时，全场友方单位每秒回复25（+5）点生命"}</t>
  </si>
  <si>
    <t>monstr</t>
  </si>
  <si>
    <t>4179</t>
  </si>
  <si>
    <t>闪灵攻击,闪灵被动加防,闪灵被动加攻速</t>
  </si>
  <si>
    <t>闪灵信条,闪灵掩护,闪灵教条</t>
  </si>
  <si>
    <t>使徒,卡兹戴尔,远程</t>
  </si>
  <si>
    <t>{"黑恶魔的庇护 ":"攻击范围内的友方单位防御力+65（+5）","法典":"攻击速度+13（+3）"}</t>
  </si>
  <si>
    <t>夜莺攻击,夜莺被动加防,获得鸟笼</t>
  </si>
  <si>
    <t>治疗强化3,夜莺护盾,夜莺圣域</t>
  </si>
  <si>
    <t>icon_cgbird</t>
  </si>
  <si>
    <t>half_cgbird</t>
  </si>
  <si>
    <t>cgbird</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</si>
  <si>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</si>
  <si>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</si>
  <si>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</si>
  <si>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</si>
  <si>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</si>
  <si>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</si>
  <si>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</si>
  <si>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星熊</t>
  </si>
  <si>
    <t>hsguma</t>
  </si>
  <si>
    <t>136</t>
  </si>
  <si>
    <t>星熊攻击,星熊被动闪避,星熊加防</t>
  </si>
  <si>
    <t>星熊战意,星熊反击,星熊锯</t>
  </si>
  <si>
    <t>炎,龙门,龙门近卫局,近战</t>
  </si>
  <si>
    <t>{"战术装甲":"获得28%（+3%）几率的全伤害抵挡","特种作战策略 ":" 在场时，所有友方【重装】职业干员的防御力提升8%（+2%）"}</t>
  </si>
  <si>
    <t>demkni</t>
  </si>
  <si>
    <t>202</t>
  </si>
  <si>
    <t>塞雷娅攻击,塞雷娅充能服</t>
  </si>
  <si>
    <t>塞雷娅急救,塞雷娅药物配置,塞雷娅钙质化</t>
  </si>
  <si>
    <t>哥伦比亚,莱茵生命,近战</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</si>
  <si>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</si>
  <si>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</si>
  <si>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</si>
  <si>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</si>
  <si>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</si>
  <si>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</si>
  <si>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</si>
  <si>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</si>
  <si>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</si>
  <si>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</si>
  <si>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</si>
  <si>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</si>
  <si>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</si>
  <si>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</si>
  <si>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</si>
  <si>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</si>
  <si>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</si>
  <si>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空中侵入点</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</si>
  <si>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</si>
  <si>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</si>
  <si>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</si>
  <si>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</si>
  <si>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</si>
  <si>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</si>
  <si>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</si>
  <si>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</si>
  <si>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</si>
  <si>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</si>
  <si>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</si>
  <si>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</si>
  <si>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</si>
  <si>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</si>
  <si>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</si>
  <si>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</si>
  <si>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</si>
  <si>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</si>
  <si>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</si>
  <si>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</si>
  <si>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</si>
  <si>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</si>
  <si>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</si>
  <si>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</si>
  <si>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</si>
  <si>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</si>
  <si>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</si>
  <si>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</si>
  <si>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</si>
  <si>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</si>
  <si>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</si>
  <si>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</si>
  <si>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</si>
  <si>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</si>
  <si>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</si>
  <si>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</si>
  <si>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</si>
  <si>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</si>
  <si>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</si>
  <si>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</si>
  <si>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</si>
  <si>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</si>
  <si>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</si>
  <si>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装置普通攻击,破坏伤害,装置地块可通行,通用绝食</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</si>
  <si>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</si>
  <si>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</si>
  <si>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</si>
  <si>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</si>
  <si>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回血地板</t>
  </si>
  <si>
    <t>回血地板buff</t>
  </si>
  <si>
    <t>为放置在上面的单位回复其最大生命值一定比的血量</t>
  </si>
  <si>
    <t>防御地板</t>
  </si>
  <si>
    <t>防御地板buff</t>
  </si>
  <si>
    <t>为干员增加一定量防御</t>
  </si>
  <si>
    <t>降防地板</t>
  </si>
  <si>
    <t>减防地板</t>
  </si>
  <si>
    <t>降防地板buff</t>
  </si>
  <si>
    <t>上面的干员防御减半</t>
  </si>
  <si>
    <t>降防地板2</t>
  </si>
  <si>
    <t>减防地板2</t>
  </si>
  <si>
    <t>降防地板buff2</t>
  </si>
  <si>
    <t>上面的干员防御降低一半</t>
  </si>
  <si>
    <t>不可通行地块</t>
  </si>
  <si>
    <t>不可通行减速</t>
  </si>
  <si>
    <t>敌人走上会减速</t>
  </si>
  <si>
    <t>排气格栅</t>
  </si>
  <si>
    <t>排气格栅buff</t>
  </si>
  <si>
    <t>置于其中的干员不会成为敌军远程攻击的目标</t>
  </si>
  <si>
    <t>碎石</t>
  </si>
  <si>
    <t>初始部署在场景中，改变敌人的行进路线</t>
  </si>
  <si>
    <t>道路障碍（未实装）</t>
  </si>
  <si>
    <t>道路障碍</t>
  </si>
  <si>
    <t>装置地块可通行,通用绝食,平民减速</t>
  </si>
  <si>
    <t>enemy_1007_slime</t>
  </si>
  <si>
    <t>slime</t>
  </si>
  <si>
    <t>普通,近战,感染生物</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</si>
  <si>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</si>
  <si>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</si>
  <si>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</si>
  <si>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</si>
  <si>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</si>
  <si>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</si>
  <si>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</si>
  <si>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</si>
  <si>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</si>
  <si>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</si>
  <si>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</si>
  <si>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</si>
  <si>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普通,远程,感染生物</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</si>
  <si>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</si>
  <si>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</si>
  <si>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</si>
  <si>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</si>
  <si>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</si>
  <si>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</si>
  <si>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</si>
  <si>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</si>
  <si>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</si>
  <si>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</si>
  <si>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</si>
  <si>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</si>
  <si>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</si>
  <si>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</si>
  <si>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</si>
  <si>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</si>
  <si>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</si>
  <si>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</si>
  <si>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</si>
  <si>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</si>
  <si>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</si>
  <si>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</si>
  <si>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</si>
  <si>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</si>
  <si>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</si>
  <si>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</si>
  <si>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</si>
  <si>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</si>
  <si>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普通,近战</t>
  </si>
  <si>
    <t>整合运动的基础近身作战人员。</t>
  </si>
  <si>
    <t>enemy_1003_ncbow</t>
  </si>
  <si>
    <t>ncbow</t>
  </si>
  <si>
    <t>弩手</t>
  </si>
  <si>
    <t>弩手攻击,通用敌方远程近战攻击</t>
  </si>
  <si>
    <t>普通,远程</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</si>
  <si>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</si>
  <si>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</si>
  <si>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</si>
  <si>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</si>
  <si>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</si>
  <si>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</si>
  <si>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</si>
  <si>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</si>
  <si>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</si>
  <si>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</si>
  <si>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</si>
  <si>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</si>
  <si>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</si>
  <si>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</si>
  <si>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</si>
  <si>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</si>
  <si>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</si>
  <si>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</si>
  <si>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</si>
  <si>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</si>
  <si>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精英,远程</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</si>
  <si>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</si>
  <si>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</si>
  <si>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</si>
  <si>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</si>
  <si>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</si>
  <si>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</si>
  <si>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</si>
  <si>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</si>
  <si>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</si>
  <si>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</si>
  <si>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</si>
  <si>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</si>
  <si>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</si>
  <si>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</si>
  <si>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</si>
  <si>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</si>
  <si>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</si>
  <si>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</si>
  <si>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</si>
  <si>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</si>
  <si>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</si>
  <si>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</si>
  <si>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</si>
  <si>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</si>
  <si>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</si>
  <si>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</si>
  <si>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</si>
  <si>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</si>
  <si>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</si>
  <si>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</si>
  <si>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</si>
  <si>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精英,近战</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</si>
  <si>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</si>
  <si>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</si>
  <si>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</si>
  <si>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</si>
  <si>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</si>
  <si>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</si>
  <si>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领袖,近战</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</si>
  <si>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</si>
  <si>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</si>
  <si>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</si>
  <si>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</si>
  <si>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</si>
  <si>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</si>
  <si>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</si>
  <si>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</si>
  <si>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</si>
  <si>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</si>
  <si>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</si>
  <si>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</si>
  <si>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</si>
  <si>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</si>
  <si>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</si>
  <si>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</si>
  <si>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</si>
  <si>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</si>
  <si>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</si>
  <si>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</si>
  <si>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普通,不攻击</t>
  </si>
  <si>
    <t>擅长工程技术的人员，&lt;@eb.key&gt;无法被阻挡&lt;/&gt;，需要尽快清除。</t>
  </si>
  <si>
    <t>aghost</t>
  </si>
  <si>
    <t>比幽灵拥有更高的防御力和耐久，&lt;@eb.key&gt;无法被阻挡&lt;/&gt;，需要尽快清除。</t>
  </si>
  <si>
    <t>enemy_1005_yokai</t>
  </si>
  <si>
    <t>普通,不攻击,无人机</t>
  </si>
  <si>
    <t>&lt;@eb.key&gt;【飞行单位】&lt;/&gt;敌方人员操纵的无人机，不会进行攻击。</t>
  </si>
  <si>
    <t>enemy_1005_yokai_2</t>
  </si>
  <si>
    <t>yokai_2</t>
  </si>
  <si>
    <t>MK2攻击</t>
  </si>
  <si>
    <t>普通,远程,无人机</t>
  </si>
  <si>
    <t>&lt;@eb.key&gt;【飞行单位】&lt;/&gt;妖怪的改进版，可进行&lt;@eb.key&gt;远程物理射击&lt;/&gt;。</t>
  </si>
  <si>
    <t>enemy_1005_yokai_3</t>
  </si>
  <si>
    <t>yokai_3</t>
  </si>
  <si>
    <t>威龙</t>
  </si>
  <si>
    <t>精英,远程,无人机</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</si>
  <si>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</si>
  <si>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</si>
  <si>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</si>
  <si>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</si>
  <si>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</si>
  <si>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</si>
  <si>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</si>
  <si>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</si>
  <si>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</si>
  <si>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</si>
  <si>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</si>
  <si>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</si>
  <si>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</si>
  <si>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</si>
  <si>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</si>
  <si>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</si>
  <si>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</si>
  <si>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</si>
  <si>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</si>
  <si>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</si>
  <si>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</si>
  <si>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</si>
  <si>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</si>
  <si>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</si>
  <si>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</si>
  <si>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</si>
  <si>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</si>
  <si>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</si>
  <si>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</si>
  <si>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</si>
  <si>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精英,近战,萨卡兹</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</si>
  <si>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</si>
  <si>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</si>
  <si>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</si>
  <si>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</si>
  <si>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</si>
  <si>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</si>
  <si>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</si>
  <si>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</si>
  <si>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</si>
  <si>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精英,远程,萨卡兹</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</si>
  <si>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</si>
  <si>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</si>
  <si>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</si>
  <si>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</si>
  <si>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</si>
  <si>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</si>
  <si>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</si>
  <si>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</si>
  <si>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</si>
  <si>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</si>
  <si>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</si>
  <si>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</si>
  <si>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</si>
  <si>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</si>
  <si>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</si>
  <si>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</si>
  <si>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</si>
  <si>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领袖,远程,萨卡兹</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</si>
  <si>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</si>
  <si>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</si>
  <si>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</si>
  <si>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</si>
  <si>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</si>
  <si>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</si>
  <si>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</si>
  <si>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</si>
  <si>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</si>
  <si>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</si>
  <si>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</si>
  <si>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</si>
  <si>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</si>
  <si>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</si>
  <si>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</si>
  <si>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</si>
  <si>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</si>
  <si>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</si>
  <si>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</si>
  <si>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</si>
  <si>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</si>
  <si>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</si>
  <si>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</si>
  <si>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</si>
  <si>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</si>
  <si>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</si>
  <si>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</si>
  <si>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</si>
  <si>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</si>
  <si>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</si>
  <si>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</si>
  <si>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</si>
  <si>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</si>
  <si>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</si>
  <si>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</si>
  <si>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</si>
  <si>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</si>
  <si>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</si>
  <si>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</si>
  <si>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</si>
  <si>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</si>
  <si>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</si>
  <si>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</si>
  <si>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</si>
  <si>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</si>
  <si>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</si>
  <si>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</si>
  <si>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</si>
  <si>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</si>
  <si>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</si>
  <si>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</si>
  <si>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</si>
  <si>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</si>
  <si>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</si>
  <si>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</si>
  <si>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</si>
  <si>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</si>
  <si>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</si>
  <si>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</si>
  <si>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</si>
  <si>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</si>
  <si>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</si>
  <si>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</si>
  <si>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</si>
  <si>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</si>
  <si>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</si>
  <si>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</si>
  <si>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</si>
  <si>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</si>
  <si>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</si>
  <si>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</si>
  <si>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</si>
  <si>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</si>
  <si>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</si>
  <si>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</si>
  <si>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</si>
  <si>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</si>
  <si>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</si>
  <si>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</si>
  <si>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</si>
  <si>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</si>
  <si>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</si>
  <si>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</si>
  <si>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</si>
  <si>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</si>
  <si>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</si>
  <si>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</si>
  <si>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</si>
  <si>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</si>
  <si>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</si>
  <si>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</si>
  <si>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</si>
  <si>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</si>
  <si>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</si>
  <si>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</si>
  <si>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</si>
  <si>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</si>
  <si>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</si>
  <si>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</si>
  <si>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</si>
  <si>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</si>
  <si>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</si>
  <si>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</si>
  <si>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</si>
  <si>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</si>
  <si>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</si>
  <si>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</si>
  <si>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</si>
  <si>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</si>
  <si>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</si>
  <si>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</si>
  <si>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</si>
  <si>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</si>
  <si>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</si>
  <si>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</si>
  <si>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</si>
  <si>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</si>
  <si>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</si>
  <si>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</si>
  <si>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</si>
  <si>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</si>
  <si>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</si>
  <si>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</si>
  <si>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</si>
  <si>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精英,不攻击,无人机</t>
  </si>
  <si>
    <t>&lt;@eb.key&gt;【飞行单位】&lt;/&gt;防御力较高，会使周围我方单位的&lt;@eb.key&gt;攻击速度&lt;/&gt;会大幅度削减。</t>
  </si>
  <si>
    <t>enemy_1043_zomsbr</t>
  </si>
  <si>
    <t>zomsbr</t>
  </si>
  <si>
    <t>enemy_1043_zomsabr</t>
  </si>
  <si>
    <t>宿主士兵</t>
  </si>
  <si>
    <t>普通,近战,宿主</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</si>
  <si>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</si>
  <si>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</si>
  <si>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</si>
  <si>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</si>
  <si>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</si>
  <si>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</si>
  <si>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</si>
  <si>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</si>
  <si>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</si>
  <si>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</si>
  <si>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</si>
  <si>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</si>
  <si>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</si>
  <si>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</si>
  <si>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</si>
  <si>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</si>
  <si>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</si>
  <si>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</si>
  <si>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</si>
  <si>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</si>
  <si>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</si>
  <si>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</si>
  <si>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</si>
  <si>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</si>
  <si>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</si>
  <si>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</si>
  <si>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</si>
  <si>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</si>
  <si>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</si>
  <si>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狙击步兵攻击,狙击步兵眩晕攻击</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</si>
  <si>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</si>
  <si>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</si>
  <si>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</si>
  <si>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</si>
  <si>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</si>
  <si>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</si>
  <si>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</si>
  <si>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</si>
  <si>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</si>
  <si>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</si>
  <si>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</si>
  <si>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</si>
  <si>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</si>
  <si>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</si>
  <si>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</si>
  <si>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</si>
  <si>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</si>
  <si>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</si>
  <si>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</si>
  <si>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</si>
  <si>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</si>
  <si>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</si>
  <si>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</si>
  <si>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</si>
  <si>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</si>
  <si>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</si>
  <si>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</si>
  <si>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</si>
  <si>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</si>
  <si>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领袖,远程,感染生物</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</si>
  <si>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</si>
  <si>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</si>
  <si>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</si>
  <si>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</si>
  <si>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</si>
  <si>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</si>
  <si>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</si>
  <si>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</si>
  <si>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</si>
  <si>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</si>
  <si>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</si>
  <si>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</si>
  <si>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</si>
  <si>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</si>
  <si>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</si>
  <si>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</si>
  <si>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</si>
  <si>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</si>
  <si>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</si>
  <si>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</si>
  <si>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</si>
  <si>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</si>
  <si>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</si>
  <si>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</si>
  <si>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</si>
  <si>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</si>
  <si>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</si>
  <si>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</si>
  <si>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</si>
  <si>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</si>
  <si>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</si>
  <si>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</si>
  <si>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</si>
  <si>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</si>
  <si>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</si>
  <si>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</si>
  <si>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领袖,近战,远程</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</si>
  <si>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</si>
  <si>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</si>
  <si>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</si>
  <si>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</si>
  <si>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</si>
  <si>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</si>
  <si>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</si>
  <si>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</si>
  <si>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领袖,远程</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</si>
  <si>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</si>
  <si>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</si>
  <si>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</si>
  <si>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</si>
  <si>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</si>
  <si>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</si>
  <si>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</si>
  <si>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</si>
  <si>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</si>
  <si>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领袖,不攻击</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</si>
  <si>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</si>
  <si>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</si>
  <si>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</si>
  <si>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</si>
  <si>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</si>
  <si>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</si>
  <si>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</si>
  <si>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</si>
  <si>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</si>
  <si>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</si>
  <si>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</si>
  <si>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</si>
  <si>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</si>
  <si>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</si>
  <si>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</si>
  <si>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</si>
  <si>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</si>
  <si>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</si>
  <si>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</si>
  <si>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</si>
  <si>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</si>
  <si>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</si>
  <si>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</si>
  <si>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</si>
  <si>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</si>
  <si>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</si>
  <si>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</si>
  <si>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</si>
  <si>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</si>
  <si>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</si>
  <si>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</si>
  <si>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</si>
  <si>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</si>
  <si>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</si>
  <si>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</si>
  <si>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</si>
  <si>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</si>
  <si>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</si>
  <si>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</si>
  <si>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</si>
  <si>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</si>
  <si>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</si>
  <si>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</si>
  <si>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</si>
  <si>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</si>
  <si>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</si>
  <si>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</si>
  <si>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</si>
  <si>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</si>
  <si>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</si>
  <si>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</si>
  <si>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</si>
  <si>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</si>
  <si>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</si>
  <si>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</si>
  <si>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</si>
  <si>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</si>
  <si>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</si>
  <si>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</si>
  <si>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</si>
  <si>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</si>
  <si>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</si>
  <si>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精英,近战,宿主</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</si>
  <si>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</si>
  <si>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</si>
  <si>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</si>
  <si>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</si>
  <si>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</si>
  <si>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</si>
  <si>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</si>
  <si>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</si>
  <si>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</si>
  <si>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</si>
  <si>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</si>
  <si>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</si>
  <si>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</si>
  <si>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</si>
  <si>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</si>
  <si>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</si>
  <si>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</si>
  <si>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精英,远程,宿主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</si>
  <si>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</si>
  <si>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</si>
  <si>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</si>
  <si>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</si>
  <si>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</si>
  <si>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</si>
  <si>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</si>
  <si>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</si>
  <si>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</si>
  <si>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</si>
  <si>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</si>
  <si>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</si>
  <si>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</si>
  <si>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</si>
  <si>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</si>
  <si>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</si>
  <si>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</si>
  <si>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</si>
  <si>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</si>
  <si>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</si>
  <si>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</si>
  <si>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</si>
  <si>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</si>
  <si>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</si>
  <si>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</si>
  <si>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</si>
  <si>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</si>
  <si>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</si>
  <si>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</si>
  <si>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</si>
  <si>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</si>
  <si>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</si>
  <si>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</si>
  <si>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</si>
  <si>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</si>
  <si>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</si>
  <si>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</si>
  <si>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</si>
  <si>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</si>
  <si>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</si>
  <si>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</si>
  <si>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</si>
  <si>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</si>
  <si>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</si>
  <si>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</si>
  <si>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</si>
  <si>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</si>
  <si>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</si>
  <si>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</si>
  <si>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</si>
  <si>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</si>
  <si>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</si>
  <si>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</si>
  <si>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普通,近战,萨卡兹</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</si>
  <si>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</si>
  <si>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</si>
  <si>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</si>
  <si>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</si>
  <si>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</si>
  <si>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</si>
  <si>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</si>
  <si>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</si>
  <si>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</si>
  <si>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</si>
  <si>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</si>
  <si>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</si>
  <si>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</si>
  <si>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</si>
  <si>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</si>
  <si>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</si>
  <si>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</si>
  <si>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</si>
  <si>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</si>
  <si>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</si>
  <si>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普通,不攻击,萨卡兹</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</si>
  <si>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</si>
  <si>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</si>
  <si>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</si>
  <si>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</si>
  <si>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</si>
  <si>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</si>
  <si>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</si>
  <si>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</si>
  <si>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</si>
  <si>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</si>
  <si>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</si>
  <si>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</si>
  <si>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</si>
  <si>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</si>
  <si>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</si>
  <si>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</si>
  <si>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</si>
  <si>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</si>
  <si>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</si>
  <si>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</si>
  <si>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</si>
  <si>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</si>
  <si>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</si>
  <si>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</si>
  <si>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</si>
  <si>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</si>
  <si>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</si>
  <si>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</si>
  <si>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</si>
  <si>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</si>
  <si>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</si>
  <si>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</si>
  <si>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</si>
  <si>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</si>
  <si>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</si>
  <si>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</si>
  <si>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</si>
  <si>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</si>
  <si>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</si>
  <si>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</si>
  <si>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</si>
  <si>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</si>
  <si>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</si>
  <si>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</si>
  <si>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</si>
  <si>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</si>
  <si>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</si>
  <si>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</si>
  <si>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</si>
  <si>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</si>
  <si>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</si>
  <si>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</si>
  <si>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</si>
  <si>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</si>
  <si>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</si>
  <si>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</si>
  <si>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</si>
  <si>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</si>
  <si>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</si>
  <si>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</si>
  <si>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</si>
  <si>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</si>
  <si>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</si>
  <si>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</si>
  <si>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</si>
  <si>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</si>
  <si>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</si>
  <si>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</si>
  <si>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</si>
  <si>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</si>
  <si>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</si>
  <si>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</si>
  <si>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</si>
  <si>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</si>
  <si>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</si>
  <si>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</si>
  <si>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</si>
  <si>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</si>
  <si>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</si>
  <si>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</si>
  <si>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</si>
  <si>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</si>
  <si>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</si>
  <si>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</si>
  <si>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</si>
  <si>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</si>
  <si>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</si>
  <si>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</si>
  <si>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</si>
  <si>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</si>
  <si>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精英,近战,萨卡兹,脉冲波免疫</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</si>
  <si>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</si>
  <si>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</si>
  <si>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</si>
  <si>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</si>
  <si>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</si>
  <si>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</si>
  <si>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</si>
  <si>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</si>
  <si>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</si>
  <si>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</si>
  <si>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</si>
  <si>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精英,远程,萨卡兹,脉冲波免疫</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</si>
  <si>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</si>
  <si>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</si>
  <si>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</si>
  <si>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</si>
  <si>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</si>
  <si>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</si>
  <si>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</si>
  <si>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</si>
  <si>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</si>
  <si>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</si>
  <si>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</si>
  <si>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</si>
  <si>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领袖,近战,萨卡兹,脉冲波免疫</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</si>
  <si>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</si>
  <si>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</si>
  <si>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</si>
  <si>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</si>
  <si>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</si>
  <si>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</si>
  <si>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</si>
  <si>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</si>
  <si>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</si>
  <si>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</si>
  <si>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</si>
  <si>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</si>
  <si>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</si>
  <si>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</si>
  <si>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</si>
  <si>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</si>
  <si>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</si>
  <si>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</si>
  <si>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</si>
  <si>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</si>
  <si>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</si>
  <si>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</si>
  <si>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</si>
  <si>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</si>
  <si>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</si>
  <si>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</si>
  <si>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</si>
  <si>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</si>
  <si>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</si>
  <si>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</si>
  <si>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</si>
  <si>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</si>
  <si>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</si>
  <si>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</si>
  <si>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</si>
  <si>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</si>
  <si>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</si>
  <si>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</si>
  <si>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</si>
  <si>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</si>
  <si>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</si>
  <si>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</si>
  <si>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</si>
  <si>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</si>
  <si>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</si>
  <si>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</si>
  <si>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</si>
  <si>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</si>
  <si>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</si>
  <si>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</si>
  <si>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</si>
  <si>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</si>
  <si>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</si>
  <si>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</si>
  <si>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精英,近战,法术造物</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</si>
  <si>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</si>
  <si>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</si>
  <si>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</si>
  <si>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</si>
  <si>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</si>
  <si>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</si>
  <si>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</si>
  <si>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</si>
  <si>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领袖,近战,萨卡兹</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</si>
  <si>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</si>
  <si>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</si>
  <si>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</si>
  <si>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</si>
  <si>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</si>
  <si>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</si>
  <si>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</si>
  <si>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</si>
  <si>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</si>
  <si>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</si>
  <si>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</si>
  <si>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</si>
  <si>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</si>
  <si>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</si>
  <si>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</si>
  <si>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</si>
  <si>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</si>
  <si>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</si>
  <si>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</si>
  <si>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</si>
  <si>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</si>
  <si>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</si>
  <si>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</si>
  <si>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</si>
  <si>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</si>
  <si>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</si>
  <si>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</si>
  <si>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</si>
  <si>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</si>
  <si>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</si>
  <si>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</si>
  <si>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</si>
  <si>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</si>
  <si>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</si>
  <si>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</si>
  <si>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</si>
  <si>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</si>
  <si>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</si>
  <si>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</si>
  <si>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</si>
  <si>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</si>
  <si>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</si>
  <si>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</si>
  <si>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</si>
  <si>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</si>
  <si>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</si>
  <si>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</si>
  <si>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</si>
  <si>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</si>
  <si>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</si>
  <si>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</si>
  <si>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</si>
  <si>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</si>
  <si>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</si>
  <si>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</si>
  <si>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</si>
  <si>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</si>
  <si>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</si>
  <si>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</si>
  <si>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领袖,远程,机械</t>
  </si>
  <si>
    <t>庞大的机械怪兽，由大祭司驾驶。能够破坏木桩，损毁时会弹射驾驶员并自爆。</t>
  </si>
  <si>
    <t>enemy_2001_duckmi</t>
  </si>
  <si>
    <t>duckmi</t>
  </si>
  <si>
    <t>鸭爵</t>
  </si>
  <si>
    <t>精英,不攻击</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</si>
  <si>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</si>
  <si>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</si>
  <si>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</si>
  <si>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</si>
  <si>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</si>
  <si>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</si>
  <si>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</si>
  <si>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</si>
  <si>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领袖,近战,法术造物</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</si>
  <si>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</si>
  <si>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</si>
  <si>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</si>
  <si>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</si>
  <si>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</si>
  <si>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</si>
  <si>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</si>
  <si>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</si>
  <si>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</si>
  <si>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</si>
  <si>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</si>
  <si>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</si>
  <si>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</si>
  <si>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</si>
  <si>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</si>
  <si>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</si>
  <si>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</si>
  <si>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</si>
  <si>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</si>
  <si>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</si>
  <si>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</si>
  <si>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</si>
  <si>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</si>
  <si>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</si>
  <si>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</si>
  <si>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</si>
  <si>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</si>
  <si>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</si>
  <si>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</si>
  <si>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</si>
  <si>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</si>
  <si>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</si>
  <si>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</si>
  <si>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</si>
  <si>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</si>
  <si>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</si>
  <si>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</si>
  <si>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</si>
  <si>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</si>
  <si>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</si>
  <si>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</si>
  <si>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</si>
  <si>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</si>
  <si>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</si>
  <si>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</si>
  <si>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</si>
  <si>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</si>
  <si>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</si>
  <si>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</si>
  <si>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</si>
  <si>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</si>
  <si>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</si>
  <si>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</si>
  <si>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</si>
  <si>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</si>
  <si>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</si>
  <si>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</si>
  <si>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</si>
  <si>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</si>
  <si>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</si>
  <si>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</si>
  <si>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</si>
  <si>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</si>
  <si>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</si>
  <si>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</si>
  <si>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</si>
  <si>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</si>
  <si>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</si>
  <si>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</si>
  <si>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</si>
  <si>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</si>
  <si>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</si>
  <si>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</si>
  <si>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</si>
  <si>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</si>
  <si>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</si>
  <si>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</si>
  <si>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</si>
  <si>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</si>
  <si>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</si>
  <si>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</si>
  <si>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</si>
  <si>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</si>
  <si>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</si>
  <si>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</si>
  <si>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</si>
  <si>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</si>
  <si>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</si>
  <si>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</si>
  <si>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</si>
  <si>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</si>
  <si>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</si>
  <si>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</si>
  <si>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</si>
  <si>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</si>
  <si>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</si>
  <si>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</si>
  <si>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</si>
  <si>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</si>
  <si>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</si>
  <si>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</si>
  <si>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</si>
  <si>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</si>
  <si>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</si>
  <si>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</si>
  <si>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</si>
  <si>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</si>
  <si>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</si>
  <si>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</si>
  <si>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</si>
  <si>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</si>
  <si>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</si>
  <si>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</si>
  <si>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</si>
  <si>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</si>
  <si>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</si>
  <si>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</si>
  <si>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</si>
  <si>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</si>
  <si>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</si>
  <si>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</si>
  <si>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</si>
  <si>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</si>
  <si>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</si>
  <si>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</si>
  <si>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</si>
  <si>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</si>
  <si>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</si>
  <si>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</si>
  <si>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</si>
  <si>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</si>
  <si>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</si>
  <si>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</si>
  <si>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</si>
  <si>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</si>
  <si>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</si>
  <si>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</si>
  <si>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</si>
  <si>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</si>
  <si>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</si>
  <si>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</si>
  <si>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</si>
  <si>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</si>
  <si>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</si>
  <si>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</si>
  <si>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</si>
  <si>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</si>
  <si>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</si>
  <si>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</si>
  <si>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</si>
  <si>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</si>
  <si>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</si>
  <si>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</si>
  <si>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</si>
  <si>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</si>
  <si>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精英,近战,远程</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</si>
  <si>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</si>
  <si>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</si>
  <si>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</si>
  <si>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</si>
  <si>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</si>
  <si>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</si>
  <si>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</si>
  <si>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</si>
  <si>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</si>
  <si>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</si>
  <si>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</si>
  <si>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</si>
  <si>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</si>
  <si>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</si>
  <si>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</si>
  <si>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</si>
  <si>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</si>
  <si>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</si>
  <si>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</si>
  <si>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</si>
  <si>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</si>
  <si>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</si>
  <si>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</si>
  <si>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</si>
  <si>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</si>
  <si>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</si>
  <si>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</si>
  <si>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</si>
  <si>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</si>
  <si>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</si>
  <si>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</si>
  <si>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</si>
  <si>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</si>
  <si>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</si>
  <si>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</si>
  <si>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</si>
  <si>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破坏伤害,通用绝食,平民不可阻挡</t>
  </si>
  <si>
    <t>普通,不攻击,刁民,中立单位</t>
  </si>
  <si>
    <t>&lt;@eb.key&gt;友好单位&lt;/&gt;撤回保护目标时不扣除关卡生命值，死亡时扣除关卡生命值;不计入歼灭数</t>
  </si>
  <si>
    <t>enemy_3002_ftrtal</t>
  </si>
  <si>
    <t>ftrtal</t>
  </si>
  <si>
    <t>斗士塔露拉</t>
  </si>
  <si>
    <t>领袖,远程,刁民,中立单位</t>
  </si>
  <si>
    <t>&lt;@eb.key&gt;友好单位&lt;/&gt;进入侵入点时不扣除关卡生命值，死亡时扣除关卡生命值;不计入歼灭数</t>
  </si>
  <si>
    <t>#enemy_3002_ftrtal_s</t>
  </si>
  <si>
    <t>ftrtal_s</t>
  </si>
  <si>
    <t>enemy_1116_liprr</t>
  </si>
  <si>
    <t>liprr</t>
  </si>
  <si>
    <t>普通囚犯</t>
  </si>
  <si>
    <t>普通,近战,囚犯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</si>
  <si>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</si>
  <si>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</si>
  <si>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</si>
  <si>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</si>
  <si>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</si>
  <si>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</si>
  <si>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</si>
  <si>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</si>
  <si>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普通,远程,囚犯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</si>
  <si>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</si>
  <si>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</si>
  <si>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</si>
  <si>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</si>
  <si>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</si>
  <si>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</si>
  <si>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</si>
  <si>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</si>
  <si>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精英,近战,囚犯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</si>
  <si>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</si>
  <si>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</si>
  <si>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</si>
  <si>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</si>
  <si>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</si>
  <si>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</si>
  <si>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</si>
  <si>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</si>
  <si>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</si>
  <si>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</si>
  <si>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</si>
  <si>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</si>
  <si>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</si>
  <si>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</si>
  <si>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</si>
  <si>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</si>
  <si>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</si>
  <si>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</si>
  <si>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</si>
  <si>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</si>
  <si>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精英,远程,囚犯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</si>
  <si>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</si>
  <si>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</si>
  <si>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</si>
  <si>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</si>
  <si>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</si>
  <si>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</si>
  <si>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</si>
  <si>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</si>
  <si>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</si>
  <si>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</si>
  <si>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</si>
  <si>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</si>
  <si>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</si>
  <si>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</si>
  <si>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</si>
  <si>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</si>
  <si>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</si>
  <si>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</si>
  <si>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</si>
  <si>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</si>
  <si>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</si>
  <si>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</si>
  <si>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</si>
  <si>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</si>
  <si>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普通,近战,化物</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</si>
  <si>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</si>
  <si>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</si>
  <si>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</si>
  <si>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</si>
  <si>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</si>
  <si>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</si>
  <si>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</si>
  <si>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</si>
  <si>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</si>
  <si>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</si>
  <si>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</si>
  <si>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</si>
  <si>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</si>
  <si>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</si>
  <si>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普通,远程,化物</t>
  </si>
  <si>
    <t>奸诈的墨魉。十分狡猾，而且傲慢，会&lt;@eb.key&gt;优先攻击相反属性&lt;/&gt;的敌人。</t>
  </si>
  <si>
    <t>enemy_1124_spbow_2</t>
  </si>
  <si>
    <t>spbow_2</t>
  </si>
  <si>
    <t>迂回的“匕现”</t>
  </si>
  <si>
    <t>enemy_1125_spshld</t>
  </si>
  <si>
    <t>spshld</t>
  </si>
  <si>
    <t>“偷闲”</t>
  </si>
  <si>
    <t>精英,近战,化物</t>
  </si>
  <si>
    <t>威严的墨魉。因为不喜欢动，时常被别人当成假山。&lt;@eb.key&gt;能吸引敌人攻击自己&lt;/&gt;，坚硬无比。</t>
  </si>
  <si>
    <t>enemy_1125_spshld_2</t>
  </si>
  <si>
    <t>spshld_2</t>
  </si>
  <si>
    <t>不动的“偷闲”</t>
  </si>
  <si>
    <t>enemy_1126_spslme</t>
  </si>
  <si>
    <t>spslme</t>
  </si>
  <si>
    <t>“得意”</t>
  </si>
  <si>
    <t>普通,近战,化物,得意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</si>
  <si>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</si>
  <si>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</si>
  <si>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</si>
  <si>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</si>
  <si>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</si>
  <si>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</si>
  <si>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</si>
  <si>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</si>
  <si>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</si>
  <si>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</si>
  <si>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</si>
  <si>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</si>
  <si>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</si>
  <si>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</si>
  <si>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精英,远程,化物</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</si>
  <si>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</si>
  <si>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</si>
  <si>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</si>
  <si>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</si>
  <si>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</si>
  <si>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</si>
  <si>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</si>
  <si>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</si>
  <si>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</si>
  <si>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</si>
  <si>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</si>
  <si>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</si>
  <si>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</si>
  <si>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</si>
  <si>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领袖,远程,化物</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</si>
  <si>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</si>
  <si>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</si>
  <si>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</si>
  <si>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</si>
  <si>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</si>
  <si>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</si>
  <si>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</si>
  <si>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精英,近战,远程,机械</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</si>
  <si>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</si>
  <si>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</si>
  <si>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</si>
  <si>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</si>
  <si>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</si>
  <si>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</si>
  <si>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</si>
  <si>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</si>
  <si>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</si>
  <si>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</si>
  <si>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</si>
  <si>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</si>
  <si>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</si>
  <si>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</si>
  <si>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普通,不攻击,机械</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</si>
  <si>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</si>
  <si>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</si>
  <si>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</si>
  <si>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</si>
  <si>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</si>
  <si>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</si>
  <si>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</si>
  <si>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</si>
  <si>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</si>
  <si>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</si>
  <si>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</si>
  <si>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</si>
  <si>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</si>
  <si>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</si>
  <si>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</si>
  <si>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</si>
  <si>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</si>
  <si>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</si>
  <si>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</si>
  <si>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</si>
  <si>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</si>
  <si>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</si>
  <si>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</si>
  <si>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</si>
  <si>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</si>
  <si>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</si>
  <si>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</si>
  <si>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</si>
  <si>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精英,远程,感染生物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</si>
  <si>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</si>
  <si>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</si>
  <si>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</si>
  <si>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</si>
  <si>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</si>
  <si>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</si>
  <si>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</si>
  <si>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</si>
  <si>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</si>
  <si>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精英,近战,感染生物</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</si>
  <si>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</si>
  <si>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</si>
  <si>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</si>
  <si>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</si>
  <si>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</si>
  <si>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</si>
  <si>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</si>
  <si>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</si>
  <si>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</si>
  <si>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</si>
  <si>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</si>
  <si>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</si>
  <si>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</si>
  <si>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</si>
  <si>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</si>
  <si>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</si>
  <si>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</si>
  <si>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</si>
  <si>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</si>
  <si>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</si>
  <si>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</si>
  <si>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</si>
  <si>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</si>
  <si>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</si>
  <si>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</si>
  <si>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</si>
  <si>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</si>
  <si>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</si>
  <si>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</si>
  <si>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</si>
  <si>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</si>
  <si>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</si>
  <si>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</si>
  <si>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</si>
  <si>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</si>
  <si>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</si>
  <si>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</si>
  <si>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</si>
  <si>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</si>
  <si>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</si>
  <si>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</si>
  <si>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</si>
  <si>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</si>
  <si>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领袖,不攻击,感染生物</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</si>
  <si>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</si>
  <si>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</si>
  <si>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</si>
  <si>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</si>
  <si>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</si>
  <si>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</si>
  <si>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</si>
  <si>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</si>
  <si>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</si>
  <si>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</si>
  <si>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</si>
  <si>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</si>
  <si>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</si>
  <si>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</si>
  <si>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</si>
  <si>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</si>
  <si>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</si>
  <si>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</si>
  <si>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</si>
  <si>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</si>
  <si>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</si>
  <si>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</si>
  <si>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</si>
  <si>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</si>
  <si>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</si>
  <si>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</si>
  <si>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</si>
  <si>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</si>
  <si>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</si>
  <si>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</si>
  <si>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</si>
  <si>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</si>
  <si>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</si>
  <si>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</si>
  <si>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</si>
  <si>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</si>
  <si>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</si>
  <si>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</si>
  <si>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</si>
  <si>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</si>
  <si>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</si>
  <si>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</si>
  <si>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</si>
  <si>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</si>
  <si>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普通,远程,无人机,空援无人机</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</si>
  <si>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</si>
  <si>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</si>
  <si>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</si>
  <si>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</si>
  <si>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</si>
  <si>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</si>
  <si>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</si>
  <si>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</si>
  <si>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普通,不攻击,无人机,空援无人机</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</si>
  <si>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</si>
  <si>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</si>
  <si>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</si>
  <si>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</si>
  <si>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</si>
  <si>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</si>
  <si>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</si>
  <si>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</si>
  <si>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</si>
  <si>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</si>
  <si>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</si>
  <si>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</si>
  <si>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普通,近战,海怪</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</si>
  <si>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</si>
  <si>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</si>
  <si>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</si>
  <si>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</si>
  <si>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</si>
  <si>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</si>
  <si>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</si>
  <si>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</si>
  <si>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</si>
  <si>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</si>
  <si>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</si>
  <si>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</si>
  <si>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</si>
  <si>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</si>
  <si>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</si>
  <si>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</si>
  <si>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</si>
  <si>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</si>
  <si>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普通,远程,海怪</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</si>
  <si>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</si>
  <si>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</si>
  <si>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</si>
  <si>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</si>
  <si>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</si>
  <si>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</si>
  <si>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</si>
  <si>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</si>
  <si>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</si>
  <si>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</si>
  <si>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</si>
  <si>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</si>
  <si>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</si>
  <si>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</si>
  <si>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</si>
  <si>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</si>
  <si>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</si>
  <si>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</si>
  <si>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精英,近战,海怪</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</si>
  <si>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</si>
  <si>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</si>
  <si>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</si>
  <si>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</si>
  <si>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</si>
  <si>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</si>
  <si>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</si>
  <si>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</si>
  <si>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精英,不攻击,海怪</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</si>
  <si>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</si>
  <si>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</si>
  <si>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</si>
  <si>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</si>
  <si>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</si>
  <si>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</si>
  <si>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</si>
  <si>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</si>
  <si>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</si>
  <si>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精英,远程,海怪</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</si>
  <si>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</si>
  <si>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</si>
  <si>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</si>
  <si>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</si>
  <si>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</si>
  <si>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</si>
  <si>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</si>
  <si>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</si>
  <si>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</si>
  <si>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</si>
  <si>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</si>
  <si>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</si>
  <si>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</si>
  <si>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</si>
  <si>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</si>
  <si>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</si>
  <si>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</si>
  <si>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</si>
  <si>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</si>
  <si>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领袖,远程,海怪</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</si>
  <si>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</si>
  <si>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</si>
  <si>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</si>
  <si>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</si>
  <si>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</si>
  <si>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</si>
  <si>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</si>
  <si>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</si>
  <si>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</si>
  <si>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</si>
  <si>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</si>
  <si>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</si>
  <si>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</si>
  <si>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</si>
  <si>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</si>
  <si>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</si>
  <si>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</si>
  <si>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</si>
  <si>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</si>
  <si>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</si>
  <si>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</si>
  <si>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</si>
  <si>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</si>
  <si>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</si>
  <si>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</si>
  <si>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</si>
  <si>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</si>
  <si>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</si>
  <si>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</si>
  <si>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</si>
  <si>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</si>
  <si>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</si>
  <si>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</si>
  <si>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</si>
  <si>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</si>
  <si>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</si>
  <si>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</si>
  <si>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</si>
  <si>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</si>
  <si>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</si>
  <si>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</si>
  <si>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</si>
  <si>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</si>
  <si>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</si>
  <si>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</si>
  <si>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精英,远程,机械</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</si>
  <si>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</si>
  <si>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</si>
  <si>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</si>
  <si>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</si>
  <si>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</si>
  <si>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</si>
  <si>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</si>
  <si>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</si>
  <si>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精英,近战,机械</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</si>
  <si>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</si>
  <si>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</si>
  <si>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</si>
  <si>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</si>
  <si>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</si>
  <si>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</si>
  <si>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</si>
  <si>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</si>
  <si>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</si>
  <si>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</si>
  <si>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</si>
  <si>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</si>
  <si>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</si>
  <si>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</si>
  <si>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</si>
  <si>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</si>
  <si>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</si>
  <si>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</si>
  <si>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</si>
  <si>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</si>
  <si>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</si>
  <si>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</si>
  <si>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</si>
  <si>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</si>
  <si>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</si>
  <si>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</si>
  <si>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</si>
  <si>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</si>
  <si>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</si>
  <si>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</si>
  <si>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</si>
  <si>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</si>
  <si>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</si>
  <si>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</si>
  <si>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</si>
  <si>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</si>
  <si>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</si>
  <si>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</si>
  <si>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</si>
  <si>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</si>
  <si>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</si>
  <si>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</si>
  <si>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</si>
  <si>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</si>
  <si>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</si>
  <si>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</si>
  <si>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</si>
  <si>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</si>
  <si>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</si>
  <si>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</si>
  <si>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</si>
  <si>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</si>
  <si>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</si>
  <si>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</si>
  <si>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</si>
  <si>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</si>
  <si>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</si>
  <si>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</si>
  <si>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</si>
  <si>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</si>
  <si>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</si>
  <si>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</si>
  <si>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</si>
  <si>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</si>
  <si>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</si>
  <si>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</si>
  <si>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</si>
  <si>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</si>
  <si>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</si>
  <si>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</si>
  <si>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</si>
  <si>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</si>
  <si>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</si>
  <si>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</si>
  <si>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</si>
  <si>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</si>
  <si>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</si>
  <si>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</si>
  <si>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</si>
  <si>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</si>
  <si>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</si>
  <si>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</si>
  <si>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</si>
  <si>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精英,近战,远程,法术造物</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</si>
  <si>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</si>
  <si>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</si>
  <si>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</si>
  <si>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</si>
  <si>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</si>
  <si>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</si>
  <si>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</si>
  <si>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</si>
  <si>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</si>
  <si>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</si>
  <si>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</si>
  <si>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</si>
  <si>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</si>
  <si>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</si>
  <si>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</si>
  <si>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精英,近战,深池伙友卫队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</si>
  <si>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</si>
  <si>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</si>
  <si>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</si>
  <si>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</si>
  <si>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</si>
  <si>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</si>
  <si>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</si>
  <si>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</si>
  <si>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精英,近战,深池伙友影刃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</si>
  <si>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</si>
  <si>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</si>
  <si>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</si>
  <si>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</si>
  <si>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</si>
  <si>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</si>
  <si>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</si>
  <si>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</si>
  <si>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</si>
  <si>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</si>
  <si>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</si>
  <si>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</si>
  <si>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</si>
  <si>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</si>
  <si>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</si>
  <si>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普通,近战,附着单位</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</si>
  <si>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</si>
  <si>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</si>
  <si>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</si>
  <si>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</si>
  <si>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</si>
  <si>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</si>
  <si>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</si>
  <si>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</si>
  <si>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</si>
  <si>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</si>
  <si>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</si>
  <si>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</si>
  <si>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</si>
  <si>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</si>
  <si>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</si>
  <si>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</si>
  <si>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</si>
  <si>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</si>
  <si>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</si>
  <si>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</si>
  <si>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</si>
  <si>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</si>
  <si>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</si>
  <si>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</si>
  <si>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</si>
  <si>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</si>
  <si>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</si>
  <si>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</si>
  <si>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</si>
  <si>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</si>
  <si>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</si>
  <si>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</si>
  <si>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</si>
  <si>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</si>
  <si>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</si>
  <si>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</si>
  <si>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</si>
  <si>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</si>
  <si>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</si>
  <si>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</si>
  <si>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</si>
  <si>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</si>
  <si>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</si>
  <si>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</si>
  <si>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</si>
  <si>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</si>
  <si>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</si>
  <si>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</si>
  <si>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</si>
  <si>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</si>
  <si>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</si>
  <si>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</si>
  <si>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</si>
  <si>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</si>
  <si>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</si>
  <si>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</si>
  <si>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</si>
  <si>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</si>
  <si>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</si>
  <si>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</si>
  <si>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</si>
  <si>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</si>
  <si>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</si>
  <si>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</si>
  <si>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</si>
  <si>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</si>
  <si>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</si>
  <si>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</si>
  <si>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</si>
  <si>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</si>
  <si>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</si>
  <si>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</si>
  <si>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</si>
  <si>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</si>
  <si>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</si>
  <si>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</si>
  <si>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</si>
  <si>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</si>
  <si>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</si>
  <si>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</si>
  <si>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</si>
  <si>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</si>
  <si>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</si>
  <si>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</si>
  <si>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</si>
  <si>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</si>
  <si>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</si>
  <si>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</si>
  <si>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</si>
  <si>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</si>
  <si>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</si>
  <si>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</si>
  <si>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</si>
  <si>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</si>
  <si>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</si>
  <si>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</si>
  <si>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</si>
  <si>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</si>
  <si>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</si>
  <si>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</si>
  <si>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</si>
  <si>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</si>
  <si>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</si>
  <si>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</si>
  <si>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</si>
  <si>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</si>
  <si>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</si>
  <si>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</si>
  <si>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</si>
  <si>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</si>
  <si>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</si>
  <si>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</si>
  <si>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</si>
  <si>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</si>
  <si>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</si>
  <si>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</si>
  <si>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</si>
  <si>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</si>
  <si>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</si>
  <si>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</si>
  <si>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</si>
  <si>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</si>
  <si>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</si>
  <si>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</si>
  <si>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</si>
  <si>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</si>
  <si>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</si>
  <si>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</si>
  <si>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</si>
  <si>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</si>
  <si>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</si>
  <si>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</si>
  <si>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</si>
  <si>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</si>
  <si>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</si>
  <si>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</si>
  <si>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</si>
  <si>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</si>
  <si>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</si>
  <si>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</si>
  <si>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</si>
  <si>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</si>
  <si>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</si>
  <si>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</si>
  <si>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</si>
  <si>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</si>
  <si>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</si>
  <si>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</si>
  <si>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</si>
  <si>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</si>
  <si>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</si>
  <si>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</si>
  <si>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</si>
  <si>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</si>
  <si>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</si>
  <si>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</si>
  <si>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</si>
  <si>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</si>
  <si>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</si>
  <si>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</si>
  <si>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</si>
  <si>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</si>
  <si>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</si>
  <si>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精英,远程,法术造物</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</si>
  <si>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</si>
  <si>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</si>
  <si>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</si>
  <si>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</si>
  <si>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</si>
  <si>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</si>
  <si>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</si>
  <si>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</si>
  <si>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</si>
  <si>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</si>
  <si>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</si>
  <si>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</si>
  <si>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</si>
  <si>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</si>
  <si>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</si>
  <si>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</si>
  <si>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</si>
  <si>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</si>
  <si>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</si>
  <si>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</si>
  <si>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</si>
  <si>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</si>
  <si>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</si>
  <si>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</si>
  <si>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</si>
  <si>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</si>
  <si>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</si>
  <si>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</si>
  <si>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</si>
  <si>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</si>
  <si>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</si>
  <si>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</si>
  <si>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</si>
  <si>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</si>
  <si>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</si>
  <si>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</si>
  <si>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</si>
  <si>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</si>
  <si>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</si>
  <si>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</si>
  <si>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</si>
  <si>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</si>
  <si>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</si>
  <si>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</si>
  <si>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普通,不攻击,化物</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</si>
  <si>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</si>
  <si>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</si>
  <si>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</si>
  <si>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</si>
  <si>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</si>
  <si>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</si>
  <si>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</si>
  <si>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</si>
  <si>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</si>
  <si>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</si>
  <si>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</si>
  <si>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</si>
  <si>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</si>
  <si>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</si>
  <si>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</si>
  <si>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</si>
  <si>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</si>
  <si>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</si>
  <si>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</si>
  <si>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</si>
  <si>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</si>
  <si>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</si>
  <si>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</si>
  <si>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</si>
  <si>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</si>
  <si>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</si>
  <si>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</si>
  <si>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</si>
  <si>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</si>
  <si>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</si>
  <si>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</si>
  <si>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</si>
  <si>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</si>
  <si>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</si>
  <si>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</si>
  <si>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</si>
  <si>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</si>
  <si>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</si>
  <si>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</si>
  <si>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</si>
  <si>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</si>
  <si>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</si>
  <si>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</si>
  <si>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</si>
  <si>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</si>
  <si>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</si>
  <si>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</si>
  <si>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</si>
  <si>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</si>
  <si>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</si>
  <si>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</si>
  <si>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</si>
  <si>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</si>
  <si>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</si>
  <si>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</si>
  <si>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</si>
  <si>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</si>
  <si>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</si>
  <si>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</si>
  <si>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</si>
  <si>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</si>
  <si>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</si>
  <si>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</si>
  <si>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</si>
  <si>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</si>
  <si>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</si>
  <si>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</si>
  <si>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</si>
  <si>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</si>
  <si>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</si>
  <si>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</si>
  <si>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</si>
  <si>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</si>
  <si>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</si>
  <si>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</si>
  <si>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</si>
  <si>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</si>
  <si>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</si>
  <si>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</si>
  <si>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</si>
  <si>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</si>
  <si>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</si>
  <si>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</si>
  <si>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</si>
  <si>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</si>
  <si>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</si>
  <si>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</si>
  <si>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</si>
  <si>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</si>
  <si>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</si>
  <si>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</si>
  <si>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</si>
  <si>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</si>
  <si>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</si>
  <si>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</si>
  <si>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</si>
  <si>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</si>
  <si>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</si>
  <si>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</si>
  <si>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</si>
  <si>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</si>
  <si>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</si>
  <si>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</si>
  <si>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</si>
  <si>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</si>
  <si>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</si>
  <si>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</si>
  <si>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</si>
  <si>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</si>
  <si>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</si>
  <si>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</si>
  <si>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</si>
  <si>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</si>
  <si>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</si>
  <si>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</si>
  <si>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</si>
  <si>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</si>
  <si>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</si>
  <si>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</si>
  <si>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</si>
  <si>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</si>
  <si>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</si>
  <si>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</si>
  <si>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</si>
  <si>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</si>
  <si>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</si>
  <si>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</si>
  <si>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</si>
  <si>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</si>
  <si>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</si>
  <si>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</si>
  <si>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</si>
  <si>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</si>
  <si>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</si>
  <si>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</si>
  <si>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</si>
  <si>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</si>
  <si>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</si>
  <si>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</si>
  <si>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</si>
  <si>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</si>
  <si>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</si>
  <si>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</si>
  <si>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</si>
  <si>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</si>
  <si>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</si>
  <si>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</si>
  <si>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</si>
  <si>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</si>
  <si>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</si>
  <si>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</si>
  <si>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</si>
  <si>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</si>
  <si>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</si>
  <si>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</si>
  <si>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</si>
  <si>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</si>
  <si>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</si>
  <si>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</si>
  <si>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</si>
  <si>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</si>
  <si>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</si>
  <si>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</si>
  <si>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</si>
  <si>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</si>
  <si>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</si>
  <si>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</si>
  <si>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</si>
  <si>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</si>
  <si>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</si>
  <si>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</si>
  <si>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</si>
  <si>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</si>
  <si>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</si>
  <si>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</si>
  <si>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</si>
  <si>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</si>
  <si>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</si>
  <si>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</si>
  <si>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</si>
  <si>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</si>
  <si>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</si>
  <si>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</si>
  <si>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</si>
  <si>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</si>
  <si>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</si>
  <si>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</si>
  <si>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普通,近战,重生造物,日晕</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</si>
  <si>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</si>
  <si>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</si>
  <si>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</si>
  <si>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</si>
  <si>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</si>
  <si>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</si>
  <si>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</si>
  <si>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</si>
  <si>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</si>
  <si>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</si>
  <si>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</si>
  <si>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</si>
  <si>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</si>
  <si>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普通,近战,萨卡兹,日晕</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</si>
  <si>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</si>
  <si>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</si>
  <si>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</si>
  <si>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</si>
  <si>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</si>
  <si>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</si>
  <si>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</si>
  <si>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</si>
  <si>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</si>
  <si>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</si>
  <si>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</si>
  <si>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</si>
  <si>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</si>
  <si>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</si>
  <si>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</si>
  <si>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</si>
  <si>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</si>
  <si>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</si>
  <si>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</si>
  <si>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</si>
  <si>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</si>
  <si>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</si>
  <si>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</si>
  <si>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精英,远程,萨卡兹,日晕</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</si>
  <si>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</si>
  <si>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</si>
  <si>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</si>
  <si>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</si>
  <si>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</si>
  <si>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</si>
  <si>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</si>
  <si>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</si>
  <si>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精英,近战,萨卡兹,日晕</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</si>
  <si>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</si>
  <si>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</si>
  <si>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</si>
  <si>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</si>
  <si>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</si>
  <si>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</si>
  <si>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</si>
  <si>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</si>
  <si>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</si>
  <si>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</si>
  <si>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</si>
  <si>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</si>
  <si>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</si>
  <si>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</si>
  <si>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</si>
  <si>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</si>
  <si>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</si>
  <si>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</si>
  <si>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</si>
  <si>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</si>
  <si>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</si>
  <si>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</si>
  <si>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</si>
  <si>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</si>
  <si>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</si>
  <si>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</si>
  <si>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</si>
  <si>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</si>
  <si>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</si>
  <si>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</si>
  <si>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</si>
  <si>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</si>
  <si>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</si>
  <si>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</si>
  <si>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</si>
  <si>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</si>
  <si>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</si>
  <si>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</si>
  <si>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</si>
  <si>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</si>
  <si>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</si>
  <si>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</si>
  <si>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</si>
  <si>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</si>
  <si>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</si>
  <si>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</si>
  <si>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</si>
  <si>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</si>
  <si>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</si>
  <si>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</si>
  <si>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</si>
  <si>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</si>
  <si>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</si>
  <si>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</si>
  <si>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</si>
  <si>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</si>
  <si>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</si>
  <si>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</si>
  <si>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</si>
  <si>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</si>
  <si>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</si>
  <si>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</si>
  <si>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</si>
  <si>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</si>
  <si>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</si>
  <si>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</si>
  <si>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</si>
  <si>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</si>
  <si>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</si>
  <si>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</si>
  <si>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</si>
  <si>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</si>
  <si>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</si>
  <si>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</si>
  <si>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</si>
  <si>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</si>
  <si>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</si>
  <si>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</si>
  <si>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</si>
  <si>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</si>
  <si>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</si>
  <si>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</si>
  <si>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</si>
  <si>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</si>
  <si>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</si>
  <si>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</si>
  <si>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</si>
  <si>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</si>
  <si>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</si>
  <si>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</si>
  <si>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</si>
  <si>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</si>
  <si>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</si>
  <si>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</si>
  <si>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</si>
  <si>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精英,近战,远程,海怪</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</si>
  <si>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</si>
  <si>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</si>
  <si>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</si>
  <si>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</si>
  <si>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</si>
  <si>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</si>
  <si>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</si>
  <si>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</si>
  <si>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</si>
  <si>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</si>
  <si>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</si>
  <si>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</si>
  <si>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</si>
  <si>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</si>
  <si>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</si>
  <si>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</si>
  <si>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</si>
  <si>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</si>
  <si>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</si>
  <si>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</si>
  <si>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</si>
  <si>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</si>
  <si>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</si>
  <si>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</si>
  <si>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领袖,近战,远程,海怪</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</si>
  <si>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</si>
  <si>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</si>
  <si>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</si>
  <si>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</si>
  <si>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</si>
  <si>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</si>
  <si>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</si>
  <si>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</si>
  <si>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使用条件</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</si>
  <si>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</si>
  <si>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</si>
  <si>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</si>
  <si>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</si>
  <si>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</si>
  <si>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</si>
  <si>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</si>
  <si>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</si>
  <si>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</si>
  <si>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</si>
  <si>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</si>
  <si>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</si>
  <si>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</si>
  <si>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</si>
  <si>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</si>
  <si>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</si>
  <si>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</si>
  <si>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</si>
  <si>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</si>
  <si>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</si>
  <si>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</si>
  <si>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</si>
  <si>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</si>
  <si>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</si>
  <si>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</si>
  <si>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</si>
  <si>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</si>
  <si>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</si>
  <si>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</si>
  <si>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</si>
  <si>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</si>
  <si>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</si>
  <si>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</si>
  <si>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</si>
  <si>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优先Buff</t>
  </si>
  <si>
    <t>自定义优先级</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</si>
  <si>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</si>
  <si>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</si>
  <si>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</si>
  <si>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</si>
  <si>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</si>
  <si>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</si>
  <si>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</si>
  <si>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</si>
  <si>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</si>
  <si>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</si>
  <si>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</si>
  <si>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</si>
  <si>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</si>
  <si>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</si>
  <si>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</si>
  <si>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</si>
  <si>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</si>
  <si>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</si>
  <si>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</si>
  <si>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</si>
  <si>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</si>
  <si>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</si>
  <si>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</si>
  <si>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</si>
  <si>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</si>
  <si>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可停止</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</si>
  <si>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</si>
  <si>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</si>
  <si>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</si>
  <si>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</si>
  <si>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</si>
  <si>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</si>
  <si>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</si>
  <si>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</si>
  <si>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</si>
  <si>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</si>
  <si>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</si>
  <si>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</si>
  <si>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</si>
  <si>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</si>
  <si>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</si>
  <si>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</si>
  <si>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元素损伤</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</si>
  <si>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</si>
  <si>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</si>
  <si>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</si>
  <si>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</si>
  <si>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</si>
  <si>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</si>
  <si>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</si>
  <si>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</si>
  <si>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</si>
  <si>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</si>
  <si>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</si>
  <si>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</si>
  <si>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</si>
  <si>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</si>
  <si>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</si>
  <si>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</si>
  <si>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</si>
  <si>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</si>
  <si>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</si>
  <si>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</si>
  <si>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</si>
  <si>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</si>
  <si>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</si>
  <si>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SkillCondition</t>
  </si>
  <si>
    <t>IgnoreStun</t>
  </si>
  <si>
    <t>ReadyType</t>
  </si>
  <si>
    <t>UseType</t>
  </si>
  <si>
    <t>Trigger</t>
  </si>
  <si>
    <t>SkillCost</t>
  </si>
  <si>
    <t>MaxUseCount</t>
  </si>
  <si>
    <t>EnableBuff</t>
  </si>
  <si>
    <t>DisableBuff</t>
  </si>
  <si>
    <t>TargetDisableBuff</t>
  </si>
  <si>
    <t>OpenDisable</t>
  </si>
  <si>
    <t>SelfHpLess</t>
  </si>
  <si>
    <t>TargetHpLess</t>
  </si>
  <si>
    <t>TargetHpMore</t>
  </si>
  <si>
    <t>AutoUse</t>
  </si>
  <si>
    <t>NoTargetAlsoUse</t>
  </si>
  <si>
    <t>RegetTarget</t>
  </si>
  <si>
    <t>StopBreak</t>
  </si>
  <si>
    <t>EffectiveRate</t>
  </si>
  <si>
    <t>StopOtherSkill</t>
  </si>
  <si>
    <t>TargetTeam</t>
  </si>
  <si>
    <t>AttackFly</t>
  </si>
  <si>
    <t>UseEventUser</t>
  </si>
  <si>
    <t>UseEventTarget</t>
  </si>
  <si>
    <t>TargetFilter</t>
  </si>
  <si>
    <t>DeadFind</t>
  </si>
  <si>
    <t>ProfessionLimit</t>
  </si>
  <si>
    <t>UnitLimit</t>
  </si>
  <si>
    <t>RareLimit</t>
  </si>
  <si>
    <t>PosLimit</t>
  </si>
  <si>
    <t>CostLimit</t>
  </si>
  <si>
    <t>MidLimit</t>
  </si>
  <si>
    <t>AttackOrder</t>
  </si>
  <si>
    <t>AttackOrder2</t>
  </si>
  <si>
    <t>OrderTag</t>
  </si>
  <si>
    <t>OrderBuff</t>
  </si>
  <si>
    <t>OrderExpression</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</si>
  <si>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</si>
  <si>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</si>
  <si>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</si>
  <si>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</si>
  <si>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</si>
  <si>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</si>
  <si>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</si>
  <si>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</si>
  <si>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</si>
  <si>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</si>
  <si>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</si>
  <si>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</si>
  <si>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</si>
  <si>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</si>
  <si>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</si>
  <si>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</si>
  <si>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</si>
  <si>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</si>
  <si>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</si>
  <si>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</si>
  <si>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</si>
  <si>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</si>
  <si>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</si>
  <si>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</si>
  <si>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</si>
  <si>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</si>
  <si>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</si>
  <si>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</si>
  <si>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</si>
  <si>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</si>
  <si>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</si>
  <si>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</si>
  <si>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</si>
  <si>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</si>
  <si>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</si>
  <si>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</si>
  <si>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</si>
  <si>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</si>
  <si>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</si>
  <si>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</si>
  <si>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</si>
  <si>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</si>
  <si>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ElementInjure</t>
  </si>
  <si>
    <t>BuffRemoves</t>
  </si>
  <si>
    <t>Buffs</t>
  </si>
  <si>
    <t>BuffData</t>
  </si>
  <si>
    <t>BuffData2</t>
  </si>
  <si>
    <t>BuffData3</t>
  </si>
  <si>
    <t>BuffLastTime</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</si>
  <si>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</si>
  <si>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</si>
  <si>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</si>
  <si>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</si>
  <si>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</si>
  <si>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</si>
  <si>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</si>
  <si>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</si>
  <si>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</si>
  <si>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</si>
  <si>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</si>
  <si>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</si>
  <si>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</si>
  <si>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</si>
  <si>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</si>
  <si>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</si>
  <si>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</si>
  <si>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</si>
  <si>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</si>
  <si>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TriggerEnum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</si>
  <si>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</si>
  <si>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</si>
  <si>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</si>
  <si>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</si>
  <si>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</si>
  <si>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</si>
  <si>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</si>
  <si>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</si>
  <si>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</si>
  <si>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</si>
  <si>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</si>
  <si>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</si>
  <si>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</si>
  <si>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</si>
  <si>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</si>
  <si>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对我方神经损伤</t>
  </si>
  <si>
    <t>全局技能</t>
  </si>
  <si>
    <t>被动</t>
  </si>
  <si>
    <t>自身元素爆发</t>
  </si>
  <si>
    <t>仅自己</t>
  </si>
  <si>
    <t>Element</t>
  </si>
  <si>
    <t>眩晕</t>
  </si>
  <si>
    <t>{"ElementType":"Sanity"}</t>
  </si>
  <si>
    <t>对敌方神经损伤</t>
  </si>
  <si>
    <t>神经损伤麻痹</t>
  </si>
  <si>
    <t>对敌方灼燃损伤</t>
  </si>
  <si>
    <t>灼燃损伤减法抗</t>
  </si>
  <si>
    <t>{"ElementType":"Fire"}</t>
  </si>
  <si>
    <t>通用绝食</t>
  </si>
  <si>
    <t>普通技能</t>
  </si>
  <si>
    <t>入场</t>
  </si>
  <si>
    <t>绝食2</t>
  </si>
  <si>
    <t>三星被动加攻击</t>
  </si>
  <si>
    <t>出场</t>
  </si>
  <si>
    <t>攻击提升2</t>
  </si>
  <si>
    <t>三星被动加生命</t>
  </si>
  <si>
    <t>生命提升2</t>
  </si>
  <si>
    <t>三星被动加防御</t>
  </si>
  <si>
    <t>防御提升2</t>
  </si>
  <si>
    <t>部署费用提升2</t>
  </si>
  <si>
    <t>三星被动加攻血</t>
  </si>
  <si>
    <t>攻击提升2,生命提升2</t>
  </si>
  <si>
    <t>攻击力强化·α型</t>
  </si>
  <si>
    <t>攻击力+50%</t>
  </si>
  <si>
    <t>skill_icon_skcom_atk_up[1]</t>
  </si>
  <si>
    <t>充能释放</t>
  </si>
  <si>
    <t>手动</t>
  </si>
  <si>
    <t>自动</t>
  </si>
  <si>
    <t>泡普卡加攻</t>
  </si>
  <si>
    <t>攻击强化2</t>
  </si>
  <si>
    <t>攻击力强化·β型</t>
  </si>
  <si>
    <t>攻击力+80%</t>
  </si>
  <si>
    <t>skill_icon_skcom_atk_up[2]</t>
  </si>
  <si>
    <t>攻击强化3</t>
  </si>
  <si>
    <t>攻击力强化·γ型</t>
  </si>
  <si>
    <t>攻击力+100%</t>
  </si>
  <si>
    <t>skill_icon_skcom_atk_up[3]</t>
  </si>
  <si>
    <t>战术咏唱·α型</t>
  </si>
  <si>
    <t>攻击速度+50</t>
  </si>
  <si>
    <t>skill_icon_skcom_magic_rage[1]</t>
  </si>
  <si>
    <t>炎溶攻速提升</t>
  </si>
  <si>
    <t>攻速强化2</t>
  </si>
  <si>
    <t>战术咏唱·β型</t>
  </si>
  <si>
    <t>攻击速度+75</t>
  </si>
  <si>
    <t>skill_icon_skcom_magic_rage[2]</t>
  </si>
  <si>
    <t>攻速强化3</t>
  </si>
  <si>
    <t>战术咏唱·γ型</t>
  </si>
  <si>
    <t>攻击速度+90</t>
  </si>
  <si>
    <t>skill_icon_skcom_magic_rage[3]</t>
  </si>
  <si>
    <t>阿米娅攻速</t>
  </si>
  <si>
    <t>迅捷打击·α型</t>
  </si>
  <si>
    <t>攻击力+25%，攻击速度+25</t>
  </si>
  <si>
    <t>skill_icon_skcom_quickattack[1]</t>
  </si>
  <si>
    <t>泡普卡加攻,攻速提升</t>
  </si>
  <si>
    <t>迅捷打击3</t>
  </si>
  <si>
    <t>迅捷打击·γ型</t>
  </si>
  <si>
    <t>攻击力+45%，攻击速度+45</t>
  </si>
  <si>
    <t>skill_icon_skcom_quickattack[3]</t>
  </si>
  <si>
    <t>通用攻击攻速</t>
  </si>
  <si>
    <t>0.45,45</t>
  </si>
  <si>
    <t>治疗强化·α型</t>
  </si>
  <si>
    <t>skill_icon_skcom_heal_up[1]</t>
  </si>
  <si>
    <t>斑点加攻</t>
  </si>
  <si>
    <t>治疗强化2</t>
  </si>
  <si>
    <t>治疗强化·β型</t>
  </si>
  <si>
    <t>攻击力+70%</t>
  </si>
  <si>
    <t>skill_icon_skcom_heal_up[2]</t>
  </si>
  <si>
    <t>治疗强化3</t>
  </si>
  <si>
    <t>治疗强化·γ型</t>
  </si>
  <si>
    <t>攻击力+90%</t>
  </si>
  <si>
    <t>skill_icon_skcom_heal_up[3]</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</si>
  <si>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</si>
  <si>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</si>
  <si>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</si>
  <si>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治疗击中</t>
  </si>
  <si>
    <t>生命回复2</t>
  </si>
  <si>
    <t>生命回复·β型</t>
  </si>
  <si>
    <t>立即恢复最大生命的50%</t>
  </si>
  <si>
    <t>skill_icon_skcom_heal_self[2]</t>
  </si>
  <si>
    <t>防御力强化·α型</t>
  </si>
  <si>
    <t>防御力+50%</t>
  </si>
  <si>
    <t>skill_icon_skcom_def_up[1]</t>
  </si>
  <si>
    <t>米格鲁防御提升</t>
  </si>
  <si>
    <t>防御力强化·β型</t>
  </si>
  <si>
    <t>防御力+80%</t>
  </si>
  <si>
    <t>skill_icon_skcom_def_up[2]</t>
  </si>
  <si>
    <t>防御提升3</t>
  </si>
  <si>
    <t>防御力强化·γ型</t>
  </si>
  <si>
    <t>防御力+100%</t>
  </si>
  <si>
    <t>skill_icon_skcom_def_up[3]</t>
  </si>
  <si>
    <t>医疗小车攻击</t>
  </si>
  <si>
    <t>血量比例升序</t>
  </si>
  <si>
    <t>0,0#0,1#0,-1#1,0#2,0#1,1#1,-1#2,1#2,-1#3,0</t>
  </si>
  <si>
    <t>跟随攻击</t>
  </si>
  <si>
    <t>凯尔希弹道</t>
  </si>
  <si>
    <t>Muzzle</t>
  </si>
  <si>
    <t>医疗小车落地奶</t>
  </si>
  <si>
    <t>自己入场</t>
  </si>
  <si>
    <t>近卫小车攻击</t>
  </si>
  <si>
    <t>近战</t>
  </si>
  <si>
    <t>终点距离</t>
  </si>
  <si>
    <t>0,0#1,0</t>
  </si>
  <si>
    <t>Normal</t>
  </si>
  <si>
    <t>切割击中</t>
  </si>
  <si>
    <t>近卫小车加攻</t>
  </si>
  <si>
    <t>攻击提升,防御提升</t>
  </si>
  <si>
    <t>黑角被动</t>
  </si>
  <si>
    <t>攻击提升2,防御提升2</t>
  </si>
  <si>
    <t>飞行</t>
  </si>
  <si>
    <t>普通弓箭</t>
  </si>
  <si>
    <t>对空伤害</t>
  </si>
  <si>
    <t>克洛斯启动技能</t>
  </si>
  <si>
    <t>普通击中</t>
  </si>
  <si>
    <t>杜林攻击</t>
  </si>
  <si>
    <t>0,0#0,1#0,-1#1,0#2,0#1,1#1,-1#2,1#2,-1</t>
  </si>
  <si>
    <t>Magic</t>
  </si>
  <si>
    <t>普通法球</t>
  </si>
  <si>
    <t>魔法击中</t>
  </si>
  <si>
    <t>杜林被动</t>
  </si>
  <si>
    <t>法术闪避,限伤1</t>
  </si>
  <si>
    <t>杜林检测</t>
  </si>
  <si>
    <t>清除射弹</t>
  </si>
  <si>
    <t>0,0#0,1#0,-1#1,0#2,0#1,1#1,-1#2,1#2,-1#3,0#3,1#3,-1#4,0</t>
  </si>
  <si>
    <t>杜林检测1</t>
  </si>
  <si>
    <t>0,0</t>
  </si>
  <si>
    <t>次级治疗模式</t>
  </si>
  <si>
    <t>攻击力+45%，停止攻击并专心对周围的友方角色进行治疗</t>
  </si>
  <si>
    <t>skill_icon_skchr_spot_1</t>
  </si>
  <si>
    <t>特技激活</t>
  </si>
  <si>
    <t>0,0#0,1#0,-1#1,0#1,1#1,-1#-1,0#-1,1#-1,-1</t>
  </si>
  <si>
    <t>斑点攻击力提升,斑点缴械自己</t>
  </si>
  <si>
    <t>斑点弹道</t>
  </si>
  <si>
    <t>斑点闪避</t>
  </si>
  <si>
    <t>斑点技能击中</t>
  </si>
  <si>
    <t>斑点攻击力提升</t>
  </si>
  <si>
    <t>释放技能</t>
  </si>
  <si>
    <t>斑点缴械自己</t>
  </si>
  <si>
    <t>缴械</t>
  </si>
  <si>
    <t>泡普卡攻击</t>
  </si>
  <si>
    <t>群攻</t>
  </si>
  <si>
    <t>泡普卡击中</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</si>
  <si>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</si>
  <si>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</si>
  <si>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</si>
  <si>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</si>
  <si>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</si>
  <si>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</si>
  <si>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</si>
  <si>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</si>
  <si>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</si>
  <si>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</si>
  <si>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</si>
  <si>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</si>
  <si>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</si>
  <si>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</si>
  <si>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</si>
  <si>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</si>
  <si>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空爆攻击</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</si>
  <si>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</si>
  <si>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</si>
  <si>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</si>
  <si>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</si>
  <si>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</si>
  <si>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</si>
  <si>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</si>
  <si>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</si>
  <si>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</si>
  <si>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</si>
  <si>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</si>
  <si>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减速</t>
  </si>
  <si>
    <t>梓兰击中</t>
  </si>
  <si>
    <t>梓兰被动加攻速</t>
  </si>
  <si>
    <t>攻速提升2</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</si>
  <si>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</si>
  <si>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</si>
  <si>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</si>
  <si>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</si>
  <si>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</si>
  <si>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</si>
  <si>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</si>
  <si>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</si>
  <si>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</si>
  <si>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</si>
  <si>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</si>
  <si>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</si>
  <si>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</si>
  <si>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</si>
  <si>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</si>
  <si>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</si>
  <si>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</si>
  <si>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</si>
  <si>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</si>
  <si>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炎熔攻击</t>
  </si>
  <si>
    <t>炎溶击中</t>
  </si>
  <si>
    <t>炎熔部署回技力</t>
  </si>
  <si>
    <t>回复技力</t>
  </si>
  <si>
    <t>落地</t>
  </si>
  <si>
    <t>{"PowerCount":35}</t>
  </si>
  <si>
    <t>安德切尔攻击</t>
  </si>
  <si>
    <t>远程</t>
  </si>
  <si>
    <t>安德切尔被动加攻速</t>
  </si>
  <si>
    <t>二连射·自动</t>
  </si>
  <si>
    <t>下次攻击时连续射击2次，每次射击造成相当于攻击力140%的物理伤害</t>
  </si>
  <si>
    <t>skill_icon_skchr_kroos_1</t>
  </si>
  <si>
    <t>米格鲁攻击</t>
  </si>
  <si>
    <t>卡提攻击</t>
  </si>
  <si>
    <t>玫兰沙攻击</t>
  </si>
  <si>
    <t>Attack_Begin,Attack_Loop,Attack_End</t>
  </si>
  <si>
    <t>夜烟2弹道</t>
  </si>
  <si>
    <t>魔防变化</t>
  </si>
  <si>
    <t>夜烟2抬手</t>
  </si>
  <si>
    <t>夜烟2击中</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</si>
  <si>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</si>
  <si>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</si>
  <si>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</si>
  <si>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</si>
  <si>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</si>
  <si>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</si>
  <si>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</si>
  <si>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</si>
  <si>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</si>
  <si>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攻击提升</t>
  </si>
  <si>
    <t>远山被动2</t>
  </si>
  <si>
    <t>攻速提升</t>
  </si>
  <si>
    <t>远山被动3</t>
  </si>
  <si>
    <t>生命提升</t>
  </si>
  <si>
    <t>远山攻击</t>
  </si>
  <si>
    <t>远山普攻抬手</t>
  </si>
  <si>
    <t>远山普攻击中</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</si>
  <si>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</si>
  <si>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</si>
  <si>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</si>
  <si>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</si>
  <si>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</si>
  <si>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</si>
  <si>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</si>
  <si>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</si>
  <si>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</si>
  <si>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</si>
  <si>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</si>
  <si>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</si>
  <si>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</si>
  <si>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</si>
  <si>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</si>
  <si>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</si>
  <si>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</si>
  <si>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</si>
  <si>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</si>
  <si>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</si>
  <si>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</si>
  <si>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</si>
  <si>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</si>
  <si>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</si>
  <si>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</si>
  <si>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</si>
  <si>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</si>
  <si>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</si>
  <si>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</si>
  <si>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</si>
  <si>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</si>
  <si>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</si>
  <si>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</si>
  <si>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</si>
  <si>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</si>
  <si>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</si>
  <si>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</si>
  <si>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</si>
  <si>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</si>
  <si>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</si>
  <si>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</si>
  <si>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</si>
  <si>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</si>
  <si>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</si>
  <si>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</si>
  <si>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</si>
  <si>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</si>
  <si>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</si>
  <si>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</si>
  <si>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</si>
  <si>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</si>
  <si>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</si>
  <si>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</si>
  <si>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</si>
  <si>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</si>
  <si>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</si>
  <si>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</si>
  <si>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</si>
  <si>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</si>
  <si>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</si>
  <si>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</si>
  <si>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</si>
  <si>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</si>
  <si>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</si>
  <si>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</si>
  <si>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</si>
  <si>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</si>
  <si>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</si>
  <si>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</si>
  <si>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</si>
  <si>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</si>
  <si>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</si>
  <si>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</si>
  <si>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</si>
  <si>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</si>
  <si>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</si>
  <si>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</si>
  <si>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</si>
  <si>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</si>
  <si>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</si>
  <si>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</si>
  <si>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</si>
  <si>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</si>
  <si>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</si>
  <si>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</si>
  <si>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</si>
  <si>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</si>
  <si>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</si>
  <si>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</si>
  <si>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</si>
  <si>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</si>
  <si>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</si>
  <si>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</si>
  <si>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</si>
  <si>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</si>
  <si>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清道夫被动</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</si>
  <si>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</si>
  <si>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</si>
  <si>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</si>
  <si>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</si>
  <si>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</si>
  <si>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</si>
  <si>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</si>
  <si>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</si>
  <si>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</si>
  <si>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</si>
  <si>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</si>
  <si>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</si>
  <si>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</si>
  <si>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</si>
  <si>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</si>
  <si>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</si>
  <si>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</si>
  <si>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</si>
  <si>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</si>
  <si>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</si>
  <si>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</si>
  <si>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</si>
  <si>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</si>
  <si>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</si>
  <si>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</si>
  <si>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</si>
  <si>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</si>
  <si>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</si>
  <si>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</si>
  <si>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</si>
  <si>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</si>
  <si>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</si>
  <si>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</si>
  <si>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</si>
  <si>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</si>
  <si>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</si>
  <si>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</si>
  <si>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</si>
  <si>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</si>
  <si>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</si>
  <si>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</si>
  <si>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</si>
  <si>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</si>
  <si>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</si>
  <si>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</si>
  <si>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</si>
  <si>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</si>
  <si>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</si>
  <si>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</si>
  <si>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</si>
  <si>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</si>
  <si>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</si>
  <si>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</si>
  <si>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</si>
  <si>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</si>
  <si>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</si>
  <si>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</si>
  <si>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</si>
  <si>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</si>
  <si>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</si>
  <si>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</si>
  <si>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</si>
  <si>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</si>
  <si>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</si>
  <si>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</si>
  <si>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</si>
  <si>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</si>
  <si>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</si>
  <si>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</si>
  <si>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</si>
  <si>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</si>
  <si>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</si>
  <si>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</si>
  <si>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</si>
  <si>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</si>
  <si>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</si>
  <si>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</si>
  <si>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</si>
  <si>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</si>
  <si>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</si>
  <si>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</si>
  <si>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</si>
  <si>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</si>
  <si>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</si>
  <si>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</si>
  <si>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</si>
  <si>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</si>
  <si>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</si>
  <si>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</si>
  <si>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</si>
  <si>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</si>
  <si>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</si>
  <si>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</si>
  <si>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</si>
  <si>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</si>
  <si>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</si>
  <si>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</si>
  <si>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</si>
  <si>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</si>
  <si>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</si>
  <si>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</si>
  <si>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</si>
  <si>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</si>
  <si>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</si>
  <si>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</si>
  <si>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</si>
  <si>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</si>
  <si>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</si>
  <si>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</si>
  <si>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</si>
  <si>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</si>
  <si>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</si>
  <si>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</si>
  <si>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</si>
  <si>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</si>
  <si>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</si>
  <si>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</si>
  <si>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</si>
  <si>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</si>
  <si>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</si>
  <si>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</si>
  <si>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</si>
  <si>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</si>
  <si>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</si>
  <si>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</si>
  <si>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</si>
  <si>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</si>
  <si>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</si>
  <si>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</si>
  <si>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</si>
  <si>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</si>
  <si>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</si>
  <si>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</si>
  <si>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</si>
  <si>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</si>
  <si>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</si>
  <si>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</si>
  <si>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</si>
  <si>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</si>
  <si>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</si>
  <si>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</si>
  <si>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</si>
  <si>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</si>
  <si>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</si>
  <si>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</si>
  <si>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</si>
  <si>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</si>
  <si>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</si>
  <si>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</si>
  <si>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</si>
  <si>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</si>
  <si>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</si>
  <si>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</si>
  <si>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</si>
  <si>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</si>
  <si>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</si>
  <si>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</si>
  <si>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</si>
  <si>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</si>
  <si>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</si>
  <si>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</si>
  <si>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</si>
  <si>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</si>
  <si>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</si>
  <si>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</si>
  <si>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</si>
  <si>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</si>
  <si>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</si>
  <si>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</si>
  <si>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</si>
  <si>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</si>
  <si>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</si>
  <si>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</si>
  <si>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</si>
  <si>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</si>
  <si>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</si>
  <si>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</si>
  <si>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</si>
  <si>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</si>
  <si>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</si>
  <si>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</si>
  <si>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</si>
  <si>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</si>
  <si>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</si>
  <si>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</si>
  <si>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</si>
  <si>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</si>
  <si>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</si>
  <si>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</si>
  <si>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</si>
  <si>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</si>
  <si>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</si>
  <si>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</si>
  <si>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</si>
  <si>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</si>
  <si>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</si>
  <si>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白面鸮2</t>
  </si>
  <si>
    <t>脑啡肽</t>
  </si>
  <si>
    <t>攻击范围扩大，攻击间隔超大幅度缩短(-2.1)</t>
  </si>
  <si>
    <t>skill_icon_skchr_plosis_2</t>
  </si>
  <si>
    <t>0,0#0,1#0,-1#1,0#2,0#1,1#1,-1#2,1#2,-1#-1,0#-1,1#-1,-1#3,0#3,1#3,-1</t>
  </si>
  <si>
    <t>白面2buff</t>
  </si>
  <si>
    <t>白面鸮buff</t>
  </si>
  <si>
    <t>芙兰卡攻击</t>
  </si>
  <si>
    <t>芙兰卡抬手</t>
  </si>
  <si>
    <t>芙兰卡击中</t>
  </si>
  <si>
    <t>芙兰卡被动</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</si>
  <si>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</si>
  <si>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</si>
  <si>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</si>
  <si>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</si>
  <si>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</si>
  <si>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</si>
  <si>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</si>
  <si>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</si>
  <si>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</si>
  <si>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</si>
  <si>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</si>
  <si>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</si>
  <si>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</si>
  <si>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</si>
  <si>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</si>
  <si>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</si>
  <si>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</si>
  <si>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</si>
  <si>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</si>
  <si>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</si>
  <si>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</si>
  <si>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</si>
  <si>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</si>
  <si>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</si>
  <si>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</si>
  <si>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</si>
  <si>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</si>
  <si>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</si>
  <si>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</si>
  <si>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</si>
  <si>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</si>
  <si>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</si>
  <si>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</si>
  <si>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</si>
  <si>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</si>
  <si>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</si>
  <si>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</si>
  <si>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</si>
  <si>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</si>
  <si>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</si>
  <si>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</si>
  <si>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</si>
  <si>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</si>
  <si>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</si>
  <si>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</si>
  <si>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</si>
  <si>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</si>
  <si>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</si>
  <si>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</si>
  <si>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</si>
  <si>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</si>
  <si>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</si>
  <si>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</si>
  <si>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</si>
  <si>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</si>
  <si>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</si>
  <si>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</si>
  <si>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</si>
  <si>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</si>
  <si>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</si>
  <si>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</si>
  <si>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</si>
  <si>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</si>
  <si>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</si>
  <si>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</si>
  <si>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</si>
  <si>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</si>
  <si>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</si>
  <si>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</si>
  <si>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</si>
  <si>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</si>
  <si>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</si>
  <si>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</si>
  <si>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</si>
  <si>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</si>
  <si>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</si>
  <si>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</si>
  <si>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</si>
  <si>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</si>
  <si>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</si>
  <si>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</si>
  <si>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</si>
  <si>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</si>
  <si>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</si>
  <si>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</si>
  <si>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</si>
  <si>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</si>
  <si>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</si>
  <si>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</si>
  <si>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</si>
  <si>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</si>
  <si>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</si>
  <si>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</si>
  <si>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</si>
  <si>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</si>
  <si>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</si>
  <si>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</si>
  <si>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</si>
  <si>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</si>
  <si>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</si>
  <si>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</si>
  <si>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</si>
  <si>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</si>
  <si>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</si>
  <si>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</si>
  <si>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</si>
  <si>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</si>
  <si>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</si>
  <si>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</si>
  <si>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</si>
  <si>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</si>
  <si>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阿米娅攻击</t>
  </si>
  <si>
    <t>Attack_Begin,Attack,Attack_End</t>
  </si>
  <si>
    <t>阿米娅弹道</t>
  </si>
  <si>
    <t>阿米娅抬手</t>
  </si>
  <si>
    <t>阿米娅击中</t>
  </si>
  <si>
    <t>阿米娅被动</t>
  </si>
  <si>
    <t>击中</t>
  </si>
  <si>
    <t>阿米娅被动1</t>
  </si>
  <si>
    <t>{"PowerCount":3}</t>
  </si>
  <si>
    <t>击杀</t>
  </si>
  <si>
    <t>{"PowerCount":10}</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</si>
  <si>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</si>
  <si>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</si>
  <si>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</si>
  <si>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</si>
  <si>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</si>
  <si>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</si>
  <si>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</si>
  <si>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</si>
  <si>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</si>
  <si>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</si>
  <si>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</si>
  <si>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</si>
  <si>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</si>
  <si>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</si>
  <si>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</si>
  <si>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</si>
  <si>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Real</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</si>
  <si>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</si>
  <si>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</si>
  <si>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</si>
  <si>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</si>
  <si>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</si>
  <si>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</si>
  <si>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</si>
  <si>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</si>
  <si>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</si>
  <si>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</si>
  <si>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</si>
  <si>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</si>
  <si>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</si>
  <si>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</si>
  <si>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</si>
  <si>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</si>
  <si>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</si>
  <si>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</si>
  <si>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</si>
  <si>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</si>
  <si>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</si>
  <si>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</si>
  <si>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</si>
  <si>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</si>
  <si>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</si>
  <si>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</si>
  <si>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</si>
  <si>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</si>
  <si>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获得机械水濑</t>
  </si>
  <si>
    <t>{"Count":5,"UnitId":"机械水獭"}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</si>
  <si>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</si>
  <si>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</si>
  <si>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</si>
  <si>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</si>
  <si>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</si>
  <si>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</si>
  <si>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</si>
  <si>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</si>
  <si>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</si>
  <si>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</si>
  <si>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</si>
  <si>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</si>
  <si>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</si>
  <si>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</si>
  <si>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</si>
  <si>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</si>
  <si>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</si>
  <si>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</si>
  <si>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</si>
  <si>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</si>
  <si>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</si>
  <si>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</si>
  <si>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</si>
  <si>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</si>
  <si>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</si>
  <si>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</si>
  <si>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</si>
  <si>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</si>
  <si>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</si>
  <si>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</si>
  <si>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</si>
  <si>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</si>
  <si>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</si>
  <si>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</si>
  <si>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</si>
  <si>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</si>
  <si>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</si>
  <si>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</si>
  <si>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</si>
  <si>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</si>
  <si>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</si>
  <si>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</si>
  <si>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</si>
  <si>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</si>
  <si>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</si>
  <si>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</si>
  <si>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</si>
  <si>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</si>
  <si>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</si>
  <si>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</si>
  <si>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</si>
  <si>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</si>
  <si>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</si>
  <si>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</si>
  <si>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</si>
  <si>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</si>
  <si>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</si>
  <si>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</si>
  <si>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</si>
  <si>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</si>
  <si>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</si>
  <si>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</si>
  <si>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</si>
  <si>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</si>
  <si>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</si>
  <si>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红攻击</t>
  </si>
  <si>
    <t>红抬手</t>
  </si>
  <si>
    <t>红击中</t>
  </si>
  <si>
    <t>红1</t>
  </si>
  <si>
    <t>处决模式</t>
  </si>
  <si>
    <t>部署后攻击力+80%，并获得50%物理和法术闪避</t>
  </si>
  <si>
    <t>skill_icon_skchr_red_1</t>
  </si>
  <si>
    <t>泡普卡加攻,红闪避</t>
  </si>
  <si>
    <t>红2</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</si>
  <si>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</si>
  <si>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</si>
  <si>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</si>
  <si>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</si>
  <si>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</si>
  <si>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</si>
  <si>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</si>
  <si>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</si>
  <si>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</si>
  <si>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</si>
  <si>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</si>
  <si>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</si>
  <si>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</si>
  <si>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</si>
  <si>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</si>
  <si>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</si>
  <si>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</si>
  <si>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</si>
  <si>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</si>
  <si>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</si>
  <si>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</si>
  <si>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</si>
  <si>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</si>
  <si>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</si>
  <si>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</si>
  <si>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</si>
  <si>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</si>
  <si>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</si>
  <si>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</si>
  <si>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</si>
  <si>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</si>
  <si>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</si>
  <si>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</si>
  <si>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</si>
  <si>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</si>
  <si>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</si>
  <si>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</si>
  <si>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</si>
  <si>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</si>
  <si>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</si>
  <si>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</si>
  <si>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</si>
  <si>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</si>
  <si>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</si>
  <si>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</si>
  <si>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</si>
  <si>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</si>
  <si>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</si>
  <si>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</si>
  <si>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</si>
  <si>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</si>
  <si>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</si>
  <si>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</si>
  <si>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</si>
  <si>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</si>
  <si>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</si>
  <si>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</si>
  <si>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</si>
  <si>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</si>
  <si>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</si>
  <si>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</si>
  <si>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</si>
  <si>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</si>
  <si>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</si>
  <si>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</si>
  <si>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</si>
  <si>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</si>
  <si>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</si>
  <si>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</si>
  <si>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</si>
  <si>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</si>
  <si>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</si>
  <si>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</si>
  <si>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</si>
  <si>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</si>
  <si>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</si>
  <si>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</si>
  <si>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</si>
  <si>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</si>
  <si>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</si>
  <si>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</si>
  <si>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</si>
  <si>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</si>
  <si>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</si>
  <si>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</si>
  <si>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</si>
  <si>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</si>
  <si>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</si>
  <si>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</si>
  <si>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</si>
  <si>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</si>
  <si>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</si>
  <si>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</si>
  <si>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</si>
  <si>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</si>
  <si>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</si>
  <si>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</si>
  <si>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</si>
  <si>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</si>
  <si>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</si>
  <si>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</si>
  <si>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</si>
  <si>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</si>
  <si>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</si>
  <si>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</si>
  <si>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</si>
  <si>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</si>
  <si>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</si>
  <si>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</si>
  <si>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</si>
  <si>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</si>
  <si>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</si>
  <si>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</si>
  <si>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</si>
  <si>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</si>
  <si>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</si>
  <si>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</si>
  <si>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</si>
  <si>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</si>
  <si>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</si>
  <si>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</si>
  <si>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</si>
  <si>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</si>
  <si>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</si>
  <si>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</si>
  <si>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</si>
  <si>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</si>
  <si>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</si>
  <si>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</si>
  <si>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</si>
  <si>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</si>
  <si>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</si>
  <si>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</si>
  <si>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</si>
  <si>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</si>
  <si>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</si>
  <si>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</si>
  <si>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</si>
  <si>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</si>
  <si>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</si>
  <si>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</si>
  <si>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</si>
  <si>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</si>
  <si>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</si>
  <si>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</si>
  <si>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</si>
  <si>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</si>
  <si>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</si>
  <si>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</si>
  <si>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</si>
  <si>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</si>
  <si>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</si>
  <si>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0,0#0,1#0,-1#1,0#-1,0#2,0#1,1#1,-1#0,2#0,-2#-1,1#-1,-1#-2,0</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</si>
  <si>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</si>
  <si>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</si>
  <si>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</si>
  <si>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</si>
  <si>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</si>
  <si>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</si>
  <si>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</si>
  <si>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</si>
  <si>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</si>
  <si>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</si>
  <si>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</si>
  <si>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</si>
  <si>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</si>
  <si>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</si>
  <si>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</si>
  <si>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</si>
  <si>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</si>
  <si>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</si>
  <si>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</si>
  <si>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</si>
  <si>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</si>
  <si>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</si>
  <si>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</si>
  <si>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</si>
  <si>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</si>
  <si>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</si>
  <si>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</si>
  <si>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</si>
  <si>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</si>
  <si>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</si>
  <si>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</si>
  <si>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</si>
  <si>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</si>
  <si>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</si>
  <si>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</si>
  <si>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</si>
  <si>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</si>
  <si>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</si>
  <si>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</si>
  <si>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</si>
  <si>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</si>
  <si>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</si>
  <si>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</si>
  <si>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</si>
  <si>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</si>
  <si>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</si>
  <si>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</si>
  <si>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</si>
  <si>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</si>
  <si>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</si>
  <si>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</si>
  <si>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</si>
  <si>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</si>
  <si>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</si>
  <si>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</si>
  <si>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</si>
  <si>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</si>
  <si>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</si>
  <si>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</si>
  <si>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</si>
  <si>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</si>
  <si>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</si>
  <si>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</si>
  <si>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</si>
  <si>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</si>
  <si>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</si>
  <si>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</si>
  <si>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</si>
  <si>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</si>
  <si>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</si>
  <si>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</si>
  <si>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</si>
  <si>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</si>
  <si>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</si>
  <si>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</si>
  <si>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</si>
  <si>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</si>
  <si>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</si>
  <si>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</si>
  <si>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</si>
  <si>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</si>
  <si>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</si>
  <si>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</si>
  <si>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</si>
  <si>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</si>
  <si>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</si>
  <si>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</si>
  <si>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</si>
  <si>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</si>
  <si>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</si>
  <si>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</si>
  <si>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</si>
  <si>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</si>
  <si>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</si>
  <si>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</si>
  <si>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</si>
  <si>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</si>
  <si>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</si>
  <si>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</si>
  <si>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</si>
  <si>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</si>
  <si>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</si>
  <si>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</si>
  <si>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</si>
  <si>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</si>
  <si>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</si>
  <si>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</si>
  <si>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</si>
  <si>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</si>
  <si>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</si>
  <si>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</si>
  <si>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</si>
  <si>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</si>
  <si>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</si>
  <si>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</si>
  <si>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</si>
  <si>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</si>
  <si>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</si>
  <si>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</si>
  <si>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</si>
  <si>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</si>
  <si>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</si>
  <si>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</si>
  <si>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</si>
  <si>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</si>
  <si>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</si>
  <si>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</si>
  <si>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</si>
  <si>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</si>
  <si>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</si>
  <si>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</si>
  <si>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</si>
  <si>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</si>
  <si>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</si>
  <si>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</si>
  <si>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</si>
  <si>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</si>
  <si>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</si>
  <si>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</si>
  <si>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</si>
  <si>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</si>
  <si>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</si>
  <si>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</si>
  <si>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</si>
  <si>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</si>
  <si>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</si>
  <si>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</si>
  <si>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</si>
  <si>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</si>
  <si>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</si>
  <si>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</si>
  <si>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</si>
  <si>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</si>
  <si>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</si>
  <si>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</si>
  <si>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</si>
  <si>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</si>
  <si>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</si>
  <si>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</si>
  <si>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</si>
  <si>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</si>
  <si>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</si>
  <si>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</si>
  <si>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</si>
  <si>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</si>
  <si>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</si>
  <si>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</si>
  <si>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</si>
  <si>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</si>
  <si>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</si>
  <si>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</si>
  <si>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</si>
  <si>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</si>
  <si>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</si>
  <si>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</si>
  <si>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</si>
  <si>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</si>
  <si>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</si>
  <si>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</si>
  <si>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</si>
  <si>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</si>
  <si>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</si>
  <si>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</si>
  <si>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</si>
  <si>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</si>
  <si>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</si>
  <si>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</si>
  <si>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</si>
  <si>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</si>
  <si>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</si>
  <si>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</si>
  <si>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</si>
  <si>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</si>
  <si>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</si>
  <si>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</si>
  <si>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</si>
  <si>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</si>
  <si>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</si>
  <si>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</si>
  <si>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</si>
  <si>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</si>
  <si>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</si>
  <si>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</si>
  <si>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</si>
  <si>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</si>
  <si>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</si>
  <si>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</si>
  <si>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</si>
  <si>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</si>
  <si>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</si>
  <si>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</si>
  <si>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</si>
  <si>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</si>
  <si>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</si>
  <si>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</si>
  <si>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</si>
  <si>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</si>
  <si>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</si>
  <si>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</si>
  <si>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</si>
  <si>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</si>
  <si>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</si>
  <si>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</si>
  <si>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</si>
  <si>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</si>
  <si>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</si>
  <si>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</si>
  <si>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</si>
  <si>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</si>
  <si>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</si>
  <si>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</si>
  <si>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</si>
  <si>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</si>
  <si>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</si>
  <si>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</si>
  <si>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</si>
  <si>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</si>
  <si>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</si>
  <si>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</si>
  <si>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</si>
  <si>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</si>
  <si>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</si>
  <si>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</si>
  <si>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</si>
  <si>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</si>
  <si>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</si>
  <si>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</si>
  <si>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</si>
  <si>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</si>
  <si>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</si>
  <si>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</si>
  <si>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</si>
  <si>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</si>
  <si>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</si>
  <si>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</si>
  <si>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</si>
  <si>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</si>
  <si>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</si>
  <si>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</si>
  <si>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</si>
  <si>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</si>
  <si>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</si>
  <si>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</si>
  <si>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</si>
  <si>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</si>
  <si>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</si>
  <si>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</si>
  <si>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</si>
  <si>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</si>
  <si>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</si>
  <si>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</si>
  <si>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</si>
  <si>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</si>
  <si>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</si>
  <si>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</si>
  <si>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</si>
  <si>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</si>
  <si>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</si>
  <si>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</si>
  <si>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</si>
  <si>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</si>
  <si>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</si>
  <si>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</si>
  <si>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</si>
  <si>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</si>
  <si>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</si>
  <si>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</si>
  <si>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</si>
  <si>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</si>
  <si>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</si>
  <si>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</si>
  <si>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</si>
  <si>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</si>
  <si>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</si>
  <si>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</si>
  <si>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</si>
  <si>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</si>
  <si>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</si>
  <si>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</si>
  <si>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</si>
  <si>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</si>
  <si>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</si>
  <si>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</si>
  <si>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</si>
  <si>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</si>
  <si>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</si>
  <si>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</si>
  <si>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</si>
  <si>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</si>
  <si>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</si>
  <si>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</si>
  <si>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</si>
  <si>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</si>
  <si>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</si>
  <si>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</si>
  <si>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</si>
  <si>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</si>
  <si>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</si>
  <si>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</si>
  <si>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</si>
  <si>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</si>
  <si>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</si>
  <si>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</si>
  <si>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</si>
  <si>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</si>
  <si>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</si>
  <si>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</si>
  <si>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</si>
  <si>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</si>
  <si>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</si>
  <si>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</si>
  <si>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</si>
  <si>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</si>
  <si>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</si>
  <si>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</si>
  <si>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</si>
  <si>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</si>
  <si>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</si>
  <si>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</si>
  <si>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</si>
  <si>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</si>
  <si>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</si>
  <si>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</si>
  <si>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</si>
  <si>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</si>
  <si>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</si>
  <si>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</si>
  <si>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</si>
  <si>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</si>
  <si>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</si>
  <si>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</si>
  <si>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</si>
  <si>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</si>
  <si>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</si>
  <si>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</si>
  <si>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</si>
  <si>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</si>
  <si>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</si>
  <si>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</si>
  <si>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</si>
  <si>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</si>
  <si>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</si>
  <si>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</si>
  <si>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</si>
  <si>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</si>
  <si>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</si>
  <si>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</si>
  <si>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</si>
  <si>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</si>
  <si>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</si>
  <si>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</si>
  <si>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</si>
  <si>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</si>
  <si>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</si>
  <si>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</si>
  <si>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</si>
  <si>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</si>
  <si>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</si>
  <si>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</si>
  <si>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</si>
  <si>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</si>
  <si>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</si>
  <si>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</si>
  <si>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</si>
  <si>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</si>
  <si>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</si>
  <si>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</si>
  <si>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</si>
  <si>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</si>
  <si>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</si>
  <si>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</si>
  <si>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</si>
  <si>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</si>
  <si>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</si>
  <si>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</si>
  <si>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</si>
  <si>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</si>
  <si>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</si>
  <si>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</si>
  <si>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</si>
  <si>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</si>
  <si>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</si>
  <si>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</si>
  <si>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</si>
  <si>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</si>
  <si>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</si>
  <si>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</si>
  <si>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</si>
  <si>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</si>
  <si>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</si>
  <si>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</si>
  <si>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</si>
  <si>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</si>
  <si>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</si>
  <si>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</si>
  <si>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</si>
  <si>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</si>
  <si>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</si>
  <si>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</si>
  <si>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</si>
  <si>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</si>
  <si>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</si>
  <si>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</si>
  <si>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</si>
  <si>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</si>
  <si>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</si>
  <si>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</si>
  <si>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</si>
  <si>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</si>
  <si>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</si>
  <si>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</si>
  <si>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</si>
  <si>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</si>
  <si>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</si>
  <si>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</si>
  <si>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</si>
  <si>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</si>
  <si>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</si>
  <si>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</si>
  <si>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</si>
  <si>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</si>
  <si>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</si>
  <si>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</si>
  <si>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</si>
  <si>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</si>
  <si>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</si>
  <si>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</si>
  <si>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</si>
  <si>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</si>
  <si>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</si>
  <si>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</si>
  <si>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</si>
  <si>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</si>
  <si>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</si>
  <si>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</si>
  <si>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</si>
  <si>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</si>
  <si>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</si>
  <si>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</si>
  <si>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</si>
  <si>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</si>
  <si>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</si>
  <si>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</si>
  <si>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山3</t>
  </si>
  <si>
    <t>震地碎岩击</t>
  </si>
  <si>
    <t>攻击间隔增大(+70%)，攻击力+100%，攻击变为2连击，第一天赋的发动几率提升至75%，每次攻击周围最多4个敌人并将其中等力度地推动</t>
  </si>
  <si>
    <t>skill_icon_skchr_f12yin_3</t>
  </si>
  <si>
    <t>0,0#1,0#-1,0#0,1#0,-1</t>
  </si>
  <si>
    <t>山3buff,山3暴击攻击</t>
  </si>
  <si>
    <t>Skill_3_Begin,Skill_3_Loop,Skill_3_End</t>
  </si>
  <si>
    <t>山3暴击攻击</t>
  </si>
  <si>
    <t>山3buff</t>
  </si>
  <si>
    <t>山3buff,山3动作</t>
  </si>
  <si>
    <t>1,0.7</t>
  </si>
  <si>
    <t>#非正式技能，测试用</t>
  </si>
  <si>
    <t>减速攻击</t>
  </si>
  <si>
    <t>攻击可以减缓目标移速。</t>
  </si>
  <si>
    <t>焰淬匕首</t>
  </si>
  <si>
    <t>阿米娅子弹</t>
  </si>
  <si>
    <t>蓄力</t>
  </si>
  <si>
    <t>击中1</t>
  </si>
  <si>
    <t>大范围减速</t>
  </si>
  <si>
    <t>广范围减速敌人</t>
  </si>
  <si>
    <t>冲锋号令</t>
  </si>
  <si>
    <t>大范围减速2</t>
  </si>
  <si>
    <t>大范围自动加血</t>
  </si>
  <si>
    <t>阿米娅强力击</t>
  </si>
  <si>
    <t>强力击</t>
  </si>
  <si>
    <t>阿米娅强力击子弹</t>
  </si>
  <si>
    <t>阿米娅手动强力击</t>
  </si>
  <si>
    <t>推人</t>
  </si>
  <si>
    <t>把面前的敌人推开</t>
  </si>
  <si>
    <t>拉人</t>
  </si>
  <si>
    <t>把面前的敌人拉过来</t>
  </si>
  <si>
    <t>被动减费</t>
  </si>
  <si>
    <t>部署费用提升</t>
  </si>
  <si>
    <t>加费</t>
  </si>
  <si>
    <t>获得费用</t>
  </si>
  <si>
    <t>持续加费</t>
  </si>
  <si>
    <t>持续获得费用</t>
  </si>
  <si>
    <t>击杀加费</t>
  </si>
  <si>
    <t>获得冰刀</t>
  </si>
  <si>
    <t>破冰2</t>
  </si>
  <si>
    <t>##敌人技能</t>
  </si>
  <si>
    <t>放置降序</t>
  </si>
  <si>
    <t>近身</t>
  </si>
  <si>
    <t>虫子攻击</t>
  </si>
  <si>
    <t>敌人隐身</t>
  </si>
  <si>
    <t>不可阻挡</t>
  </si>
  <si>
    <t>平民不可阻挡</t>
  </si>
  <si>
    <t>不可阻挡,中立单位标记</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</si>
  <si>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</si>
  <si>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</si>
  <si>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</si>
  <si>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</si>
  <si>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</si>
  <si>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</si>
  <si>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</si>
  <si>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</si>
  <si>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</si>
  <si>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</si>
  <si>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</si>
  <si>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</si>
  <si>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</si>
  <si>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</si>
  <si>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</si>
  <si>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</si>
  <si>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</si>
  <si>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</si>
  <si>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</si>
  <si>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</si>
  <si>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</si>
  <si>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</si>
  <si>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</si>
  <si>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</si>
  <si>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</si>
  <si>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</si>
  <si>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</si>
  <si>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</si>
  <si>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</si>
  <si>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</si>
  <si>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</si>
  <si>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</si>
  <si>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</si>
  <si>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</si>
  <si>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</si>
  <si>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</si>
  <si>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</si>
  <si>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</si>
  <si>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</si>
  <si>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</si>
  <si>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</si>
  <si>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</si>
  <si>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</si>
  <si>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</si>
  <si>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</si>
  <si>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</si>
  <si>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</si>
  <si>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</si>
  <si>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</si>
  <si>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</si>
  <si>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</si>
  <si>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</si>
  <si>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</si>
  <si>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</si>
  <si>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</si>
  <si>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</si>
  <si>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</si>
  <si>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</si>
  <si>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</si>
  <si>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</si>
  <si>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</si>
  <si>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</si>
  <si>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</si>
  <si>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</si>
  <si>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</si>
  <si>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</si>
  <si>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</si>
  <si>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</si>
  <si>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</si>
  <si>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</si>
  <si>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</si>
  <si>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</si>
  <si>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</si>
  <si>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</si>
  <si>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</si>
  <si>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</si>
  <si>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</si>
  <si>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</si>
  <si>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</si>
  <si>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</si>
  <si>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</si>
  <si>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</si>
  <si>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</si>
  <si>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</si>
  <si>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</si>
  <si>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</si>
  <si>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</si>
  <si>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</si>
  <si>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</si>
  <si>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</si>
  <si>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</si>
  <si>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</si>
  <si>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</si>
  <si>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</si>
  <si>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</si>
  <si>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</si>
  <si>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</si>
  <si>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</si>
  <si>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</si>
  <si>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</si>
  <si>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</si>
  <si>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</si>
  <si>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</si>
  <si>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</si>
  <si>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</si>
  <si>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</si>
  <si>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</si>
  <si>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</si>
  <si>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</si>
  <si>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</si>
  <si>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</si>
  <si>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</si>
  <si>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</si>
  <si>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</si>
  <si>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</si>
  <si>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</si>
  <si>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</si>
  <si>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</si>
  <si>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</si>
  <si>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</si>
  <si>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</si>
  <si>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</si>
  <si>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</si>
  <si>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</si>
  <si>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</si>
  <si>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</si>
  <si>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</si>
  <si>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</si>
  <si>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</si>
  <si>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</si>
  <si>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</si>
  <si>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</si>
  <si>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</si>
  <si>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</si>
  <si>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</si>
  <si>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</si>
  <si>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</si>
  <si>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</si>
  <si>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</si>
  <si>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</si>
  <si>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</si>
  <si>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</si>
  <si>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</si>
  <si>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</si>
  <si>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</si>
  <si>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</si>
  <si>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</si>
  <si>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</si>
  <si>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</si>
  <si>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</si>
  <si>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</si>
  <si>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</si>
  <si>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</si>
  <si>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</si>
  <si>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</si>
  <si>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</si>
  <si>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</si>
  <si>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</si>
  <si>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</si>
  <si>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</si>
  <si>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</si>
  <si>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</si>
  <si>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</si>
  <si>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</si>
  <si>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</si>
  <si>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</si>
  <si>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</si>
  <si>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</si>
  <si>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</si>
  <si>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</si>
  <si>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</si>
  <si>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</si>
  <si>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</si>
  <si>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</si>
  <si>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</si>
  <si>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</si>
  <si>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</si>
  <si>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</si>
  <si>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</si>
  <si>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</si>
  <si>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</si>
  <si>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</si>
  <si>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</si>
  <si>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</si>
  <si>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</si>
  <si>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</si>
  <si>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</si>
  <si>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</si>
  <si>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</si>
  <si>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</si>
  <si>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</si>
  <si>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</si>
  <si>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</si>
  <si>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</si>
  <si>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</si>
  <si>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</si>
  <si>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</si>
  <si>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</si>
  <si>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</si>
  <si>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</si>
  <si>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</si>
  <si>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</si>
  <si>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</si>
  <si>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</si>
  <si>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</si>
  <si>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</si>
  <si>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</si>
  <si>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</si>
  <si>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</si>
  <si>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</si>
  <si>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</si>
  <si>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</si>
  <si>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</si>
  <si>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{"Sanity":0.15}</t>
  </si>
  <si>
    <t>{"Sanity":0.2}</t>
  </si>
  <si>
    <t>钵海收割者攻击</t>
  </si>
  <si>
    <t>{"Sanity":0.1}</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</si>
  <si>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</si>
  <si>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</si>
  <si>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</si>
  <si>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</si>
  <si>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</si>
  <si>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</si>
  <si>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</si>
  <si>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</si>
  <si>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</si>
  <si>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</si>
  <si>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{"Sanity":1}</t>
  </si>
  <si>
    <t>首言者攻击</t>
  </si>
  <si>
    <t>{"Sanity":0.4}</t>
  </si>
  <si>
    <t>首言者技能</t>
  </si>
  <si>
    <t>{"Sanity":0.6}</t>
  </si>
  <si>
    <t>大主教攻击</t>
  </si>
  <si>
    <t>大主教大潮1</t>
  </si>
  <si>
    <t>Skill_01</t>
  </si>
  <si>
    <t>{"Sanity":0.5}</t>
  </si>
  <si>
    <t>大主教1启动</t>
  </si>
  <si>
    <t>大主教大潮2</t>
  </si>
  <si>
    <t>{"Sanity":0.667}</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</si>
  <si>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</si>
  <si>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</si>
  <si>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</si>
  <si>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</si>
  <si>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</si>
  <si>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</si>
  <si>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</si>
  <si>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</si>
  <si>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</si>
  <si>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</si>
  <si>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</si>
  <si>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</si>
  <si>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</si>
  <si>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</si>
  <si>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</si>
  <si>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</si>
  <si>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</si>
  <si>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</si>
  <si>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</si>
  <si>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</si>
  <si>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</si>
  <si>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</si>
  <si>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</si>
  <si>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</si>
  <si>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</si>
  <si>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刁民</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</si>
  <si>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</si>
  <si>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</si>
  <si>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</si>
  <si>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</si>
  <si>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</si>
  <si>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</si>
  <si>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</si>
  <si>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</si>
  <si>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召唤</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</si>
  <si>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</si>
  <si>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</si>
  <si>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</si>
  <si>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</si>
  <si>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</si>
  <si>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</si>
  <si>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</si>
  <si>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</si>
  <si>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</si>
  <si>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</si>
  <si>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</si>
  <si>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</si>
  <si>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</si>
  <si>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</si>
  <si>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</si>
  <si>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</si>
  <si>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</si>
  <si>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</si>
  <si>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</si>
  <si>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</si>
  <si>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</si>
  <si>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</si>
  <si>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</si>
  <si>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</si>
  <si>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</si>
  <si>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</si>
  <si>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</si>
  <si>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</si>
  <si>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</si>
  <si>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</si>
  <si>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</si>
  <si>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</si>
  <si>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</si>
  <si>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</si>
  <si>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0,0#0,1#0,-1#1,0#-1,0</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</si>
  <si>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</si>
  <si>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</si>
  <si>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</si>
  <si>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</si>
  <si>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</si>
  <si>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</si>
  <si>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</si>
  <si>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</si>
  <si>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</si>
  <si>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</si>
  <si>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</si>
  <si>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</si>
  <si>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</si>
  <si>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</si>
  <si>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</si>
  <si>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</si>
  <si>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</si>
  <si>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{"StartPos":"MapLeft","Line":5}</t>
  </si>
  <si>
    <t>黑蛇复活动作</t>
  </si>
  <si>
    <t>Reborn_1_End</t>
  </si>
  <si>
    <t>黑蛇自杀</t>
  </si>
  <si>
    <t>{"Time":0.01}</t>
  </si>
  <si>
    <t>通用敌方远程近战攻击</t>
  </si>
  <si>
    <t>##装置技能</t>
  </si>
  <si>
    <t>掉落</t>
  </si>
  <si>
    <t>{"DropSpeed":3}</t>
  </si>
  <si>
    <t>箱子放置</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</si>
  <si>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</si>
  <si>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</si>
  <si>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</si>
  <si>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</si>
  <si>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</si>
  <si>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</si>
  <si>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</si>
  <si>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</si>
  <si>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</si>
  <si>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</si>
  <si>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</si>
  <si>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</si>
  <si>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</si>
  <si>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</si>
  <si>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</si>
  <si>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</si>
  <si>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回血地板回血</t>
  </si>
  <si>
    <t>防御地板加防</t>
  </si>
  <si>
    <t>减防地板减防</t>
  </si>
  <si>
    <t>减速地板减速buff</t>
  </si>
  <si>
    <t>平民减速</t>
  </si>
  <si>
    <t>中立单位标记</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</si>
  <si>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</si>
  <si>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</si>
  <si>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</si>
  <si>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</si>
  <si>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</si>
  <si>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</si>
  <si>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</si>
  <si>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</si>
  <si>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</si>
  <si>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</si>
  <si>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</si>
  <si>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</si>
  <si>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</si>
  <si>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</si>
  <si>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起始</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</si>
  <si>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</si>
  <si>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</si>
  <si>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</si>
  <si>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</si>
  <si>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</si>
  <si>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</si>
  <si>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</si>
  <si>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</si>
  <si>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</si>
  <si>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</si>
  <si>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</si>
  <si>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</si>
  <si>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</si>
  <si>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</si>
  <si>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</si>
  <si>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</si>
  <si>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</si>
  <si>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</si>
  <si>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</si>
  <si>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</si>
  <si>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</si>
  <si>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</si>
  <si>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</si>
  <si>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</si>
  <si>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</si>
  <si>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</si>
  <si>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</si>
  <si>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</si>
  <si>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</si>
  <si>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</si>
  <si>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</si>
  <si>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</si>
  <si>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</si>
  <si>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</si>
  <si>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</si>
  <si>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</si>
  <si>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</si>
  <si>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</si>
  <si>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</si>
  <si>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</si>
  <si>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</si>
  <si>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</si>
  <si>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</si>
  <si>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</si>
  <si>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</si>
  <si>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</si>
  <si>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</si>
  <si>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</si>
  <si>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</si>
  <si>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</si>
  <si>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</si>
  <si>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</si>
  <si>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</si>
  <si>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</si>
  <si>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</si>
  <si>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</si>
  <si>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</si>
  <si>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</si>
  <si>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</si>
  <si>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</si>
  <si>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</si>
  <si>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</si>
  <si>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</si>
  <si>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</si>
  <si>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测试被动</t>
  </si>
  <si>
    <t>Buff可抵挡</t>
  </si>
  <si>
    <t>测试被动1</t>
  </si>
  <si>
    <t>Buff抵挡</t>
  </si>
  <si>
    <t>测试技能</t>
  </si>
  <si>
    <t>限伤1</t>
  </si>
  <si>
    <t>阻挡小于</t>
  </si>
  <si>
    <t>阻挡需求</t>
  </si>
  <si>
    <t>周围单位需求</t>
  </si>
  <si>
    <t>不同源覆盖</t>
  </si>
  <si>
    <t>切换类buff</t>
  </si>
  <si>
    <t>持续特效</t>
  </si>
  <si>
    <t>升级</t>
  </si>
  <si>
    <t>能否被抵抗</t>
  </si>
  <si>
    <t>死亡不消去</t>
  </si>
  <si>
    <t>依赖buff</t>
  </si>
  <si>
    <t>不可被抵挡</t>
  </si>
  <si>
    <t>StopLess</t>
  </si>
  <si>
    <t>StopNeed</t>
  </si>
  <si>
    <t>RoundNeed</t>
  </si>
  <si>
    <t>UnSourceCheck</t>
  </si>
  <si>
    <t>IfSwitch</t>
  </si>
  <si>
    <t>LastingEffect</t>
  </si>
  <si>
    <t>LastTime</t>
  </si>
  <si>
    <t>Resist</t>
  </si>
  <si>
    <t>DeadRemain</t>
  </si>
  <si>
    <t>RelyBuff</t>
  </si>
  <si>
    <t>NotCancelable</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</si>
  <si>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</si>
  <si>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</si>
  <si>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</si>
  <si>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</si>
  <si>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</si>
  <si>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</si>
  <si>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</si>
  <si>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</si>
  <si>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</si>
  <si>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</si>
  <si>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</si>
  <si>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</si>
  <si>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</si>
  <si>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</si>
  <si>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</si>
  <si>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</si>
  <si>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</si>
  <si>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</si>
  <si>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</si>
  <si>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</si>
  <si>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</si>
  <si>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</si>
  <si>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</si>
  <si>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</si>
  <si>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</si>
  <si>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</si>
  <si>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</si>
  <si>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</si>
  <si>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</si>
  <si>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</si>
  <si>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</si>
  <si>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</si>
  <si>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物理易伤</t>
  </si>
  <si>
    <t>{"t":["NormalDamageReceiveRate"]}</t>
  </si>
  <si>
    <t>{"t":["HealDamageReceiveRate"]}</t>
  </si>
  <si>
    <t>元素易伤</t>
  </si>
  <si>
    <t>{"t":["ElementDamageReceiveRate"]}</t>
  </si>
  <si>
    <t>{"t":["PushPower"]}</t>
  </si>
  <si>
    <t>减速2</t>
  </si>
  <si>
    <t>阻挡变化2</t>
  </si>
  <si>
    <t>{"t":["AttackRateFin"]}</t>
  </si>
  <si>
    <t>{"t":["DefenceRateFin"]}</t>
  </si>
  <si>
    <t>{"t":["MagicDefenceRateFin"]}</t>
  </si>
  <si>
    <t>{"t":["AgiAddFin"]}</t>
  </si>
  <si>
    <t>{"t":["HpRateFin"]}</t>
  </si>
  <si>
    <t>#移速变化f</t>
  </si>
  <si>
    <t>使用普通的移速变化即可</t>
  </si>
  <si>
    <t>法抗最终加算</t>
  </si>
  <si>
    <t>{"t":["MagicDefenceAddFin"]}</t>
  </si>
  <si>
    <t>设置移速</t>
  </si>
  <si>
    <t>设置属性</t>
  </si>
  <si>
    <t>{"t":["Speed"]}</t>
  </si>
  <si>
    <t>全部格挡2</t>
  </si>
  <si>
    <t>物理格挡2</t>
  </si>
  <si>
    <t>魔法格挡2</t>
  </si>
  <si>
    <t>绝食</t>
  </si>
  <si>
    <t>{"HideTime":3}</t>
  </si>
  <si>
    <t>#屏蔽模型</t>
  </si>
  <si>
    <t>屏蔽模型</t>
  </si>
  <si>
    <t>{"ChangeAnimation":1}</t>
  </si>
  <si>
    <t>无动画眩晕,用于阻止技能释放</t>
  </si>
  <si>
    <t>冻结</t>
  </si>
  <si>
    <t>未阻挡加伤</t>
  </si>
  <si>
    <t>未阻挡伤害</t>
  </si>
  <si>
    <t>{"Rate":1.12}</t>
  </si>
  <si>
    <t>沉默</t>
  </si>
  <si>
    <t>投降</t>
  </si>
  <si>
    <t>束缚</t>
  </si>
  <si>
    <t>冒黑雾</t>
  </si>
  <si>
    <t>{"t":["Speed","SpeedBase"],"v":[0,0]}</t>
  </si>
  <si>
    <t>麻痹</t>
  </si>
  <si>
    <t>{"Times":3}</t>
  </si>
  <si>
    <t>起飞</t>
  </si>
  <si>
    <t>重设高度</t>
  </si>
  <si>
    <t>普通Buff</t>
  </si>
  <si>
    <t>{"t":["AttackRate","AgiAdd"]}</t>
  </si>
  <si>
    <t>源石地板毒素</t>
  </si>
  <si>
    <t>中毒</t>
  </si>
  <si>
    <t>{"FarAttackUnitRate":1,"DamageType":"Real","TriggerTime":0.2}</t>
  </si>
  <si>
    <t>{"t":["HpRateFin","AttackRateFin","MagicDefenceAddFin","WeightAdd"]}</t>
  </si>
  <si>
    <t>防御提升加图标</t>
  </si>
  <si>
    <t>降防</t>
  </si>
  <si>
    <t>法术闪避</t>
  </si>
  <si>
    <t>{"Chance":0.5,"AvoidType":"Magic"}</t>
  </si>
  <si>
    <t>{"Chance":0.3,"AvoidType":"Normal"}</t>
  </si>
  <si>
    <t>攻击强化</t>
  </si>
  <si>
    <t>通用闪避</t>
  </si>
  <si>
    <t>{"Chance":-1,"AvoidType":"general"}</t>
  </si>
  <si>
    <t>触发闪避</t>
  </si>
  <si>
    <t>普通buff</t>
  </si>
  <si>
    <t>无特效无敌</t>
  </si>
  <si>
    <t>散射手射程标记</t>
  </si>
  <si>
    <t>凝滞师X模技力回复</t>
  </si>
  <si>
    <t>术战者Y模阻挡标记</t>
  </si>
  <si>
    <t>无畏者Y模减血</t>
  </si>
  <si>
    <t>嘲讽变化</t>
  </si>
  <si>
    <t>{"t":["Hatre"]}</t>
  </si>
  <si>
    <t>法术脆弱</t>
  </si>
  <si>
    <t>虚弱</t>
  </si>
  <si>
    <t>支援强化</t>
  </si>
  <si>
    <t>斑点buff</t>
  </si>
  <si>
    <t>{"Chance":0.25,"AvoidType":"Normal"}</t>
  </si>
  <si>
    <t>防御强化</t>
  </si>
  <si>
    <t>杰西卡闪避</t>
  </si>
  <si>
    <t>杰西卡2buff</t>
  </si>
  <si>
    <t>{"Chance":0.75,"AvoidType":"Real"}</t>
  </si>
  <si>
    <t>{"t":["AttackGapAdd","AttackRate"]}</t>
  </si>
  <si>
    <t>迅使被动</t>
  </si>
  <si>
    <t>迅使防御提升</t>
  </si>
  <si>
    <t>{"t":["AttackRate","DefenceRate"]}</t>
  </si>
  <si>
    <t>红豆buff</t>
  </si>
  <si>
    <t>红豆刀特效</t>
  </si>
  <si>
    <t>{"t":["HpRate","DefenceRate"]}</t>
  </si>
  <si>
    <t>缠丸buff</t>
  </si>
  <si>
    <t>{"t":["AttackRate","DefenceRateFin"]}</t>
  </si>
  <si>
    <t>霜叶2buff</t>
  </si>
  <si>
    <t>艾斯黛尔加攻</t>
  </si>
  <si>
    <t>艾斯黛尔buff</t>
  </si>
  <si>
    <t>数值变化衰减</t>
  </si>
  <si>
    <t>砾1buff</t>
  </si>
  <si>
    <t>屏障</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</si>
  <si>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</si>
  <si>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</si>
  <si>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</si>
  <si>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</si>
  <si>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</si>
  <si>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</si>
  <si>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</si>
  <si>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</si>
  <si>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</si>
  <si>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</si>
  <si>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</si>
  <si>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</si>
  <si>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</si>
  <si>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</si>
  <si>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</si>
  <si>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</si>
  <si>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</si>
  <si>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</si>
  <si>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</si>
  <si>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凛冬buff</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</si>
  <si>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</si>
  <si>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</si>
  <si>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</si>
  <si>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</si>
  <si>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</si>
  <si>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</si>
  <si>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</si>
  <si>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</si>
  <si>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</si>
  <si>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</si>
  <si>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</si>
  <si>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</si>
  <si>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</si>
  <si>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</si>
  <si>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</si>
  <si>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</si>
  <si>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</si>
  <si>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</si>
  <si>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</si>
  <si>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</si>
  <si>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</si>
  <si>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</si>
  <si>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</si>
  <si>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</si>
  <si>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</si>
  <si>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</si>
  <si>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</si>
  <si>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</si>
  <si>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</si>
  <si>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护盾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</si>
  <si>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</si>
  <si>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</si>
  <si>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</si>
  <si>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</si>
  <si>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</si>
  <si>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</si>
  <si>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</si>
  <si>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</si>
  <si>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</si>
  <si>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</si>
  <si>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</si>
  <si>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</si>
  <si>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</si>
  <si>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</si>
  <si>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</si>
  <si>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{"t":["DefenceRate","HpRecoverP"]}</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</si>
  <si>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</si>
  <si>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</si>
  <si>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</si>
  <si>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</si>
  <si>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</si>
  <si>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</si>
  <si>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</si>
  <si>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</si>
  <si>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</si>
  <si>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</si>
  <si>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</si>
  <si>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</si>
  <si>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</si>
  <si>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</si>
  <si>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</si>
  <si>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</si>
  <si>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</si>
  <si>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</si>
  <si>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</si>
  <si>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</si>
  <si>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</si>
  <si>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</si>
  <si>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</si>
  <si>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</si>
  <si>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</si>
  <si>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</si>
  <si>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推王被动</t>
  </si>
  <si>
    <t>推王攻击间隔变化</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</si>
  <si>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</si>
  <si>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</si>
  <si>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</si>
  <si>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</si>
  <si>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</si>
  <si>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</si>
  <si>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</si>
  <si>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</si>
  <si>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</si>
  <si>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</si>
  <si>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</si>
  <si>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</si>
  <si>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</si>
  <si>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</si>
  <si>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</si>
  <si>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</si>
  <si>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</si>
  <si>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夜莺1加攻</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</si>
  <si>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</si>
  <si>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</si>
  <si>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</si>
  <si>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</si>
  <si>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</si>
  <si>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</si>
  <si>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</si>
  <si>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</si>
  <si>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</si>
  <si>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</si>
  <si>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</si>
  <si>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</si>
  <si>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</si>
  <si>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</si>
  <si>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</si>
  <si>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</si>
  <si>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</si>
  <si>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风笛3buff</t>
  </si>
  <si>
    <t>{"t":["AttackRate","DefenceRate","StopCountAdd","AttackGapRate"]}</t>
  </si>
  <si>
    <t>{"t":["DefenceRateFin","AttackRate","StopCountAdd","HpRecoverP"]}</t>
  </si>
  <si>
    <t>山2动作</t>
  </si>
  <si>
    <t>{"IdleAnimation":["Skill_2_Idle"]}</t>
  </si>
  <si>
    <t>山3动作</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</si>
  <si>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</si>
  <si>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</si>
  <si>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</si>
  <si>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</si>
  <si>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</si>
  <si>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</si>
  <si>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</si>
  <si>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</si>
  <si>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</si>
  <si>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</si>
  <si>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</si>
  <si>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</si>
  <si>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</si>
  <si>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</si>
  <si>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</si>
  <si>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</si>
  <si>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</si>
  <si>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</si>
  <si>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</si>
  <si>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</si>
  <si>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</si>
  <si>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{"Buff":["眩晕","冻结"]}</t>
  </si>
  <si>
    <t>爱国者二阶buff</t>
  </si>
  <si>
    <t>{"t":["AttackGapAdd","SpeedAdd"]}</t>
  </si>
  <si>
    <t>钵海收割者中毒</t>
  </si>
  <si>
    <t>{"DamageBase":2,"TriggerTime":0.33,"DamageType":"Real"}</t>
  </si>
  <si>
    <t>线性剧毒</t>
  </si>
  <si>
    <t>{"DamageBase":0,"TriggerGap":1,"StartDamageRate":50,"MaxDamageRate":230,"MaxTime":30}</t>
  </si>
  <si>
    <t>黑蛇半血buff</t>
  </si>
  <si>
    <t>{"t":["DefenceRate","MagicDefenceRate"]}</t>
  </si>
  <si>
    <t>减伤</t>
  </si>
  <si>
    <t>{"Rate":0.5,"TargetBuffNeed":"黑蛇点燃"}</t>
  </si>
  <si>
    <t>黑蛇复活buff</t>
  </si>
  <si>
    <t>{"t":["HpRate","AttackRate"]}</t>
  </si>
  <si>
    <t>大鳄鱼减仇恨</t>
  </si>
  <si>
    <t>大鳄鱼决斗减伤</t>
  </si>
  <si>
    <t>{"Rate":0}</t>
  </si>
  <si>
    <t>{"t":["DefenceAdd","MagicDefenceAdd"]}</t>
  </si>
  <si>
    <t>{"t":["AttackRate","AgiAdd"],"MaxLevel":10}</t>
  </si>
  <si>
    <t>{"t":["HpRecoverP"]}</t>
  </si>
  <si>
    <t>中立单位减速</t>
  </si>
  <si>
    <t>即死</t>
  </si>
  <si>
    <t>移除眩晕</t>
  </si>
  <si>
    <t>精确移除Buff</t>
  </si>
  <si>
    <t>{"Buffs":["眩晕"]}</t>
  </si>
  <si>
    <t>延迟眩晕</t>
  </si>
  <si>
    <t>延迟追加Buff</t>
  </si>
  <si>
    <t>{"Buffs":["眩晕"],"Delay":5}</t>
  </si>
  <si>
    <t>停留添加眩晕</t>
  </si>
  <si>
    <t>蕾缪安通缉类停留时间标记</t>
  </si>
  <si>
    <t>{"Time":3}</t>
  </si>
  <si>
    <t>重写类限伤</t>
  </si>
  <si>
    <t>{"Count":3}</t>
  </si>
  <si>
    <t>罗即死</t>
  </si>
  <si>
    <t>逻各斯1技能类即死</t>
  </si>
  <si>
    <t>相关buff</t>
  </si>
  <si>
    <t>Buff</t>
  </si>
  <si>
    <t>暴击</t>
  </si>
  <si>
    <t>{"Chance":0.2,"Rate":1.6}</t>
  </si>
  <si>
    <t>暴击2</t>
  </si>
  <si>
    <t>{"Chance":0.1,"Rate":2.1,"Chance1":0.3}</t>
  </si>
  <si>
    <t>额外目标</t>
  </si>
  <si>
    <t>{"Chance":0.18,"Count":1}</t>
  </si>
  <si>
    <t>多重攻击2</t>
  </si>
  <si>
    <t>{"Count":2}</t>
  </si>
  <si>
    <t>对飞行伤害</t>
  </si>
  <si>
    <t>{"DamageRate":1.5}</t>
  </si>
  <si>
    <t>{"DamageRate":1.4}</t>
  </si>
  <si>
    <t>对buff伤害</t>
  </si>
  <si>
    <t>{"DamageRate":2}</t>
  </si>
  <si>
    <t>{"DamageRate":2.5}</t>
  </si>
  <si>
    <t>{"DamageRate":3}</t>
  </si>
  <si>
    <t>穿甲</t>
  </si>
  <si>
    <t>{"Chance":1,"Value":24}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</si>
  <si>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</si>
  <si>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</si>
  <si>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</si>
  <si>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</si>
  <si>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</si>
  <si>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</si>
  <si>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</si>
  <si>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</si>
  <si>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</si>
  <si>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</si>
  <si>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</si>
  <si>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</si>
  <si>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</si>
  <si>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</si>
  <si>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</si>
  <si>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</si>
  <si>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</si>
  <si>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</si>
  <si>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</si>
  <si>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</si>
  <si>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</si>
  <si>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</si>
  <si>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</si>
  <si>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</si>
  <si>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</si>
  <si>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</si>
  <si>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</si>
  <si>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</si>
  <si>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</si>
  <si>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</si>
  <si>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</si>
  <si>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</si>
  <si>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</si>
  <si>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</si>
  <si>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</si>
  <si>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</si>
  <si>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</si>
  <si>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</si>
  <si>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</si>
  <si>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</si>
  <si>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</si>
  <si>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</si>
  <si>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</si>
  <si>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</si>
  <si>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</si>
  <si>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</si>
  <si>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</si>
  <si>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</si>
  <si>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</si>
  <si>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</si>
  <si>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</si>
  <si>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</si>
  <si>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</si>
  <si>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</si>
  <si>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</si>
  <si>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</si>
  <si>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</si>
  <si>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</si>
  <si>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</si>
  <si>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</si>
  <si>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</si>
  <si>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</si>
  <si>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</si>
  <si>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</si>
  <si>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</si>
  <si>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</si>
  <si>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</si>
  <si>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</si>
  <si>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</si>
  <si>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</si>
  <si>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</si>
  <si>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</si>
  <si>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</si>
  <si>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</si>
  <si>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</si>
  <si>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</si>
  <si>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</si>
  <si>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</si>
  <si>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</si>
  <si>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</si>
  <si>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</si>
  <si>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</si>
  <si>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</si>
  <si>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</si>
  <si>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</si>
  <si>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</si>
  <si>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</si>
  <si>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</si>
  <si>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</si>
  <si>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</si>
  <si>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</si>
  <si>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</si>
  <si>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</si>
  <si>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</si>
  <si>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</si>
  <si>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</si>
  <si>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</si>
  <si>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</si>
  <si>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</si>
  <si>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罗1子弹</t>
  </si>
  <si>
    <t>逻各斯1技能类子弹</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</si>
  <si>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</si>
  <si>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</si>
  <si>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</si>
  <si>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</si>
  <si>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</si>
  <si>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</si>
  <si>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</si>
  <si>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</si>
  <si>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</si>
  <si>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</si>
  <si>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</si>
  <si>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</si>
  <si>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</si>
  <si>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</si>
  <si>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</si>
  <si>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</si>
  <si>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</si>
  <si>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</si>
  <si>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</si>
  <si>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</si>
  <si>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</si>
  <si>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buff_stun</t>
  </si>
  <si>
    <t>0,1.2,0</t>
  </si>
  <si>
    <t>道具回收拖尾</t>
  </si>
  <si>
    <t>common_item_recycle_trail_01</t>
  </si>
  <si>
    <t>护盾1</t>
  </si>
  <si>
    <t>common_buff_parry_01</t>
  </si>
  <si>
    <t>护盾2</t>
  </si>
  <si>
    <t>common_buff_parry_02</t>
  </si>
  <si>
    <t>咏唱</t>
  </si>
  <si>
    <t>common_call_start_01</t>
  </si>
  <si>
    <t>common_char_birth_01</t>
  </si>
  <si>
    <t>common_char_die_01</t>
  </si>
  <si>
    <t>加费1</t>
  </si>
  <si>
    <t>common_charge_cost_01</t>
  </si>
  <si>
    <t>0,0.6,0.7</t>
  </si>
  <si>
    <t>加费2</t>
  </si>
  <si>
    <t>瞬间加费</t>
  </si>
  <si>
    <t>common_charge_cost_start_01</t>
  </si>
  <si>
    <t>common_disarm_icon</t>
  </si>
  <si>
    <t>0,0.4,0.7</t>
  </si>
  <si>
    <t>敌人死亡</t>
  </si>
  <si>
    <t>common_enemy_die_01</t>
  </si>
  <si>
    <t>范围治疗</t>
  </si>
  <si>
    <t>common_heal_range_01</t>
  </si>
  <si>
    <t>治疗2</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</si>
  <si>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</si>
  <si>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</si>
  <si>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</si>
  <si>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</si>
  <si>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</si>
  <si>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</si>
  <si>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</si>
  <si>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</si>
  <si>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</si>
  <si>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</si>
  <si>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</si>
  <si>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</si>
  <si>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</si>
  <si>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</si>
  <si>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</si>
  <si>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</si>
  <si>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</si>
  <si>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</si>
  <si>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</si>
  <si>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</si>
  <si>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</si>
  <si>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</si>
  <si>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</si>
  <si>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</si>
  <si>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</si>
  <si>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</si>
  <si>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</si>
  <si>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</si>
  <si>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</si>
  <si>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</si>
  <si>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</si>
  <si>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</si>
  <si>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</si>
  <si>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</si>
  <si>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</si>
  <si>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</si>
  <si>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</si>
  <si>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buff_sluggish</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</si>
  <si>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</si>
  <si>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</si>
  <si>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</si>
  <si>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</si>
  <si>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</si>
  <si>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</si>
  <si>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</si>
  <si>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</si>
  <si>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</si>
  <si>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</si>
  <si>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</si>
  <si>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</si>
  <si>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</si>
  <si>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</si>
  <si>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</si>
  <si>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</si>
  <si>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</si>
  <si>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</si>
  <si>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</si>
  <si>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</si>
  <si>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</si>
  <si>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</si>
  <si>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</si>
  <si>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</si>
  <si>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</si>
  <si>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</si>
  <si>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</si>
  <si>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</si>
  <si>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</si>
  <si>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</si>
  <si>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</si>
  <si>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</si>
  <si>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</si>
  <si>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</si>
  <si>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</si>
  <si>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</si>
  <si>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</si>
  <si>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</si>
  <si>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</si>
  <si>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</si>
  <si>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</si>
  <si>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</si>
  <si>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</si>
  <si>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</si>
  <si>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</si>
  <si>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</si>
  <si>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</si>
  <si>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</si>
  <si>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</si>
  <si>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</si>
  <si>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</si>
  <si>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</si>
  <si>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</si>
  <si>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</si>
  <si>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</si>
  <si>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</si>
  <si>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</si>
  <si>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</si>
  <si>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</si>
  <si>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</si>
  <si>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</si>
  <si>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</si>
  <si>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</si>
  <si>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</si>
  <si>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</si>
  <si>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</si>
  <si>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</si>
  <si>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</si>
  <si>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</si>
  <si>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</si>
  <si>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</si>
  <si>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</si>
  <si>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</si>
  <si>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</si>
  <si>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推王攻击启动</t>
  </si>
  <si>
    <t>siege_attack_01_start</t>
  </si>
  <si>
    <t>推王2启动</t>
  </si>
  <si>
    <t>siege_skill_02_start</t>
  </si>
  <si>
    <t>siege_skill_03_buff_03</t>
  </si>
  <si>
    <t>推王3击中</t>
  </si>
  <si>
    <t>siege_skill_03_hit</t>
  </si>
  <si>
    <t>推王3启动</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</si>
  <si>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</si>
  <si>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</si>
  <si>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</si>
  <si>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</si>
  <si>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</si>
  <si>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</si>
  <si>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</si>
  <si>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</si>
  <si>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</si>
  <si>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</si>
  <si>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</si>
  <si>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</si>
  <si>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</si>
  <si>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</si>
  <si>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</si>
  <si>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</si>
  <si>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</si>
  <si>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</si>
  <si>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</si>
  <si>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</si>
  <si>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</si>
  <si>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</si>
  <si>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</si>
  <si>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</si>
  <si>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</si>
  <si>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</si>
  <si>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</si>
  <si>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</si>
  <si>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</si>
  <si>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</si>
  <si>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</si>
  <si>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</si>
  <si>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</si>
  <si>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</si>
  <si>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</si>
  <si>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</si>
  <si>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</si>
  <si>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</si>
  <si>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</si>
  <si>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</si>
  <si>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</si>
  <si>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</si>
  <si>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</si>
  <si>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</si>
  <si>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</si>
  <si>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</si>
  <si>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</si>
  <si>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</si>
  <si>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</si>
  <si>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</si>
  <si>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</si>
  <si>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</si>
  <si>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</si>
  <si>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</si>
  <si>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</si>
  <si>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</si>
  <si>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</si>
  <si>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</si>
  <si>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</si>
  <si>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</si>
  <si>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</si>
  <si>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</si>
  <si>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</si>
  <si>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</si>
  <si>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</si>
  <si>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</si>
  <si>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</si>
  <si>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</si>
  <si>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</si>
  <si>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</si>
  <si>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</si>
  <si>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</si>
  <si>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</si>
  <si>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</si>
  <si>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</si>
  <si>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</si>
  <si>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</si>
  <si>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</si>
  <si>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</si>
  <si>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</si>
  <si>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</si>
  <si>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</si>
  <si>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</si>
  <si>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</si>
  <si>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</si>
  <si>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</si>
  <si>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</si>
  <si>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</si>
  <si>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</si>
  <si>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</si>
  <si>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</si>
  <si>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</si>
  <si>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</si>
  <si>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</si>
  <si>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</si>
  <si>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</si>
  <si>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</si>
  <si>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</si>
  <si>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</si>
  <si>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</si>
  <si>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</si>
  <si>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</si>
  <si>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</si>
  <si>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</si>
  <si>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</si>
  <si>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</si>
  <si>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</si>
  <si>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</si>
  <si>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</si>
  <si>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</si>
  <si>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</si>
  <si>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</si>
  <si>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</si>
  <si>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</si>
  <si>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</si>
  <si>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</si>
  <si>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</si>
  <si>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</si>
  <si>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</si>
  <si>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</si>
  <si>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</si>
  <si>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</si>
  <si>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</si>
  <si>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</si>
  <si>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</si>
  <si>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</si>
  <si>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</si>
  <si>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</si>
  <si>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</si>
  <si>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</si>
  <si>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</si>
  <si>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</si>
  <si>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</si>
  <si>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</si>
  <si>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</si>
  <si>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</si>
  <si>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</si>
  <si>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</si>
  <si>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</si>
  <si>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</si>
  <si>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</si>
  <si>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</si>
  <si>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</si>
  <si>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</si>
  <si>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</si>
  <si>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</si>
  <si>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</si>
  <si>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</si>
  <si>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</si>
  <si>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</si>
  <si>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</si>
  <si>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</si>
  <si>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</si>
  <si>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</si>
  <si>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</si>
  <si>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</si>
  <si>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</si>
  <si>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</si>
  <si>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</si>
  <si>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</si>
  <si>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</si>
  <si>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</si>
  <si>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</si>
  <si>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</si>
  <si>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</si>
  <si>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</si>
  <si>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</si>
  <si>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</si>
  <si>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</si>
  <si>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</si>
  <si>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</si>
  <si>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</si>
  <si>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</si>
  <si>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</si>
  <si>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</si>
  <si>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</si>
  <si>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</si>
  <si>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</si>
  <si>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</si>
  <si>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</si>
  <si>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</si>
  <si>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</si>
  <si>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</si>
  <si>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</si>
  <si>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</si>
  <si>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</si>
  <si>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</si>
  <si>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</si>
  <si>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</si>
  <si>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</si>
  <si>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</si>
  <si>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</si>
  <si>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</si>
  <si>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</si>
  <si>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</si>
  <si>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</si>
  <si>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</si>
  <si>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</si>
  <si>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</si>
  <si>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</si>
  <si>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</si>
  <si>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</si>
  <si>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</si>
  <si>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</si>
  <si>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</si>
  <si>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</si>
  <si>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</si>
  <si>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</si>
  <si>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</si>
  <si>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</si>
  <si>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</si>
  <si>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</si>
  <si>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</si>
  <si>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</si>
  <si>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</si>
  <si>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</si>
  <si>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</si>
  <si>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</si>
  <si>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</si>
  <si>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</si>
  <si>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</si>
  <si>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</si>
  <si>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</si>
  <si>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</si>
  <si>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</si>
  <si>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</si>
  <si>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</si>
  <si>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</si>
  <si>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</si>
  <si>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</si>
  <si>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buff_violent</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</si>
  <si>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</si>
  <si>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</si>
  <si>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</si>
  <si>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</si>
  <si>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</si>
  <si>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</si>
  <si>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</si>
  <si>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</si>
  <si>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</si>
  <si>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</si>
  <si>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</si>
  <si>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</si>
  <si>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</si>
  <si>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</si>
  <si>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</si>
  <si>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</si>
  <si>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</si>
  <si>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</si>
  <si>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</si>
  <si>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</si>
  <si>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</si>
  <si>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</si>
  <si>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</si>
  <si>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</si>
  <si>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</si>
  <si>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</si>
  <si>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</si>
  <si>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</si>
  <si>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</si>
  <si>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</si>
  <si>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</si>
  <si>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</si>
  <si>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</si>
  <si>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</si>
  <si>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</si>
  <si>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</si>
  <si>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</si>
  <si>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</si>
  <si>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</si>
  <si>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</si>
  <si>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</si>
  <si>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</si>
  <si>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</si>
  <si>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</si>
  <si>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</si>
  <si>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</si>
  <si>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</si>
  <si>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</si>
  <si>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</si>
  <si>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</si>
  <si>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</si>
  <si>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</si>
  <si>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</si>
  <si>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</si>
  <si>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</si>
  <si>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</si>
  <si>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</si>
  <si>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</si>
  <si>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</si>
  <si>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</si>
  <si>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</si>
  <si>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</si>
  <si>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</si>
  <si>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</si>
  <si>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</si>
  <si>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</si>
  <si>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</si>
  <si>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</si>
  <si>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</si>
  <si>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</si>
  <si>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</si>
  <si>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</si>
  <si>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</si>
  <si>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</si>
  <si>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</si>
  <si>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</si>
  <si>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</si>
  <si>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</si>
  <si>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</si>
  <si>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</si>
  <si>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</si>
  <si>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</si>
  <si>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</si>
  <si>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</si>
  <si>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</si>
  <si>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</si>
  <si>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</si>
  <si>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</si>
  <si>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</si>
  <si>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</si>
  <si>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</si>
  <si>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</si>
  <si>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</si>
  <si>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</si>
  <si>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</si>
  <si>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</si>
  <si>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</si>
  <si>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</si>
  <si>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</si>
  <si>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</si>
  <si>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</si>
  <si>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</si>
  <si>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</si>
  <si>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</si>
  <si>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</si>
  <si>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</si>
  <si>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</si>
  <si>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</si>
  <si>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</si>
  <si>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</si>
  <si>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</si>
  <si>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</si>
  <si>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</si>
  <si>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</si>
  <si>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</si>
  <si>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</si>
  <si>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</si>
  <si>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</si>
  <si>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</si>
  <si>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</si>
  <si>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</si>
  <si>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仅单面</t>
  </si>
  <si>
    <t>相对路径</t>
  </si>
  <si>
    <t>正面atlas</t>
  </si>
  <si>
    <t>正面png</t>
  </si>
  <si>
    <t>正面skel</t>
  </si>
  <si>
    <t>背面atlas</t>
  </si>
  <si>
    <t>背面png</t>
  </si>
  <si>
    <t>背面skel</t>
  </si>
  <si>
    <t>OnlyFront</t>
  </si>
  <si>
    <t>UseAppHotfixResPath</t>
  </si>
  <si>
    <t>FrontAtlasPath</t>
  </si>
  <si>
    <t>FrontPngPath</t>
  </si>
  <si>
    <t>FrontSkelPath</t>
  </si>
  <si>
    <t>BackAtlasPath</t>
  </si>
  <si>
    <t>BackPngPath</t>
  </si>
  <si>
    <t>BackSkelPath</t>
  </si>
  <si>
    <t>TargetEnableBuff</t>
    <phoneticPr fontId="16" type="noConversion"/>
  </si>
  <si>
    <t>链奶伤害衰减</t>
    <phoneticPr fontId="16" type="noConversion"/>
  </si>
  <si>
    <t>通用链奶衰减</t>
    <phoneticPr fontId="16" type="noConversion"/>
  </si>
  <si>
    <t>{"Rate":0.75}</t>
    <phoneticPr fontId="16" type="noConversion"/>
  </si>
  <si>
    <t>通用链奶弹道</t>
    <phoneticPr fontId="16" type="noConversion"/>
  </si>
  <si>
    <t>链式弹道</t>
  </si>
  <si>
    <t>0,0#-1,-1#0,-1#1,-1#-1,0#1,0#-1,1#0,1#1,1</t>
  </si>
  <si>
    <t>通用干员链式弹道索敌</t>
    <phoneticPr fontId="16" type="noConversion"/>
  </si>
  <si>
    <t>{"MoveHeight":0,"MaxLinkNum":4,"SkillId":"通用干员链式弹道索敌","CanBack":"false"}</t>
    <phoneticPr fontId="16" type="noConversion"/>
  </si>
  <si>
    <t>42黄昏,黄昏加攻,黄昏回血,黄昏掉血</t>
    <phoneticPr fontId="16" type="noConversion"/>
  </si>
  <si>
    <t>42黄昏掉血</t>
    <phoneticPr fontId="16" type="noConversion"/>
  </si>
  <si>
    <t>仅自己</t>
    <phoneticPr fontId="16" type="noConversion"/>
  </si>
  <si>
    <t>凋亡中毒</t>
  </si>
  <si>
    <t>{"DamageBase":0,"DamageType":"Element","TriggerTime":1}</t>
  </si>
  <si>
    <t>凋亡虚弱</t>
  </si>
  <si>
    <t>对敌方凋亡损伤</t>
  </si>
  <si>
    <t>凋亡中毒,凋亡虚弱</t>
  </si>
  <si>
    <t>{"ElementType":"Dark"}</t>
  </si>
  <si>
    <t>无敌2</t>
    <phoneticPr fontId="16" type="noConversion"/>
  </si>
  <si>
    <t>嘉维尔buff</t>
    <phoneticPr fontId="16" type="noConversion"/>
  </si>
  <si>
    <t>萃儿3伤害分摊</t>
    <phoneticPr fontId="16" type="noConversion"/>
  </si>
  <si>
    <t>common_ resistance_01</t>
  </si>
  <si>
    <t>可部署位</t>
    <phoneticPr fontId="16" type="noConversion"/>
  </si>
  <si>
    <t>CanSetPos</t>
    <phoneticPr fontId="16" type="noConversion"/>
  </si>
  <si>
    <t>string[]</t>
    <phoneticPr fontId="16" type="noConversion"/>
  </si>
  <si>
    <t>高台位</t>
    <phoneticPr fontId="16" type="noConversion"/>
  </si>
  <si>
    <t>地面位</t>
    <phoneticPr fontId="16" type="noConversion"/>
  </si>
  <si>
    <t>全地形</t>
    <phoneticPr fontId="16" type="noConversion"/>
  </si>
  <si>
    <t>部署费用提升</t>
    <phoneticPr fontId="16" type="noConversion"/>
  </si>
  <si>
    <t>三星被动减费</t>
    <phoneticPr fontId="16" type="noConversion"/>
  </si>
  <si>
    <t>箱子重写地块属性</t>
    <phoneticPr fontId="16" type="noConversion"/>
  </si>
  <si>
    <t>地块属性更改</t>
    <phoneticPr fontId="16" type="noConversion"/>
  </si>
  <si>
    <t>仅自己</t>
    <phoneticPr fontId="16" type="noConversion"/>
  </si>
  <si>
    <t>0,0</t>
    <phoneticPr fontId="16" type="noConversion"/>
  </si>
  <si>
    <t>箱子回档地块属性</t>
    <phoneticPr fontId="16" type="noConversion"/>
  </si>
  <si>
    <t>被动</t>
    <phoneticPr fontId="16" type="noConversion"/>
  </si>
  <si>
    <t>离场</t>
    <phoneticPr fontId="16" type="noConversion"/>
  </si>
  <si>
    <t>坑重写地块属性</t>
    <phoneticPr fontId="16" type="noConversion"/>
  </si>
  <si>
    <r>
      <t>陷坑秒杀,</t>
    </r>
    <r>
      <rPr>
        <sz val="11"/>
        <color theme="1"/>
        <rFont val="宋体"/>
        <family val="3"/>
        <charset val="134"/>
        <scheme val="minor"/>
      </rPr>
      <t>坑重写地块属性</t>
    </r>
    <phoneticPr fontId="16" type="noConversion"/>
  </si>
  <si>
    <t>装置地块可通行,通用绝食</t>
    <phoneticPr fontId="16" type="noConversion"/>
  </si>
  <si>
    <t>{"PassCostAdd":-1000}</t>
    <phoneticPr fontId="16" type="noConversion"/>
  </si>
  <si>
    <t>{"PassCostAdd":1000}</t>
    <phoneticPr fontId="16" type="noConversion"/>
  </si>
  <si>
    <t>自己入场</t>
    <phoneticPr fontId="16" type="noConversion"/>
  </si>
  <si>
    <t>{"PassCostAdd":100000}</t>
    <phoneticPr fontId="16" type="noConversion"/>
  </si>
  <si>
    <t>箱子重写地块属性,箱子回档地块属性</t>
    <phoneticPr fontId="16" type="noConversion"/>
  </si>
  <si>
    <t>测试模型</t>
    <phoneticPr fontId="16" type="noConversion"/>
  </si>
  <si>
    <t>/Spine/test/enemy_9017_achunt.atlas.txt</t>
    <phoneticPr fontId="16" type="noConversion"/>
  </si>
  <si>
    <t>/Spine/test/enemy_9017_achunt.png</t>
    <phoneticPr fontId="16" type="noConversion"/>
  </si>
  <si>
    <t>/Spine/test/enemy_9017_achunt.skel.bytes</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</si>
</sst>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9C5700"/>
      <name val="宋体"/>
      <family val="3"/>
      <charset val="134"/>
      <scheme val="minor"/>
    </font>
    <font>
      <sz val="11"/>
      <color rgb="FF00B0F0"/>
      <name val="宋体"/>
      <family val="3"/>
      <charset val="134"/>
      <scheme val="minor"/>
    </font>
    <font>
      <sz val="11"/>
      <color rgb="FF9C0006"/>
      <name val="宋体"/>
      <family val="3"/>
      <charset val="134"/>
      <scheme val="minor"/>
    </font>
    <font>
      <sz val="11"/>
      <color rgb="FF202122"/>
      <name val="宋体"/>
      <family val="3"/>
      <charset val="134"/>
    </font>
    <font>
      <sz val="11"/>
      <color rgb="FF000000"/>
      <name val="等线"/>
      <family val="3"/>
      <charset val="134"/>
    </font>
    <font>
      <sz val="10.5"/>
      <color rgb="FF202122"/>
      <name val="Arial"/>
      <family val="2"/>
    </font>
    <font>
      <b/>
      <sz val="11"/>
      <color theme="1"/>
      <name val="宋体"/>
      <family val="3"/>
      <charset val="134"/>
      <scheme val="minor"/>
    </font>
    <font>
      <sz val="11"/>
      <color theme="1"/>
      <name val="宋体"/>
      <family val="3"/>
      <charset val="134"/>
      <scheme val="minor"/>
    </font>
    <font>
      <sz val="11"/>
      <color rgb="FF0098DC"/>
      <name val="Arial"/>
      <family val="2"/>
    </font>
    <font>
      <sz val="11"/>
      <color theme="1"/>
      <name val="Calibri"/>
      <family val="2"/>
    </font>
    <font>
      <b/>
      <sz val="9"/>
      <name val="宋体"/>
      <family val="3"/>
      <charset val="134"/>
    </font>
    <font>
      <sz val="9"/>
      <name val="宋体"/>
      <family val="3"/>
      <charset val="134"/>
    </font>
    <font>
      <sz val="11"/>
      <color theme="1"/>
      <name val="宋体"/>
      <family val="3"/>
      <charset val="134"/>
      <scheme val="minor"/>
    </font>
    <font>
      <sz val="9"/>
      <name val="宋体"/>
      <family val="3"/>
      <charset val="134"/>
      <scheme val="minor"/>
    </font>
    <font>
      <sz val="11"/>
      <name val="宋体"/>
      <family val="3"/>
      <charset val="134"/>
      <scheme val="minor"/>
    </font>
    <font>
      <sz val="11"/>
      <color rgb="FF202122"/>
      <name val="宋体"/>
      <family val="3"/>
      <charset val="134"/>
    </font>
    <font>
      <sz val="11"/>
      <color rgb="FF9C5700"/>
      <name val="宋体"/>
      <family val="3"/>
      <charset val="134"/>
      <scheme val="minor"/>
    </font>
    <font>
      <sz val="11"/>
      <color rgb="FF00B0F0"/>
      <name val="宋体"/>
      <family val="3"/>
      <charset val="134"/>
      <scheme val="minor"/>
    </font>
    <font>
      <sz val="11"/>
      <color rgb="FFFFC000"/>
      <name val="宋体"/>
      <family val="3"/>
      <charset val="134"/>
      <scheme val="minor"/>
    </font>
  </fonts>
  <fills count="9">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theme="6" tint="0.79992065187536243"/>
        <bgColor indexed="64"/>
      </patternFill>
    </fill>
    <fill>
      <patternFill patternType="solid">
        <fgColor rgb="FFFFEB9C"/>
        <bgColor indexed="64"/>
      </patternFill>
    </fill>
    <fill>
      <patternFill patternType="solid">
        <fgColor rgb="FFFFC7CE"/>
        <bgColor indexed="64"/>
      </patternFill>
    </fill>
    <fill>
      <patternFill patternType="solid">
        <fgColor rgb="FFEBF1DE"/>
        <bgColor indexed="64"/>
      </patternFill>
    </fill>
    <fill>
      <patternFill patternType="solid">
        <fgColor theme="6" tint="0.79995117038483843"/>
        <bgColor indexed="64"/>
      </patternFill>
    </fill>
  </fills>
  <borders count="2">
    <border>
      <left/>
      <right/>
      <top/>
      <bottom/>
      <diagonal/>
    </border>
    <border>
      <left style="hair">
        <color auto="1"/>
      </left>
      <right style="hair">
        <color auto="1"/>
      </right>
      <top style="hair">
        <color auto="1"/>
      </top>
      <bottom style="hair">
        <color auto="1"/>
      </bottom>
      <diagonal/>
    </border>
  </borders>
  <cellStyleXfs count="5">
    <xf numFmtId="0" fontId="0" fillId="0" borderId="0">
      <alignment vertical="center"/>
    </xf>
    <xf numFmtId="0" fontId="5" fillId="6" borderId="0" applyNumberFormat="0" applyBorder="0" applyAlignment="0" applyProtection="0">
      <alignment vertical="center"/>
    </xf>
    <xf numFmtId="0" fontId="3" fillId="5" borderId="0" applyNumberFormat="0" applyBorder="0" applyAlignment="0" applyProtection="0">
      <alignment vertical="center"/>
    </xf>
    <xf numFmtId="0" fontId="15" fillId="4" borderId="0" applyNumberFormat="0" applyBorder="0" applyAlignment="0" applyProtection="0">
      <alignment vertical="center"/>
    </xf>
    <xf numFmtId="0" fontId="15" fillId="0" borderId="0">
      <alignment vertical="center"/>
    </xf>
  </cellStyleXfs>
  <cellXfs count="31">
    <xf numFmtId="0" fontId="0" fillId="0" borderId="0" xfId="0">
      <alignment vertical="center"/>
    </xf>
    <xf numFmtId="0" fontId="15" fillId="0" borderId="0" xfId="4">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15" fillId="4" borderId="0" xfId="3">
      <alignment vertical="center"/>
    </xf>
    <xf numFmtId="0" fontId="3" fillId="5" borderId="0" xfId="2">
      <alignment vertical="center"/>
    </xf>
    <xf numFmtId="0" fontId="4" fillId="0" borderId="0" xfId="0" applyFont="1">
      <alignment vertical="center"/>
    </xf>
    <xf numFmtId="0" fontId="5" fillId="6" borderId="0" xfId="1">
      <alignment vertical="center"/>
    </xf>
    <xf numFmtId="0" fontId="2" fillId="7" borderId="1" xfId="0" applyFont="1" applyFill="1" applyBorder="1">
      <alignment vertical="center"/>
    </xf>
    <xf numFmtId="0" fontId="6" fillId="0" borderId="0" xfId="0" applyFont="1">
      <alignment vertical="center"/>
    </xf>
    <xf numFmtId="0" fontId="2" fillId="5" borderId="1" xfId="2" applyFont="1" applyBorder="1">
      <alignment vertical="center"/>
    </xf>
    <xf numFmtId="0" fontId="2" fillId="6" borderId="1" xfId="0" applyFont="1" applyFill="1" applyBorder="1">
      <alignment vertical="center"/>
    </xf>
    <xf numFmtId="0" fontId="15" fillId="7" borderId="0" xfId="3" applyFill="1">
      <alignment vertical="center"/>
    </xf>
    <xf numFmtId="0" fontId="2" fillId="3" borderId="0" xfId="0" applyFont="1" applyFill="1">
      <alignment vertical="center"/>
    </xf>
    <xf numFmtId="0" fontId="4" fillId="3" borderId="0" xfId="0" applyFont="1" applyFill="1">
      <alignment vertical="center"/>
    </xf>
    <xf numFmtId="0" fontId="7" fillId="0" borderId="0" xfId="0" applyFont="1">
      <alignment vertical="center"/>
    </xf>
    <xf numFmtId="0" fontId="8" fillId="0" borderId="0" xfId="0" applyFont="1">
      <alignment vertical="center"/>
    </xf>
    <xf numFmtId="0" fontId="0" fillId="0" borderId="0" xfId="0" applyAlignment="1"/>
    <xf numFmtId="0" fontId="10" fillId="0" borderId="0" xfId="0" applyFont="1">
      <alignment vertical="center"/>
    </xf>
    <xf numFmtId="0" fontId="2" fillId="7" borderId="0" xfId="0" applyFont="1" applyFill="1">
      <alignment vertical="center"/>
    </xf>
    <xf numFmtId="0" fontId="2" fillId="5" borderId="0" xfId="2" applyFont="1" applyBorder="1">
      <alignment vertical="center"/>
    </xf>
    <xf numFmtId="0" fontId="2" fillId="6" borderId="0" xfId="0" applyFont="1" applyFill="1">
      <alignment vertical="center"/>
    </xf>
    <xf numFmtId="0" fontId="17" fillId="0" borderId="0" xfId="0" applyFont="1">
      <alignment vertical="center"/>
    </xf>
    <xf numFmtId="0" fontId="0" fillId="8" borderId="0" xfId="3" applyFont="1" applyFill="1">
      <alignment vertical="center"/>
    </xf>
    <xf numFmtId="0" fontId="18" fillId="0" borderId="0" xfId="0" applyFont="1">
      <alignment vertical="center"/>
    </xf>
    <xf numFmtId="0" fontId="19" fillId="5" borderId="0" xfId="2" applyFont="1">
      <alignment vertical="center"/>
    </xf>
    <xf numFmtId="0" fontId="20" fillId="0" borderId="0" xfId="0" applyFont="1">
      <alignment vertical="center"/>
    </xf>
    <xf numFmtId="0" fontId="21" fillId="2" borderId="0" xfId="0" applyFont="1" applyFill="1">
      <alignment vertical="center"/>
    </xf>
    <xf numFmtId="0" fontId="10" fillId="0" borderId="0" xfId="4" applyFont="1">
      <alignment vertical="center"/>
    </xf>
  </cellXfs>
  <cellStyles count="5">
    <cellStyle name="20% - 着色 3" xfId="3" builtinId="38"/>
    <cellStyle name="差" xfId="1" builtinId="27"/>
    <cellStyle name="常规" xfId="0" builtinId="0"/>
    <cellStyle name="常规 2" xfId="4" xr:uid="{00000000-0005-0000-0000-000031000000}"/>
    <cellStyle name="适中" xfId="2" builtinId="28"/>
  </cellStyles>
  <dxfs count="0"/>
  <tableStyles count="0" defaultTableStyle="TableStyleMedium2" defaultPivotStyle="PivotStyleLight16"/>
  <colors>
    <mruColors>
      <color rgb="FFEBF1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topLeftCell="A58" workbookViewId="0">
      <selection activeCell="D9" sqref="D9"/>
    </sheetView>
  </sheetViews>
  <sheetFormatPr defaultColWidth="9" defaultRowHeight="14.05" x14ac:dyDescent="0.25"/>
  <cols>
    <col min="2" max="2" width="9" customWidth="1"/>
  </cols>
  <sheetData>
    <row r="2" spans="1:2" x14ac:dyDescent="0.25">
      <c r="A2" t="s">
        <v>0</v>
      </c>
      <c r="B2" t="s">
        <v>1</v>
      </c>
    </row>
    <row r="3" spans="1:2" x14ac:dyDescent="0.25">
      <c r="A3" t="s">
        <v>2</v>
      </c>
      <c r="B3" t="s">
        <v>3</v>
      </c>
    </row>
    <row r="4" spans="1:2" x14ac:dyDescent="0.25">
      <c r="A4" t="s">
        <v>4</v>
      </c>
      <c r="B4" t="s">
        <v>4</v>
      </c>
    </row>
    <row r="5" spans="1:2" x14ac:dyDescent="0.25">
      <c r="A5" t="s">
        <v>5</v>
      </c>
      <c r="B5" t="s">
        <v>5</v>
      </c>
    </row>
    <row r="6" spans="1:2" x14ac:dyDescent="0.25">
      <c r="A6" t="s">
        <v>6</v>
      </c>
      <c r="B6" t="s">
        <v>6</v>
      </c>
    </row>
    <row r="7" spans="1:2" x14ac:dyDescent="0.25">
      <c r="A7" t="s">
        <v>7</v>
      </c>
      <c r="B7" t="s">
        <v>7</v>
      </c>
    </row>
    <row r="8" spans="1:2" x14ac:dyDescent="0.25">
      <c r="A8" t="s">
        <v>8</v>
      </c>
      <c r="B8" t="s">
        <v>8</v>
      </c>
    </row>
    <row r="10" spans="1:2" x14ac:dyDescent="0.25">
      <c r="A10" t="s">
        <v>9</v>
      </c>
      <c r="B10" t="s">
        <v>9</v>
      </c>
    </row>
    <row r="11" spans="1:2" x14ac:dyDescent="0.25">
      <c r="A11" t="s">
        <v>10</v>
      </c>
      <c r="B11" t="s">
        <v>10</v>
      </c>
    </row>
    <row r="12" spans="1:2" x14ac:dyDescent="0.25">
      <c r="A12" t="s">
        <v>11</v>
      </c>
      <c r="B12" t="s">
        <v>11</v>
      </c>
    </row>
    <row r="13" spans="1:2" x14ac:dyDescent="0.25">
      <c r="A13" t="s">
        <v>12</v>
      </c>
      <c r="B13" t="s">
        <v>12</v>
      </c>
    </row>
    <row r="14" spans="1:2" x14ac:dyDescent="0.25">
      <c r="A14" t="s">
        <v>13</v>
      </c>
      <c r="B14" t="s">
        <v>13</v>
      </c>
    </row>
    <row r="15" spans="1:2" x14ac:dyDescent="0.25">
      <c r="A15" t="s">
        <v>14</v>
      </c>
      <c r="B15" t="s">
        <v>14</v>
      </c>
    </row>
    <row r="16" spans="1:2" x14ac:dyDescent="0.25">
      <c r="A16" t="s">
        <v>15</v>
      </c>
      <c r="B16" t="s">
        <v>15</v>
      </c>
    </row>
    <row r="17" spans="1:2" x14ac:dyDescent="0.25">
      <c r="A17" t="s">
        <v>16</v>
      </c>
      <c r="B17" t="s">
        <v>16</v>
      </c>
    </row>
    <row r="18" spans="1:2" x14ac:dyDescent="0.25">
      <c r="A18" t="s">
        <v>17</v>
      </c>
      <c r="B18" t="s">
        <v>17</v>
      </c>
    </row>
    <row r="19" spans="1:2" x14ac:dyDescent="0.25">
      <c r="A19" t="s">
        <v>18</v>
      </c>
      <c r="B19" t="s">
        <v>18</v>
      </c>
    </row>
    <row r="20" spans="1:2" x14ac:dyDescent="0.25">
      <c r="A20" t="s">
        <v>19</v>
      </c>
      <c r="B20" t="s">
        <v>19</v>
      </c>
    </row>
    <row r="21" spans="1:2" x14ac:dyDescent="0.25">
      <c r="A21" t="s">
        <v>20</v>
      </c>
      <c r="B21" t="s">
        <v>20</v>
      </c>
    </row>
    <row r="22" spans="1:2" x14ac:dyDescent="0.25">
      <c r="A22" t="s">
        <v>21</v>
      </c>
      <c r="B22" t="s">
        <v>21</v>
      </c>
    </row>
    <row r="23" spans="1:2" x14ac:dyDescent="0.25">
      <c r="A23" t="s">
        <v>22</v>
      </c>
      <c r="B23" t="s">
        <v>22</v>
      </c>
    </row>
    <row r="25" spans="1:2" x14ac:dyDescent="0.25">
      <c r="A25" t="s">
        <v>23</v>
      </c>
    </row>
    <row r="26" spans="1:2" x14ac:dyDescent="0.25">
      <c r="A26" t="s">
        <v>24</v>
      </c>
      <c r="B26" t="s">
        <v>24</v>
      </c>
    </row>
    <row r="27" spans="1:2" x14ac:dyDescent="0.25">
      <c r="A27" t="s">
        <v>25</v>
      </c>
      <c r="B27" t="s">
        <v>25</v>
      </c>
    </row>
    <row r="28" spans="1:2" x14ac:dyDescent="0.25">
      <c r="A28" t="s">
        <v>26</v>
      </c>
      <c r="B28" t="s">
        <v>26</v>
      </c>
    </row>
    <row r="29" spans="1:2" x14ac:dyDescent="0.25">
      <c r="A29" t="s">
        <v>27</v>
      </c>
      <c r="B29" t="s">
        <v>27</v>
      </c>
    </row>
    <row r="30" spans="1:2" x14ac:dyDescent="0.25">
      <c r="A30" t="s">
        <v>28</v>
      </c>
      <c r="B30" t="s">
        <v>28</v>
      </c>
    </row>
    <row r="31" spans="1:2" x14ac:dyDescent="0.25">
      <c r="A31" t="s">
        <v>29</v>
      </c>
      <c r="B31" t="s">
        <v>29</v>
      </c>
    </row>
    <row r="32" spans="1:2" x14ac:dyDescent="0.25">
      <c r="A32" t="s">
        <v>30</v>
      </c>
      <c r="B32" t="s">
        <v>30</v>
      </c>
    </row>
    <row r="33" spans="1:2" x14ac:dyDescent="0.25">
      <c r="A33" t="s">
        <v>31</v>
      </c>
      <c r="B33" t="s">
        <v>31</v>
      </c>
    </row>
    <row r="34" spans="1:2" x14ac:dyDescent="0.25">
      <c r="A34" t="s">
        <v>32</v>
      </c>
      <c r="B34" t="s">
        <v>32</v>
      </c>
    </row>
    <row r="35" spans="1:2" x14ac:dyDescent="0.25">
      <c r="A35" t="s">
        <v>33</v>
      </c>
      <c r="B35" t="s">
        <v>33</v>
      </c>
    </row>
    <row r="36" spans="1:2" x14ac:dyDescent="0.25">
      <c r="A36" t="s">
        <v>34</v>
      </c>
      <c r="B36" t="s">
        <v>34</v>
      </c>
    </row>
    <row r="37" spans="1:2" x14ac:dyDescent="0.25">
      <c r="A37" t="s">
        <v>35</v>
      </c>
      <c r="B37" t="s">
        <v>35</v>
      </c>
    </row>
    <row r="38" spans="1:2" x14ac:dyDescent="0.25">
      <c r="A38" t="s">
        <v>36</v>
      </c>
      <c r="B38" t="s">
        <v>36</v>
      </c>
    </row>
    <row r="39" spans="1:2" x14ac:dyDescent="0.25">
      <c r="A39" t="s">
        <v>37</v>
      </c>
      <c r="B39" t="s">
        <v>37</v>
      </c>
    </row>
    <row r="40" spans="1:2" x14ac:dyDescent="0.25">
      <c r="A40" t="s">
        <v>38</v>
      </c>
      <c r="B40" t="s">
        <v>38</v>
      </c>
    </row>
    <row r="41" spans="1:2" x14ac:dyDescent="0.25">
      <c r="A41" t="s">
        <v>39</v>
      </c>
      <c r="B41" t="s">
        <v>39</v>
      </c>
    </row>
    <row r="42" spans="1:2" x14ac:dyDescent="0.25">
      <c r="A42" t="s">
        <v>40</v>
      </c>
      <c r="B42" t="s">
        <v>40</v>
      </c>
    </row>
    <row r="43" spans="1:2" x14ac:dyDescent="0.25">
      <c r="A43" t="s">
        <v>41</v>
      </c>
      <c r="B43" t="s">
        <v>41</v>
      </c>
    </row>
    <row r="44" spans="1:2" x14ac:dyDescent="0.25">
      <c r="A44" t="s">
        <v>42</v>
      </c>
      <c r="B44" t="s">
        <v>42</v>
      </c>
    </row>
    <row r="45" spans="1:2" x14ac:dyDescent="0.25">
      <c r="A45" t="s">
        <v>43</v>
      </c>
      <c r="B45" t="s">
        <v>43</v>
      </c>
    </row>
    <row r="46" spans="1:2" x14ac:dyDescent="0.25">
      <c r="A46" t="s">
        <v>44</v>
      </c>
      <c r="B46" t="s">
        <v>44</v>
      </c>
    </row>
    <row r="48" spans="1:2" x14ac:dyDescent="0.25">
      <c r="A48" t="s">
        <v>45</v>
      </c>
    </row>
    <row r="49" spans="1:2" x14ac:dyDescent="0.25">
      <c r="A49" t="s">
        <v>46</v>
      </c>
      <c r="B49" t="s">
        <v>46</v>
      </c>
    </row>
    <row r="50" spans="1:2" x14ac:dyDescent="0.25">
      <c r="A50" t="s">
        <v>47</v>
      </c>
      <c r="B50" t="s">
        <v>47</v>
      </c>
    </row>
    <row r="51" spans="1:2" x14ac:dyDescent="0.25">
      <c r="A51" t="s">
        <v>48</v>
      </c>
      <c r="B51" t="s">
        <v>48</v>
      </c>
    </row>
    <row r="52" spans="1:2" x14ac:dyDescent="0.25">
      <c r="A52" t="s">
        <v>49</v>
      </c>
      <c r="B52" t="s">
        <v>49</v>
      </c>
    </row>
    <row r="53" spans="1:2" x14ac:dyDescent="0.25">
      <c r="A53" t="s">
        <v>50</v>
      </c>
      <c r="B53" t="s">
        <v>50</v>
      </c>
    </row>
    <row r="54" spans="1:2" x14ac:dyDescent="0.25">
      <c r="A54" t="s">
        <v>51</v>
      </c>
      <c r="B54" t="s">
        <v>51</v>
      </c>
    </row>
    <row r="55" spans="1:2" x14ac:dyDescent="0.25">
      <c r="A55" t="s">
        <v>52</v>
      </c>
      <c r="B55" t="s">
        <v>52</v>
      </c>
    </row>
    <row r="56" spans="1:2" x14ac:dyDescent="0.25">
      <c r="A56" t="s">
        <v>53</v>
      </c>
      <c r="B56" t="s">
        <v>53</v>
      </c>
    </row>
    <row r="57" spans="1:2" x14ac:dyDescent="0.25">
      <c r="A57" t="s">
        <v>54</v>
      </c>
      <c r="B57" t="s">
        <v>54</v>
      </c>
    </row>
    <row r="58" spans="1:2" x14ac:dyDescent="0.25">
      <c r="A58" t="s">
        <v>55</v>
      </c>
      <c r="B58" t="s">
        <v>55</v>
      </c>
    </row>
    <row r="59" spans="1:2" x14ac:dyDescent="0.25">
      <c r="A59" t="s">
        <v>56</v>
      </c>
      <c r="B59" t="s">
        <v>56</v>
      </c>
    </row>
    <row r="60" spans="1:2" x14ac:dyDescent="0.25">
      <c r="A60" t="s">
        <v>57</v>
      </c>
      <c r="B60" t="s">
        <v>57</v>
      </c>
    </row>
    <row r="61" spans="1:2" x14ac:dyDescent="0.25">
      <c r="A61" t="s">
        <v>58</v>
      </c>
      <c r="B61" t="s">
        <v>58</v>
      </c>
    </row>
    <row r="62" spans="1:2" x14ac:dyDescent="0.25">
      <c r="A62" t="s">
        <v>59</v>
      </c>
      <c r="B62" t="s">
        <v>59</v>
      </c>
    </row>
    <row r="63" spans="1:2" x14ac:dyDescent="0.25">
      <c r="A63" t="s">
        <v>60</v>
      </c>
      <c r="B63" t="s">
        <v>60</v>
      </c>
    </row>
    <row r="64" spans="1:2" x14ac:dyDescent="0.25">
      <c r="A64" t="s">
        <v>61</v>
      </c>
      <c r="B64" t="s">
        <v>61</v>
      </c>
    </row>
    <row r="65" spans="1:2" x14ac:dyDescent="0.25">
      <c r="A65" t="s">
        <v>62</v>
      </c>
      <c r="B65" t="s">
        <v>62</v>
      </c>
    </row>
    <row r="66" spans="1:2" x14ac:dyDescent="0.25">
      <c r="A66" t="s">
        <v>63</v>
      </c>
      <c r="B66" t="s">
        <v>63</v>
      </c>
    </row>
    <row r="67" spans="1:2" x14ac:dyDescent="0.25">
      <c r="A67" t="s">
        <v>64</v>
      </c>
      <c r="B67" t="s">
        <v>64</v>
      </c>
    </row>
    <row r="68" spans="1:2" x14ac:dyDescent="0.25">
      <c r="A68" t="s">
        <v>65</v>
      </c>
      <c r="B68" t="s">
        <v>65</v>
      </c>
    </row>
    <row r="69" spans="1:2" x14ac:dyDescent="0.25">
      <c r="A69" t="s">
        <v>66</v>
      </c>
      <c r="B69" t="s">
        <v>66</v>
      </c>
    </row>
    <row r="70" spans="1:2" x14ac:dyDescent="0.25">
      <c r="A70" t="s">
        <v>67</v>
      </c>
      <c r="B70" t="s">
        <v>67</v>
      </c>
    </row>
    <row r="71" spans="1:2" x14ac:dyDescent="0.25">
      <c r="A71" t="s">
        <v>68</v>
      </c>
      <c r="B71" t="s">
        <v>68</v>
      </c>
    </row>
    <row r="72" spans="1:2" x14ac:dyDescent="0.25">
      <c r="A72" t="s">
        <v>69</v>
      </c>
      <c r="B72" t="s">
        <v>69</v>
      </c>
    </row>
    <row r="73" spans="1:2" x14ac:dyDescent="0.25">
      <c r="A73" t="s">
        <v>70</v>
      </c>
      <c r="B73" t="s">
        <v>70</v>
      </c>
    </row>
    <row r="74" spans="1:2" x14ac:dyDescent="0.25">
      <c r="A74" t="s">
        <v>71</v>
      </c>
      <c r="B74" t="s">
        <v>71</v>
      </c>
    </row>
    <row r="77" spans="1:2" x14ac:dyDescent="0.25">
      <c r="A77" t="s">
        <v>72</v>
      </c>
    </row>
    <row r="78" spans="1:2" x14ac:dyDescent="0.25">
      <c r="A78" t="s">
        <v>73</v>
      </c>
      <c r="B78" t="s">
        <v>74</v>
      </c>
    </row>
    <row r="79" spans="1:2" x14ac:dyDescent="0.25">
      <c r="A79" t="s">
        <v>75</v>
      </c>
      <c r="B79" t="s">
        <v>75</v>
      </c>
    </row>
    <row r="80" spans="1:2" x14ac:dyDescent="0.25">
      <c r="A80" t="s">
        <v>76</v>
      </c>
      <c r="B80" t="s">
        <v>76</v>
      </c>
    </row>
    <row r="81" spans="1:2" x14ac:dyDescent="0.25">
      <c r="A81" t="s">
        <v>77</v>
      </c>
      <c r="B81" t="s">
        <v>77</v>
      </c>
    </row>
    <row r="82" spans="1:2" x14ac:dyDescent="0.25">
      <c r="A82" t="s">
        <v>78</v>
      </c>
      <c r="B82" t="s">
        <v>78</v>
      </c>
    </row>
    <row r="83" spans="1:2" x14ac:dyDescent="0.25">
      <c r="A83" t="s">
        <v>79</v>
      </c>
      <c r="B83" t="s">
        <v>79</v>
      </c>
    </row>
    <row r="84" spans="1:2" x14ac:dyDescent="0.25">
      <c r="A84" t="s">
        <v>80</v>
      </c>
      <c r="B84" t="s">
        <v>80</v>
      </c>
    </row>
    <row r="85" spans="1:2" x14ac:dyDescent="0.25">
      <c r="A85" t="s">
        <v>81</v>
      </c>
      <c r="B85" t="s">
        <v>81</v>
      </c>
    </row>
    <row r="86" spans="1:2" x14ac:dyDescent="0.25">
      <c r="A86" t="s">
        <v>82</v>
      </c>
      <c r="B86" t="s">
        <v>82</v>
      </c>
    </row>
    <row r="87" spans="1:2" x14ac:dyDescent="0.25">
      <c r="A87" t="s">
        <v>83</v>
      </c>
      <c r="B87" t="s">
        <v>83</v>
      </c>
    </row>
    <row r="88" spans="1:2" x14ac:dyDescent="0.25">
      <c r="A88" t="s">
        <v>84</v>
      </c>
      <c r="B88" t="s">
        <v>84</v>
      </c>
    </row>
    <row r="89" spans="1:2" x14ac:dyDescent="0.25">
      <c r="A89" t="s">
        <v>85</v>
      </c>
      <c r="B89" t="s">
        <v>85</v>
      </c>
    </row>
  </sheetData>
  <phoneticPr fontId="16"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R729"/>
  <sheetViews>
    <sheetView tabSelected="1" workbookViewId="0">
      <pane xSplit="1" ySplit="3" topLeftCell="B4" activePane="bottomRight" state="frozen"/>
      <selection pane="topRight"/>
      <selection pane="bottomLeft"/>
      <selection pane="bottomRight" activeCell="D8" sqref="D8"/>
    </sheetView>
  </sheetViews>
  <sheetFormatPr defaultColWidth="9" defaultRowHeight="14.05" x14ac:dyDescent="0.25"/>
  <cols>
    <col min="1" max="1" width="22.4140625" customWidth="1"/>
    <col min="4" max="4" width="8.4140625" customWidth="1"/>
    <col min="5" max="5" width="5.33203125" customWidth="1"/>
    <col min="6" max="6" width="19.4140625" customWidth="1"/>
    <col min="7" max="7" width="8.25" customWidth="1"/>
    <col min="11" max="11" width="6" customWidth="1"/>
    <col min="12" max="12" width="4.08203125" customWidth="1"/>
    <col min="13" max="13" width="8.1640625" customWidth="1"/>
    <col min="14" max="14" width="4" customWidth="1"/>
    <col min="15" max="15" width="7.75" customWidth="1"/>
    <col min="16" max="16" width="10.83203125" customWidth="1"/>
    <col min="17" max="17" width="14.4140625" customWidth="1"/>
    <col min="18" max="18" width="3.83203125" customWidth="1"/>
    <col min="19" max="19" width="5" customWidth="1"/>
    <col min="20" max="20" width="4.6640625" customWidth="1"/>
    <col min="21" max="21" width="10.25" customWidth="1"/>
    <col min="22" max="22" width="9.4140625" customWidth="1"/>
    <col min="23" max="23" width="10.75" customWidth="1"/>
    <col min="24" max="24" width="12.83203125" customWidth="1"/>
    <col min="25" max="25" width="13.08203125" customWidth="1"/>
    <col min="26" max="26" width="8" customWidth="1"/>
    <col min="29" max="29" width="8" customWidth="1"/>
    <col min="30" max="30" width="17.08203125" customWidth="1"/>
    <col min="31" max="31" width="9.75" customWidth="1"/>
    <col min="32" max="32" width="7.83203125" customWidth="1"/>
    <col min="33" max="33" width="15.83203125" customWidth="1"/>
    <col min="34" max="34" width="13.83203125" customWidth="1"/>
    <col min="35" max="35" width="34.4140625" customWidth="1"/>
    <col min="36" max="37" width="9.83203125" customWidth="1"/>
    <col min="44" max="44" width="10.4140625" customWidth="1"/>
    <col min="45" max="45" width="16.9140625" customWidth="1"/>
    <col min="49" max="49" width="8.4140625" customWidth="1"/>
    <col min="51" max="51" width="17.75" customWidth="1"/>
    <col min="52" max="52" width="7.83203125" customWidth="1"/>
    <col min="55" max="55" width="24.25" customWidth="1"/>
    <col min="56" max="56" width="13.25" customWidth="1"/>
    <col min="57" max="57" width="16.08203125" customWidth="1"/>
    <col min="58" max="58" width="8" customWidth="1"/>
    <col min="61" max="61" width="28" customWidth="1"/>
    <col min="63" max="63" width="39.4140625" customWidth="1"/>
    <col min="64" max="64" width="14" customWidth="1"/>
    <col min="65" max="65" width="14.83203125" customWidth="1"/>
    <col min="66" max="69" width="14" customWidth="1"/>
    <col min="70" max="70" width="12" customWidth="1"/>
  </cols>
  <sheetData>
    <row r="1" spans="1:70" x14ac:dyDescent="0.25">
      <c r="D1" t="s">
        <v>86</v>
      </c>
      <c r="E1" t="s">
        <v>86</v>
      </c>
      <c r="G1" t="s">
        <v>87</v>
      </c>
      <c r="I1" t="s">
        <v>88</v>
      </c>
      <c r="J1" t="s">
        <v>89</v>
      </c>
      <c r="K1" t="s">
        <v>90</v>
      </c>
      <c r="M1" t="s">
        <v>91</v>
      </c>
      <c r="O1" t="s">
        <v>92</v>
      </c>
      <c r="Q1" t="s">
        <v>93</v>
      </c>
      <c r="S1" t="s">
        <v>94</v>
      </c>
      <c r="U1" t="s">
        <v>95</v>
      </c>
      <c r="V1" t="s">
        <v>96</v>
      </c>
      <c r="X1" t="s">
        <v>97</v>
      </c>
      <c r="Y1" t="s">
        <v>98</v>
      </c>
      <c r="Z1" t="s">
        <v>99</v>
      </c>
      <c r="AA1" t="s">
        <v>100</v>
      </c>
      <c r="AB1" t="s">
        <v>101</v>
      </c>
      <c r="AC1" t="s">
        <v>102</v>
      </c>
      <c r="AD1" t="s">
        <v>103</v>
      </c>
      <c r="AE1" t="s">
        <v>104</v>
      </c>
      <c r="AH1" t="s">
        <v>105</v>
      </c>
      <c r="AI1" t="s">
        <v>106</v>
      </c>
      <c r="AJ1" t="s">
        <v>107</v>
      </c>
      <c r="AK1" t="s">
        <v>108</v>
      </c>
      <c r="AL1" t="s">
        <v>109</v>
      </c>
      <c r="AM1" s="20" t="s">
        <v>6208</v>
      </c>
      <c r="AN1" t="s">
        <v>110</v>
      </c>
      <c r="AO1" t="s">
        <v>111</v>
      </c>
      <c r="AP1" t="s">
        <v>112</v>
      </c>
      <c r="AR1" t="s">
        <v>113</v>
      </c>
      <c r="AS1" t="s">
        <v>114</v>
      </c>
      <c r="AT1" t="s">
        <v>115</v>
      </c>
      <c r="AU1" t="s">
        <v>116</v>
      </c>
      <c r="AV1" t="s">
        <v>117</v>
      </c>
      <c r="AW1" t="s">
        <v>118</v>
      </c>
      <c r="AX1" t="s">
        <v>119</v>
      </c>
      <c r="AY1" t="s">
        <v>120</v>
      </c>
      <c r="AZ1" t="s">
        <v>121</v>
      </c>
      <c r="BC1" t="s">
        <v>122</v>
      </c>
      <c r="BD1" t="s">
        <v>123</v>
      </c>
      <c r="BE1" t="s">
        <v>124</v>
      </c>
      <c r="BF1" t="s">
        <v>125</v>
      </c>
      <c r="BG1" t="s">
        <v>126</v>
      </c>
    </row>
    <row r="2" spans="1:70" x14ac:dyDescent="0.25">
      <c r="A2" t="s">
        <v>0</v>
      </c>
      <c r="B2" t="s">
        <v>127</v>
      </c>
      <c r="C2" t="s">
        <v>128</v>
      </c>
      <c r="F2" t="s">
        <v>129</v>
      </c>
      <c r="G2" t="s">
        <v>130</v>
      </c>
      <c r="H2" t="s">
        <v>131</v>
      </c>
      <c r="I2" t="s">
        <v>132</v>
      </c>
      <c r="J2" t="s">
        <v>133</v>
      </c>
      <c r="K2" t="s">
        <v>134</v>
      </c>
      <c r="L2" t="s">
        <v>135</v>
      </c>
      <c r="M2" t="s">
        <v>136</v>
      </c>
      <c r="N2" t="s">
        <v>137</v>
      </c>
      <c r="O2" t="s">
        <v>138</v>
      </c>
      <c r="P2" t="s">
        <v>139</v>
      </c>
      <c r="Q2" t="s">
        <v>140</v>
      </c>
      <c r="R2" t="s">
        <v>141</v>
      </c>
      <c r="S2" t="s">
        <v>142</v>
      </c>
      <c r="T2" t="s">
        <v>143</v>
      </c>
      <c r="U2" t="s">
        <v>144</v>
      </c>
      <c r="V2" t="s">
        <v>145</v>
      </c>
      <c r="W2" t="s">
        <v>146</v>
      </c>
      <c r="X2" t="s">
        <v>147</v>
      </c>
      <c r="Y2" t="s">
        <v>148</v>
      </c>
      <c r="Z2" t="s">
        <v>149</v>
      </c>
      <c r="AA2" t="s">
        <v>150</v>
      </c>
      <c r="AB2" t="s">
        <v>151</v>
      </c>
      <c r="AC2" t="s">
        <v>152</v>
      </c>
      <c r="AD2" t="s">
        <v>153</v>
      </c>
      <c r="AE2" t="s">
        <v>154</v>
      </c>
      <c r="AF2" t="s">
        <v>155</v>
      </c>
      <c r="AG2" t="s">
        <v>156</v>
      </c>
      <c r="AH2" t="s">
        <v>157</v>
      </c>
      <c r="AI2" t="s">
        <v>158</v>
      </c>
      <c r="AJ2" t="s">
        <v>159</v>
      </c>
      <c r="AK2" t="s">
        <v>160</v>
      </c>
      <c r="AL2" t="s">
        <v>161</v>
      </c>
      <c r="AM2" s="20" t="s">
        <v>6209</v>
      </c>
      <c r="AN2" t="s">
        <v>162</v>
      </c>
      <c r="AO2" t="s">
        <v>163</v>
      </c>
      <c r="AP2" t="s">
        <v>164</v>
      </c>
      <c r="AQ2" t="s">
        <v>165</v>
      </c>
      <c r="AR2" t="s">
        <v>166</v>
      </c>
      <c r="AS2" t="s">
        <v>167</v>
      </c>
      <c r="AT2" t="s">
        <v>168</v>
      </c>
      <c r="AU2" t="s">
        <v>169</v>
      </c>
      <c r="AV2" t="s">
        <v>170</v>
      </c>
      <c r="AW2" t="s">
        <v>171</v>
      </c>
      <c r="AX2" t="s">
        <v>172</v>
      </c>
      <c r="AY2" t="s">
        <v>173</v>
      </c>
      <c r="AZ2" t="s">
        <v>174</v>
      </c>
      <c r="BA2" t="s">
        <v>175</v>
      </c>
      <c r="BB2" t="s">
        <v>176</v>
      </c>
      <c r="BC2" t="s">
        <v>177</v>
      </c>
      <c r="BD2" t="s">
        <v>178</v>
      </c>
      <c r="BE2" t="s">
        <v>179</v>
      </c>
      <c r="BF2" t="s">
        <v>180</v>
      </c>
      <c r="BG2" t="s">
        <v>181</v>
      </c>
      <c r="BH2" t="s">
        <v>182</v>
      </c>
      <c r="BI2" t="s">
        <v>183</v>
      </c>
      <c r="BJ2" t="s">
        <v>184</v>
      </c>
      <c r="BK2" t="s">
        <v>185</v>
      </c>
      <c r="BL2" t="s">
        <v>186</v>
      </c>
      <c r="BM2" t="s">
        <v>187</v>
      </c>
      <c r="BN2" t="s">
        <v>188</v>
      </c>
      <c r="BO2" t="s">
        <v>189</v>
      </c>
      <c r="BP2" t="s">
        <v>190</v>
      </c>
      <c r="BQ2" t="s">
        <v>191</v>
      </c>
      <c r="BR2" t="s">
        <v>192</v>
      </c>
    </row>
    <row r="3" spans="1:70" x14ac:dyDescent="0.25">
      <c r="A3" t="s">
        <v>2</v>
      </c>
      <c r="B3" t="s">
        <v>2</v>
      </c>
      <c r="C3" t="s">
        <v>193</v>
      </c>
      <c r="F3" t="s">
        <v>2</v>
      </c>
      <c r="G3" t="s">
        <v>194</v>
      </c>
      <c r="H3" t="s">
        <v>2</v>
      </c>
      <c r="I3" t="s">
        <v>195</v>
      </c>
      <c r="J3" t="s">
        <v>195</v>
      </c>
      <c r="K3" t="s">
        <v>195</v>
      </c>
      <c r="L3" t="s">
        <v>195</v>
      </c>
      <c r="M3" t="s">
        <v>195</v>
      </c>
      <c r="N3" t="s">
        <v>195</v>
      </c>
      <c r="O3" t="s">
        <v>195</v>
      </c>
      <c r="P3" t="s">
        <v>195</v>
      </c>
      <c r="Q3" t="s">
        <v>195</v>
      </c>
      <c r="R3" t="s">
        <v>195</v>
      </c>
      <c r="S3" t="s">
        <v>195</v>
      </c>
      <c r="T3" t="s">
        <v>195</v>
      </c>
      <c r="U3" t="s">
        <v>194</v>
      </c>
      <c r="V3" t="s">
        <v>195</v>
      </c>
      <c r="W3" t="s">
        <v>195</v>
      </c>
      <c r="X3" t="s">
        <v>194</v>
      </c>
      <c r="Y3" t="s">
        <v>194</v>
      </c>
      <c r="Z3" t="s">
        <v>194</v>
      </c>
      <c r="AA3" t="s">
        <v>195</v>
      </c>
      <c r="AB3" t="s">
        <v>194</v>
      </c>
      <c r="AC3" t="s">
        <v>195</v>
      </c>
      <c r="AD3" t="s">
        <v>193</v>
      </c>
      <c r="AE3" t="s">
        <v>195</v>
      </c>
      <c r="AF3" t="s">
        <v>195</v>
      </c>
      <c r="AG3" t="s">
        <v>2</v>
      </c>
      <c r="AH3" t="s">
        <v>2</v>
      </c>
      <c r="AI3" t="s">
        <v>196</v>
      </c>
      <c r="AJ3" t="s">
        <v>196</v>
      </c>
      <c r="AK3" t="s">
        <v>195</v>
      </c>
      <c r="AL3" t="s">
        <v>194</v>
      </c>
      <c r="AM3" s="20" t="s">
        <v>6210</v>
      </c>
      <c r="AN3" t="s">
        <v>195</v>
      </c>
      <c r="AO3" t="s">
        <v>194</v>
      </c>
      <c r="AP3" t="s">
        <v>193</v>
      </c>
      <c r="AR3" t="s">
        <v>194</v>
      </c>
      <c r="AS3" t="s">
        <v>193</v>
      </c>
      <c r="AT3" t="s">
        <v>195</v>
      </c>
      <c r="AU3" t="s">
        <v>197</v>
      </c>
      <c r="AV3" t="s">
        <v>194</v>
      </c>
      <c r="AW3" t="s">
        <v>198</v>
      </c>
      <c r="AX3" t="s">
        <v>193</v>
      </c>
      <c r="AY3" t="s">
        <v>193</v>
      </c>
      <c r="AZ3" t="s">
        <v>194</v>
      </c>
      <c r="BA3" t="s">
        <v>199</v>
      </c>
      <c r="BB3" t="s">
        <v>2</v>
      </c>
      <c r="BC3" t="s">
        <v>2</v>
      </c>
      <c r="BD3" t="s">
        <v>2</v>
      </c>
      <c r="BE3" t="s">
        <v>2</v>
      </c>
      <c r="BF3" t="s">
        <v>200</v>
      </c>
      <c r="BG3" t="s">
        <v>195</v>
      </c>
      <c r="BH3" t="s">
        <v>2</v>
      </c>
      <c r="BI3" t="s">
        <v>201</v>
      </c>
      <c r="BJ3" t="s">
        <v>2</v>
      </c>
      <c r="BK3" t="s">
        <v>202</v>
      </c>
      <c r="BL3" t="s">
        <v>201</v>
      </c>
      <c r="BM3" t="s">
        <v>201</v>
      </c>
      <c r="BN3" t="s">
        <v>201</v>
      </c>
      <c r="BO3" t="s">
        <v>201</v>
      </c>
      <c r="BP3" t="s">
        <v>201</v>
      </c>
      <c r="BQ3" t="s">
        <v>201</v>
      </c>
      <c r="BR3" t="s">
        <v>194</v>
      </c>
    </row>
    <row r="4" spans="1:70" x14ac:dyDescent="0.25">
      <c r="A4">
        <v>0</v>
      </c>
      <c r="D4" t="s">
        <v>203</v>
      </c>
      <c r="K4">
        <v>1</v>
      </c>
    </row>
    <row r="5" spans="1:70" x14ac:dyDescent="0.25">
      <c r="A5" t="s">
        <v>204</v>
      </c>
      <c r="AM5" s="20"/>
    </row>
    <row r="6" spans="1:70" x14ac:dyDescent="0.25">
      <c r="A6" t="s">
        <v>205</v>
      </c>
      <c r="B6" t="s">
        <v>206</v>
      </c>
      <c r="D6" t="s">
        <v>207</v>
      </c>
      <c r="E6" s="2" t="s">
        <v>208</v>
      </c>
      <c r="F6" t="str">
        <f>"enemy_"&amp;E6&amp;"_"&amp;D6</f>
        <v>enemy_1007_slime_2</v>
      </c>
      <c r="G6">
        <v>1</v>
      </c>
      <c r="K6">
        <v>1550</v>
      </c>
      <c r="M6">
        <v>240</v>
      </c>
      <c r="O6">
        <v>0</v>
      </c>
      <c r="Q6">
        <v>0</v>
      </c>
      <c r="Y6">
        <v>0.05</v>
      </c>
      <c r="Z6">
        <v>1</v>
      </c>
      <c r="AB6">
        <v>1</v>
      </c>
      <c r="AF6">
        <v>1</v>
      </c>
      <c r="AG6" t="s">
        <v>205</v>
      </c>
      <c r="AH6" t="s">
        <v>209</v>
      </c>
      <c r="AK6">
        <v>1</v>
      </c>
      <c r="AM6" s="20"/>
      <c r="AT6">
        <v>1</v>
      </c>
      <c r="AV6">
        <v>0.25</v>
      </c>
      <c r="BC6" t="str">
        <f>"enemy_"&amp;E6&amp;"_"&amp;D6</f>
        <v>enemy_1007_slime_2</v>
      </c>
      <c r="BL6" t="s">
        <v>210</v>
      </c>
      <c r="BM6" t="s">
        <v>211</v>
      </c>
      <c r="BN6" t="s">
        <v>212</v>
      </c>
      <c r="BO6" t="s">
        <v>213</v>
      </c>
      <c r="BR6">
        <v>1</v>
      </c>
    </row>
    <row r="7" spans="1:70" x14ac:dyDescent="0.25">
      <c r="A7" t="s">
        <v>214</v>
      </c>
      <c r="B7" t="s">
        <v>206</v>
      </c>
      <c r="D7" t="s">
        <v>215</v>
      </c>
      <c r="E7" s="2" t="s">
        <v>216</v>
      </c>
      <c r="F7" t="str">
        <f t="shared" ref="F7:F10" si="0">"enemy_"&amp;E7&amp;"_"&amp;D7</f>
        <v>enemy_1000_gopro</v>
      </c>
      <c r="G7">
        <v>1</v>
      </c>
      <c r="K7">
        <v>1700</v>
      </c>
      <c r="M7">
        <v>260</v>
      </c>
      <c r="O7">
        <v>0</v>
      </c>
      <c r="Q7">
        <v>20</v>
      </c>
      <c r="Y7">
        <v>0.05</v>
      </c>
      <c r="Z7">
        <v>1</v>
      </c>
      <c r="AB7">
        <v>1.9</v>
      </c>
      <c r="AF7">
        <v>1</v>
      </c>
      <c r="AG7" t="s">
        <v>217</v>
      </c>
      <c r="AH7" t="s">
        <v>218</v>
      </c>
      <c r="AI7" t="s">
        <v>219</v>
      </c>
      <c r="AK7">
        <v>1</v>
      </c>
      <c r="AT7">
        <v>1</v>
      </c>
      <c r="AV7">
        <v>0.25</v>
      </c>
      <c r="BC7" t="str">
        <f t="shared" ref="BC7:BC38" si="1">"enemy_"&amp;E7&amp;"_"&amp;D7</f>
        <v>enemy_1000_gopro</v>
      </c>
      <c r="BL7" t="s">
        <v>210</v>
      </c>
      <c r="BM7" t="s">
        <v>211</v>
      </c>
      <c r="BN7" t="s">
        <v>220</v>
      </c>
      <c r="BO7" t="s">
        <v>213</v>
      </c>
      <c r="BR7">
        <v>1</v>
      </c>
    </row>
    <row r="8" spans="1:70" x14ac:dyDescent="0.25">
      <c r="A8" t="s">
        <v>221</v>
      </c>
      <c r="B8" t="s">
        <v>206</v>
      </c>
      <c r="D8" t="s">
        <v>215</v>
      </c>
      <c r="E8" s="2" t="s">
        <v>216</v>
      </c>
      <c r="F8" t="str">
        <f t="shared" si="0"/>
        <v>enemy_1000_gopro</v>
      </c>
      <c r="G8">
        <v>1</v>
      </c>
      <c r="K8">
        <v>170000</v>
      </c>
      <c r="M8">
        <v>26000</v>
      </c>
      <c r="O8">
        <v>0</v>
      </c>
      <c r="Q8">
        <v>20</v>
      </c>
      <c r="Y8">
        <v>0.05</v>
      </c>
      <c r="Z8">
        <v>1</v>
      </c>
      <c r="AB8">
        <v>1.9</v>
      </c>
      <c r="AF8">
        <v>1</v>
      </c>
      <c r="AG8" t="s">
        <v>221</v>
      </c>
      <c r="AH8" t="s">
        <v>218</v>
      </c>
      <c r="AI8" t="s">
        <v>222</v>
      </c>
      <c r="AK8">
        <v>1</v>
      </c>
      <c r="AT8">
        <v>1</v>
      </c>
      <c r="AV8">
        <v>0.25</v>
      </c>
      <c r="BC8" t="str">
        <f t="shared" si="1"/>
        <v>enemy_1000_gopro</v>
      </c>
      <c r="BL8" t="s">
        <v>210</v>
      </c>
      <c r="BM8" t="s">
        <v>211</v>
      </c>
      <c r="BN8" t="s">
        <v>220</v>
      </c>
      <c r="BO8" t="s">
        <v>213</v>
      </c>
      <c r="BR8">
        <v>1</v>
      </c>
    </row>
    <row r="9" spans="1:70" x14ac:dyDescent="0.25">
      <c r="A9" t="s">
        <v>223</v>
      </c>
      <c r="B9" t="s">
        <v>206</v>
      </c>
      <c r="D9" t="s">
        <v>224</v>
      </c>
      <c r="E9" s="2" t="s">
        <v>225</v>
      </c>
      <c r="F9" t="str">
        <f t="shared" si="0"/>
        <v>enemy_1006_shield_2</v>
      </c>
      <c r="G9">
        <v>1</v>
      </c>
      <c r="K9">
        <v>6000</v>
      </c>
      <c r="M9">
        <v>600</v>
      </c>
      <c r="O9">
        <v>800</v>
      </c>
      <c r="Q9">
        <v>0</v>
      </c>
      <c r="Y9">
        <v>0.05</v>
      </c>
      <c r="Z9">
        <v>1</v>
      </c>
      <c r="AA9">
        <v>1</v>
      </c>
      <c r="AB9">
        <v>0.75</v>
      </c>
      <c r="AF9">
        <v>1</v>
      </c>
      <c r="AG9" t="s">
        <v>226</v>
      </c>
      <c r="AH9" t="s">
        <v>209</v>
      </c>
      <c r="AI9" t="s">
        <v>219</v>
      </c>
      <c r="AK9">
        <v>1</v>
      </c>
      <c r="AT9">
        <v>1</v>
      </c>
      <c r="AV9">
        <v>0.25</v>
      </c>
      <c r="BC9" t="str">
        <f t="shared" si="1"/>
        <v>enemy_1006_shield_2</v>
      </c>
      <c r="BL9" t="s">
        <v>210</v>
      </c>
      <c r="BM9" t="s">
        <v>211</v>
      </c>
      <c r="BN9" t="s">
        <v>212</v>
      </c>
      <c r="BO9" t="s">
        <v>213</v>
      </c>
      <c r="BR9">
        <v>1</v>
      </c>
    </row>
    <row r="10" spans="1:70" x14ac:dyDescent="0.25">
      <c r="A10" t="s">
        <v>227</v>
      </c>
      <c r="B10" t="s">
        <v>206</v>
      </c>
      <c r="D10" t="s">
        <v>215</v>
      </c>
      <c r="E10" s="2" t="s">
        <v>216</v>
      </c>
      <c r="F10" t="str">
        <f t="shared" si="0"/>
        <v>enemy_1000_gopro</v>
      </c>
      <c r="G10">
        <v>1</v>
      </c>
      <c r="K10">
        <v>1700</v>
      </c>
      <c r="M10">
        <v>260</v>
      </c>
      <c r="O10">
        <v>0</v>
      </c>
      <c r="Q10">
        <v>20</v>
      </c>
      <c r="Y10">
        <v>0.05</v>
      </c>
      <c r="Z10">
        <v>1</v>
      </c>
      <c r="AB10">
        <v>1.9</v>
      </c>
      <c r="AF10">
        <v>1</v>
      </c>
      <c r="AG10" t="s">
        <v>227</v>
      </c>
      <c r="AH10" t="s">
        <v>218</v>
      </c>
      <c r="AI10" t="s">
        <v>219</v>
      </c>
      <c r="AK10">
        <v>1</v>
      </c>
      <c r="AT10">
        <v>1</v>
      </c>
      <c r="AV10">
        <v>0.25</v>
      </c>
      <c r="BC10" t="str">
        <f t="shared" si="1"/>
        <v>enemy_1000_gopro</v>
      </c>
      <c r="BL10" t="s">
        <v>210</v>
      </c>
      <c r="BM10" t="s">
        <v>211</v>
      </c>
      <c r="BN10" t="s">
        <v>220</v>
      </c>
      <c r="BO10" t="s">
        <v>213</v>
      </c>
      <c r="BR10">
        <v>1</v>
      </c>
    </row>
    <row r="11" spans="1:70" x14ac:dyDescent="0.25">
      <c r="A11" t="s">
        <v>228</v>
      </c>
      <c r="B11" t="s">
        <v>206</v>
      </c>
      <c r="D11" t="s">
        <v>229</v>
      </c>
      <c r="E11" s="2" t="s">
        <v>230</v>
      </c>
      <c r="F11" t="str">
        <f t="shared" ref="F11" si="2">"enemy_"&amp;E11&amp;"_"&amp;D11</f>
        <v>enemy_1015_litamr_2</v>
      </c>
      <c r="G11">
        <v>1</v>
      </c>
      <c r="K11">
        <v>3700</v>
      </c>
      <c r="M11">
        <v>600</v>
      </c>
      <c r="O11">
        <v>500</v>
      </c>
      <c r="Q11">
        <v>0</v>
      </c>
      <c r="Y11">
        <v>0.05</v>
      </c>
      <c r="Z11">
        <v>2</v>
      </c>
      <c r="AA11">
        <v>1</v>
      </c>
      <c r="AB11">
        <v>1</v>
      </c>
      <c r="AF11">
        <v>1</v>
      </c>
      <c r="AG11" t="s">
        <v>228</v>
      </c>
      <c r="AH11" t="s">
        <v>218</v>
      </c>
      <c r="AI11" t="s">
        <v>231</v>
      </c>
      <c r="AK11">
        <v>1</v>
      </c>
      <c r="AT11">
        <v>1</v>
      </c>
      <c r="AV11">
        <v>0.25</v>
      </c>
      <c r="BC11" t="str">
        <f t="shared" si="1"/>
        <v>enemy_1015_litamr_2</v>
      </c>
      <c r="BL11" t="s">
        <v>210</v>
      </c>
      <c r="BM11" t="s">
        <v>211</v>
      </c>
      <c r="BN11" t="s">
        <v>232</v>
      </c>
      <c r="BO11" t="s">
        <v>213</v>
      </c>
      <c r="BR11">
        <v>1</v>
      </c>
    </row>
    <row r="12" spans="1:70" x14ac:dyDescent="0.25">
      <c r="A12" t="s">
        <v>233</v>
      </c>
      <c r="B12" t="s">
        <v>206</v>
      </c>
      <c r="D12" t="s">
        <v>234</v>
      </c>
      <c r="E12" s="2" t="s">
        <v>235</v>
      </c>
      <c r="F12" t="str">
        <f t="shared" ref="F12:F15" si="3">"enemy_"&amp;E12&amp;"_"&amp;D12</f>
        <v>enemy_1510_frstar2</v>
      </c>
      <c r="G12">
        <v>1</v>
      </c>
      <c r="K12">
        <v>45000</v>
      </c>
      <c r="M12">
        <v>530</v>
      </c>
      <c r="O12">
        <v>440</v>
      </c>
      <c r="Q12">
        <v>50</v>
      </c>
      <c r="Y12">
        <v>0.05</v>
      </c>
      <c r="Z12">
        <v>1</v>
      </c>
      <c r="AA12">
        <v>6</v>
      </c>
      <c r="AB12">
        <v>0.5</v>
      </c>
      <c r="AF12">
        <v>1</v>
      </c>
      <c r="AG12" t="s">
        <v>233</v>
      </c>
      <c r="AH12" t="s">
        <v>236</v>
      </c>
      <c r="AI12" t="s">
        <v>237</v>
      </c>
      <c r="AK12">
        <v>4</v>
      </c>
      <c r="AT12">
        <v>2</v>
      </c>
      <c r="AV12">
        <v>0.25</v>
      </c>
      <c r="BC12" t="str">
        <f t="shared" si="1"/>
        <v>enemy_1510_frstar2</v>
      </c>
      <c r="BL12" t="s">
        <v>210</v>
      </c>
      <c r="BM12" t="s">
        <v>211</v>
      </c>
      <c r="BN12" t="s">
        <v>232</v>
      </c>
      <c r="BO12" t="s">
        <v>213</v>
      </c>
      <c r="BR12">
        <v>1</v>
      </c>
    </row>
    <row r="13" spans="1:70" x14ac:dyDescent="0.25">
      <c r="A13" t="s">
        <v>238</v>
      </c>
      <c r="B13" t="s">
        <v>206</v>
      </c>
      <c r="D13" t="s">
        <v>239</v>
      </c>
      <c r="E13" s="2" t="s">
        <v>240</v>
      </c>
      <c r="F13" t="str">
        <f t="shared" si="3"/>
        <v>enemy_1064_snsbr</v>
      </c>
      <c r="G13">
        <v>1</v>
      </c>
      <c r="K13">
        <v>5000</v>
      </c>
      <c r="M13">
        <v>380</v>
      </c>
      <c r="O13">
        <v>135</v>
      </c>
      <c r="Q13">
        <v>0</v>
      </c>
      <c r="Y13">
        <v>0.05</v>
      </c>
      <c r="Z13">
        <v>2</v>
      </c>
      <c r="AA13">
        <v>1</v>
      </c>
      <c r="AB13">
        <v>1.1000000000000001</v>
      </c>
      <c r="AF13">
        <v>1</v>
      </c>
      <c r="AG13" t="s">
        <v>238</v>
      </c>
      <c r="AH13" t="s">
        <v>209</v>
      </c>
      <c r="AI13" t="s">
        <v>241</v>
      </c>
      <c r="AK13">
        <v>1</v>
      </c>
      <c r="AT13">
        <v>1</v>
      </c>
      <c r="AV13">
        <v>0.25</v>
      </c>
      <c r="BC13" t="str">
        <f t="shared" si="1"/>
        <v>enemy_1064_snsbr</v>
      </c>
      <c r="BL13" t="s">
        <v>210</v>
      </c>
      <c r="BM13" t="s">
        <v>211</v>
      </c>
      <c r="BN13" t="s">
        <v>242</v>
      </c>
      <c r="BO13" t="s">
        <v>213</v>
      </c>
      <c r="BR13">
        <v>1</v>
      </c>
    </row>
    <row r="14" spans="1:70" x14ac:dyDescent="0.25">
      <c r="A14" t="s">
        <v>243</v>
      </c>
      <c r="B14" t="s">
        <v>206</v>
      </c>
      <c r="D14" t="s">
        <v>244</v>
      </c>
      <c r="E14" s="2" t="s">
        <v>245</v>
      </c>
      <c r="F14" t="str">
        <f t="shared" si="3"/>
        <v>enemy_1065_snwolf_2</v>
      </c>
      <c r="G14">
        <v>1</v>
      </c>
      <c r="K14">
        <v>4650</v>
      </c>
      <c r="M14">
        <v>430</v>
      </c>
      <c r="O14">
        <v>0</v>
      </c>
      <c r="Q14">
        <v>30</v>
      </c>
      <c r="Y14">
        <v>0.05</v>
      </c>
      <c r="Z14">
        <v>1</v>
      </c>
      <c r="AB14">
        <v>1.9</v>
      </c>
      <c r="AF14">
        <v>1</v>
      </c>
      <c r="AG14" t="s">
        <v>246</v>
      </c>
      <c r="AH14" t="s">
        <v>247</v>
      </c>
      <c r="AI14" t="s">
        <v>219</v>
      </c>
      <c r="AK14">
        <v>1</v>
      </c>
      <c r="AT14">
        <v>1</v>
      </c>
      <c r="AV14">
        <v>0.25</v>
      </c>
      <c r="BC14" t="str">
        <f t="shared" si="1"/>
        <v>enemy_1065_snwolf_2</v>
      </c>
      <c r="BL14" t="s">
        <v>210</v>
      </c>
      <c r="BM14" t="s">
        <v>211</v>
      </c>
      <c r="BN14" t="s">
        <v>242</v>
      </c>
      <c r="BO14" t="s">
        <v>213</v>
      </c>
      <c r="BR14">
        <v>1</v>
      </c>
    </row>
    <row r="15" spans="1:70" x14ac:dyDescent="0.25">
      <c r="A15" t="s">
        <v>248</v>
      </c>
      <c r="B15" t="s">
        <v>206</v>
      </c>
      <c r="D15" t="s">
        <v>249</v>
      </c>
      <c r="E15" s="2" t="s">
        <v>250</v>
      </c>
      <c r="F15" t="str">
        <f t="shared" si="3"/>
        <v>enemy_1067_snslime_2</v>
      </c>
      <c r="G15">
        <v>1</v>
      </c>
      <c r="K15">
        <v>4850</v>
      </c>
      <c r="M15">
        <v>370</v>
      </c>
      <c r="O15">
        <v>0</v>
      </c>
      <c r="Q15">
        <v>0</v>
      </c>
      <c r="Y15">
        <v>0.05</v>
      </c>
      <c r="Z15">
        <v>1</v>
      </c>
      <c r="AB15">
        <v>1</v>
      </c>
      <c r="AF15">
        <v>1</v>
      </c>
      <c r="AG15" t="s">
        <v>251</v>
      </c>
      <c r="AH15" t="s">
        <v>252</v>
      </c>
      <c r="AI15" t="s">
        <v>253</v>
      </c>
      <c r="AK15">
        <v>1</v>
      </c>
      <c r="AT15">
        <v>1</v>
      </c>
      <c r="AV15">
        <v>0.25</v>
      </c>
      <c r="BC15" t="str">
        <f t="shared" si="1"/>
        <v>enemy_1067_snslime_2</v>
      </c>
      <c r="BL15" t="s">
        <v>210</v>
      </c>
      <c r="BM15" t="s">
        <v>211</v>
      </c>
      <c r="BN15" t="s">
        <v>232</v>
      </c>
      <c r="BO15" t="s">
        <v>213</v>
      </c>
      <c r="BR15">
        <v>1</v>
      </c>
    </row>
    <row r="16" spans="1:70" x14ac:dyDescent="0.25">
      <c r="A16" t="s">
        <v>254</v>
      </c>
      <c r="B16" t="s">
        <v>206</v>
      </c>
      <c r="D16" t="s">
        <v>255</v>
      </c>
      <c r="E16" s="2" t="s">
        <v>256</v>
      </c>
      <c r="F16" t="str">
        <f t="shared" ref="F16" si="4">"enemy_"&amp;E16&amp;"_"&amp;D16</f>
        <v>enemy_1068_snmage_2</v>
      </c>
      <c r="G16">
        <v>1</v>
      </c>
      <c r="K16">
        <v>8000</v>
      </c>
      <c r="M16">
        <v>400</v>
      </c>
      <c r="O16">
        <v>250</v>
      </c>
      <c r="Q16">
        <v>50</v>
      </c>
      <c r="Y16">
        <v>0.05</v>
      </c>
      <c r="Z16">
        <v>1</v>
      </c>
      <c r="AA16">
        <v>2</v>
      </c>
      <c r="AB16">
        <v>0.8</v>
      </c>
      <c r="AF16">
        <v>1</v>
      </c>
      <c r="AG16" t="s">
        <v>257</v>
      </c>
      <c r="AH16" t="s">
        <v>236</v>
      </c>
      <c r="AI16" t="s">
        <v>258</v>
      </c>
      <c r="AK16">
        <v>1</v>
      </c>
      <c r="AT16">
        <v>1</v>
      </c>
      <c r="AV16">
        <v>0.25</v>
      </c>
      <c r="BC16" t="str">
        <f t="shared" si="1"/>
        <v>enemy_1068_snmage_2</v>
      </c>
      <c r="BL16" t="s">
        <v>210</v>
      </c>
      <c r="BM16" t="s">
        <v>211</v>
      </c>
      <c r="BN16" t="s">
        <v>232</v>
      </c>
      <c r="BO16" t="s">
        <v>213</v>
      </c>
      <c r="BR16">
        <v>1</v>
      </c>
    </row>
    <row r="17" spans="1:70" x14ac:dyDescent="0.25">
      <c r="A17" t="s">
        <v>259</v>
      </c>
      <c r="B17" t="s">
        <v>206</v>
      </c>
      <c r="D17" t="s">
        <v>260</v>
      </c>
      <c r="E17" s="2" t="s">
        <v>261</v>
      </c>
      <c r="F17" t="str">
        <f t="shared" ref="F17:F19" si="5">"enemy_"&amp;E17&amp;"_"&amp;D17</f>
        <v>enemy_1066_snbow_2</v>
      </c>
      <c r="G17">
        <v>1</v>
      </c>
      <c r="K17">
        <v>3500</v>
      </c>
      <c r="M17">
        <v>360</v>
      </c>
      <c r="O17">
        <v>100</v>
      </c>
      <c r="Q17">
        <v>0</v>
      </c>
      <c r="Y17">
        <v>0.05</v>
      </c>
      <c r="Z17">
        <v>1</v>
      </c>
      <c r="AA17">
        <v>2</v>
      </c>
      <c r="AB17">
        <v>0.9</v>
      </c>
      <c r="AF17">
        <v>1</v>
      </c>
      <c r="AG17" t="s">
        <v>262</v>
      </c>
      <c r="AH17" t="s">
        <v>218</v>
      </c>
      <c r="AI17" t="s">
        <v>263</v>
      </c>
      <c r="AK17">
        <v>1</v>
      </c>
      <c r="AT17">
        <v>1</v>
      </c>
      <c r="AV17">
        <v>0.25</v>
      </c>
      <c r="BC17" t="str">
        <f t="shared" si="1"/>
        <v>enemy_1066_snbow_2</v>
      </c>
      <c r="BL17" t="s">
        <v>210</v>
      </c>
      <c r="BM17" t="s">
        <v>211</v>
      </c>
      <c r="BN17" t="s">
        <v>232</v>
      </c>
      <c r="BO17" t="s">
        <v>213</v>
      </c>
      <c r="BR17">
        <v>1</v>
      </c>
    </row>
    <row r="18" spans="1:70" x14ac:dyDescent="0.25">
      <c r="A18" t="s">
        <v>264</v>
      </c>
      <c r="B18" t="s">
        <v>206</v>
      </c>
      <c r="D18" t="s">
        <v>265</v>
      </c>
      <c r="E18" s="2" t="s">
        <v>266</v>
      </c>
      <c r="F18" t="str">
        <f t="shared" ref="F18" si="6">"enemy_"&amp;E18&amp;"_"&amp;D18</f>
        <v>enemy_1069_icebrk_2</v>
      </c>
      <c r="G18">
        <v>1</v>
      </c>
      <c r="K18">
        <v>25000</v>
      </c>
      <c r="M18">
        <v>1100</v>
      </c>
      <c r="O18">
        <v>600</v>
      </c>
      <c r="Q18">
        <v>20</v>
      </c>
      <c r="Y18">
        <v>0.05</v>
      </c>
      <c r="Z18">
        <v>1</v>
      </c>
      <c r="AA18">
        <v>3</v>
      </c>
      <c r="AB18">
        <v>0.7</v>
      </c>
      <c r="AF18">
        <v>1</v>
      </c>
      <c r="AG18" t="s">
        <v>267</v>
      </c>
      <c r="AH18" t="s">
        <v>268</v>
      </c>
      <c r="AI18" t="s">
        <v>269</v>
      </c>
      <c r="AK18">
        <v>1</v>
      </c>
      <c r="AT18">
        <v>1</v>
      </c>
      <c r="AV18">
        <v>0.25</v>
      </c>
      <c r="BC18" t="str">
        <f t="shared" si="1"/>
        <v>enemy_1069_icebrk_2</v>
      </c>
      <c r="BL18" t="s">
        <v>210</v>
      </c>
      <c r="BM18" t="s">
        <v>211</v>
      </c>
      <c r="BN18" t="s">
        <v>232</v>
      </c>
      <c r="BO18" t="s">
        <v>213</v>
      </c>
      <c r="BR18">
        <v>1</v>
      </c>
    </row>
    <row r="19" spans="1:70" x14ac:dyDescent="0.25">
      <c r="A19" t="s">
        <v>270</v>
      </c>
      <c r="B19" t="s">
        <v>206</v>
      </c>
      <c r="D19" t="s">
        <v>271</v>
      </c>
      <c r="E19" s="2" t="s">
        <v>272</v>
      </c>
      <c r="F19" t="str">
        <f t="shared" si="5"/>
        <v>enemy_1024_mortar_2</v>
      </c>
      <c r="G19">
        <v>1</v>
      </c>
      <c r="K19">
        <v>5000</v>
      </c>
      <c r="M19">
        <v>550</v>
      </c>
      <c r="O19">
        <v>150</v>
      </c>
      <c r="Q19">
        <v>0</v>
      </c>
      <c r="Y19">
        <v>0.05</v>
      </c>
      <c r="Z19">
        <v>1</v>
      </c>
      <c r="AA19">
        <v>2</v>
      </c>
      <c r="AB19">
        <v>0.8</v>
      </c>
      <c r="AF19">
        <v>1</v>
      </c>
      <c r="AG19" t="s">
        <v>270</v>
      </c>
      <c r="AH19" t="s">
        <v>252</v>
      </c>
      <c r="AI19" t="s">
        <v>273</v>
      </c>
      <c r="AK19">
        <v>1</v>
      </c>
      <c r="AT19">
        <v>1</v>
      </c>
      <c r="AV19">
        <v>0.25</v>
      </c>
      <c r="BC19" t="str">
        <f t="shared" si="1"/>
        <v>enemy_1024_mortar_2</v>
      </c>
      <c r="BL19" t="s">
        <v>210</v>
      </c>
      <c r="BM19" t="s">
        <v>274</v>
      </c>
      <c r="BN19" t="s">
        <v>232</v>
      </c>
      <c r="BO19" t="s">
        <v>213</v>
      </c>
      <c r="BR19">
        <v>1</v>
      </c>
    </row>
    <row r="20" spans="1:70" x14ac:dyDescent="0.25">
      <c r="A20" t="s">
        <v>275</v>
      </c>
      <c r="B20" t="s">
        <v>206</v>
      </c>
      <c r="D20" t="s">
        <v>276</v>
      </c>
      <c r="E20" s="2" t="s">
        <v>277</v>
      </c>
      <c r="F20" t="str">
        <f t="shared" ref="F20:F21" si="7">"enemy_"&amp;E20&amp;"_"&amp;D20</f>
        <v>enemy_1005_yokai</v>
      </c>
      <c r="G20">
        <v>0.5</v>
      </c>
      <c r="K20">
        <v>800</v>
      </c>
      <c r="M20">
        <v>0</v>
      </c>
      <c r="O20">
        <v>50</v>
      </c>
      <c r="Q20">
        <v>0</v>
      </c>
      <c r="Y20">
        <v>0.05</v>
      </c>
      <c r="Z20">
        <v>2.2999999999999998</v>
      </c>
      <c r="AA20">
        <v>0</v>
      </c>
      <c r="AB20">
        <v>0.9</v>
      </c>
      <c r="AF20">
        <v>1</v>
      </c>
      <c r="AG20" t="s">
        <v>278</v>
      </c>
      <c r="AH20" t="s">
        <v>209</v>
      </c>
      <c r="AK20">
        <v>1</v>
      </c>
      <c r="AL20">
        <v>1</v>
      </c>
      <c r="AT20">
        <v>1</v>
      </c>
      <c r="AV20">
        <v>0.25</v>
      </c>
      <c r="BC20" t="str">
        <f t="shared" si="1"/>
        <v>enemy_1005_yokai</v>
      </c>
      <c r="BL20" t="s">
        <v>210</v>
      </c>
      <c r="BM20" t="s">
        <v>211</v>
      </c>
      <c r="BN20" t="s">
        <v>212</v>
      </c>
      <c r="BO20" t="s">
        <v>213</v>
      </c>
      <c r="BR20">
        <v>1</v>
      </c>
    </row>
    <row r="21" spans="1:70" x14ac:dyDescent="0.25">
      <c r="A21" t="s">
        <v>279</v>
      </c>
      <c r="B21" t="s">
        <v>206</v>
      </c>
      <c r="D21" t="s">
        <v>276</v>
      </c>
      <c r="E21" s="2" t="s">
        <v>277</v>
      </c>
      <c r="F21" t="str">
        <f t="shared" si="7"/>
        <v>enemy_1005_yokai</v>
      </c>
      <c r="G21">
        <v>0.5</v>
      </c>
      <c r="K21">
        <v>1550</v>
      </c>
      <c r="M21">
        <v>220</v>
      </c>
      <c r="O21">
        <v>50</v>
      </c>
      <c r="Q21">
        <v>0</v>
      </c>
      <c r="Y21">
        <v>0.05</v>
      </c>
      <c r="Z21">
        <v>3</v>
      </c>
      <c r="AA21">
        <v>0</v>
      </c>
      <c r="AB21">
        <v>0.9</v>
      </c>
      <c r="AF21">
        <v>1</v>
      </c>
      <c r="AG21" t="s">
        <v>280</v>
      </c>
      <c r="AH21" t="s">
        <v>209</v>
      </c>
      <c r="AI21" t="s">
        <v>281</v>
      </c>
      <c r="AK21">
        <v>1</v>
      </c>
      <c r="AL21">
        <v>1</v>
      </c>
      <c r="AT21">
        <v>1</v>
      </c>
      <c r="AV21">
        <v>0.25</v>
      </c>
      <c r="BC21" t="str">
        <f t="shared" si="1"/>
        <v>enemy_1005_yokai</v>
      </c>
      <c r="BL21" t="s">
        <v>210</v>
      </c>
      <c r="BM21" t="s">
        <v>211</v>
      </c>
      <c r="BN21" t="s">
        <v>212</v>
      </c>
      <c r="BO21" t="s">
        <v>213</v>
      </c>
      <c r="BR21">
        <v>1</v>
      </c>
    </row>
    <row r="22" spans="1:70" x14ac:dyDescent="0.25">
      <c r="A22" t="s">
        <v>282</v>
      </c>
      <c r="B22" t="s">
        <v>206</v>
      </c>
      <c r="D22" t="s">
        <v>283</v>
      </c>
      <c r="E22" s="2" t="s">
        <v>284</v>
      </c>
      <c r="F22" t="str">
        <f t="shared" ref="F22" si="8">"enemy_"&amp;E22&amp;"_"&amp;D22</f>
        <v>enemy_1502_crowns</v>
      </c>
      <c r="G22">
        <v>1</v>
      </c>
      <c r="K22">
        <v>6000</v>
      </c>
      <c r="M22">
        <v>400</v>
      </c>
      <c r="O22">
        <v>120</v>
      </c>
      <c r="Q22">
        <v>50</v>
      </c>
      <c r="Y22">
        <v>0.05</v>
      </c>
      <c r="Z22">
        <v>2.8</v>
      </c>
      <c r="AA22">
        <v>1</v>
      </c>
      <c r="AB22">
        <v>1.4</v>
      </c>
      <c r="AF22">
        <v>1</v>
      </c>
      <c r="AG22" t="s">
        <v>282</v>
      </c>
      <c r="AH22" t="s">
        <v>236</v>
      </c>
      <c r="AI22" t="s">
        <v>285</v>
      </c>
      <c r="AK22">
        <v>5</v>
      </c>
      <c r="AT22">
        <v>2</v>
      </c>
      <c r="AV22">
        <v>0.25</v>
      </c>
      <c r="BC22" t="str">
        <f t="shared" si="1"/>
        <v>enemy_1502_crowns</v>
      </c>
      <c r="BL22" t="s">
        <v>210</v>
      </c>
      <c r="BM22" t="s">
        <v>211</v>
      </c>
      <c r="BN22" t="s">
        <v>232</v>
      </c>
      <c r="BO22" t="s">
        <v>213</v>
      </c>
      <c r="BR22">
        <v>1</v>
      </c>
    </row>
    <row r="23" spans="1:70" x14ac:dyDescent="0.25">
      <c r="E23" s="2"/>
      <c r="BC23" t="str">
        <f t="shared" si="1"/>
        <v>enemy__</v>
      </c>
    </row>
    <row r="24" spans="1:70" x14ac:dyDescent="0.25">
      <c r="A24" t="s">
        <v>286</v>
      </c>
      <c r="B24" t="s">
        <v>206</v>
      </c>
      <c r="D24" t="s">
        <v>287</v>
      </c>
      <c r="E24" s="2" t="s">
        <v>230</v>
      </c>
      <c r="F24" t="str">
        <f t="shared" ref="F24" si="9">"enemy_"&amp;E24&amp;"_"&amp;D24</f>
        <v>enemy_1015_litamr</v>
      </c>
      <c r="G24">
        <v>1</v>
      </c>
      <c r="K24">
        <v>2500</v>
      </c>
      <c r="M24">
        <v>250</v>
      </c>
      <c r="O24">
        <v>400</v>
      </c>
      <c r="Q24">
        <v>0</v>
      </c>
      <c r="Y24">
        <v>0.05</v>
      </c>
      <c r="Z24">
        <v>2</v>
      </c>
      <c r="AA24">
        <v>1</v>
      </c>
      <c r="AB24">
        <v>1</v>
      </c>
      <c r="AF24">
        <v>1</v>
      </c>
      <c r="AG24" t="s">
        <v>286</v>
      </c>
      <c r="AH24" t="s">
        <v>218</v>
      </c>
      <c r="AI24" t="s">
        <v>231</v>
      </c>
      <c r="AK24">
        <v>1</v>
      </c>
      <c r="AT24">
        <v>1</v>
      </c>
      <c r="AV24">
        <v>0.25</v>
      </c>
      <c r="BC24" t="str">
        <f t="shared" si="1"/>
        <v>enemy_1015_litamr</v>
      </c>
      <c r="BL24" t="s">
        <v>210</v>
      </c>
      <c r="BM24" t="s">
        <v>211</v>
      </c>
      <c r="BN24" t="s">
        <v>232</v>
      </c>
      <c r="BO24" t="s">
        <v>213</v>
      </c>
      <c r="BR24">
        <v>1</v>
      </c>
    </row>
    <row r="25" spans="1:70" x14ac:dyDescent="0.25">
      <c r="A25" t="s">
        <v>288</v>
      </c>
      <c r="B25" t="s">
        <v>206</v>
      </c>
      <c r="D25" t="s">
        <v>289</v>
      </c>
      <c r="E25" s="2" t="s">
        <v>290</v>
      </c>
      <c r="F25" t="str">
        <f t="shared" ref="F25" si="10">"enemy_"&amp;E25&amp;"_"&amp;D25</f>
        <v>enemy_1035_haxe</v>
      </c>
      <c r="G25">
        <v>1</v>
      </c>
      <c r="K25">
        <v>12000</v>
      </c>
      <c r="M25">
        <v>1050</v>
      </c>
      <c r="O25">
        <v>700</v>
      </c>
      <c r="Q25">
        <v>30</v>
      </c>
      <c r="Y25">
        <v>0.05</v>
      </c>
      <c r="Z25">
        <v>3.5</v>
      </c>
      <c r="AA25">
        <v>3</v>
      </c>
      <c r="AB25">
        <v>0.65</v>
      </c>
      <c r="AF25">
        <v>1</v>
      </c>
      <c r="AG25" t="s">
        <v>288</v>
      </c>
      <c r="AH25" t="s">
        <v>268</v>
      </c>
      <c r="AI25" t="s">
        <v>231</v>
      </c>
      <c r="AK25">
        <v>1</v>
      </c>
      <c r="AT25">
        <v>1</v>
      </c>
      <c r="AV25">
        <v>0.25</v>
      </c>
      <c r="BC25" t="str">
        <f t="shared" si="1"/>
        <v>enemy_1035_haxe</v>
      </c>
      <c r="BL25" t="s">
        <v>210</v>
      </c>
      <c r="BM25" t="s">
        <v>211</v>
      </c>
      <c r="BN25" t="s">
        <v>232</v>
      </c>
      <c r="BO25" t="s">
        <v>213</v>
      </c>
      <c r="BR25">
        <v>1</v>
      </c>
    </row>
    <row r="26" spans="1:70" x14ac:dyDescent="0.25">
      <c r="A26" t="s">
        <v>291</v>
      </c>
      <c r="B26" t="s">
        <v>206</v>
      </c>
      <c r="D26" t="s">
        <v>292</v>
      </c>
      <c r="E26" s="2" t="s">
        <v>293</v>
      </c>
      <c r="F26" t="str">
        <f t="shared" ref="F26" si="11">"enemy_"&amp;E26&amp;"_"&amp;D26</f>
        <v>enemy_1025_reveng</v>
      </c>
      <c r="G26">
        <v>1</v>
      </c>
      <c r="K26">
        <v>5000</v>
      </c>
      <c r="M26">
        <v>300</v>
      </c>
      <c r="O26">
        <v>200</v>
      </c>
      <c r="Q26">
        <v>50</v>
      </c>
      <c r="Y26">
        <v>0.05</v>
      </c>
      <c r="Z26">
        <v>2.2999999999999998</v>
      </c>
      <c r="AA26">
        <v>2</v>
      </c>
      <c r="AB26">
        <v>0.65</v>
      </c>
      <c r="AF26">
        <v>1</v>
      </c>
      <c r="AG26" t="s">
        <v>291</v>
      </c>
      <c r="AH26" t="s">
        <v>268</v>
      </c>
      <c r="AI26" t="s">
        <v>294</v>
      </c>
      <c r="AK26">
        <v>1</v>
      </c>
      <c r="AT26">
        <v>1</v>
      </c>
      <c r="AV26">
        <v>0.25</v>
      </c>
      <c r="BC26" t="str">
        <f t="shared" si="1"/>
        <v>enemy_1025_reveng</v>
      </c>
      <c r="BL26" t="s">
        <v>210</v>
      </c>
      <c r="BM26" t="s">
        <v>211</v>
      </c>
      <c r="BN26" t="s">
        <v>232</v>
      </c>
      <c r="BO26" t="s">
        <v>213</v>
      </c>
      <c r="BR26">
        <v>1</v>
      </c>
    </row>
    <row r="27" spans="1:70" x14ac:dyDescent="0.25">
      <c r="A27" t="s">
        <v>295</v>
      </c>
      <c r="B27" t="s">
        <v>206</v>
      </c>
      <c r="D27" t="s">
        <v>296</v>
      </c>
      <c r="E27" s="2" t="s">
        <v>293</v>
      </c>
      <c r="F27" t="str">
        <f t="shared" ref="F27:F28" si="12">"enemy_"&amp;E27&amp;"_"&amp;D27</f>
        <v>enemy_1025_reveng_2</v>
      </c>
      <c r="G27">
        <v>1</v>
      </c>
      <c r="K27">
        <v>18000</v>
      </c>
      <c r="M27">
        <v>480</v>
      </c>
      <c r="O27">
        <v>230</v>
      </c>
      <c r="Q27">
        <v>50</v>
      </c>
      <c r="Y27">
        <v>0.05</v>
      </c>
      <c r="Z27">
        <v>2.2999999999999998</v>
      </c>
      <c r="AA27">
        <v>2</v>
      </c>
      <c r="AB27">
        <v>0.65</v>
      </c>
      <c r="AF27">
        <v>1</v>
      </c>
      <c r="AG27" t="s">
        <v>295</v>
      </c>
      <c r="AH27" t="s">
        <v>268</v>
      </c>
      <c r="AI27" t="s">
        <v>297</v>
      </c>
      <c r="AK27">
        <v>1</v>
      </c>
      <c r="AT27">
        <v>1</v>
      </c>
      <c r="AV27">
        <v>0.25</v>
      </c>
      <c r="BC27" t="str">
        <f t="shared" si="1"/>
        <v>enemy_1025_reveng_2</v>
      </c>
      <c r="BL27" t="s">
        <v>210</v>
      </c>
      <c r="BM27" t="s">
        <v>211</v>
      </c>
      <c r="BN27" t="s">
        <v>232</v>
      </c>
      <c r="BO27" t="s">
        <v>213</v>
      </c>
      <c r="BR27">
        <v>1</v>
      </c>
    </row>
    <row r="28" spans="1:70" x14ac:dyDescent="0.25">
      <c r="A28" t="s">
        <v>298</v>
      </c>
      <c r="B28" t="s">
        <v>206</v>
      </c>
      <c r="D28" t="s">
        <v>299</v>
      </c>
      <c r="E28" s="2" t="s">
        <v>225</v>
      </c>
      <c r="F28" t="str">
        <f t="shared" si="12"/>
        <v>enemy_1006_shield</v>
      </c>
      <c r="G28">
        <v>1</v>
      </c>
      <c r="K28">
        <v>6000</v>
      </c>
      <c r="M28">
        <v>600</v>
      </c>
      <c r="O28">
        <v>800</v>
      </c>
      <c r="Q28">
        <v>0</v>
      </c>
      <c r="Y28">
        <v>0.05</v>
      </c>
      <c r="Z28">
        <v>2.6</v>
      </c>
      <c r="AA28">
        <v>3</v>
      </c>
      <c r="AB28">
        <v>0.75</v>
      </c>
      <c r="AF28">
        <v>1</v>
      </c>
      <c r="AG28" t="s">
        <v>298</v>
      </c>
      <c r="AH28" t="s">
        <v>209</v>
      </c>
      <c r="AI28" t="s">
        <v>231</v>
      </c>
      <c r="AK28">
        <v>1</v>
      </c>
      <c r="AT28">
        <v>1</v>
      </c>
      <c r="AV28">
        <v>0.25</v>
      </c>
      <c r="BC28" t="str">
        <f t="shared" si="1"/>
        <v>enemy_1006_shield</v>
      </c>
      <c r="BL28" t="s">
        <v>210</v>
      </c>
      <c r="BM28" t="s">
        <v>211</v>
      </c>
      <c r="BN28" t="s">
        <v>212</v>
      </c>
      <c r="BO28" t="s">
        <v>213</v>
      </c>
      <c r="BR28">
        <v>1</v>
      </c>
    </row>
    <row r="29" spans="1:70" x14ac:dyDescent="0.25">
      <c r="A29" t="s">
        <v>300</v>
      </c>
      <c r="B29" t="s">
        <v>206</v>
      </c>
      <c r="D29" t="s">
        <v>301</v>
      </c>
      <c r="E29" s="2" t="s">
        <v>302</v>
      </c>
      <c r="F29" t="str">
        <f t="shared" ref="F29" si="13">"enemy_"&amp;E29&amp;"_"&amp;D29</f>
        <v>enemy_1023_jmage_2</v>
      </c>
      <c r="G29">
        <v>1</v>
      </c>
      <c r="K29">
        <v>4200</v>
      </c>
      <c r="M29">
        <v>400</v>
      </c>
      <c r="O29">
        <v>130</v>
      </c>
      <c r="Q29">
        <v>50</v>
      </c>
      <c r="Y29">
        <v>0.05</v>
      </c>
      <c r="Z29">
        <v>4</v>
      </c>
      <c r="AA29">
        <v>2</v>
      </c>
      <c r="AB29">
        <v>0.8</v>
      </c>
      <c r="AF29">
        <v>1</v>
      </c>
      <c r="AG29" t="s">
        <v>300</v>
      </c>
      <c r="AH29" t="s">
        <v>209</v>
      </c>
      <c r="AI29" t="s">
        <v>303</v>
      </c>
      <c r="AK29">
        <v>1</v>
      </c>
      <c r="AT29">
        <v>1</v>
      </c>
      <c r="AV29">
        <v>0.25</v>
      </c>
      <c r="BC29" t="str">
        <f t="shared" si="1"/>
        <v>enemy_1023_jmage_2</v>
      </c>
      <c r="BL29" t="s">
        <v>210</v>
      </c>
      <c r="BM29" t="s">
        <v>211</v>
      </c>
      <c r="BN29" t="s">
        <v>232</v>
      </c>
      <c r="BO29" t="s">
        <v>213</v>
      </c>
      <c r="BR29">
        <v>1</v>
      </c>
    </row>
    <row r="30" spans="1:70" x14ac:dyDescent="0.25">
      <c r="E30" s="2"/>
      <c r="AF30">
        <v>1</v>
      </c>
      <c r="BC30" t="str">
        <f t="shared" si="1"/>
        <v>enemy__</v>
      </c>
    </row>
    <row r="31" spans="1:70" x14ac:dyDescent="0.25">
      <c r="A31" t="s">
        <v>304</v>
      </c>
      <c r="B31" t="s">
        <v>206</v>
      </c>
      <c r="D31" t="s">
        <v>287</v>
      </c>
      <c r="E31" s="2" t="s">
        <v>230</v>
      </c>
      <c r="F31" t="s">
        <v>305</v>
      </c>
      <c r="G31">
        <v>1</v>
      </c>
      <c r="K31">
        <v>2500</v>
      </c>
      <c r="M31">
        <v>200</v>
      </c>
      <c r="O31">
        <v>400</v>
      </c>
      <c r="Q31">
        <v>0</v>
      </c>
      <c r="Y31">
        <v>0.05</v>
      </c>
      <c r="Z31">
        <v>2</v>
      </c>
      <c r="AA31">
        <v>1</v>
      </c>
      <c r="AB31">
        <v>1</v>
      </c>
      <c r="AF31">
        <v>1</v>
      </c>
      <c r="AG31" t="s">
        <v>304</v>
      </c>
      <c r="AH31" t="s">
        <v>218</v>
      </c>
      <c r="AI31" t="s">
        <v>231</v>
      </c>
      <c r="AK31">
        <v>1</v>
      </c>
      <c r="AT31">
        <v>1</v>
      </c>
      <c r="AV31">
        <v>0.25</v>
      </c>
      <c r="BC31" t="str">
        <f t="shared" si="1"/>
        <v>enemy_1015_litamr</v>
      </c>
      <c r="BL31" t="s">
        <v>210</v>
      </c>
      <c r="BM31" t="s">
        <v>211</v>
      </c>
      <c r="BN31" t="s">
        <v>232</v>
      </c>
      <c r="BO31" t="s">
        <v>213</v>
      </c>
      <c r="BR31">
        <v>1</v>
      </c>
    </row>
    <row r="32" spans="1:70" x14ac:dyDescent="0.25">
      <c r="A32" t="s">
        <v>306</v>
      </c>
      <c r="B32" t="s">
        <v>206</v>
      </c>
      <c r="D32" t="s">
        <v>287</v>
      </c>
      <c r="E32" s="2" t="s">
        <v>230</v>
      </c>
      <c r="F32" t="s">
        <v>307</v>
      </c>
      <c r="G32">
        <v>1</v>
      </c>
      <c r="K32">
        <v>10000</v>
      </c>
      <c r="M32">
        <v>1000</v>
      </c>
      <c r="O32">
        <v>1000</v>
      </c>
      <c r="Q32">
        <v>0</v>
      </c>
      <c r="Y32">
        <v>0.05</v>
      </c>
      <c r="Z32">
        <v>3.5</v>
      </c>
      <c r="AA32">
        <v>4</v>
      </c>
      <c r="AB32">
        <v>0.5</v>
      </c>
      <c r="AF32">
        <v>1</v>
      </c>
      <c r="AG32" t="s">
        <v>306</v>
      </c>
      <c r="AH32" t="s">
        <v>218</v>
      </c>
      <c r="AI32" t="s">
        <v>308</v>
      </c>
      <c r="AK32">
        <v>1</v>
      </c>
      <c r="AT32">
        <v>1</v>
      </c>
      <c r="AV32">
        <v>0.25</v>
      </c>
      <c r="BC32" t="str">
        <f t="shared" si="1"/>
        <v>enemy_1015_litamr</v>
      </c>
      <c r="BL32" t="s">
        <v>210</v>
      </c>
      <c r="BM32" t="s">
        <v>211</v>
      </c>
      <c r="BN32" t="s">
        <v>232</v>
      </c>
      <c r="BO32" t="s">
        <v>213</v>
      </c>
      <c r="BR32">
        <v>1</v>
      </c>
    </row>
    <row r="33" spans="1:70" x14ac:dyDescent="0.25">
      <c r="A33" t="s">
        <v>309</v>
      </c>
      <c r="B33" t="s">
        <v>206</v>
      </c>
      <c r="D33" t="s">
        <v>310</v>
      </c>
      <c r="E33" s="2" t="s">
        <v>311</v>
      </c>
      <c r="F33" t="str">
        <f t="shared" ref="F33:F38" si="14">"enemy_"&amp;E33&amp;"_"&amp;D33</f>
        <v>enemy_1008_ghost</v>
      </c>
      <c r="G33">
        <v>1</v>
      </c>
      <c r="K33">
        <v>2300</v>
      </c>
      <c r="M33">
        <v>100</v>
      </c>
      <c r="O33">
        <v>120</v>
      </c>
      <c r="Q33">
        <v>35</v>
      </c>
      <c r="Y33">
        <v>0.05</v>
      </c>
      <c r="Z33">
        <v>1</v>
      </c>
      <c r="AA33">
        <v>1</v>
      </c>
      <c r="AB33">
        <v>1.2</v>
      </c>
      <c r="AF33">
        <v>1</v>
      </c>
      <c r="AG33" t="s">
        <v>309</v>
      </c>
      <c r="AH33" t="s">
        <v>209</v>
      </c>
      <c r="AI33" t="s">
        <v>312</v>
      </c>
      <c r="AK33">
        <v>1</v>
      </c>
      <c r="AT33">
        <v>1</v>
      </c>
      <c r="AV33">
        <v>0.25</v>
      </c>
      <c r="BC33" t="str">
        <f t="shared" si="1"/>
        <v>enemy_1008_ghost</v>
      </c>
      <c r="BL33" t="s">
        <v>210</v>
      </c>
      <c r="BM33" t="s">
        <v>211</v>
      </c>
      <c r="BN33" t="s">
        <v>212</v>
      </c>
      <c r="BO33" t="s">
        <v>213</v>
      </c>
      <c r="BR33">
        <v>1</v>
      </c>
    </row>
    <row r="34" spans="1:70" x14ac:dyDescent="0.25">
      <c r="A34" t="s">
        <v>313</v>
      </c>
      <c r="B34" t="s">
        <v>206</v>
      </c>
      <c r="D34" t="s">
        <v>310</v>
      </c>
      <c r="E34" s="2" t="s">
        <v>311</v>
      </c>
      <c r="F34" t="s">
        <v>314</v>
      </c>
      <c r="G34">
        <v>1</v>
      </c>
      <c r="K34">
        <v>3800</v>
      </c>
      <c r="M34">
        <v>100</v>
      </c>
      <c r="O34">
        <v>350</v>
      </c>
      <c r="Q34">
        <v>35</v>
      </c>
      <c r="Y34">
        <v>0.05</v>
      </c>
      <c r="Z34">
        <v>1</v>
      </c>
      <c r="AA34">
        <v>1</v>
      </c>
      <c r="AB34">
        <v>1.2</v>
      </c>
      <c r="AF34">
        <v>1</v>
      </c>
      <c r="AG34" t="s">
        <v>313</v>
      </c>
      <c r="AH34" t="s">
        <v>209</v>
      </c>
      <c r="AI34" t="s">
        <v>312</v>
      </c>
      <c r="AK34">
        <v>1</v>
      </c>
      <c r="AT34">
        <v>1</v>
      </c>
      <c r="AV34">
        <v>0.25</v>
      </c>
      <c r="BC34" t="str">
        <f t="shared" si="1"/>
        <v>enemy_1008_ghost</v>
      </c>
      <c r="BL34" t="s">
        <v>210</v>
      </c>
      <c r="BM34" t="s">
        <v>211</v>
      </c>
      <c r="BN34" t="s">
        <v>212</v>
      </c>
      <c r="BO34" t="s">
        <v>213</v>
      </c>
      <c r="BR34">
        <v>1</v>
      </c>
    </row>
    <row r="35" spans="1:70" x14ac:dyDescent="0.25">
      <c r="A35" t="s">
        <v>315</v>
      </c>
      <c r="B35" t="s">
        <v>206</v>
      </c>
      <c r="D35" t="s">
        <v>283</v>
      </c>
      <c r="E35" s="2" t="s">
        <v>284</v>
      </c>
      <c r="F35" t="str">
        <f t="shared" si="14"/>
        <v>enemy_1502_crowns</v>
      </c>
      <c r="G35">
        <v>1</v>
      </c>
      <c r="K35">
        <v>27000</v>
      </c>
      <c r="M35">
        <v>700</v>
      </c>
      <c r="O35">
        <v>250</v>
      </c>
      <c r="Q35">
        <v>50</v>
      </c>
      <c r="Y35">
        <v>0.05</v>
      </c>
      <c r="Z35">
        <v>2.8</v>
      </c>
      <c r="AA35">
        <v>1</v>
      </c>
      <c r="AB35">
        <v>1.4</v>
      </c>
      <c r="AF35">
        <v>1</v>
      </c>
      <c r="AG35" t="s">
        <v>315</v>
      </c>
      <c r="AH35" t="s">
        <v>236</v>
      </c>
      <c r="AI35" t="s">
        <v>285</v>
      </c>
      <c r="AK35">
        <v>1</v>
      </c>
      <c r="AT35">
        <v>2</v>
      </c>
      <c r="AV35">
        <v>0.25</v>
      </c>
      <c r="BC35" t="str">
        <f t="shared" si="1"/>
        <v>enemy_1502_crowns</v>
      </c>
      <c r="BL35" t="s">
        <v>210</v>
      </c>
      <c r="BM35" t="s">
        <v>211</v>
      </c>
      <c r="BN35" t="s">
        <v>232</v>
      </c>
      <c r="BO35" t="s">
        <v>213</v>
      </c>
      <c r="BR35">
        <v>1</v>
      </c>
    </row>
    <row r="36" spans="1:70" x14ac:dyDescent="0.25">
      <c r="A36" t="s">
        <v>316</v>
      </c>
      <c r="B36" t="s">
        <v>206</v>
      </c>
      <c r="D36" t="s">
        <v>287</v>
      </c>
      <c r="E36" s="2" t="s">
        <v>230</v>
      </c>
      <c r="F36" t="str">
        <f t="shared" si="14"/>
        <v>enemy_1015_litamr</v>
      </c>
      <c r="G36">
        <v>1</v>
      </c>
      <c r="K36">
        <v>3500</v>
      </c>
      <c r="M36">
        <v>410</v>
      </c>
      <c r="O36">
        <v>50</v>
      </c>
      <c r="Q36">
        <v>25</v>
      </c>
      <c r="Y36">
        <v>0.05</v>
      </c>
      <c r="Z36">
        <v>1.4</v>
      </c>
      <c r="AA36">
        <v>1</v>
      </c>
      <c r="AB36">
        <v>1.9</v>
      </c>
      <c r="AF36">
        <v>1</v>
      </c>
      <c r="AG36" t="s">
        <v>316</v>
      </c>
      <c r="AH36" t="s">
        <v>218</v>
      </c>
      <c r="AI36" t="s">
        <v>231</v>
      </c>
      <c r="AK36">
        <v>1</v>
      </c>
      <c r="AT36">
        <v>1</v>
      </c>
      <c r="AV36">
        <v>0.25</v>
      </c>
      <c r="BC36" t="str">
        <f t="shared" si="1"/>
        <v>enemy_1015_litamr</v>
      </c>
      <c r="BL36" t="s">
        <v>210</v>
      </c>
      <c r="BM36" t="s">
        <v>211</v>
      </c>
      <c r="BN36" t="s">
        <v>232</v>
      </c>
      <c r="BO36" t="s">
        <v>213</v>
      </c>
      <c r="BR36">
        <v>1</v>
      </c>
    </row>
    <row r="37" spans="1:70" x14ac:dyDescent="0.25">
      <c r="A37" t="s">
        <v>317</v>
      </c>
      <c r="B37" t="s">
        <v>206</v>
      </c>
      <c r="D37" t="s">
        <v>318</v>
      </c>
      <c r="E37" s="2" t="s">
        <v>319</v>
      </c>
      <c r="F37" t="str">
        <f t="shared" si="14"/>
        <v>enemy_1047_sagent</v>
      </c>
      <c r="G37">
        <v>1</v>
      </c>
      <c r="K37">
        <v>3500</v>
      </c>
      <c r="M37">
        <v>360</v>
      </c>
      <c r="O37">
        <v>100</v>
      </c>
      <c r="Q37">
        <v>0</v>
      </c>
      <c r="Y37">
        <v>0.05</v>
      </c>
      <c r="Z37">
        <v>1</v>
      </c>
      <c r="AA37">
        <v>2</v>
      </c>
      <c r="AB37">
        <v>0.9</v>
      </c>
      <c r="AF37">
        <v>1</v>
      </c>
      <c r="AG37" t="s">
        <v>317</v>
      </c>
      <c r="AH37" t="s">
        <v>218</v>
      </c>
      <c r="AI37" t="s">
        <v>320</v>
      </c>
      <c r="AK37">
        <v>1</v>
      </c>
      <c r="AT37">
        <v>1</v>
      </c>
      <c r="AV37">
        <v>0.25</v>
      </c>
      <c r="BC37" t="str">
        <f t="shared" si="1"/>
        <v>enemy_1047_sagent</v>
      </c>
      <c r="BL37" t="s">
        <v>210</v>
      </c>
      <c r="BM37" t="s">
        <v>211</v>
      </c>
      <c r="BN37" t="s">
        <v>232</v>
      </c>
      <c r="BO37" t="s">
        <v>213</v>
      </c>
      <c r="BR37">
        <v>1</v>
      </c>
    </row>
    <row r="38" spans="1:70" x14ac:dyDescent="0.25">
      <c r="A38" t="s">
        <v>321</v>
      </c>
      <c r="B38" t="s">
        <v>206</v>
      </c>
      <c r="D38" t="s">
        <v>322</v>
      </c>
      <c r="E38" s="2" t="s">
        <v>323</v>
      </c>
      <c r="F38" t="str">
        <f t="shared" si="14"/>
        <v>enemy_1057_gansho_2</v>
      </c>
      <c r="G38">
        <v>1</v>
      </c>
      <c r="K38">
        <v>3500</v>
      </c>
      <c r="M38">
        <v>360</v>
      </c>
      <c r="O38">
        <v>100</v>
      </c>
      <c r="Q38">
        <v>0</v>
      </c>
      <c r="Y38">
        <v>0.05</v>
      </c>
      <c r="Z38">
        <v>1</v>
      </c>
      <c r="AA38">
        <v>2</v>
      </c>
      <c r="AB38">
        <v>0.9</v>
      </c>
      <c r="AF38">
        <v>1</v>
      </c>
      <c r="AG38" t="s">
        <v>321</v>
      </c>
      <c r="AH38" t="s">
        <v>218</v>
      </c>
      <c r="AI38" t="s">
        <v>324</v>
      </c>
      <c r="AK38">
        <v>1</v>
      </c>
      <c r="AT38">
        <v>1</v>
      </c>
      <c r="AV38">
        <v>0.25</v>
      </c>
      <c r="BC38" t="str">
        <f t="shared" si="1"/>
        <v>enemy_1057_gansho_2</v>
      </c>
      <c r="BL38" t="s">
        <v>210</v>
      </c>
      <c r="BM38" t="s">
        <v>211</v>
      </c>
      <c r="BN38" t="s">
        <v>232</v>
      </c>
      <c r="BO38" t="s">
        <v>213</v>
      </c>
      <c r="BR38">
        <v>1</v>
      </c>
    </row>
    <row r="39" spans="1:70" x14ac:dyDescent="0.25">
      <c r="E39" s="2"/>
    </row>
    <row r="40" spans="1:70" x14ac:dyDescent="0.25">
      <c r="E40" s="2"/>
    </row>
    <row r="41" spans="1:70" x14ac:dyDescent="0.25">
      <c r="A41" t="s">
        <v>86</v>
      </c>
      <c r="BK41" t="s">
        <v>325</v>
      </c>
    </row>
    <row r="42" spans="1:70" x14ac:dyDescent="0.25">
      <c r="A42" t="s">
        <v>326</v>
      </c>
    </row>
    <row r="43" spans="1:70" x14ac:dyDescent="0.25">
      <c r="A43" t="s">
        <v>4</v>
      </c>
      <c r="B43" t="s">
        <v>327</v>
      </c>
      <c r="D43" t="s">
        <v>328</v>
      </c>
      <c r="E43">
        <v>285</v>
      </c>
      <c r="F43" t="str">
        <f t="shared" ref="F43:F49" si="15">"char_"&amp;E43&amp;"_"&amp;D43</f>
        <v>char_285_medic2</v>
      </c>
      <c r="G43">
        <v>1</v>
      </c>
      <c r="I43">
        <v>0</v>
      </c>
      <c r="J43">
        <v>30</v>
      </c>
      <c r="K43">
        <v>435</v>
      </c>
      <c r="L43">
        <v>100</v>
      </c>
      <c r="M43">
        <v>70</v>
      </c>
      <c r="N43">
        <v>40</v>
      </c>
      <c r="O43">
        <v>27</v>
      </c>
      <c r="Q43">
        <v>0</v>
      </c>
      <c r="S43">
        <v>3</v>
      </c>
      <c r="U43">
        <v>0.5</v>
      </c>
      <c r="V43">
        <v>200</v>
      </c>
      <c r="Y43">
        <v>0.05</v>
      </c>
      <c r="Z43">
        <v>2.85</v>
      </c>
      <c r="AC43">
        <v>0</v>
      </c>
      <c r="AG43" t="s">
        <v>4</v>
      </c>
      <c r="AH43" t="s">
        <v>209</v>
      </c>
      <c r="AI43" t="s">
        <v>329</v>
      </c>
      <c r="AM43" s="20" t="s">
        <v>6211</v>
      </c>
      <c r="AN43">
        <v>1</v>
      </c>
      <c r="AO43">
        <v>0.5</v>
      </c>
      <c r="AV43">
        <v>0.25</v>
      </c>
      <c r="BA43" t="s">
        <v>330</v>
      </c>
      <c r="BB43" t="s">
        <v>331</v>
      </c>
      <c r="BC43" t="str">
        <f t="shared" ref="BC43:BC49" si="16">"icon_"&amp;D43</f>
        <v>icon_medic2</v>
      </c>
      <c r="BD43" t="str">
        <f t="shared" ref="BD43:BD62" si="17">"half_"&amp;D43</f>
        <v>half_medic2</v>
      </c>
      <c r="BE43" t="str">
        <f t="shared" ref="BE43:BE62" si="18">D43</f>
        <v>medic2</v>
      </c>
      <c r="BF43" t="s">
        <v>332</v>
      </c>
      <c r="BG43">
        <v>1</v>
      </c>
      <c r="BH43" t="s">
        <v>333</v>
      </c>
      <c r="BI43" t="s">
        <v>334</v>
      </c>
      <c r="BJ43" t="s">
        <v>335</v>
      </c>
      <c r="BK43" t="s">
        <v>336</v>
      </c>
      <c r="BL43" t="s">
        <v>210</v>
      </c>
      <c r="BM43" t="s">
        <v>211</v>
      </c>
      <c r="BO43" t="s">
        <v>213</v>
      </c>
      <c r="BP43" t="s">
        <v>213</v>
      </c>
      <c r="BR43">
        <v>1</v>
      </c>
    </row>
    <row r="44" spans="1:70" x14ac:dyDescent="0.25">
      <c r="A44" t="s">
        <v>5</v>
      </c>
      <c r="B44" t="s">
        <v>327</v>
      </c>
      <c r="D44" t="s">
        <v>337</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5</v>
      </c>
      <c r="AH44" t="s">
        <v>209</v>
      </c>
      <c r="AI44" t="s">
        <v>338</v>
      </c>
      <c r="AM44" s="20" t="s">
        <v>6212</v>
      </c>
      <c r="AN44">
        <v>1</v>
      </c>
      <c r="AO44">
        <v>0.5</v>
      </c>
      <c r="AV44">
        <v>0.25</v>
      </c>
      <c r="BA44" t="s">
        <v>339</v>
      </c>
      <c r="BB44" t="s">
        <v>340</v>
      </c>
      <c r="BC44" t="str">
        <f t="shared" ref="BC44" si="20">"icon_"&amp;D44</f>
        <v>icon_cast3</v>
      </c>
      <c r="BD44" t="str">
        <f t="shared" ref="BD44" si="21">"half_"&amp;D44</f>
        <v>half_cast3</v>
      </c>
      <c r="BE44" t="str">
        <f t="shared" ref="BE44" si="22">D44</f>
        <v>cast3</v>
      </c>
      <c r="BF44" t="s">
        <v>332</v>
      </c>
      <c r="BG44">
        <v>1</v>
      </c>
      <c r="BH44" t="s">
        <v>341</v>
      </c>
      <c r="BI44" t="s">
        <v>342</v>
      </c>
      <c r="BJ44" t="s">
        <v>343</v>
      </c>
      <c r="BK44" t="s">
        <v>344</v>
      </c>
      <c r="BL44" t="s">
        <v>210</v>
      </c>
      <c r="BM44" t="s">
        <v>211</v>
      </c>
      <c r="BO44" t="s">
        <v>213</v>
      </c>
      <c r="BP44" t="s">
        <v>213</v>
      </c>
      <c r="BR44">
        <v>1</v>
      </c>
    </row>
    <row r="45" spans="1:70" x14ac:dyDescent="0.25">
      <c r="A45" t="s">
        <v>6</v>
      </c>
      <c r="B45" t="s">
        <v>327</v>
      </c>
      <c r="D45" t="s">
        <v>345</v>
      </c>
      <c r="E45">
        <v>500</v>
      </c>
      <c r="F45" t="str">
        <f t="shared" ref="F45" si="23">"char_"&amp;E45&amp;"_"&amp;D45</f>
        <v>char_500_noirc</v>
      </c>
      <c r="G45">
        <v>1</v>
      </c>
      <c r="I45">
        <v>0</v>
      </c>
      <c r="J45">
        <v>30</v>
      </c>
      <c r="K45">
        <v>1760</v>
      </c>
      <c r="L45">
        <v>90</v>
      </c>
      <c r="M45">
        <v>240</v>
      </c>
      <c r="O45">
        <v>315</v>
      </c>
      <c r="P45">
        <v>40</v>
      </c>
      <c r="Q45">
        <v>0</v>
      </c>
      <c r="S45">
        <v>14</v>
      </c>
      <c r="T45">
        <v>-2</v>
      </c>
      <c r="U45">
        <v>0.5</v>
      </c>
      <c r="V45">
        <v>70</v>
      </c>
      <c r="W45">
        <v>-5</v>
      </c>
      <c r="Y45">
        <v>0.05</v>
      </c>
      <c r="Z45">
        <v>1.2</v>
      </c>
      <c r="AC45">
        <v>1</v>
      </c>
      <c r="AG45" t="s">
        <v>6</v>
      </c>
      <c r="AH45" t="s">
        <v>209</v>
      </c>
      <c r="AI45" t="s">
        <v>346</v>
      </c>
      <c r="AM45" s="20" t="s">
        <v>6212</v>
      </c>
      <c r="AN45">
        <v>3</v>
      </c>
      <c r="AO45">
        <v>0.5</v>
      </c>
      <c r="AV45">
        <v>0.25</v>
      </c>
      <c r="BA45" t="s">
        <v>347</v>
      </c>
      <c r="BB45" t="s">
        <v>348</v>
      </c>
      <c r="BC45" t="str">
        <f t="shared" ref="BC45" si="24">"icon_"&amp;D45</f>
        <v>icon_noirc</v>
      </c>
      <c r="BD45" t="str">
        <f t="shared" ref="BD45" si="25">"half_"&amp;D45</f>
        <v>half_noirc</v>
      </c>
      <c r="BE45" t="str">
        <f t="shared" ref="BE45" si="26">D45</f>
        <v>noirc</v>
      </c>
      <c r="BF45" t="s">
        <v>332</v>
      </c>
      <c r="BG45">
        <v>2</v>
      </c>
      <c r="BH45" t="s">
        <v>341</v>
      </c>
      <c r="BI45" t="s">
        <v>349</v>
      </c>
      <c r="BJ45" t="s">
        <v>350</v>
      </c>
      <c r="BK45" t="s">
        <v>351</v>
      </c>
      <c r="BL45" t="s">
        <v>210</v>
      </c>
      <c r="BM45" t="s">
        <v>211</v>
      </c>
      <c r="BO45" t="s">
        <v>213</v>
      </c>
      <c r="BP45" t="s">
        <v>213</v>
      </c>
      <c r="BR45">
        <v>1</v>
      </c>
    </row>
    <row r="46" spans="1:70" x14ac:dyDescent="0.25">
      <c r="A46" t="s">
        <v>7</v>
      </c>
      <c r="B46" t="s">
        <v>327</v>
      </c>
      <c r="D46" t="s">
        <v>352</v>
      </c>
      <c r="E46">
        <v>503</v>
      </c>
      <c r="F46" t="str">
        <f t="shared" ref="F46" si="27">"char_"&amp;E46&amp;"_"&amp;D46</f>
        <v>char_503_rang</v>
      </c>
      <c r="G46">
        <v>1</v>
      </c>
      <c r="I46">
        <v>0</v>
      </c>
      <c r="J46">
        <v>30</v>
      </c>
      <c r="K46">
        <v>780</v>
      </c>
      <c r="M46">
        <v>269</v>
      </c>
      <c r="N46">
        <v>30</v>
      </c>
      <c r="O46">
        <v>66</v>
      </c>
      <c r="Q46">
        <v>0</v>
      </c>
      <c r="S46">
        <v>7</v>
      </c>
      <c r="T46">
        <v>-2</v>
      </c>
      <c r="U46">
        <v>0.5</v>
      </c>
      <c r="V46">
        <v>70</v>
      </c>
      <c r="W46">
        <v>-5</v>
      </c>
      <c r="X46">
        <v>12</v>
      </c>
      <c r="Y46">
        <v>0.05</v>
      </c>
      <c r="Z46">
        <v>1</v>
      </c>
      <c r="AC46">
        <v>1</v>
      </c>
      <c r="AG46" t="s">
        <v>7</v>
      </c>
      <c r="AH46" t="s">
        <v>209</v>
      </c>
      <c r="AI46" t="s">
        <v>353</v>
      </c>
      <c r="AM46" s="20" t="s">
        <v>6211</v>
      </c>
      <c r="AN46">
        <v>1</v>
      </c>
      <c r="AO46">
        <v>0.5</v>
      </c>
      <c r="AV46">
        <v>0.25</v>
      </c>
      <c r="BA46" t="s">
        <v>354</v>
      </c>
      <c r="BB46" t="s">
        <v>355</v>
      </c>
      <c r="BC46" t="str">
        <f t="shared" ref="BC46" si="28">"icon_"&amp;D46</f>
        <v>icon_rang</v>
      </c>
      <c r="BD46" t="str">
        <f t="shared" ref="BD46" si="29">"half_"&amp;D46</f>
        <v>half_rang</v>
      </c>
      <c r="BE46" t="str">
        <f t="shared" ref="BE46" si="30">D46</f>
        <v>rang</v>
      </c>
      <c r="BF46" t="s">
        <v>332</v>
      </c>
      <c r="BG46">
        <v>2</v>
      </c>
      <c r="BH46" t="s">
        <v>333</v>
      </c>
      <c r="BI46" t="s">
        <v>356</v>
      </c>
      <c r="BJ46" t="s">
        <v>357</v>
      </c>
      <c r="BK46" t="s">
        <v>358</v>
      </c>
      <c r="BL46" t="s">
        <v>210</v>
      </c>
      <c r="BM46" t="s">
        <v>211</v>
      </c>
      <c r="BO46" t="s">
        <v>213</v>
      </c>
      <c r="BP46" t="s">
        <v>213</v>
      </c>
      <c r="BR46">
        <v>1</v>
      </c>
    </row>
    <row r="47" spans="1:70" x14ac:dyDescent="0.25">
      <c r="A47" t="s">
        <v>8</v>
      </c>
      <c r="B47" t="s">
        <v>327</v>
      </c>
      <c r="D47" t="s">
        <v>359</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8</v>
      </c>
      <c r="AH47" t="s">
        <v>209</v>
      </c>
      <c r="AI47" t="s">
        <v>360</v>
      </c>
      <c r="AM47" s="20" t="s">
        <v>6211</v>
      </c>
      <c r="AN47">
        <v>1</v>
      </c>
      <c r="AO47">
        <v>0.5</v>
      </c>
      <c r="AV47">
        <v>0.25</v>
      </c>
      <c r="BA47" t="s">
        <v>361</v>
      </c>
      <c r="BB47" t="s">
        <v>362</v>
      </c>
      <c r="BC47" t="str">
        <f t="shared" ref="BC47" si="32">"icon_"&amp;D47</f>
        <v>icon_durin</v>
      </c>
      <c r="BD47" t="str">
        <f t="shared" ref="BD47" si="33">"half_"&amp;D47</f>
        <v>half_durin</v>
      </c>
      <c r="BE47" t="str">
        <f t="shared" ref="BE47" si="34">D47</f>
        <v>durin</v>
      </c>
      <c r="BF47" t="s">
        <v>332</v>
      </c>
      <c r="BG47">
        <v>2</v>
      </c>
      <c r="BH47" t="s">
        <v>333</v>
      </c>
      <c r="BI47" t="s">
        <v>356</v>
      </c>
      <c r="BJ47" t="s">
        <v>363</v>
      </c>
      <c r="BK47" t="s">
        <v>364</v>
      </c>
      <c r="BL47" t="s">
        <v>210</v>
      </c>
      <c r="BM47" t="s">
        <v>211</v>
      </c>
      <c r="BO47" t="s">
        <v>213</v>
      </c>
      <c r="BP47" t="s">
        <v>213</v>
      </c>
      <c r="BR47">
        <v>1</v>
      </c>
    </row>
    <row r="48" spans="1:70" x14ac:dyDescent="0.25">
      <c r="E48" s="2"/>
    </row>
    <row r="49" spans="1:70" x14ac:dyDescent="0.25">
      <c r="A49" t="s">
        <v>9</v>
      </c>
      <c r="B49" t="s">
        <v>327</v>
      </c>
      <c r="D49" t="s">
        <v>365</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9</v>
      </c>
      <c r="AH49" t="s">
        <v>209</v>
      </c>
      <c r="AI49" t="s">
        <v>366</v>
      </c>
      <c r="AJ49" t="s">
        <v>367</v>
      </c>
      <c r="AM49" s="20" t="s">
        <v>6212</v>
      </c>
      <c r="AN49">
        <v>3</v>
      </c>
      <c r="AO49">
        <v>0.5</v>
      </c>
      <c r="AV49">
        <v>0.25</v>
      </c>
      <c r="BA49" t="s">
        <v>347</v>
      </c>
      <c r="BB49" t="s">
        <v>368</v>
      </c>
      <c r="BC49" t="str">
        <f t="shared" si="16"/>
        <v>icon_spot</v>
      </c>
      <c r="BD49" t="str">
        <f t="shared" si="17"/>
        <v>half_spot</v>
      </c>
      <c r="BE49" t="str">
        <f t="shared" si="18"/>
        <v>spot</v>
      </c>
      <c r="BF49" t="s">
        <v>332</v>
      </c>
      <c r="BG49">
        <v>3</v>
      </c>
      <c r="BH49" t="s">
        <v>341</v>
      </c>
      <c r="BI49" t="s">
        <v>369</v>
      </c>
      <c r="BJ49" t="s">
        <v>370</v>
      </c>
      <c r="BK49" t="s">
        <v>371</v>
      </c>
      <c r="BL49" t="s">
        <v>210</v>
      </c>
      <c r="BM49" t="s">
        <v>211</v>
      </c>
      <c r="BO49" t="s">
        <v>213</v>
      </c>
      <c r="BP49" t="s">
        <v>213</v>
      </c>
      <c r="BR49">
        <v>1</v>
      </c>
    </row>
    <row r="50" spans="1:70" x14ac:dyDescent="0.25">
      <c r="A50" t="s">
        <v>10</v>
      </c>
      <c r="B50" t="s">
        <v>327</v>
      </c>
      <c r="D50" t="s">
        <v>372</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10</v>
      </c>
      <c r="AH50" t="s">
        <v>209</v>
      </c>
      <c r="AI50" t="s">
        <v>373</v>
      </c>
      <c r="AJ50" t="s">
        <v>374</v>
      </c>
      <c r="AM50" s="20" t="s">
        <v>6212</v>
      </c>
      <c r="AN50">
        <v>2</v>
      </c>
      <c r="AO50">
        <v>0.5</v>
      </c>
      <c r="AV50">
        <v>0.25</v>
      </c>
      <c r="BA50" t="s">
        <v>339</v>
      </c>
      <c r="BB50" t="s">
        <v>375</v>
      </c>
      <c r="BC50" t="str">
        <f t="shared" ref="BC50:BC62" si="36">"icon_"&amp;D50</f>
        <v>icon_popka</v>
      </c>
      <c r="BD50" t="str">
        <f t="shared" si="17"/>
        <v>half_popka</v>
      </c>
      <c r="BE50" t="str">
        <f t="shared" si="18"/>
        <v>popka</v>
      </c>
      <c r="BF50" t="s">
        <v>332</v>
      </c>
      <c r="BG50">
        <v>3</v>
      </c>
      <c r="BH50" t="s">
        <v>341</v>
      </c>
      <c r="BI50" t="s">
        <v>376</v>
      </c>
      <c r="BJ50" t="s">
        <v>377</v>
      </c>
      <c r="BK50" t="s">
        <v>378</v>
      </c>
      <c r="BL50" t="s">
        <v>210</v>
      </c>
      <c r="BM50" t="s">
        <v>211</v>
      </c>
      <c r="BO50" t="s">
        <v>213</v>
      </c>
      <c r="BP50" t="s">
        <v>213</v>
      </c>
      <c r="BR50">
        <v>1</v>
      </c>
    </row>
    <row r="51" spans="1:70" x14ac:dyDescent="0.25">
      <c r="A51" t="s">
        <v>11</v>
      </c>
      <c r="B51" t="s">
        <v>327</v>
      </c>
      <c r="D51" t="s">
        <v>379</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11</v>
      </c>
      <c r="AH51" t="s">
        <v>209</v>
      </c>
      <c r="AI51" t="s">
        <v>380</v>
      </c>
      <c r="AJ51" t="s">
        <v>381</v>
      </c>
      <c r="AM51" s="20" t="s">
        <v>6212</v>
      </c>
      <c r="AN51">
        <v>2</v>
      </c>
      <c r="AO51">
        <v>0.5</v>
      </c>
      <c r="AV51">
        <v>0.25</v>
      </c>
      <c r="BA51" t="s">
        <v>339</v>
      </c>
      <c r="BB51" t="s">
        <v>382</v>
      </c>
      <c r="BC51" t="str">
        <f t="shared" si="36"/>
        <v>icon_midn</v>
      </c>
      <c r="BD51" t="str">
        <f t="shared" si="17"/>
        <v>half_midn</v>
      </c>
      <c r="BE51" t="str">
        <f t="shared" si="18"/>
        <v>midn</v>
      </c>
      <c r="BF51" t="s">
        <v>332</v>
      </c>
      <c r="BG51">
        <v>3</v>
      </c>
      <c r="BH51" t="s">
        <v>341</v>
      </c>
      <c r="BI51" t="s">
        <v>383</v>
      </c>
      <c r="BJ51" t="s">
        <v>384</v>
      </c>
      <c r="BK51" t="s">
        <v>385</v>
      </c>
      <c r="BL51" t="s">
        <v>210</v>
      </c>
      <c r="BM51" t="s">
        <v>211</v>
      </c>
      <c r="BO51" t="s">
        <v>213</v>
      </c>
      <c r="BP51" t="s">
        <v>213</v>
      </c>
      <c r="BR51">
        <v>2</v>
      </c>
    </row>
    <row r="52" spans="1:70" x14ac:dyDescent="0.25">
      <c r="A52" t="s">
        <v>12</v>
      </c>
      <c r="B52" t="s">
        <v>327</v>
      </c>
      <c r="D52" t="s">
        <v>386</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12</v>
      </c>
      <c r="AH52" t="s">
        <v>209</v>
      </c>
      <c r="AI52" t="s">
        <v>387</v>
      </c>
      <c r="AJ52" t="s">
        <v>388</v>
      </c>
      <c r="AM52" s="20" t="s">
        <v>6211</v>
      </c>
      <c r="AN52">
        <v>1</v>
      </c>
      <c r="AO52">
        <v>0.5</v>
      </c>
      <c r="AV52">
        <v>0.25</v>
      </c>
      <c r="BA52" t="s">
        <v>354</v>
      </c>
      <c r="BB52" t="s">
        <v>389</v>
      </c>
      <c r="BC52" t="str">
        <f t="shared" si="36"/>
        <v>icon_catap</v>
      </c>
      <c r="BD52" t="str">
        <f t="shared" si="17"/>
        <v>half_catap</v>
      </c>
      <c r="BE52" t="str">
        <f t="shared" si="18"/>
        <v>catap</v>
      </c>
      <c r="BF52" t="s">
        <v>332</v>
      </c>
      <c r="BG52">
        <v>3</v>
      </c>
      <c r="BH52" t="s">
        <v>333</v>
      </c>
      <c r="BI52" t="s">
        <v>390</v>
      </c>
      <c r="BJ52" t="s">
        <v>391</v>
      </c>
      <c r="BK52" t="s">
        <v>392</v>
      </c>
      <c r="BL52" t="s">
        <v>210</v>
      </c>
      <c r="BM52" t="s">
        <v>211</v>
      </c>
      <c r="BO52" t="s">
        <v>213</v>
      </c>
      <c r="BP52" t="s">
        <v>213</v>
      </c>
      <c r="BR52">
        <v>1</v>
      </c>
    </row>
    <row r="53" spans="1:70" x14ac:dyDescent="0.25">
      <c r="A53" t="s">
        <v>13</v>
      </c>
      <c r="B53" t="s">
        <v>327</v>
      </c>
      <c r="D53" t="s">
        <v>393</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13</v>
      </c>
      <c r="AH53" t="s">
        <v>209</v>
      </c>
      <c r="AI53" t="s">
        <v>394</v>
      </c>
      <c r="AJ53" t="s">
        <v>395</v>
      </c>
      <c r="AM53" s="20" t="s">
        <v>6211</v>
      </c>
      <c r="AN53">
        <v>1</v>
      </c>
      <c r="AO53">
        <v>0.5</v>
      </c>
      <c r="AV53">
        <v>0.25</v>
      </c>
      <c r="BA53" t="s">
        <v>396</v>
      </c>
      <c r="BB53" t="s">
        <v>397</v>
      </c>
      <c r="BC53" t="str">
        <f t="shared" si="36"/>
        <v>icon_orchid</v>
      </c>
      <c r="BD53" t="str">
        <f t="shared" si="17"/>
        <v>half_orchid</v>
      </c>
      <c r="BE53" t="str">
        <f t="shared" si="18"/>
        <v>orchid</v>
      </c>
      <c r="BF53" t="s">
        <v>332</v>
      </c>
      <c r="BG53">
        <v>3</v>
      </c>
      <c r="BH53" t="s">
        <v>333</v>
      </c>
      <c r="BI53" t="s">
        <v>398</v>
      </c>
      <c r="BJ53" t="s">
        <v>399</v>
      </c>
      <c r="BK53" t="s">
        <v>400</v>
      </c>
      <c r="BL53" t="s">
        <v>210</v>
      </c>
      <c r="BM53" t="s">
        <v>211</v>
      </c>
      <c r="BO53" t="s">
        <v>213</v>
      </c>
      <c r="BP53" t="s">
        <v>213</v>
      </c>
      <c r="BR53">
        <v>1</v>
      </c>
    </row>
    <row r="54" spans="1:70" x14ac:dyDescent="0.25">
      <c r="A54" t="s">
        <v>14</v>
      </c>
      <c r="B54" t="s">
        <v>327</v>
      </c>
      <c r="D54" t="s">
        <v>401</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14</v>
      </c>
      <c r="AH54" t="s">
        <v>209</v>
      </c>
      <c r="AI54" t="s">
        <v>402</v>
      </c>
      <c r="AJ54" t="s">
        <v>403</v>
      </c>
      <c r="AM54" s="20" t="s">
        <v>6211</v>
      </c>
      <c r="AN54">
        <v>1</v>
      </c>
      <c r="AO54">
        <v>0.5</v>
      </c>
      <c r="AV54">
        <v>0.25</v>
      </c>
      <c r="BA54" t="s">
        <v>361</v>
      </c>
      <c r="BB54" t="s">
        <v>362</v>
      </c>
      <c r="BC54" t="str">
        <f t="shared" si="36"/>
        <v>icon_stward</v>
      </c>
      <c r="BD54" t="str">
        <f t="shared" si="17"/>
        <v>half_stward</v>
      </c>
      <c r="BE54" t="str">
        <f t="shared" si="18"/>
        <v>stward</v>
      </c>
      <c r="BF54" t="s">
        <v>332</v>
      </c>
      <c r="BG54">
        <v>3</v>
      </c>
      <c r="BH54" t="s">
        <v>333</v>
      </c>
      <c r="BI54" t="s">
        <v>404</v>
      </c>
      <c r="BJ54" t="s">
        <v>363</v>
      </c>
      <c r="BK54" t="s">
        <v>405</v>
      </c>
      <c r="BL54" t="s">
        <v>210</v>
      </c>
      <c r="BM54" t="s">
        <v>211</v>
      </c>
      <c r="BO54" t="s">
        <v>213</v>
      </c>
      <c r="BP54" t="s">
        <v>213</v>
      </c>
      <c r="BR54">
        <v>1</v>
      </c>
    </row>
    <row r="55" spans="1:70" x14ac:dyDescent="0.25">
      <c r="A55" t="s">
        <v>15</v>
      </c>
      <c r="B55" t="s">
        <v>327</v>
      </c>
      <c r="D55" t="s">
        <v>406</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15</v>
      </c>
      <c r="AH55" t="s">
        <v>209</v>
      </c>
      <c r="AI55" t="s">
        <v>407</v>
      </c>
      <c r="AJ55" t="s">
        <v>408</v>
      </c>
      <c r="AM55" s="20" t="s">
        <v>6211</v>
      </c>
      <c r="AN55">
        <v>1</v>
      </c>
      <c r="AO55">
        <v>0.5</v>
      </c>
      <c r="AV55">
        <v>0.25</v>
      </c>
      <c r="BA55" t="s">
        <v>330</v>
      </c>
      <c r="BB55" t="s">
        <v>331</v>
      </c>
      <c r="BC55" t="str">
        <f t="shared" si="36"/>
        <v>icon_ansel</v>
      </c>
      <c r="BD55" t="str">
        <f t="shared" si="17"/>
        <v>half_ansel</v>
      </c>
      <c r="BE55" t="str">
        <f t="shared" si="18"/>
        <v>ansel</v>
      </c>
      <c r="BF55" t="s">
        <v>332</v>
      </c>
      <c r="BG55">
        <v>3</v>
      </c>
      <c r="BH55" t="s">
        <v>333</v>
      </c>
      <c r="BI55" t="s">
        <v>409</v>
      </c>
      <c r="BJ55" t="s">
        <v>410</v>
      </c>
      <c r="BK55" t="s">
        <v>411</v>
      </c>
      <c r="BL55" t="s">
        <v>210</v>
      </c>
      <c r="BM55" t="s">
        <v>211</v>
      </c>
      <c r="BO55" t="s">
        <v>213</v>
      </c>
      <c r="BP55" t="s">
        <v>213</v>
      </c>
      <c r="BR55">
        <v>1</v>
      </c>
    </row>
    <row r="56" spans="1:70" x14ac:dyDescent="0.25">
      <c r="A56" t="s">
        <v>16</v>
      </c>
      <c r="B56" t="s">
        <v>327</v>
      </c>
      <c r="D56" t="s">
        <v>412</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16</v>
      </c>
      <c r="AH56" t="s">
        <v>209</v>
      </c>
      <c r="AI56" t="s">
        <v>413</v>
      </c>
      <c r="AJ56" t="s">
        <v>414</v>
      </c>
      <c r="AM56" s="20" t="s">
        <v>6211</v>
      </c>
      <c r="AN56">
        <v>1</v>
      </c>
      <c r="AO56">
        <v>0.5</v>
      </c>
      <c r="AV56">
        <v>0.25</v>
      </c>
      <c r="BA56" t="s">
        <v>330</v>
      </c>
      <c r="BB56" t="s">
        <v>331</v>
      </c>
      <c r="BC56" t="str">
        <f t="shared" si="36"/>
        <v>icon_hibisc</v>
      </c>
      <c r="BD56" t="str">
        <f t="shared" si="17"/>
        <v>half_hibisc</v>
      </c>
      <c r="BE56" t="str">
        <f t="shared" si="18"/>
        <v>hibisc</v>
      </c>
      <c r="BF56" t="s">
        <v>332</v>
      </c>
      <c r="BG56">
        <v>3</v>
      </c>
      <c r="BH56" t="s">
        <v>333</v>
      </c>
      <c r="BI56" t="s">
        <v>415</v>
      </c>
      <c r="BJ56" t="s">
        <v>410</v>
      </c>
      <c r="BK56" t="s">
        <v>416</v>
      </c>
      <c r="BL56" t="s">
        <v>210</v>
      </c>
      <c r="BM56" t="s">
        <v>211</v>
      </c>
      <c r="BO56" t="s">
        <v>213</v>
      </c>
      <c r="BP56" t="s">
        <v>213</v>
      </c>
      <c r="BR56">
        <v>1</v>
      </c>
    </row>
    <row r="57" spans="1:70" x14ac:dyDescent="0.25">
      <c r="A57" t="s">
        <v>17</v>
      </c>
      <c r="B57" t="s">
        <v>327</v>
      </c>
      <c r="D57" t="s">
        <v>417</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17</v>
      </c>
      <c r="AH57" t="s">
        <v>209</v>
      </c>
      <c r="AI57" t="s">
        <v>418</v>
      </c>
      <c r="AJ57" t="s">
        <v>419</v>
      </c>
      <c r="AM57" s="20" t="s">
        <v>6211</v>
      </c>
      <c r="AN57">
        <v>1</v>
      </c>
      <c r="AO57">
        <v>0.5</v>
      </c>
      <c r="AV57">
        <v>0.25</v>
      </c>
      <c r="BA57" t="s">
        <v>361</v>
      </c>
      <c r="BB57" t="s">
        <v>420</v>
      </c>
      <c r="BC57" t="str">
        <f t="shared" si="36"/>
        <v>icon_lava</v>
      </c>
      <c r="BD57" t="str">
        <f t="shared" si="17"/>
        <v>half_lava</v>
      </c>
      <c r="BE57" t="str">
        <f t="shared" si="18"/>
        <v>lava</v>
      </c>
      <c r="BF57" t="s">
        <v>332</v>
      </c>
      <c r="BG57">
        <v>3</v>
      </c>
      <c r="BH57" t="s">
        <v>333</v>
      </c>
      <c r="BI57" t="s">
        <v>415</v>
      </c>
      <c r="BJ57" t="s">
        <v>421</v>
      </c>
      <c r="BK57" t="s">
        <v>422</v>
      </c>
      <c r="BL57" t="s">
        <v>210</v>
      </c>
      <c r="BM57" t="s">
        <v>211</v>
      </c>
      <c r="BO57" t="s">
        <v>213</v>
      </c>
      <c r="BP57" t="s">
        <v>213</v>
      </c>
      <c r="BR57">
        <v>1</v>
      </c>
    </row>
    <row r="58" spans="1:70" x14ac:dyDescent="0.25">
      <c r="A58" t="s">
        <v>18</v>
      </c>
      <c r="B58" t="s">
        <v>327</v>
      </c>
      <c r="D58" t="s">
        <v>423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18</v>
      </c>
      <c r="AH58" t="s">
        <v>209</v>
      </c>
      <c r="AI58" t="s">
        <v>424</v>
      </c>
      <c r="AJ58" t="s">
        <v>374</v>
      </c>
      <c r="AM58" s="20" t="s">
        <v>6211</v>
      </c>
      <c r="AN58">
        <v>1</v>
      </c>
      <c r="AO58">
        <v>0.5</v>
      </c>
      <c r="AV58">
        <v>0.25</v>
      </c>
      <c r="BA58" t="s">
        <v>354</v>
      </c>
      <c r="BB58" t="s">
        <v>355</v>
      </c>
      <c r="BC58" t="str">
        <f t="shared" si="36"/>
        <v>icon_adnach</v>
      </c>
      <c r="BD58" t="str">
        <f t="shared" si="17"/>
        <v>half_adnach</v>
      </c>
      <c r="BE58" t="str">
        <f t="shared" si="18"/>
        <v>adnach</v>
      </c>
      <c r="BF58" t="s">
        <v>332</v>
      </c>
      <c r="BG58">
        <v>3</v>
      </c>
      <c r="BH58" t="s">
        <v>333</v>
      </c>
      <c r="BI58" t="s">
        <v>425</v>
      </c>
      <c r="BJ58" t="s">
        <v>357</v>
      </c>
      <c r="BK58" t="s">
        <v>426</v>
      </c>
      <c r="BL58" t="s">
        <v>210</v>
      </c>
      <c r="BM58" t="s">
        <v>211</v>
      </c>
      <c r="BO58" t="s">
        <v>213</v>
      </c>
      <c r="BP58" t="s">
        <v>213</v>
      </c>
      <c r="BR58">
        <v>1</v>
      </c>
    </row>
    <row r="59" spans="1:70" x14ac:dyDescent="0.25">
      <c r="A59" t="s">
        <v>19</v>
      </c>
      <c r="B59" t="s">
        <v>327</v>
      </c>
      <c r="D59" t="s">
        <v>427</v>
      </c>
      <c r="E59" s="2" t="s">
        <v>428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19</v>
      </c>
      <c r="AH59" t="s">
        <v>209</v>
      </c>
      <c r="AI59" t="s">
        <v>429</v>
      </c>
      <c r="AJ59" t="s">
        <v>430</v>
      </c>
      <c r="AM59" s="20" t="s">
        <v>6211</v>
      </c>
      <c r="AN59">
        <v>1</v>
      </c>
      <c r="AO59">
        <v>0.5</v>
      </c>
      <c r="AV59">
        <v>0.25</v>
      </c>
      <c r="BA59" t="s">
        <v>354</v>
      </c>
      <c r="BB59" t="s">
        <v>355</v>
      </c>
      <c r="BC59" t="str">
        <f t="shared" si="36"/>
        <v>icon_kroos</v>
      </c>
      <c r="BD59" t="str">
        <f t="shared" si="17"/>
        <v>half_kroos</v>
      </c>
      <c r="BE59" t="str">
        <f t="shared" si="18"/>
        <v>kroos</v>
      </c>
      <c r="BF59" t="s">
        <v>332</v>
      </c>
      <c r="BG59">
        <v>3</v>
      </c>
      <c r="BH59" t="s">
        <v>333</v>
      </c>
      <c r="BI59" t="s">
        <v>431</v>
      </c>
      <c r="BJ59" t="s">
        <v>357</v>
      </c>
      <c r="BK59" t="s">
        <v>385</v>
      </c>
      <c r="BL59" t="s">
        <v>210</v>
      </c>
      <c r="BM59" t="s">
        <v>211</v>
      </c>
      <c r="BO59" t="s">
        <v>213</v>
      </c>
      <c r="BP59" t="s">
        <v>213</v>
      </c>
      <c r="BR59">
        <v>1</v>
      </c>
    </row>
    <row r="60" spans="1:70" x14ac:dyDescent="0.25">
      <c r="A60" t="s">
        <v>20</v>
      </c>
      <c r="B60" t="s">
        <v>327</v>
      </c>
      <c r="D60" t="s">
        <v>432</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20</v>
      </c>
      <c r="AH60" t="s">
        <v>209</v>
      </c>
      <c r="AI60" t="s">
        <v>433</v>
      </c>
      <c r="AJ60" t="s">
        <v>434</v>
      </c>
      <c r="AM60" s="20" t="s">
        <v>6212</v>
      </c>
      <c r="AN60">
        <v>3</v>
      </c>
      <c r="AO60">
        <v>0.5</v>
      </c>
      <c r="AV60">
        <v>0.25</v>
      </c>
      <c r="BA60" t="s">
        <v>347</v>
      </c>
      <c r="BB60" t="s">
        <v>348</v>
      </c>
      <c r="BC60" t="str">
        <f t="shared" si="36"/>
        <v>icon_beagle</v>
      </c>
      <c r="BD60" t="str">
        <f t="shared" si="17"/>
        <v>half_beagle</v>
      </c>
      <c r="BE60" t="str">
        <f t="shared" si="18"/>
        <v>beagle</v>
      </c>
      <c r="BF60" t="s">
        <v>332</v>
      </c>
      <c r="BG60">
        <v>3</v>
      </c>
      <c r="BH60" t="s">
        <v>341</v>
      </c>
      <c r="BI60" t="s">
        <v>435</v>
      </c>
      <c r="BJ60" t="s">
        <v>350</v>
      </c>
      <c r="BK60" t="s">
        <v>436</v>
      </c>
      <c r="BL60" t="s">
        <v>210</v>
      </c>
      <c r="BM60" t="s">
        <v>211</v>
      </c>
      <c r="BO60" t="s">
        <v>213</v>
      </c>
      <c r="BP60" t="s">
        <v>213</v>
      </c>
      <c r="BR60">
        <v>1</v>
      </c>
    </row>
    <row r="61" spans="1:70" x14ac:dyDescent="0.25">
      <c r="A61" t="s">
        <v>21</v>
      </c>
      <c r="B61" t="s">
        <v>327</v>
      </c>
      <c r="D61" t="s">
        <v>437</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21</v>
      </c>
      <c r="AH61" t="s">
        <v>209</v>
      </c>
      <c r="AI61" t="s">
        <v>438</v>
      </c>
      <c r="AJ61" t="s">
        <v>439</v>
      </c>
      <c r="AM61" s="20" t="s">
        <v>6212</v>
      </c>
      <c r="AN61">
        <v>3</v>
      </c>
      <c r="AO61">
        <v>0.5</v>
      </c>
      <c r="AV61">
        <v>0.25</v>
      </c>
      <c r="BA61" t="s">
        <v>347</v>
      </c>
      <c r="BB61" t="s">
        <v>348</v>
      </c>
      <c r="BC61" t="str">
        <f t="shared" si="36"/>
        <v>icon_ardign</v>
      </c>
      <c r="BD61" t="str">
        <f t="shared" si="17"/>
        <v>half_ardign</v>
      </c>
      <c r="BE61" t="str">
        <f t="shared" si="18"/>
        <v>ardign</v>
      </c>
      <c r="BF61" t="s">
        <v>332</v>
      </c>
      <c r="BG61">
        <v>3</v>
      </c>
      <c r="BH61" t="s">
        <v>341</v>
      </c>
      <c r="BI61" t="s">
        <v>440</v>
      </c>
      <c r="BJ61" t="s">
        <v>350</v>
      </c>
      <c r="BK61" t="s">
        <v>441</v>
      </c>
      <c r="BL61" t="s">
        <v>210</v>
      </c>
      <c r="BM61" t="s">
        <v>211</v>
      </c>
      <c r="BO61" t="s">
        <v>213</v>
      </c>
      <c r="BP61" t="s">
        <v>213</v>
      </c>
      <c r="BR61">
        <v>1</v>
      </c>
    </row>
    <row r="62" spans="1:70" x14ac:dyDescent="0.25">
      <c r="A62" t="s">
        <v>22</v>
      </c>
      <c r="B62" t="s">
        <v>327</v>
      </c>
      <c r="D62" t="s">
        <v>442</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22</v>
      </c>
      <c r="AH62" t="s">
        <v>209</v>
      </c>
      <c r="AI62" t="s">
        <v>443</v>
      </c>
      <c r="AJ62" t="s">
        <v>374</v>
      </c>
      <c r="AM62" s="20" t="s">
        <v>6212</v>
      </c>
      <c r="AN62">
        <v>1</v>
      </c>
      <c r="AO62">
        <v>0.5</v>
      </c>
      <c r="AV62">
        <v>0.25</v>
      </c>
      <c r="BA62" t="s">
        <v>339</v>
      </c>
      <c r="BB62" t="s">
        <v>340</v>
      </c>
      <c r="BC62" t="str">
        <f t="shared" si="36"/>
        <v>icon_melan</v>
      </c>
      <c r="BD62" t="str">
        <f t="shared" si="17"/>
        <v>half_melan</v>
      </c>
      <c r="BE62" t="str">
        <f t="shared" si="18"/>
        <v>melan</v>
      </c>
      <c r="BF62" t="s">
        <v>332</v>
      </c>
      <c r="BG62">
        <v>3</v>
      </c>
      <c r="BH62" t="s">
        <v>341</v>
      </c>
      <c r="BI62" t="s">
        <v>444</v>
      </c>
      <c r="BJ62" t="s">
        <v>445</v>
      </c>
      <c r="BK62" t="s">
        <v>446</v>
      </c>
      <c r="BL62" t="s">
        <v>210</v>
      </c>
      <c r="BM62" t="s">
        <v>211</v>
      </c>
      <c r="BO62" t="s">
        <v>213</v>
      </c>
      <c r="BP62" t="s">
        <v>213</v>
      </c>
      <c r="BR62">
        <v>2</v>
      </c>
    </row>
    <row r="64" spans="1:70" x14ac:dyDescent="0.25">
      <c r="A64" t="s">
        <v>23</v>
      </c>
    </row>
    <row r="65" spans="1:70" x14ac:dyDescent="0.25">
      <c r="A65" t="s">
        <v>24</v>
      </c>
      <c r="B65" t="s">
        <v>327</v>
      </c>
      <c r="D65" t="s">
        <v>447</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24</v>
      </c>
      <c r="AH65" t="s">
        <v>209</v>
      </c>
      <c r="AI65" t="s">
        <v>448</v>
      </c>
      <c r="AJ65" t="s">
        <v>449</v>
      </c>
      <c r="AM65" s="20" t="s">
        <v>6211</v>
      </c>
      <c r="AN65">
        <v>1</v>
      </c>
      <c r="AO65">
        <v>0.5</v>
      </c>
      <c r="AV65">
        <v>0.25</v>
      </c>
      <c r="BA65" t="s">
        <v>361</v>
      </c>
      <c r="BB65" t="s">
        <v>362</v>
      </c>
      <c r="BC65" t="str">
        <f t="shared" ref="BC65" si="38">"icon_"&amp;D65</f>
        <v>icon_nights</v>
      </c>
      <c r="BD65" t="str">
        <f t="shared" ref="BD65" si="39">"half_"&amp;D65</f>
        <v>half_nights</v>
      </c>
      <c r="BE65" t="str">
        <f t="shared" ref="BE65" si="40">D65</f>
        <v>nights</v>
      </c>
      <c r="BF65" t="s">
        <v>332</v>
      </c>
      <c r="BG65">
        <v>4</v>
      </c>
      <c r="BH65" t="s">
        <v>333</v>
      </c>
      <c r="BI65" t="s">
        <v>450</v>
      </c>
      <c r="BJ65" t="s">
        <v>363</v>
      </c>
      <c r="BK65" t="s">
        <v>451</v>
      </c>
      <c r="BL65" t="s">
        <v>210</v>
      </c>
      <c r="BM65" t="s">
        <v>211</v>
      </c>
      <c r="BO65" t="s">
        <v>213</v>
      </c>
      <c r="BP65" t="s">
        <v>213</v>
      </c>
      <c r="BR65">
        <v>1</v>
      </c>
    </row>
    <row r="66" spans="1:70" x14ac:dyDescent="0.25">
      <c r="A66" t="s">
        <v>25</v>
      </c>
      <c r="B66" t="s">
        <v>327</v>
      </c>
      <c r="D66" t="s">
        <v>452</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25</v>
      </c>
      <c r="AH66" t="s">
        <v>209</v>
      </c>
      <c r="AI66" t="s">
        <v>453</v>
      </c>
      <c r="AJ66" t="s">
        <v>454</v>
      </c>
      <c r="AM66" s="20" t="s">
        <v>6211</v>
      </c>
      <c r="AN66">
        <v>1</v>
      </c>
      <c r="AO66">
        <v>0.5</v>
      </c>
      <c r="AV66">
        <v>0.25</v>
      </c>
      <c r="BA66" t="s">
        <v>361</v>
      </c>
      <c r="BB66" t="s">
        <v>420</v>
      </c>
      <c r="BC66" t="str">
        <f t="shared" ref="BC66" si="42">"icon_"&amp;D66</f>
        <v>icon_fmout</v>
      </c>
      <c r="BD66" t="str">
        <f t="shared" ref="BD66" si="43">"half_"&amp;D66</f>
        <v>half_fmout</v>
      </c>
      <c r="BE66" t="str">
        <f t="shared" ref="BE66" si="44">D66</f>
        <v>fmout</v>
      </c>
      <c r="BF66" t="s">
        <v>332</v>
      </c>
      <c r="BG66">
        <v>4</v>
      </c>
      <c r="BH66" t="s">
        <v>333</v>
      </c>
      <c r="BI66" t="s">
        <v>455</v>
      </c>
      <c r="BJ66" t="s">
        <v>421</v>
      </c>
      <c r="BK66" t="s">
        <v>456</v>
      </c>
      <c r="BL66" t="s">
        <v>210</v>
      </c>
      <c r="BM66" t="s">
        <v>211</v>
      </c>
      <c r="BO66" t="s">
        <v>213</v>
      </c>
      <c r="BP66" t="s">
        <v>213</v>
      </c>
      <c r="BR66">
        <v>1</v>
      </c>
    </row>
    <row r="67" spans="1:70" x14ac:dyDescent="0.25">
      <c r="A67" t="s">
        <v>26</v>
      </c>
      <c r="B67" t="s">
        <v>327</v>
      </c>
      <c r="D67" t="s">
        <v>457</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X67">
        <v>12</v>
      </c>
      <c r="Y67">
        <v>0.05</v>
      </c>
      <c r="Z67">
        <v>1</v>
      </c>
      <c r="AC67">
        <v>1</v>
      </c>
      <c r="AG67" t="s">
        <v>26</v>
      </c>
      <c r="AH67" t="s">
        <v>209</v>
      </c>
      <c r="AI67" t="s">
        <v>458</v>
      </c>
      <c r="AJ67" t="s">
        <v>459</v>
      </c>
      <c r="AM67" s="20" t="s">
        <v>6211</v>
      </c>
      <c r="AN67">
        <v>1</v>
      </c>
      <c r="AO67">
        <v>0.5</v>
      </c>
      <c r="AV67">
        <v>0.25</v>
      </c>
      <c r="BA67" t="s">
        <v>354</v>
      </c>
      <c r="BB67" t="s">
        <v>355</v>
      </c>
      <c r="BC67" t="str">
        <f t="shared" ref="BC67" si="46">"icon_"&amp;D67</f>
        <v>icon_jesica</v>
      </c>
      <c r="BD67" t="str">
        <f t="shared" ref="BD67" si="47">"half_"&amp;D67</f>
        <v>half_jesica</v>
      </c>
      <c r="BE67" t="str">
        <f t="shared" ref="BE67" si="48">D67</f>
        <v>jesica</v>
      </c>
      <c r="BF67" t="s">
        <v>332</v>
      </c>
      <c r="BG67">
        <v>4</v>
      </c>
      <c r="BH67" t="s">
        <v>333</v>
      </c>
      <c r="BI67" t="s">
        <v>460</v>
      </c>
      <c r="BJ67" t="s">
        <v>357</v>
      </c>
      <c r="BK67" t="s">
        <v>461</v>
      </c>
      <c r="BL67" t="s">
        <v>210</v>
      </c>
      <c r="BM67" t="s">
        <v>211</v>
      </c>
      <c r="BO67" t="s">
        <v>213</v>
      </c>
      <c r="BP67" t="s">
        <v>213</v>
      </c>
      <c r="BR67">
        <v>1</v>
      </c>
    </row>
    <row r="68" spans="1:70" x14ac:dyDescent="0.25">
      <c r="A68" t="s">
        <v>27</v>
      </c>
      <c r="B68" t="s">
        <v>327</v>
      </c>
      <c r="D68" t="s">
        <v>462</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27</v>
      </c>
      <c r="AH68" t="s">
        <v>209</v>
      </c>
      <c r="AI68" t="s">
        <v>463</v>
      </c>
      <c r="AJ68" t="s">
        <v>464</v>
      </c>
      <c r="AM68" s="20" t="s">
        <v>6211</v>
      </c>
      <c r="AN68">
        <v>1</v>
      </c>
      <c r="AO68">
        <v>0.5</v>
      </c>
      <c r="AV68">
        <v>0.25</v>
      </c>
      <c r="BA68" t="s">
        <v>354</v>
      </c>
      <c r="BB68" t="s">
        <v>355</v>
      </c>
      <c r="BC68" t="str">
        <f t="shared" ref="BC68" si="50">"icon_"&amp;D68</f>
        <v>icon_shotst</v>
      </c>
      <c r="BD68" t="str">
        <f t="shared" ref="BD68" si="51">"half_"&amp;D68</f>
        <v>half_shotst</v>
      </c>
      <c r="BE68" t="str">
        <f t="shared" ref="BE68" si="52">D68</f>
        <v>shotst</v>
      </c>
      <c r="BF68" t="s">
        <v>332</v>
      </c>
      <c r="BG68">
        <v>4</v>
      </c>
      <c r="BH68" t="s">
        <v>333</v>
      </c>
      <c r="BI68" t="s">
        <v>465</v>
      </c>
      <c r="BJ68" t="s">
        <v>357</v>
      </c>
      <c r="BK68" t="s">
        <v>466</v>
      </c>
      <c r="BL68" t="s">
        <v>210</v>
      </c>
      <c r="BM68" t="s">
        <v>211</v>
      </c>
      <c r="BO68" t="s">
        <v>213</v>
      </c>
      <c r="BP68" t="s">
        <v>213</v>
      </c>
      <c r="BR68">
        <v>1</v>
      </c>
    </row>
    <row r="69" spans="1:70" x14ac:dyDescent="0.25">
      <c r="A69" t="s">
        <v>28</v>
      </c>
      <c r="B69" t="s">
        <v>327</v>
      </c>
      <c r="D69" t="s">
        <v>467</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28</v>
      </c>
      <c r="AH69" t="s">
        <v>209</v>
      </c>
      <c r="AI69" t="s">
        <v>468</v>
      </c>
      <c r="AJ69" t="s">
        <v>469</v>
      </c>
      <c r="AM69" s="20" t="s">
        <v>6211</v>
      </c>
      <c r="AN69">
        <v>1</v>
      </c>
      <c r="AO69">
        <v>0.5</v>
      </c>
      <c r="AV69">
        <v>0.25</v>
      </c>
      <c r="BA69" t="s">
        <v>354</v>
      </c>
      <c r="BB69" t="s">
        <v>389</v>
      </c>
      <c r="BC69" t="str">
        <f t="shared" ref="BC69" si="54">"icon_"&amp;D69</f>
        <v>icon_yuki</v>
      </c>
      <c r="BD69" t="str">
        <f t="shared" ref="BD69" si="55">"half_"&amp;D69</f>
        <v>half_yuki</v>
      </c>
      <c r="BE69" t="str">
        <f t="shared" ref="BE69" si="56">D69</f>
        <v>yuki</v>
      </c>
      <c r="BF69" t="s">
        <v>332</v>
      </c>
      <c r="BG69">
        <v>4</v>
      </c>
      <c r="BH69" t="s">
        <v>333</v>
      </c>
      <c r="BI69" t="s">
        <v>470</v>
      </c>
      <c r="BJ69" t="s">
        <v>391</v>
      </c>
      <c r="BK69" t="s">
        <v>471</v>
      </c>
      <c r="BL69" t="s">
        <v>210</v>
      </c>
      <c r="BM69" t="s">
        <v>211</v>
      </c>
      <c r="BO69" t="s">
        <v>213</v>
      </c>
      <c r="BP69" t="s">
        <v>213</v>
      </c>
      <c r="BR69">
        <v>1</v>
      </c>
    </row>
    <row r="70" spans="1:70" x14ac:dyDescent="0.25">
      <c r="A70" t="s">
        <v>29</v>
      </c>
      <c r="B70" t="s">
        <v>327</v>
      </c>
      <c r="D70" t="s">
        <v>472</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29</v>
      </c>
      <c r="AH70" t="s">
        <v>209</v>
      </c>
      <c r="AI70" t="s">
        <v>473</v>
      </c>
      <c r="AJ70" t="s">
        <v>474</v>
      </c>
      <c r="AM70" s="20" t="s">
        <v>6212</v>
      </c>
      <c r="AN70">
        <v>2</v>
      </c>
      <c r="AO70">
        <v>0.5</v>
      </c>
      <c r="AV70">
        <v>0.25</v>
      </c>
      <c r="BA70" t="s">
        <v>339</v>
      </c>
      <c r="BB70" t="s">
        <v>475</v>
      </c>
      <c r="BC70" t="str">
        <f t="shared" ref="BC70" si="58">"icon_"&amp;D70</f>
        <v>icon_doberm</v>
      </c>
      <c r="BD70" t="str">
        <f t="shared" ref="BD70" si="59">"half_"&amp;D70</f>
        <v>half_doberm</v>
      </c>
      <c r="BE70" t="str">
        <f t="shared" ref="BE70" si="60">D70</f>
        <v>doberm</v>
      </c>
      <c r="BF70" t="s">
        <v>332</v>
      </c>
      <c r="BG70">
        <v>4</v>
      </c>
      <c r="BH70" t="s">
        <v>341</v>
      </c>
      <c r="BI70" t="s">
        <v>476</v>
      </c>
      <c r="BJ70" t="s">
        <v>477</v>
      </c>
      <c r="BK70" t="s">
        <v>478</v>
      </c>
      <c r="BL70" t="s">
        <v>210</v>
      </c>
      <c r="BM70" t="s">
        <v>211</v>
      </c>
      <c r="BO70" t="s">
        <v>213</v>
      </c>
      <c r="BP70" t="s">
        <v>213</v>
      </c>
      <c r="BR70">
        <v>1</v>
      </c>
    </row>
    <row r="71" spans="1:70" x14ac:dyDescent="0.25">
      <c r="A71" t="s">
        <v>30</v>
      </c>
      <c r="B71" t="s">
        <v>327</v>
      </c>
      <c r="D71" t="s">
        <v>479</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30</v>
      </c>
      <c r="AH71" t="s">
        <v>209</v>
      </c>
      <c r="AI71" t="s">
        <v>480</v>
      </c>
      <c r="AJ71" t="s">
        <v>481</v>
      </c>
      <c r="AM71" s="20" t="s">
        <v>6212</v>
      </c>
      <c r="AN71">
        <v>1</v>
      </c>
      <c r="AO71">
        <v>0.5</v>
      </c>
      <c r="AV71">
        <v>0.25</v>
      </c>
      <c r="BA71" t="s">
        <v>339</v>
      </c>
      <c r="BB71" t="s">
        <v>340</v>
      </c>
      <c r="BC71" t="str">
        <f t="shared" ref="BC71" si="62">"icon_"&amp;D71</f>
        <v>icon_gyuki</v>
      </c>
      <c r="BD71" t="str">
        <f t="shared" ref="BD71" si="63">"half_"&amp;D71</f>
        <v>half_gyuki</v>
      </c>
      <c r="BE71" t="str">
        <f t="shared" ref="BE71" si="64">D71</f>
        <v>gyuki</v>
      </c>
      <c r="BF71" t="s">
        <v>332</v>
      </c>
      <c r="BG71">
        <v>4</v>
      </c>
      <c r="BH71" t="s">
        <v>341</v>
      </c>
      <c r="BI71" t="s">
        <v>482</v>
      </c>
      <c r="BJ71" t="s">
        <v>445</v>
      </c>
      <c r="BK71" t="s">
        <v>483</v>
      </c>
      <c r="BL71" t="s">
        <v>210</v>
      </c>
      <c r="BM71" t="s">
        <v>211</v>
      </c>
      <c r="BO71" t="s">
        <v>213</v>
      </c>
      <c r="BP71" t="s">
        <v>213</v>
      </c>
      <c r="BR71">
        <v>1</v>
      </c>
    </row>
    <row r="72" spans="1:70" x14ac:dyDescent="0.25">
      <c r="A72" t="s">
        <v>31</v>
      </c>
      <c r="B72" t="s">
        <v>327</v>
      </c>
      <c r="D72" t="s">
        <v>484</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31</v>
      </c>
      <c r="AH72" t="s">
        <v>209</v>
      </c>
      <c r="AI72" t="s">
        <v>485</v>
      </c>
      <c r="AJ72" t="s">
        <v>486</v>
      </c>
      <c r="AM72" s="20" t="s">
        <v>6212</v>
      </c>
      <c r="AN72">
        <v>2</v>
      </c>
      <c r="AO72">
        <v>0.5</v>
      </c>
      <c r="AV72">
        <v>0.25</v>
      </c>
      <c r="BA72" t="s">
        <v>339</v>
      </c>
      <c r="BB72" t="s">
        <v>382</v>
      </c>
      <c r="BC72" t="str">
        <f t="shared" ref="BC72" si="66">"icon_"&amp;D72</f>
        <v>icon_frostl</v>
      </c>
      <c r="BD72" t="str">
        <f t="shared" ref="BD72" si="67">"half_"&amp;D72</f>
        <v>half_frostl</v>
      </c>
      <c r="BE72" t="str">
        <f t="shared" ref="BE72" si="68">D72</f>
        <v>frostl</v>
      </c>
      <c r="BF72" t="s">
        <v>332</v>
      </c>
      <c r="BG72">
        <v>4</v>
      </c>
      <c r="BH72" t="s">
        <v>341</v>
      </c>
      <c r="BI72" t="s">
        <v>487</v>
      </c>
      <c r="BJ72" t="s">
        <v>384</v>
      </c>
      <c r="BK72" t="s">
        <v>488</v>
      </c>
      <c r="BL72" t="s">
        <v>210</v>
      </c>
      <c r="BM72" t="s">
        <v>211</v>
      </c>
      <c r="BO72" t="s">
        <v>213</v>
      </c>
      <c r="BP72" t="s">
        <v>213</v>
      </c>
      <c r="BR72">
        <v>1</v>
      </c>
    </row>
    <row r="73" spans="1:70" x14ac:dyDescent="0.25">
      <c r="A73" t="s">
        <v>32</v>
      </c>
      <c r="B73" t="s">
        <v>327</v>
      </c>
      <c r="D73" t="s">
        <v>489</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490</v>
      </c>
      <c r="AH73" t="s">
        <v>209</v>
      </c>
      <c r="AI73" t="s">
        <v>491</v>
      </c>
      <c r="AJ73" t="s">
        <v>492</v>
      </c>
      <c r="AM73" s="20" t="s">
        <v>6212</v>
      </c>
      <c r="AN73">
        <v>2</v>
      </c>
      <c r="AO73">
        <v>0.5</v>
      </c>
      <c r="AV73">
        <v>0.25</v>
      </c>
      <c r="BA73" t="s">
        <v>339</v>
      </c>
      <c r="BB73" t="s">
        <v>375</v>
      </c>
      <c r="BC73" t="str">
        <f t="shared" ref="BC73" si="70">"icon_"&amp;D73</f>
        <v>icon_estell</v>
      </c>
      <c r="BD73" t="str">
        <f t="shared" ref="BD73" si="71">"half_"&amp;D73</f>
        <v>half_estell</v>
      </c>
      <c r="BE73" t="str">
        <f t="shared" ref="BE73" si="72">D73</f>
        <v>estell</v>
      </c>
      <c r="BF73" t="s">
        <v>332</v>
      </c>
      <c r="BG73">
        <v>4</v>
      </c>
      <c r="BH73" t="s">
        <v>341</v>
      </c>
      <c r="BI73" t="s">
        <v>493</v>
      </c>
      <c r="BJ73" t="s">
        <v>377</v>
      </c>
      <c r="BK73" t="s">
        <v>494</v>
      </c>
      <c r="BL73" t="s">
        <v>210</v>
      </c>
      <c r="BM73" t="s">
        <v>211</v>
      </c>
      <c r="BO73" t="s">
        <v>213</v>
      </c>
      <c r="BP73" t="s">
        <v>213</v>
      </c>
      <c r="BR73">
        <v>1</v>
      </c>
    </row>
    <row r="74" spans="1:70" x14ac:dyDescent="0.25">
      <c r="A74" t="s">
        <v>33</v>
      </c>
      <c r="B74" t="s">
        <v>327</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33</v>
      </c>
      <c r="AH74" t="s">
        <v>209</v>
      </c>
      <c r="AI74" t="s">
        <v>496</v>
      </c>
      <c r="AJ74" t="s">
        <v>497</v>
      </c>
      <c r="AM74" s="20" t="s">
        <v>6212</v>
      </c>
      <c r="AN74">
        <v>1</v>
      </c>
      <c r="AO74">
        <v>0.5</v>
      </c>
      <c r="AV74">
        <v>0.25</v>
      </c>
      <c r="BA74" t="s">
        <v>339</v>
      </c>
      <c r="BB74" t="s">
        <v>498</v>
      </c>
      <c r="BC74" t="str">
        <f t="shared" ref="BC74" si="74">"icon_"&amp;D74</f>
        <v>icon_frncat</v>
      </c>
      <c r="BD74" t="str">
        <f t="shared" ref="BD74" si="75">"half_"&amp;D74</f>
        <v>half_frncat</v>
      </c>
      <c r="BE74" t="str">
        <f t="shared" ref="BE74" si="76">D74</f>
        <v>frncat</v>
      </c>
      <c r="BF74" t="s">
        <v>332</v>
      </c>
      <c r="BG74">
        <v>4</v>
      </c>
      <c r="BH74" t="s">
        <v>341</v>
      </c>
      <c r="BI74" t="s">
        <v>499</v>
      </c>
      <c r="BJ74" t="s">
        <v>363</v>
      </c>
      <c r="BK74" t="s">
        <v>500</v>
      </c>
      <c r="BL74" t="s">
        <v>210</v>
      </c>
      <c r="BM74" t="s">
        <v>211</v>
      </c>
      <c r="BO74" t="s">
        <v>213</v>
      </c>
      <c r="BP74" t="s">
        <v>213</v>
      </c>
      <c r="BR74">
        <v>1</v>
      </c>
    </row>
    <row r="75" spans="1:70" x14ac:dyDescent="0.25">
      <c r="A75" t="s">
        <v>34</v>
      </c>
      <c r="B75" t="s">
        <v>327</v>
      </c>
      <c r="D75" t="s">
        <v>501</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34</v>
      </c>
      <c r="AH75" t="s">
        <v>209</v>
      </c>
      <c r="AI75" t="s">
        <v>502</v>
      </c>
      <c r="AJ75" t="s">
        <v>503</v>
      </c>
      <c r="AM75" s="20" t="s">
        <v>6212</v>
      </c>
      <c r="AN75">
        <v>1</v>
      </c>
      <c r="AO75">
        <v>0.5</v>
      </c>
      <c r="AV75">
        <v>0.25</v>
      </c>
      <c r="BA75" t="s">
        <v>504</v>
      </c>
      <c r="BB75" t="s">
        <v>505</v>
      </c>
      <c r="BC75" t="str">
        <f t="shared" ref="BC75" si="78">"icon_"&amp;D75</f>
        <v>icon_gravel</v>
      </c>
      <c r="BD75" t="str">
        <f t="shared" ref="BD75:BD76" si="79">"half_"&amp;D75</f>
        <v>half_gravel</v>
      </c>
      <c r="BE75" t="str">
        <f t="shared" ref="BE75" si="80">D75</f>
        <v>gravel</v>
      </c>
      <c r="BF75" t="s">
        <v>332</v>
      </c>
      <c r="BG75">
        <v>4</v>
      </c>
      <c r="BH75" t="s">
        <v>341</v>
      </c>
      <c r="BI75" t="s">
        <v>506</v>
      </c>
      <c r="BJ75" t="s">
        <v>507</v>
      </c>
      <c r="BK75" t="s">
        <v>508</v>
      </c>
      <c r="BL75" t="s">
        <v>210</v>
      </c>
      <c r="BM75" t="s">
        <v>211</v>
      </c>
      <c r="BO75" t="s">
        <v>213</v>
      </c>
      <c r="BP75" t="s">
        <v>213</v>
      </c>
      <c r="BR75">
        <v>1</v>
      </c>
    </row>
    <row r="76" spans="1:70" x14ac:dyDescent="0.25">
      <c r="A76" t="s">
        <v>35</v>
      </c>
      <c r="B76" t="s">
        <v>327</v>
      </c>
      <c r="D76" t="s">
        <v>509</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35</v>
      </c>
      <c r="AH76" t="s">
        <v>209</v>
      </c>
      <c r="AI76" t="s">
        <v>510</v>
      </c>
      <c r="AJ76" t="s">
        <v>511</v>
      </c>
      <c r="AM76" s="20" t="s">
        <v>6213</v>
      </c>
      <c r="AN76">
        <v>2</v>
      </c>
      <c r="AO76">
        <v>0.5</v>
      </c>
      <c r="AV76">
        <v>0.25</v>
      </c>
      <c r="BA76" t="s">
        <v>504</v>
      </c>
      <c r="BB76" t="s">
        <v>512</v>
      </c>
      <c r="BC76" t="str">
        <f t="shared" ref="BC76" si="82">"icon_"&amp;D76</f>
        <v>icon_rope</v>
      </c>
      <c r="BD76" t="str">
        <f t="shared" si="79"/>
        <v>half_rope</v>
      </c>
      <c r="BE76" t="str">
        <f t="shared" ref="BE76" si="83">D76</f>
        <v>rope</v>
      </c>
      <c r="BF76" t="s">
        <v>332</v>
      </c>
      <c r="BG76">
        <v>4</v>
      </c>
      <c r="BH76" t="s">
        <v>341</v>
      </c>
      <c r="BI76" t="s">
        <v>513</v>
      </c>
      <c r="BJ76" t="s">
        <v>514</v>
      </c>
      <c r="BK76" t="s">
        <v>515</v>
      </c>
      <c r="BL76" t="s">
        <v>210</v>
      </c>
      <c r="BM76" t="s">
        <v>211</v>
      </c>
      <c r="BO76" t="s">
        <v>213</v>
      </c>
      <c r="BP76" t="s">
        <v>213</v>
      </c>
      <c r="BQ76" t="s">
        <v>516</v>
      </c>
      <c r="BR76">
        <v>1</v>
      </c>
    </row>
    <row r="77" spans="1:70" x14ac:dyDescent="0.25">
      <c r="A77" t="s">
        <v>36</v>
      </c>
      <c r="B77" t="s">
        <v>327</v>
      </c>
      <c r="D77" t="s">
        <v>517</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36</v>
      </c>
      <c r="AH77" t="s">
        <v>209</v>
      </c>
      <c r="AI77" t="s">
        <v>518</v>
      </c>
      <c r="AJ77" t="s">
        <v>519</v>
      </c>
      <c r="AM77" s="20" t="s">
        <v>6213</v>
      </c>
      <c r="AN77">
        <v>2</v>
      </c>
      <c r="AO77">
        <v>0.5</v>
      </c>
      <c r="AV77">
        <v>0.25</v>
      </c>
      <c r="BA77" t="s">
        <v>504</v>
      </c>
      <c r="BB77" t="s">
        <v>520</v>
      </c>
      <c r="BC77" t="str">
        <f t="shared" ref="BC77:BC78" si="85">"icon_"&amp;D77</f>
        <v>icon_sqrrel</v>
      </c>
      <c r="BD77" t="str">
        <f t="shared" ref="BD77:BD78" si="86">"half_"&amp;D77</f>
        <v>half_sqrrel</v>
      </c>
      <c r="BE77" t="str">
        <f t="shared" ref="BE77:BE78" si="87">D77</f>
        <v>sqrrel</v>
      </c>
      <c r="BF77" t="s">
        <v>332</v>
      </c>
      <c r="BG77">
        <v>4</v>
      </c>
      <c r="BH77" t="s">
        <v>341</v>
      </c>
      <c r="BI77" t="s">
        <v>521</v>
      </c>
      <c r="BJ77" t="s">
        <v>522</v>
      </c>
      <c r="BK77" t="s">
        <v>523</v>
      </c>
      <c r="BL77" t="s">
        <v>210</v>
      </c>
      <c r="BM77" t="s">
        <v>211</v>
      </c>
      <c r="BO77" t="s">
        <v>213</v>
      </c>
      <c r="BP77" t="s">
        <v>213</v>
      </c>
      <c r="BQ77" t="s">
        <v>516</v>
      </c>
      <c r="BR77">
        <v>1</v>
      </c>
    </row>
    <row r="78" spans="1:70" x14ac:dyDescent="0.25">
      <c r="A78" t="s">
        <v>37</v>
      </c>
      <c r="B78" t="s">
        <v>327</v>
      </c>
      <c r="D78" t="s">
        <v>524</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37</v>
      </c>
      <c r="AH78" t="s">
        <v>209</v>
      </c>
      <c r="AI78" t="s">
        <v>525</v>
      </c>
      <c r="AJ78" t="s">
        <v>526</v>
      </c>
      <c r="AM78" s="20" t="s">
        <v>6211</v>
      </c>
      <c r="AN78">
        <v>1</v>
      </c>
      <c r="AO78">
        <v>0.5</v>
      </c>
      <c r="AV78">
        <v>0.25</v>
      </c>
      <c r="BA78" t="s">
        <v>330</v>
      </c>
      <c r="BB78" t="s">
        <v>331</v>
      </c>
      <c r="BC78" t="str">
        <f t="shared" si="85"/>
        <v>icon_myrrh</v>
      </c>
      <c r="BD78" t="str">
        <f t="shared" si="86"/>
        <v>half_myrrh</v>
      </c>
      <c r="BE78" t="str">
        <f t="shared" si="87"/>
        <v>myrrh</v>
      </c>
      <c r="BF78" t="s">
        <v>332</v>
      </c>
      <c r="BG78">
        <v>4</v>
      </c>
      <c r="BH78" t="s">
        <v>333</v>
      </c>
      <c r="BI78" t="s">
        <v>334</v>
      </c>
      <c r="BJ78" t="s">
        <v>410</v>
      </c>
      <c r="BK78" t="s">
        <v>527</v>
      </c>
      <c r="BL78" t="s">
        <v>210</v>
      </c>
      <c r="BM78" t="s">
        <v>211</v>
      </c>
      <c r="BO78" t="s">
        <v>213</v>
      </c>
      <c r="BP78" t="s">
        <v>213</v>
      </c>
      <c r="BR78">
        <v>1</v>
      </c>
    </row>
    <row r="79" spans="1:70" x14ac:dyDescent="0.25">
      <c r="A79" t="s">
        <v>38</v>
      </c>
      <c r="B79" t="s">
        <v>327</v>
      </c>
      <c r="D79" t="s">
        <v>528</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38</v>
      </c>
      <c r="AH79" t="s">
        <v>209</v>
      </c>
      <c r="AI79" t="s">
        <v>529</v>
      </c>
      <c r="AJ79" t="s">
        <v>530</v>
      </c>
      <c r="AM79" s="20" t="s">
        <v>6211</v>
      </c>
      <c r="AN79">
        <v>1</v>
      </c>
      <c r="AO79">
        <v>0.5</v>
      </c>
      <c r="AV79">
        <v>0.25</v>
      </c>
      <c r="BA79" t="s">
        <v>330</v>
      </c>
      <c r="BB79" t="s">
        <v>331</v>
      </c>
      <c r="BC79" t="str">
        <f t="shared" ref="BC79" si="89">"icon_"&amp;D79</f>
        <v>icon_ccheal</v>
      </c>
      <c r="BD79" t="str">
        <f t="shared" ref="BD79" si="90">"half_"&amp;D79</f>
        <v>half_ccheal</v>
      </c>
      <c r="BE79" t="str">
        <f t="shared" ref="BE79" si="91">D79</f>
        <v>ccheal</v>
      </c>
      <c r="BF79" t="s">
        <v>332</v>
      </c>
      <c r="BG79">
        <v>4</v>
      </c>
      <c r="BH79" t="s">
        <v>333</v>
      </c>
      <c r="BI79" t="s">
        <v>334</v>
      </c>
      <c r="BJ79" t="s">
        <v>410</v>
      </c>
      <c r="BK79" t="s">
        <v>531</v>
      </c>
      <c r="BL79" t="s">
        <v>210</v>
      </c>
      <c r="BM79" t="s">
        <v>211</v>
      </c>
      <c r="BO79" t="s">
        <v>213</v>
      </c>
      <c r="BP79" t="s">
        <v>213</v>
      </c>
      <c r="BR79">
        <v>1</v>
      </c>
    </row>
    <row r="80" spans="1:70" x14ac:dyDescent="0.25">
      <c r="A80" t="s">
        <v>39</v>
      </c>
      <c r="B80" t="s">
        <v>327</v>
      </c>
      <c r="D80" t="s">
        <v>532</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39</v>
      </c>
      <c r="AH80" t="s">
        <v>209</v>
      </c>
      <c r="AI80" t="s">
        <v>533</v>
      </c>
      <c r="AJ80" t="s">
        <v>534</v>
      </c>
      <c r="AM80" s="20" t="s">
        <v>6211</v>
      </c>
      <c r="AN80">
        <v>1</v>
      </c>
      <c r="AO80">
        <v>0.5</v>
      </c>
      <c r="AV80">
        <v>0.25</v>
      </c>
      <c r="BA80" t="s">
        <v>330</v>
      </c>
      <c r="BB80" t="s">
        <v>535</v>
      </c>
      <c r="BC80" t="str">
        <f t="shared" ref="BC80:BC81" si="93">"icon_"&amp;D80</f>
        <v>icon_flower</v>
      </c>
      <c r="BD80" t="str">
        <f t="shared" ref="BD80:BD81" si="94">"half_"&amp;D80</f>
        <v>half_flower</v>
      </c>
      <c r="BE80" t="str">
        <f t="shared" ref="BE80:BE81" si="95">D80</f>
        <v>flower</v>
      </c>
      <c r="BF80" t="s">
        <v>332</v>
      </c>
      <c r="BG80">
        <v>4</v>
      </c>
      <c r="BH80" t="s">
        <v>333</v>
      </c>
      <c r="BI80" t="s">
        <v>536</v>
      </c>
      <c r="BJ80" t="s">
        <v>537</v>
      </c>
      <c r="BK80" t="s">
        <v>538</v>
      </c>
      <c r="BL80" t="s">
        <v>210</v>
      </c>
      <c r="BM80" t="s">
        <v>211</v>
      </c>
      <c r="BO80" t="s">
        <v>213</v>
      </c>
      <c r="BP80" t="s">
        <v>213</v>
      </c>
      <c r="BR80">
        <v>1</v>
      </c>
    </row>
    <row r="81" spans="1:70" x14ac:dyDescent="0.25">
      <c r="A81" t="s">
        <v>40</v>
      </c>
      <c r="B81" t="s">
        <v>327</v>
      </c>
      <c r="D81" t="s">
        <v>539</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40</v>
      </c>
      <c r="AH81" t="s">
        <v>209</v>
      </c>
      <c r="AI81" t="s">
        <v>540</v>
      </c>
      <c r="AJ81" t="s">
        <v>541</v>
      </c>
      <c r="AM81" s="20" t="s">
        <v>6212</v>
      </c>
      <c r="AN81">
        <v>3</v>
      </c>
      <c r="AO81">
        <v>0.5</v>
      </c>
      <c r="AV81">
        <v>0.25</v>
      </c>
      <c r="BA81" t="s">
        <v>347</v>
      </c>
      <c r="BB81" t="s">
        <v>348</v>
      </c>
      <c r="BC81" t="str">
        <f t="shared" si="93"/>
        <v>icon_yak</v>
      </c>
      <c r="BD81" t="str">
        <f t="shared" si="94"/>
        <v>half_yak</v>
      </c>
      <c r="BE81" t="str">
        <f t="shared" si="95"/>
        <v>yak</v>
      </c>
      <c r="BF81" t="s">
        <v>332</v>
      </c>
      <c r="BG81">
        <v>4</v>
      </c>
      <c r="BH81" t="s">
        <v>341</v>
      </c>
      <c r="BI81" t="s">
        <v>542</v>
      </c>
      <c r="BJ81" t="s">
        <v>350</v>
      </c>
      <c r="BK81" t="s">
        <v>543</v>
      </c>
      <c r="BL81" t="s">
        <v>210</v>
      </c>
      <c r="BM81" t="s">
        <v>211</v>
      </c>
      <c r="BO81" t="s">
        <v>213</v>
      </c>
      <c r="BP81" t="s">
        <v>213</v>
      </c>
      <c r="BR81">
        <v>1</v>
      </c>
    </row>
    <row r="82" spans="1:70" x14ac:dyDescent="0.25">
      <c r="A82" t="s">
        <v>41</v>
      </c>
      <c r="B82" t="s">
        <v>327</v>
      </c>
      <c r="D82" t="s">
        <v>544</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41</v>
      </c>
      <c r="AH82" t="s">
        <v>209</v>
      </c>
      <c r="AI82" t="s">
        <v>545</v>
      </c>
      <c r="AJ82" t="s">
        <v>546</v>
      </c>
      <c r="AM82" s="20" t="s">
        <v>6212</v>
      </c>
      <c r="AN82">
        <v>3</v>
      </c>
      <c r="AO82">
        <v>0.5</v>
      </c>
      <c r="AV82">
        <v>0.25</v>
      </c>
      <c r="BA82" t="s">
        <v>347</v>
      </c>
      <c r="BB82" t="s">
        <v>348</v>
      </c>
      <c r="BC82" t="str">
        <f t="shared" ref="BC82" si="97">"icon_"&amp;D82</f>
        <v>icon_snakek</v>
      </c>
      <c r="BD82" t="str">
        <f t="shared" ref="BD82" si="98">"half_"&amp;D82</f>
        <v>half_snakek</v>
      </c>
      <c r="BE82" t="str">
        <f t="shared" ref="BE82" si="99">D82</f>
        <v>snakek</v>
      </c>
      <c r="BF82" t="s">
        <v>332</v>
      </c>
      <c r="BG82">
        <v>4</v>
      </c>
      <c r="BH82" t="s">
        <v>341</v>
      </c>
      <c r="BI82" t="s">
        <v>547</v>
      </c>
      <c r="BJ82" t="s">
        <v>350</v>
      </c>
      <c r="BK82" t="s">
        <v>548</v>
      </c>
      <c r="BL82" t="s">
        <v>210</v>
      </c>
      <c r="BM82" t="s">
        <v>211</v>
      </c>
      <c r="BO82" t="s">
        <v>213</v>
      </c>
      <c r="BP82" t="s">
        <v>213</v>
      </c>
      <c r="BR82">
        <v>1</v>
      </c>
    </row>
    <row r="83" spans="1:70" x14ac:dyDescent="0.25">
      <c r="A83" t="s">
        <v>42</v>
      </c>
      <c r="B83" t="s">
        <v>327</v>
      </c>
      <c r="D83" t="s">
        <v>549</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42</v>
      </c>
      <c r="AH83" t="s">
        <v>209</v>
      </c>
      <c r="AI83" t="s">
        <v>550</v>
      </c>
      <c r="AJ83" t="s">
        <v>551</v>
      </c>
      <c r="AM83" s="20" t="s">
        <v>6212</v>
      </c>
      <c r="AN83">
        <v>3</v>
      </c>
      <c r="AO83">
        <v>0.5</v>
      </c>
      <c r="AV83">
        <v>0.25</v>
      </c>
      <c r="BA83" t="s">
        <v>347</v>
      </c>
      <c r="BB83" t="s">
        <v>368</v>
      </c>
      <c r="BC83" t="str">
        <f t="shared" ref="BC83" si="101">"icon_"&amp;D83</f>
        <v>icon_sunbr</v>
      </c>
      <c r="BD83" t="str">
        <f t="shared" ref="BD83" si="102">"half_"&amp;D83</f>
        <v>half_sunbr</v>
      </c>
      <c r="BE83" t="str">
        <f t="shared" ref="BE83" si="103">D83</f>
        <v>sunbr</v>
      </c>
      <c r="BF83" t="s">
        <v>332</v>
      </c>
      <c r="BG83">
        <v>4</v>
      </c>
      <c r="BH83" t="s">
        <v>341</v>
      </c>
      <c r="BI83" t="s">
        <v>552</v>
      </c>
      <c r="BJ83" t="s">
        <v>370</v>
      </c>
      <c r="BK83" t="s">
        <v>553</v>
      </c>
      <c r="BL83" t="s">
        <v>210</v>
      </c>
      <c r="BM83" t="s">
        <v>211</v>
      </c>
      <c r="BO83" t="s">
        <v>213</v>
      </c>
      <c r="BP83" t="s">
        <v>213</v>
      </c>
      <c r="BR83">
        <v>1</v>
      </c>
    </row>
    <row r="84" spans="1:70" x14ac:dyDescent="0.25">
      <c r="A84" t="s">
        <v>43</v>
      </c>
      <c r="B84" t="s">
        <v>327</v>
      </c>
      <c r="D84" t="s">
        <v>554</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43</v>
      </c>
      <c r="AH84" t="s">
        <v>209</v>
      </c>
      <c r="AI84" t="s">
        <v>555</v>
      </c>
      <c r="AJ84" t="s">
        <v>556</v>
      </c>
      <c r="AM84" s="20" t="s">
        <v>6211</v>
      </c>
      <c r="AN84">
        <v>1</v>
      </c>
      <c r="AO84">
        <v>0.5</v>
      </c>
      <c r="AV84">
        <v>0.25</v>
      </c>
      <c r="BA84" t="s">
        <v>396</v>
      </c>
      <c r="BB84" t="s">
        <v>557</v>
      </c>
      <c r="BC84" t="str">
        <f t="shared" ref="BC84" si="104">"icon_"&amp;D84</f>
        <v>icon_deepcl</v>
      </c>
      <c r="BD84" t="str">
        <f t="shared" ref="BD84:BD85" si="105">"half_"&amp;D84</f>
        <v>half_deepcl</v>
      </c>
      <c r="BE84" t="str">
        <f t="shared" ref="BE84:BE85" si="106">D84</f>
        <v>deepcl</v>
      </c>
      <c r="BF84" t="s">
        <v>332</v>
      </c>
      <c r="BG84">
        <v>4</v>
      </c>
      <c r="BH84" t="s">
        <v>333</v>
      </c>
      <c r="BI84" t="s">
        <v>558</v>
      </c>
      <c r="BJ84" t="s">
        <v>559</v>
      </c>
      <c r="BK84" t="s">
        <v>560</v>
      </c>
      <c r="BL84" t="s">
        <v>210</v>
      </c>
      <c r="BM84" t="s">
        <v>211</v>
      </c>
      <c r="BO84" t="s">
        <v>213</v>
      </c>
      <c r="BP84" t="s">
        <v>213</v>
      </c>
      <c r="BR84">
        <v>1</v>
      </c>
    </row>
    <row r="85" spans="1:70" x14ac:dyDescent="0.25">
      <c r="A85" t="s">
        <v>561</v>
      </c>
      <c r="B85" t="s">
        <v>327</v>
      </c>
      <c r="D85" t="s">
        <v>554</v>
      </c>
      <c r="E85" s="2" t="s">
        <v>562</v>
      </c>
      <c r="F85" t="s">
        <v>563</v>
      </c>
      <c r="G85">
        <v>1</v>
      </c>
      <c r="I85">
        <v>2</v>
      </c>
      <c r="J85">
        <v>70</v>
      </c>
      <c r="K85">
        <v>2016</v>
      </c>
      <c r="M85">
        <v>462</v>
      </c>
      <c r="O85">
        <v>335</v>
      </c>
      <c r="Q85">
        <v>0</v>
      </c>
      <c r="S85">
        <v>5</v>
      </c>
      <c r="U85">
        <v>0</v>
      </c>
      <c r="V85">
        <v>10</v>
      </c>
      <c r="Y85">
        <v>0.05</v>
      </c>
      <c r="Z85">
        <v>1.25</v>
      </c>
      <c r="AC85">
        <v>1</v>
      </c>
      <c r="AG85" t="s">
        <v>561</v>
      </c>
      <c r="AH85" t="s">
        <v>209</v>
      </c>
      <c r="AI85" t="s">
        <v>564</v>
      </c>
      <c r="AK85">
        <v>1</v>
      </c>
      <c r="AM85" s="20" t="s">
        <v>6212</v>
      </c>
      <c r="AN85">
        <v>1</v>
      </c>
      <c r="AO85">
        <v>0.5</v>
      </c>
      <c r="AV85">
        <v>0.25</v>
      </c>
      <c r="BA85" t="s">
        <v>339</v>
      </c>
      <c r="BC85" t="s">
        <v>565</v>
      </c>
      <c r="BD85" t="str">
        <f t="shared" si="105"/>
        <v>half_deepcl</v>
      </c>
      <c r="BE85" t="str">
        <f t="shared" si="106"/>
        <v>deepcl</v>
      </c>
      <c r="BF85" t="s">
        <v>332</v>
      </c>
      <c r="BG85">
        <v>4</v>
      </c>
      <c r="BH85" t="s">
        <v>341</v>
      </c>
      <c r="BI85" t="s">
        <v>566</v>
      </c>
      <c r="BL85" t="s">
        <v>210</v>
      </c>
      <c r="BM85" t="s">
        <v>211</v>
      </c>
      <c r="BO85" t="s">
        <v>213</v>
      </c>
      <c r="BP85" t="s">
        <v>213</v>
      </c>
      <c r="BR85">
        <v>1</v>
      </c>
    </row>
    <row r="86" spans="1:70" x14ac:dyDescent="0.25">
      <c r="A86" t="s">
        <v>44</v>
      </c>
      <c r="B86" t="s">
        <v>327</v>
      </c>
      <c r="D86" t="s">
        <v>567</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44</v>
      </c>
      <c r="AH86" t="s">
        <v>209</v>
      </c>
      <c r="AI86" t="s">
        <v>568</v>
      </c>
      <c r="AJ86" t="s">
        <v>569</v>
      </c>
      <c r="AM86" s="20" t="s">
        <v>6211</v>
      </c>
      <c r="AN86">
        <v>1</v>
      </c>
      <c r="AO86">
        <v>0.5</v>
      </c>
      <c r="AV86">
        <v>0.25</v>
      </c>
      <c r="BA86" t="s">
        <v>396</v>
      </c>
      <c r="BB86" t="s">
        <v>397</v>
      </c>
      <c r="BC86" t="str">
        <f t="shared" ref="BC86" si="107">"icon_"&amp;D86</f>
        <v>icon_skgoat</v>
      </c>
      <c r="BD86" t="str">
        <f t="shared" ref="BD86" si="108">"half_"&amp;D86</f>
        <v>half_skgoat</v>
      </c>
      <c r="BE86" t="str">
        <f t="shared" ref="BE86" si="109">D86</f>
        <v>skgoat</v>
      </c>
      <c r="BF86" t="s">
        <v>332</v>
      </c>
      <c r="BG86">
        <v>4</v>
      </c>
      <c r="BH86" t="s">
        <v>333</v>
      </c>
      <c r="BI86" t="s">
        <v>570</v>
      </c>
      <c r="BJ86" t="s">
        <v>399</v>
      </c>
      <c r="BK86" t="s">
        <v>571</v>
      </c>
      <c r="BL86" t="s">
        <v>210</v>
      </c>
      <c r="BM86" t="s">
        <v>211</v>
      </c>
      <c r="BO86" t="s">
        <v>213</v>
      </c>
      <c r="BP86" t="s">
        <v>213</v>
      </c>
      <c r="BR86">
        <v>1</v>
      </c>
    </row>
    <row r="88" spans="1:70" x14ac:dyDescent="0.25">
      <c r="A88" t="s">
        <v>45</v>
      </c>
    </row>
    <row r="89" spans="1:70" x14ac:dyDescent="0.25">
      <c r="A89" t="s">
        <v>46</v>
      </c>
      <c r="B89" t="s">
        <v>327</v>
      </c>
      <c r="D89" t="s">
        <v>572</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46</v>
      </c>
      <c r="AH89" t="s">
        <v>209</v>
      </c>
      <c r="AI89" t="s">
        <v>573</v>
      </c>
      <c r="AJ89" t="s">
        <v>574</v>
      </c>
      <c r="AM89" s="20" t="s">
        <v>6211</v>
      </c>
      <c r="AN89">
        <v>1</v>
      </c>
      <c r="AO89">
        <v>0.5</v>
      </c>
      <c r="AV89">
        <v>0.25</v>
      </c>
      <c r="BA89" t="s">
        <v>330</v>
      </c>
      <c r="BB89" t="s">
        <v>535</v>
      </c>
      <c r="BC89" t="str">
        <f t="shared" ref="BC89" si="111">"icon_"&amp;D89</f>
        <v>icon_plosis</v>
      </c>
      <c r="BD89" t="str">
        <f t="shared" ref="BD89" si="112">"half_"&amp;D89</f>
        <v>half_plosis</v>
      </c>
      <c r="BE89" t="str">
        <f t="shared" ref="BE89" si="113">D89</f>
        <v>plosis</v>
      </c>
      <c r="BF89" t="s">
        <v>332</v>
      </c>
      <c r="BG89">
        <v>5</v>
      </c>
      <c r="BH89" t="s">
        <v>333</v>
      </c>
      <c r="BI89" t="s">
        <v>575</v>
      </c>
      <c r="BJ89" t="s">
        <v>537</v>
      </c>
      <c r="BK89" t="s">
        <v>576</v>
      </c>
      <c r="BL89" t="s">
        <v>210</v>
      </c>
      <c r="BM89" t="s">
        <v>211</v>
      </c>
      <c r="BO89" t="s">
        <v>213</v>
      </c>
      <c r="BP89" t="s">
        <v>213</v>
      </c>
      <c r="BR89">
        <v>1</v>
      </c>
    </row>
    <row r="90" spans="1:70" x14ac:dyDescent="0.25">
      <c r="A90" t="s">
        <v>47</v>
      </c>
      <c r="B90" t="s">
        <v>327</v>
      </c>
      <c r="D90" t="s">
        <v>577</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47</v>
      </c>
      <c r="AH90" t="s">
        <v>209</v>
      </c>
      <c r="AI90" t="s">
        <v>578</v>
      </c>
      <c r="AJ90" t="s">
        <v>579</v>
      </c>
      <c r="AM90" s="20" t="s">
        <v>6212</v>
      </c>
      <c r="AN90">
        <v>1</v>
      </c>
      <c r="AO90">
        <v>0.5</v>
      </c>
      <c r="AV90">
        <v>0.25</v>
      </c>
      <c r="BA90" t="s">
        <v>339</v>
      </c>
      <c r="BB90" t="s">
        <v>340</v>
      </c>
      <c r="BC90" t="str">
        <f t="shared" ref="BC90" si="115">"icon_"&amp;D90</f>
        <v>icon_franka</v>
      </c>
      <c r="BD90" t="str">
        <f t="shared" ref="BD90" si="116">"half_"&amp;D90</f>
        <v>half_franka</v>
      </c>
      <c r="BE90" t="str">
        <f t="shared" ref="BE90" si="117">D90</f>
        <v>franka</v>
      </c>
      <c r="BF90" t="s">
        <v>332</v>
      </c>
      <c r="BG90">
        <v>5</v>
      </c>
      <c r="BH90" t="s">
        <v>341</v>
      </c>
      <c r="BI90" t="s">
        <v>580</v>
      </c>
      <c r="BJ90" t="s">
        <v>445</v>
      </c>
      <c r="BK90" t="s">
        <v>581</v>
      </c>
      <c r="BL90" t="s">
        <v>210</v>
      </c>
      <c r="BM90" t="s">
        <v>211</v>
      </c>
      <c r="BO90" t="s">
        <v>213</v>
      </c>
      <c r="BP90" t="s">
        <v>213</v>
      </c>
      <c r="BR90">
        <v>1</v>
      </c>
    </row>
    <row r="91" spans="1:70" x14ac:dyDescent="0.25">
      <c r="A91" t="s">
        <v>48</v>
      </c>
      <c r="B91" t="s">
        <v>327</v>
      </c>
      <c r="D91" t="s">
        <v>582</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48</v>
      </c>
      <c r="AH91" t="s">
        <v>209</v>
      </c>
      <c r="AI91" t="s">
        <v>583</v>
      </c>
      <c r="AJ91" t="s">
        <v>584</v>
      </c>
      <c r="AM91" s="20" t="s">
        <v>6212</v>
      </c>
      <c r="AN91">
        <v>1</v>
      </c>
      <c r="AO91">
        <v>0.5</v>
      </c>
      <c r="AV91">
        <v>0.25</v>
      </c>
      <c r="BA91" t="s">
        <v>339</v>
      </c>
      <c r="BB91" t="s">
        <v>585</v>
      </c>
      <c r="BC91" t="str">
        <f t="shared" ref="BC91" si="119">"icon_"&amp;D91</f>
        <v>icon_tiger</v>
      </c>
      <c r="BD91" t="str">
        <f t="shared" ref="BD91" si="120">"half_"&amp;D91</f>
        <v>half_tiger</v>
      </c>
      <c r="BE91" t="str">
        <f t="shared" ref="BE91:BE92" si="121">D91</f>
        <v>tiger</v>
      </c>
      <c r="BF91" t="s">
        <v>332</v>
      </c>
      <c r="BG91">
        <v>5</v>
      </c>
      <c r="BH91" t="s">
        <v>341</v>
      </c>
      <c r="BI91" t="s">
        <v>586</v>
      </c>
      <c r="BJ91" t="s">
        <v>445</v>
      </c>
      <c r="BK91" t="s">
        <v>587</v>
      </c>
      <c r="BL91" t="s">
        <v>210</v>
      </c>
      <c r="BM91" t="s">
        <v>211</v>
      </c>
      <c r="BO91" t="s">
        <v>213</v>
      </c>
      <c r="BP91" t="s">
        <v>213</v>
      </c>
      <c r="BR91">
        <v>1</v>
      </c>
    </row>
    <row r="92" spans="1:70" x14ac:dyDescent="0.25">
      <c r="A92" t="s">
        <v>49</v>
      </c>
      <c r="B92" t="s">
        <v>327</v>
      </c>
      <c r="D92" t="s">
        <v>588</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49</v>
      </c>
      <c r="AH92" t="s">
        <v>209</v>
      </c>
      <c r="AI92" t="s">
        <v>589</v>
      </c>
      <c r="AJ92" t="s">
        <v>590</v>
      </c>
      <c r="AM92" s="20" t="s">
        <v>6212</v>
      </c>
      <c r="AN92">
        <v>2</v>
      </c>
      <c r="AO92">
        <v>0.5</v>
      </c>
      <c r="AV92">
        <v>0.25</v>
      </c>
      <c r="BA92" t="s">
        <v>339</v>
      </c>
      <c r="BB92" t="s">
        <v>382</v>
      </c>
      <c r="BC92" t="str">
        <f t="shared" ref="BC92" si="123">"icon_"&amp;D92</f>
        <v>icon_whitew</v>
      </c>
      <c r="BD92" t="str">
        <f t="shared" ref="BD92" si="124">"half_"&amp;D92</f>
        <v>half_whitew</v>
      </c>
      <c r="BE92" t="str">
        <f t="shared" si="121"/>
        <v>whitew</v>
      </c>
      <c r="BF92" t="s">
        <v>332</v>
      </c>
      <c r="BG92">
        <v>5</v>
      </c>
      <c r="BH92" t="s">
        <v>341</v>
      </c>
      <c r="BI92" t="s">
        <v>591</v>
      </c>
      <c r="BJ92" t="s">
        <v>384</v>
      </c>
      <c r="BK92" t="s">
        <v>592</v>
      </c>
      <c r="BL92" t="s">
        <v>210</v>
      </c>
      <c r="BM92" t="s">
        <v>211</v>
      </c>
      <c r="BO92" t="s">
        <v>213</v>
      </c>
      <c r="BP92" t="s">
        <v>213</v>
      </c>
      <c r="BR92">
        <v>1</v>
      </c>
    </row>
    <row r="93" spans="1:70" x14ac:dyDescent="0.25">
      <c r="A93" t="s">
        <v>50</v>
      </c>
      <c r="B93" t="s">
        <v>327</v>
      </c>
      <c r="D93" t="s">
        <v>310</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50</v>
      </c>
      <c r="AH93" t="s">
        <v>209</v>
      </c>
      <c r="AI93" t="s">
        <v>593</v>
      </c>
      <c r="AJ93" t="s">
        <v>594</v>
      </c>
      <c r="AM93" s="20" t="s">
        <v>6212</v>
      </c>
      <c r="AN93">
        <v>3</v>
      </c>
      <c r="AO93">
        <v>0.5</v>
      </c>
      <c r="AV93">
        <v>0.25</v>
      </c>
      <c r="BA93" t="s">
        <v>339</v>
      </c>
      <c r="BB93" t="s">
        <v>375</v>
      </c>
      <c r="BC93" t="str">
        <f t="shared" ref="BC93:BC94" si="126">"icon_"&amp;D93</f>
        <v>icon_ghost</v>
      </c>
      <c r="BD93" t="str">
        <f t="shared" ref="BD93:BD94" si="127">"half_"&amp;D93</f>
        <v>half_ghost</v>
      </c>
      <c r="BE93" t="str">
        <f t="shared" ref="BE93:BE94" si="128">D93</f>
        <v>ghost</v>
      </c>
      <c r="BF93" t="s">
        <v>332</v>
      </c>
      <c r="BG93">
        <v>5</v>
      </c>
      <c r="BH93" t="s">
        <v>341</v>
      </c>
      <c r="BI93" t="s">
        <v>595</v>
      </c>
      <c r="BJ93" t="s">
        <v>377</v>
      </c>
      <c r="BK93" t="s">
        <v>596</v>
      </c>
      <c r="BL93" t="s">
        <v>210</v>
      </c>
      <c r="BM93" t="s">
        <v>211</v>
      </c>
      <c r="BO93" t="s">
        <v>213</v>
      </c>
      <c r="BP93" t="s">
        <v>213</v>
      </c>
      <c r="BR93">
        <v>1</v>
      </c>
    </row>
    <row r="94" spans="1:70" x14ac:dyDescent="0.25">
      <c r="A94" t="s">
        <v>51</v>
      </c>
      <c r="B94" t="s">
        <v>327</v>
      </c>
      <c r="D94" t="s">
        <v>597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51</v>
      </c>
      <c r="AH94" t="s">
        <v>209</v>
      </c>
      <c r="AI94" t="s">
        <v>598</v>
      </c>
      <c r="AJ94" t="s">
        <v>599</v>
      </c>
      <c r="AM94" s="20" t="s">
        <v>6211</v>
      </c>
      <c r="AN94">
        <v>1</v>
      </c>
      <c r="AO94">
        <v>0.5</v>
      </c>
      <c r="AV94">
        <v>0.25</v>
      </c>
      <c r="BA94" t="s">
        <v>354</v>
      </c>
      <c r="BB94" t="s">
        <v>355</v>
      </c>
      <c r="BC94" t="str">
        <f t="shared" si="126"/>
        <v>icon_bluep</v>
      </c>
      <c r="BD94" t="str">
        <f t="shared" si="127"/>
        <v>half_bluep</v>
      </c>
      <c r="BE94" t="str">
        <f t="shared" si="128"/>
        <v>bluep</v>
      </c>
      <c r="BF94" t="s">
        <v>332</v>
      </c>
      <c r="BG94">
        <v>5</v>
      </c>
      <c r="BH94" t="s">
        <v>333</v>
      </c>
      <c r="BI94" t="s">
        <v>600</v>
      </c>
      <c r="BJ94" t="s">
        <v>357</v>
      </c>
      <c r="BK94" t="s">
        <v>601</v>
      </c>
      <c r="BL94" t="s">
        <v>210</v>
      </c>
      <c r="BM94" t="s">
        <v>211</v>
      </c>
      <c r="BO94" t="s">
        <v>213</v>
      </c>
      <c r="BP94" t="s">
        <v>213</v>
      </c>
      <c r="BR94">
        <v>1</v>
      </c>
    </row>
    <row r="95" spans="1:70" x14ac:dyDescent="0.25">
      <c r="A95" t="s">
        <v>52</v>
      </c>
      <c r="B95" t="s">
        <v>327</v>
      </c>
      <c r="D95" t="s">
        <v>602</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52</v>
      </c>
      <c r="AH95" t="s">
        <v>209</v>
      </c>
      <c r="AI95" t="s">
        <v>603</v>
      </c>
      <c r="AJ95" t="s">
        <v>604</v>
      </c>
      <c r="AM95" s="20" t="s">
        <v>6211</v>
      </c>
      <c r="AN95">
        <v>1</v>
      </c>
      <c r="AO95">
        <v>0.5</v>
      </c>
      <c r="AV95">
        <v>0.25</v>
      </c>
      <c r="BA95" t="s">
        <v>354</v>
      </c>
      <c r="BB95" t="s">
        <v>355</v>
      </c>
      <c r="BC95" t="str">
        <f t="shared" ref="BC95" si="130">"icon_"&amp;D95</f>
        <v>icon_platnm</v>
      </c>
      <c r="BD95" t="str">
        <f t="shared" ref="BD95" si="131">"half_"&amp;D95</f>
        <v>half_platnm</v>
      </c>
      <c r="BE95" t="str">
        <f t="shared" ref="BE95" si="132">D95</f>
        <v>platnm</v>
      </c>
      <c r="BF95" t="s">
        <v>332</v>
      </c>
      <c r="BG95">
        <v>5</v>
      </c>
      <c r="BH95" t="s">
        <v>333</v>
      </c>
      <c r="BI95" t="s">
        <v>465</v>
      </c>
      <c r="BJ95" t="s">
        <v>357</v>
      </c>
      <c r="BK95" t="s">
        <v>605</v>
      </c>
      <c r="BL95" t="s">
        <v>210</v>
      </c>
      <c r="BM95" t="s">
        <v>211</v>
      </c>
      <c r="BO95" t="s">
        <v>213</v>
      </c>
      <c r="BP95" t="s">
        <v>213</v>
      </c>
      <c r="BR95">
        <v>1</v>
      </c>
    </row>
    <row r="96" spans="1:70" x14ac:dyDescent="0.25">
      <c r="A96" t="s">
        <v>53</v>
      </c>
      <c r="B96" t="s">
        <v>327</v>
      </c>
      <c r="D96" t="s">
        <v>606</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53</v>
      </c>
      <c r="AH96" t="s">
        <v>209</v>
      </c>
      <c r="AI96" t="s">
        <v>607</v>
      </c>
      <c r="AJ96" t="s">
        <v>608</v>
      </c>
      <c r="AM96" s="20" t="s">
        <v>6211</v>
      </c>
      <c r="AN96">
        <v>1</v>
      </c>
      <c r="AO96">
        <v>0.5</v>
      </c>
      <c r="AV96">
        <v>0.25</v>
      </c>
      <c r="BA96" t="s">
        <v>354</v>
      </c>
      <c r="BB96" t="s">
        <v>389</v>
      </c>
      <c r="BC96" t="str">
        <f t="shared" ref="BC96" si="134">"icon_"&amp;D96</f>
        <v>icon_meteo</v>
      </c>
      <c r="BD96" t="str">
        <f t="shared" ref="BD96" si="135">"half_"&amp;D96</f>
        <v>half_meteo</v>
      </c>
      <c r="BE96" t="str">
        <f t="shared" ref="BE96" si="136">D96</f>
        <v>meteo</v>
      </c>
      <c r="BF96" t="s">
        <v>332</v>
      </c>
      <c r="BG96">
        <v>5</v>
      </c>
      <c r="BH96" t="s">
        <v>333</v>
      </c>
      <c r="BI96" t="s">
        <v>609</v>
      </c>
      <c r="BJ96" t="s">
        <v>391</v>
      </c>
      <c r="BK96" t="s">
        <v>610</v>
      </c>
      <c r="BL96" t="s">
        <v>210</v>
      </c>
      <c r="BM96" t="s">
        <v>211</v>
      </c>
      <c r="BO96" t="s">
        <v>213</v>
      </c>
      <c r="BP96" t="s">
        <v>213</v>
      </c>
      <c r="BR96">
        <v>1</v>
      </c>
    </row>
    <row r="97" spans="1:70" x14ac:dyDescent="0.25">
      <c r="A97" t="s">
        <v>54</v>
      </c>
      <c r="B97" t="s">
        <v>327</v>
      </c>
      <c r="D97" t="s">
        <v>611</v>
      </c>
      <c r="E97" s="2" t="s">
        <v>612</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54</v>
      </c>
      <c r="AH97" t="s">
        <v>209</v>
      </c>
      <c r="AI97" t="s">
        <v>613</v>
      </c>
      <c r="AJ97" t="s">
        <v>614</v>
      </c>
      <c r="AM97" s="20" t="s">
        <v>6211</v>
      </c>
      <c r="AN97">
        <v>1</v>
      </c>
      <c r="AO97">
        <v>0.5</v>
      </c>
      <c r="AV97">
        <v>0.25</v>
      </c>
      <c r="BA97" t="s">
        <v>361</v>
      </c>
      <c r="BB97" t="s">
        <v>362</v>
      </c>
      <c r="BC97" t="str">
        <f t="shared" ref="BC97" si="138">"icon_"&amp;D97</f>
        <v>icon_amiya</v>
      </c>
      <c r="BD97" t="str">
        <f t="shared" ref="BD97" si="139">"half_"&amp;D97</f>
        <v>half_amiya</v>
      </c>
      <c r="BE97" t="str">
        <f t="shared" ref="BE97" si="140">D97</f>
        <v>amiya</v>
      </c>
      <c r="BF97" t="s">
        <v>332</v>
      </c>
      <c r="BG97">
        <v>5</v>
      </c>
      <c r="BH97" t="s">
        <v>333</v>
      </c>
      <c r="BI97" t="s">
        <v>615</v>
      </c>
      <c r="BJ97" t="s">
        <v>363</v>
      </c>
      <c r="BK97" t="s">
        <v>616</v>
      </c>
      <c r="BL97" t="s">
        <v>210</v>
      </c>
      <c r="BM97" t="s">
        <v>211</v>
      </c>
      <c r="BO97" t="s">
        <v>213</v>
      </c>
      <c r="BP97" t="s">
        <v>213</v>
      </c>
      <c r="BR97">
        <v>1</v>
      </c>
    </row>
    <row r="98" spans="1:70" x14ac:dyDescent="0.25">
      <c r="A98" t="s">
        <v>55</v>
      </c>
      <c r="B98" t="s">
        <v>327</v>
      </c>
      <c r="D98" t="s">
        <v>617</v>
      </c>
      <c r="E98" s="2" t="s">
        <v>618</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55</v>
      </c>
      <c r="AH98" t="s">
        <v>209</v>
      </c>
      <c r="AI98" t="s">
        <v>619</v>
      </c>
      <c r="AJ98" t="s">
        <v>620</v>
      </c>
      <c r="AM98" s="20" t="s">
        <v>6211</v>
      </c>
      <c r="AN98">
        <v>1</v>
      </c>
      <c r="AO98">
        <v>0.5</v>
      </c>
      <c r="AV98">
        <v>0.25</v>
      </c>
      <c r="BA98" t="s">
        <v>361</v>
      </c>
      <c r="BB98" t="s">
        <v>420</v>
      </c>
      <c r="BC98" t="str">
        <f t="shared" ref="BC98" si="142">"icon_"&amp;D98</f>
        <v>icon_skfire</v>
      </c>
      <c r="BD98" t="str">
        <f t="shared" ref="BD98" si="143">"half_"&amp;D98</f>
        <v>half_skfire</v>
      </c>
      <c r="BE98" t="str">
        <f t="shared" ref="BE98" si="144">D98</f>
        <v>skfire</v>
      </c>
      <c r="BF98" t="s">
        <v>332</v>
      </c>
      <c r="BG98">
        <v>5</v>
      </c>
      <c r="BH98" t="s">
        <v>333</v>
      </c>
      <c r="BI98" t="s">
        <v>450</v>
      </c>
      <c r="BJ98" t="s">
        <v>421</v>
      </c>
      <c r="BK98" t="s">
        <v>621</v>
      </c>
      <c r="BL98" t="s">
        <v>210</v>
      </c>
      <c r="BM98" t="s">
        <v>211</v>
      </c>
      <c r="BO98" t="s">
        <v>213</v>
      </c>
      <c r="BP98" t="s">
        <v>213</v>
      </c>
      <c r="BR98">
        <v>1</v>
      </c>
    </row>
    <row r="99" spans="1:70" x14ac:dyDescent="0.25">
      <c r="A99" t="s">
        <v>56</v>
      </c>
      <c r="B99" t="s">
        <v>327</v>
      </c>
      <c r="D99" t="s">
        <v>622</v>
      </c>
      <c r="E99" s="2" t="s">
        <v>623</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56</v>
      </c>
      <c r="AH99" t="s">
        <v>209</v>
      </c>
      <c r="AI99" t="s">
        <v>624</v>
      </c>
      <c r="AJ99" t="s">
        <v>625</v>
      </c>
      <c r="AM99" s="20" t="s">
        <v>6211</v>
      </c>
      <c r="AN99">
        <v>1</v>
      </c>
      <c r="AO99">
        <v>0.5</v>
      </c>
      <c r="AV99">
        <v>0.25</v>
      </c>
      <c r="BA99" t="s">
        <v>396</v>
      </c>
      <c r="BB99" t="s">
        <v>557</v>
      </c>
      <c r="BC99" t="str">
        <f t="shared" ref="BC99:BC102" si="146">"icon_"&amp;D99</f>
        <v>icon_otter</v>
      </c>
      <c r="BD99" t="str">
        <f t="shared" ref="BD99:BD102" si="147">"half_"&amp;D99</f>
        <v>half_otter</v>
      </c>
      <c r="BE99" t="str">
        <f t="shared" ref="BE99:BE102" si="148">D99</f>
        <v>otter</v>
      </c>
      <c r="BF99" t="s">
        <v>332</v>
      </c>
      <c r="BG99">
        <v>5</v>
      </c>
      <c r="BH99" t="s">
        <v>333</v>
      </c>
      <c r="BI99" t="s">
        <v>575</v>
      </c>
      <c r="BJ99" t="s">
        <v>559</v>
      </c>
      <c r="BK99" t="s">
        <v>626</v>
      </c>
      <c r="BL99" t="s">
        <v>210</v>
      </c>
      <c r="BM99" t="s">
        <v>211</v>
      </c>
      <c r="BO99" t="s">
        <v>213</v>
      </c>
      <c r="BP99" t="s">
        <v>213</v>
      </c>
      <c r="BQ99" t="s">
        <v>627</v>
      </c>
      <c r="BR99">
        <v>1</v>
      </c>
    </row>
    <row r="100" spans="1:70" x14ac:dyDescent="0.25">
      <c r="A100" t="s">
        <v>628</v>
      </c>
      <c r="B100" t="s">
        <v>327</v>
      </c>
      <c r="D100" t="s">
        <v>622</v>
      </c>
      <c r="E100" s="2" t="s">
        <v>623</v>
      </c>
      <c r="F100" t="s">
        <v>629</v>
      </c>
      <c r="G100">
        <v>1</v>
      </c>
      <c r="I100">
        <v>2</v>
      </c>
      <c r="J100">
        <v>80</v>
      </c>
      <c r="K100">
        <v>1950</v>
      </c>
      <c r="M100">
        <v>444</v>
      </c>
      <c r="O100">
        <v>415</v>
      </c>
      <c r="Q100">
        <v>0</v>
      </c>
      <c r="S100">
        <v>5</v>
      </c>
      <c r="U100">
        <v>0.5</v>
      </c>
      <c r="V100">
        <v>10</v>
      </c>
      <c r="Y100">
        <v>0.05</v>
      </c>
      <c r="Z100">
        <v>1.25</v>
      </c>
      <c r="AC100">
        <v>1</v>
      </c>
      <c r="AG100" t="s">
        <v>628</v>
      </c>
      <c r="AH100" t="s">
        <v>209</v>
      </c>
      <c r="AI100" t="s">
        <v>630</v>
      </c>
      <c r="AK100">
        <v>1</v>
      </c>
      <c r="AM100" s="20" t="s">
        <v>6212</v>
      </c>
      <c r="AN100">
        <v>1</v>
      </c>
      <c r="AO100">
        <v>0.5</v>
      </c>
      <c r="AV100">
        <v>0.25</v>
      </c>
      <c r="BA100" t="s">
        <v>396</v>
      </c>
      <c r="BC100" t="s">
        <v>631</v>
      </c>
      <c r="BD100" t="str">
        <f t="shared" si="147"/>
        <v>half_otter</v>
      </c>
      <c r="BE100" t="str">
        <f t="shared" si="148"/>
        <v>otter</v>
      </c>
      <c r="BF100" t="s">
        <v>332</v>
      </c>
      <c r="BG100">
        <v>5</v>
      </c>
      <c r="BH100" t="s">
        <v>341</v>
      </c>
      <c r="BI100" t="s">
        <v>566</v>
      </c>
      <c r="BL100" t="s">
        <v>210</v>
      </c>
      <c r="BM100" t="s">
        <v>211</v>
      </c>
      <c r="BO100" t="s">
        <v>213</v>
      </c>
      <c r="BP100" t="s">
        <v>213</v>
      </c>
      <c r="BR100">
        <v>1</v>
      </c>
    </row>
    <row r="101" spans="1:70" x14ac:dyDescent="0.25">
      <c r="A101" t="s">
        <v>57</v>
      </c>
      <c r="B101" t="s">
        <v>327</v>
      </c>
      <c r="D101" t="s">
        <v>632</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57</v>
      </c>
      <c r="AH101" t="s">
        <v>209</v>
      </c>
      <c r="AI101" t="s">
        <v>633</v>
      </c>
      <c r="AJ101" t="s">
        <v>634</v>
      </c>
      <c r="AM101" s="20" t="s">
        <v>6212</v>
      </c>
      <c r="AN101">
        <v>3</v>
      </c>
      <c r="AO101">
        <v>0.5</v>
      </c>
      <c r="AV101">
        <v>0.25</v>
      </c>
      <c r="BA101" t="s">
        <v>347</v>
      </c>
      <c r="BB101" t="s">
        <v>368</v>
      </c>
      <c r="BC101" t="str">
        <f t="shared" si="146"/>
        <v>icon_nearl</v>
      </c>
      <c r="BD101" t="str">
        <f t="shared" si="147"/>
        <v>half_nearl</v>
      </c>
      <c r="BE101" t="str">
        <f t="shared" si="148"/>
        <v>nearl</v>
      </c>
      <c r="BF101" t="s">
        <v>332</v>
      </c>
      <c r="BG101">
        <v>5</v>
      </c>
      <c r="BH101" t="s">
        <v>341</v>
      </c>
      <c r="BI101" t="s">
        <v>635</v>
      </c>
      <c r="BJ101" t="s">
        <v>370</v>
      </c>
      <c r="BK101" t="s">
        <v>636</v>
      </c>
      <c r="BL101" t="s">
        <v>210</v>
      </c>
      <c r="BM101" t="s">
        <v>211</v>
      </c>
      <c r="BO101" t="s">
        <v>213</v>
      </c>
      <c r="BP101" t="s">
        <v>213</v>
      </c>
      <c r="BR101">
        <v>1</v>
      </c>
    </row>
    <row r="102" spans="1:70" x14ac:dyDescent="0.25">
      <c r="A102" t="s">
        <v>58</v>
      </c>
      <c r="B102" t="s">
        <v>327</v>
      </c>
      <c r="D102" t="s">
        <v>637</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58</v>
      </c>
      <c r="AH102" t="s">
        <v>209</v>
      </c>
      <c r="AI102" t="s">
        <v>638</v>
      </c>
      <c r="AJ102" t="s">
        <v>639</v>
      </c>
      <c r="AM102" s="20" t="s">
        <v>6211</v>
      </c>
      <c r="AN102">
        <v>1</v>
      </c>
      <c r="AO102">
        <v>0.5</v>
      </c>
      <c r="AV102">
        <v>0.25</v>
      </c>
      <c r="BA102" t="s">
        <v>330</v>
      </c>
      <c r="BB102" t="s">
        <v>331</v>
      </c>
      <c r="BC102" t="str">
        <f t="shared" si="146"/>
        <v>icon_silent</v>
      </c>
      <c r="BD102" t="str">
        <f t="shared" si="147"/>
        <v>half_silent</v>
      </c>
      <c r="BE102" t="str">
        <f t="shared" si="148"/>
        <v>silent</v>
      </c>
      <c r="BF102" t="s">
        <v>332</v>
      </c>
      <c r="BG102">
        <v>5</v>
      </c>
      <c r="BH102" t="s">
        <v>333</v>
      </c>
      <c r="BI102" t="s">
        <v>575</v>
      </c>
      <c r="BJ102" t="s">
        <v>410</v>
      </c>
      <c r="BK102" t="s">
        <v>640</v>
      </c>
      <c r="BL102" t="s">
        <v>210</v>
      </c>
      <c r="BM102" t="s">
        <v>211</v>
      </c>
      <c r="BO102" t="s">
        <v>213</v>
      </c>
      <c r="BP102" t="s">
        <v>213</v>
      </c>
      <c r="BR102">
        <v>1</v>
      </c>
    </row>
    <row r="103" spans="1:70" x14ac:dyDescent="0.25">
      <c r="A103" t="s">
        <v>641</v>
      </c>
      <c r="B103" t="s">
        <v>327</v>
      </c>
      <c r="D103" t="s">
        <v>637</v>
      </c>
      <c r="E103">
        <v>108</v>
      </c>
      <c r="F103" t="s">
        <v>642</v>
      </c>
      <c r="G103">
        <v>1</v>
      </c>
      <c r="I103">
        <v>2</v>
      </c>
      <c r="J103">
        <v>80</v>
      </c>
      <c r="K103">
        <v>1000</v>
      </c>
      <c r="M103">
        <v>125</v>
      </c>
      <c r="O103">
        <v>0</v>
      </c>
      <c r="Q103">
        <v>0</v>
      </c>
      <c r="S103">
        <v>5</v>
      </c>
      <c r="U103">
        <v>0.5</v>
      </c>
      <c r="V103">
        <v>5</v>
      </c>
      <c r="Y103">
        <v>0.05</v>
      </c>
      <c r="Z103">
        <v>0.5</v>
      </c>
      <c r="AC103">
        <v>0</v>
      </c>
      <c r="AD103">
        <v>1</v>
      </c>
      <c r="AG103" t="s">
        <v>641</v>
      </c>
      <c r="AH103" t="s">
        <v>209</v>
      </c>
      <c r="AI103" t="s">
        <v>643</v>
      </c>
      <c r="AK103">
        <v>1</v>
      </c>
      <c r="AM103" s="20" t="s">
        <v>6212</v>
      </c>
      <c r="AN103">
        <v>0</v>
      </c>
      <c r="AO103">
        <v>0.5</v>
      </c>
      <c r="AV103">
        <v>0.25</v>
      </c>
      <c r="AZ103">
        <v>10</v>
      </c>
      <c r="BA103" t="s">
        <v>330</v>
      </c>
      <c r="BC103" t="s">
        <v>644</v>
      </c>
      <c r="BD103" t="str">
        <f t="shared" ref="BD103:BD106" si="150">"half_"&amp;D103</f>
        <v>half_silent</v>
      </c>
      <c r="BE103" t="str">
        <f t="shared" ref="BE103:BE106" si="151">D103</f>
        <v>silent</v>
      </c>
      <c r="BF103" t="s">
        <v>332</v>
      </c>
      <c r="BG103">
        <v>5</v>
      </c>
      <c r="BH103" t="s">
        <v>341</v>
      </c>
      <c r="BI103" t="s">
        <v>645</v>
      </c>
      <c r="BL103" t="s">
        <v>210</v>
      </c>
      <c r="BM103" t="s">
        <v>211</v>
      </c>
      <c r="BR103">
        <v>1</v>
      </c>
    </row>
    <row r="104" spans="1:70" x14ac:dyDescent="0.25">
      <c r="A104" t="s">
        <v>59</v>
      </c>
      <c r="B104" t="s">
        <v>327</v>
      </c>
      <c r="D104" t="s">
        <v>646</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59</v>
      </c>
      <c r="AH104" t="s">
        <v>209</v>
      </c>
      <c r="AI104" t="s">
        <v>647</v>
      </c>
      <c r="AJ104" t="s">
        <v>648</v>
      </c>
      <c r="AM104" s="20" t="s">
        <v>6211</v>
      </c>
      <c r="AN104">
        <v>1</v>
      </c>
      <c r="AO104">
        <v>0.5</v>
      </c>
      <c r="AV104">
        <v>0.25</v>
      </c>
      <c r="BA104" t="s">
        <v>330</v>
      </c>
      <c r="BB104" t="s">
        <v>331</v>
      </c>
      <c r="BC104" t="str">
        <f t="shared" ref="BC104:BC106" si="153">"icon_"&amp;D104</f>
        <v>icon_bldsk</v>
      </c>
      <c r="BD104" t="str">
        <f t="shared" si="150"/>
        <v>half_bldsk</v>
      </c>
      <c r="BE104" t="str">
        <f t="shared" si="151"/>
        <v>bldsk</v>
      </c>
      <c r="BF104" t="s">
        <v>332</v>
      </c>
      <c r="BG104">
        <v>5</v>
      </c>
      <c r="BH104" t="s">
        <v>333</v>
      </c>
      <c r="BI104" t="s">
        <v>609</v>
      </c>
      <c r="BJ104" t="s">
        <v>410</v>
      </c>
      <c r="BK104" t="s">
        <v>649</v>
      </c>
      <c r="BL104" t="s">
        <v>210</v>
      </c>
      <c r="BM104" t="s">
        <v>211</v>
      </c>
      <c r="BO104" t="s">
        <v>213</v>
      </c>
      <c r="BP104" t="s">
        <v>213</v>
      </c>
      <c r="BR104">
        <v>1</v>
      </c>
    </row>
    <row r="105" spans="1:70" x14ac:dyDescent="0.25">
      <c r="A105" t="s">
        <v>60</v>
      </c>
      <c r="B105" t="s">
        <v>327</v>
      </c>
      <c r="D105" t="s">
        <v>650</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60</v>
      </c>
      <c r="AH105" t="s">
        <v>209</v>
      </c>
      <c r="AI105" t="s">
        <v>651</v>
      </c>
      <c r="AJ105" t="s">
        <v>652</v>
      </c>
      <c r="AM105" s="20" t="s">
        <v>6212</v>
      </c>
      <c r="AN105">
        <v>1</v>
      </c>
      <c r="AO105">
        <v>0.5</v>
      </c>
      <c r="AV105">
        <v>0.25</v>
      </c>
      <c r="BA105" t="s">
        <v>504</v>
      </c>
      <c r="BB105" t="s">
        <v>505</v>
      </c>
      <c r="BC105" t="str">
        <f t="shared" si="153"/>
        <v>icon_red</v>
      </c>
      <c r="BD105" t="str">
        <f t="shared" si="150"/>
        <v>half_red</v>
      </c>
      <c r="BE105" t="str">
        <f t="shared" si="151"/>
        <v>red</v>
      </c>
      <c r="BF105" t="s">
        <v>332</v>
      </c>
      <c r="BG105">
        <v>5</v>
      </c>
      <c r="BH105" t="s">
        <v>341</v>
      </c>
      <c r="BI105" t="s">
        <v>653</v>
      </c>
      <c r="BJ105" t="s">
        <v>507</v>
      </c>
      <c r="BK105" t="s">
        <v>654</v>
      </c>
      <c r="BL105" t="s">
        <v>210</v>
      </c>
      <c r="BM105" t="s">
        <v>211</v>
      </c>
      <c r="BO105" t="s">
        <v>213</v>
      </c>
      <c r="BP105" t="s">
        <v>213</v>
      </c>
      <c r="BR105">
        <v>1</v>
      </c>
    </row>
    <row r="106" spans="1:70" x14ac:dyDescent="0.25">
      <c r="A106" t="s">
        <v>61</v>
      </c>
      <c r="B106" t="s">
        <v>327</v>
      </c>
      <c r="D106" t="s">
        <v>655</v>
      </c>
      <c r="E106">
        <v>107</v>
      </c>
      <c r="F106" t="s">
        <v>656</v>
      </c>
      <c r="G106">
        <v>1</v>
      </c>
      <c r="I106">
        <v>2</v>
      </c>
      <c r="J106">
        <v>80</v>
      </c>
      <c r="K106">
        <v>3240</v>
      </c>
      <c r="M106">
        <v>425</v>
      </c>
      <c r="N106">
        <v>45</v>
      </c>
      <c r="O106">
        <v>710</v>
      </c>
      <c r="P106">
        <v>72</v>
      </c>
      <c r="Q106">
        <v>13</v>
      </c>
      <c r="S106">
        <v>22</v>
      </c>
      <c r="T106">
        <v>-2</v>
      </c>
      <c r="U106">
        <v>0.5</v>
      </c>
      <c r="V106">
        <v>70</v>
      </c>
      <c r="W106">
        <v>-4</v>
      </c>
      <c r="Y106">
        <v>0.05</v>
      </c>
      <c r="Z106">
        <v>1.2</v>
      </c>
      <c r="AC106">
        <v>1</v>
      </c>
      <c r="AG106" t="s">
        <v>61</v>
      </c>
      <c r="AH106" t="s">
        <v>209</v>
      </c>
      <c r="AI106" t="s">
        <v>657</v>
      </c>
      <c r="AJ106" t="s">
        <v>658</v>
      </c>
      <c r="AM106" s="20" t="s">
        <v>6212</v>
      </c>
      <c r="AN106">
        <v>3</v>
      </c>
      <c r="AO106">
        <v>0.5</v>
      </c>
      <c r="AV106">
        <v>0.25</v>
      </c>
      <c r="BA106" t="s">
        <v>347</v>
      </c>
      <c r="BB106" t="s">
        <v>348</v>
      </c>
      <c r="BC106" t="str">
        <f t="shared" si="153"/>
        <v>icon_liskam</v>
      </c>
      <c r="BD106" t="str">
        <f t="shared" si="150"/>
        <v>half_liskam</v>
      </c>
      <c r="BE106" t="str">
        <f t="shared" si="151"/>
        <v>liskam</v>
      </c>
      <c r="BF106" t="s">
        <v>332</v>
      </c>
      <c r="BG106">
        <v>5</v>
      </c>
      <c r="BH106" t="s">
        <v>341</v>
      </c>
      <c r="BI106" t="s">
        <v>580</v>
      </c>
      <c r="BJ106" t="s">
        <v>350</v>
      </c>
      <c r="BK106" t="s">
        <v>659</v>
      </c>
      <c r="BL106" t="s">
        <v>210</v>
      </c>
      <c r="BM106" t="s">
        <v>211</v>
      </c>
      <c r="BO106" t="s">
        <v>213</v>
      </c>
      <c r="BP106" t="s">
        <v>213</v>
      </c>
      <c r="BR106">
        <v>1</v>
      </c>
    </row>
    <row r="107" spans="1:70" x14ac:dyDescent="0.25">
      <c r="A107" t="s">
        <v>62</v>
      </c>
      <c r="B107" t="s">
        <v>327</v>
      </c>
      <c r="D107" t="s">
        <v>660</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62</v>
      </c>
      <c r="AH107" t="s">
        <v>209</v>
      </c>
      <c r="AI107" t="s">
        <v>661</v>
      </c>
      <c r="AJ107" t="s">
        <v>662</v>
      </c>
      <c r="AM107" s="20" t="s">
        <v>6212</v>
      </c>
      <c r="AN107">
        <v>3</v>
      </c>
      <c r="AO107">
        <v>0.5</v>
      </c>
      <c r="AV107">
        <v>0.25</v>
      </c>
      <c r="BA107" t="s">
        <v>347</v>
      </c>
      <c r="BB107" t="s">
        <v>348</v>
      </c>
      <c r="BC107" t="str">
        <f t="shared" ref="BC107" si="155">"icon_"&amp;D107</f>
        <v>icon_moeshd</v>
      </c>
      <c r="BD107" t="str">
        <f t="shared" ref="BD107" si="156">"half_"&amp;D107</f>
        <v>half_moeshd</v>
      </c>
      <c r="BE107" t="str">
        <f t="shared" ref="BE107" si="157">D107</f>
        <v>moeshd</v>
      </c>
      <c r="BF107" t="s">
        <v>332</v>
      </c>
      <c r="BG107">
        <v>5</v>
      </c>
      <c r="BH107" t="s">
        <v>341</v>
      </c>
      <c r="BI107" t="s">
        <v>663</v>
      </c>
      <c r="BJ107" t="s">
        <v>350</v>
      </c>
      <c r="BK107" t="s">
        <v>664</v>
      </c>
      <c r="BL107" t="s">
        <v>210</v>
      </c>
      <c r="BM107" t="s">
        <v>211</v>
      </c>
      <c r="BO107" t="s">
        <v>213</v>
      </c>
      <c r="BP107" t="s">
        <v>213</v>
      </c>
      <c r="BQ107" t="s">
        <v>627</v>
      </c>
      <c r="BR107">
        <v>1</v>
      </c>
    </row>
    <row r="108" spans="1:70" x14ac:dyDescent="0.25">
      <c r="A108" t="s">
        <v>63</v>
      </c>
      <c r="B108" t="s">
        <v>327</v>
      </c>
      <c r="D108" t="s">
        <v>665</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63</v>
      </c>
      <c r="AH108" t="s">
        <v>209</v>
      </c>
      <c r="AI108" t="s">
        <v>666</v>
      </c>
      <c r="AJ108" t="s">
        <v>667</v>
      </c>
      <c r="AM108" s="20" t="s">
        <v>6212</v>
      </c>
      <c r="AN108">
        <v>3</v>
      </c>
      <c r="AO108">
        <v>0.5</v>
      </c>
      <c r="AV108">
        <v>0.25</v>
      </c>
      <c r="BA108" t="s">
        <v>347</v>
      </c>
      <c r="BB108" t="s">
        <v>668</v>
      </c>
      <c r="BC108" t="str">
        <f t="shared" ref="BC108:BC109" si="159">"icon_"&amp;D108</f>
        <v>icon_hpsts</v>
      </c>
      <c r="BD108" t="str">
        <f t="shared" ref="BD108:BD109" si="160">"half_"&amp;D108</f>
        <v>half_hpsts</v>
      </c>
      <c r="BE108" t="str">
        <f t="shared" ref="BE108:BE109" si="161">D108</f>
        <v>hpsts</v>
      </c>
      <c r="BF108" t="s">
        <v>332</v>
      </c>
      <c r="BG108">
        <v>5</v>
      </c>
      <c r="BH108" t="s">
        <v>341</v>
      </c>
      <c r="BI108" t="s">
        <v>669</v>
      </c>
      <c r="BJ108" t="s">
        <v>670</v>
      </c>
      <c r="BK108" t="s">
        <v>671</v>
      </c>
      <c r="BL108" t="s">
        <v>210</v>
      </c>
      <c r="BM108" t="s">
        <v>211</v>
      </c>
      <c r="BO108" t="s">
        <v>213</v>
      </c>
      <c r="BP108" t="s">
        <v>213</v>
      </c>
      <c r="BR108">
        <v>1</v>
      </c>
    </row>
    <row r="109" spans="1:70" x14ac:dyDescent="0.25">
      <c r="A109" t="s">
        <v>64</v>
      </c>
      <c r="B109" t="s">
        <v>327</v>
      </c>
      <c r="D109" t="s">
        <v>672</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64</v>
      </c>
      <c r="AH109" t="s">
        <v>209</v>
      </c>
      <c r="AI109" t="s">
        <v>673</v>
      </c>
      <c r="AJ109" t="s">
        <v>674</v>
      </c>
      <c r="AM109" s="20" t="s">
        <v>6211</v>
      </c>
      <c r="AN109">
        <v>1</v>
      </c>
      <c r="AO109">
        <v>0.5</v>
      </c>
      <c r="AV109">
        <v>0.25</v>
      </c>
      <c r="BA109" t="s">
        <v>354</v>
      </c>
      <c r="BB109" t="s">
        <v>675</v>
      </c>
      <c r="BC109" t="str">
        <f t="shared" si="159"/>
        <v>icon_prove</v>
      </c>
      <c r="BD109" t="str">
        <f t="shared" si="160"/>
        <v>half_prove</v>
      </c>
      <c r="BE109" t="str">
        <f t="shared" si="161"/>
        <v>prove</v>
      </c>
      <c r="BF109" t="s">
        <v>332</v>
      </c>
      <c r="BG109">
        <v>5</v>
      </c>
      <c r="BH109" t="s">
        <v>333</v>
      </c>
      <c r="BI109" t="s">
        <v>676</v>
      </c>
      <c r="BJ109" t="s">
        <v>677</v>
      </c>
      <c r="BK109" t="s">
        <v>678</v>
      </c>
      <c r="BL109" t="s">
        <v>210</v>
      </c>
      <c r="BM109" t="s">
        <v>211</v>
      </c>
      <c r="BO109" t="s">
        <v>213</v>
      </c>
      <c r="BP109" t="s">
        <v>213</v>
      </c>
      <c r="BR109">
        <v>1</v>
      </c>
    </row>
    <row r="110" spans="1:70" x14ac:dyDescent="0.25">
      <c r="A110" t="s">
        <v>65</v>
      </c>
      <c r="B110" t="s">
        <v>327</v>
      </c>
      <c r="D110" t="s">
        <v>679</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65</v>
      </c>
      <c r="AH110" t="s">
        <v>209</v>
      </c>
      <c r="AI110" t="s">
        <v>680</v>
      </c>
      <c r="AJ110" t="s">
        <v>681</v>
      </c>
      <c r="AM110" s="20" t="s">
        <v>6211</v>
      </c>
      <c r="AN110">
        <v>1</v>
      </c>
      <c r="AO110">
        <v>0.5</v>
      </c>
      <c r="AV110">
        <v>0.25</v>
      </c>
      <c r="BA110" t="s">
        <v>354</v>
      </c>
      <c r="BB110" t="s">
        <v>321</v>
      </c>
      <c r="BC110" t="str">
        <f t="shared" ref="BC110:BC111" si="163">"icon_"&amp;D110</f>
        <v>icon_milu</v>
      </c>
      <c r="BD110" t="str">
        <f t="shared" ref="BD110:BD111" si="164">"half_"&amp;D110</f>
        <v>half_milu</v>
      </c>
      <c r="BE110" t="str">
        <f t="shared" ref="BE110:BE111" si="165">D110</f>
        <v>milu</v>
      </c>
      <c r="BF110" t="s">
        <v>332</v>
      </c>
      <c r="BG110">
        <v>5</v>
      </c>
      <c r="BH110" t="s">
        <v>333</v>
      </c>
      <c r="BI110" t="s">
        <v>334</v>
      </c>
      <c r="BJ110" t="s">
        <v>682</v>
      </c>
      <c r="BK110" t="s">
        <v>683</v>
      </c>
      <c r="BL110" t="s">
        <v>210</v>
      </c>
      <c r="BM110" t="s">
        <v>211</v>
      </c>
      <c r="BO110" t="s">
        <v>213</v>
      </c>
      <c r="BP110" t="s">
        <v>213</v>
      </c>
      <c r="BQ110" t="s">
        <v>627</v>
      </c>
      <c r="BR110">
        <v>1</v>
      </c>
    </row>
    <row r="111" spans="1:70" x14ac:dyDescent="0.25">
      <c r="A111" t="s">
        <v>66</v>
      </c>
      <c r="B111" t="s">
        <v>327</v>
      </c>
      <c r="D111" t="s">
        <v>684</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66</v>
      </c>
      <c r="AH111" t="s">
        <v>209</v>
      </c>
      <c r="AI111" t="s">
        <v>685</v>
      </c>
      <c r="AJ111" t="s">
        <v>686</v>
      </c>
      <c r="AM111" s="20" t="s">
        <v>6213</v>
      </c>
      <c r="AN111">
        <v>2</v>
      </c>
      <c r="AO111">
        <v>0.5</v>
      </c>
      <c r="AV111">
        <v>0.25</v>
      </c>
      <c r="BA111" t="s">
        <v>504</v>
      </c>
      <c r="BB111" t="s">
        <v>512</v>
      </c>
      <c r="BC111" t="str">
        <f t="shared" si="163"/>
        <v>icon_slchan</v>
      </c>
      <c r="BD111" t="str">
        <f t="shared" si="164"/>
        <v>half_slchan</v>
      </c>
      <c r="BE111" t="str">
        <f t="shared" si="165"/>
        <v>slchan</v>
      </c>
      <c r="BF111" t="s">
        <v>332</v>
      </c>
      <c r="BG111">
        <v>5</v>
      </c>
      <c r="BH111" t="s">
        <v>341</v>
      </c>
      <c r="BI111" t="s">
        <v>542</v>
      </c>
      <c r="BJ111" t="s">
        <v>514</v>
      </c>
      <c r="BK111" t="s">
        <v>687</v>
      </c>
      <c r="BL111" t="s">
        <v>210</v>
      </c>
      <c r="BM111" t="s">
        <v>211</v>
      </c>
      <c r="BO111" t="s">
        <v>213</v>
      </c>
      <c r="BP111" t="s">
        <v>213</v>
      </c>
      <c r="BR111">
        <v>1</v>
      </c>
    </row>
    <row r="112" spans="1:70" x14ac:dyDescent="0.25">
      <c r="A112" t="s">
        <v>67</v>
      </c>
      <c r="B112" t="s">
        <v>327</v>
      </c>
      <c r="D112" t="s">
        <v>688</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67</v>
      </c>
      <c r="AH112" t="s">
        <v>209</v>
      </c>
      <c r="AI112" t="s">
        <v>689</v>
      </c>
      <c r="AJ112" t="s">
        <v>690</v>
      </c>
      <c r="AM112" s="20" t="s">
        <v>6211</v>
      </c>
      <c r="AN112">
        <v>1</v>
      </c>
      <c r="AO112">
        <v>0.5</v>
      </c>
      <c r="AV112">
        <v>0.25</v>
      </c>
      <c r="BA112" t="s">
        <v>396</v>
      </c>
      <c r="BB112" t="s">
        <v>691</v>
      </c>
      <c r="BC112" t="str">
        <f t="shared" ref="BC112" si="167">"icon_"&amp;D112</f>
        <v>icon_slbell</v>
      </c>
      <c r="BD112" t="str">
        <f t="shared" ref="BD112" si="168">"half_"&amp;D112</f>
        <v>half_slbell</v>
      </c>
      <c r="BE112" t="str">
        <f t="shared" ref="BE112" si="169">D112</f>
        <v>slbell</v>
      </c>
      <c r="BF112" t="s">
        <v>332</v>
      </c>
      <c r="BG112">
        <v>5</v>
      </c>
      <c r="BH112" t="s">
        <v>333</v>
      </c>
      <c r="BI112" t="s">
        <v>692</v>
      </c>
      <c r="BJ112" t="s">
        <v>363</v>
      </c>
      <c r="BK112" t="s">
        <v>693</v>
      </c>
      <c r="BL112" t="s">
        <v>210</v>
      </c>
      <c r="BM112" t="s">
        <v>211</v>
      </c>
      <c r="BO112" t="s">
        <v>213</v>
      </c>
      <c r="BP112" t="s">
        <v>213</v>
      </c>
      <c r="BR112">
        <v>1</v>
      </c>
    </row>
    <row r="113" spans="1:70" x14ac:dyDescent="0.25">
      <c r="A113" t="s">
        <v>68</v>
      </c>
      <c r="B113" t="s">
        <v>327</v>
      </c>
      <c r="D113" t="s">
        <v>694</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68</v>
      </c>
      <c r="AH113" t="s">
        <v>209</v>
      </c>
      <c r="AI113" t="s">
        <v>695</v>
      </c>
      <c r="AJ113" t="s">
        <v>696</v>
      </c>
      <c r="AM113" s="20" t="s">
        <v>6211</v>
      </c>
      <c r="AN113">
        <v>1</v>
      </c>
      <c r="AO113">
        <v>0.5</v>
      </c>
      <c r="AV113">
        <v>0.25</v>
      </c>
      <c r="BA113" t="s">
        <v>396</v>
      </c>
      <c r="BB113" t="s">
        <v>397</v>
      </c>
      <c r="BC113" t="str">
        <f t="shared" ref="BC113" si="171">"icon_"&amp;D113</f>
        <v>icon_glassb</v>
      </c>
      <c r="BD113" t="str">
        <f t="shared" ref="BD113" si="172">"half_"&amp;D113</f>
        <v>half_glassb</v>
      </c>
      <c r="BE113" t="str">
        <f t="shared" ref="BE113" si="173">D113</f>
        <v>glassb</v>
      </c>
      <c r="BF113" t="s">
        <v>332</v>
      </c>
      <c r="BG113">
        <v>5</v>
      </c>
      <c r="BH113" t="s">
        <v>333</v>
      </c>
      <c r="BI113" t="s">
        <v>697</v>
      </c>
      <c r="BJ113" t="s">
        <v>399</v>
      </c>
      <c r="BK113" t="s">
        <v>698</v>
      </c>
      <c r="BL113" t="s">
        <v>210</v>
      </c>
      <c r="BM113" t="s">
        <v>211</v>
      </c>
      <c r="BO113" t="s">
        <v>213</v>
      </c>
      <c r="BP113" t="s">
        <v>213</v>
      </c>
      <c r="BQ113" t="s">
        <v>516</v>
      </c>
      <c r="BR113">
        <v>2</v>
      </c>
    </row>
    <row r="114" spans="1:70" x14ac:dyDescent="0.25">
      <c r="A114" t="s">
        <v>69</v>
      </c>
      <c r="B114" t="s">
        <v>327</v>
      </c>
      <c r="D114" t="s">
        <v>699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69</v>
      </c>
      <c r="AH114" t="s">
        <v>209</v>
      </c>
      <c r="AI114" t="s">
        <v>700</v>
      </c>
      <c r="AJ114" t="s">
        <v>701</v>
      </c>
      <c r="AM114" s="20" t="s">
        <v>6211</v>
      </c>
      <c r="AN114">
        <v>1</v>
      </c>
      <c r="AO114">
        <v>0.5</v>
      </c>
      <c r="AV114">
        <v>0.25</v>
      </c>
      <c r="BA114" t="s">
        <v>396</v>
      </c>
      <c r="BB114" t="s">
        <v>702</v>
      </c>
      <c r="BC114" t="str">
        <f t="shared" ref="BC114:BC115" si="175">"icon_"&amp;D114</f>
        <v>icon_sora</v>
      </c>
      <c r="BD114" t="str">
        <f t="shared" ref="BD114:BD115" si="176">"half_"&amp;D114</f>
        <v>half_sora</v>
      </c>
      <c r="BE114" t="str">
        <f t="shared" ref="BE114:BE115" si="177">D114</f>
        <v>sora</v>
      </c>
      <c r="BF114" t="s">
        <v>332</v>
      </c>
      <c r="BG114">
        <v>5</v>
      </c>
      <c r="BH114" t="s">
        <v>341</v>
      </c>
      <c r="BI114" t="s">
        <v>703</v>
      </c>
      <c r="BJ114" t="s">
        <v>704</v>
      </c>
      <c r="BK114" t="s">
        <v>705</v>
      </c>
      <c r="BL114" t="s">
        <v>210</v>
      </c>
      <c r="BM114" t="s">
        <v>211</v>
      </c>
      <c r="BO114" t="s">
        <v>213</v>
      </c>
      <c r="BP114" t="s">
        <v>213</v>
      </c>
      <c r="BR114">
        <v>1</v>
      </c>
    </row>
    <row r="115" spans="1:70" x14ac:dyDescent="0.25">
      <c r="A115" t="s">
        <v>70</v>
      </c>
      <c r="B115" t="s">
        <v>327</v>
      </c>
      <c r="D115" t="s">
        <v>706</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70</v>
      </c>
      <c r="AH115" t="s">
        <v>209</v>
      </c>
      <c r="AI115" t="s">
        <v>707</v>
      </c>
      <c r="AJ115" t="s">
        <v>708</v>
      </c>
      <c r="AM115" s="20" t="s">
        <v>6212</v>
      </c>
      <c r="AN115">
        <v>0</v>
      </c>
      <c r="AO115">
        <v>0.5</v>
      </c>
      <c r="AV115">
        <v>0.25</v>
      </c>
      <c r="BA115" t="s">
        <v>504</v>
      </c>
      <c r="BB115" t="s">
        <v>709</v>
      </c>
      <c r="BC115" t="str">
        <f t="shared" si="175"/>
        <v>icon_mantic</v>
      </c>
      <c r="BD115" t="str">
        <f t="shared" si="176"/>
        <v>half_mantic</v>
      </c>
      <c r="BE115" t="str">
        <f t="shared" si="177"/>
        <v>mantic</v>
      </c>
      <c r="BF115" t="s">
        <v>332</v>
      </c>
      <c r="BG115">
        <v>5</v>
      </c>
      <c r="BH115" t="s">
        <v>341</v>
      </c>
      <c r="BI115" t="s">
        <v>493</v>
      </c>
      <c r="BJ115" t="s">
        <v>710</v>
      </c>
      <c r="BK115" t="s">
        <v>711</v>
      </c>
      <c r="BL115" t="s">
        <v>210</v>
      </c>
      <c r="BM115" t="s">
        <v>211</v>
      </c>
      <c r="BO115" t="s">
        <v>213</v>
      </c>
      <c r="BP115" t="s">
        <v>213</v>
      </c>
      <c r="BR115">
        <v>1</v>
      </c>
    </row>
    <row r="116" spans="1:70" x14ac:dyDescent="0.25">
      <c r="A116" t="s">
        <v>71</v>
      </c>
      <c r="B116" t="s">
        <v>327</v>
      </c>
      <c r="D116" t="s">
        <v>712</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71</v>
      </c>
      <c r="AH116" t="s">
        <v>209</v>
      </c>
      <c r="AI116" t="s">
        <v>713</v>
      </c>
      <c r="AJ116" t="s">
        <v>714</v>
      </c>
      <c r="AM116" s="20" t="s">
        <v>6213</v>
      </c>
      <c r="AN116">
        <v>2</v>
      </c>
      <c r="AO116">
        <v>0.5</v>
      </c>
      <c r="AV116">
        <v>0.25</v>
      </c>
      <c r="BA116" t="s">
        <v>504</v>
      </c>
      <c r="BB116" t="s">
        <v>520</v>
      </c>
      <c r="BC116" t="str">
        <f t="shared" ref="BC116" si="179">"icon_"&amp;D116</f>
        <v>icon_panda</v>
      </c>
      <c r="BD116" t="str">
        <f t="shared" ref="BD116" si="180">"half_"&amp;D116</f>
        <v>half_panda</v>
      </c>
      <c r="BE116" t="str">
        <f t="shared" ref="BE116" si="181">D116</f>
        <v>panda</v>
      </c>
      <c r="BF116" t="s">
        <v>332</v>
      </c>
      <c r="BG116">
        <v>5</v>
      </c>
      <c r="BH116" t="s">
        <v>341</v>
      </c>
      <c r="BI116" t="s">
        <v>521</v>
      </c>
      <c r="BJ116" t="s">
        <v>522</v>
      </c>
      <c r="BK116" t="s">
        <v>715</v>
      </c>
      <c r="BL116" t="s">
        <v>210</v>
      </c>
      <c r="BM116" t="s">
        <v>211</v>
      </c>
      <c r="BO116" t="s">
        <v>213</v>
      </c>
      <c r="BP116" t="s">
        <v>213</v>
      </c>
      <c r="BQ116" t="s">
        <v>516</v>
      </c>
      <c r="BR116">
        <v>1</v>
      </c>
    </row>
    <row r="118" spans="1:70" x14ac:dyDescent="0.25">
      <c r="A118" t="s">
        <v>72</v>
      </c>
      <c r="Y118">
        <v>0.05</v>
      </c>
    </row>
    <row r="119" spans="1:70" x14ac:dyDescent="0.25">
      <c r="A119" t="s">
        <v>716</v>
      </c>
      <c r="B119" t="s">
        <v>327</v>
      </c>
      <c r="D119" t="s">
        <v>717</v>
      </c>
      <c r="E119" s="2" t="s">
        <v>718</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73</v>
      </c>
      <c r="AH119" t="s">
        <v>209</v>
      </c>
      <c r="AI119" t="s">
        <v>719</v>
      </c>
      <c r="AJ119" t="s">
        <v>720</v>
      </c>
      <c r="AM119" s="20" t="s">
        <v>6212</v>
      </c>
      <c r="AN119">
        <v>2</v>
      </c>
      <c r="AO119">
        <v>0.5</v>
      </c>
      <c r="AV119">
        <v>0.25</v>
      </c>
      <c r="BA119" t="s">
        <v>339</v>
      </c>
      <c r="BB119" t="s">
        <v>382</v>
      </c>
      <c r="BC119" t="str">
        <f>"icon_"&amp;D119</f>
        <v>icon_svrash</v>
      </c>
      <c r="BD119" t="str">
        <f t="shared" ref="BD119:BD124" si="182">"half_"&amp;D119</f>
        <v>half_svrash</v>
      </c>
      <c r="BE119" t="str">
        <f t="shared" ref="BE119:BE124" si="183">D119</f>
        <v>svrash</v>
      </c>
      <c r="BF119" t="s">
        <v>332</v>
      </c>
      <c r="BG119">
        <v>6</v>
      </c>
      <c r="BH119" t="s">
        <v>341</v>
      </c>
      <c r="BI119" t="s">
        <v>542</v>
      </c>
      <c r="BJ119" t="s">
        <v>384</v>
      </c>
      <c r="BK119" t="s">
        <v>721</v>
      </c>
      <c r="BL119" t="s">
        <v>210</v>
      </c>
      <c r="BM119" t="s">
        <v>211</v>
      </c>
      <c r="BO119" t="s">
        <v>213</v>
      </c>
      <c r="BP119" t="s">
        <v>213</v>
      </c>
      <c r="BR119">
        <v>1</v>
      </c>
    </row>
    <row r="120" spans="1:70" x14ac:dyDescent="0.25">
      <c r="A120" t="s">
        <v>722</v>
      </c>
      <c r="B120" t="s">
        <v>327</v>
      </c>
      <c r="D120" t="s">
        <v>717</v>
      </c>
      <c r="E120" s="2" t="s">
        <v>718</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73</v>
      </c>
      <c r="AH120" t="s">
        <v>209</v>
      </c>
      <c r="AI120" t="s">
        <v>719</v>
      </c>
      <c r="AJ120" t="s">
        <v>720</v>
      </c>
      <c r="AM120" s="20" t="s">
        <v>6212</v>
      </c>
      <c r="AN120">
        <v>2</v>
      </c>
      <c r="AO120">
        <v>0.5</v>
      </c>
      <c r="AV120">
        <v>0.25</v>
      </c>
      <c r="BA120" t="s">
        <v>339</v>
      </c>
      <c r="BB120" t="s">
        <v>382</v>
      </c>
      <c r="BC120" t="str">
        <f>"icon_"&amp;D120</f>
        <v>icon_svrash</v>
      </c>
      <c r="BD120" t="str">
        <f t="shared" si="182"/>
        <v>half_svrash</v>
      </c>
      <c r="BE120" t="str">
        <f t="shared" si="183"/>
        <v>svrash</v>
      </c>
      <c r="BF120" t="s">
        <v>332</v>
      </c>
      <c r="BG120">
        <v>6</v>
      </c>
      <c r="BH120" t="s">
        <v>341</v>
      </c>
      <c r="BI120" t="s">
        <v>542</v>
      </c>
      <c r="BJ120" t="s">
        <v>384</v>
      </c>
      <c r="BK120" t="s">
        <v>721</v>
      </c>
      <c r="BL120" t="s">
        <v>210</v>
      </c>
      <c r="BM120" t="s">
        <v>211</v>
      </c>
      <c r="BO120" t="s">
        <v>213</v>
      </c>
      <c r="BP120" t="s">
        <v>213</v>
      </c>
      <c r="BR120">
        <v>1</v>
      </c>
    </row>
    <row r="121" spans="1:70" x14ac:dyDescent="0.25">
      <c r="A121" t="s">
        <v>74</v>
      </c>
      <c r="B121" t="s">
        <v>327</v>
      </c>
      <c r="D121" t="s">
        <v>717</v>
      </c>
      <c r="E121" s="2" t="s">
        <v>718</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73</v>
      </c>
      <c r="AH121" t="s">
        <v>209</v>
      </c>
      <c r="AI121" t="s">
        <v>723</v>
      </c>
      <c r="AJ121" t="s">
        <v>724</v>
      </c>
      <c r="AM121" s="20" t="s">
        <v>6212</v>
      </c>
      <c r="AN121">
        <v>2</v>
      </c>
      <c r="AO121">
        <v>0.5</v>
      </c>
      <c r="AV121">
        <v>0.25</v>
      </c>
      <c r="BA121" t="s">
        <v>339</v>
      </c>
      <c r="BB121" t="s">
        <v>382</v>
      </c>
      <c r="BC121" t="str">
        <f>"icon_"&amp;D121</f>
        <v>icon_svrash</v>
      </c>
      <c r="BD121" t="str">
        <f t="shared" si="182"/>
        <v>half_svrash</v>
      </c>
      <c r="BE121" t="str">
        <f t="shared" si="183"/>
        <v>svrash</v>
      </c>
      <c r="BF121" t="s">
        <v>332</v>
      </c>
      <c r="BG121">
        <v>6</v>
      </c>
      <c r="BH121" t="s">
        <v>341</v>
      </c>
      <c r="BI121" t="s">
        <v>542</v>
      </c>
      <c r="BJ121" t="s">
        <v>384</v>
      </c>
      <c r="BK121" t="s">
        <v>721</v>
      </c>
      <c r="BL121" t="s">
        <v>210</v>
      </c>
      <c r="BM121" t="s">
        <v>211</v>
      </c>
      <c r="BO121" t="s">
        <v>213</v>
      </c>
      <c r="BP121" t="s">
        <v>213</v>
      </c>
      <c r="BR121">
        <v>1</v>
      </c>
    </row>
    <row r="122" spans="1:70" x14ac:dyDescent="0.25">
      <c r="A122" t="s">
        <v>75</v>
      </c>
      <c r="B122" t="s">
        <v>327</v>
      </c>
      <c r="D122" t="s">
        <v>725</v>
      </c>
      <c r="E122" s="2" t="s">
        <v>726</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75</v>
      </c>
      <c r="AH122" t="s">
        <v>209</v>
      </c>
      <c r="AI122" t="s">
        <v>727</v>
      </c>
      <c r="AJ122" t="s">
        <v>728</v>
      </c>
      <c r="AM122" s="20" t="s">
        <v>6212</v>
      </c>
      <c r="AN122">
        <v>1</v>
      </c>
      <c r="AO122">
        <v>0.5</v>
      </c>
      <c r="AV122">
        <v>0.25</v>
      </c>
      <c r="BA122" t="s">
        <v>339</v>
      </c>
      <c r="BB122" t="s">
        <v>498</v>
      </c>
      <c r="BC122" t="str">
        <f>"icon_"&amp;D122</f>
        <v>icon_surtr</v>
      </c>
      <c r="BD122" t="str">
        <f t="shared" si="182"/>
        <v>half_surtr</v>
      </c>
      <c r="BE122" t="str">
        <f t="shared" si="183"/>
        <v>surtr</v>
      </c>
      <c r="BF122" t="s">
        <v>729</v>
      </c>
      <c r="BG122">
        <v>6</v>
      </c>
      <c r="BH122" t="s">
        <v>341</v>
      </c>
      <c r="BI122" t="s">
        <v>342</v>
      </c>
      <c r="BJ122" t="s">
        <v>363</v>
      </c>
      <c r="BK122" t="s">
        <v>730</v>
      </c>
      <c r="BL122" t="s">
        <v>210</v>
      </c>
      <c r="BM122" t="s">
        <v>211</v>
      </c>
      <c r="BO122" t="s">
        <v>213</v>
      </c>
      <c r="BP122" t="s">
        <v>213</v>
      </c>
      <c r="BR122">
        <v>1</v>
      </c>
    </row>
    <row r="123" spans="1:70" x14ac:dyDescent="0.25">
      <c r="A123" t="s">
        <v>76</v>
      </c>
      <c r="B123" t="s">
        <v>327</v>
      </c>
      <c r="D123" t="s">
        <v>731</v>
      </c>
      <c r="E123" s="2" t="s">
        <v>732</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76</v>
      </c>
      <c r="AH123" t="s">
        <v>209</v>
      </c>
      <c r="AI123" t="s">
        <v>733</v>
      </c>
      <c r="AJ123" t="s">
        <v>734</v>
      </c>
      <c r="AM123" s="20" t="s">
        <v>6211</v>
      </c>
      <c r="AN123">
        <v>1</v>
      </c>
      <c r="AO123">
        <v>0.5</v>
      </c>
      <c r="AV123">
        <v>0.25</v>
      </c>
      <c r="BA123" t="s">
        <v>330</v>
      </c>
      <c r="BB123" t="s">
        <v>331</v>
      </c>
      <c r="BC123" t="str">
        <f>"icon_"&amp;D123</f>
        <v>icon_kalts</v>
      </c>
      <c r="BD123" t="str">
        <f t="shared" si="182"/>
        <v>half_kalts</v>
      </c>
      <c r="BE123" t="str">
        <f t="shared" si="183"/>
        <v>kalts</v>
      </c>
      <c r="BF123" t="s">
        <v>332</v>
      </c>
      <c r="BG123">
        <v>6</v>
      </c>
      <c r="BH123" t="s">
        <v>333</v>
      </c>
      <c r="BI123" t="s">
        <v>334</v>
      </c>
      <c r="BJ123" t="s">
        <v>410</v>
      </c>
      <c r="BK123" t="s">
        <v>735</v>
      </c>
      <c r="BL123" t="s">
        <v>210</v>
      </c>
      <c r="BM123" t="s">
        <v>211</v>
      </c>
      <c r="BO123" t="s">
        <v>213</v>
      </c>
      <c r="BP123" t="s">
        <v>213</v>
      </c>
      <c r="BR123">
        <v>1</v>
      </c>
    </row>
    <row r="124" spans="1:70" x14ac:dyDescent="0.25">
      <c r="A124" t="s">
        <v>736</v>
      </c>
      <c r="B124" t="s">
        <v>327</v>
      </c>
      <c r="D124" t="s">
        <v>731</v>
      </c>
      <c r="E124" s="2" t="s">
        <v>726</v>
      </c>
      <c r="F124" t="s">
        <v>737</v>
      </c>
      <c r="G124">
        <v>1</v>
      </c>
      <c r="I124">
        <v>2</v>
      </c>
      <c r="J124">
        <v>90</v>
      </c>
      <c r="K124">
        <v>5433</v>
      </c>
      <c r="M124">
        <v>1402</v>
      </c>
      <c r="O124">
        <v>405</v>
      </c>
      <c r="P124">
        <v>0</v>
      </c>
      <c r="Q124">
        <v>0</v>
      </c>
      <c r="S124">
        <v>10</v>
      </c>
      <c r="U124">
        <v>0</v>
      </c>
      <c r="V124">
        <v>25</v>
      </c>
      <c r="Y124">
        <v>0.05</v>
      </c>
      <c r="Z124">
        <v>2</v>
      </c>
      <c r="AC124">
        <v>1</v>
      </c>
      <c r="AG124" t="s">
        <v>736</v>
      </c>
      <c r="AH124" t="s">
        <v>738</v>
      </c>
      <c r="AI124" t="s">
        <v>739</v>
      </c>
      <c r="AK124">
        <v>1</v>
      </c>
      <c r="AM124" s="20" t="s">
        <v>6212</v>
      </c>
      <c r="AN124">
        <v>3</v>
      </c>
      <c r="AO124">
        <v>0</v>
      </c>
      <c r="AV124">
        <v>0.25</v>
      </c>
      <c r="BA124" t="s">
        <v>339</v>
      </c>
      <c r="BC124" t="s">
        <v>740</v>
      </c>
      <c r="BD124" t="str">
        <f t="shared" si="182"/>
        <v>half_kalts</v>
      </c>
      <c r="BE124" t="str">
        <f t="shared" si="183"/>
        <v>kalts</v>
      </c>
      <c r="BF124" t="s">
        <v>332</v>
      </c>
      <c r="BG124">
        <v>6</v>
      </c>
      <c r="BH124" t="s">
        <v>341</v>
      </c>
      <c r="BI124" t="s">
        <v>566</v>
      </c>
      <c r="BL124" t="s">
        <v>210</v>
      </c>
      <c r="BM124" t="s">
        <v>211</v>
      </c>
      <c r="BO124" t="s">
        <v>213</v>
      </c>
      <c r="BP124" t="s">
        <v>213</v>
      </c>
      <c r="BR124">
        <v>1</v>
      </c>
    </row>
    <row r="125" spans="1:70" x14ac:dyDescent="0.25">
      <c r="A125" t="s">
        <v>77</v>
      </c>
      <c r="B125" t="s">
        <v>327</v>
      </c>
      <c r="D125" t="s">
        <v>741</v>
      </c>
      <c r="E125" s="2" t="s">
        <v>742</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77</v>
      </c>
      <c r="AH125" t="s">
        <v>209</v>
      </c>
      <c r="AI125" t="s">
        <v>743</v>
      </c>
      <c r="AJ125" t="s">
        <v>744</v>
      </c>
      <c r="AM125" s="20" t="s">
        <v>6212</v>
      </c>
      <c r="AN125">
        <v>2</v>
      </c>
      <c r="AO125">
        <v>0.5</v>
      </c>
      <c r="AV125">
        <v>0.25</v>
      </c>
      <c r="BA125" t="s">
        <v>339</v>
      </c>
      <c r="BB125" t="s">
        <v>382</v>
      </c>
      <c r="BC125" t="str">
        <f t="shared" ref="BC125:BC129" si="184">"icon_"&amp;D125</f>
        <v>icon_thorns</v>
      </c>
      <c r="BD125" t="str">
        <f t="shared" ref="BD125" si="185">"half_"&amp;D125</f>
        <v>half_thorns</v>
      </c>
      <c r="BE125" t="str">
        <f t="shared" ref="BE125" si="186">D125</f>
        <v>thorns</v>
      </c>
      <c r="BF125" t="s">
        <v>332</v>
      </c>
      <c r="BG125">
        <v>6</v>
      </c>
      <c r="BH125" t="s">
        <v>341</v>
      </c>
      <c r="BI125" t="s">
        <v>745</v>
      </c>
      <c r="BJ125" t="s">
        <v>384</v>
      </c>
      <c r="BK125" t="s">
        <v>746</v>
      </c>
      <c r="BL125" t="s">
        <v>210</v>
      </c>
      <c r="BM125" t="s">
        <v>211</v>
      </c>
      <c r="BO125" t="s">
        <v>213</v>
      </c>
      <c r="BP125" t="s">
        <v>213</v>
      </c>
      <c r="BQ125" t="s">
        <v>747</v>
      </c>
      <c r="BR125">
        <v>1</v>
      </c>
    </row>
    <row r="126" spans="1:70" x14ac:dyDescent="0.25">
      <c r="A126" t="s">
        <v>78</v>
      </c>
      <c r="B126" t="s">
        <v>327</v>
      </c>
      <c r="D126" t="s">
        <v>748</v>
      </c>
      <c r="E126" s="2" t="s">
        <v>749</v>
      </c>
      <c r="F126" t="str">
        <f t="shared" ref="F126:F131"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78</v>
      </c>
      <c r="AH126" t="s">
        <v>209</v>
      </c>
      <c r="AI126" t="s">
        <v>750</v>
      </c>
      <c r="AJ126" t="s">
        <v>751</v>
      </c>
      <c r="AM126" s="20" t="s">
        <v>6211</v>
      </c>
      <c r="AN126">
        <v>1</v>
      </c>
      <c r="AO126">
        <v>0.5</v>
      </c>
      <c r="AV126">
        <v>0.25</v>
      </c>
      <c r="BA126" t="s">
        <v>354</v>
      </c>
      <c r="BB126" t="s">
        <v>355</v>
      </c>
      <c r="BC126" t="str">
        <f t="shared" si="184"/>
        <v>icon_angel</v>
      </c>
      <c r="BD126" t="str">
        <f t="shared" ref="BD126" si="188">"half_"&amp;D126</f>
        <v>half_angel</v>
      </c>
      <c r="BE126" t="str">
        <f t="shared" ref="BE126" si="189">D126</f>
        <v>angel</v>
      </c>
      <c r="BF126" t="s">
        <v>332</v>
      </c>
      <c r="BG126">
        <v>6</v>
      </c>
      <c r="BH126" t="s">
        <v>341</v>
      </c>
      <c r="BI126" t="s">
        <v>703</v>
      </c>
      <c r="BJ126" t="s">
        <v>357</v>
      </c>
      <c r="BK126" t="s">
        <v>752</v>
      </c>
      <c r="BL126" t="s">
        <v>210</v>
      </c>
      <c r="BM126" t="s">
        <v>211</v>
      </c>
      <c r="BO126" t="s">
        <v>213</v>
      </c>
      <c r="BP126" t="s">
        <v>213</v>
      </c>
      <c r="BR126">
        <v>1</v>
      </c>
    </row>
    <row r="127" spans="1:70" x14ac:dyDescent="0.25">
      <c r="A127" t="s">
        <v>79</v>
      </c>
      <c r="B127" t="s">
        <v>327</v>
      </c>
      <c r="D127" t="s">
        <v>753</v>
      </c>
      <c r="E127" s="2" t="s">
        <v>754</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79</v>
      </c>
      <c r="AH127" t="s">
        <v>209</v>
      </c>
      <c r="AI127" t="s">
        <v>755</v>
      </c>
      <c r="AJ127" t="s">
        <v>756</v>
      </c>
      <c r="AM127" s="20" t="s">
        <v>6211</v>
      </c>
      <c r="AN127">
        <v>1</v>
      </c>
      <c r="AO127">
        <v>0.5</v>
      </c>
      <c r="AV127">
        <v>0.25</v>
      </c>
      <c r="BA127" t="s">
        <v>361</v>
      </c>
      <c r="BB127" t="s">
        <v>757</v>
      </c>
      <c r="BC127" t="str">
        <f t="shared" si="184"/>
        <v>icon_ifrit</v>
      </c>
      <c r="BD127" t="str">
        <f t="shared" ref="BD127" si="190">"half_"&amp;D127</f>
        <v>half_ifrit</v>
      </c>
      <c r="BE127" t="str">
        <f t="shared" ref="BE127" si="191">D127</f>
        <v>ifrit</v>
      </c>
      <c r="BF127" t="s">
        <v>332</v>
      </c>
      <c r="BG127">
        <v>6</v>
      </c>
      <c r="BH127" t="s">
        <v>333</v>
      </c>
      <c r="BI127" t="s">
        <v>575</v>
      </c>
      <c r="BJ127" t="s">
        <v>758</v>
      </c>
      <c r="BK127" t="s">
        <v>759</v>
      </c>
      <c r="BL127" t="s">
        <v>210</v>
      </c>
      <c r="BM127" t="s">
        <v>211</v>
      </c>
      <c r="BO127" t="s">
        <v>213</v>
      </c>
      <c r="BP127" t="s">
        <v>213</v>
      </c>
      <c r="BR127">
        <v>1</v>
      </c>
    </row>
    <row r="128" spans="1:70" x14ac:dyDescent="0.25">
      <c r="A128" t="s">
        <v>80</v>
      </c>
      <c r="B128" t="s">
        <v>327</v>
      </c>
      <c r="D128" t="s">
        <v>760</v>
      </c>
      <c r="E128" s="2" t="s">
        <v>761</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80</v>
      </c>
      <c r="AH128" t="s">
        <v>209</v>
      </c>
      <c r="AI128" t="s">
        <v>762</v>
      </c>
      <c r="AJ128" t="s">
        <v>763</v>
      </c>
      <c r="AM128" s="20" t="s">
        <v>6211</v>
      </c>
      <c r="AN128">
        <v>1</v>
      </c>
      <c r="AO128">
        <v>0.5</v>
      </c>
      <c r="AV128">
        <v>0.25</v>
      </c>
      <c r="BA128" t="s">
        <v>361</v>
      </c>
      <c r="BB128" t="s">
        <v>362</v>
      </c>
      <c r="BC128" t="str">
        <f t="shared" si="184"/>
        <v>icon_amgoat</v>
      </c>
      <c r="BD128" t="str">
        <f t="shared" ref="BD128" si="192">"half_"&amp;D128</f>
        <v>half_amgoat</v>
      </c>
      <c r="BE128" t="str">
        <f t="shared" ref="BE128" si="193">D128</f>
        <v>amgoat</v>
      </c>
      <c r="BF128" t="s">
        <v>332</v>
      </c>
      <c r="BG128">
        <v>6</v>
      </c>
      <c r="BH128" t="s">
        <v>333</v>
      </c>
      <c r="BI128" t="s">
        <v>570</v>
      </c>
      <c r="BJ128" t="s">
        <v>363</v>
      </c>
      <c r="BK128" t="s">
        <v>764</v>
      </c>
      <c r="BL128" t="s">
        <v>210</v>
      </c>
      <c r="BM128" t="s">
        <v>211</v>
      </c>
      <c r="BO128" t="s">
        <v>213</v>
      </c>
      <c r="BP128" t="s">
        <v>213</v>
      </c>
      <c r="BQ128" t="s">
        <v>516</v>
      </c>
      <c r="BR128">
        <v>1</v>
      </c>
    </row>
    <row r="129" spans="1:70" x14ac:dyDescent="0.25">
      <c r="A129" t="s">
        <v>81</v>
      </c>
      <c r="B129" t="s">
        <v>327</v>
      </c>
      <c r="D129" t="s">
        <v>765</v>
      </c>
      <c r="E129" s="2" t="s">
        <v>766</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81</v>
      </c>
      <c r="AH129" t="s">
        <v>209</v>
      </c>
      <c r="AI129" t="s">
        <v>767</v>
      </c>
      <c r="AJ129" t="s">
        <v>768</v>
      </c>
      <c r="AM129" s="20" t="s">
        <v>6211</v>
      </c>
      <c r="AN129">
        <v>1</v>
      </c>
      <c r="AO129">
        <v>0.5</v>
      </c>
      <c r="AV129">
        <v>0.25</v>
      </c>
      <c r="BA129" t="s">
        <v>396</v>
      </c>
      <c r="BB129" t="s">
        <v>397</v>
      </c>
      <c r="BC129" t="str">
        <f t="shared" si="184"/>
        <v>icon_aglina</v>
      </c>
      <c r="BD129" t="str">
        <f t="shared" ref="BD129" si="194">"half_"&amp;D129</f>
        <v>half_aglina</v>
      </c>
      <c r="BE129" t="str">
        <f t="shared" ref="BE129" si="195">D129</f>
        <v>aglina</v>
      </c>
      <c r="BF129" t="s">
        <v>332</v>
      </c>
      <c r="BG129">
        <v>6</v>
      </c>
      <c r="BH129" t="s">
        <v>333</v>
      </c>
      <c r="BI129" t="s">
        <v>676</v>
      </c>
      <c r="BJ129" t="s">
        <v>399</v>
      </c>
      <c r="BK129" t="s">
        <v>769</v>
      </c>
      <c r="BL129" t="s">
        <v>210</v>
      </c>
      <c r="BM129" t="s">
        <v>211</v>
      </c>
      <c r="BO129" t="s">
        <v>213</v>
      </c>
      <c r="BP129" t="s">
        <v>213</v>
      </c>
      <c r="BR129">
        <v>1</v>
      </c>
    </row>
    <row r="130" spans="1:70" x14ac:dyDescent="0.25">
      <c r="A130" t="s">
        <v>82</v>
      </c>
      <c r="B130" t="s">
        <v>327</v>
      </c>
      <c r="D130" t="s">
        <v>770</v>
      </c>
      <c r="E130" s="2" t="s">
        <v>771</v>
      </c>
      <c r="F130" t="str">
        <f t="shared" si="187"/>
        <v>char_4179_monstr</v>
      </c>
      <c r="G130">
        <v>1</v>
      </c>
      <c r="I130">
        <v>2</v>
      </c>
      <c r="J130">
        <v>90</v>
      </c>
      <c r="K130">
        <v>1613</v>
      </c>
      <c r="M130">
        <v>530</v>
      </c>
      <c r="N130">
        <v>80</v>
      </c>
      <c r="O130">
        <v>138</v>
      </c>
      <c r="P130">
        <v>45</v>
      </c>
      <c r="Q130">
        <v>0</v>
      </c>
      <c r="S130">
        <v>20</v>
      </c>
      <c r="T130">
        <v>-2</v>
      </c>
      <c r="U130">
        <v>0.5</v>
      </c>
      <c r="V130">
        <v>70</v>
      </c>
      <c r="Y130">
        <v>0.05</v>
      </c>
      <c r="Z130">
        <v>2.85</v>
      </c>
      <c r="AC130">
        <v>1</v>
      </c>
      <c r="AG130" t="s">
        <v>82</v>
      </c>
      <c r="AH130" t="s">
        <v>209</v>
      </c>
      <c r="AI130" t="s">
        <v>772</v>
      </c>
      <c r="AJ130" t="s">
        <v>773</v>
      </c>
      <c r="AM130" s="20" t="s">
        <v>6211</v>
      </c>
      <c r="AN130">
        <v>1</v>
      </c>
      <c r="AO130">
        <v>0.5</v>
      </c>
      <c r="AV130">
        <v>0.25</v>
      </c>
      <c r="BA130" t="s">
        <v>330</v>
      </c>
      <c r="BB130" t="s">
        <v>331</v>
      </c>
      <c r="BC130" t="str">
        <f>"icon_"&amp;"shining"</f>
        <v>icon_shining</v>
      </c>
      <c r="BD130" t="str">
        <f>"half_"&amp;"shining"</f>
        <v>half_shining</v>
      </c>
      <c r="BE130" t="str">
        <f>"shining"</f>
        <v>shining</v>
      </c>
      <c r="BF130" t="s">
        <v>332</v>
      </c>
      <c r="BG130">
        <v>6</v>
      </c>
      <c r="BH130" t="s">
        <v>333</v>
      </c>
      <c r="BI130" t="s">
        <v>774</v>
      </c>
      <c r="BJ130" t="s">
        <v>410</v>
      </c>
      <c r="BK130" t="s">
        <v>775</v>
      </c>
      <c r="BL130" t="s">
        <v>210</v>
      </c>
      <c r="BM130" t="s">
        <v>211</v>
      </c>
      <c r="BO130" t="s">
        <v>213</v>
      </c>
      <c r="BP130" t="s">
        <v>213</v>
      </c>
      <c r="BR130">
        <v>1</v>
      </c>
    </row>
    <row r="131" spans="1:70" x14ac:dyDescent="0.25">
      <c r="A131" t="s">
        <v>83</v>
      </c>
      <c r="B131" t="s">
        <v>327</v>
      </c>
      <c r="D131" t="s">
        <v>770</v>
      </c>
      <c r="E131" s="2" t="s">
        <v>771</v>
      </c>
      <c r="F131" t="str">
        <f t="shared" si="187"/>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83</v>
      </c>
      <c r="AH131" t="s">
        <v>209</v>
      </c>
      <c r="AI131" t="s">
        <v>776</v>
      </c>
      <c r="AJ131" t="s">
        <v>777</v>
      </c>
      <c r="AM131" s="20" t="s">
        <v>6211</v>
      </c>
      <c r="AN131">
        <v>1</v>
      </c>
      <c r="AO131">
        <v>0.5</v>
      </c>
      <c r="AV131">
        <v>0.25</v>
      </c>
      <c r="BA131" t="s">
        <v>330</v>
      </c>
      <c r="BB131" t="s">
        <v>535</v>
      </c>
      <c r="BC131" t="s">
        <v>778</v>
      </c>
      <c r="BD131" t="s">
        <v>779</v>
      </c>
      <c r="BE131" t="s">
        <v>780</v>
      </c>
      <c r="BF131" t="s">
        <v>332</v>
      </c>
      <c r="BG131">
        <v>6</v>
      </c>
      <c r="BH131" t="s">
        <v>333</v>
      </c>
      <c r="BI131" t="s">
        <v>774</v>
      </c>
      <c r="BJ131" t="s">
        <v>537</v>
      </c>
      <c r="BK131" t="s">
        <v>781</v>
      </c>
      <c r="BL131" t="s">
        <v>210</v>
      </c>
      <c r="BM131" t="s">
        <v>211</v>
      </c>
      <c r="BO131" t="s">
        <v>213</v>
      </c>
      <c r="BP131" t="s">
        <v>213</v>
      </c>
      <c r="BR131">
        <v>1</v>
      </c>
    </row>
    <row r="132" spans="1:70" x14ac:dyDescent="0.25">
      <c r="A132" t="s">
        <v>782</v>
      </c>
      <c r="B132" t="s">
        <v>327</v>
      </c>
      <c r="D132" t="s">
        <v>780</v>
      </c>
      <c r="E132" s="2" t="s">
        <v>783</v>
      </c>
      <c r="F132" t="s">
        <v>784</v>
      </c>
      <c r="G132">
        <v>1</v>
      </c>
      <c r="I132">
        <v>2</v>
      </c>
      <c r="J132">
        <v>90</v>
      </c>
      <c r="K132">
        <v>6000</v>
      </c>
      <c r="M132">
        <v>0</v>
      </c>
      <c r="O132">
        <v>0</v>
      </c>
      <c r="P132">
        <v>0</v>
      </c>
      <c r="Q132">
        <v>75</v>
      </c>
      <c r="S132">
        <v>5</v>
      </c>
      <c r="U132">
        <v>0</v>
      </c>
      <c r="V132">
        <v>20</v>
      </c>
      <c r="Y132">
        <v>0.05</v>
      </c>
      <c r="Z132">
        <v>1</v>
      </c>
      <c r="AC132">
        <v>0</v>
      </c>
      <c r="AD132">
        <v>1</v>
      </c>
      <c r="AE132">
        <v>1</v>
      </c>
      <c r="AG132" t="s">
        <v>785</v>
      </c>
      <c r="AH132" t="s">
        <v>209</v>
      </c>
      <c r="AI132" t="s">
        <v>786</v>
      </c>
      <c r="AK132">
        <v>1</v>
      </c>
      <c r="AM132" s="20" t="s">
        <v>6212</v>
      </c>
      <c r="AN132">
        <v>0</v>
      </c>
      <c r="AO132">
        <v>0</v>
      </c>
      <c r="AV132">
        <v>0.25</v>
      </c>
      <c r="BA132" t="s">
        <v>339</v>
      </c>
      <c r="BC132" t="s">
        <v>787</v>
      </c>
      <c r="BD132" t="str">
        <f t="shared" ref="BD132:BD135" si="196">"half_"&amp;D132</f>
        <v>half_cgbird</v>
      </c>
      <c r="BE132" t="str">
        <f t="shared" ref="BE132:BE135" si="197">D132</f>
        <v>cgbird</v>
      </c>
      <c r="BF132" t="s">
        <v>332</v>
      </c>
      <c r="BG132">
        <v>6</v>
      </c>
      <c r="BH132" t="s">
        <v>341</v>
      </c>
      <c r="BI132" t="s">
        <v>566</v>
      </c>
      <c r="BL132" t="s">
        <v>210</v>
      </c>
      <c r="BM132" t="s">
        <v>211</v>
      </c>
      <c r="BR132">
        <v>1</v>
      </c>
    </row>
    <row r="133" spans="1:70" x14ac:dyDescent="0.25">
      <c r="A133" t="s">
        <v>788</v>
      </c>
      <c r="B133" t="s">
        <v>327</v>
      </c>
      <c r="D133" t="s">
        <v>789</v>
      </c>
      <c r="E133" s="2" t="s">
        <v>790</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788</v>
      </c>
      <c r="AH133" t="s">
        <v>209</v>
      </c>
      <c r="AI133" t="s">
        <v>791</v>
      </c>
      <c r="AJ133" t="s">
        <v>792</v>
      </c>
      <c r="AM133" s="20" t="s">
        <v>6212</v>
      </c>
      <c r="AN133">
        <v>3</v>
      </c>
      <c r="AO133">
        <v>0.5</v>
      </c>
      <c r="AV133">
        <v>0.25</v>
      </c>
      <c r="BA133" t="s">
        <v>347</v>
      </c>
      <c r="BB133" t="s">
        <v>348</v>
      </c>
      <c r="BC133" t="str">
        <f t="shared" ref="BC133:BC135" si="199">"icon_"&amp;D133</f>
        <v>icon_hsguma</v>
      </c>
      <c r="BD133" t="str">
        <f t="shared" si="196"/>
        <v>half_hsguma</v>
      </c>
      <c r="BE133" t="str">
        <f t="shared" si="197"/>
        <v>hsguma</v>
      </c>
      <c r="BF133" t="s">
        <v>332</v>
      </c>
      <c r="BG133">
        <v>6</v>
      </c>
      <c r="BH133" t="s">
        <v>341</v>
      </c>
      <c r="BI133" t="s">
        <v>793</v>
      </c>
      <c r="BJ133" t="s">
        <v>350</v>
      </c>
      <c r="BK133" t="s">
        <v>794</v>
      </c>
      <c r="BL133" t="s">
        <v>210</v>
      </c>
      <c r="BM133" t="s">
        <v>211</v>
      </c>
      <c r="BO133" t="s">
        <v>213</v>
      </c>
      <c r="BP133" t="s">
        <v>213</v>
      </c>
      <c r="BR133">
        <v>1</v>
      </c>
    </row>
    <row r="134" spans="1:70" x14ac:dyDescent="0.25">
      <c r="A134" t="s">
        <v>84</v>
      </c>
      <c r="B134" t="s">
        <v>327</v>
      </c>
      <c r="D134" t="s">
        <v>795</v>
      </c>
      <c r="E134" s="2" t="s">
        <v>796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84</v>
      </c>
      <c r="AH134" t="s">
        <v>209</v>
      </c>
      <c r="AI134" t="s">
        <v>797</v>
      </c>
      <c r="AJ134" t="s">
        <v>798</v>
      </c>
      <c r="AM134" s="20" t="s">
        <v>6212</v>
      </c>
      <c r="AN134">
        <v>3</v>
      </c>
      <c r="AO134">
        <v>0.5</v>
      </c>
      <c r="AV134">
        <v>0.25</v>
      </c>
      <c r="BA134" t="s">
        <v>347</v>
      </c>
      <c r="BB134" t="s">
        <v>368</v>
      </c>
      <c r="BC134" t="str">
        <f t="shared" si="199"/>
        <v>icon_demkni</v>
      </c>
      <c r="BD134" t="str">
        <f t="shared" si="196"/>
        <v>half_demkni</v>
      </c>
      <c r="BE134" t="str">
        <f t="shared" si="197"/>
        <v>demkni</v>
      </c>
      <c r="BF134" t="s">
        <v>332</v>
      </c>
      <c r="BG134">
        <v>6</v>
      </c>
      <c r="BH134" t="s">
        <v>341</v>
      </c>
      <c r="BI134" t="s">
        <v>799</v>
      </c>
      <c r="BJ134" t="s">
        <v>370</v>
      </c>
      <c r="BK134" t="s">
        <v>800</v>
      </c>
      <c r="BL134" t="s">
        <v>210</v>
      </c>
      <c r="BM134" t="s">
        <v>211</v>
      </c>
      <c r="BO134" t="s">
        <v>213</v>
      </c>
      <c r="BP134" t="s">
        <v>213</v>
      </c>
      <c r="BQ134" t="s">
        <v>801</v>
      </c>
      <c r="BR134">
        <v>1</v>
      </c>
    </row>
    <row r="135" spans="1:70" x14ac:dyDescent="0.25">
      <c r="A135" t="s">
        <v>85</v>
      </c>
      <c r="B135" t="s">
        <v>327</v>
      </c>
      <c r="D135" t="s">
        <v>802</v>
      </c>
      <c r="E135" s="2" t="s">
        <v>803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85</v>
      </c>
      <c r="AH135" t="s">
        <v>209</v>
      </c>
      <c r="AI135" t="s">
        <v>804</v>
      </c>
      <c r="AJ135" t="s">
        <v>805</v>
      </c>
      <c r="AM135" s="20" t="s">
        <v>6212</v>
      </c>
      <c r="AN135">
        <v>1</v>
      </c>
      <c r="AO135">
        <v>1</v>
      </c>
      <c r="AV135">
        <v>0.25</v>
      </c>
      <c r="BA135" t="s">
        <v>339</v>
      </c>
      <c r="BB135" t="s">
        <v>585</v>
      </c>
      <c r="BC135" t="str">
        <f t="shared" si="199"/>
        <v>icon_f12yin</v>
      </c>
      <c r="BD135" t="str">
        <f t="shared" si="196"/>
        <v>half_f12yin</v>
      </c>
      <c r="BE135" t="str">
        <f t="shared" si="197"/>
        <v>f12yin</v>
      </c>
      <c r="BF135" t="s">
        <v>332</v>
      </c>
      <c r="BG135">
        <v>6</v>
      </c>
      <c r="BH135" t="s">
        <v>341</v>
      </c>
      <c r="BI135" t="s">
        <v>547</v>
      </c>
      <c r="BJ135" t="s">
        <v>445</v>
      </c>
      <c r="BK135" t="s">
        <v>806</v>
      </c>
      <c r="BL135" t="s">
        <v>210</v>
      </c>
      <c r="BM135" t="s">
        <v>211</v>
      </c>
      <c r="BO135" t="s">
        <v>213</v>
      </c>
      <c r="BP135" t="s">
        <v>213</v>
      </c>
      <c r="BR135">
        <v>2</v>
      </c>
    </row>
    <row r="136" spans="1:70" x14ac:dyDescent="0.25">
      <c r="E136" s="2"/>
      <c r="BJ136" s="18"/>
    </row>
    <row r="137" spans="1:70" x14ac:dyDescent="0.25">
      <c r="A137" t="s">
        <v>807</v>
      </c>
      <c r="B137" t="s">
        <v>327</v>
      </c>
      <c r="D137" t="s">
        <v>795</v>
      </c>
      <c r="E137" s="2" t="s">
        <v>796</v>
      </c>
      <c r="F137" t="s">
        <v>808</v>
      </c>
      <c r="G137">
        <v>1</v>
      </c>
      <c r="I137">
        <v>0</v>
      </c>
      <c r="J137">
        <v>1</v>
      </c>
      <c r="K137">
        <v>100</v>
      </c>
      <c r="M137">
        <v>0</v>
      </c>
      <c r="O137">
        <v>0</v>
      </c>
      <c r="Q137">
        <v>0</v>
      </c>
      <c r="S137">
        <v>5</v>
      </c>
      <c r="V137">
        <v>10</v>
      </c>
      <c r="Y137">
        <v>0.05</v>
      </c>
      <c r="Z137">
        <v>1</v>
      </c>
      <c r="AC137">
        <v>0</v>
      </c>
      <c r="AD137">
        <v>1</v>
      </c>
      <c r="AG137" t="s">
        <v>807</v>
      </c>
      <c r="AH137" t="s">
        <v>209</v>
      </c>
      <c r="AI137" s="20" t="s">
        <v>6230</v>
      </c>
      <c r="AM137" s="20" t="s">
        <v>6212</v>
      </c>
      <c r="AN137">
        <v>3</v>
      </c>
      <c r="AO137">
        <v>0</v>
      </c>
      <c r="AV137">
        <v>0.25</v>
      </c>
      <c r="AY137">
        <v>1</v>
      </c>
      <c r="BA137" t="s">
        <v>347</v>
      </c>
      <c r="BC137" t="s">
        <v>809</v>
      </c>
      <c r="BF137" t="s">
        <v>332</v>
      </c>
      <c r="BH137" t="s">
        <v>341</v>
      </c>
      <c r="BJ137" s="18" t="s">
        <v>810</v>
      </c>
      <c r="BL137" t="s">
        <v>210</v>
      </c>
      <c r="BM137" t="s">
        <v>211</v>
      </c>
      <c r="BP137" t="s">
        <v>811</v>
      </c>
      <c r="BR137">
        <v>1</v>
      </c>
    </row>
    <row r="138" spans="1:70" x14ac:dyDescent="0.25">
      <c r="E138" s="2"/>
    </row>
    <row r="139" spans="1:70" x14ac:dyDescent="0.25">
      <c r="A139" t="s">
        <v>812</v>
      </c>
      <c r="Y139">
        <v>0.05</v>
      </c>
    </row>
    <row r="140" spans="1:70" x14ac:dyDescent="0.25">
      <c r="A140" t="s">
        <v>813</v>
      </c>
      <c r="B140" t="s">
        <v>814</v>
      </c>
      <c r="F140" t="s">
        <v>815</v>
      </c>
      <c r="G140">
        <v>1</v>
      </c>
      <c r="K140">
        <v>100</v>
      </c>
      <c r="Y140">
        <v>0.05</v>
      </c>
      <c r="AF140">
        <v>2</v>
      </c>
      <c r="AG140" t="s">
        <v>813</v>
      </c>
      <c r="AK140">
        <v>3</v>
      </c>
      <c r="AV140">
        <v>0.25</v>
      </c>
      <c r="BJ140" t="s">
        <v>816</v>
      </c>
      <c r="BL140" t="s">
        <v>210</v>
      </c>
    </row>
    <row r="141" spans="1:70" x14ac:dyDescent="0.25">
      <c r="A141" t="s">
        <v>817</v>
      </c>
      <c r="B141" t="s">
        <v>814</v>
      </c>
      <c r="F141" t="s">
        <v>817</v>
      </c>
      <c r="G141">
        <v>1</v>
      </c>
      <c r="K141">
        <v>100</v>
      </c>
      <c r="Y141">
        <v>0.05</v>
      </c>
      <c r="AF141">
        <v>2</v>
      </c>
      <c r="AG141" t="s">
        <v>817</v>
      </c>
      <c r="AK141">
        <v>3</v>
      </c>
      <c r="AV141">
        <v>0.25</v>
      </c>
      <c r="BJ141" t="s">
        <v>816</v>
      </c>
      <c r="BL141" t="s">
        <v>210</v>
      </c>
    </row>
    <row r="142" spans="1:70" x14ac:dyDescent="0.25">
      <c r="A142" t="s">
        <v>818</v>
      </c>
      <c r="B142" t="s">
        <v>814</v>
      </c>
      <c r="F142" t="s">
        <v>819</v>
      </c>
      <c r="G142">
        <v>1</v>
      </c>
      <c r="K142">
        <v>100</v>
      </c>
      <c r="Y142">
        <v>0.05</v>
      </c>
      <c r="AF142">
        <v>2</v>
      </c>
      <c r="AG142" t="s">
        <v>818</v>
      </c>
      <c r="AK142">
        <v>3</v>
      </c>
      <c r="AV142">
        <v>0.25</v>
      </c>
      <c r="BJ142" t="s">
        <v>816</v>
      </c>
      <c r="BL142" t="s">
        <v>210</v>
      </c>
    </row>
    <row r="143" spans="1:70" x14ac:dyDescent="0.25">
      <c r="A143" t="s">
        <v>820</v>
      </c>
      <c r="B143" t="s">
        <v>814</v>
      </c>
      <c r="F143" t="s">
        <v>820</v>
      </c>
      <c r="G143">
        <v>1</v>
      </c>
      <c r="K143">
        <v>100</v>
      </c>
      <c r="Y143">
        <v>0.05</v>
      </c>
      <c r="AF143">
        <v>2</v>
      </c>
      <c r="AG143" t="s">
        <v>821</v>
      </c>
      <c r="AK143">
        <v>3</v>
      </c>
      <c r="AV143">
        <v>0.25</v>
      </c>
      <c r="BJ143" t="s">
        <v>816</v>
      </c>
      <c r="BL143" t="s">
        <v>210</v>
      </c>
    </row>
    <row r="144" spans="1:70" x14ac:dyDescent="0.25">
      <c r="A144" t="s">
        <v>822</v>
      </c>
      <c r="B144" t="s">
        <v>814</v>
      </c>
      <c r="F144" t="s">
        <v>822</v>
      </c>
      <c r="G144">
        <v>1</v>
      </c>
      <c r="K144">
        <v>100</v>
      </c>
      <c r="Y144">
        <v>0.05</v>
      </c>
      <c r="AF144">
        <v>2</v>
      </c>
      <c r="AG144" t="s">
        <v>823</v>
      </c>
      <c r="AK144">
        <v>3</v>
      </c>
      <c r="AV144">
        <v>0.25</v>
      </c>
      <c r="BJ144" t="s">
        <v>816</v>
      </c>
      <c r="BL144" t="s">
        <v>210</v>
      </c>
    </row>
    <row r="145" spans="1:70" x14ac:dyDescent="0.25">
      <c r="A145" t="s">
        <v>824</v>
      </c>
      <c r="B145" t="s">
        <v>814</v>
      </c>
      <c r="F145" t="s">
        <v>824</v>
      </c>
      <c r="G145">
        <v>1</v>
      </c>
      <c r="K145">
        <v>100</v>
      </c>
      <c r="Y145">
        <v>0.05</v>
      </c>
      <c r="AF145">
        <v>2</v>
      </c>
      <c r="AG145" t="s">
        <v>825</v>
      </c>
      <c r="AK145">
        <v>3</v>
      </c>
      <c r="AV145">
        <v>0.25</v>
      </c>
      <c r="BJ145" t="s">
        <v>816</v>
      </c>
      <c r="BL145" t="s">
        <v>210</v>
      </c>
    </row>
    <row r="146" spans="1:70" x14ac:dyDescent="0.25">
      <c r="A146" t="s">
        <v>826</v>
      </c>
      <c r="B146" t="s">
        <v>814</v>
      </c>
      <c r="F146" t="s">
        <v>826</v>
      </c>
      <c r="G146">
        <v>1</v>
      </c>
      <c r="K146">
        <v>100</v>
      </c>
      <c r="Y146">
        <v>0.05</v>
      </c>
      <c r="AF146">
        <v>2</v>
      </c>
      <c r="AG146" t="s">
        <v>827</v>
      </c>
      <c r="AK146">
        <v>3</v>
      </c>
      <c r="AV146">
        <v>0.25</v>
      </c>
      <c r="BJ146" t="s">
        <v>816</v>
      </c>
      <c r="BL146" t="s">
        <v>210</v>
      </c>
    </row>
    <row r="147" spans="1:70" x14ac:dyDescent="0.25">
      <c r="A147" t="s">
        <v>828</v>
      </c>
      <c r="B147" t="s">
        <v>814</v>
      </c>
      <c r="F147" t="s">
        <v>829</v>
      </c>
      <c r="G147">
        <v>1</v>
      </c>
      <c r="Y147">
        <v>0.05</v>
      </c>
      <c r="AF147">
        <v>2</v>
      </c>
      <c r="AG147" t="s">
        <v>828</v>
      </c>
      <c r="AI147" s="20" t="s">
        <v>6224</v>
      </c>
      <c r="AK147">
        <v>3</v>
      </c>
      <c r="AV147">
        <v>0.25</v>
      </c>
      <c r="BJ147" t="s">
        <v>831</v>
      </c>
      <c r="BL147" t="s">
        <v>210</v>
      </c>
    </row>
    <row r="148" spans="1:70" x14ac:dyDescent="0.25">
      <c r="A148" t="s">
        <v>832</v>
      </c>
      <c r="B148" t="s">
        <v>814</v>
      </c>
      <c r="F148" t="s">
        <v>808</v>
      </c>
      <c r="G148">
        <v>1</v>
      </c>
      <c r="K148">
        <v>100</v>
      </c>
      <c r="M148">
        <v>200</v>
      </c>
      <c r="Y148">
        <v>0.05</v>
      </c>
      <c r="AF148">
        <v>2</v>
      </c>
      <c r="AG148" t="s">
        <v>832</v>
      </c>
      <c r="AI148" t="s">
        <v>833</v>
      </c>
      <c r="AJ148" t="s">
        <v>834</v>
      </c>
      <c r="AK148">
        <v>2</v>
      </c>
      <c r="AV148">
        <v>0.25</v>
      </c>
      <c r="BJ148" t="s">
        <v>835</v>
      </c>
      <c r="BL148" t="s">
        <v>210</v>
      </c>
      <c r="BM148" t="s">
        <v>211</v>
      </c>
      <c r="BP148" t="s">
        <v>811</v>
      </c>
      <c r="BR148">
        <v>1</v>
      </c>
    </row>
    <row r="149" spans="1:70" x14ac:dyDescent="0.25">
      <c r="A149" t="s">
        <v>836</v>
      </c>
      <c r="B149" t="s">
        <v>814</v>
      </c>
      <c r="F149" t="s">
        <v>837</v>
      </c>
      <c r="G149">
        <v>1</v>
      </c>
      <c r="K149">
        <v>100</v>
      </c>
      <c r="M149">
        <v>200</v>
      </c>
      <c r="Y149">
        <v>0.05</v>
      </c>
      <c r="AF149">
        <v>2</v>
      </c>
      <c r="AG149" t="s">
        <v>836</v>
      </c>
      <c r="AI149" t="s">
        <v>833</v>
      </c>
      <c r="AJ149" t="s">
        <v>838</v>
      </c>
      <c r="AK149">
        <v>2</v>
      </c>
      <c r="AV149">
        <v>0.25</v>
      </c>
      <c r="BJ149" t="s">
        <v>839</v>
      </c>
      <c r="BL149" t="s">
        <v>210</v>
      </c>
      <c r="BM149" t="s">
        <v>211</v>
      </c>
      <c r="BP149" t="s">
        <v>811</v>
      </c>
      <c r="BR149">
        <v>1</v>
      </c>
    </row>
    <row r="150" spans="1:70" x14ac:dyDescent="0.25">
      <c r="A150" t="s">
        <v>840</v>
      </c>
      <c r="B150" t="s">
        <v>814</v>
      </c>
      <c r="F150" t="s">
        <v>841</v>
      </c>
      <c r="G150">
        <v>1</v>
      </c>
      <c r="K150">
        <v>100</v>
      </c>
      <c r="M150">
        <v>200</v>
      </c>
      <c r="Y150">
        <v>0.05</v>
      </c>
      <c r="AF150">
        <v>2</v>
      </c>
      <c r="AG150" t="s">
        <v>840</v>
      </c>
      <c r="AI150" t="s">
        <v>833</v>
      </c>
      <c r="AJ150" t="s">
        <v>842</v>
      </c>
      <c r="AK150">
        <v>2</v>
      </c>
      <c r="AV150">
        <v>0.25</v>
      </c>
      <c r="BJ150" t="s">
        <v>843</v>
      </c>
      <c r="BL150" t="s">
        <v>210</v>
      </c>
      <c r="BM150" t="s">
        <v>211</v>
      </c>
      <c r="BO150" t="s">
        <v>211</v>
      </c>
      <c r="BP150" t="s">
        <v>811</v>
      </c>
      <c r="BR150">
        <v>1</v>
      </c>
    </row>
    <row r="151" spans="1:70" x14ac:dyDescent="0.25">
      <c r="A151" t="s">
        <v>844</v>
      </c>
      <c r="B151" t="s">
        <v>814</v>
      </c>
      <c r="F151" t="s">
        <v>845</v>
      </c>
      <c r="G151">
        <v>1</v>
      </c>
      <c r="K151">
        <v>100</v>
      </c>
      <c r="M151">
        <v>20000</v>
      </c>
      <c r="Y151">
        <v>0.05</v>
      </c>
      <c r="AF151">
        <v>2</v>
      </c>
      <c r="AG151" t="s">
        <v>844</v>
      </c>
      <c r="AI151" t="s">
        <v>846</v>
      </c>
      <c r="AJ151" t="s">
        <v>847</v>
      </c>
      <c r="AK151">
        <v>2</v>
      </c>
      <c r="AV151">
        <v>0.25</v>
      </c>
      <c r="BJ151" t="s">
        <v>848</v>
      </c>
      <c r="BL151" t="s">
        <v>210</v>
      </c>
      <c r="BM151" t="s">
        <v>211</v>
      </c>
      <c r="BO151" t="s">
        <v>213</v>
      </c>
      <c r="BP151" t="s">
        <v>811</v>
      </c>
      <c r="BR151">
        <v>1</v>
      </c>
    </row>
    <row r="152" spans="1:70" x14ac:dyDescent="0.25">
      <c r="A152" t="s">
        <v>849</v>
      </c>
      <c r="B152" t="s">
        <v>814</v>
      </c>
      <c r="F152" t="s">
        <v>849</v>
      </c>
      <c r="K152">
        <v>100</v>
      </c>
      <c r="M152">
        <v>200</v>
      </c>
      <c r="AF152">
        <v>2</v>
      </c>
      <c r="AG152" t="s">
        <v>849</v>
      </c>
      <c r="AI152" t="s">
        <v>850</v>
      </c>
      <c r="AK152">
        <v>3</v>
      </c>
      <c r="AP152">
        <v>1</v>
      </c>
      <c r="AV152">
        <v>0.25</v>
      </c>
      <c r="BJ152" t="s">
        <v>851</v>
      </c>
      <c r="BL152" t="s">
        <v>210</v>
      </c>
    </row>
    <row r="153" spans="1:70" x14ac:dyDescent="0.25">
      <c r="A153" t="s">
        <v>852</v>
      </c>
      <c r="B153" t="s">
        <v>814</v>
      </c>
      <c r="F153" t="s">
        <v>853</v>
      </c>
      <c r="K153">
        <v>100</v>
      </c>
      <c r="M153">
        <v>200</v>
      </c>
      <c r="AF153">
        <v>2</v>
      </c>
      <c r="AG153" t="s">
        <v>854</v>
      </c>
      <c r="AI153" t="s">
        <v>855</v>
      </c>
      <c r="AK153">
        <v>3</v>
      </c>
      <c r="AP153">
        <v>1</v>
      </c>
      <c r="AV153">
        <v>0.25</v>
      </c>
      <c r="BJ153" t="s">
        <v>856</v>
      </c>
      <c r="BL153" t="s">
        <v>210</v>
      </c>
    </row>
    <row r="154" spans="1:70" x14ac:dyDescent="0.25">
      <c r="A154" t="s">
        <v>857</v>
      </c>
      <c r="B154" t="s">
        <v>814</v>
      </c>
      <c r="F154" t="s">
        <v>858</v>
      </c>
      <c r="K154">
        <v>100</v>
      </c>
      <c r="M154">
        <v>200</v>
      </c>
      <c r="AF154">
        <v>2</v>
      </c>
      <c r="AG154" t="s">
        <v>857</v>
      </c>
      <c r="AK154">
        <v>3</v>
      </c>
      <c r="AV154">
        <v>0.25</v>
      </c>
      <c r="BJ154" t="s">
        <v>859</v>
      </c>
      <c r="BL154" t="s">
        <v>210</v>
      </c>
    </row>
    <row r="155" spans="1:70" x14ac:dyDescent="0.25">
      <c r="A155" t="s">
        <v>860</v>
      </c>
      <c r="B155" t="s">
        <v>814</v>
      </c>
      <c r="F155" t="s">
        <v>860</v>
      </c>
      <c r="G155">
        <v>1</v>
      </c>
      <c r="K155">
        <v>2500</v>
      </c>
      <c r="M155">
        <v>0</v>
      </c>
      <c r="O155">
        <v>100</v>
      </c>
      <c r="Q155">
        <v>10</v>
      </c>
      <c r="Y155">
        <v>0.05</v>
      </c>
      <c r="AF155">
        <v>0</v>
      </c>
      <c r="AG155" t="s">
        <v>860</v>
      </c>
      <c r="AI155" t="s">
        <v>861</v>
      </c>
      <c r="AJ155" t="s">
        <v>860</v>
      </c>
      <c r="AN155">
        <v>3</v>
      </c>
      <c r="AV155">
        <v>0.25</v>
      </c>
      <c r="BJ155" t="s">
        <v>862</v>
      </c>
      <c r="BL155" t="s">
        <v>210</v>
      </c>
      <c r="BM155" t="s">
        <v>211</v>
      </c>
      <c r="BP155" t="s">
        <v>811</v>
      </c>
      <c r="BR155">
        <v>1</v>
      </c>
    </row>
    <row r="156" spans="1:70" x14ac:dyDescent="0.25">
      <c r="A156" t="s">
        <v>863</v>
      </c>
      <c r="B156" t="s">
        <v>814</v>
      </c>
      <c r="F156" t="s">
        <v>863</v>
      </c>
      <c r="G156">
        <v>1</v>
      </c>
      <c r="K156">
        <v>100</v>
      </c>
      <c r="M156">
        <v>0</v>
      </c>
      <c r="Y156">
        <v>0.05</v>
      </c>
      <c r="AF156">
        <v>2</v>
      </c>
      <c r="AG156" t="s">
        <v>863</v>
      </c>
      <c r="AI156" t="s">
        <v>833</v>
      </c>
      <c r="AJ156" t="s">
        <v>864</v>
      </c>
      <c r="AK156">
        <v>2</v>
      </c>
      <c r="AV156">
        <v>0.25</v>
      </c>
      <c r="BJ156" t="s">
        <v>865</v>
      </c>
      <c r="BL156" t="s">
        <v>210</v>
      </c>
      <c r="BM156" t="s">
        <v>211</v>
      </c>
      <c r="BP156" t="s">
        <v>811</v>
      </c>
      <c r="BR156">
        <v>1</v>
      </c>
    </row>
    <row r="157" spans="1:70" x14ac:dyDescent="0.25">
      <c r="A157" t="s">
        <v>866</v>
      </c>
      <c r="B157" t="s">
        <v>814</v>
      </c>
      <c r="F157" t="s">
        <v>866</v>
      </c>
      <c r="K157">
        <v>100</v>
      </c>
      <c r="M157">
        <v>100</v>
      </c>
      <c r="AF157">
        <v>2</v>
      </c>
      <c r="AG157" t="s">
        <v>866</v>
      </c>
      <c r="AI157" t="s">
        <v>867</v>
      </c>
      <c r="AK157">
        <v>3</v>
      </c>
      <c r="AP157">
        <v>1</v>
      </c>
      <c r="AV157">
        <v>0.25</v>
      </c>
      <c r="BJ157" t="s">
        <v>868</v>
      </c>
      <c r="BL157" t="s">
        <v>210</v>
      </c>
    </row>
    <row r="158" spans="1:70" x14ac:dyDescent="0.25">
      <c r="A158" t="s">
        <v>869</v>
      </c>
      <c r="B158" t="s">
        <v>814</v>
      </c>
      <c r="F158" t="s">
        <v>869</v>
      </c>
      <c r="K158">
        <v>100</v>
      </c>
      <c r="M158">
        <v>100</v>
      </c>
      <c r="AF158">
        <v>2</v>
      </c>
      <c r="AG158" t="s">
        <v>869</v>
      </c>
      <c r="AI158" t="s">
        <v>870</v>
      </c>
      <c r="AK158">
        <v>3</v>
      </c>
      <c r="AP158">
        <v>1</v>
      </c>
      <c r="AV158">
        <v>0.25</v>
      </c>
      <c r="BJ158" t="s">
        <v>871</v>
      </c>
      <c r="BL158" t="s">
        <v>210</v>
      </c>
    </row>
    <row r="159" spans="1:70" x14ac:dyDescent="0.25">
      <c r="A159" t="s">
        <v>872</v>
      </c>
      <c r="B159" t="s">
        <v>814</v>
      </c>
      <c r="F159" t="s">
        <v>873</v>
      </c>
      <c r="K159">
        <v>100</v>
      </c>
      <c r="M159">
        <v>100</v>
      </c>
      <c r="AF159">
        <v>2</v>
      </c>
      <c r="AG159" t="s">
        <v>872</v>
      </c>
      <c r="AI159" t="s">
        <v>874</v>
      </c>
      <c r="AK159">
        <v>3</v>
      </c>
      <c r="AP159">
        <v>1</v>
      </c>
      <c r="AV159">
        <v>0.25</v>
      </c>
      <c r="BJ159" t="s">
        <v>875</v>
      </c>
      <c r="BL159" t="s">
        <v>210</v>
      </c>
    </row>
    <row r="160" spans="1:70" x14ac:dyDescent="0.25">
      <c r="A160" t="s">
        <v>876</v>
      </c>
      <c r="B160" t="s">
        <v>814</v>
      </c>
      <c r="F160" t="s">
        <v>877</v>
      </c>
      <c r="K160">
        <v>100</v>
      </c>
      <c r="M160">
        <v>100</v>
      </c>
      <c r="AF160">
        <v>2</v>
      </c>
      <c r="AG160" t="s">
        <v>876</v>
      </c>
      <c r="AI160" t="s">
        <v>878</v>
      </c>
      <c r="AK160">
        <v>3</v>
      </c>
      <c r="AP160">
        <v>1</v>
      </c>
      <c r="AV160">
        <v>0.25</v>
      </c>
      <c r="BJ160" t="s">
        <v>879</v>
      </c>
      <c r="BL160" t="s">
        <v>210</v>
      </c>
    </row>
    <row r="161" spans="1:70" x14ac:dyDescent="0.25">
      <c r="A161" t="s">
        <v>880</v>
      </c>
      <c r="B161" t="s">
        <v>814</v>
      </c>
      <c r="F161" t="s">
        <v>880</v>
      </c>
      <c r="G161">
        <v>2</v>
      </c>
      <c r="K161">
        <v>100</v>
      </c>
      <c r="M161">
        <v>100</v>
      </c>
      <c r="AF161">
        <v>2</v>
      </c>
      <c r="AG161" t="s">
        <v>880</v>
      </c>
      <c r="AI161" t="s">
        <v>881</v>
      </c>
      <c r="AK161">
        <v>3</v>
      </c>
      <c r="AP161">
        <v>1</v>
      </c>
      <c r="AV161">
        <v>0.25</v>
      </c>
      <c r="BJ161" t="s">
        <v>882</v>
      </c>
      <c r="BL161" t="s">
        <v>210</v>
      </c>
    </row>
    <row r="162" spans="1:70" x14ac:dyDescent="0.25">
      <c r="A162" t="s">
        <v>883</v>
      </c>
      <c r="B162" t="s">
        <v>814</v>
      </c>
      <c r="F162" t="s">
        <v>883</v>
      </c>
      <c r="K162">
        <v>100</v>
      </c>
      <c r="M162">
        <v>100</v>
      </c>
      <c r="AF162">
        <v>2</v>
      </c>
      <c r="AG162" t="s">
        <v>883</v>
      </c>
      <c r="AI162" t="s">
        <v>884</v>
      </c>
      <c r="AK162">
        <v>3</v>
      </c>
      <c r="AP162">
        <v>1</v>
      </c>
      <c r="AV162">
        <v>0.25</v>
      </c>
      <c r="BJ162" t="s">
        <v>885</v>
      </c>
      <c r="BL162" t="s">
        <v>210</v>
      </c>
    </row>
    <row r="163" spans="1:70" x14ac:dyDescent="0.25">
      <c r="A163" t="s">
        <v>886</v>
      </c>
      <c r="B163" t="s">
        <v>814</v>
      </c>
      <c r="F163" t="s">
        <v>886</v>
      </c>
      <c r="G163">
        <v>1</v>
      </c>
      <c r="K163">
        <v>8000</v>
      </c>
      <c r="M163">
        <v>0</v>
      </c>
      <c r="O163">
        <v>0</v>
      </c>
      <c r="Q163">
        <v>0</v>
      </c>
      <c r="Y163">
        <v>0.05</v>
      </c>
      <c r="AG163" t="s">
        <v>886</v>
      </c>
      <c r="AI163" s="20" t="s">
        <v>6225</v>
      </c>
      <c r="AM163" s="20" t="s">
        <v>6212</v>
      </c>
      <c r="AN163">
        <v>3</v>
      </c>
      <c r="AV163">
        <v>0.25</v>
      </c>
      <c r="AY163">
        <v>1</v>
      </c>
      <c r="BJ163" t="s">
        <v>887</v>
      </c>
      <c r="BL163" t="s">
        <v>210</v>
      </c>
      <c r="BR163">
        <v>1</v>
      </c>
    </row>
    <row r="164" spans="1:70" x14ac:dyDescent="0.25">
      <c r="A164" t="s">
        <v>888</v>
      </c>
      <c r="B164" t="s">
        <v>814</v>
      </c>
      <c r="F164" t="s">
        <v>886</v>
      </c>
      <c r="G164">
        <v>1</v>
      </c>
      <c r="K164">
        <v>5000</v>
      </c>
      <c r="M164">
        <v>500</v>
      </c>
      <c r="O164">
        <v>30</v>
      </c>
      <c r="Q164">
        <v>0</v>
      </c>
      <c r="Y164">
        <v>0.05</v>
      </c>
      <c r="AE164">
        <v>0</v>
      </c>
      <c r="AF164">
        <v>1</v>
      </c>
      <c r="AG164" t="s">
        <v>889</v>
      </c>
      <c r="AI164" t="s">
        <v>890</v>
      </c>
      <c r="AK164">
        <v>1</v>
      </c>
      <c r="AV164">
        <v>0.25</v>
      </c>
      <c r="BA164" t="s">
        <v>347</v>
      </c>
      <c r="BJ164" t="s">
        <v>887</v>
      </c>
      <c r="BL164" t="s">
        <v>210</v>
      </c>
      <c r="BR164">
        <v>1</v>
      </c>
    </row>
    <row r="166" spans="1:70" ht="14.5" x14ac:dyDescent="0.25">
      <c r="A166" t="s">
        <v>891</v>
      </c>
      <c r="B166" t="s">
        <v>206</v>
      </c>
      <c r="D166" s="17" t="s">
        <v>892</v>
      </c>
      <c r="E166" s="2">
        <v>1007</v>
      </c>
      <c r="F166" t="str">
        <f t="shared" ref="F166:F169" si="200">"enemy_"&amp;E166&amp;"_"&amp;D166</f>
        <v>enemy_1007_slime</v>
      </c>
      <c r="G166">
        <v>1</v>
      </c>
      <c r="K166">
        <v>550</v>
      </c>
      <c r="M166">
        <v>130</v>
      </c>
      <c r="O166">
        <v>0</v>
      </c>
      <c r="Q166">
        <v>0</v>
      </c>
      <c r="Y166">
        <v>0.05</v>
      </c>
      <c r="Z166">
        <v>1.7</v>
      </c>
      <c r="AA166">
        <v>0</v>
      </c>
      <c r="AB166">
        <v>1</v>
      </c>
      <c r="AE166">
        <v>0</v>
      </c>
      <c r="AF166">
        <v>1</v>
      </c>
      <c r="AG166" t="s">
        <v>205</v>
      </c>
      <c r="AH166" t="s">
        <v>209</v>
      </c>
      <c r="AI166" t="s">
        <v>231</v>
      </c>
      <c r="AK166">
        <v>1</v>
      </c>
      <c r="AT166">
        <v>1</v>
      </c>
      <c r="AV166">
        <v>0.25</v>
      </c>
      <c r="BC166" t="str">
        <f t="shared" ref="BC166:BC169" si="201">"enemy_"&amp;E166&amp;"_"&amp;D166</f>
        <v>enemy_1007_slime</v>
      </c>
      <c r="BI166" t="s">
        <v>893</v>
      </c>
      <c r="BJ166" t="s">
        <v>894</v>
      </c>
      <c r="BL166" t="s">
        <v>210</v>
      </c>
      <c r="BM166" t="s">
        <v>211</v>
      </c>
      <c r="BN166" s="19" t="s">
        <v>212</v>
      </c>
      <c r="BO166" t="s">
        <v>213</v>
      </c>
      <c r="BQ166" s="19"/>
      <c r="BR166">
        <v>1</v>
      </c>
    </row>
    <row r="167" spans="1:70" ht="14.5" x14ac:dyDescent="0.25">
      <c r="A167" t="s">
        <v>895</v>
      </c>
      <c r="B167" t="s">
        <v>206</v>
      </c>
      <c r="D167" s="17" t="s">
        <v>207</v>
      </c>
      <c r="E167" s="2">
        <v>1007</v>
      </c>
      <c r="F167" t="str">
        <f t="shared" si="200"/>
        <v>enemy_1007_slime_2</v>
      </c>
      <c r="G167">
        <v>1</v>
      </c>
      <c r="K167">
        <v>1050</v>
      </c>
      <c r="M167">
        <v>185</v>
      </c>
      <c r="O167">
        <v>0</v>
      </c>
      <c r="Q167">
        <v>0</v>
      </c>
      <c r="Y167">
        <v>0.05</v>
      </c>
      <c r="Z167">
        <v>1.7</v>
      </c>
      <c r="AA167">
        <v>0</v>
      </c>
      <c r="AB167">
        <v>1</v>
      </c>
      <c r="AE167">
        <v>0</v>
      </c>
      <c r="AF167">
        <v>1</v>
      </c>
      <c r="AG167" t="s">
        <v>896</v>
      </c>
      <c r="AH167" t="s">
        <v>209</v>
      </c>
      <c r="AI167" t="s">
        <v>231</v>
      </c>
      <c r="AK167">
        <v>1</v>
      </c>
      <c r="AT167">
        <v>1</v>
      </c>
      <c r="AV167">
        <v>0.25</v>
      </c>
      <c r="BC167" t="str">
        <f t="shared" si="201"/>
        <v>enemy_1007_slime_2</v>
      </c>
      <c r="BI167" t="s">
        <v>893</v>
      </c>
      <c r="BJ167" t="s">
        <v>897</v>
      </c>
      <c r="BL167" t="s">
        <v>210</v>
      </c>
      <c r="BM167" t="s">
        <v>211</v>
      </c>
      <c r="BN167" s="19" t="s">
        <v>212</v>
      </c>
      <c r="BO167" t="s">
        <v>213</v>
      </c>
      <c r="BQ167" s="19"/>
      <c r="BR167">
        <v>1</v>
      </c>
    </row>
    <row r="168" spans="1:70" ht="14.5" x14ac:dyDescent="0.25">
      <c r="A168" t="s">
        <v>898</v>
      </c>
      <c r="B168" t="s">
        <v>206</v>
      </c>
      <c r="D168" s="17" t="s">
        <v>899</v>
      </c>
      <c r="E168" s="2">
        <v>1007</v>
      </c>
      <c r="F168" t="str">
        <f t="shared" si="200"/>
        <v>enemy_1007_slime_3</v>
      </c>
      <c r="G168">
        <v>1</v>
      </c>
      <c r="K168">
        <v>1550</v>
      </c>
      <c r="M168">
        <v>240</v>
      </c>
      <c r="O168">
        <v>0</v>
      </c>
      <c r="Q168">
        <v>0</v>
      </c>
      <c r="Y168">
        <v>0.05</v>
      </c>
      <c r="Z168">
        <v>1.7</v>
      </c>
      <c r="AA168">
        <v>0</v>
      </c>
      <c r="AB168">
        <v>1</v>
      </c>
      <c r="AE168">
        <v>0</v>
      </c>
      <c r="AF168">
        <v>1</v>
      </c>
      <c r="AG168" t="s">
        <v>900</v>
      </c>
      <c r="AH168" t="s">
        <v>209</v>
      </c>
      <c r="AI168" t="s">
        <v>231</v>
      </c>
      <c r="AK168">
        <v>1</v>
      </c>
      <c r="AT168">
        <v>1</v>
      </c>
      <c r="AV168">
        <v>0.25</v>
      </c>
      <c r="BC168" t="str">
        <f t="shared" si="201"/>
        <v>enemy_1007_slime_3</v>
      </c>
      <c r="BI168" t="s">
        <v>893</v>
      </c>
      <c r="BJ168" t="s">
        <v>901</v>
      </c>
      <c r="BL168" t="s">
        <v>210</v>
      </c>
      <c r="BM168" t="s">
        <v>211</v>
      </c>
      <c r="BN168" s="19" t="s">
        <v>212</v>
      </c>
      <c r="BO168" t="s">
        <v>213</v>
      </c>
      <c r="BQ168" s="19"/>
      <c r="BR168">
        <v>1</v>
      </c>
    </row>
    <row r="169" spans="1:70" ht="14.5" x14ac:dyDescent="0.25">
      <c r="A169" t="s">
        <v>902</v>
      </c>
      <c r="B169" t="s">
        <v>206</v>
      </c>
      <c r="D169" s="17" t="s">
        <v>903</v>
      </c>
      <c r="E169" s="2">
        <v>1004</v>
      </c>
      <c r="F169" t="str">
        <f t="shared" si="200"/>
        <v>enemy_1004_mslime</v>
      </c>
      <c r="G169">
        <v>1</v>
      </c>
      <c r="K169">
        <v>2080</v>
      </c>
      <c r="M169">
        <v>180</v>
      </c>
      <c r="O169">
        <v>80</v>
      </c>
      <c r="Q169">
        <v>0</v>
      </c>
      <c r="Y169">
        <v>0.05</v>
      </c>
      <c r="Z169">
        <v>3</v>
      </c>
      <c r="AA169">
        <v>0</v>
      </c>
      <c r="AB169">
        <v>1</v>
      </c>
      <c r="AE169">
        <v>0</v>
      </c>
      <c r="AF169">
        <v>1</v>
      </c>
      <c r="AG169" t="s">
        <v>904</v>
      </c>
      <c r="AH169" t="s">
        <v>209</v>
      </c>
      <c r="AI169" t="s">
        <v>905</v>
      </c>
      <c r="AK169">
        <v>1</v>
      </c>
      <c r="AT169">
        <v>1</v>
      </c>
      <c r="AV169">
        <v>0.25</v>
      </c>
      <c r="BC169" t="str">
        <f t="shared" si="201"/>
        <v>enemy_1004_mslime</v>
      </c>
      <c r="BI169" t="s">
        <v>906</v>
      </c>
      <c r="BJ169" t="s">
        <v>907</v>
      </c>
      <c r="BL169" t="s">
        <v>210</v>
      </c>
      <c r="BM169" t="s">
        <v>211</v>
      </c>
      <c r="BN169" s="19" t="s">
        <v>212</v>
      </c>
      <c r="BO169" t="s">
        <v>213</v>
      </c>
      <c r="BQ169" s="19"/>
      <c r="BR169">
        <v>1</v>
      </c>
    </row>
    <row r="170" spans="1:70" ht="14.5" x14ac:dyDescent="0.25">
      <c r="A170" t="s">
        <v>908</v>
      </c>
      <c r="B170" t="s">
        <v>206</v>
      </c>
      <c r="D170" s="17" t="s">
        <v>909</v>
      </c>
      <c r="E170" s="2">
        <v>1004</v>
      </c>
      <c r="F170" t="str">
        <f t="shared" ref="F170:F176" si="202">"enemy_"&amp;E170&amp;"_"&amp;D170</f>
        <v>enemy_1004_mslime_2</v>
      </c>
      <c r="G170">
        <v>1</v>
      </c>
      <c r="K170">
        <v>2780</v>
      </c>
      <c r="M170">
        <v>290</v>
      </c>
      <c r="O170">
        <v>0</v>
      </c>
      <c r="Q170">
        <v>0</v>
      </c>
      <c r="Y170">
        <v>0.05</v>
      </c>
      <c r="Z170">
        <v>3.3</v>
      </c>
      <c r="AA170">
        <v>0</v>
      </c>
      <c r="AB170">
        <v>1</v>
      </c>
      <c r="AE170">
        <v>0</v>
      </c>
      <c r="AF170">
        <v>1</v>
      </c>
      <c r="AG170" t="s">
        <v>910</v>
      </c>
      <c r="AH170" t="s">
        <v>209</v>
      </c>
      <c r="AI170" t="s">
        <v>911</v>
      </c>
      <c r="AK170">
        <v>1</v>
      </c>
      <c r="AT170">
        <v>1</v>
      </c>
      <c r="AV170">
        <v>0.25</v>
      </c>
      <c r="BC170" t="str">
        <f t="shared" ref="BC170:BC176" si="203">"enemy_"&amp;E170&amp;"_"&amp;D170</f>
        <v>enemy_1004_mslime_2</v>
      </c>
      <c r="BI170" t="s">
        <v>906</v>
      </c>
      <c r="BJ170" t="s">
        <v>912</v>
      </c>
      <c r="BL170" t="s">
        <v>210</v>
      </c>
      <c r="BM170" t="s">
        <v>211</v>
      </c>
      <c r="BN170" s="19" t="s">
        <v>212</v>
      </c>
      <c r="BO170" t="s">
        <v>213</v>
      </c>
      <c r="BQ170" s="19"/>
      <c r="BR170">
        <v>1</v>
      </c>
    </row>
    <row r="171" spans="1:70" ht="14.5" x14ac:dyDescent="0.25">
      <c r="A171" t="s">
        <v>913</v>
      </c>
      <c r="B171" t="s">
        <v>206</v>
      </c>
      <c r="D171" s="17" t="s">
        <v>914</v>
      </c>
      <c r="E171" s="2">
        <v>1021</v>
      </c>
      <c r="F171" t="str">
        <f t="shared" si="202"/>
        <v>enemy_1021_bslime</v>
      </c>
      <c r="G171">
        <v>1</v>
      </c>
      <c r="K171">
        <v>2460</v>
      </c>
      <c r="M171">
        <v>260</v>
      </c>
      <c r="O171">
        <v>0</v>
      </c>
      <c r="Q171">
        <v>0</v>
      </c>
      <c r="Y171">
        <v>0.05</v>
      </c>
      <c r="Z171">
        <v>1.7</v>
      </c>
      <c r="AA171">
        <v>0</v>
      </c>
      <c r="AB171">
        <v>1</v>
      </c>
      <c r="AE171">
        <v>0</v>
      </c>
      <c r="AF171">
        <v>1</v>
      </c>
      <c r="AG171" t="s">
        <v>915</v>
      </c>
      <c r="AH171" t="s">
        <v>209</v>
      </c>
      <c r="AI171" t="s">
        <v>916</v>
      </c>
      <c r="AK171">
        <v>1</v>
      </c>
      <c r="AT171">
        <v>1</v>
      </c>
      <c r="AV171">
        <v>0.25</v>
      </c>
      <c r="BC171" t="str">
        <f t="shared" si="203"/>
        <v>enemy_1021_bslime</v>
      </c>
      <c r="BI171" t="s">
        <v>893</v>
      </c>
      <c r="BJ171" t="s">
        <v>917</v>
      </c>
      <c r="BL171" t="s">
        <v>210</v>
      </c>
      <c r="BM171" t="s">
        <v>211</v>
      </c>
      <c r="BN171" s="19" t="s">
        <v>232</v>
      </c>
      <c r="BO171" t="s">
        <v>213</v>
      </c>
      <c r="BQ171" s="19"/>
      <c r="BR171">
        <v>1</v>
      </c>
    </row>
    <row r="172" spans="1:70" ht="14.5" x14ac:dyDescent="0.25">
      <c r="A172" t="s">
        <v>918</v>
      </c>
      <c r="B172" t="s">
        <v>206</v>
      </c>
      <c r="D172" s="17" t="s">
        <v>919</v>
      </c>
      <c r="E172" s="2">
        <v>1021</v>
      </c>
      <c r="F172" t="str">
        <f t="shared" si="202"/>
        <v>enemy_1021_bslime_2</v>
      </c>
      <c r="G172">
        <v>1</v>
      </c>
      <c r="K172">
        <v>3700</v>
      </c>
      <c r="M172">
        <v>350</v>
      </c>
      <c r="O172">
        <v>0</v>
      </c>
      <c r="Q172">
        <v>0</v>
      </c>
      <c r="Y172">
        <v>0.05</v>
      </c>
      <c r="Z172">
        <v>1.7</v>
      </c>
      <c r="AA172">
        <v>0</v>
      </c>
      <c r="AB172">
        <v>1</v>
      </c>
      <c r="AE172">
        <v>0</v>
      </c>
      <c r="AF172">
        <v>1</v>
      </c>
      <c r="AG172" t="s">
        <v>920</v>
      </c>
      <c r="AH172" t="s">
        <v>209</v>
      </c>
      <c r="AI172" t="s">
        <v>916</v>
      </c>
      <c r="AK172">
        <v>1</v>
      </c>
      <c r="AT172">
        <v>1</v>
      </c>
      <c r="AV172">
        <v>0.25</v>
      </c>
      <c r="BC172" t="str">
        <f t="shared" si="203"/>
        <v>enemy_1021_bslime_2</v>
      </c>
      <c r="BI172" t="s">
        <v>893</v>
      </c>
      <c r="BJ172" t="s">
        <v>921</v>
      </c>
      <c r="BL172" t="s">
        <v>210</v>
      </c>
      <c r="BM172" t="s">
        <v>211</v>
      </c>
      <c r="BN172" s="19" t="s">
        <v>232</v>
      </c>
      <c r="BO172" t="s">
        <v>213</v>
      </c>
      <c r="BQ172" s="19"/>
      <c r="BR172">
        <v>1</v>
      </c>
    </row>
    <row r="173" spans="1:70" ht="14.5" x14ac:dyDescent="0.25">
      <c r="A173" t="s">
        <v>922</v>
      </c>
      <c r="B173" t="s">
        <v>206</v>
      </c>
      <c r="D173" s="17" t="s">
        <v>215</v>
      </c>
      <c r="E173" s="2">
        <v>1000</v>
      </c>
      <c r="F173" t="str">
        <f t="shared" si="202"/>
        <v>enemy_1000_gopro</v>
      </c>
      <c r="G173">
        <v>1</v>
      </c>
      <c r="K173">
        <v>820</v>
      </c>
      <c r="M173">
        <v>190</v>
      </c>
      <c r="O173">
        <v>0</v>
      </c>
      <c r="Q173">
        <v>20</v>
      </c>
      <c r="Y173">
        <v>0.05</v>
      </c>
      <c r="Z173">
        <v>1.4</v>
      </c>
      <c r="AA173">
        <v>0</v>
      </c>
      <c r="AB173">
        <v>1.9</v>
      </c>
      <c r="AE173">
        <v>0</v>
      </c>
      <c r="AF173">
        <v>1</v>
      </c>
      <c r="AG173" t="s">
        <v>217</v>
      </c>
      <c r="AH173" t="s">
        <v>209</v>
      </c>
      <c r="AI173" t="s">
        <v>231</v>
      </c>
      <c r="AK173">
        <v>1</v>
      </c>
      <c r="AT173">
        <v>1</v>
      </c>
      <c r="AV173">
        <v>0.25</v>
      </c>
      <c r="BC173" t="str">
        <f t="shared" si="203"/>
        <v>enemy_1000_gopro</v>
      </c>
      <c r="BI173" t="s">
        <v>893</v>
      </c>
      <c r="BJ173" t="s">
        <v>923</v>
      </c>
      <c r="BL173" t="s">
        <v>210</v>
      </c>
      <c r="BM173" t="s">
        <v>211</v>
      </c>
      <c r="BN173" t="s">
        <v>220</v>
      </c>
      <c r="BO173" t="s">
        <v>213</v>
      </c>
      <c r="BQ173" s="19"/>
      <c r="BR173">
        <v>1</v>
      </c>
    </row>
    <row r="174" spans="1:70" ht="14.5" x14ac:dyDescent="0.25">
      <c r="A174" t="s">
        <v>924</v>
      </c>
      <c r="B174" t="s">
        <v>206</v>
      </c>
      <c r="D174" s="17" t="s">
        <v>925</v>
      </c>
      <c r="E174" s="2">
        <v>1000</v>
      </c>
      <c r="F174" t="str">
        <f t="shared" si="202"/>
        <v>enemy_1000_gopro_2</v>
      </c>
      <c r="G174">
        <v>1</v>
      </c>
      <c r="K174">
        <v>1700</v>
      </c>
      <c r="M174">
        <v>260</v>
      </c>
      <c r="O174">
        <v>0</v>
      </c>
      <c r="Q174">
        <v>20</v>
      </c>
      <c r="Y174">
        <v>0.05</v>
      </c>
      <c r="Z174">
        <v>1.4</v>
      </c>
      <c r="AA174">
        <v>0</v>
      </c>
      <c r="AB174">
        <v>1.9</v>
      </c>
      <c r="AE174">
        <v>0</v>
      </c>
      <c r="AF174">
        <v>1</v>
      </c>
      <c r="AG174" t="s">
        <v>926</v>
      </c>
      <c r="AH174" t="s">
        <v>209</v>
      </c>
      <c r="AI174" t="s">
        <v>231</v>
      </c>
      <c r="AK174">
        <v>1</v>
      </c>
      <c r="AT174">
        <v>1</v>
      </c>
      <c r="AV174">
        <v>0.25</v>
      </c>
      <c r="BC174" t="str">
        <f t="shared" si="203"/>
        <v>enemy_1000_gopro_2</v>
      </c>
      <c r="BI174" t="s">
        <v>893</v>
      </c>
      <c r="BJ174" t="s">
        <v>927</v>
      </c>
      <c r="BL174" t="s">
        <v>210</v>
      </c>
      <c r="BM174" t="s">
        <v>211</v>
      </c>
      <c r="BN174" t="s">
        <v>220</v>
      </c>
      <c r="BO174" t="s">
        <v>213</v>
      </c>
      <c r="BQ174" s="19"/>
      <c r="BR174">
        <v>1</v>
      </c>
    </row>
    <row r="175" spans="1:70" ht="14.5" x14ac:dyDescent="0.25">
      <c r="A175" t="s">
        <v>928</v>
      </c>
      <c r="B175" t="s">
        <v>206</v>
      </c>
      <c r="D175" s="17" t="s">
        <v>929</v>
      </c>
      <c r="E175" s="2">
        <v>1000</v>
      </c>
      <c r="F175" t="str">
        <f t="shared" si="202"/>
        <v>enemy_1000_gopro_3</v>
      </c>
      <c r="G175">
        <v>1</v>
      </c>
      <c r="K175">
        <v>3000</v>
      </c>
      <c r="M175">
        <v>370</v>
      </c>
      <c r="O175">
        <v>0</v>
      </c>
      <c r="Q175">
        <v>20</v>
      </c>
      <c r="Y175">
        <v>0.05</v>
      </c>
      <c r="Z175">
        <v>1.4</v>
      </c>
      <c r="AA175">
        <v>0</v>
      </c>
      <c r="AB175">
        <v>1.9</v>
      </c>
      <c r="AE175">
        <v>0</v>
      </c>
      <c r="AF175">
        <v>1</v>
      </c>
      <c r="AG175" t="s">
        <v>930</v>
      </c>
      <c r="AH175" t="s">
        <v>209</v>
      </c>
      <c r="AI175" t="s">
        <v>231</v>
      </c>
      <c r="AK175">
        <v>1</v>
      </c>
      <c r="AT175">
        <v>1</v>
      </c>
      <c r="AV175">
        <v>0.25</v>
      </c>
      <c r="BC175" t="str">
        <f t="shared" si="203"/>
        <v>enemy_1000_gopro_3</v>
      </c>
      <c r="BI175" t="s">
        <v>893</v>
      </c>
      <c r="BJ175" t="s">
        <v>931</v>
      </c>
      <c r="BL175" t="s">
        <v>210</v>
      </c>
      <c r="BM175" t="s">
        <v>211</v>
      </c>
      <c r="BN175" t="s">
        <v>220</v>
      </c>
      <c r="BO175" t="s">
        <v>213</v>
      </c>
      <c r="BQ175" s="19"/>
      <c r="BR175">
        <v>1</v>
      </c>
    </row>
    <row r="176" spans="1:70" ht="14.5" x14ac:dyDescent="0.25">
      <c r="A176" t="s">
        <v>932</v>
      </c>
      <c r="B176" t="s">
        <v>206</v>
      </c>
      <c r="D176" s="17" t="s">
        <v>933</v>
      </c>
      <c r="E176" s="2">
        <v>1002</v>
      </c>
      <c r="F176" t="str">
        <f t="shared" si="202"/>
        <v>enemy_1002_nsabr</v>
      </c>
      <c r="G176">
        <v>1</v>
      </c>
      <c r="K176">
        <v>1650</v>
      </c>
      <c r="M176">
        <v>200</v>
      </c>
      <c r="O176">
        <v>100</v>
      </c>
      <c r="Q176">
        <v>0</v>
      </c>
      <c r="Y176">
        <v>0.05</v>
      </c>
      <c r="Z176">
        <v>2</v>
      </c>
      <c r="AA176">
        <v>1</v>
      </c>
      <c r="AB176">
        <v>1.1000000000000001</v>
      </c>
      <c r="AE176">
        <v>0</v>
      </c>
      <c r="AF176">
        <v>1</v>
      </c>
      <c r="AG176" t="s">
        <v>934</v>
      </c>
      <c r="AH176" t="s">
        <v>209</v>
      </c>
      <c r="AI176" t="s">
        <v>231</v>
      </c>
      <c r="AK176">
        <v>1</v>
      </c>
      <c r="AT176">
        <v>1</v>
      </c>
      <c r="AV176">
        <v>0.25</v>
      </c>
      <c r="BC176" t="str">
        <f t="shared" si="203"/>
        <v>enemy_1002_nsabr</v>
      </c>
      <c r="BI176" t="s">
        <v>935</v>
      </c>
      <c r="BJ176" t="s">
        <v>936</v>
      </c>
      <c r="BL176" t="s">
        <v>210</v>
      </c>
      <c r="BM176" t="s">
        <v>211</v>
      </c>
      <c r="BN176" s="19" t="s">
        <v>242</v>
      </c>
      <c r="BO176" t="s">
        <v>213</v>
      </c>
      <c r="BQ176" s="19"/>
      <c r="BR176">
        <v>1</v>
      </c>
    </row>
    <row r="177" spans="1:70" ht="14.5" x14ac:dyDescent="0.25">
      <c r="A177" t="s">
        <v>937</v>
      </c>
      <c r="B177" t="s">
        <v>206</v>
      </c>
      <c r="D177" s="17" t="s">
        <v>938</v>
      </c>
      <c r="E177" s="2">
        <v>1003</v>
      </c>
      <c r="F177" t="str">
        <f t="shared" ref="F177:F240" si="204">"enemy_"&amp;E177&amp;"_"&amp;D177</f>
        <v>enemy_1003_ncbow</v>
      </c>
      <c r="G177">
        <v>1</v>
      </c>
      <c r="K177">
        <v>1400</v>
      </c>
      <c r="M177">
        <v>240</v>
      </c>
      <c r="O177">
        <v>100</v>
      </c>
      <c r="Q177">
        <v>0</v>
      </c>
      <c r="Y177">
        <v>0.05</v>
      </c>
      <c r="Z177">
        <v>2.4</v>
      </c>
      <c r="AA177">
        <v>1</v>
      </c>
      <c r="AB177">
        <v>0.9</v>
      </c>
      <c r="AE177">
        <v>0</v>
      </c>
      <c r="AF177">
        <v>1</v>
      </c>
      <c r="AG177" t="s">
        <v>939</v>
      </c>
      <c r="AH177" t="s">
        <v>209</v>
      </c>
      <c r="AI177" t="s">
        <v>940</v>
      </c>
      <c r="AK177">
        <v>1</v>
      </c>
      <c r="AT177">
        <v>1</v>
      </c>
      <c r="AV177">
        <v>0.25</v>
      </c>
      <c r="BC177" t="str">
        <f t="shared" ref="BC177:BC240" si="205">"enemy_"&amp;E177&amp;"_"&amp;D177</f>
        <v>enemy_1003_ncbow</v>
      </c>
      <c r="BI177" t="s">
        <v>941</v>
      </c>
      <c r="BJ177" t="s">
        <v>942</v>
      </c>
      <c r="BL177" t="s">
        <v>210</v>
      </c>
      <c r="BM177" t="s">
        <v>211</v>
      </c>
      <c r="BN177" s="19" t="s">
        <v>943</v>
      </c>
      <c r="BO177" t="s">
        <v>213</v>
      </c>
      <c r="BQ177" s="19"/>
      <c r="BR177">
        <v>1</v>
      </c>
    </row>
    <row r="178" spans="1:70" ht="14.5" x14ac:dyDescent="0.25">
      <c r="A178" t="s">
        <v>944</v>
      </c>
      <c r="B178" t="s">
        <v>206</v>
      </c>
      <c r="D178" s="17" t="s">
        <v>945</v>
      </c>
      <c r="E178" s="2">
        <v>1003</v>
      </c>
      <c r="F178" t="str">
        <f t="shared" si="204"/>
        <v>enemy_1003_ncbow_2</v>
      </c>
      <c r="G178">
        <v>1</v>
      </c>
      <c r="K178">
        <v>1900</v>
      </c>
      <c r="M178">
        <v>310</v>
      </c>
      <c r="O178">
        <v>150</v>
      </c>
      <c r="Q178">
        <v>0</v>
      </c>
      <c r="Y178">
        <v>0.05</v>
      </c>
      <c r="Z178">
        <v>2.4</v>
      </c>
      <c r="AA178">
        <v>1</v>
      </c>
      <c r="AB178">
        <v>0.9</v>
      </c>
      <c r="AE178">
        <v>0</v>
      </c>
      <c r="AF178">
        <v>1</v>
      </c>
      <c r="AG178" t="s">
        <v>946</v>
      </c>
      <c r="AH178" t="s">
        <v>209</v>
      </c>
      <c r="AI178" t="s">
        <v>940</v>
      </c>
      <c r="AK178">
        <v>1</v>
      </c>
      <c r="AT178">
        <v>1</v>
      </c>
      <c r="AV178">
        <v>0.25</v>
      </c>
      <c r="BC178" t="str">
        <f t="shared" si="205"/>
        <v>enemy_1003_ncbow_2</v>
      </c>
      <c r="BI178" t="s">
        <v>941</v>
      </c>
      <c r="BJ178" t="s">
        <v>947</v>
      </c>
      <c r="BL178" t="s">
        <v>210</v>
      </c>
      <c r="BM178" t="s">
        <v>211</v>
      </c>
      <c r="BN178" s="19" t="s">
        <v>943</v>
      </c>
      <c r="BO178" t="s">
        <v>213</v>
      </c>
      <c r="BQ178" s="19"/>
      <c r="BR178">
        <v>1</v>
      </c>
    </row>
    <row r="179" spans="1:70" ht="14.5" x14ac:dyDescent="0.25">
      <c r="A179" t="s">
        <v>948</v>
      </c>
      <c r="B179" t="s">
        <v>206</v>
      </c>
      <c r="D179" s="17" t="s">
        <v>949</v>
      </c>
      <c r="E179" s="2">
        <v>1011</v>
      </c>
      <c r="F179" t="str">
        <f t="shared" si="204"/>
        <v>enemy_1011_wizard</v>
      </c>
      <c r="G179">
        <v>1</v>
      </c>
      <c r="K179">
        <v>1600</v>
      </c>
      <c r="M179">
        <v>200</v>
      </c>
      <c r="O179">
        <v>50</v>
      </c>
      <c r="Q179">
        <v>50</v>
      </c>
      <c r="Y179">
        <v>0.05</v>
      </c>
      <c r="Z179">
        <v>4</v>
      </c>
      <c r="AA179">
        <v>1</v>
      </c>
      <c r="AB179">
        <v>0.8</v>
      </c>
      <c r="AE179">
        <v>0</v>
      </c>
      <c r="AF179">
        <v>1</v>
      </c>
      <c r="AG179" t="s">
        <v>950</v>
      </c>
      <c r="AH179" t="s">
        <v>209</v>
      </c>
      <c r="AI179" t="s">
        <v>951</v>
      </c>
      <c r="AK179">
        <v>1</v>
      </c>
      <c r="AT179">
        <v>1</v>
      </c>
      <c r="AV179">
        <v>0.25</v>
      </c>
      <c r="BC179" t="str">
        <f t="shared" si="205"/>
        <v>enemy_1011_wizard</v>
      </c>
      <c r="BI179" t="s">
        <v>941</v>
      </c>
      <c r="BJ179" t="s">
        <v>952</v>
      </c>
      <c r="BL179" t="s">
        <v>210</v>
      </c>
      <c r="BM179" t="s">
        <v>211</v>
      </c>
      <c r="BN179" s="19" t="s">
        <v>212</v>
      </c>
      <c r="BO179" t="s">
        <v>213</v>
      </c>
      <c r="BQ179" s="19"/>
      <c r="BR179">
        <v>1</v>
      </c>
    </row>
    <row r="180" spans="1:70" ht="14.5" x14ac:dyDescent="0.25">
      <c r="A180" t="s">
        <v>953</v>
      </c>
      <c r="B180" t="s">
        <v>206</v>
      </c>
      <c r="D180" s="17" t="s">
        <v>954</v>
      </c>
      <c r="E180" s="2">
        <v>1011</v>
      </c>
      <c r="F180" t="str">
        <f t="shared" si="204"/>
        <v>enemy_1011_wizard_2</v>
      </c>
      <c r="G180">
        <v>1</v>
      </c>
      <c r="K180">
        <v>2400</v>
      </c>
      <c r="M180">
        <v>300</v>
      </c>
      <c r="O180">
        <v>80</v>
      </c>
      <c r="Q180">
        <v>50</v>
      </c>
      <c r="Y180">
        <v>0.05</v>
      </c>
      <c r="Z180">
        <v>4</v>
      </c>
      <c r="AA180">
        <v>1</v>
      </c>
      <c r="AB180">
        <v>0.8</v>
      </c>
      <c r="AE180">
        <v>0</v>
      </c>
      <c r="AF180">
        <v>1</v>
      </c>
      <c r="AG180" t="s">
        <v>955</v>
      </c>
      <c r="AH180" t="s">
        <v>209</v>
      </c>
      <c r="AI180" t="s">
        <v>956</v>
      </c>
      <c r="AK180">
        <v>1</v>
      </c>
      <c r="AT180">
        <v>1</v>
      </c>
      <c r="AV180">
        <v>0.25</v>
      </c>
      <c r="BC180" t="str">
        <f t="shared" si="205"/>
        <v>enemy_1011_wizard_2</v>
      </c>
      <c r="BI180" t="s">
        <v>941</v>
      </c>
      <c r="BJ180" t="s">
        <v>957</v>
      </c>
      <c r="BL180" t="s">
        <v>210</v>
      </c>
      <c r="BM180" t="s">
        <v>211</v>
      </c>
      <c r="BN180" s="19" t="s">
        <v>212</v>
      </c>
      <c r="BO180" t="s">
        <v>213</v>
      </c>
      <c r="BQ180" s="19"/>
      <c r="BR180">
        <v>1</v>
      </c>
    </row>
    <row r="181" spans="1:70" ht="14.5" x14ac:dyDescent="0.25">
      <c r="A181" t="s">
        <v>958</v>
      </c>
      <c r="B181" t="s">
        <v>206</v>
      </c>
      <c r="D181" s="17" t="s">
        <v>959</v>
      </c>
      <c r="E181" s="2">
        <v>1018</v>
      </c>
      <c r="F181" t="str">
        <f t="shared" si="204"/>
        <v>enemy_1018_aoemag</v>
      </c>
      <c r="G181">
        <v>1</v>
      </c>
      <c r="K181">
        <v>7000</v>
      </c>
      <c r="M181">
        <v>240</v>
      </c>
      <c r="O181">
        <v>120</v>
      </c>
      <c r="Q181">
        <v>50</v>
      </c>
      <c r="Y181">
        <v>0.05</v>
      </c>
      <c r="Z181">
        <v>3.8</v>
      </c>
      <c r="AA181">
        <v>1</v>
      </c>
      <c r="AB181">
        <v>0.7</v>
      </c>
      <c r="AE181">
        <v>0</v>
      </c>
      <c r="AF181">
        <v>1</v>
      </c>
      <c r="AG181" t="s">
        <v>960</v>
      </c>
      <c r="AH181" t="s">
        <v>209</v>
      </c>
      <c r="AI181" t="s">
        <v>961</v>
      </c>
      <c r="AK181">
        <v>1</v>
      </c>
      <c r="AT181">
        <v>1</v>
      </c>
      <c r="AV181">
        <v>0.25</v>
      </c>
      <c r="BC181" t="str">
        <f t="shared" si="205"/>
        <v>enemy_1018_aoemag</v>
      </c>
      <c r="BI181" t="s">
        <v>962</v>
      </c>
      <c r="BJ181" t="s">
        <v>963</v>
      </c>
      <c r="BL181" t="s">
        <v>210</v>
      </c>
      <c r="BM181" t="s">
        <v>211</v>
      </c>
      <c r="BN181" s="19" t="s">
        <v>232</v>
      </c>
      <c r="BO181" t="s">
        <v>213</v>
      </c>
      <c r="BQ181" s="19"/>
      <c r="BR181">
        <v>1</v>
      </c>
    </row>
    <row r="182" spans="1:70" ht="14.5" x14ac:dyDescent="0.25">
      <c r="A182" t="s">
        <v>964</v>
      </c>
      <c r="B182" t="s">
        <v>206</v>
      </c>
      <c r="D182" s="17" t="s">
        <v>965</v>
      </c>
      <c r="E182" s="2">
        <v>1018</v>
      </c>
      <c r="F182" t="str">
        <f t="shared" si="204"/>
        <v>enemy_1018_aoemag_2</v>
      </c>
      <c r="G182">
        <v>1</v>
      </c>
      <c r="K182">
        <v>13500</v>
      </c>
      <c r="M182">
        <v>380</v>
      </c>
      <c r="O182">
        <v>160</v>
      </c>
      <c r="Q182">
        <v>50</v>
      </c>
      <c r="Y182">
        <v>0.05</v>
      </c>
      <c r="Z182">
        <v>3.8</v>
      </c>
      <c r="AA182">
        <v>1</v>
      </c>
      <c r="AB182">
        <v>0.7</v>
      </c>
      <c r="AE182">
        <v>0</v>
      </c>
      <c r="AF182">
        <v>1</v>
      </c>
      <c r="AG182" t="s">
        <v>966</v>
      </c>
      <c r="AH182" t="s">
        <v>209</v>
      </c>
      <c r="AI182" t="s">
        <v>961</v>
      </c>
      <c r="AK182">
        <v>1</v>
      </c>
      <c r="AT182">
        <v>1</v>
      </c>
      <c r="AV182">
        <v>0.25</v>
      </c>
      <c r="BC182" t="str">
        <f t="shared" si="205"/>
        <v>enemy_1018_aoemag_2</v>
      </c>
      <c r="BI182" t="s">
        <v>962</v>
      </c>
      <c r="BJ182" t="s">
        <v>967</v>
      </c>
      <c r="BL182" t="s">
        <v>210</v>
      </c>
      <c r="BM182" t="s">
        <v>211</v>
      </c>
      <c r="BN182" s="19" t="s">
        <v>232</v>
      </c>
      <c r="BO182" t="s">
        <v>213</v>
      </c>
      <c r="BQ182" s="19"/>
      <c r="BR182">
        <v>1</v>
      </c>
    </row>
    <row r="183" spans="1:70" ht="14.5" x14ac:dyDescent="0.25">
      <c r="A183" t="s">
        <v>968</v>
      </c>
      <c r="B183" t="s">
        <v>206</v>
      </c>
      <c r="D183" s="17" t="s">
        <v>969</v>
      </c>
      <c r="E183" s="2">
        <v>1013</v>
      </c>
      <c r="F183" t="str">
        <f t="shared" si="204"/>
        <v>enemy_1013_airdrp</v>
      </c>
      <c r="G183">
        <v>1</v>
      </c>
      <c r="K183">
        <v>1450</v>
      </c>
      <c r="M183">
        <v>220</v>
      </c>
      <c r="O183">
        <v>100</v>
      </c>
      <c r="Q183">
        <v>0</v>
      </c>
      <c r="Y183">
        <v>0.05</v>
      </c>
      <c r="Z183">
        <v>1.9</v>
      </c>
      <c r="AA183">
        <v>0</v>
      </c>
      <c r="AB183">
        <v>1</v>
      </c>
      <c r="AE183">
        <v>0</v>
      </c>
      <c r="AF183">
        <v>1</v>
      </c>
      <c r="AG183" t="s">
        <v>970</v>
      </c>
      <c r="AH183" t="s">
        <v>209</v>
      </c>
      <c r="AI183" t="s">
        <v>231</v>
      </c>
      <c r="AK183">
        <v>1</v>
      </c>
      <c r="AT183">
        <v>1</v>
      </c>
      <c r="AV183">
        <v>0.25</v>
      </c>
      <c r="BC183" t="str">
        <f t="shared" si="205"/>
        <v>enemy_1013_airdrp</v>
      </c>
      <c r="BI183" t="s">
        <v>935</v>
      </c>
      <c r="BJ183" t="s">
        <v>971</v>
      </c>
      <c r="BL183" t="s">
        <v>210</v>
      </c>
      <c r="BM183" t="s">
        <v>211</v>
      </c>
      <c r="BN183" s="19" t="s">
        <v>232</v>
      </c>
      <c r="BO183" t="s">
        <v>213</v>
      </c>
      <c r="BQ183" s="19"/>
      <c r="BR183">
        <v>1</v>
      </c>
    </row>
    <row r="184" spans="1:70" ht="14.5" x14ac:dyDescent="0.25">
      <c r="A184" t="s">
        <v>972</v>
      </c>
      <c r="B184" t="s">
        <v>206</v>
      </c>
      <c r="D184" s="17" t="s">
        <v>973</v>
      </c>
      <c r="E184" s="2">
        <v>1013</v>
      </c>
      <c r="F184" t="str">
        <f t="shared" si="204"/>
        <v>enemy_1013_airdrp_2</v>
      </c>
      <c r="G184">
        <v>1</v>
      </c>
      <c r="K184">
        <v>2300</v>
      </c>
      <c r="M184">
        <v>300</v>
      </c>
      <c r="O184">
        <v>150</v>
      </c>
      <c r="Q184">
        <v>0</v>
      </c>
      <c r="Y184">
        <v>0.05</v>
      </c>
      <c r="Z184">
        <v>1.9</v>
      </c>
      <c r="AA184">
        <v>0</v>
      </c>
      <c r="AB184">
        <v>1</v>
      </c>
      <c r="AE184">
        <v>0</v>
      </c>
      <c r="AF184">
        <v>1</v>
      </c>
      <c r="AG184" t="s">
        <v>974</v>
      </c>
      <c r="AH184" t="s">
        <v>209</v>
      </c>
      <c r="AI184" t="s">
        <v>231</v>
      </c>
      <c r="AK184">
        <v>1</v>
      </c>
      <c r="AT184">
        <v>1</v>
      </c>
      <c r="AV184">
        <v>0.25</v>
      </c>
      <c r="BC184" t="str">
        <f t="shared" si="205"/>
        <v>enemy_1013_airdrp_2</v>
      </c>
      <c r="BI184" t="s">
        <v>935</v>
      </c>
      <c r="BJ184" t="s">
        <v>975</v>
      </c>
      <c r="BL184" t="s">
        <v>210</v>
      </c>
      <c r="BM184" t="s">
        <v>211</v>
      </c>
      <c r="BN184" s="19" t="s">
        <v>232</v>
      </c>
      <c r="BO184" t="s">
        <v>213</v>
      </c>
      <c r="BQ184" s="19"/>
      <c r="BR184">
        <v>1</v>
      </c>
    </row>
    <row r="185" spans="1:70" ht="14.5" x14ac:dyDescent="0.25">
      <c r="A185" t="s">
        <v>976</v>
      </c>
      <c r="B185" t="s">
        <v>206</v>
      </c>
      <c r="D185" s="17" t="s">
        <v>977</v>
      </c>
      <c r="E185" s="2">
        <v>1024</v>
      </c>
      <c r="F185" t="str">
        <f t="shared" si="204"/>
        <v>enemy_1024_mortar</v>
      </c>
      <c r="G185">
        <v>1</v>
      </c>
      <c r="K185">
        <v>3300</v>
      </c>
      <c r="M185">
        <v>400</v>
      </c>
      <c r="O185">
        <v>150</v>
      </c>
      <c r="Q185">
        <v>0</v>
      </c>
      <c r="Y185">
        <v>0.05</v>
      </c>
      <c r="Z185">
        <v>4.5</v>
      </c>
      <c r="AA185">
        <v>2</v>
      </c>
      <c r="AB185">
        <v>0.8</v>
      </c>
      <c r="AE185">
        <v>0</v>
      </c>
      <c r="AF185">
        <v>1</v>
      </c>
      <c r="AG185" t="s">
        <v>389</v>
      </c>
      <c r="AH185" t="s">
        <v>209</v>
      </c>
      <c r="AI185" t="s">
        <v>273</v>
      </c>
      <c r="AK185">
        <v>1</v>
      </c>
      <c r="AT185">
        <v>1</v>
      </c>
      <c r="AV185">
        <v>0.25</v>
      </c>
      <c r="BC185" t="str">
        <f t="shared" si="205"/>
        <v>enemy_1024_mortar</v>
      </c>
      <c r="BI185" t="s">
        <v>941</v>
      </c>
      <c r="BJ185" t="s">
        <v>978</v>
      </c>
      <c r="BL185" t="s">
        <v>210</v>
      </c>
      <c r="BM185" t="s">
        <v>274</v>
      </c>
      <c r="BN185" s="19" t="s">
        <v>232</v>
      </c>
      <c r="BO185" t="s">
        <v>213</v>
      </c>
      <c r="BQ185" s="19"/>
      <c r="BR185">
        <v>1</v>
      </c>
    </row>
    <row r="186" spans="1:70" ht="14.5" x14ac:dyDescent="0.25">
      <c r="A186" t="s">
        <v>979</v>
      </c>
      <c r="B186" t="s">
        <v>206</v>
      </c>
      <c r="D186" s="17" t="s">
        <v>271</v>
      </c>
      <c r="E186" s="2">
        <v>1024</v>
      </c>
      <c r="F186" t="str">
        <f t="shared" si="204"/>
        <v>enemy_1024_mortar_2</v>
      </c>
      <c r="G186">
        <v>1</v>
      </c>
      <c r="K186">
        <v>5000</v>
      </c>
      <c r="M186">
        <v>550</v>
      </c>
      <c r="O186">
        <v>150</v>
      </c>
      <c r="Q186">
        <v>0</v>
      </c>
      <c r="Y186">
        <v>0.05</v>
      </c>
      <c r="Z186">
        <v>4.5</v>
      </c>
      <c r="AA186">
        <v>2</v>
      </c>
      <c r="AB186">
        <v>0.8</v>
      </c>
      <c r="AE186">
        <v>0</v>
      </c>
      <c r="AF186">
        <v>1</v>
      </c>
      <c r="AG186" t="s">
        <v>270</v>
      </c>
      <c r="AH186" t="s">
        <v>209</v>
      </c>
      <c r="AI186" t="s">
        <v>273</v>
      </c>
      <c r="AK186">
        <v>1</v>
      </c>
      <c r="AT186">
        <v>1</v>
      </c>
      <c r="AV186">
        <v>0.25</v>
      </c>
      <c r="BC186" t="str">
        <f t="shared" si="205"/>
        <v>enemy_1024_mortar_2</v>
      </c>
      <c r="BI186" t="s">
        <v>941</v>
      </c>
      <c r="BJ186" t="s">
        <v>980</v>
      </c>
      <c r="BL186" t="s">
        <v>210</v>
      </c>
      <c r="BM186" t="s">
        <v>274</v>
      </c>
      <c r="BN186" s="19" t="s">
        <v>232</v>
      </c>
      <c r="BO186" t="s">
        <v>213</v>
      </c>
      <c r="BQ186" s="19"/>
      <c r="BR186">
        <v>1</v>
      </c>
    </row>
    <row r="187" spans="1:70" ht="14.5" x14ac:dyDescent="0.25">
      <c r="A187" t="s">
        <v>981</v>
      </c>
      <c r="B187" t="s">
        <v>206</v>
      </c>
      <c r="D187" s="17" t="s">
        <v>982</v>
      </c>
      <c r="E187" s="2">
        <v>1014</v>
      </c>
      <c r="F187" t="str">
        <f t="shared" si="204"/>
        <v>enemy_1014_rogue</v>
      </c>
      <c r="G187">
        <v>1</v>
      </c>
      <c r="K187">
        <v>2000</v>
      </c>
      <c r="M187">
        <v>350</v>
      </c>
      <c r="O187">
        <v>100</v>
      </c>
      <c r="Q187">
        <v>0</v>
      </c>
      <c r="Y187">
        <v>0.05</v>
      </c>
      <c r="Z187">
        <v>1.2</v>
      </c>
      <c r="AA187">
        <v>1</v>
      </c>
      <c r="AB187">
        <v>1.1000000000000001</v>
      </c>
      <c r="AE187">
        <v>0</v>
      </c>
      <c r="AF187">
        <v>1</v>
      </c>
      <c r="AG187" t="s">
        <v>983</v>
      </c>
      <c r="AH187" t="s">
        <v>209</v>
      </c>
      <c r="AI187" t="s">
        <v>231</v>
      </c>
      <c r="AK187">
        <v>1</v>
      </c>
      <c r="AT187">
        <v>1</v>
      </c>
      <c r="AV187">
        <v>0.25</v>
      </c>
      <c r="BC187" t="str">
        <f t="shared" si="205"/>
        <v>enemy_1014_rogue</v>
      </c>
      <c r="BI187" t="s">
        <v>935</v>
      </c>
      <c r="BJ187" t="s">
        <v>984</v>
      </c>
      <c r="BL187" t="s">
        <v>210</v>
      </c>
      <c r="BM187" t="s">
        <v>211</v>
      </c>
      <c r="BN187" s="19" t="s">
        <v>232</v>
      </c>
      <c r="BO187" t="s">
        <v>213</v>
      </c>
      <c r="BQ187" s="19"/>
      <c r="BR187">
        <v>1</v>
      </c>
    </row>
    <row r="188" spans="1:70" ht="14.5" x14ac:dyDescent="0.25">
      <c r="A188" t="s">
        <v>985</v>
      </c>
      <c r="B188" t="s">
        <v>206</v>
      </c>
      <c r="D188" s="17" t="s">
        <v>986</v>
      </c>
      <c r="E188" s="2">
        <v>1014</v>
      </c>
      <c r="F188" t="str">
        <f t="shared" si="204"/>
        <v>enemy_1014_rogue_2</v>
      </c>
      <c r="G188">
        <v>1</v>
      </c>
      <c r="K188">
        <v>3000</v>
      </c>
      <c r="M188">
        <v>450</v>
      </c>
      <c r="O188">
        <v>120</v>
      </c>
      <c r="Q188">
        <v>0</v>
      </c>
      <c r="Y188">
        <v>0.05</v>
      </c>
      <c r="Z188">
        <v>1.2</v>
      </c>
      <c r="AA188">
        <v>1</v>
      </c>
      <c r="AB188">
        <v>1.1000000000000001</v>
      </c>
      <c r="AE188">
        <v>0</v>
      </c>
      <c r="AF188">
        <v>1</v>
      </c>
      <c r="AG188" t="s">
        <v>987</v>
      </c>
      <c r="AH188" t="s">
        <v>209</v>
      </c>
      <c r="AI188" t="s">
        <v>231</v>
      </c>
      <c r="AK188">
        <v>1</v>
      </c>
      <c r="AT188">
        <v>1</v>
      </c>
      <c r="AV188">
        <v>0.25</v>
      </c>
      <c r="BC188" t="str">
        <f t="shared" si="205"/>
        <v>enemy_1014_rogue_2</v>
      </c>
      <c r="BI188" t="s">
        <v>935</v>
      </c>
      <c r="BJ188" t="s">
        <v>988</v>
      </c>
      <c r="BL188" t="s">
        <v>210</v>
      </c>
      <c r="BM188" t="s">
        <v>211</v>
      </c>
      <c r="BN188" s="19" t="s">
        <v>232</v>
      </c>
      <c r="BO188" t="s">
        <v>213</v>
      </c>
      <c r="BQ188" s="19"/>
      <c r="BR188">
        <v>1</v>
      </c>
    </row>
    <row r="189" spans="1:70" ht="14.5" x14ac:dyDescent="0.25">
      <c r="A189" t="s">
        <v>989</v>
      </c>
      <c r="B189" t="s">
        <v>206</v>
      </c>
      <c r="D189" s="17" t="s">
        <v>287</v>
      </c>
      <c r="E189" s="2">
        <v>1015</v>
      </c>
      <c r="F189" t="str">
        <f t="shared" si="204"/>
        <v>enemy_1015_litamr</v>
      </c>
      <c r="G189">
        <v>1</v>
      </c>
      <c r="K189">
        <v>2500</v>
      </c>
      <c r="M189">
        <v>250</v>
      </c>
      <c r="O189">
        <v>400</v>
      </c>
      <c r="Q189">
        <v>0</v>
      </c>
      <c r="Y189">
        <v>0.05</v>
      </c>
      <c r="Z189">
        <v>2</v>
      </c>
      <c r="AA189">
        <v>1</v>
      </c>
      <c r="AB189">
        <v>1</v>
      </c>
      <c r="AE189">
        <v>0</v>
      </c>
      <c r="AF189">
        <v>1</v>
      </c>
      <c r="AG189" t="s">
        <v>286</v>
      </c>
      <c r="AH189" t="s">
        <v>209</v>
      </c>
      <c r="AI189" t="s">
        <v>231</v>
      </c>
      <c r="AK189">
        <v>1</v>
      </c>
      <c r="AT189">
        <v>1</v>
      </c>
      <c r="AV189">
        <v>0.25</v>
      </c>
      <c r="BC189" t="str">
        <f t="shared" si="205"/>
        <v>enemy_1015_litamr</v>
      </c>
      <c r="BI189" t="s">
        <v>935</v>
      </c>
      <c r="BJ189" t="s">
        <v>990</v>
      </c>
      <c r="BL189" t="s">
        <v>210</v>
      </c>
      <c r="BM189" t="s">
        <v>211</v>
      </c>
      <c r="BN189" s="19" t="s">
        <v>232</v>
      </c>
      <c r="BO189" t="s">
        <v>213</v>
      </c>
      <c r="BQ189" s="19"/>
      <c r="BR189">
        <v>1</v>
      </c>
    </row>
    <row r="190" spans="1:70" ht="14.5" x14ac:dyDescent="0.25">
      <c r="A190" t="s">
        <v>991</v>
      </c>
      <c r="B190" t="s">
        <v>206</v>
      </c>
      <c r="D190" s="17" t="s">
        <v>229</v>
      </c>
      <c r="E190" s="2">
        <v>1015</v>
      </c>
      <c r="F190" t="str">
        <f t="shared" si="204"/>
        <v>enemy_1015_litamr_2</v>
      </c>
      <c r="G190">
        <v>1</v>
      </c>
      <c r="K190">
        <v>3700</v>
      </c>
      <c r="M190">
        <v>300</v>
      </c>
      <c r="O190">
        <v>500</v>
      </c>
      <c r="Q190">
        <v>0</v>
      </c>
      <c r="Y190">
        <v>0.05</v>
      </c>
      <c r="Z190">
        <v>2</v>
      </c>
      <c r="AA190">
        <v>1</v>
      </c>
      <c r="AB190">
        <v>1</v>
      </c>
      <c r="AE190">
        <v>0</v>
      </c>
      <c r="AF190">
        <v>1</v>
      </c>
      <c r="AG190" t="s">
        <v>228</v>
      </c>
      <c r="AH190" t="s">
        <v>209</v>
      </c>
      <c r="AI190" t="s">
        <v>231</v>
      </c>
      <c r="AK190">
        <v>1</v>
      </c>
      <c r="AT190">
        <v>1</v>
      </c>
      <c r="AV190">
        <v>0.25</v>
      </c>
      <c r="BC190" t="str">
        <f t="shared" si="205"/>
        <v>enemy_1015_litamr_2</v>
      </c>
      <c r="BI190" t="s">
        <v>935</v>
      </c>
      <c r="BJ190" t="s">
        <v>992</v>
      </c>
      <c r="BL190" t="s">
        <v>210</v>
      </c>
      <c r="BM190" t="s">
        <v>211</v>
      </c>
      <c r="BN190" s="19" t="s">
        <v>232</v>
      </c>
      <c r="BO190" t="s">
        <v>213</v>
      </c>
      <c r="BQ190" s="19"/>
      <c r="BR190">
        <v>1</v>
      </c>
    </row>
    <row r="191" spans="1:70" ht="14.5" x14ac:dyDescent="0.25">
      <c r="A191" t="s">
        <v>993</v>
      </c>
      <c r="B191" t="s">
        <v>206</v>
      </c>
      <c r="D191" s="17" t="s">
        <v>299</v>
      </c>
      <c r="E191" s="2">
        <v>1006</v>
      </c>
      <c r="F191" t="str">
        <f t="shared" si="204"/>
        <v>enemy_1006_shield</v>
      </c>
      <c r="G191">
        <v>1</v>
      </c>
      <c r="K191">
        <v>6000</v>
      </c>
      <c r="M191">
        <v>600</v>
      </c>
      <c r="O191">
        <v>800</v>
      </c>
      <c r="Q191">
        <v>0</v>
      </c>
      <c r="Y191">
        <v>0.05</v>
      </c>
      <c r="Z191">
        <v>2.6</v>
      </c>
      <c r="AA191">
        <v>3</v>
      </c>
      <c r="AB191">
        <v>0.75</v>
      </c>
      <c r="AE191">
        <v>0</v>
      </c>
      <c r="AF191">
        <v>1</v>
      </c>
      <c r="AG191" t="s">
        <v>298</v>
      </c>
      <c r="AH191" t="s">
        <v>209</v>
      </c>
      <c r="AI191" t="s">
        <v>231</v>
      </c>
      <c r="AK191">
        <v>1</v>
      </c>
      <c r="AT191">
        <v>1</v>
      </c>
      <c r="AV191">
        <v>0.25</v>
      </c>
      <c r="BC191" t="str">
        <f t="shared" si="205"/>
        <v>enemy_1006_shield</v>
      </c>
      <c r="BI191" t="s">
        <v>994</v>
      </c>
      <c r="BJ191" t="s">
        <v>995</v>
      </c>
      <c r="BL191" t="s">
        <v>210</v>
      </c>
      <c r="BM191" t="s">
        <v>211</v>
      </c>
      <c r="BN191" s="19" t="s">
        <v>212</v>
      </c>
      <c r="BO191" t="s">
        <v>213</v>
      </c>
      <c r="BQ191" s="19"/>
      <c r="BR191">
        <v>1</v>
      </c>
    </row>
    <row r="192" spans="1:70" ht="14.5" x14ac:dyDescent="0.25">
      <c r="A192" t="s">
        <v>996</v>
      </c>
      <c r="B192" t="s">
        <v>206</v>
      </c>
      <c r="D192" s="17" t="s">
        <v>224</v>
      </c>
      <c r="E192" s="2">
        <v>1006</v>
      </c>
      <c r="F192" t="str">
        <f t="shared" si="204"/>
        <v>enemy_1006_shield_2</v>
      </c>
      <c r="G192">
        <v>1</v>
      </c>
      <c r="K192">
        <v>10000</v>
      </c>
      <c r="M192">
        <v>600</v>
      </c>
      <c r="O192">
        <v>1000</v>
      </c>
      <c r="Q192">
        <v>0</v>
      </c>
      <c r="Y192">
        <v>0.05</v>
      </c>
      <c r="Z192">
        <v>2.6</v>
      </c>
      <c r="AA192">
        <v>3</v>
      </c>
      <c r="AB192">
        <v>0.75</v>
      </c>
      <c r="AE192">
        <v>0</v>
      </c>
      <c r="AF192">
        <v>1</v>
      </c>
      <c r="AG192" t="s">
        <v>226</v>
      </c>
      <c r="AH192" t="s">
        <v>209</v>
      </c>
      <c r="AI192" t="s">
        <v>231</v>
      </c>
      <c r="AK192">
        <v>1</v>
      </c>
      <c r="AT192">
        <v>1</v>
      </c>
      <c r="AV192">
        <v>0.25</v>
      </c>
      <c r="BC192" t="str">
        <f t="shared" si="205"/>
        <v>enemy_1006_shield_2</v>
      </c>
      <c r="BI192" t="s">
        <v>994</v>
      </c>
      <c r="BJ192" t="s">
        <v>997</v>
      </c>
      <c r="BL192" t="s">
        <v>210</v>
      </c>
      <c r="BM192" t="s">
        <v>211</v>
      </c>
      <c r="BN192" s="19" t="s">
        <v>212</v>
      </c>
      <c r="BO192" t="s">
        <v>213</v>
      </c>
      <c r="BQ192" s="19"/>
      <c r="BR192">
        <v>1</v>
      </c>
    </row>
    <row r="193" spans="1:70" ht="14.5" x14ac:dyDescent="0.25">
      <c r="A193" t="s">
        <v>998</v>
      </c>
      <c r="B193" t="s">
        <v>206</v>
      </c>
      <c r="D193" s="17" t="s">
        <v>999</v>
      </c>
      <c r="E193" s="2">
        <v>1006</v>
      </c>
      <c r="F193" t="str">
        <f t="shared" si="204"/>
        <v>enemy_1006_shield_3</v>
      </c>
      <c r="G193">
        <v>1</v>
      </c>
      <c r="K193">
        <v>40000</v>
      </c>
      <c r="M193">
        <v>1000</v>
      </c>
      <c r="O193">
        <v>1200</v>
      </c>
      <c r="Q193">
        <v>0</v>
      </c>
      <c r="Y193">
        <v>0.05</v>
      </c>
      <c r="Z193">
        <v>2.6</v>
      </c>
      <c r="AA193">
        <v>4</v>
      </c>
      <c r="AB193">
        <v>0.75</v>
      </c>
      <c r="AE193">
        <v>0</v>
      </c>
      <c r="AF193">
        <v>1</v>
      </c>
      <c r="AG193" t="s">
        <v>1000</v>
      </c>
      <c r="AH193" t="s">
        <v>209</v>
      </c>
      <c r="AI193" t="s">
        <v>231</v>
      </c>
      <c r="AK193">
        <v>1</v>
      </c>
      <c r="AT193">
        <v>1</v>
      </c>
      <c r="AV193">
        <v>0.25</v>
      </c>
      <c r="BC193" t="str">
        <f t="shared" si="205"/>
        <v>enemy_1006_shield_3</v>
      </c>
      <c r="BI193" t="s">
        <v>1001</v>
      </c>
      <c r="BJ193" t="s">
        <v>1002</v>
      </c>
      <c r="BL193" t="s">
        <v>210</v>
      </c>
      <c r="BM193" t="s">
        <v>211</v>
      </c>
      <c r="BN193" s="19" t="s">
        <v>212</v>
      </c>
      <c r="BO193" t="s">
        <v>213</v>
      </c>
      <c r="BQ193" s="19"/>
      <c r="BR193">
        <v>1</v>
      </c>
    </row>
    <row r="194" spans="1:70" ht="14.5" x14ac:dyDescent="0.25">
      <c r="A194" t="s">
        <v>1003</v>
      </c>
      <c r="B194" t="s">
        <v>206</v>
      </c>
      <c r="D194" s="17" t="s">
        <v>1004</v>
      </c>
      <c r="E194" s="2">
        <v>1001</v>
      </c>
      <c r="F194" t="str">
        <f t="shared" si="204"/>
        <v>enemy_1001_bigbo</v>
      </c>
      <c r="G194">
        <v>1</v>
      </c>
      <c r="K194">
        <v>22000</v>
      </c>
      <c r="M194">
        <v>1900</v>
      </c>
      <c r="O194">
        <v>800</v>
      </c>
      <c r="Q194">
        <v>30</v>
      </c>
      <c r="Y194">
        <v>0.05</v>
      </c>
      <c r="Z194">
        <v>6</v>
      </c>
      <c r="AA194">
        <v>4</v>
      </c>
      <c r="AB194">
        <v>0.5</v>
      </c>
      <c r="AE194">
        <v>0</v>
      </c>
      <c r="AF194">
        <v>1</v>
      </c>
      <c r="AG194" t="s">
        <v>1005</v>
      </c>
      <c r="AH194" t="s">
        <v>209</v>
      </c>
      <c r="AI194" t="s">
        <v>231</v>
      </c>
      <c r="AK194">
        <v>1</v>
      </c>
      <c r="AT194">
        <v>1</v>
      </c>
      <c r="AV194">
        <v>0.25</v>
      </c>
      <c r="BC194" t="str">
        <f t="shared" si="205"/>
        <v>enemy_1001_bigbo</v>
      </c>
      <c r="BI194" t="s">
        <v>1001</v>
      </c>
      <c r="BJ194" t="s">
        <v>1006</v>
      </c>
      <c r="BL194" t="s">
        <v>210</v>
      </c>
      <c r="BM194" t="s">
        <v>211</v>
      </c>
      <c r="BN194" s="19" t="s">
        <v>212</v>
      </c>
      <c r="BO194" t="s">
        <v>213</v>
      </c>
      <c r="BQ194" s="19"/>
      <c r="BR194">
        <v>1</v>
      </c>
    </row>
    <row r="195" spans="1:70" ht="14.5" x14ac:dyDescent="0.25">
      <c r="A195" t="s">
        <v>1007</v>
      </c>
      <c r="B195" t="s">
        <v>206</v>
      </c>
      <c r="D195" s="17" t="s">
        <v>1008</v>
      </c>
      <c r="E195" s="2">
        <v>1001</v>
      </c>
      <c r="F195" t="str">
        <f t="shared" si="204"/>
        <v>enemy_1001_bigbo_2</v>
      </c>
      <c r="G195">
        <v>1</v>
      </c>
      <c r="K195">
        <v>30000</v>
      </c>
      <c r="M195">
        <v>2700</v>
      </c>
      <c r="O195">
        <v>1000</v>
      </c>
      <c r="Q195">
        <v>30</v>
      </c>
      <c r="Y195">
        <v>0.05</v>
      </c>
      <c r="Z195">
        <v>6</v>
      </c>
      <c r="AA195">
        <v>4</v>
      </c>
      <c r="AB195">
        <v>0.5</v>
      </c>
      <c r="AE195">
        <v>0</v>
      </c>
      <c r="AF195">
        <v>1</v>
      </c>
      <c r="AG195" t="s">
        <v>1009</v>
      </c>
      <c r="AH195" t="s">
        <v>209</v>
      </c>
      <c r="AI195" t="s">
        <v>231</v>
      </c>
      <c r="AK195">
        <v>1</v>
      </c>
      <c r="AT195">
        <v>1</v>
      </c>
      <c r="AV195">
        <v>0.25</v>
      </c>
      <c r="BC195" t="str">
        <f t="shared" si="205"/>
        <v>enemy_1001_bigbo_2</v>
      </c>
      <c r="BI195" t="s">
        <v>1001</v>
      </c>
      <c r="BJ195" t="s">
        <v>1010</v>
      </c>
      <c r="BL195" t="s">
        <v>210</v>
      </c>
      <c r="BM195" t="s">
        <v>211</v>
      </c>
      <c r="BN195" s="19" t="s">
        <v>212</v>
      </c>
      <c r="BO195" t="s">
        <v>213</v>
      </c>
      <c r="BQ195" s="19"/>
      <c r="BR195">
        <v>1</v>
      </c>
    </row>
    <row r="196" spans="1:70" ht="14.5" x14ac:dyDescent="0.25">
      <c r="A196" t="s">
        <v>1011</v>
      </c>
      <c r="B196" t="s">
        <v>206</v>
      </c>
      <c r="D196" s="17" t="s">
        <v>1012</v>
      </c>
      <c r="E196" s="2">
        <v>1016</v>
      </c>
      <c r="F196" t="str">
        <f t="shared" si="204"/>
        <v>enemy_1016_diaman</v>
      </c>
      <c r="G196">
        <v>1</v>
      </c>
      <c r="K196">
        <v>3000</v>
      </c>
      <c r="M196">
        <v>300</v>
      </c>
      <c r="O196">
        <v>500</v>
      </c>
      <c r="Q196">
        <v>85</v>
      </c>
      <c r="Y196">
        <v>0.05</v>
      </c>
      <c r="Z196">
        <v>2.2999999999999998</v>
      </c>
      <c r="AA196">
        <v>1</v>
      </c>
      <c r="AB196">
        <v>0.75</v>
      </c>
      <c r="AE196">
        <v>0</v>
      </c>
      <c r="AF196">
        <v>1</v>
      </c>
      <c r="AG196" t="s">
        <v>1013</v>
      </c>
      <c r="AH196" t="s">
        <v>209</v>
      </c>
      <c r="AI196" t="s">
        <v>231</v>
      </c>
      <c r="AK196">
        <v>1</v>
      </c>
      <c r="AT196">
        <v>1</v>
      </c>
      <c r="AV196">
        <v>0.25</v>
      </c>
      <c r="BC196" t="str">
        <f t="shared" si="205"/>
        <v>enemy_1016_diaman</v>
      </c>
      <c r="BI196" t="s">
        <v>893</v>
      </c>
      <c r="BJ196" t="s">
        <v>1014</v>
      </c>
      <c r="BL196" t="s">
        <v>210</v>
      </c>
      <c r="BM196" t="s">
        <v>211</v>
      </c>
      <c r="BN196" s="19" t="s">
        <v>232</v>
      </c>
      <c r="BO196" t="s">
        <v>213</v>
      </c>
      <c r="BQ196" s="19"/>
      <c r="BR196">
        <v>1</v>
      </c>
    </row>
    <row r="197" spans="1:70" ht="14.5" x14ac:dyDescent="0.25">
      <c r="A197" t="s">
        <v>1015</v>
      </c>
      <c r="B197" t="s">
        <v>206</v>
      </c>
      <c r="D197" s="17" t="s">
        <v>1016</v>
      </c>
      <c r="E197" s="2">
        <v>1009</v>
      </c>
      <c r="F197" t="str">
        <f t="shared" si="204"/>
        <v>enemy_1009_lurker</v>
      </c>
      <c r="G197">
        <v>1</v>
      </c>
      <c r="K197">
        <v>2200</v>
      </c>
      <c r="M197">
        <v>300</v>
      </c>
      <c r="O197">
        <v>90</v>
      </c>
      <c r="Q197">
        <v>20</v>
      </c>
      <c r="Y197">
        <v>0.05</v>
      </c>
      <c r="Z197">
        <v>2</v>
      </c>
      <c r="AA197">
        <v>1</v>
      </c>
      <c r="AB197">
        <v>1</v>
      </c>
      <c r="AE197">
        <v>0</v>
      </c>
      <c r="AF197">
        <v>1</v>
      </c>
      <c r="AG197" t="s">
        <v>1017</v>
      </c>
      <c r="AH197" t="s">
        <v>209</v>
      </c>
      <c r="AI197" t="s">
        <v>1018</v>
      </c>
      <c r="AK197">
        <v>1</v>
      </c>
      <c r="AT197">
        <v>1</v>
      </c>
      <c r="AV197">
        <v>0.25</v>
      </c>
      <c r="BC197" t="str">
        <f t="shared" si="205"/>
        <v>enemy_1009_lurker</v>
      </c>
      <c r="BI197" t="s">
        <v>935</v>
      </c>
      <c r="BJ197" t="s">
        <v>1019</v>
      </c>
      <c r="BL197" t="s">
        <v>210</v>
      </c>
      <c r="BM197" t="s">
        <v>211</v>
      </c>
      <c r="BN197" s="19" t="s">
        <v>212</v>
      </c>
      <c r="BO197" t="s">
        <v>213</v>
      </c>
      <c r="BQ197" s="19"/>
      <c r="BR197">
        <v>1</v>
      </c>
    </row>
    <row r="198" spans="1:70" ht="14.5" x14ac:dyDescent="0.25">
      <c r="A198" t="s">
        <v>1020</v>
      </c>
      <c r="B198" t="s">
        <v>206</v>
      </c>
      <c r="D198" s="17" t="s">
        <v>310</v>
      </c>
      <c r="E198" s="2">
        <v>1008</v>
      </c>
      <c r="F198" t="str">
        <f t="shared" si="204"/>
        <v>enemy_1008_ghost</v>
      </c>
      <c r="G198">
        <v>1</v>
      </c>
      <c r="K198">
        <v>2300</v>
      </c>
      <c r="M198">
        <v>100</v>
      </c>
      <c r="O198">
        <v>120</v>
      </c>
      <c r="Q198">
        <v>35</v>
      </c>
      <c r="Y198">
        <v>0.05</v>
      </c>
      <c r="Z198">
        <v>1</v>
      </c>
      <c r="AA198">
        <v>1</v>
      </c>
      <c r="AB198">
        <v>1.2</v>
      </c>
      <c r="AE198">
        <v>0</v>
      </c>
      <c r="AF198">
        <v>1</v>
      </c>
      <c r="AG198" t="s">
        <v>309</v>
      </c>
      <c r="AH198" t="s">
        <v>209</v>
      </c>
      <c r="AI198" t="s">
        <v>1021</v>
      </c>
      <c r="AK198">
        <v>1</v>
      </c>
      <c r="AT198">
        <v>1</v>
      </c>
      <c r="AV198">
        <v>0.25</v>
      </c>
      <c r="BC198" t="str">
        <f t="shared" si="205"/>
        <v>enemy_1008_ghost</v>
      </c>
      <c r="BI198" t="s">
        <v>1022</v>
      </c>
      <c r="BJ198" t="s">
        <v>1023</v>
      </c>
      <c r="BL198" t="s">
        <v>210</v>
      </c>
      <c r="BM198" t="s">
        <v>211</v>
      </c>
      <c r="BN198" s="19" t="s">
        <v>212</v>
      </c>
      <c r="BO198" t="s">
        <v>213</v>
      </c>
      <c r="BQ198" s="19"/>
      <c r="BR198">
        <v>1</v>
      </c>
    </row>
    <row r="199" spans="1:70" ht="14.5" x14ac:dyDescent="0.25">
      <c r="A199" t="s">
        <v>314</v>
      </c>
      <c r="B199" t="s">
        <v>206</v>
      </c>
      <c r="D199" s="17" t="s">
        <v>1024</v>
      </c>
      <c r="E199" s="2">
        <v>1026</v>
      </c>
      <c r="F199" t="str">
        <f t="shared" si="204"/>
        <v>enemy_1026_aghost</v>
      </c>
      <c r="G199">
        <v>1</v>
      </c>
      <c r="K199">
        <v>3800</v>
      </c>
      <c r="M199">
        <v>100</v>
      </c>
      <c r="O199">
        <v>350</v>
      </c>
      <c r="Q199">
        <v>35</v>
      </c>
      <c r="Y199">
        <v>0.05</v>
      </c>
      <c r="Z199">
        <v>1</v>
      </c>
      <c r="AA199">
        <v>1</v>
      </c>
      <c r="AB199">
        <v>1.2</v>
      </c>
      <c r="AE199">
        <v>0</v>
      </c>
      <c r="AF199">
        <v>1</v>
      </c>
      <c r="AG199" t="s">
        <v>313</v>
      </c>
      <c r="AH199" t="s">
        <v>209</v>
      </c>
      <c r="AI199" t="s">
        <v>1021</v>
      </c>
      <c r="AK199">
        <v>1</v>
      </c>
      <c r="AT199">
        <v>1</v>
      </c>
      <c r="AV199">
        <v>0.25</v>
      </c>
      <c r="BC199" t="str">
        <f t="shared" si="205"/>
        <v>enemy_1026_aghost</v>
      </c>
      <c r="BI199" t="s">
        <v>1022</v>
      </c>
      <c r="BJ199" t="s">
        <v>1025</v>
      </c>
      <c r="BL199" t="s">
        <v>210</v>
      </c>
      <c r="BM199" t="s">
        <v>211</v>
      </c>
      <c r="BN199" s="19" t="s">
        <v>232</v>
      </c>
      <c r="BO199" t="s">
        <v>213</v>
      </c>
      <c r="BQ199" s="19"/>
      <c r="BR199">
        <v>1</v>
      </c>
    </row>
    <row r="200" spans="1:70" ht="14.5" x14ac:dyDescent="0.25">
      <c r="A200" t="s">
        <v>1026</v>
      </c>
      <c r="B200" t="s">
        <v>206</v>
      </c>
      <c r="D200" s="17" t="s">
        <v>276</v>
      </c>
      <c r="E200" s="2">
        <v>1005</v>
      </c>
      <c r="F200" t="str">
        <f t="shared" si="204"/>
        <v>enemy_1005_yokai</v>
      </c>
      <c r="G200">
        <v>0.7</v>
      </c>
      <c r="K200">
        <v>800</v>
      </c>
      <c r="M200">
        <v>0</v>
      </c>
      <c r="O200">
        <v>50</v>
      </c>
      <c r="Q200">
        <v>0</v>
      </c>
      <c r="Y200">
        <v>0.05</v>
      </c>
      <c r="Z200">
        <v>2.2999999999999998</v>
      </c>
      <c r="AA200">
        <v>0</v>
      </c>
      <c r="AB200">
        <v>0.9</v>
      </c>
      <c r="AE200">
        <v>0</v>
      </c>
      <c r="AF200">
        <v>1</v>
      </c>
      <c r="AG200" t="s">
        <v>278</v>
      </c>
      <c r="AH200" t="s">
        <v>209</v>
      </c>
      <c r="AK200">
        <v>1</v>
      </c>
      <c r="AL200">
        <v>1</v>
      </c>
      <c r="AT200">
        <v>1</v>
      </c>
      <c r="AV200">
        <v>0.25</v>
      </c>
      <c r="BC200" t="str">
        <f t="shared" si="205"/>
        <v>enemy_1005_yokai</v>
      </c>
      <c r="BI200" t="s">
        <v>1027</v>
      </c>
      <c r="BJ200" t="s">
        <v>1028</v>
      </c>
      <c r="BL200" t="s">
        <v>210</v>
      </c>
      <c r="BM200" t="s">
        <v>211</v>
      </c>
      <c r="BN200" s="19" t="s">
        <v>212</v>
      </c>
      <c r="BO200" t="s">
        <v>213</v>
      </c>
      <c r="BQ200" s="19"/>
      <c r="BR200">
        <v>1</v>
      </c>
    </row>
    <row r="201" spans="1:70" ht="14.5" x14ac:dyDescent="0.25">
      <c r="A201" t="s">
        <v>1029</v>
      </c>
      <c r="B201" t="s">
        <v>206</v>
      </c>
      <c r="D201" s="17" t="s">
        <v>1030</v>
      </c>
      <c r="E201" s="2">
        <v>1005</v>
      </c>
      <c r="F201" t="str">
        <f t="shared" si="204"/>
        <v>enemy_1005_yokai_2</v>
      </c>
      <c r="G201">
        <v>0.7</v>
      </c>
      <c r="K201">
        <v>1550</v>
      </c>
      <c r="M201">
        <v>220</v>
      </c>
      <c r="O201">
        <v>50</v>
      </c>
      <c r="Q201">
        <v>0</v>
      </c>
      <c r="Y201">
        <v>0.05</v>
      </c>
      <c r="Z201">
        <v>3</v>
      </c>
      <c r="AA201">
        <v>0</v>
      </c>
      <c r="AB201">
        <v>0.9</v>
      </c>
      <c r="AE201">
        <v>0</v>
      </c>
      <c r="AF201">
        <v>1</v>
      </c>
      <c r="AG201" t="s">
        <v>280</v>
      </c>
      <c r="AH201" t="s">
        <v>209</v>
      </c>
      <c r="AI201" t="s">
        <v>1031</v>
      </c>
      <c r="AK201">
        <v>1</v>
      </c>
      <c r="AL201">
        <v>1</v>
      </c>
      <c r="AT201">
        <v>1</v>
      </c>
      <c r="AV201">
        <v>0.25</v>
      </c>
      <c r="BC201" t="str">
        <f t="shared" si="205"/>
        <v>enemy_1005_yokai_2</v>
      </c>
      <c r="BI201" t="s">
        <v>1032</v>
      </c>
      <c r="BJ201" t="s">
        <v>1033</v>
      </c>
      <c r="BL201" t="s">
        <v>210</v>
      </c>
      <c r="BM201" t="s">
        <v>211</v>
      </c>
      <c r="BN201" s="19" t="s">
        <v>212</v>
      </c>
      <c r="BO201" t="s">
        <v>213</v>
      </c>
      <c r="BQ201" s="19"/>
      <c r="BR201">
        <v>1</v>
      </c>
    </row>
    <row r="202" spans="1:70" ht="14.5" x14ac:dyDescent="0.25">
      <c r="A202" t="s">
        <v>1034</v>
      </c>
      <c r="B202" t="s">
        <v>206</v>
      </c>
      <c r="D202" s="17" t="s">
        <v>1035</v>
      </c>
      <c r="E202" s="2">
        <v>1005</v>
      </c>
      <c r="F202" t="str">
        <f t="shared" si="204"/>
        <v>enemy_1005_yokai_3</v>
      </c>
      <c r="G202">
        <v>0.7</v>
      </c>
      <c r="K202">
        <v>30000</v>
      </c>
      <c r="M202">
        <v>660</v>
      </c>
      <c r="O202">
        <v>170</v>
      </c>
      <c r="Q202">
        <v>0</v>
      </c>
      <c r="Y202">
        <v>0.05</v>
      </c>
      <c r="Z202">
        <v>3.8</v>
      </c>
      <c r="AA202">
        <v>0</v>
      </c>
      <c r="AB202">
        <v>0.5</v>
      </c>
      <c r="AE202">
        <v>0</v>
      </c>
      <c r="AF202">
        <v>1</v>
      </c>
      <c r="AG202" t="s">
        <v>1036</v>
      </c>
      <c r="AH202" t="s">
        <v>209</v>
      </c>
      <c r="AI202" t="s">
        <v>1031</v>
      </c>
      <c r="AK202">
        <v>1</v>
      </c>
      <c r="AL202">
        <v>1</v>
      </c>
      <c r="AT202">
        <v>1</v>
      </c>
      <c r="AV202">
        <v>0.25</v>
      </c>
      <c r="BC202" t="str">
        <f t="shared" si="205"/>
        <v>enemy_1005_yokai_3</v>
      </c>
      <c r="BI202" t="s">
        <v>1037</v>
      </c>
      <c r="BJ202" t="s">
        <v>1038</v>
      </c>
      <c r="BL202" t="s">
        <v>210</v>
      </c>
      <c r="BM202" t="s">
        <v>211</v>
      </c>
      <c r="BN202" s="19" t="s">
        <v>943</v>
      </c>
      <c r="BO202" t="s">
        <v>213</v>
      </c>
      <c r="BQ202" s="19"/>
      <c r="BR202">
        <v>1</v>
      </c>
    </row>
    <row r="203" spans="1:70" ht="14.5" x14ac:dyDescent="0.25">
      <c r="A203" t="s">
        <v>1039</v>
      </c>
      <c r="B203" t="s">
        <v>206</v>
      </c>
      <c r="D203" s="17" t="s">
        <v>1040</v>
      </c>
      <c r="E203" s="2">
        <v>1017</v>
      </c>
      <c r="F203" t="str">
        <f t="shared" si="204"/>
        <v>enemy_1017_defdrn</v>
      </c>
      <c r="G203">
        <v>0.7</v>
      </c>
      <c r="K203">
        <v>4000</v>
      </c>
      <c r="M203">
        <v>0</v>
      </c>
      <c r="O203">
        <v>150</v>
      </c>
      <c r="Q203">
        <v>20</v>
      </c>
      <c r="Y203">
        <v>0.05</v>
      </c>
      <c r="Z203">
        <v>2</v>
      </c>
      <c r="AA203">
        <v>0</v>
      </c>
      <c r="AB203">
        <v>0.8</v>
      </c>
      <c r="AE203">
        <v>0</v>
      </c>
      <c r="AF203">
        <v>1</v>
      </c>
      <c r="AG203" t="s">
        <v>1041</v>
      </c>
      <c r="AH203" t="s">
        <v>209</v>
      </c>
      <c r="AI203" t="s">
        <v>1042</v>
      </c>
      <c r="AK203">
        <v>1</v>
      </c>
      <c r="AL203">
        <v>1</v>
      </c>
      <c r="AT203">
        <v>1</v>
      </c>
      <c r="AV203">
        <v>0.25</v>
      </c>
      <c r="BC203" t="str">
        <f t="shared" si="205"/>
        <v>enemy_1017_defdrn</v>
      </c>
      <c r="BI203" t="s">
        <v>1027</v>
      </c>
      <c r="BJ203" t="s">
        <v>1043</v>
      </c>
      <c r="BL203" t="s">
        <v>210</v>
      </c>
      <c r="BM203" t="s">
        <v>211</v>
      </c>
      <c r="BN203" s="19" t="s">
        <v>232</v>
      </c>
      <c r="BO203" t="s">
        <v>213</v>
      </c>
      <c r="BQ203" s="19"/>
      <c r="BR203">
        <v>1</v>
      </c>
    </row>
    <row r="204" spans="1:70" ht="14.5" x14ac:dyDescent="0.25">
      <c r="A204" t="s">
        <v>1044</v>
      </c>
      <c r="B204" t="s">
        <v>206</v>
      </c>
      <c r="D204" s="17" t="s">
        <v>1045</v>
      </c>
      <c r="E204" s="2">
        <v>1019</v>
      </c>
      <c r="F204" t="str">
        <f t="shared" si="204"/>
        <v>enemy_1019_jshoot</v>
      </c>
      <c r="G204">
        <v>1</v>
      </c>
      <c r="K204">
        <v>1800</v>
      </c>
      <c r="M204">
        <v>260</v>
      </c>
      <c r="O204">
        <v>100</v>
      </c>
      <c r="Q204">
        <v>20</v>
      </c>
      <c r="Y204">
        <v>0.05</v>
      </c>
      <c r="Z204">
        <v>2.7</v>
      </c>
      <c r="AA204">
        <v>1</v>
      </c>
      <c r="AB204">
        <v>0.9</v>
      </c>
      <c r="AE204">
        <v>0</v>
      </c>
      <c r="AF204">
        <v>1</v>
      </c>
      <c r="AG204" t="s">
        <v>1046</v>
      </c>
      <c r="AH204" t="s">
        <v>209</v>
      </c>
      <c r="AI204" t="s">
        <v>1047</v>
      </c>
      <c r="AK204">
        <v>1</v>
      </c>
      <c r="AT204">
        <v>1</v>
      </c>
      <c r="AV204">
        <v>0.25</v>
      </c>
      <c r="BC204" t="str">
        <f t="shared" si="205"/>
        <v>enemy_1019_jshoot</v>
      </c>
      <c r="BI204" t="s">
        <v>941</v>
      </c>
      <c r="BJ204" t="s">
        <v>1048</v>
      </c>
      <c r="BL204" t="s">
        <v>210</v>
      </c>
      <c r="BM204" t="s">
        <v>211</v>
      </c>
      <c r="BN204" s="19" t="s">
        <v>232</v>
      </c>
      <c r="BO204" t="s">
        <v>213</v>
      </c>
      <c r="BQ204" s="19"/>
      <c r="BR204">
        <v>1</v>
      </c>
    </row>
    <row r="205" spans="1:70" ht="14.5" x14ac:dyDescent="0.25">
      <c r="A205" t="s">
        <v>1049</v>
      </c>
      <c r="B205" t="s">
        <v>206</v>
      </c>
      <c r="D205" s="17" t="s">
        <v>1050</v>
      </c>
      <c r="E205" s="2">
        <v>1019</v>
      </c>
      <c r="F205" t="str">
        <f t="shared" si="204"/>
        <v>enemy_1019_jshoot_2</v>
      </c>
      <c r="G205">
        <v>1</v>
      </c>
      <c r="K205">
        <v>2700</v>
      </c>
      <c r="M205">
        <v>310</v>
      </c>
      <c r="O205">
        <v>130</v>
      </c>
      <c r="Q205">
        <v>20</v>
      </c>
      <c r="Y205">
        <v>0.05</v>
      </c>
      <c r="Z205">
        <v>2.7</v>
      </c>
      <c r="AA205">
        <v>1</v>
      </c>
      <c r="AB205">
        <v>0.9</v>
      </c>
      <c r="AE205">
        <v>0</v>
      </c>
      <c r="AF205">
        <v>1</v>
      </c>
      <c r="AG205" t="s">
        <v>1051</v>
      </c>
      <c r="AH205" t="s">
        <v>209</v>
      </c>
      <c r="AI205" t="s">
        <v>1047</v>
      </c>
      <c r="AK205">
        <v>1</v>
      </c>
      <c r="AT205">
        <v>1</v>
      </c>
      <c r="AV205">
        <v>0.25</v>
      </c>
      <c r="BC205" t="str">
        <f t="shared" si="205"/>
        <v>enemy_1019_jshoot_2</v>
      </c>
      <c r="BI205" t="s">
        <v>941</v>
      </c>
      <c r="BJ205" t="s">
        <v>1052</v>
      </c>
      <c r="BL205" t="s">
        <v>210</v>
      </c>
      <c r="BM205" t="s">
        <v>211</v>
      </c>
      <c r="BN205" s="19" t="s">
        <v>232</v>
      </c>
      <c r="BO205" t="s">
        <v>213</v>
      </c>
      <c r="BQ205" s="19"/>
      <c r="BR205">
        <v>1</v>
      </c>
    </row>
    <row r="206" spans="1:70" ht="14.5" x14ac:dyDescent="0.25">
      <c r="A206" t="s">
        <v>1053</v>
      </c>
      <c r="B206" t="s">
        <v>206</v>
      </c>
      <c r="D206" s="17" t="s">
        <v>1054</v>
      </c>
      <c r="E206" s="2">
        <v>1023</v>
      </c>
      <c r="F206" t="str">
        <f t="shared" si="204"/>
        <v>enemy_1023_jmage</v>
      </c>
      <c r="G206">
        <v>1</v>
      </c>
      <c r="K206">
        <v>2200</v>
      </c>
      <c r="M206">
        <v>350</v>
      </c>
      <c r="O206">
        <v>80</v>
      </c>
      <c r="Q206">
        <v>50</v>
      </c>
      <c r="Y206">
        <v>0.05</v>
      </c>
      <c r="Z206">
        <v>4</v>
      </c>
      <c r="AA206">
        <v>1</v>
      </c>
      <c r="AB206">
        <v>0.8</v>
      </c>
      <c r="AE206">
        <v>0</v>
      </c>
      <c r="AF206">
        <v>1</v>
      </c>
      <c r="AG206" t="s">
        <v>1055</v>
      </c>
      <c r="AH206" t="s">
        <v>209</v>
      </c>
      <c r="AI206" t="s">
        <v>1056</v>
      </c>
      <c r="AK206">
        <v>1</v>
      </c>
      <c r="AT206">
        <v>1</v>
      </c>
      <c r="AV206">
        <v>0.25</v>
      </c>
      <c r="BC206" t="str">
        <f t="shared" si="205"/>
        <v>enemy_1023_jmage</v>
      </c>
      <c r="BI206" t="s">
        <v>941</v>
      </c>
      <c r="BJ206" t="s">
        <v>1057</v>
      </c>
      <c r="BL206" t="s">
        <v>210</v>
      </c>
      <c r="BM206" t="s">
        <v>211</v>
      </c>
      <c r="BN206" s="19" t="s">
        <v>232</v>
      </c>
      <c r="BO206" t="s">
        <v>213</v>
      </c>
      <c r="BQ206" s="19"/>
      <c r="BR206">
        <v>1</v>
      </c>
    </row>
    <row r="207" spans="1:70" ht="14.5" x14ac:dyDescent="0.25">
      <c r="A207" t="s">
        <v>1058</v>
      </c>
      <c r="B207" t="s">
        <v>206</v>
      </c>
      <c r="D207" s="17" t="s">
        <v>301</v>
      </c>
      <c r="E207" s="2">
        <v>1023</v>
      </c>
      <c r="F207" t="str">
        <f t="shared" si="204"/>
        <v>enemy_1023_jmage_2</v>
      </c>
      <c r="G207">
        <v>1</v>
      </c>
      <c r="K207">
        <v>4200</v>
      </c>
      <c r="M207">
        <v>400</v>
      </c>
      <c r="O207">
        <v>130</v>
      </c>
      <c r="Q207">
        <v>50</v>
      </c>
      <c r="Y207">
        <v>0.05</v>
      </c>
      <c r="Z207">
        <v>4</v>
      </c>
      <c r="AA207">
        <v>1</v>
      </c>
      <c r="AB207">
        <v>0.8</v>
      </c>
      <c r="AE207">
        <v>0</v>
      </c>
      <c r="AF207">
        <v>1</v>
      </c>
      <c r="AG207" t="s">
        <v>300</v>
      </c>
      <c r="AH207" t="s">
        <v>209</v>
      </c>
      <c r="AI207" t="s">
        <v>303</v>
      </c>
      <c r="AK207">
        <v>1</v>
      </c>
      <c r="AT207">
        <v>1</v>
      </c>
      <c r="AV207">
        <v>0.25</v>
      </c>
      <c r="BC207" t="str">
        <f t="shared" si="205"/>
        <v>enemy_1023_jmage_2</v>
      </c>
      <c r="BI207" t="s">
        <v>941</v>
      </c>
      <c r="BJ207" t="s">
        <v>1059</v>
      </c>
      <c r="BL207" t="s">
        <v>210</v>
      </c>
      <c r="BM207" t="s">
        <v>211</v>
      </c>
      <c r="BN207" s="19" t="s">
        <v>232</v>
      </c>
      <c r="BO207" t="s">
        <v>213</v>
      </c>
      <c r="BQ207" s="19"/>
      <c r="BR207">
        <v>1</v>
      </c>
    </row>
    <row r="208" spans="1:70" ht="14.5" x14ac:dyDescent="0.25">
      <c r="A208" t="s">
        <v>1060</v>
      </c>
      <c r="B208" t="s">
        <v>206</v>
      </c>
      <c r="D208" s="17" t="s">
        <v>1061</v>
      </c>
      <c r="E208" s="2">
        <v>1020</v>
      </c>
      <c r="F208" t="str">
        <f t="shared" si="204"/>
        <v>enemy_1020_obsv</v>
      </c>
      <c r="G208">
        <v>1</v>
      </c>
      <c r="K208">
        <v>7000</v>
      </c>
      <c r="M208">
        <v>270</v>
      </c>
      <c r="O208">
        <v>100</v>
      </c>
      <c r="Q208">
        <v>20</v>
      </c>
      <c r="Y208">
        <v>0.05</v>
      </c>
      <c r="Z208">
        <v>2.5</v>
      </c>
      <c r="AA208">
        <v>1</v>
      </c>
      <c r="AB208">
        <v>1</v>
      </c>
      <c r="AE208">
        <v>0</v>
      </c>
      <c r="AF208">
        <v>1</v>
      </c>
      <c r="AG208" t="s">
        <v>1062</v>
      </c>
      <c r="AH208" t="s">
        <v>209</v>
      </c>
      <c r="AI208" t="s">
        <v>1063</v>
      </c>
      <c r="AK208">
        <v>1</v>
      </c>
      <c r="AT208">
        <v>1</v>
      </c>
      <c r="AV208">
        <v>0.25</v>
      </c>
      <c r="BC208" t="str">
        <f t="shared" si="205"/>
        <v>enemy_1020_obsv</v>
      </c>
      <c r="BI208" t="s">
        <v>935</v>
      </c>
      <c r="BJ208" t="s">
        <v>1064</v>
      </c>
      <c r="BL208" t="s">
        <v>210</v>
      </c>
      <c r="BM208" t="s">
        <v>211</v>
      </c>
      <c r="BN208" s="19" t="s">
        <v>232</v>
      </c>
      <c r="BO208" t="s">
        <v>213</v>
      </c>
      <c r="BQ208" s="19"/>
      <c r="BR208">
        <v>1</v>
      </c>
    </row>
    <row r="209" spans="1:70" ht="14.5" x14ac:dyDescent="0.25">
      <c r="A209" t="s">
        <v>1065</v>
      </c>
      <c r="B209" t="s">
        <v>206</v>
      </c>
      <c r="D209" s="17" t="s">
        <v>1066</v>
      </c>
      <c r="E209" s="2">
        <v>1010</v>
      </c>
      <c r="F209" t="str">
        <f t="shared" si="204"/>
        <v>enemy_1010_demon</v>
      </c>
      <c r="G209">
        <v>1</v>
      </c>
      <c r="K209">
        <v>7500</v>
      </c>
      <c r="M209">
        <v>600</v>
      </c>
      <c r="O209">
        <v>230</v>
      </c>
      <c r="Q209">
        <v>50</v>
      </c>
      <c r="Y209">
        <v>0.05</v>
      </c>
      <c r="Z209">
        <v>2</v>
      </c>
      <c r="AA209">
        <v>2</v>
      </c>
      <c r="AB209">
        <v>0.85</v>
      </c>
      <c r="AE209">
        <v>0</v>
      </c>
      <c r="AF209">
        <v>1</v>
      </c>
      <c r="AG209" t="s">
        <v>1067</v>
      </c>
      <c r="AH209" t="s">
        <v>209</v>
      </c>
      <c r="AI209" t="s">
        <v>231</v>
      </c>
      <c r="AK209">
        <v>1</v>
      </c>
      <c r="AT209">
        <v>1</v>
      </c>
      <c r="AV209">
        <v>0.25</v>
      </c>
      <c r="BC209" t="str">
        <f t="shared" si="205"/>
        <v>enemy_1010_demon</v>
      </c>
      <c r="BI209" t="s">
        <v>1068</v>
      </c>
      <c r="BJ209" t="s">
        <v>1069</v>
      </c>
      <c r="BL209" t="s">
        <v>210</v>
      </c>
      <c r="BM209" t="s">
        <v>211</v>
      </c>
      <c r="BN209" s="19" t="s">
        <v>943</v>
      </c>
      <c r="BO209" t="s">
        <v>213</v>
      </c>
      <c r="BQ209" s="19"/>
      <c r="BR209">
        <v>1</v>
      </c>
    </row>
    <row r="210" spans="1:70" ht="14.5" x14ac:dyDescent="0.25">
      <c r="A210" t="s">
        <v>1070</v>
      </c>
      <c r="B210" t="s">
        <v>206</v>
      </c>
      <c r="D210" s="17" t="s">
        <v>1071</v>
      </c>
      <c r="E210" s="2">
        <v>1010</v>
      </c>
      <c r="F210" t="str">
        <f t="shared" si="204"/>
        <v>enemy_1010_demon_2</v>
      </c>
      <c r="G210">
        <v>1</v>
      </c>
      <c r="K210">
        <v>15000</v>
      </c>
      <c r="M210">
        <v>750</v>
      </c>
      <c r="O210">
        <v>250</v>
      </c>
      <c r="Q210">
        <v>50</v>
      </c>
      <c r="Y210">
        <v>0.05</v>
      </c>
      <c r="Z210">
        <v>2</v>
      </c>
      <c r="AA210">
        <v>2</v>
      </c>
      <c r="AB210">
        <v>0.85</v>
      </c>
      <c r="AE210">
        <v>0</v>
      </c>
      <c r="AF210">
        <v>1</v>
      </c>
      <c r="AG210" t="s">
        <v>1072</v>
      </c>
      <c r="AH210" t="s">
        <v>209</v>
      </c>
      <c r="AI210" t="s">
        <v>231</v>
      </c>
      <c r="AK210">
        <v>1</v>
      </c>
      <c r="AT210">
        <v>1</v>
      </c>
      <c r="AV210">
        <v>0.25</v>
      </c>
      <c r="BC210" t="str">
        <f t="shared" si="205"/>
        <v>enemy_1010_demon_2</v>
      </c>
      <c r="BI210" t="s">
        <v>1068</v>
      </c>
      <c r="BJ210" t="s">
        <v>1073</v>
      </c>
      <c r="BL210" t="s">
        <v>210</v>
      </c>
      <c r="BM210" t="s">
        <v>211</v>
      </c>
      <c r="BN210" s="19" t="s">
        <v>943</v>
      </c>
      <c r="BO210" t="s">
        <v>213</v>
      </c>
      <c r="BQ210" s="19"/>
      <c r="BR210">
        <v>1</v>
      </c>
    </row>
    <row r="211" spans="1:70" ht="14.5" x14ac:dyDescent="0.25">
      <c r="A211" t="s">
        <v>1074</v>
      </c>
      <c r="B211" t="s">
        <v>206</v>
      </c>
      <c r="D211" s="17" t="s">
        <v>1075</v>
      </c>
      <c r="E211" s="2">
        <v>1012</v>
      </c>
      <c r="F211" t="str">
        <f t="shared" si="204"/>
        <v>enemy_1012_dcross</v>
      </c>
      <c r="G211">
        <v>1</v>
      </c>
      <c r="K211">
        <v>6000</v>
      </c>
      <c r="M211">
        <v>450</v>
      </c>
      <c r="O211">
        <v>200</v>
      </c>
      <c r="Q211">
        <v>50</v>
      </c>
      <c r="Y211">
        <v>0.05</v>
      </c>
      <c r="Z211">
        <v>3</v>
      </c>
      <c r="AA211">
        <v>2</v>
      </c>
      <c r="AB211">
        <v>0.8</v>
      </c>
      <c r="AE211">
        <v>0</v>
      </c>
      <c r="AF211">
        <v>1</v>
      </c>
      <c r="AG211" t="s">
        <v>1076</v>
      </c>
      <c r="AH211" t="s">
        <v>209</v>
      </c>
      <c r="AI211" t="s">
        <v>1077</v>
      </c>
      <c r="AK211">
        <v>1</v>
      </c>
      <c r="AT211">
        <v>1</v>
      </c>
      <c r="AV211">
        <v>0.25</v>
      </c>
      <c r="BC211" t="str">
        <f t="shared" si="205"/>
        <v>enemy_1012_dcross</v>
      </c>
      <c r="BI211" t="s">
        <v>1078</v>
      </c>
      <c r="BJ211" t="s">
        <v>1079</v>
      </c>
      <c r="BL211" t="s">
        <v>210</v>
      </c>
      <c r="BM211" t="s">
        <v>211</v>
      </c>
      <c r="BN211" s="19" t="s">
        <v>943</v>
      </c>
      <c r="BO211" t="s">
        <v>213</v>
      </c>
      <c r="BQ211" s="19"/>
      <c r="BR211">
        <v>1</v>
      </c>
    </row>
    <row r="212" spans="1:70" ht="14.5" x14ac:dyDescent="0.25">
      <c r="A212" t="s">
        <v>1080</v>
      </c>
      <c r="B212" t="s">
        <v>206</v>
      </c>
      <c r="D212" s="17" t="s">
        <v>1081</v>
      </c>
      <c r="E212" s="2">
        <v>1012</v>
      </c>
      <c r="F212" t="str">
        <f t="shared" si="204"/>
        <v>enemy_1012_dcross_2</v>
      </c>
      <c r="G212">
        <v>1</v>
      </c>
      <c r="K212">
        <v>12000</v>
      </c>
      <c r="M212">
        <v>570</v>
      </c>
      <c r="O212">
        <v>200</v>
      </c>
      <c r="Q212">
        <v>50</v>
      </c>
      <c r="Y212">
        <v>0.05</v>
      </c>
      <c r="Z212">
        <v>3</v>
      </c>
      <c r="AA212">
        <v>2</v>
      </c>
      <c r="AB212">
        <v>0.8</v>
      </c>
      <c r="AE212">
        <v>0</v>
      </c>
      <c r="AF212">
        <v>1</v>
      </c>
      <c r="AG212" t="s">
        <v>1082</v>
      </c>
      <c r="AH212" t="s">
        <v>209</v>
      </c>
      <c r="AI212" t="s">
        <v>1077</v>
      </c>
      <c r="AK212">
        <v>1</v>
      </c>
      <c r="AT212">
        <v>1</v>
      </c>
      <c r="AV212">
        <v>0.25</v>
      </c>
      <c r="BC212" t="str">
        <f t="shared" si="205"/>
        <v>enemy_1012_dcross_2</v>
      </c>
      <c r="BI212" t="s">
        <v>1078</v>
      </c>
      <c r="BJ212" t="s">
        <v>1083</v>
      </c>
      <c r="BL212" t="s">
        <v>210</v>
      </c>
      <c r="BM212" t="s">
        <v>211</v>
      </c>
      <c r="BN212" s="19" t="s">
        <v>943</v>
      </c>
      <c r="BO212" t="s">
        <v>213</v>
      </c>
      <c r="BQ212" s="19"/>
      <c r="BR212">
        <v>1</v>
      </c>
    </row>
    <row r="213" spans="1:70" ht="14.5" x14ac:dyDescent="0.25">
      <c r="A213" t="s">
        <v>1084</v>
      </c>
      <c r="B213" t="s">
        <v>206</v>
      </c>
      <c r="D213" s="17" t="s">
        <v>1085</v>
      </c>
      <c r="E213" s="2">
        <v>1022</v>
      </c>
      <c r="F213" t="str">
        <f t="shared" si="204"/>
        <v>enemy_1022_dmage</v>
      </c>
      <c r="G213">
        <v>1</v>
      </c>
      <c r="K213">
        <v>12000</v>
      </c>
      <c r="M213">
        <v>500</v>
      </c>
      <c r="O213">
        <v>200</v>
      </c>
      <c r="Q213">
        <v>50</v>
      </c>
      <c r="Y213">
        <v>0.05</v>
      </c>
      <c r="Z213">
        <v>4</v>
      </c>
      <c r="AA213">
        <v>2</v>
      </c>
      <c r="AB213">
        <v>0.8</v>
      </c>
      <c r="AE213">
        <v>0</v>
      </c>
      <c r="AF213">
        <v>1</v>
      </c>
      <c r="AG213" t="s">
        <v>1086</v>
      </c>
      <c r="AH213" t="s">
        <v>209</v>
      </c>
      <c r="AI213" t="s">
        <v>1087</v>
      </c>
      <c r="AK213">
        <v>1</v>
      </c>
      <c r="AT213">
        <v>1</v>
      </c>
      <c r="AV213">
        <v>0.25</v>
      </c>
      <c r="BC213" t="str">
        <f t="shared" si="205"/>
        <v>enemy_1022_dmage</v>
      </c>
      <c r="BI213" t="s">
        <v>1078</v>
      </c>
      <c r="BJ213" t="s">
        <v>1088</v>
      </c>
      <c r="BL213" t="s">
        <v>210</v>
      </c>
      <c r="BM213" t="s">
        <v>211</v>
      </c>
      <c r="BN213" s="19" t="s">
        <v>232</v>
      </c>
      <c r="BO213" t="s">
        <v>213</v>
      </c>
      <c r="BQ213" s="19"/>
      <c r="BR213">
        <v>1</v>
      </c>
    </row>
    <row r="214" spans="1:70" ht="14.5" x14ac:dyDescent="0.25">
      <c r="A214" t="s">
        <v>1089</v>
      </c>
      <c r="B214" t="s">
        <v>206</v>
      </c>
      <c r="D214" s="17" t="s">
        <v>1090</v>
      </c>
      <c r="E214" s="2">
        <v>1022</v>
      </c>
      <c r="F214" t="str">
        <f t="shared" si="204"/>
        <v>enemy_1022_dmage_2</v>
      </c>
      <c r="G214">
        <v>1</v>
      </c>
      <c r="K214">
        <v>18000</v>
      </c>
      <c r="M214">
        <v>700</v>
      </c>
      <c r="O214">
        <v>200</v>
      </c>
      <c r="Q214">
        <v>50</v>
      </c>
      <c r="Y214">
        <v>0.05</v>
      </c>
      <c r="Z214">
        <v>4</v>
      </c>
      <c r="AA214">
        <v>2</v>
      </c>
      <c r="AB214">
        <v>0.8</v>
      </c>
      <c r="AE214">
        <v>0</v>
      </c>
      <c r="AF214">
        <v>1</v>
      </c>
      <c r="AG214" t="s">
        <v>1091</v>
      </c>
      <c r="AH214" t="s">
        <v>209</v>
      </c>
      <c r="AI214" t="s">
        <v>1087</v>
      </c>
      <c r="AK214">
        <v>1</v>
      </c>
      <c r="AT214">
        <v>1</v>
      </c>
      <c r="AV214">
        <v>0.25</v>
      </c>
      <c r="BC214" t="str">
        <f t="shared" si="205"/>
        <v>enemy_1022_dmage_2</v>
      </c>
      <c r="BI214" t="s">
        <v>1078</v>
      </c>
      <c r="BJ214" t="s">
        <v>1088</v>
      </c>
      <c r="BL214" t="s">
        <v>210</v>
      </c>
      <c r="BM214" t="s">
        <v>211</v>
      </c>
      <c r="BN214" s="19" t="s">
        <v>232</v>
      </c>
      <c r="BO214" t="s">
        <v>213</v>
      </c>
      <c r="BQ214" s="19"/>
      <c r="BR214">
        <v>1</v>
      </c>
    </row>
    <row r="215" spans="1:70" ht="14.5" x14ac:dyDescent="0.25">
      <c r="A215" t="s">
        <v>1092</v>
      </c>
      <c r="B215" t="s">
        <v>206</v>
      </c>
      <c r="D215" s="17" t="s">
        <v>1093</v>
      </c>
      <c r="E215" s="2">
        <v>1501</v>
      </c>
      <c r="F215" t="str">
        <f t="shared" si="204"/>
        <v>enemy_1501_demonk</v>
      </c>
      <c r="G215">
        <v>1</v>
      </c>
      <c r="K215">
        <v>15000</v>
      </c>
      <c r="M215">
        <v>700</v>
      </c>
      <c r="O215">
        <v>250</v>
      </c>
      <c r="Q215">
        <v>35</v>
      </c>
      <c r="Y215">
        <v>0.05</v>
      </c>
      <c r="Z215">
        <v>5</v>
      </c>
      <c r="AA215">
        <v>5</v>
      </c>
      <c r="AB215">
        <v>0.78</v>
      </c>
      <c r="AE215">
        <v>0</v>
      </c>
      <c r="AF215">
        <v>1</v>
      </c>
      <c r="AG215" t="s">
        <v>1094</v>
      </c>
      <c r="AH215" t="s">
        <v>209</v>
      </c>
      <c r="AI215" t="s">
        <v>1095</v>
      </c>
      <c r="AK215">
        <v>1</v>
      </c>
      <c r="AT215">
        <v>1</v>
      </c>
      <c r="AV215">
        <v>0.25</v>
      </c>
      <c r="BC215" t="str">
        <f t="shared" si="205"/>
        <v>enemy_1501_demonk</v>
      </c>
      <c r="BI215" t="s">
        <v>1096</v>
      </c>
      <c r="BJ215" t="s">
        <v>1097</v>
      </c>
      <c r="BL215" t="s">
        <v>210</v>
      </c>
      <c r="BM215" t="s">
        <v>211</v>
      </c>
      <c r="BN215" s="19" t="s">
        <v>943</v>
      </c>
      <c r="BO215" t="s">
        <v>213</v>
      </c>
      <c r="BQ215" s="19"/>
      <c r="BR215">
        <v>1</v>
      </c>
    </row>
    <row r="216" spans="1:70" ht="14.5" x14ac:dyDescent="0.25">
      <c r="A216" t="s">
        <v>1098</v>
      </c>
      <c r="B216" t="s">
        <v>206</v>
      </c>
      <c r="D216" s="17" t="s">
        <v>292</v>
      </c>
      <c r="E216" s="2">
        <v>1025</v>
      </c>
      <c r="F216" t="str">
        <f t="shared" si="204"/>
        <v>enemy_1025_reveng</v>
      </c>
      <c r="G216">
        <v>1</v>
      </c>
      <c r="K216">
        <v>5000</v>
      </c>
      <c r="M216">
        <v>300</v>
      </c>
      <c r="O216">
        <v>200</v>
      </c>
      <c r="Q216">
        <v>50</v>
      </c>
      <c r="Y216">
        <v>0.05</v>
      </c>
      <c r="Z216">
        <v>2.2999999999999998</v>
      </c>
      <c r="AA216">
        <v>2</v>
      </c>
      <c r="AB216">
        <v>0.65</v>
      </c>
      <c r="AE216">
        <v>0</v>
      </c>
      <c r="AF216">
        <v>1</v>
      </c>
      <c r="AG216" t="s">
        <v>291</v>
      </c>
      <c r="AH216" t="s">
        <v>268</v>
      </c>
      <c r="AI216" t="s">
        <v>294</v>
      </c>
      <c r="AK216">
        <v>1</v>
      </c>
      <c r="AT216">
        <v>1</v>
      </c>
      <c r="AV216">
        <v>0.25</v>
      </c>
      <c r="BC216" t="str">
        <f t="shared" si="205"/>
        <v>enemy_1025_reveng</v>
      </c>
      <c r="BI216" t="s">
        <v>994</v>
      </c>
      <c r="BJ216" t="s">
        <v>1099</v>
      </c>
      <c r="BL216" t="s">
        <v>210</v>
      </c>
      <c r="BM216" t="s">
        <v>211</v>
      </c>
      <c r="BN216" s="19" t="s">
        <v>232</v>
      </c>
      <c r="BO216" t="s">
        <v>213</v>
      </c>
      <c r="BQ216" s="19"/>
      <c r="BR216">
        <v>1</v>
      </c>
    </row>
    <row r="217" spans="1:70" ht="14.5" x14ac:dyDescent="0.25">
      <c r="A217" t="s">
        <v>1100</v>
      </c>
      <c r="B217" t="s">
        <v>206</v>
      </c>
      <c r="D217" s="17" t="s">
        <v>296</v>
      </c>
      <c r="E217" s="2">
        <v>1025</v>
      </c>
      <c r="F217" t="str">
        <f t="shared" si="204"/>
        <v>enemy_1025_reveng_2</v>
      </c>
      <c r="G217">
        <v>1</v>
      </c>
      <c r="K217">
        <v>18000</v>
      </c>
      <c r="M217">
        <v>480</v>
      </c>
      <c r="O217">
        <v>230</v>
      </c>
      <c r="Q217">
        <v>50</v>
      </c>
      <c r="Y217">
        <v>0.05</v>
      </c>
      <c r="Z217">
        <v>2.2999999999999998</v>
      </c>
      <c r="AA217">
        <v>2</v>
      </c>
      <c r="AB217">
        <v>0.65</v>
      </c>
      <c r="AE217">
        <v>0</v>
      </c>
      <c r="AF217">
        <v>1</v>
      </c>
      <c r="AG217" t="s">
        <v>295</v>
      </c>
      <c r="AH217" t="s">
        <v>268</v>
      </c>
      <c r="AI217" t="s">
        <v>297</v>
      </c>
      <c r="AK217">
        <v>1</v>
      </c>
      <c r="AT217">
        <v>1</v>
      </c>
      <c r="AV217">
        <v>0.25</v>
      </c>
      <c r="BC217" t="str">
        <f t="shared" si="205"/>
        <v>enemy_1025_reveng_2</v>
      </c>
      <c r="BI217" t="s">
        <v>994</v>
      </c>
      <c r="BJ217" t="s">
        <v>1099</v>
      </c>
      <c r="BL217" t="s">
        <v>210</v>
      </c>
      <c r="BM217" t="s">
        <v>211</v>
      </c>
      <c r="BN217" s="19" t="s">
        <v>232</v>
      </c>
      <c r="BO217" t="s">
        <v>213</v>
      </c>
      <c r="BQ217" s="19"/>
      <c r="BR217">
        <v>1</v>
      </c>
    </row>
    <row r="218" spans="1:70" ht="14.5" x14ac:dyDescent="0.25">
      <c r="A218" t="s">
        <v>1101</v>
      </c>
      <c r="B218" t="s">
        <v>206</v>
      </c>
      <c r="D218" s="17" t="s">
        <v>1102</v>
      </c>
      <c r="E218" s="2">
        <v>1027</v>
      </c>
      <c r="F218" t="str">
        <f t="shared" si="204"/>
        <v>enemy_1027_mob</v>
      </c>
      <c r="G218">
        <v>1</v>
      </c>
      <c r="K218">
        <v>1700</v>
      </c>
      <c r="M218">
        <v>250</v>
      </c>
      <c r="O218">
        <v>50</v>
      </c>
      <c r="Q218">
        <v>0</v>
      </c>
      <c r="Y218">
        <v>0.05</v>
      </c>
      <c r="Z218">
        <v>2</v>
      </c>
      <c r="AA218">
        <v>0</v>
      </c>
      <c r="AB218">
        <v>1.1000000000000001</v>
      </c>
      <c r="AE218">
        <v>0</v>
      </c>
      <c r="AF218">
        <v>1</v>
      </c>
      <c r="AG218" t="s">
        <v>1103</v>
      </c>
      <c r="AH218" t="s">
        <v>209</v>
      </c>
      <c r="AI218" t="s">
        <v>231</v>
      </c>
      <c r="AK218">
        <v>1</v>
      </c>
      <c r="AT218">
        <v>1</v>
      </c>
      <c r="AV218">
        <v>0.25</v>
      </c>
      <c r="BC218" t="str">
        <f t="shared" si="205"/>
        <v>enemy_1027_mob</v>
      </c>
      <c r="BI218" t="s">
        <v>935</v>
      </c>
      <c r="BJ218" t="s">
        <v>1104</v>
      </c>
      <c r="BL218" t="s">
        <v>210</v>
      </c>
      <c r="BM218" t="s">
        <v>211</v>
      </c>
      <c r="BN218" s="19" t="s">
        <v>232</v>
      </c>
      <c r="BO218" t="s">
        <v>213</v>
      </c>
      <c r="BQ218" s="19"/>
      <c r="BR218">
        <v>1</v>
      </c>
    </row>
    <row r="219" spans="1:70" ht="14.5" x14ac:dyDescent="0.25">
      <c r="A219" t="s">
        <v>1105</v>
      </c>
      <c r="B219" t="s">
        <v>206</v>
      </c>
      <c r="D219" s="17" t="s">
        <v>1106</v>
      </c>
      <c r="E219" s="2">
        <v>1027</v>
      </c>
      <c r="F219" t="str">
        <f t="shared" si="204"/>
        <v>enemy_1027_mob_2</v>
      </c>
      <c r="G219">
        <v>1</v>
      </c>
      <c r="K219">
        <v>2650</v>
      </c>
      <c r="M219">
        <v>350</v>
      </c>
      <c r="O219">
        <v>85</v>
      </c>
      <c r="Q219">
        <v>0</v>
      </c>
      <c r="Y219">
        <v>0.05</v>
      </c>
      <c r="Z219">
        <v>2</v>
      </c>
      <c r="AA219">
        <v>0</v>
      </c>
      <c r="AB219">
        <v>1.1000000000000001</v>
      </c>
      <c r="AE219">
        <v>0</v>
      </c>
      <c r="AF219">
        <v>1</v>
      </c>
      <c r="AG219" t="s">
        <v>1107</v>
      </c>
      <c r="AH219" t="s">
        <v>209</v>
      </c>
      <c r="AI219" t="s">
        <v>231</v>
      </c>
      <c r="AK219">
        <v>1</v>
      </c>
      <c r="AT219">
        <v>1</v>
      </c>
      <c r="AV219">
        <v>0.25</v>
      </c>
      <c r="BC219" t="str">
        <f t="shared" si="205"/>
        <v>enemy_1027_mob_2</v>
      </c>
      <c r="BI219" t="s">
        <v>935</v>
      </c>
      <c r="BJ219" t="s">
        <v>1108</v>
      </c>
      <c r="BL219" t="s">
        <v>210</v>
      </c>
      <c r="BM219" t="s">
        <v>211</v>
      </c>
      <c r="BN219" s="19" t="s">
        <v>232</v>
      </c>
      <c r="BO219" t="s">
        <v>213</v>
      </c>
      <c r="BQ219" s="19"/>
      <c r="BR219">
        <v>1</v>
      </c>
    </row>
    <row r="220" spans="1:70" ht="14.5" x14ac:dyDescent="0.25">
      <c r="A220" t="s">
        <v>1109</v>
      </c>
      <c r="B220" t="s">
        <v>206</v>
      </c>
      <c r="D220" s="17" t="s">
        <v>1110</v>
      </c>
      <c r="E220" s="2">
        <v>1028</v>
      </c>
      <c r="F220" t="str">
        <f t="shared" si="204"/>
        <v>enemy_1028_mocock</v>
      </c>
      <c r="G220">
        <v>1</v>
      </c>
      <c r="K220">
        <v>1550</v>
      </c>
      <c r="M220">
        <v>180</v>
      </c>
      <c r="O220">
        <v>50</v>
      </c>
      <c r="Q220">
        <v>0</v>
      </c>
      <c r="Y220">
        <v>0.05</v>
      </c>
      <c r="Z220">
        <v>2.7</v>
      </c>
      <c r="AA220">
        <v>0</v>
      </c>
      <c r="AB220">
        <v>1</v>
      </c>
      <c r="AE220">
        <v>0</v>
      </c>
      <c r="AF220">
        <v>1</v>
      </c>
      <c r="AG220" t="s">
        <v>1111</v>
      </c>
      <c r="AH220" t="s">
        <v>209</v>
      </c>
      <c r="AI220" t="s">
        <v>1112</v>
      </c>
      <c r="AK220">
        <v>1</v>
      </c>
      <c r="AT220">
        <v>1</v>
      </c>
      <c r="AV220">
        <v>0.25</v>
      </c>
      <c r="BC220" t="str">
        <f t="shared" si="205"/>
        <v>enemy_1028_mocock</v>
      </c>
      <c r="BI220" t="s">
        <v>941</v>
      </c>
      <c r="BJ220" t="s">
        <v>1113</v>
      </c>
      <c r="BL220" t="s">
        <v>210</v>
      </c>
      <c r="BM220" t="s">
        <v>211</v>
      </c>
      <c r="BN220" s="19" t="s">
        <v>232</v>
      </c>
      <c r="BO220" t="s">
        <v>213</v>
      </c>
      <c r="BQ220" s="19"/>
      <c r="BR220">
        <v>1</v>
      </c>
    </row>
    <row r="221" spans="1:70" ht="14.5" x14ac:dyDescent="0.25">
      <c r="A221" t="s">
        <v>1114</v>
      </c>
      <c r="B221" t="s">
        <v>206</v>
      </c>
      <c r="D221" s="17" t="s">
        <v>1115</v>
      </c>
      <c r="E221" s="2">
        <v>1028</v>
      </c>
      <c r="F221" t="str">
        <f t="shared" si="204"/>
        <v>enemy_1028_mocock_2</v>
      </c>
      <c r="G221">
        <v>1</v>
      </c>
      <c r="K221">
        <v>2000</v>
      </c>
      <c r="M221">
        <v>250</v>
      </c>
      <c r="O221">
        <v>85</v>
      </c>
      <c r="Q221">
        <v>0</v>
      </c>
      <c r="Y221">
        <v>0.05</v>
      </c>
      <c r="Z221">
        <v>2.2000000000000002</v>
      </c>
      <c r="AA221">
        <v>0</v>
      </c>
      <c r="AB221">
        <v>1</v>
      </c>
      <c r="AE221">
        <v>0</v>
      </c>
      <c r="AF221">
        <v>1</v>
      </c>
      <c r="AG221" t="s">
        <v>1116</v>
      </c>
      <c r="AH221" t="s">
        <v>209</v>
      </c>
      <c r="AI221" t="s">
        <v>1112</v>
      </c>
      <c r="AK221">
        <v>1</v>
      </c>
      <c r="AT221">
        <v>1</v>
      </c>
      <c r="AV221">
        <v>0.25</v>
      </c>
      <c r="BC221" t="str">
        <f t="shared" si="205"/>
        <v>enemy_1028_mocock_2</v>
      </c>
      <c r="BI221" t="s">
        <v>941</v>
      </c>
      <c r="BJ221" t="s">
        <v>1117</v>
      </c>
      <c r="BL221" t="s">
        <v>210</v>
      </c>
      <c r="BM221" t="s">
        <v>211</v>
      </c>
      <c r="BN221" s="19" t="s">
        <v>232</v>
      </c>
      <c r="BO221" t="s">
        <v>213</v>
      </c>
      <c r="BQ221" s="19"/>
      <c r="BR221">
        <v>1</v>
      </c>
    </row>
    <row r="222" spans="1:70" ht="14.5" x14ac:dyDescent="0.25">
      <c r="A222" t="s">
        <v>1118</v>
      </c>
      <c r="B222" t="s">
        <v>206</v>
      </c>
      <c r="D222" s="17" t="s">
        <v>1119</v>
      </c>
      <c r="E222" s="2">
        <v>1029</v>
      </c>
      <c r="F222" t="str">
        <f t="shared" si="204"/>
        <v>enemy_1029_shdsbr</v>
      </c>
      <c r="G222">
        <v>1</v>
      </c>
      <c r="K222">
        <v>2050</v>
      </c>
      <c r="M222">
        <v>240</v>
      </c>
      <c r="O222">
        <v>250</v>
      </c>
      <c r="Q222">
        <v>0</v>
      </c>
      <c r="Y222">
        <v>0.05</v>
      </c>
      <c r="Z222">
        <v>2</v>
      </c>
      <c r="AA222">
        <v>1</v>
      </c>
      <c r="AB222">
        <v>1</v>
      </c>
      <c r="AE222">
        <v>0</v>
      </c>
      <c r="AF222">
        <v>1</v>
      </c>
      <c r="AG222" t="s">
        <v>1120</v>
      </c>
      <c r="AH222" t="s">
        <v>209</v>
      </c>
      <c r="AI222" t="s">
        <v>231</v>
      </c>
      <c r="AK222">
        <v>1</v>
      </c>
      <c r="AT222">
        <v>1</v>
      </c>
      <c r="AV222">
        <v>0.25</v>
      </c>
      <c r="BC222" t="str">
        <f t="shared" si="205"/>
        <v>enemy_1029_shdsbr</v>
      </c>
      <c r="BI222" t="s">
        <v>935</v>
      </c>
      <c r="BJ222" t="s">
        <v>1121</v>
      </c>
      <c r="BL222" t="s">
        <v>210</v>
      </c>
      <c r="BM222" t="s">
        <v>211</v>
      </c>
      <c r="BN222" s="19" t="s">
        <v>242</v>
      </c>
      <c r="BO222" t="s">
        <v>213</v>
      </c>
      <c r="BQ222" s="19"/>
      <c r="BR222">
        <v>1</v>
      </c>
    </row>
    <row r="223" spans="1:70" ht="14.5" x14ac:dyDescent="0.25">
      <c r="A223" t="s">
        <v>1122</v>
      </c>
      <c r="B223" t="s">
        <v>206</v>
      </c>
      <c r="D223" s="17" t="s">
        <v>1123</v>
      </c>
      <c r="E223" s="2">
        <v>1029</v>
      </c>
      <c r="F223" t="str">
        <f t="shared" si="204"/>
        <v>enemy_1029_shdsbr_2</v>
      </c>
      <c r="G223">
        <v>1</v>
      </c>
      <c r="K223">
        <v>3000</v>
      </c>
      <c r="M223">
        <v>280</v>
      </c>
      <c r="O223">
        <v>300</v>
      </c>
      <c r="Q223">
        <v>0</v>
      </c>
      <c r="Y223">
        <v>0.05</v>
      </c>
      <c r="Z223">
        <v>2</v>
      </c>
      <c r="AA223">
        <v>1</v>
      </c>
      <c r="AB223">
        <v>1</v>
      </c>
      <c r="AE223">
        <v>0</v>
      </c>
      <c r="AF223">
        <v>1</v>
      </c>
      <c r="AG223" t="s">
        <v>1124</v>
      </c>
      <c r="AH223" t="s">
        <v>209</v>
      </c>
      <c r="AI223" t="s">
        <v>231</v>
      </c>
      <c r="AK223">
        <v>1</v>
      </c>
      <c r="AT223">
        <v>1</v>
      </c>
      <c r="AV223">
        <v>0.25</v>
      </c>
      <c r="BC223" t="str">
        <f t="shared" si="205"/>
        <v>enemy_1029_shdsbr_2</v>
      </c>
      <c r="BI223" t="s">
        <v>935</v>
      </c>
      <c r="BJ223" t="s">
        <v>1125</v>
      </c>
      <c r="BL223" t="s">
        <v>210</v>
      </c>
      <c r="BM223" t="s">
        <v>211</v>
      </c>
      <c r="BN223" s="19" t="s">
        <v>242</v>
      </c>
      <c r="BO223" t="s">
        <v>213</v>
      </c>
      <c r="BQ223" s="19"/>
      <c r="BR223">
        <v>1</v>
      </c>
    </row>
    <row r="224" spans="1:70" ht="14.5" x14ac:dyDescent="0.25">
      <c r="A224" t="s">
        <v>1126</v>
      </c>
      <c r="B224" t="s">
        <v>206</v>
      </c>
      <c r="D224" s="17" t="s">
        <v>1127</v>
      </c>
      <c r="E224" s="2">
        <v>1030</v>
      </c>
      <c r="F224" t="str">
        <f t="shared" si="204"/>
        <v>enemy_1030_wteeth</v>
      </c>
      <c r="G224">
        <v>1</v>
      </c>
      <c r="K224">
        <v>5000</v>
      </c>
      <c r="M224">
        <v>500</v>
      </c>
      <c r="O224">
        <v>50</v>
      </c>
      <c r="Q224">
        <v>20</v>
      </c>
      <c r="Y224">
        <v>0.05</v>
      </c>
      <c r="Z224">
        <v>3</v>
      </c>
      <c r="AA224">
        <v>2</v>
      </c>
      <c r="AB224">
        <v>0.8</v>
      </c>
      <c r="AE224">
        <v>0</v>
      </c>
      <c r="AF224">
        <v>1</v>
      </c>
      <c r="AG224" t="s">
        <v>1128</v>
      </c>
      <c r="AH224" t="s">
        <v>209</v>
      </c>
      <c r="AI224" t="s">
        <v>231</v>
      </c>
      <c r="AK224">
        <v>1</v>
      </c>
      <c r="AT224">
        <v>1</v>
      </c>
      <c r="AV224">
        <v>0.25</v>
      </c>
      <c r="BC224" t="str">
        <f t="shared" si="205"/>
        <v>enemy_1030_wteeth</v>
      </c>
      <c r="BI224" t="s">
        <v>935</v>
      </c>
      <c r="BJ224" t="s">
        <v>1129</v>
      </c>
      <c r="BL224" t="s">
        <v>210</v>
      </c>
      <c r="BM224" t="s">
        <v>211</v>
      </c>
      <c r="BN224" s="19" t="s">
        <v>232</v>
      </c>
      <c r="BO224" t="s">
        <v>213</v>
      </c>
      <c r="BQ224" s="19"/>
      <c r="BR224">
        <v>1</v>
      </c>
    </row>
    <row r="225" spans="1:70" ht="14.5" x14ac:dyDescent="0.25">
      <c r="A225" t="s">
        <v>1130</v>
      </c>
      <c r="B225" t="s">
        <v>206</v>
      </c>
      <c r="D225" s="17" t="s">
        <v>1131</v>
      </c>
      <c r="E225" s="2">
        <v>1030</v>
      </c>
      <c r="F225" t="str">
        <f t="shared" si="204"/>
        <v>enemy_1030_wteeth_2</v>
      </c>
      <c r="G225">
        <v>1</v>
      </c>
      <c r="K225">
        <v>7500</v>
      </c>
      <c r="M225">
        <v>600</v>
      </c>
      <c r="O225">
        <v>70</v>
      </c>
      <c r="Q225">
        <v>20</v>
      </c>
      <c r="Y225">
        <v>0.05</v>
      </c>
      <c r="Z225">
        <v>3</v>
      </c>
      <c r="AA225">
        <v>2</v>
      </c>
      <c r="AB225">
        <v>0.8</v>
      </c>
      <c r="AE225">
        <v>0</v>
      </c>
      <c r="AF225">
        <v>1</v>
      </c>
      <c r="AG225" t="s">
        <v>1132</v>
      </c>
      <c r="AH225" t="s">
        <v>209</v>
      </c>
      <c r="AI225" t="s">
        <v>231</v>
      </c>
      <c r="AK225">
        <v>1</v>
      </c>
      <c r="AT225">
        <v>1</v>
      </c>
      <c r="AV225">
        <v>0.25</v>
      </c>
      <c r="BC225" t="str">
        <f t="shared" si="205"/>
        <v>enemy_1030_wteeth_2</v>
      </c>
      <c r="BI225" t="s">
        <v>935</v>
      </c>
      <c r="BJ225" t="s">
        <v>1133</v>
      </c>
      <c r="BL225" t="s">
        <v>210</v>
      </c>
      <c r="BM225" t="s">
        <v>211</v>
      </c>
      <c r="BN225" s="19" t="s">
        <v>232</v>
      </c>
      <c r="BO225" t="s">
        <v>213</v>
      </c>
      <c r="BQ225" s="19"/>
      <c r="BR225">
        <v>1</v>
      </c>
    </row>
    <row r="226" spans="1:70" ht="14.5" x14ac:dyDescent="0.25">
      <c r="A226" t="s">
        <v>1134</v>
      </c>
      <c r="B226" t="s">
        <v>206</v>
      </c>
      <c r="D226" s="17" t="s">
        <v>1135</v>
      </c>
      <c r="E226" s="2">
        <v>1031</v>
      </c>
      <c r="F226" t="str">
        <f t="shared" si="204"/>
        <v>enemy_1031_mrogue</v>
      </c>
      <c r="G226">
        <v>1</v>
      </c>
      <c r="K226">
        <v>4000</v>
      </c>
      <c r="M226">
        <v>350</v>
      </c>
      <c r="O226">
        <v>200</v>
      </c>
      <c r="Q226">
        <v>50</v>
      </c>
      <c r="Y226">
        <v>0.05</v>
      </c>
      <c r="Z226">
        <v>2.5</v>
      </c>
      <c r="AA226">
        <v>1</v>
      </c>
      <c r="AB226">
        <v>0.75</v>
      </c>
      <c r="AE226">
        <v>0</v>
      </c>
      <c r="AF226">
        <v>1</v>
      </c>
      <c r="AG226" t="s">
        <v>1136</v>
      </c>
      <c r="AH226" t="s">
        <v>209</v>
      </c>
      <c r="AI226" t="s">
        <v>1137</v>
      </c>
      <c r="AK226">
        <v>1</v>
      </c>
      <c r="AT226">
        <v>1</v>
      </c>
      <c r="AV226">
        <v>0.25</v>
      </c>
      <c r="BC226" t="str">
        <f t="shared" si="205"/>
        <v>enemy_1031_mrogue</v>
      </c>
      <c r="BI226" t="s">
        <v>935</v>
      </c>
      <c r="BJ226" t="s">
        <v>1138</v>
      </c>
      <c r="BL226" t="s">
        <v>210</v>
      </c>
      <c r="BM226" t="s">
        <v>211</v>
      </c>
      <c r="BN226" s="19" t="s">
        <v>232</v>
      </c>
      <c r="BO226" t="s">
        <v>213</v>
      </c>
      <c r="BQ226" s="19"/>
      <c r="BR226">
        <v>1</v>
      </c>
    </row>
    <row r="227" spans="1:70" ht="14.5" x14ac:dyDescent="0.25">
      <c r="A227" t="s">
        <v>1139</v>
      </c>
      <c r="B227" t="s">
        <v>206</v>
      </c>
      <c r="D227" s="17" t="s">
        <v>1140</v>
      </c>
      <c r="E227" s="2">
        <v>1031</v>
      </c>
      <c r="F227" t="str">
        <f t="shared" si="204"/>
        <v>enemy_1031_mrogue_2</v>
      </c>
      <c r="G227">
        <v>1</v>
      </c>
      <c r="K227">
        <v>6500</v>
      </c>
      <c r="M227">
        <v>500</v>
      </c>
      <c r="O227">
        <v>250</v>
      </c>
      <c r="Q227">
        <v>50</v>
      </c>
      <c r="Y227">
        <v>0.05</v>
      </c>
      <c r="Z227">
        <v>2.5</v>
      </c>
      <c r="AA227">
        <v>1</v>
      </c>
      <c r="AB227">
        <v>0.75</v>
      </c>
      <c r="AE227">
        <v>0</v>
      </c>
      <c r="AF227">
        <v>1</v>
      </c>
      <c r="AG227" t="s">
        <v>1141</v>
      </c>
      <c r="AH227" t="s">
        <v>209</v>
      </c>
      <c r="AI227" t="s">
        <v>1137</v>
      </c>
      <c r="AK227">
        <v>1</v>
      </c>
      <c r="AT227">
        <v>1</v>
      </c>
      <c r="AV227">
        <v>0.25</v>
      </c>
      <c r="BC227" t="str">
        <f t="shared" si="205"/>
        <v>enemy_1031_mrogue_2</v>
      </c>
      <c r="BI227" t="s">
        <v>935</v>
      </c>
      <c r="BJ227" t="s">
        <v>1142</v>
      </c>
      <c r="BL227" t="s">
        <v>210</v>
      </c>
      <c r="BM227" t="s">
        <v>211</v>
      </c>
      <c r="BN227" s="19" t="s">
        <v>232</v>
      </c>
      <c r="BO227" t="s">
        <v>213</v>
      </c>
      <c r="BQ227" s="19"/>
      <c r="BR227">
        <v>1</v>
      </c>
    </row>
    <row r="228" spans="1:70" ht="14.5" x14ac:dyDescent="0.25">
      <c r="A228" t="s">
        <v>1143</v>
      </c>
      <c r="B228" t="s">
        <v>206</v>
      </c>
      <c r="D228" s="17" t="s">
        <v>1144</v>
      </c>
      <c r="E228" s="2">
        <v>1032</v>
      </c>
      <c r="F228" t="str">
        <f t="shared" si="204"/>
        <v>enemy_1032_katar</v>
      </c>
      <c r="G228">
        <v>1</v>
      </c>
      <c r="K228">
        <v>4000</v>
      </c>
      <c r="M228">
        <v>450</v>
      </c>
      <c r="O228">
        <v>300</v>
      </c>
      <c r="Q228">
        <v>0</v>
      </c>
      <c r="Y228">
        <v>0.05</v>
      </c>
      <c r="Z228">
        <v>1.5</v>
      </c>
      <c r="AA228">
        <v>1</v>
      </c>
      <c r="AB228">
        <v>1</v>
      </c>
      <c r="AE228">
        <v>0</v>
      </c>
      <c r="AF228">
        <v>1</v>
      </c>
      <c r="AG228" t="s">
        <v>1145</v>
      </c>
      <c r="AH228" t="s">
        <v>209</v>
      </c>
      <c r="AI228" t="s">
        <v>231</v>
      </c>
      <c r="AK228">
        <v>1</v>
      </c>
      <c r="AT228">
        <v>1</v>
      </c>
      <c r="AV228">
        <v>0.25</v>
      </c>
      <c r="BC228" t="str">
        <f t="shared" si="205"/>
        <v>enemy_1032_katar</v>
      </c>
      <c r="BI228" t="s">
        <v>935</v>
      </c>
      <c r="BJ228" t="s">
        <v>1146</v>
      </c>
      <c r="BL228" t="s">
        <v>210</v>
      </c>
      <c r="BM228" t="s">
        <v>211</v>
      </c>
      <c r="BN228" s="19" t="s">
        <v>232</v>
      </c>
      <c r="BO228" t="s">
        <v>213</v>
      </c>
      <c r="BQ228" s="19"/>
      <c r="BR228">
        <v>1</v>
      </c>
    </row>
    <row r="229" spans="1:70" ht="14.5" x14ac:dyDescent="0.25">
      <c r="A229" t="s">
        <v>1147</v>
      </c>
      <c r="B229" t="s">
        <v>206</v>
      </c>
      <c r="D229" s="17" t="s">
        <v>1148</v>
      </c>
      <c r="E229" s="2">
        <v>1032</v>
      </c>
      <c r="F229" t="str">
        <f t="shared" si="204"/>
        <v>enemy_1032_katar_2</v>
      </c>
      <c r="G229">
        <v>1</v>
      </c>
      <c r="K229">
        <v>6500</v>
      </c>
      <c r="M229">
        <v>550</v>
      </c>
      <c r="O229">
        <v>350</v>
      </c>
      <c r="Q229">
        <v>0</v>
      </c>
      <c r="Y229">
        <v>0.05</v>
      </c>
      <c r="Z229">
        <v>1.5</v>
      </c>
      <c r="AA229">
        <v>1</v>
      </c>
      <c r="AB229">
        <v>1</v>
      </c>
      <c r="AE229">
        <v>0</v>
      </c>
      <c r="AF229">
        <v>1</v>
      </c>
      <c r="AG229" t="s">
        <v>1149</v>
      </c>
      <c r="AH229" t="s">
        <v>209</v>
      </c>
      <c r="AI229" t="s">
        <v>231</v>
      </c>
      <c r="AK229">
        <v>1</v>
      </c>
      <c r="AT229">
        <v>1</v>
      </c>
      <c r="AV229">
        <v>0.25</v>
      </c>
      <c r="BC229" t="str">
        <f t="shared" si="205"/>
        <v>enemy_1032_katar_2</v>
      </c>
      <c r="BI229" t="s">
        <v>935</v>
      </c>
      <c r="BJ229" t="s">
        <v>1150</v>
      </c>
      <c r="BL229" t="s">
        <v>210</v>
      </c>
      <c r="BM229" t="s">
        <v>211</v>
      </c>
      <c r="BN229" s="19" t="s">
        <v>232</v>
      </c>
      <c r="BO229" t="s">
        <v>213</v>
      </c>
      <c r="BQ229" s="19"/>
      <c r="BR229">
        <v>1</v>
      </c>
    </row>
    <row r="230" spans="1:70" ht="14.5" x14ac:dyDescent="0.25">
      <c r="A230" t="s">
        <v>1151</v>
      </c>
      <c r="B230" t="s">
        <v>206</v>
      </c>
      <c r="D230" s="17" t="s">
        <v>1152</v>
      </c>
      <c r="E230" s="2">
        <v>1033</v>
      </c>
      <c r="F230" t="str">
        <f t="shared" si="204"/>
        <v>enemy_1033_handax</v>
      </c>
      <c r="G230">
        <v>1</v>
      </c>
      <c r="K230">
        <v>8000</v>
      </c>
      <c r="M230">
        <v>750</v>
      </c>
      <c r="O230">
        <v>80</v>
      </c>
      <c r="Q230">
        <v>30</v>
      </c>
      <c r="Y230">
        <v>0.05</v>
      </c>
      <c r="Z230">
        <v>3.3</v>
      </c>
      <c r="AA230">
        <v>3</v>
      </c>
      <c r="AB230">
        <v>0.75</v>
      </c>
      <c r="AE230">
        <v>0</v>
      </c>
      <c r="AF230">
        <v>1</v>
      </c>
      <c r="AG230" t="s">
        <v>1153</v>
      </c>
      <c r="AH230" t="s">
        <v>209</v>
      </c>
      <c r="AI230" t="s">
        <v>231</v>
      </c>
      <c r="AK230">
        <v>1</v>
      </c>
      <c r="AT230">
        <v>1</v>
      </c>
      <c r="AV230">
        <v>0.25</v>
      </c>
      <c r="BC230" t="str">
        <f t="shared" si="205"/>
        <v>enemy_1033_handax</v>
      </c>
      <c r="BI230" t="s">
        <v>994</v>
      </c>
      <c r="BJ230" t="s">
        <v>1154</v>
      </c>
      <c r="BL230" t="s">
        <v>210</v>
      </c>
      <c r="BM230" t="s">
        <v>211</v>
      </c>
      <c r="BN230" s="19" t="s">
        <v>232</v>
      </c>
      <c r="BO230" t="s">
        <v>213</v>
      </c>
      <c r="BQ230" s="19"/>
      <c r="BR230">
        <v>1</v>
      </c>
    </row>
    <row r="231" spans="1:70" ht="14.5" x14ac:dyDescent="0.25">
      <c r="A231" t="s">
        <v>1155</v>
      </c>
      <c r="B231" t="s">
        <v>206</v>
      </c>
      <c r="D231" s="17" t="s">
        <v>1156</v>
      </c>
      <c r="E231" s="2">
        <v>1033</v>
      </c>
      <c r="F231" t="str">
        <f t="shared" si="204"/>
        <v>enemy_1033_handax_2</v>
      </c>
      <c r="G231">
        <v>1</v>
      </c>
      <c r="K231">
        <v>12000</v>
      </c>
      <c r="M231">
        <v>850</v>
      </c>
      <c r="O231">
        <v>100</v>
      </c>
      <c r="Q231">
        <v>30</v>
      </c>
      <c r="Y231">
        <v>0.05</v>
      </c>
      <c r="Z231">
        <v>3.3</v>
      </c>
      <c r="AA231">
        <v>3</v>
      </c>
      <c r="AB231">
        <v>0.75</v>
      </c>
      <c r="AE231">
        <v>0</v>
      </c>
      <c r="AF231">
        <v>1</v>
      </c>
      <c r="AG231" t="s">
        <v>1157</v>
      </c>
      <c r="AH231" t="s">
        <v>209</v>
      </c>
      <c r="AI231" t="s">
        <v>231</v>
      </c>
      <c r="AK231">
        <v>1</v>
      </c>
      <c r="AT231">
        <v>1</v>
      </c>
      <c r="AV231">
        <v>0.25</v>
      </c>
      <c r="BC231" t="str">
        <f t="shared" si="205"/>
        <v>enemy_1033_handax_2</v>
      </c>
      <c r="BI231" t="s">
        <v>994</v>
      </c>
      <c r="BJ231" t="s">
        <v>1158</v>
      </c>
      <c r="BL231" t="s">
        <v>210</v>
      </c>
      <c r="BM231" t="s">
        <v>211</v>
      </c>
      <c r="BN231" s="19" t="s">
        <v>232</v>
      </c>
      <c r="BO231" t="s">
        <v>213</v>
      </c>
      <c r="BQ231" s="19"/>
      <c r="BR231">
        <v>1</v>
      </c>
    </row>
    <row r="232" spans="1:70" ht="14.5" x14ac:dyDescent="0.25">
      <c r="A232" t="s">
        <v>1159</v>
      </c>
      <c r="B232" t="s">
        <v>206</v>
      </c>
      <c r="D232" s="17" t="s">
        <v>1160</v>
      </c>
      <c r="E232" s="2">
        <v>1034</v>
      </c>
      <c r="F232" t="str">
        <f t="shared" si="204"/>
        <v>enemy_1034_laxe</v>
      </c>
      <c r="G232">
        <v>1</v>
      </c>
      <c r="K232">
        <v>9000</v>
      </c>
      <c r="M232">
        <v>850</v>
      </c>
      <c r="O232">
        <v>230</v>
      </c>
      <c r="Q232">
        <v>30</v>
      </c>
      <c r="Y232">
        <v>0.05</v>
      </c>
      <c r="Z232">
        <v>3.5</v>
      </c>
      <c r="AA232">
        <v>3</v>
      </c>
      <c r="AB232">
        <v>0.7</v>
      </c>
      <c r="AE232">
        <v>0</v>
      </c>
      <c r="AF232">
        <v>1</v>
      </c>
      <c r="AG232" t="s">
        <v>1161</v>
      </c>
      <c r="AH232" t="s">
        <v>209</v>
      </c>
      <c r="AI232" t="s">
        <v>231</v>
      </c>
      <c r="AK232">
        <v>1</v>
      </c>
      <c r="AT232">
        <v>1</v>
      </c>
      <c r="AV232">
        <v>0.25</v>
      </c>
      <c r="BC232" t="str">
        <f t="shared" si="205"/>
        <v>enemy_1034_laxe</v>
      </c>
      <c r="BI232" t="s">
        <v>994</v>
      </c>
      <c r="BJ232" t="s">
        <v>1162</v>
      </c>
      <c r="BL232" t="s">
        <v>210</v>
      </c>
      <c r="BM232" t="s">
        <v>211</v>
      </c>
      <c r="BN232" s="19" t="s">
        <v>232</v>
      </c>
      <c r="BO232" t="s">
        <v>213</v>
      </c>
      <c r="BQ232" s="19"/>
      <c r="BR232">
        <v>1</v>
      </c>
    </row>
    <row r="233" spans="1:70" ht="14.5" x14ac:dyDescent="0.25">
      <c r="A233" t="s">
        <v>1163</v>
      </c>
      <c r="B233" t="s">
        <v>206</v>
      </c>
      <c r="D233" s="17" t="s">
        <v>1164</v>
      </c>
      <c r="E233" s="2">
        <v>1034</v>
      </c>
      <c r="F233" t="str">
        <f t="shared" si="204"/>
        <v>enemy_1034_laxe_2</v>
      </c>
      <c r="G233">
        <v>1</v>
      </c>
      <c r="K233">
        <v>14000</v>
      </c>
      <c r="M233">
        <v>950</v>
      </c>
      <c r="O233">
        <v>270</v>
      </c>
      <c r="Q233">
        <v>30</v>
      </c>
      <c r="Y233">
        <v>0.05</v>
      </c>
      <c r="Z233">
        <v>3.5</v>
      </c>
      <c r="AA233">
        <v>3</v>
      </c>
      <c r="AB233">
        <v>0.7</v>
      </c>
      <c r="AE233">
        <v>0</v>
      </c>
      <c r="AF233">
        <v>1</v>
      </c>
      <c r="AG233" t="s">
        <v>1165</v>
      </c>
      <c r="AH233" t="s">
        <v>209</v>
      </c>
      <c r="AI233" t="s">
        <v>231</v>
      </c>
      <c r="AK233">
        <v>1</v>
      </c>
      <c r="AT233">
        <v>1</v>
      </c>
      <c r="AV233">
        <v>0.25</v>
      </c>
      <c r="BC233" t="str">
        <f t="shared" si="205"/>
        <v>enemy_1034_laxe_2</v>
      </c>
      <c r="BI233" t="s">
        <v>994</v>
      </c>
      <c r="BJ233" t="s">
        <v>1166</v>
      </c>
      <c r="BL233" t="s">
        <v>210</v>
      </c>
      <c r="BM233" t="s">
        <v>211</v>
      </c>
      <c r="BN233" s="19" t="s">
        <v>232</v>
      </c>
      <c r="BO233" t="s">
        <v>213</v>
      </c>
      <c r="BQ233" s="19"/>
      <c r="BR233">
        <v>1</v>
      </c>
    </row>
    <row r="234" spans="1:70" ht="14.5" x14ac:dyDescent="0.25">
      <c r="A234" t="s">
        <v>1167</v>
      </c>
      <c r="B234" t="s">
        <v>206</v>
      </c>
      <c r="D234" s="17" t="s">
        <v>289</v>
      </c>
      <c r="E234" s="2">
        <v>1035</v>
      </c>
      <c r="F234" t="str">
        <f t="shared" si="204"/>
        <v>enemy_1035_haxe</v>
      </c>
      <c r="G234">
        <v>1</v>
      </c>
      <c r="K234">
        <v>12000</v>
      </c>
      <c r="M234">
        <v>1050</v>
      </c>
      <c r="O234">
        <v>700</v>
      </c>
      <c r="Q234">
        <v>30</v>
      </c>
      <c r="Y234">
        <v>0.05</v>
      </c>
      <c r="Z234">
        <v>3.5</v>
      </c>
      <c r="AA234">
        <v>3</v>
      </c>
      <c r="AB234">
        <v>0.65</v>
      </c>
      <c r="AE234">
        <v>0</v>
      </c>
      <c r="AF234">
        <v>1</v>
      </c>
      <c r="AG234" t="s">
        <v>288</v>
      </c>
      <c r="AH234" t="s">
        <v>209</v>
      </c>
      <c r="AI234" t="s">
        <v>231</v>
      </c>
      <c r="AK234">
        <v>1</v>
      </c>
      <c r="AT234">
        <v>1</v>
      </c>
      <c r="AV234">
        <v>0.25</v>
      </c>
      <c r="BC234" t="str">
        <f t="shared" si="205"/>
        <v>enemy_1035_haxe</v>
      </c>
      <c r="BI234" t="s">
        <v>994</v>
      </c>
      <c r="BJ234" t="s">
        <v>1168</v>
      </c>
      <c r="BL234" t="s">
        <v>210</v>
      </c>
      <c r="BM234" t="s">
        <v>211</v>
      </c>
      <c r="BN234" s="19" t="s">
        <v>232</v>
      </c>
      <c r="BO234" t="s">
        <v>213</v>
      </c>
      <c r="BQ234" s="19"/>
      <c r="BR234">
        <v>1</v>
      </c>
    </row>
    <row r="235" spans="1:70" ht="14.5" x14ac:dyDescent="0.25">
      <c r="A235" t="s">
        <v>1169</v>
      </c>
      <c r="B235" t="s">
        <v>206</v>
      </c>
      <c r="D235" s="17" t="s">
        <v>1170</v>
      </c>
      <c r="E235" s="2">
        <v>1035</v>
      </c>
      <c r="F235" t="str">
        <f t="shared" si="204"/>
        <v>enemy_1035_haxe_2</v>
      </c>
      <c r="G235">
        <v>1</v>
      </c>
      <c r="K235">
        <v>18000</v>
      </c>
      <c r="M235">
        <v>1500</v>
      </c>
      <c r="O235">
        <v>800</v>
      </c>
      <c r="Q235">
        <v>30</v>
      </c>
      <c r="Y235">
        <v>0.05</v>
      </c>
      <c r="Z235">
        <v>3.5</v>
      </c>
      <c r="AA235">
        <v>3</v>
      </c>
      <c r="AB235">
        <v>0.65</v>
      </c>
      <c r="AE235">
        <v>0</v>
      </c>
      <c r="AF235">
        <v>1</v>
      </c>
      <c r="AG235" t="s">
        <v>1171</v>
      </c>
      <c r="AH235" t="s">
        <v>209</v>
      </c>
      <c r="AI235" t="s">
        <v>231</v>
      </c>
      <c r="AK235">
        <v>1</v>
      </c>
      <c r="AT235">
        <v>1</v>
      </c>
      <c r="AV235">
        <v>0.25</v>
      </c>
      <c r="BC235" t="str">
        <f t="shared" si="205"/>
        <v>enemy_1035_haxe_2</v>
      </c>
      <c r="BI235" t="s">
        <v>994</v>
      </c>
      <c r="BJ235" t="s">
        <v>1172</v>
      </c>
      <c r="BL235" t="s">
        <v>210</v>
      </c>
      <c r="BM235" t="s">
        <v>211</v>
      </c>
      <c r="BN235" s="19" t="s">
        <v>232</v>
      </c>
      <c r="BO235" t="s">
        <v>213</v>
      </c>
      <c r="BQ235" s="19"/>
      <c r="BR235">
        <v>1</v>
      </c>
    </row>
    <row r="236" spans="1:70" ht="14.5" x14ac:dyDescent="0.25">
      <c r="A236" t="s">
        <v>1173</v>
      </c>
      <c r="B236" t="s">
        <v>206</v>
      </c>
      <c r="D236" s="17" t="s">
        <v>1174</v>
      </c>
      <c r="E236" s="2">
        <v>1036</v>
      </c>
      <c r="F236" t="str">
        <f t="shared" si="204"/>
        <v>enemy_1036_amraoe</v>
      </c>
      <c r="G236">
        <v>1</v>
      </c>
      <c r="K236">
        <v>8500</v>
      </c>
      <c r="M236">
        <v>380</v>
      </c>
      <c r="O236">
        <v>400</v>
      </c>
      <c r="Q236">
        <v>20</v>
      </c>
      <c r="Y236">
        <v>0.05</v>
      </c>
      <c r="Z236">
        <v>3.8</v>
      </c>
      <c r="AA236">
        <v>1</v>
      </c>
      <c r="AB236">
        <v>0.7</v>
      </c>
      <c r="AE236">
        <v>0</v>
      </c>
      <c r="AF236">
        <v>1</v>
      </c>
      <c r="AG236" t="s">
        <v>1175</v>
      </c>
      <c r="AH236" t="s">
        <v>209</v>
      </c>
      <c r="AI236" t="s">
        <v>961</v>
      </c>
      <c r="AK236">
        <v>1</v>
      </c>
      <c r="AT236">
        <v>1</v>
      </c>
      <c r="AV236">
        <v>0.25</v>
      </c>
      <c r="BC236" t="str">
        <f t="shared" si="205"/>
        <v>enemy_1036_amraoe</v>
      </c>
      <c r="BI236" t="s">
        <v>962</v>
      </c>
      <c r="BJ236" t="s">
        <v>1176</v>
      </c>
      <c r="BL236" t="s">
        <v>210</v>
      </c>
      <c r="BM236" t="s">
        <v>211</v>
      </c>
      <c r="BN236" s="19" t="s">
        <v>232</v>
      </c>
      <c r="BO236" t="s">
        <v>213</v>
      </c>
      <c r="BQ236" s="19"/>
      <c r="BR236">
        <v>1</v>
      </c>
    </row>
    <row r="237" spans="1:70" ht="14.5" x14ac:dyDescent="0.25">
      <c r="A237" t="s">
        <v>1177</v>
      </c>
      <c r="B237" t="s">
        <v>206</v>
      </c>
      <c r="D237" s="17" t="s">
        <v>1178</v>
      </c>
      <c r="E237" s="2">
        <v>1037</v>
      </c>
      <c r="F237" t="s">
        <v>1179</v>
      </c>
      <c r="G237">
        <v>1</v>
      </c>
      <c r="K237">
        <v>3200</v>
      </c>
      <c r="M237">
        <v>350</v>
      </c>
      <c r="O237">
        <v>50</v>
      </c>
      <c r="Q237">
        <v>0</v>
      </c>
      <c r="Y237">
        <v>0.05</v>
      </c>
      <c r="Z237">
        <v>2</v>
      </c>
      <c r="AA237">
        <v>1</v>
      </c>
      <c r="AB237">
        <v>1.1000000000000001</v>
      </c>
      <c r="AE237">
        <v>0</v>
      </c>
      <c r="AF237">
        <v>1</v>
      </c>
      <c r="AG237" t="s">
        <v>1180</v>
      </c>
      <c r="AH237" t="s">
        <v>209</v>
      </c>
      <c r="AI237" t="s">
        <v>231</v>
      </c>
      <c r="AK237">
        <v>1</v>
      </c>
      <c r="AT237">
        <v>1</v>
      </c>
      <c r="AV237">
        <v>0.25</v>
      </c>
      <c r="BC237" t="str">
        <f t="shared" si="205"/>
        <v>enemy_1037_lunsbr</v>
      </c>
      <c r="BI237" t="s">
        <v>935</v>
      </c>
      <c r="BJ237" t="s">
        <v>1181</v>
      </c>
      <c r="BL237" t="s">
        <v>210</v>
      </c>
      <c r="BM237" t="s">
        <v>211</v>
      </c>
      <c r="BN237" s="19" t="s">
        <v>242</v>
      </c>
      <c r="BO237" t="s">
        <v>213</v>
      </c>
      <c r="BQ237" s="19"/>
      <c r="BR237">
        <v>1</v>
      </c>
    </row>
    <row r="238" spans="1:70" ht="14.5" x14ac:dyDescent="0.25">
      <c r="A238" t="s">
        <v>1182</v>
      </c>
      <c r="B238" t="s">
        <v>206</v>
      </c>
      <c r="D238" s="17" t="s">
        <v>1183</v>
      </c>
      <c r="E238" s="2">
        <v>1038</v>
      </c>
      <c r="F238" t="str">
        <f t="shared" si="204"/>
        <v>enemy_1038_lunmag</v>
      </c>
      <c r="G238">
        <v>1</v>
      </c>
      <c r="K238">
        <v>4000</v>
      </c>
      <c r="M238">
        <v>400</v>
      </c>
      <c r="O238">
        <v>250</v>
      </c>
      <c r="Q238">
        <v>50</v>
      </c>
      <c r="Y238">
        <v>0.05</v>
      </c>
      <c r="Z238">
        <v>4</v>
      </c>
      <c r="AA238">
        <v>2</v>
      </c>
      <c r="AB238">
        <v>0.8</v>
      </c>
      <c r="AE238">
        <v>0</v>
      </c>
      <c r="AF238">
        <v>1</v>
      </c>
      <c r="AG238" t="s">
        <v>1184</v>
      </c>
      <c r="AH238" t="s">
        <v>209</v>
      </c>
      <c r="AI238" t="s">
        <v>956</v>
      </c>
      <c r="AK238">
        <v>1</v>
      </c>
      <c r="AT238">
        <v>1</v>
      </c>
      <c r="AV238">
        <v>0.25</v>
      </c>
      <c r="BC238" t="str">
        <f t="shared" si="205"/>
        <v>enemy_1038_lunmag</v>
      </c>
      <c r="BI238" t="s">
        <v>941</v>
      </c>
      <c r="BJ238" t="s">
        <v>1185</v>
      </c>
      <c r="BL238" t="s">
        <v>210</v>
      </c>
      <c r="BM238" t="s">
        <v>211</v>
      </c>
      <c r="BN238" s="19" t="s">
        <v>232</v>
      </c>
      <c r="BO238" t="s">
        <v>213</v>
      </c>
      <c r="BQ238" s="19"/>
      <c r="BR238">
        <v>1</v>
      </c>
    </row>
    <row r="239" spans="1:70" ht="14.5" x14ac:dyDescent="0.25">
      <c r="A239" t="s">
        <v>1186</v>
      </c>
      <c r="B239" t="s">
        <v>206</v>
      </c>
      <c r="D239" s="17" t="s">
        <v>1187</v>
      </c>
      <c r="E239" s="2">
        <v>1038</v>
      </c>
      <c r="F239" t="str">
        <f t="shared" si="204"/>
        <v>enemy_1038_lunmag_2</v>
      </c>
      <c r="G239">
        <v>1</v>
      </c>
      <c r="K239">
        <v>6000</v>
      </c>
      <c r="M239">
        <v>450</v>
      </c>
      <c r="O239">
        <v>300</v>
      </c>
      <c r="Q239">
        <v>50</v>
      </c>
      <c r="Y239">
        <v>0.05</v>
      </c>
      <c r="Z239">
        <v>4</v>
      </c>
      <c r="AA239">
        <v>2</v>
      </c>
      <c r="AB239">
        <v>0.8</v>
      </c>
      <c r="AE239">
        <v>0</v>
      </c>
      <c r="AF239">
        <v>1</v>
      </c>
      <c r="AG239" t="s">
        <v>1188</v>
      </c>
      <c r="AH239" t="s">
        <v>209</v>
      </c>
      <c r="AI239" t="s">
        <v>1189</v>
      </c>
      <c r="AK239">
        <v>1</v>
      </c>
      <c r="AT239">
        <v>1</v>
      </c>
      <c r="AV239">
        <v>0.25</v>
      </c>
      <c r="BC239" t="str">
        <f t="shared" si="205"/>
        <v>enemy_1038_lunmag_2</v>
      </c>
      <c r="BI239" t="s">
        <v>941</v>
      </c>
      <c r="BJ239" t="s">
        <v>1190</v>
      </c>
      <c r="BL239" t="s">
        <v>210</v>
      </c>
      <c r="BM239" t="s">
        <v>211</v>
      </c>
      <c r="BN239" s="19" t="s">
        <v>232</v>
      </c>
      <c r="BO239" t="s">
        <v>213</v>
      </c>
      <c r="BQ239" s="19"/>
      <c r="BR239">
        <v>1</v>
      </c>
    </row>
    <row r="240" spans="1:70" ht="14.5" x14ac:dyDescent="0.25">
      <c r="A240" t="s">
        <v>1191</v>
      </c>
      <c r="B240" t="s">
        <v>206</v>
      </c>
      <c r="D240" s="17" t="s">
        <v>1192</v>
      </c>
      <c r="E240" s="2">
        <v>1039</v>
      </c>
      <c r="F240" t="str">
        <f t="shared" si="204"/>
        <v>enemy_1039_breakr</v>
      </c>
      <c r="G240">
        <v>1</v>
      </c>
      <c r="K240">
        <v>3500</v>
      </c>
      <c r="M240">
        <v>410</v>
      </c>
      <c r="O240">
        <v>50</v>
      </c>
      <c r="Q240">
        <v>25</v>
      </c>
      <c r="Y240">
        <v>0.05</v>
      </c>
      <c r="Z240">
        <v>1.4</v>
      </c>
      <c r="AA240">
        <v>1</v>
      </c>
      <c r="AB240">
        <v>1.9</v>
      </c>
      <c r="AE240">
        <v>0</v>
      </c>
      <c r="AF240">
        <v>1</v>
      </c>
      <c r="AG240" t="s">
        <v>316</v>
      </c>
      <c r="AH240" t="s">
        <v>209</v>
      </c>
      <c r="AI240" t="s">
        <v>231</v>
      </c>
      <c r="AK240">
        <v>1</v>
      </c>
      <c r="AT240">
        <v>1</v>
      </c>
      <c r="AV240">
        <v>0.25</v>
      </c>
      <c r="BC240" t="str">
        <f t="shared" si="205"/>
        <v>enemy_1039_breakr</v>
      </c>
      <c r="BI240" t="s">
        <v>935</v>
      </c>
      <c r="BJ240" t="s">
        <v>1193</v>
      </c>
      <c r="BL240" t="s">
        <v>210</v>
      </c>
      <c r="BM240" t="s">
        <v>211</v>
      </c>
      <c r="BN240" s="19" t="s">
        <v>232</v>
      </c>
      <c r="BO240" t="s">
        <v>213</v>
      </c>
      <c r="BQ240" s="19"/>
      <c r="BR240">
        <v>1</v>
      </c>
    </row>
    <row r="241" spans="1:70" ht="14.5" x14ac:dyDescent="0.25">
      <c r="A241" t="s">
        <v>1194</v>
      </c>
      <c r="B241" t="s">
        <v>206</v>
      </c>
      <c r="D241" s="17" t="s">
        <v>1195</v>
      </c>
      <c r="E241" s="2">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1196</v>
      </c>
      <c r="AH241" t="s">
        <v>209</v>
      </c>
      <c r="AI241" t="s">
        <v>231</v>
      </c>
      <c r="AK241">
        <v>1</v>
      </c>
      <c r="AT241">
        <v>1</v>
      </c>
      <c r="AV241">
        <v>0.25</v>
      </c>
      <c r="BC241" t="str">
        <f t="shared" ref="BC241:BC304" si="207">"enemy_"&amp;E241&amp;"_"&amp;D241</f>
        <v>enemy_1039_breakr_2</v>
      </c>
      <c r="BI241" t="s">
        <v>935</v>
      </c>
      <c r="BJ241" t="s">
        <v>1197</v>
      </c>
      <c r="BL241" t="s">
        <v>210</v>
      </c>
      <c r="BM241" t="s">
        <v>211</v>
      </c>
      <c r="BN241" s="19" t="s">
        <v>232</v>
      </c>
      <c r="BO241" t="s">
        <v>213</v>
      </c>
      <c r="BQ241" s="19"/>
      <c r="BR241">
        <v>1</v>
      </c>
    </row>
    <row r="242" spans="1:70" ht="14.5" x14ac:dyDescent="0.25">
      <c r="A242" t="s">
        <v>1198</v>
      </c>
      <c r="B242" t="s">
        <v>206</v>
      </c>
      <c r="D242" s="17" t="s">
        <v>1199</v>
      </c>
      <c r="E242" s="2">
        <v>1040</v>
      </c>
      <c r="F242" t="str">
        <f t="shared" si="206"/>
        <v>enemy_1040_bombd</v>
      </c>
      <c r="G242">
        <v>0.7</v>
      </c>
      <c r="K242">
        <v>4000</v>
      </c>
      <c r="M242">
        <v>800</v>
      </c>
      <c r="O242">
        <v>150</v>
      </c>
      <c r="Q242">
        <v>30</v>
      </c>
      <c r="Y242">
        <v>0.05</v>
      </c>
      <c r="Z242">
        <v>5</v>
      </c>
      <c r="AA242">
        <v>1</v>
      </c>
      <c r="AB242">
        <v>0.6</v>
      </c>
      <c r="AE242">
        <v>0</v>
      </c>
      <c r="AF242">
        <v>1</v>
      </c>
      <c r="AG242" t="s">
        <v>1200</v>
      </c>
      <c r="AH242" t="s">
        <v>209</v>
      </c>
      <c r="AI242" t="s">
        <v>1201</v>
      </c>
      <c r="AK242">
        <v>1</v>
      </c>
      <c r="AL242">
        <v>1</v>
      </c>
      <c r="AT242">
        <v>1</v>
      </c>
      <c r="AV242">
        <v>0.25</v>
      </c>
      <c r="BC242" t="str">
        <f t="shared" si="207"/>
        <v>enemy_1040_bombd</v>
      </c>
      <c r="BI242" t="s">
        <v>1032</v>
      </c>
      <c r="BJ242" t="s">
        <v>1202</v>
      </c>
      <c r="BL242" t="s">
        <v>210</v>
      </c>
      <c r="BM242" t="s">
        <v>211</v>
      </c>
      <c r="BN242" s="19" t="s">
        <v>212</v>
      </c>
      <c r="BO242" t="s">
        <v>213</v>
      </c>
      <c r="BQ242" s="19"/>
      <c r="BR242">
        <v>1</v>
      </c>
    </row>
    <row r="243" spans="1:70" ht="14.5" x14ac:dyDescent="0.25">
      <c r="A243" t="s">
        <v>1203</v>
      </c>
      <c r="B243" t="s">
        <v>206</v>
      </c>
      <c r="D243" s="17" t="s">
        <v>1204</v>
      </c>
      <c r="E243" s="2">
        <v>1040</v>
      </c>
      <c r="F243" t="str">
        <f t="shared" si="206"/>
        <v>enemy_1040_bombd_2</v>
      </c>
      <c r="G243">
        <v>0.7</v>
      </c>
      <c r="K243">
        <v>6000</v>
      </c>
      <c r="M243">
        <v>1500</v>
      </c>
      <c r="O243">
        <v>220</v>
      </c>
      <c r="Q243">
        <v>30</v>
      </c>
      <c r="Y243">
        <v>0.05</v>
      </c>
      <c r="Z243">
        <v>5</v>
      </c>
      <c r="AA243">
        <v>1</v>
      </c>
      <c r="AB243">
        <v>0.6</v>
      </c>
      <c r="AE243">
        <v>0</v>
      </c>
      <c r="AF243">
        <v>1</v>
      </c>
      <c r="AG243" t="s">
        <v>1205</v>
      </c>
      <c r="AH243" t="s">
        <v>209</v>
      </c>
      <c r="AI243" t="s">
        <v>1201</v>
      </c>
      <c r="AK243">
        <v>1</v>
      </c>
      <c r="AL243">
        <v>1</v>
      </c>
      <c r="AT243">
        <v>1</v>
      </c>
      <c r="AV243">
        <v>0.25</v>
      </c>
      <c r="BC243" t="str">
        <f t="shared" si="207"/>
        <v>enemy_1040_bombd_2</v>
      </c>
      <c r="BI243" t="s">
        <v>1032</v>
      </c>
      <c r="BJ243" t="s">
        <v>1206</v>
      </c>
      <c r="BL243" t="s">
        <v>210</v>
      </c>
      <c r="BM243" t="s">
        <v>211</v>
      </c>
      <c r="BN243" s="19" t="s">
        <v>212</v>
      </c>
      <c r="BO243" t="s">
        <v>213</v>
      </c>
      <c r="BQ243" s="19"/>
      <c r="BR243">
        <v>1</v>
      </c>
    </row>
    <row r="244" spans="1:70" ht="14.5" x14ac:dyDescent="0.25">
      <c r="A244" t="s">
        <v>1207</v>
      </c>
      <c r="B244" t="s">
        <v>206</v>
      </c>
      <c r="D244" s="17" t="s">
        <v>1208</v>
      </c>
      <c r="E244" s="2">
        <v>1041</v>
      </c>
      <c r="F244" t="str">
        <f t="shared" si="206"/>
        <v>enemy_1041_lazerd</v>
      </c>
      <c r="G244">
        <v>0.7</v>
      </c>
      <c r="K244">
        <v>2700</v>
      </c>
      <c r="M244">
        <v>220</v>
      </c>
      <c r="O244">
        <v>100</v>
      </c>
      <c r="Q244">
        <v>65</v>
      </c>
      <c r="Y244">
        <v>0.05</v>
      </c>
      <c r="Z244">
        <v>2.15</v>
      </c>
      <c r="AA244">
        <v>1</v>
      </c>
      <c r="AB244">
        <v>1.5</v>
      </c>
      <c r="AE244">
        <v>0</v>
      </c>
      <c r="AF244">
        <v>1</v>
      </c>
      <c r="AG244" t="s">
        <v>1209</v>
      </c>
      <c r="AH244" t="s">
        <v>209</v>
      </c>
      <c r="AI244" t="s">
        <v>1210</v>
      </c>
      <c r="AK244">
        <v>1</v>
      </c>
      <c r="AL244">
        <v>1</v>
      </c>
      <c r="AT244">
        <v>1</v>
      </c>
      <c r="AV244">
        <v>0.25</v>
      </c>
      <c r="BC244" t="str">
        <f t="shared" si="207"/>
        <v>enemy_1041_lazerd</v>
      </c>
      <c r="BI244" t="s">
        <v>1032</v>
      </c>
      <c r="BJ244" t="s">
        <v>1211</v>
      </c>
      <c r="BL244" t="s">
        <v>210</v>
      </c>
      <c r="BM244" t="s">
        <v>211</v>
      </c>
      <c r="BN244" s="19" t="s">
        <v>212</v>
      </c>
      <c r="BO244" t="s">
        <v>213</v>
      </c>
      <c r="BQ244" s="19"/>
      <c r="BR244">
        <v>1</v>
      </c>
    </row>
    <row r="245" spans="1:70" ht="14.5" x14ac:dyDescent="0.25">
      <c r="A245" t="s">
        <v>1212</v>
      </c>
      <c r="B245" t="s">
        <v>206</v>
      </c>
      <c r="D245" s="17" t="s">
        <v>1213</v>
      </c>
      <c r="E245" s="2">
        <v>1041</v>
      </c>
      <c r="F245" t="str">
        <f t="shared" si="206"/>
        <v>enemy_1041_lazerd_2</v>
      </c>
      <c r="G245">
        <v>0.7</v>
      </c>
      <c r="K245">
        <v>6000</v>
      </c>
      <c r="M245">
        <v>600</v>
      </c>
      <c r="O245">
        <v>140</v>
      </c>
      <c r="Q245">
        <v>65</v>
      </c>
      <c r="Y245">
        <v>0.05</v>
      </c>
      <c r="Z245">
        <v>3.5</v>
      </c>
      <c r="AA245">
        <v>1</v>
      </c>
      <c r="AB245">
        <v>0.8</v>
      </c>
      <c r="AE245">
        <v>0</v>
      </c>
      <c r="AF245">
        <v>1</v>
      </c>
      <c r="AG245" t="s">
        <v>1214</v>
      </c>
      <c r="AH245" t="s">
        <v>209</v>
      </c>
      <c r="AI245" t="s">
        <v>1215</v>
      </c>
      <c r="AK245">
        <v>1</v>
      </c>
      <c r="AL245">
        <v>1</v>
      </c>
      <c r="AT245">
        <v>1</v>
      </c>
      <c r="AV245">
        <v>0.25</v>
      </c>
      <c r="BC245" t="str">
        <f t="shared" si="207"/>
        <v>enemy_1041_lazerd_2</v>
      </c>
      <c r="BI245" t="s">
        <v>1037</v>
      </c>
      <c r="BJ245" t="s">
        <v>1216</v>
      </c>
      <c r="BL245" t="s">
        <v>210</v>
      </c>
      <c r="BM245" t="s">
        <v>211</v>
      </c>
      <c r="BN245" s="19" t="s">
        <v>212</v>
      </c>
      <c r="BO245" t="s">
        <v>213</v>
      </c>
      <c r="BQ245" s="19"/>
      <c r="BR245">
        <v>1</v>
      </c>
    </row>
    <row r="246" spans="1:70" ht="14.5" x14ac:dyDescent="0.25">
      <c r="A246" t="s">
        <v>1217</v>
      </c>
      <c r="B246" t="s">
        <v>206</v>
      </c>
      <c r="D246" s="17" t="s">
        <v>1218</v>
      </c>
      <c r="E246" s="2">
        <v>1042</v>
      </c>
      <c r="F246" t="str">
        <f t="shared" si="206"/>
        <v>enemy_1042_frostd</v>
      </c>
      <c r="G246">
        <v>0.7</v>
      </c>
      <c r="K246">
        <v>6500</v>
      </c>
      <c r="M246">
        <v>100</v>
      </c>
      <c r="O246">
        <v>600</v>
      </c>
      <c r="Q246">
        <v>30</v>
      </c>
      <c r="Y246">
        <v>0.05</v>
      </c>
      <c r="Z246">
        <v>1</v>
      </c>
      <c r="AA246">
        <v>1</v>
      </c>
      <c r="AB246">
        <v>0.9</v>
      </c>
      <c r="AE246">
        <v>0</v>
      </c>
      <c r="AF246">
        <v>1</v>
      </c>
      <c r="AG246" t="s">
        <v>1219</v>
      </c>
      <c r="AH246" t="s">
        <v>209</v>
      </c>
      <c r="AI246" t="s">
        <v>1220</v>
      </c>
      <c r="AK246">
        <v>1</v>
      </c>
      <c r="AL246">
        <v>1</v>
      </c>
      <c r="AT246">
        <v>1</v>
      </c>
      <c r="AV246">
        <v>0.25</v>
      </c>
      <c r="BC246" t="str">
        <f t="shared" si="207"/>
        <v>enemy_1042_frostd</v>
      </c>
      <c r="BI246" t="s">
        <v>1221</v>
      </c>
      <c r="BJ246" t="s">
        <v>1222</v>
      </c>
      <c r="BL246" t="s">
        <v>210</v>
      </c>
      <c r="BM246" t="s">
        <v>211</v>
      </c>
      <c r="BN246" s="19" t="s">
        <v>212</v>
      </c>
      <c r="BO246" t="s">
        <v>213</v>
      </c>
      <c r="BQ246" s="19"/>
      <c r="BR246">
        <v>1</v>
      </c>
    </row>
    <row r="247" spans="1:70" ht="14.5" x14ac:dyDescent="0.25">
      <c r="A247" t="s">
        <v>1223</v>
      </c>
      <c r="B247" t="s">
        <v>206</v>
      </c>
      <c r="D247" s="17" t="s">
        <v>1224</v>
      </c>
      <c r="E247" s="2">
        <v>1043</v>
      </c>
      <c r="F247" t="s">
        <v>1225</v>
      </c>
      <c r="G247">
        <v>1</v>
      </c>
      <c r="K247">
        <v>2500</v>
      </c>
      <c r="M247">
        <v>250</v>
      </c>
      <c r="O247">
        <v>100</v>
      </c>
      <c r="Q247">
        <v>30</v>
      </c>
      <c r="Y247">
        <v>0.05</v>
      </c>
      <c r="Z247">
        <v>1.8</v>
      </c>
      <c r="AA247">
        <v>1</v>
      </c>
      <c r="AB247">
        <v>0.9</v>
      </c>
      <c r="AE247">
        <v>0</v>
      </c>
      <c r="AF247">
        <v>1</v>
      </c>
      <c r="AG247" t="s">
        <v>1226</v>
      </c>
      <c r="AH247" t="s">
        <v>209</v>
      </c>
      <c r="AI247" t="s">
        <v>231</v>
      </c>
      <c r="AK247">
        <v>1</v>
      </c>
      <c r="AR247">
        <v>80</v>
      </c>
      <c r="AT247">
        <v>1</v>
      </c>
      <c r="AV247">
        <v>0.25</v>
      </c>
      <c r="BC247" t="str">
        <f t="shared" si="207"/>
        <v>enemy_1043_zomsbr</v>
      </c>
      <c r="BI247" t="s">
        <v>1227</v>
      </c>
      <c r="BJ247" t="s">
        <v>1228</v>
      </c>
      <c r="BL247" t="s">
        <v>210</v>
      </c>
      <c r="BM247" t="s">
        <v>211</v>
      </c>
      <c r="BN247" s="19" t="s">
        <v>242</v>
      </c>
      <c r="BO247" t="s">
        <v>213</v>
      </c>
      <c r="BQ247" s="19"/>
      <c r="BR247">
        <v>1</v>
      </c>
    </row>
    <row r="248" spans="1:70" ht="14.5" x14ac:dyDescent="0.25">
      <c r="A248" t="s">
        <v>1229</v>
      </c>
      <c r="B248" t="s">
        <v>206</v>
      </c>
      <c r="D248" s="17" t="s">
        <v>1230</v>
      </c>
      <c r="E248" s="2">
        <v>1043</v>
      </c>
      <c r="F248" t="s">
        <v>1231</v>
      </c>
      <c r="G248">
        <v>1</v>
      </c>
      <c r="K248">
        <v>4000</v>
      </c>
      <c r="M248">
        <v>300</v>
      </c>
      <c r="O248">
        <v>150</v>
      </c>
      <c r="Q248">
        <v>30</v>
      </c>
      <c r="Y248">
        <v>0.05</v>
      </c>
      <c r="Z248">
        <v>1.8</v>
      </c>
      <c r="AA248">
        <v>1</v>
      </c>
      <c r="AB248">
        <v>0.9</v>
      </c>
      <c r="AE248">
        <v>0</v>
      </c>
      <c r="AF248">
        <v>1</v>
      </c>
      <c r="AG248" t="s">
        <v>1232</v>
      </c>
      <c r="AH248" t="s">
        <v>209</v>
      </c>
      <c r="AI248" t="s">
        <v>231</v>
      </c>
      <c r="AK248">
        <v>1</v>
      </c>
      <c r="AR248">
        <v>150</v>
      </c>
      <c r="AT248">
        <v>1</v>
      </c>
      <c r="AV248">
        <v>0.25</v>
      </c>
      <c r="BC248" t="str">
        <f t="shared" si="207"/>
        <v>enemy_1043_zomsbr_2</v>
      </c>
      <c r="BI248" t="s">
        <v>1227</v>
      </c>
      <c r="BJ248" t="s">
        <v>1233</v>
      </c>
      <c r="BL248" t="s">
        <v>210</v>
      </c>
      <c r="BM248" t="s">
        <v>211</v>
      </c>
      <c r="BN248" s="19" t="s">
        <v>242</v>
      </c>
      <c r="BO248" t="s">
        <v>213</v>
      </c>
      <c r="BQ248" s="19"/>
      <c r="BR248">
        <v>1</v>
      </c>
    </row>
    <row r="249" spans="1:70" ht="14.5" x14ac:dyDescent="0.25">
      <c r="A249" t="s">
        <v>1234</v>
      </c>
      <c r="B249" t="s">
        <v>206</v>
      </c>
      <c r="D249" s="17" t="s">
        <v>1235</v>
      </c>
      <c r="E249" s="2">
        <v>1044</v>
      </c>
      <c r="F249" t="str">
        <f t="shared" si="206"/>
        <v>enemy_1044_zomstr</v>
      </c>
      <c r="G249">
        <v>1</v>
      </c>
      <c r="K249">
        <v>6000</v>
      </c>
      <c r="M249">
        <v>500</v>
      </c>
      <c r="O249">
        <v>130</v>
      </c>
      <c r="Q249">
        <v>30</v>
      </c>
      <c r="Y249">
        <v>0.05</v>
      </c>
      <c r="Z249">
        <v>3</v>
      </c>
      <c r="AA249">
        <v>2</v>
      </c>
      <c r="AB249">
        <v>0.65</v>
      </c>
      <c r="AE249">
        <v>0</v>
      </c>
      <c r="AF249">
        <v>1</v>
      </c>
      <c r="AG249" t="s">
        <v>1236</v>
      </c>
      <c r="AH249" t="s">
        <v>209</v>
      </c>
      <c r="AI249" t="s">
        <v>231</v>
      </c>
      <c r="AK249">
        <v>1</v>
      </c>
      <c r="AR249">
        <v>200</v>
      </c>
      <c r="AT249">
        <v>1</v>
      </c>
      <c r="AV249">
        <v>0.25</v>
      </c>
      <c r="BC249" t="str">
        <f t="shared" si="207"/>
        <v>enemy_1044_zomstr</v>
      </c>
      <c r="BI249" t="s">
        <v>1227</v>
      </c>
      <c r="BJ249" t="s">
        <v>1237</v>
      </c>
      <c r="BL249" t="s">
        <v>210</v>
      </c>
      <c r="BM249" t="s">
        <v>211</v>
      </c>
      <c r="BN249" s="19" t="s">
        <v>232</v>
      </c>
      <c r="BO249" t="s">
        <v>213</v>
      </c>
      <c r="BQ249" s="19"/>
      <c r="BR249">
        <v>1</v>
      </c>
    </row>
    <row r="250" spans="1:70" ht="14.5" x14ac:dyDescent="0.25">
      <c r="A250" t="s">
        <v>1238</v>
      </c>
      <c r="B250" t="s">
        <v>206</v>
      </c>
      <c r="D250" s="17" t="s">
        <v>1239</v>
      </c>
      <c r="E250" s="2">
        <v>1044</v>
      </c>
      <c r="F250" t="str">
        <f t="shared" si="206"/>
        <v>enemy_1044_zomstr_2</v>
      </c>
      <c r="G250">
        <v>1</v>
      </c>
      <c r="K250">
        <v>11000</v>
      </c>
      <c r="M250">
        <v>650</v>
      </c>
      <c r="O250">
        <v>200</v>
      </c>
      <c r="Q250">
        <v>30</v>
      </c>
      <c r="Y250">
        <v>0.05</v>
      </c>
      <c r="Z250">
        <v>3</v>
      </c>
      <c r="AA250">
        <v>2</v>
      </c>
      <c r="AB250">
        <v>0.65</v>
      </c>
      <c r="AE250">
        <v>0</v>
      </c>
      <c r="AF250">
        <v>1</v>
      </c>
      <c r="AG250" t="s">
        <v>1240</v>
      </c>
      <c r="AH250" t="s">
        <v>209</v>
      </c>
      <c r="AI250" t="s">
        <v>231</v>
      </c>
      <c r="AK250">
        <v>1</v>
      </c>
      <c r="AR250">
        <v>250</v>
      </c>
      <c r="AT250">
        <v>1</v>
      </c>
      <c r="AV250">
        <v>0.25</v>
      </c>
      <c r="BC250" t="str">
        <f t="shared" si="207"/>
        <v>enemy_1044_zomstr_2</v>
      </c>
      <c r="BI250" t="s">
        <v>1227</v>
      </c>
      <c r="BJ250" t="s">
        <v>1241</v>
      </c>
      <c r="BL250" t="s">
        <v>210</v>
      </c>
      <c r="BM250" t="s">
        <v>211</v>
      </c>
      <c r="BN250" s="19" t="s">
        <v>232</v>
      </c>
      <c r="BO250" t="s">
        <v>213</v>
      </c>
      <c r="BQ250" s="19"/>
      <c r="BR250">
        <v>1</v>
      </c>
    </row>
    <row r="251" spans="1:70" ht="14.5" x14ac:dyDescent="0.25">
      <c r="A251" t="s">
        <v>307</v>
      </c>
      <c r="B251" t="s">
        <v>206</v>
      </c>
      <c r="D251" s="17" t="s">
        <v>1242</v>
      </c>
      <c r="E251" s="2">
        <v>1045</v>
      </c>
      <c r="F251" t="str">
        <f t="shared" si="206"/>
        <v>enemy_1045_hammer</v>
      </c>
      <c r="G251">
        <v>1</v>
      </c>
      <c r="K251">
        <v>10000</v>
      </c>
      <c r="M251">
        <v>1000</v>
      </c>
      <c r="O251">
        <v>1000</v>
      </c>
      <c r="Q251">
        <v>0</v>
      </c>
      <c r="Y251">
        <v>0.05</v>
      </c>
      <c r="Z251">
        <v>3.5</v>
      </c>
      <c r="AA251">
        <v>4</v>
      </c>
      <c r="AB251">
        <v>0.5</v>
      </c>
      <c r="AE251">
        <v>0</v>
      </c>
      <c r="AF251">
        <v>1</v>
      </c>
      <c r="AG251" t="s">
        <v>306</v>
      </c>
      <c r="AH251" t="s">
        <v>209</v>
      </c>
      <c r="AI251" t="s">
        <v>308</v>
      </c>
      <c r="AK251">
        <v>1</v>
      </c>
      <c r="AT251">
        <v>1</v>
      </c>
      <c r="AV251">
        <v>0.25</v>
      </c>
      <c r="BC251" t="str">
        <f t="shared" si="207"/>
        <v>enemy_1045_hammer</v>
      </c>
      <c r="BI251" t="s">
        <v>994</v>
      </c>
      <c r="BJ251" t="s">
        <v>1243</v>
      </c>
      <c r="BL251" t="s">
        <v>210</v>
      </c>
      <c r="BM251" t="s">
        <v>211</v>
      </c>
      <c r="BN251" s="19" t="s">
        <v>232</v>
      </c>
      <c r="BO251" t="s">
        <v>213</v>
      </c>
      <c r="BQ251" s="19"/>
      <c r="BR251">
        <v>1</v>
      </c>
    </row>
    <row r="252" spans="1:70" ht="14.5" x14ac:dyDescent="0.25">
      <c r="A252" t="s">
        <v>1244</v>
      </c>
      <c r="B252" t="s">
        <v>206</v>
      </c>
      <c r="D252" s="17" t="s">
        <v>1245</v>
      </c>
      <c r="E252" s="2">
        <v>1045</v>
      </c>
      <c r="F252" t="str">
        <f t="shared" si="206"/>
        <v>enemy_1045_hammer_2</v>
      </c>
      <c r="G252">
        <v>1</v>
      </c>
      <c r="K252">
        <v>20000</v>
      </c>
      <c r="M252">
        <v>1500</v>
      </c>
      <c r="O252">
        <v>2000</v>
      </c>
      <c r="Q252">
        <v>0</v>
      </c>
      <c r="Y252">
        <v>0.05</v>
      </c>
      <c r="Z252">
        <v>3.5</v>
      </c>
      <c r="AA252">
        <v>4</v>
      </c>
      <c r="AB252">
        <v>0.5</v>
      </c>
      <c r="AE252">
        <v>0</v>
      </c>
      <c r="AF252">
        <v>1</v>
      </c>
      <c r="AG252" t="s">
        <v>1246</v>
      </c>
      <c r="AH252" t="s">
        <v>209</v>
      </c>
      <c r="AI252" t="s">
        <v>308</v>
      </c>
      <c r="AK252">
        <v>1</v>
      </c>
      <c r="AT252">
        <v>1</v>
      </c>
      <c r="AV252">
        <v>0.25</v>
      </c>
      <c r="BC252" t="str">
        <f t="shared" si="207"/>
        <v>enemy_1045_hammer_2</v>
      </c>
      <c r="BI252" t="s">
        <v>994</v>
      </c>
      <c r="BJ252" t="s">
        <v>1247</v>
      </c>
      <c r="BL252" t="s">
        <v>210</v>
      </c>
      <c r="BM252" t="s">
        <v>211</v>
      </c>
      <c r="BN252" s="19" t="s">
        <v>212</v>
      </c>
      <c r="BO252" t="s">
        <v>213</v>
      </c>
      <c r="BQ252" s="19"/>
      <c r="BR252">
        <v>1</v>
      </c>
    </row>
    <row r="253" spans="1:70" ht="14.5" x14ac:dyDescent="0.25">
      <c r="A253" t="s">
        <v>1248</v>
      </c>
      <c r="B253" t="s">
        <v>206</v>
      </c>
      <c r="D253" s="17" t="s">
        <v>1249</v>
      </c>
      <c r="E253" s="2">
        <v>1046</v>
      </c>
      <c r="F253" t="str">
        <f t="shared" si="206"/>
        <v>enemy_1046_agent</v>
      </c>
      <c r="G253">
        <v>1</v>
      </c>
      <c r="K253">
        <v>2500</v>
      </c>
      <c r="M253">
        <v>280</v>
      </c>
      <c r="O253">
        <v>85</v>
      </c>
      <c r="Q253">
        <v>40</v>
      </c>
      <c r="Y253">
        <v>0.05</v>
      </c>
      <c r="Z253">
        <v>2</v>
      </c>
      <c r="AA253">
        <v>1</v>
      </c>
      <c r="AB253">
        <v>1.1000000000000001</v>
      </c>
      <c r="AE253">
        <v>0</v>
      </c>
      <c r="AF253">
        <v>1</v>
      </c>
      <c r="AG253" t="s">
        <v>1250</v>
      </c>
      <c r="AH253" t="s">
        <v>209</v>
      </c>
      <c r="AI253" t="s">
        <v>231</v>
      </c>
      <c r="AK253">
        <v>1</v>
      </c>
      <c r="AT253">
        <v>1</v>
      </c>
      <c r="AV253">
        <v>0.25</v>
      </c>
      <c r="BC253" t="str">
        <f t="shared" si="207"/>
        <v>enemy_1046_agent</v>
      </c>
      <c r="BI253" t="s">
        <v>935</v>
      </c>
      <c r="BJ253" t="s">
        <v>1251</v>
      </c>
      <c r="BL253" t="s">
        <v>210</v>
      </c>
      <c r="BM253" t="s">
        <v>211</v>
      </c>
      <c r="BN253" s="19" t="s">
        <v>232</v>
      </c>
      <c r="BO253" t="s">
        <v>213</v>
      </c>
      <c r="BQ253" s="19"/>
      <c r="BR253">
        <v>1</v>
      </c>
    </row>
    <row r="254" spans="1:70" ht="14.5" x14ac:dyDescent="0.25">
      <c r="A254" t="s">
        <v>1252</v>
      </c>
      <c r="B254" t="s">
        <v>206</v>
      </c>
      <c r="D254" s="17" t="s">
        <v>1253</v>
      </c>
      <c r="E254" s="2">
        <v>1046</v>
      </c>
      <c r="F254" t="str">
        <f t="shared" si="206"/>
        <v>enemy_1046_agent_2</v>
      </c>
      <c r="G254">
        <v>1</v>
      </c>
      <c r="K254">
        <v>3700</v>
      </c>
      <c r="M254">
        <v>330</v>
      </c>
      <c r="O254">
        <v>100</v>
      </c>
      <c r="Q254">
        <v>40</v>
      </c>
      <c r="Y254">
        <v>0.05</v>
      </c>
      <c r="Z254">
        <v>2</v>
      </c>
      <c r="AA254">
        <v>1</v>
      </c>
      <c r="AB254">
        <v>1.1000000000000001</v>
      </c>
      <c r="AE254">
        <v>0</v>
      </c>
      <c r="AF254">
        <v>1</v>
      </c>
      <c r="AG254" t="s">
        <v>1254</v>
      </c>
      <c r="AH254" t="s">
        <v>209</v>
      </c>
      <c r="AI254" t="s">
        <v>231</v>
      </c>
      <c r="AK254">
        <v>1</v>
      </c>
      <c r="AT254">
        <v>1</v>
      </c>
      <c r="AV254">
        <v>0.25</v>
      </c>
      <c r="BC254" t="str">
        <f t="shared" si="207"/>
        <v>enemy_1046_agent_2</v>
      </c>
      <c r="BI254" t="s">
        <v>935</v>
      </c>
      <c r="BJ254" t="s">
        <v>1255</v>
      </c>
      <c r="BL254" t="s">
        <v>210</v>
      </c>
      <c r="BM254" t="s">
        <v>211</v>
      </c>
      <c r="BN254" s="19" t="s">
        <v>232</v>
      </c>
      <c r="BO254" t="s">
        <v>213</v>
      </c>
      <c r="BQ254" s="19"/>
      <c r="BR254">
        <v>1</v>
      </c>
    </row>
    <row r="255" spans="1:70" ht="14.5" x14ac:dyDescent="0.25">
      <c r="A255" t="s">
        <v>1256</v>
      </c>
      <c r="B255" t="s">
        <v>206</v>
      </c>
      <c r="D255" s="17" t="s">
        <v>318</v>
      </c>
      <c r="E255" s="2">
        <v>1047</v>
      </c>
      <c r="F255" t="str">
        <f t="shared" si="206"/>
        <v>enemy_1047_sagent</v>
      </c>
      <c r="G255">
        <v>1</v>
      </c>
      <c r="K255">
        <v>3000</v>
      </c>
      <c r="M255">
        <v>150</v>
      </c>
      <c r="O255">
        <v>100</v>
      </c>
      <c r="Q255">
        <v>10</v>
      </c>
      <c r="Y255">
        <v>0.05</v>
      </c>
      <c r="Z255">
        <v>4</v>
      </c>
      <c r="AA255">
        <v>1</v>
      </c>
      <c r="AB255">
        <v>0.8</v>
      </c>
      <c r="AE255">
        <v>0</v>
      </c>
      <c r="AF255">
        <v>1</v>
      </c>
      <c r="AG255" t="s">
        <v>317</v>
      </c>
      <c r="AH255" t="s">
        <v>209</v>
      </c>
      <c r="AI255" t="s">
        <v>1257</v>
      </c>
      <c r="AK255">
        <v>1</v>
      </c>
      <c r="AT255">
        <v>1</v>
      </c>
      <c r="AV255">
        <v>0.25</v>
      </c>
      <c r="BC255" t="str">
        <f t="shared" si="207"/>
        <v>enemy_1047_sagent</v>
      </c>
      <c r="BI255" t="s">
        <v>941</v>
      </c>
      <c r="BJ255" t="s">
        <v>1258</v>
      </c>
      <c r="BL255" t="s">
        <v>210</v>
      </c>
      <c r="BM255" t="s">
        <v>211</v>
      </c>
      <c r="BN255" s="19" t="s">
        <v>232</v>
      </c>
      <c r="BO255" t="s">
        <v>213</v>
      </c>
      <c r="BQ255" s="19"/>
      <c r="BR255">
        <v>1</v>
      </c>
    </row>
    <row r="256" spans="1:70" ht="14.5" x14ac:dyDescent="0.25">
      <c r="A256" t="s">
        <v>1259</v>
      </c>
      <c r="B256" t="s">
        <v>206</v>
      </c>
      <c r="D256" s="17" t="s">
        <v>1260</v>
      </c>
      <c r="E256" s="2">
        <v>1047</v>
      </c>
      <c r="F256" t="str">
        <f t="shared" si="206"/>
        <v>enemy_1047_sagent_2</v>
      </c>
      <c r="G256">
        <v>1</v>
      </c>
      <c r="K256">
        <v>4000</v>
      </c>
      <c r="M256">
        <v>200</v>
      </c>
      <c r="O256">
        <v>150</v>
      </c>
      <c r="Q256">
        <v>10</v>
      </c>
      <c r="Y256">
        <v>0.05</v>
      </c>
      <c r="Z256">
        <v>4</v>
      </c>
      <c r="AA256">
        <v>1</v>
      </c>
      <c r="AB256">
        <v>0.8</v>
      </c>
      <c r="AE256">
        <v>0</v>
      </c>
      <c r="AF256">
        <v>1</v>
      </c>
      <c r="AG256" t="s">
        <v>1261</v>
      </c>
      <c r="AH256" t="s">
        <v>209</v>
      </c>
      <c r="AI256" t="s">
        <v>1257</v>
      </c>
      <c r="AK256">
        <v>1</v>
      </c>
      <c r="AT256">
        <v>1</v>
      </c>
      <c r="AV256">
        <v>0.25</v>
      </c>
      <c r="BC256" t="str">
        <f t="shared" si="207"/>
        <v>enemy_1047_sagent_2</v>
      </c>
      <c r="BI256" t="s">
        <v>941</v>
      </c>
      <c r="BJ256" t="s">
        <v>1262</v>
      </c>
      <c r="BL256" t="s">
        <v>210</v>
      </c>
      <c r="BM256" t="s">
        <v>211</v>
      </c>
      <c r="BN256" s="19" t="s">
        <v>232</v>
      </c>
      <c r="BO256" t="s">
        <v>213</v>
      </c>
      <c r="BQ256" s="19"/>
      <c r="BR256">
        <v>1</v>
      </c>
    </row>
    <row r="257" spans="1:70" ht="14.5" x14ac:dyDescent="0.25">
      <c r="A257" t="s">
        <v>1263</v>
      </c>
      <c r="B257" t="s">
        <v>206</v>
      </c>
      <c r="D257" s="17" t="s">
        <v>1264</v>
      </c>
      <c r="E257" s="2">
        <v>1048</v>
      </c>
      <c r="F257" t="str">
        <f t="shared" si="206"/>
        <v>enemy_1048_hirman</v>
      </c>
      <c r="G257">
        <v>1</v>
      </c>
      <c r="K257">
        <v>10000</v>
      </c>
      <c r="M257">
        <v>750</v>
      </c>
      <c r="O257">
        <v>100</v>
      </c>
      <c r="Q257">
        <v>40</v>
      </c>
      <c r="Y257">
        <v>0.05</v>
      </c>
      <c r="Z257">
        <v>3.3</v>
      </c>
      <c r="AA257">
        <v>3</v>
      </c>
      <c r="AB257">
        <v>0.75</v>
      </c>
      <c r="AE257">
        <v>0</v>
      </c>
      <c r="AF257">
        <v>1</v>
      </c>
      <c r="AG257" t="s">
        <v>1265</v>
      </c>
      <c r="AH257" t="s">
        <v>209</v>
      </c>
      <c r="AI257" t="s">
        <v>1266</v>
      </c>
      <c r="AK257">
        <v>1</v>
      </c>
      <c r="AT257">
        <v>1</v>
      </c>
      <c r="AV257">
        <v>0.25</v>
      </c>
      <c r="BC257" t="str">
        <f t="shared" si="207"/>
        <v>enemy_1048_hirman</v>
      </c>
      <c r="BI257" t="s">
        <v>994</v>
      </c>
      <c r="BJ257" t="s">
        <v>1267</v>
      </c>
      <c r="BL257" t="s">
        <v>210</v>
      </c>
      <c r="BM257" t="s">
        <v>211</v>
      </c>
      <c r="BN257" s="19" t="s">
        <v>232</v>
      </c>
      <c r="BO257" t="s">
        <v>213</v>
      </c>
      <c r="BQ257" s="19"/>
      <c r="BR257">
        <v>1</v>
      </c>
    </row>
    <row r="258" spans="1:70" ht="14.5" x14ac:dyDescent="0.25">
      <c r="A258" t="s">
        <v>1268</v>
      </c>
      <c r="B258" t="s">
        <v>206</v>
      </c>
      <c r="D258" s="17" t="s">
        <v>1269</v>
      </c>
      <c r="E258" s="2">
        <v>1048</v>
      </c>
      <c r="F258" t="str">
        <f t="shared" si="206"/>
        <v>enemy_1048_hirman_2</v>
      </c>
      <c r="G258">
        <v>1</v>
      </c>
      <c r="K258">
        <v>13000</v>
      </c>
      <c r="M258">
        <v>900</v>
      </c>
      <c r="O258">
        <v>100</v>
      </c>
      <c r="Q258">
        <v>40</v>
      </c>
      <c r="Y258">
        <v>0.05</v>
      </c>
      <c r="Z258">
        <v>3.3</v>
      </c>
      <c r="AA258">
        <v>3</v>
      </c>
      <c r="AB258">
        <v>0.75</v>
      </c>
      <c r="AE258">
        <v>0</v>
      </c>
      <c r="AF258">
        <v>1</v>
      </c>
      <c r="AG258" t="s">
        <v>1270</v>
      </c>
      <c r="AH258" t="s">
        <v>209</v>
      </c>
      <c r="AI258" t="s">
        <v>1271</v>
      </c>
      <c r="AK258">
        <v>1</v>
      </c>
      <c r="AT258">
        <v>1</v>
      </c>
      <c r="AV258">
        <v>0.25</v>
      </c>
      <c r="BC258" t="str">
        <f t="shared" si="207"/>
        <v>enemy_1048_hirman_2</v>
      </c>
      <c r="BI258" t="s">
        <v>994</v>
      </c>
      <c r="BJ258" t="s">
        <v>1272</v>
      </c>
      <c r="BL258" t="s">
        <v>210</v>
      </c>
      <c r="BM258" t="s">
        <v>211</v>
      </c>
      <c r="BN258" s="19" t="s">
        <v>232</v>
      </c>
      <c r="BO258" t="s">
        <v>213</v>
      </c>
      <c r="BQ258" s="19"/>
      <c r="BR258">
        <v>1</v>
      </c>
    </row>
    <row r="259" spans="1:70" ht="14.5" x14ac:dyDescent="0.25">
      <c r="A259" t="s">
        <v>1273</v>
      </c>
      <c r="B259" t="s">
        <v>206</v>
      </c>
      <c r="D259" s="17" t="s">
        <v>1274</v>
      </c>
      <c r="E259" s="2">
        <v>1049</v>
      </c>
      <c r="F259" t="str">
        <f t="shared" si="206"/>
        <v>enemy_1049_eagent</v>
      </c>
      <c r="G259">
        <v>1</v>
      </c>
      <c r="K259">
        <v>6000</v>
      </c>
      <c r="M259">
        <v>300</v>
      </c>
      <c r="O259">
        <v>150</v>
      </c>
      <c r="Q259">
        <v>50</v>
      </c>
      <c r="Y259">
        <v>0.05</v>
      </c>
      <c r="Z259">
        <v>2</v>
      </c>
      <c r="AA259">
        <v>2</v>
      </c>
      <c r="AB259">
        <v>0.9</v>
      </c>
      <c r="AE259">
        <v>0</v>
      </c>
      <c r="AF259">
        <v>1</v>
      </c>
      <c r="AG259" t="s">
        <v>1275</v>
      </c>
      <c r="AH259" t="s">
        <v>209</v>
      </c>
      <c r="AI259" t="s">
        <v>1276</v>
      </c>
      <c r="AK259">
        <v>1</v>
      </c>
      <c r="AT259">
        <v>1</v>
      </c>
      <c r="AV259">
        <v>0.25</v>
      </c>
      <c r="BC259" t="str">
        <f t="shared" si="207"/>
        <v>enemy_1049_eagent</v>
      </c>
      <c r="BI259" t="s">
        <v>994</v>
      </c>
      <c r="BJ259" t="s">
        <v>1277</v>
      </c>
      <c r="BL259" t="s">
        <v>210</v>
      </c>
      <c r="BM259" t="s">
        <v>211</v>
      </c>
      <c r="BN259" s="19" t="s">
        <v>232</v>
      </c>
      <c r="BO259" t="s">
        <v>213</v>
      </c>
      <c r="BQ259" s="19"/>
      <c r="BR259">
        <v>1</v>
      </c>
    </row>
    <row r="260" spans="1:70" ht="14.5" x14ac:dyDescent="0.25">
      <c r="A260" t="s">
        <v>1278</v>
      </c>
      <c r="B260" t="s">
        <v>206</v>
      </c>
      <c r="D260" s="17" t="s">
        <v>1279</v>
      </c>
      <c r="E260" s="2">
        <v>1049</v>
      </c>
      <c r="F260" t="str">
        <f t="shared" si="206"/>
        <v>enemy_1049_eagent_2</v>
      </c>
      <c r="G260">
        <v>1</v>
      </c>
      <c r="K260">
        <v>9000</v>
      </c>
      <c r="M260">
        <v>350</v>
      </c>
      <c r="O260">
        <v>230</v>
      </c>
      <c r="Q260">
        <v>50</v>
      </c>
      <c r="Y260">
        <v>0.05</v>
      </c>
      <c r="Z260">
        <v>2</v>
      </c>
      <c r="AA260">
        <v>2</v>
      </c>
      <c r="AB260">
        <v>0.9</v>
      </c>
      <c r="AE260">
        <v>0</v>
      </c>
      <c r="AF260">
        <v>1</v>
      </c>
      <c r="AG260" t="s">
        <v>1280</v>
      </c>
      <c r="AH260" t="s">
        <v>209</v>
      </c>
      <c r="AI260" t="s">
        <v>1281</v>
      </c>
      <c r="AK260">
        <v>1</v>
      </c>
      <c r="AT260">
        <v>1</v>
      </c>
      <c r="AV260">
        <v>0.25</v>
      </c>
      <c r="BC260" t="str">
        <f t="shared" si="207"/>
        <v>enemy_1049_eagent_2</v>
      </c>
      <c r="BI260" t="s">
        <v>994</v>
      </c>
      <c r="BJ260" t="s">
        <v>1282</v>
      </c>
      <c r="BL260" t="s">
        <v>210</v>
      </c>
      <c r="BM260" t="s">
        <v>211</v>
      </c>
      <c r="BN260" s="19" t="s">
        <v>232</v>
      </c>
      <c r="BO260" t="s">
        <v>213</v>
      </c>
      <c r="BQ260" s="19"/>
      <c r="BR260">
        <v>1</v>
      </c>
    </row>
    <row r="261" spans="1:70" ht="14.5" x14ac:dyDescent="0.25">
      <c r="A261" t="s">
        <v>1283</v>
      </c>
      <c r="B261" t="s">
        <v>206</v>
      </c>
      <c r="D261" s="17" t="s">
        <v>1284</v>
      </c>
      <c r="E261" s="2">
        <v>1050</v>
      </c>
      <c r="F261" t="str">
        <f t="shared" si="206"/>
        <v>enemy_1050_lslime</v>
      </c>
      <c r="G261">
        <v>1</v>
      </c>
      <c r="K261">
        <v>40000</v>
      </c>
      <c r="M261">
        <v>230</v>
      </c>
      <c r="O261">
        <v>220</v>
      </c>
      <c r="Q261">
        <v>70</v>
      </c>
      <c r="Y261">
        <v>0.05</v>
      </c>
      <c r="Z261">
        <v>3.5</v>
      </c>
      <c r="AA261">
        <v>4</v>
      </c>
      <c r="AB261">
        <v>0.65</v>
      </c>
      <c r="AE261">
        <v>0</v>
      </c>
      <c r="AF261">
        <v>1</v>
      </c>
      <c r="AG261" t="s">
        <v>1285</v>
      </c>
      <c r="AH261" t="s">
        <v>209</v>
      </c>
      <c r="AI261" t="s">
        <v>1286</v>
      </c>
      <c r="AK261">
        <v>1</v>
      </c>
      <c r="AT261">
        <v>1</v>
      </c>
      <c r="AV261">
        <v>0.25</v>
      </c>
      <c r="BC261" t="str">
        <f t="shared" si="207"/>
        <v>enemy_1050_lslime</v>
      </c>
      <c r="BI261" t="s">
        <v>1287</v>
      </c>
      <c r="BJ261" t="s">
        <v>1288</v>
      </c>
      <c r="BL261" t="s">
        <v>210</v>
      </c>
      <c r="BM261" t="s">
        <v>211</v>
      </c>
      <c r="BN261" s="19" t="s">
        <v>232</v>
      </c>
      <c r="BO261" t="s">
        <v>213</v>
      </c>
      <c r="BQ261" s="19"/>
      <c r="BR261">
        <v>1</v>
      </c>
    </row>
    <row r="262" spans="1:70" ht="14.5" x14ac:dyDescent="0.25">
      <c r="A262" t="s">
        <v>1289</v>
      </c>
      <c r="B262" t="s">
        <v>206</v>
      </c>
      <c r="D262" s="17" t="s">
        <v>1290</v>
      </c>
      <c r="E262" s="2">
        <v>1051</v>
      </c>
      <c r="F262" t="str">
        <f t="shared" si="206"/>
        <v>enemy_1051_norwiz</v>
      </c>
      <c r="G262">
        <v>1</v>
      </c>
      <c r="K262">
        <v>3000</v>
      </c>
      <c r="M262">
        <v>320</v>
      </c>
      <c r="O262">
        <v>100</v>
      </c>
      <c r="Q262">
        <v>50</v>
      </c>
      <c r="Y262">
        <v>0.05</v>
      </c>
      <c r="Z262">
        <v>4</v>
      </c>
      <c r="AA262">
        <v>1</v>
      </c>
      <c r="AB262">
        <v>0.8</v>
      </c>
      <c r="AE262">
        <v>0</v>
      </c>
      <c r="AF262">
        <v>1</v>
      </c>
      <c r="AG262" t="s">
        <v>1291</v>
      </c>
      <c r="AH262" t="s">
        <v>209</v>
      </c>
      <c r="AI262" t="s">
        <v>1292</v>
      </c>
      <c r="AK262">
        <v>1</v>
      </c>
      <c r="AT262">
        <v>1</v>
      </c>
      <c r="AV262">
        <v>0.25</v>
      </c>
      <c r="BC262" t="str">
        <f t="shared" si="207"/>
        <v>enemy_1051_norwiz</v>
      </c>
      <c r="BI262" t="s">
        <v>941</v>
      </c>
      <c r="BJ262" t="s">
        <v>1293</v>
      </c>
      <c r="BL262" t="s">
        <v>210</v>
      </c>
      <c r="BM262" t="s">
        <v>211</v>
      </c>
      <c r="BN262" s="19" t="s">
        <v>232</v>
      </c>
      <c r="BO262" t="s">
        <v>213</v>
      </c>
      <c r="BQ262" s="19"/>
      <c r="BR262">
        <v>1</v>
      </c>
    </row>
    <row r="263" spans="1:70" ht="14.5" x14ac:dyDescent="0.25">
      <c r="A263" t="s">
        <v>1294</v>
      </c>
      <c r="B263" t="s">
        <v>206</v>
      </c>
      <c r="D263" s="17" t="s">
        <v>1295</v>
      </c>
      <c r="E263" s="2">
        <v>1051</v>
      </c>
      <c r="F263" t="str">
        <f t="shared" si="206"/>
        <v>enemy_1051_norwiz_2</v>
      </c>
      <c r="G263">
        <v>1</v>
      </c>
      <c r="K263">
        <v>4000</v>
      </c>
      <c r="M263">
        <v>350</v>
      </c>
      <c r="O263">
        <v>200</v>
      </c>
      <c r="Q263">
        <v>50</v>
      </c>
      <c r="Y263">
        <v>0.05</v>
      </c>
      <c r="Z263">
        <v>4</v>
      </c>
      <c r="AA263">
        <v>1</v>
      </c>
      <c r="AB263">
        <v>0.8</v>
      </c>
      <c r="AE263">
        <v>0</v>
      </c>
      <c r="AF263">
        <v>1</v>
      </c>
      <c r="AG263" t="s">
        <v>1296</v>
      </c>
      <c r="AH263" t="s">
        <v>209</v>
      </c>
      <c r="AI263" t="s">
        <v>1292</v>
      </c>
      <c r="AK263">
        <v>1</v>
      </c>
      <c r="AT263">
        <v>1</v>
      </c>
      <c r="AV263">
        <v>0.25</v>
      </c>
      <c r="BC263" t="str">
        <f t="shared" si="207"/>
        <v>enemy_1051_norwiz_2</v>
      </c>
      <c r="BI263" t="s">
        <v>941</v>
      </c>
      <c r="BJ263" t="s">
        <v>1297</v>
      </c>
      <c r="BL263" t="s">
        <v>210</v>
      </c>
      <c r="BM263" t="s">
        <v>211</v>
      </c>
      <c r="BN263" s="19" t="s">
        <v>232</v>
      </c>
      <c r="BO263" t="s">
        <v>213</v>
      </c>
      <c r="BQ263" s="19"/>
      <c r="BR263">
        <v>1</v>
      </c>
    </row>
    <row r="264" spans="1:70" ht="14.5" x14ac:dyDescent="0.25">
      <c r="A264" t="s">
        <v>305</v>
      </c>
      <c r="B264" t="s">
        <v>206</v>
      </c>
      <c r="D264" s="17" t="s">
        <v>1298</v>
      </c>
      <c r="E264" s="2">
        <v>1052</v>
      </c>
      <c r="F264" t="str">
        <f t="shared" si="206"/>
        <v>enemy_1052_noramr</v>
      </c>
      <c r="G264">
        <v>1</v>
      </c>
      <c r="K264">
        <v>2500</v>
      </c>
      <c r="M264">
        <v>200</v>
      </c>
      <c r="O264">
        <v>400</v>
      </c>
      <c r="Q264">
        <v>0</v>
      </c>
      <c r="Y264">
        <v>0.05</v>
      </c>
      <c r="Z264">
        <v>2</v>
      </c>
      <c r="AA264">
        <v>1</v>
      </c>
      <c r="AB264">
        <v>1</v>
      </c>
      <c r="AE264">
        <v>0</v>
      </c>
      <c r="AF264">
        <v>1</v>
      </c>
      <c r="AG264" t="s">
        <v>304</v>
      </c>
      <c r="AH264" t="s">
        <v>209</v>
      </c>
      <c r="AI264" t="s">
        <v>231</v>
      </c>
      <c r="AK264">
        <v>1</v>
      </c>
      <c r="AT264">
        <v>1</v>
      </c>
      <c r="AV264">
        <v>0.25</v>
      </c>
      <c r="BC264" t="str">
        <f t="shared" si="207"/>
        <v>enemy_1052_noramr</v>
      </c>
      <c r="BI264" t="s">
        <v>935</v>
      </c>
      <c r="BJ264" t="s">
        <v>1299</v>
      </c>
      <c r="BL264" t="s">
        <v>210</v>
      </c>
      <c r="BM264" t="s">
        <v>211</v>
      </c>
      <c r="BN264" s="19" t="s">
        <v>232</v>
      </c>
      <c r="BO264" t="s">
        <v>213</v>
      </c>
      <c r="BQ264" s="19"/>
      <c r="BR264">
        <v>1</v>
      </c>
    </row>
    <row r="265" spans="1:70" ht="14.5" x14ac:dyDescent="0.25">
      <c r="A265" t="s">
        <v>1300</v>
      </c>
      <c r="B265" t="s">
        <v>206</v>
      </c>
      <c r="D265" s="17" t="s">
        <v>1301</v>
      </c>
      <c r="E265" s="2">
        <v>1052</v>
      </c>
      <c r="F265" t="str">
        <f t="shared" si="206"/>
        <v>enemy_1052_noramr_2</v>
      </c>
      <c r="G265">
        <v>1</v>
      </c>
      <c r="K265">
        <v>3700</v>
      </c>
      <c r="M265">
        <v>300</v>
      </c>
      <c r="O265">
        <v>500</v>
      </c>
      <c r="Q265">
        <v>0</v>
      </c>
      <c r="Y265">
        <v>0.05</v>
      </c>
      <c r="Z265">
        <v>2</v>
      </c>
      <c r="AA265">
        <v>1</v>
      </c>
      <c r="AB265">
        <v>1</v>
      </c>
      <c r="AE265">
        <v>0</v>
      </c>
      <c r="AF265">
        <v>1</v>
      </c>
      <c r="AG265" t="s">
        <v>1302</v>
      </c>
      <c r="AH265" t="s">
        <v>209</v>
      </c>
      <c r="AI265" t="s">
        <v>231</v>
      </c>
      <c r="AK265">
        <v>1</v>
      </c>
      <c r="AT265">
        <v>1</v>
      </c>
      <c r="AV265">
        <v>0.25</v>
      </c>
      <c r="BC265" t="str">
        <f t="shared" si="207"/>
        <v>enemy_1052_noramr_2</v>
      </c>
      <c r="BI265" t="s">
        <v>935</v>
      </c>
      <c r="BJ265" t="s">
        <v>1303</v>
      </c>
      <c r="BL265" t="s">
        <v>210</v>
      </c>
      <c r="BM265" t="s">
        <v>211</v>
      </c>
      <c r="BN265" s="19" t="s">
        <v>232</v>
      </c>
      <c r="BO265" t="s">
        <v>213</v>
      </c>
      <c r="BQ265" s="19"/>
      <c r="BR265">
        <v>1</v>
      </c>
    </row>
    <row r="266" spans="1:70" ht="14.5" x14ac:dyDescent="0.25">
      <c r="A266" t="s">
        <v>1304</v>
      </c>
      <c r="B266" t="s">
        <v>206</v>
      </c>
      <c r="D266" s="17" t="s">
        <v>1305</v>
      </c>
      <c r="E266" s="2">
        <v>1053</v>
      </c>
      <c r="F266" t="str">
        <f t="shared" si="206"/>
        <v>enemy_1053_norgst</v>
      </c>
      <c r="G266">
        <v>1</v>
      </c>
      <c r="K266">
        <v>2300</v>
      </c>
      <c r="M266">
        <v>100</v>
      </c>
      <c r="O266">
        <v>120</v>
      </c>
      <c r="Q266">
        <v>40</v>
      </c>
      <c r="Y266">
        <v>0.05</v>
      </c>
      <c r="Z266">
        <v>1</v>
      </c>
      <c r="AA266">
        <v>1</v>
      </c>
      <c r="AB266">
        <v>1.2</v>
      </c>
      <c r="AE266">
        <v>0</v>
      </c>
      <c r="AF266">
        <v>1</v>
      </c>
      <c r="AG266" t="s">
        <v>1306</v>
      </c>
      <c r="AH266" t="s">
        <v>209</v>
      </c>
      <c r="AI266" t="s">
        <v>1021</v>
      </c>
      <c r="AK266">
        <v>1</v>
      </c>
      <c r="AT266">
        <v>1</v>
      </c>
      <c r="AV266">
        <v>0.25</v>
      </c>
      <c r="BC266" t="str">
        <f t="shared" si="207"/>
        <v>enemy_1053_norgst</v>
      </c>
      <c r="BI266" t="s">
        <v>1022</v>
      </c>
      <c r="BJ266" t="s">
        <v>1307</v>
      </c>
      <c r="BL266" t="s">
        <v>210</v>
      </c>
      <c r="BM266" t="s">
        <v>211</v>
      </c>
      <c r="BN266" s="19" t="s">
        <v>232</v>
      </c>
      <c r="BO266" t="s">
        <v>213</v>
      </c>
      <c r="BQ266" s="19"/>
      <c r="BR266">
        <v>1</v>
      </c>
    </row>
    <row r="267" spans="1:70" ht="14.5" x14ac:dyDescent="0.25">
      <c r="A267" t="s">
        <v>1308</v>
      </c>
      <c r="B267" t="s">
        <v>206</v>
      </c>
      <c r="D267" s="17" t="s">
        <v>1309</v>
      </c>
      <c r="E267" s="2">
        <v>1053</v>
      </c>
      <c r="F267" t="str">
        <f t="shared" si="206"/>
        <v>enemy_1053_norgst_2</v>
      </c>
      <c r="G267">
        <v>1</v>
      </c>
      <c r="K267">
        <v>3800</v>
      </c>
      <c r="M267">
        <v>100</v>
      </c>
      <c r="O267">
        <v>260</v>
      </c>
      <c r="Q267">
        <v>45</v>
      </c>
      <c r="Y267">
        <v>0.05</v>
      </c>
      <c r="Z267">
        <v>1</v>
      </c>
      <c r="AA267">
        <v>1</v>
      </c>
      <c r="AB267">
        <v>1.2</v>
      </c>
      <c r="AE267">
        <v>0</v>
      </c>
      <c r="AF267">
        <v>1</v>
      </c>
      <c r="AG267" t="s">
        <v>1310</v>
      </c>
      <c r="AH267" t="s">
        <v>209</v>
      </c>
      <c r="AI267" t="s">
        <v>1021</v>
      </c>
      <c r="AK267">
        <v>1</v>
      </c>
      <c r="AT267">
        <v>1</v>
      </c>
      <c r="AV267">
        <v>0.25</v>
      </c>
      <c r="BC267" t="str">
        <f t="shared" si="207"/>
        <v>enemy_1053_norgst_2</v>
      </c>
      <c r="BI267" t="s">
        <v>1022</v>
      </c>
      <c r="BJ267" t="s">
        <v>1311</v>
      </c>
      <c r="BL267" t="s">
        <v>210</v>
      </c>
      <c r="BM267" t="s">
        <v>211</v>
      </c>
      <c r="BN267" s="19" t="s">
        <v>232</v>
      </c>
      <c r="BO267" t="s">
        <v>213</v>
      </c>
      <c r="BQ267" s="19"/>
      <c r="BR267">
        <v>1</v>
      </c>
    </row>
    <row r="268" spans="1:70" ht="14.5" x14ac:dyDescent="0.25">
      <c r="A268" t="s">
        <v>1312</v>
      </c>
      <c r="B268" t="s">
        <v>206</v>
      </c>
      <c r="D268" s="17" t="s">
        <v>1313</v>
      </c>
      <c r="E268" s="2">
        <v>1054</v>
      </c>
      <c r="F268" t="str">
        <f t="shared" si="206"/>
        <v>enemy_1054_norshd</v>
      </c>
      <c r="G268">
        <v>1</v>
      </c>
      <c r="K268">
        <v>10000</v>
      </c>
      <c r="M268">
        <v>700</v>
      </c>
      <c r="O268">
        <v>800</v>
      </c>
      <c r="Q268">
        <v>0</v>
      </c>
      <c r="Y268">
        <v>0.05</v>
      </c>
      <c r="Z268">
        <v>2.6</v>
      </c>
      <c r="AA268">
        <v>3</v>
      </c>
      <c r="AB268">
        <v>0.75</v>
      </c>
      <c r="AE268">
        <v>0</v>
      </c>
      <c r="AF268">
        <v>1</v>
      </c>
      <c r="AG268" t="s">
        <v>1314</v>
      </c>
      <c r="AH268" t="s">
        <v>209</v>
      </c>
      <c r="AI268" t="s">
        <v>231</v>
      </c>
      <c r="AK268">
        <v>1</v>
      </c>
      <c r="AT268">
        <v>1</v>
      </c>
      <c r="AV268">
        <v>0.25</v>
      </c>
      <c r="BC268" t="str">
        <f t="shared" si="207"/>
        <v>enemy_1054_norshd</v>
      </c>
      <c r="BI268" t="s">
        <v>994</v>
      </c>
      <c r="BJ268" t="s">
        <v>1315</v>
      </c>
      <c r="BL268" t="s">
        <v>210</v>
      </c>
      <c r="BM268" t="s">
        <v>211</v>
      </c>
      <c r="BN268" s="19" t="s">
        <v>212</v>
      </c>
      <c r="BO268" t="s">
        <v>213</v>
      </c>
      <c r="BQ268" s="19"/>
      <c r="BR268">
        <v>1</v>
      </c>
    </row>
    <row r="269" spans="1:70" ht="14.5" x14ac:dyDescent="0.25">
      <c r="A269" t="s">
        <v>1316</v>
      </c>
      <c r="B269" t="s">
        <v>206</v>
      </c>
      <c r="D269" s="17" t="s">
        <v>1317</v>
      </c>
      <c r="E269" s="2">
        <v>1054</v>
      </c>
      <c r="F269" t="str">
        <f t="shared" si="206"/>
        <v>enemy_1054_norshd_2</v>
      </c>
      <c r="G269">
        <v>1</v>
      </c>
      <c r="K269">
        <v>14000</v>
      </c>
      <c r="M269">
        <v>700</v>
      </c>
      <c r="O269">
        <v>1000</v>
      </c>
      <c r="Q269">
        <v>0</v>
      </c>
      <c r="Y269">
        <v>0.05</v>
      </c>
      <c r="Z269">
        <v>2.6</v>
      </c>
      <c r="AA269">
        <v>3</v>
      </c>
      <c r="AB269">
        <v>0.75</v>
      </c>
      <c r="AE269">
        <v>0</v>
      </c>
      <c r="AF269">
        <v>1</v>
      </c>
      <c r="AG269" t="s">
        <v>1318</v>
      </c>
      <c r="AH269" t="s">
        <v>209</v>
      </c>
      <c r="AI269" t="s">
        <v>231</v>
      </c>
      <c r="AK269">
        <v>1</v>
      </c>
      <c r="AT269">
        <v>1</v>
      </c>
      <c r="AV269">
        <v>0.25</v>
      </c>
      <c r="BC269" t="str">
        <f t="shared" si="207"/>
        <v>enemy_1054_norshd_2</v>
      </c>
      <c r="BI269" t="s">
        <v>994</v>
      </c>
      <c r="BJ269" t="s">
        <v>1319</v>
      </c>
      <c r="BL269" t="s">
        <v>210</v>
      </c>
      <c r="BM269" t="s">
        <v>211</v>
      </c>
      <c r="BN269" s="19" t="s">
        <v>212</v>
      </c>
      <c r="BO269" t="s">
        <v>213</v>
      </c>
      <c r="BQ269" s="19"/>
      <c r="BR269">
        <v>1</v>
      </c>
    </row>
    <row r="270" spans="1:70" ht="14.5" x14ac:dyDescent="0.25">
      <c r="A270" t="s">
        <v>1320</v>
      </c>
      <c r="B270" t="s">
        <v>206</v>
      </c>
      <c r="D270" s="17" t="s">
        <v>1321</v>
      </c>
      <c r="E270" s="2">
        <v>1500</v>
      </c>
      <c r="F270" t="str">
        <f t="shared" si="206"/>
        <v>enemy_1500_skulsr</v>
      </c>
      <c r="G270">
        <v>1</v>
      </c>
      <c r="K270">
        <v>10500</v>
      </c>
      <c r="M270">
        <v>1000</v>
      </c>
      <c r="O270">
        <v>150</v>
      </c>
      <c r="Q270">
        <v>30</v>
      </c>
      <c r="Y270">
        <v>0.05</v>
      </c>
      <c r="Z270">
        <v>3</v>
      </c>
      <c r="AA270">
        <v>5</v>
      </c>
      <c r="AB270">
        <v>0.6</v>
      </c>
      <c r="AE270">
        <v>0</v>
      </c>
      <c r="AF270">
        <v>1</v>
      </c>
      <c r="AG270" t="s">
        <v>1322</v>
      </c>
      <c r="AH270" t="s">
        <v>209</v>
      </c>
      <c r="AI270" t="s">
        <v>1323</v>
      </c>
      <c r="AK270">
        <v>1</v>
      </c>
      <c r="AT270">
        <v>1</v>
      </c>
      <c r="AV270">
        <v>0.25</v>
      </c>
      <c r="BC270" t="str">
        <f t="shared" si="207"/>
        <v>enemy_1500_skulsr</v>
      </c>
      <c r="BI270" t="s">
        <v>1324</v>
      </c>
      <c r="BJ270" t="s">
        <v>1325</v>
      </c>
      <c r="BL270" t="s">
        <v>210</v>
      </c>
      <c r="BM270" t="s">
        <v>211</v>
      </c>
      <c r="BN270" s="19" t="s">
        <v>1326</v>
      </c>
      <c r="BO270" t="s">
        <v>213</v>
      </c>
      <c r="BQ270" s="19"/>
      <c r="BR270">
        <v>1</v>
      </c>
    </row>
    <row r="271" spans="1:70" ht="14.5" x14ac:dyDescent="0.25">
      <c r="A271" t="s">
        <v>1327</v>
      </c>
      <c r="B271" t="s">
        <v>206</v>
      </c>
      <c r="D271" s="17" t="s">
        <v>283</v>
      </c>
      <c r="E271" s="2">
        <v>1502</v>
      </c>
      <c r="F271" t="str">
        <f t="shared" si="206"/>
        <v>enemy_1502_crowns</v>
      </c>
      <c r="G271">
        <v>1</v>
      </c>
      <c r="K271">
        <v>6000</v>
      </c>
      <c r="M271">
        <v>400</v>
      </c>
      <c r="O271">
        <v>120</v>
      </c>
      <c r="Q271">
        <v>50</v>
      </c>
      <c r="Y271">
        <v>0.05</v>
      </c>
      <c r="Z271">
        <v>2.8</v>
      </c>
      <c r="AA271">
        <v>1</v>
      </c>
      <c r="AB271">
        <v>1.4</v>
      </c>
      <c r="AE271">
        <v>0</v>
      </c>
      <c r="AF271">
        <v>1</v>
      </c>
      <c r="AG271" t="s">
        <v>282</v>
      </c>
      <c r="AH271" t="s">
        <v>209</v>
      </c>
      <c r="AI271" t="s">
        <v>285</v>
      </c>
      <c r="AK271">
        <v>1</v>
      </c>
      <c r="AT271">
        <v>1</v>
      </c>
      <c r="AV271">
        <v>0.25</v>
      </c>
      <c r="BC271" t="str">
        <f t="shared" si="207"/>
        <v>enemy_1502_crowns</v>
      </c>
      <c r="BI271" t="s">
        <v>1001</v>
      </c>
      <c r="BJ271" t="s">
        <v>1328</v>
      </c>
      <c r="BL271" t="s">
        <v>210</v>
      </c>
      <c r="BM271" t="s">
        <v>211</v>
      </c>
      <c r="BN271" s="19" t="s">
        <v>232</v>
      </c>
      <c r="BO271" t="s">
        <v>213</v>
      </c>
      <c r="BQ271" s="19"/>
      <c r="BR271">
        <v>1</v>
      </c>
    </row>
    <row r="272" spans="1:70" ht="14.5" x14ac:dyDescent="0.25">
      <c r="A272" t="s">
        <v>1329</v>
      </c>
      <c r="B272" t="s">
        <v>206</v>
      </c>
      <c r="D272" s="17" t="s">
        <v>1330</v>
      </c>
      <c r="E272" s="2">
        <v>1504</v>
      </c>
      <c r="F272" t="str">
        <f t="shared" si="206"/>
        <v>enemy_1504_cqbw</v>
      </c>
      <c r="G272">
        <v>1</v>
      </c>
      <c r="K272">
        <v>10000</v>
      </c>
      <c r="M272">
        <v>470</v>
      </c>
      <c r="O272">
        <v>100</v>
      </c>
      <c r="Q272">
        <v>50</v>
      </c>
      <c r="Y272">
        <v>0.05</v>
      </c>
      <c r="Z272">
        <v>4</v>
      </c>
      <c r="AA272">
        <v>5</v>
      </c>
      <c r="AB272">
        <v>1.2</v>
      </c>
      <c r="AE272">
        <v>0</v>
      </c>
      <c r="AF272">
        <v>1</v>
      </c>
      <c r="AG272" t="s">
        <v>1331</v>
      </c>
      <c r="AH272" t="s">
        <v>209</v>
      </c>
      <c r="AI272" t="s">
        <v>1332</v>
      </c>
      <c r="AK272">
        <v>1</v>
      </c>
      <c r="AT272">
        <v>1</v>
      </c>
      <c r="AV272">
        <v>0.25</v>
      </c>
      <c r="BC272" t="str">
        <f t="shared" si="207"/>
        <v>enemy_1504_cqbw</v>
      </c>
      <c r="BI272" t="s">
        <v>1333</v>
      </c>
      <c r="BJ272" t="s">
        <v>1334</v>
      </c>
      <c r="BL272" t="s">
        <v>210</v>
      </c>
      <c r="BM272" t="s">
        <v>211</v>
      </c>
      <c r="BN272" s="19" t="s">
        <v>232</v>
      </c>
      <c r="BO272" t="s">
        <v>213</v>
      </c>
      <c r="BQ272" s="19"/>
      <c r="BR272">
        <v>1</v>
      </c>
    </row>
    <row r="273" spans="1:70" ht="14.5" x14ac:dyDescent="0.25">
      <c r="A273" t="s">
        <v>1335</v>
      </c>
      <c r="B273" t="s">
        <v>206</v>
      </c>
      <c r="D273" s="17" t="s">
        <v>1336</v>
      </c>
      <c r="E273" s="2">
        <v>1505</v>
      </c>
      <c r="F273" t="str">
        <f t="shared" si="206"/>
        <v>enemy_1505_frstar</v>
      </c>
      <c r="G273">
        <v>1</v>
      </c>
      <c r="K273">
        <v>25000</v>
      </c>
      <c r="M273">
        <v>420</v>
      </c>
      <c r="O273">
        <v>250</v>
      </c>
      <c r="Q273">
        <v>50</v>
      </c>
      <c r="Y273">
        <v>0.05</v>
      </c>
      <c r="Z273">
        <v>3.7</v>
      </c>
      <c r="AA273">
        <v>5</v>
      </c>
      <c r="AB273">
        <v>0.5</v>
      </c>
      <c r="AE273">
        <v>0</v>
      </c>
      <c r="AF273">
        <v>1</v>
      </c>
      <c r="AG273" t="s">
        <v>233</v>
      </c>
      <c r="AH273" t="s">
        <v>236</v>
      </c>
      <c r="AI273" t="s">
        <v>1337</v>
      </c>
      <c r="AK273">
        <v>1</v>
      </c>
      <c r="AT273">
        <v>1</v>
      </c>
      <c r="AV273">
        <v>0.25</v>
      </c>
      <c r="BC273" t="str">
        <f t="shared" si="207"/>
        <v>enemy_1505_frstar</v>
      </c>
      <c r="BI273" t="s">
        <v>1096</v>
      </c>
      <c r="BJ273" t="s">
        <v>1338</v>
      </c>
      <c r="BL273" t="s">
        <v>210</v>
      </c>
      <c r="BM273" t="s">
        <v>211</v>
      </c>
      <c r="BN273" s="19" t="s">
        <v>232</v>
      </c>
      <c r="BO273" t="s">
        <v>213</v>
      </c>
      <c r="BQ273" s="19"/>
      <c r="BR273">
        <v>1</v>
      </c>
    </row>
    <row r="274" spans="1:70" ht="14.5" x14ac:dyDescent="0.25">
      <c r="A274" t="s">
        <v>1339</v>
      </c>
      <c r="B274" t="s">
        <v>206</v>
      </c>
      <c r="D274" s="17" t="s">
        <v>1340</v>
      </c>
      <c r="E274" s="2">
        <v>1507</v>
      </c>
      <c r="F274" t="str">
        <f t="shared" si="206"/>
        <v>enemy_1507_mephi</v>
      </c>
      <c r="G274">
        <v>1</v>
      </c>
      <c r="K274">
        <v>28000</v>
      </c>
      <c r="M274">
        <v>500</v>
      </c>
      <c r="O274">
        <v>200</v>
      </c>
      <c r="Q274">
        <v>60</v>
      </c>
      <c r="Y274">
        <v>0.05</v>
      </c>
      <c r="Z274">
        <v>6</v>
      </c>
      <c r="AA274">
        <v>3</v>
      </c>
      <c r="AB274">
        <v>0.5</v>
      </c>
      <c r="AE274">
        <v>0</v>
      </c>
      <c r="AF274">
        <v>1</v>
      </c>
      <c r="AG274" t="s">
        <v>1341</v>
      </c>
      <c r="AH274" t="s">
        <v>209</v>
      </c>
      <c r="AI274" t="s">
        <v>1342</v>
      </c>
      <c r="AK274">
        <v>1</v>
      </c>
      <c r="AT274">
        <v>1</v>
      </c>
      <c r="AV274">
        <v>0.25</v>
      </c>
      <c r="BC274" t="str">
        <f t="shared" si="207"/>
        <v>enemy_1507_mephi</v>
      </c>
      <c r="BI274" t="s">
        <v>1343</v>
      </c>
      <c r="BJ274" t="s">
        <v>1344</v>
      </c>
      <c r="BL274" t="s">
        <v>210</v>
      </c>
      <c r="BM274" t="s">
        <v>211</v>
      </c>
      <c r="BN274" s="19" t="s">
        <v>232</v>
      </c>
      <c r="BO274" t="s">
        <v>213</v>
      </c>
      <c r="BQ274" s="19"/>
      <c r="BR274">
        <v>1</v>
      </c>
    </row>
    <row r="275" spans="1:70" ht="14.5" x14ac:dyDescent="0.25">
      <c r="A275" t="s">
        <v>1345</v>
      </c>
      <c r="B275" t="s">
        <v>206</v>
      </c>
      <c r="D275" s="17" t="s">
        <v>1346</v>
      </c>
      <c r="E275" s="2">
        <v>1508</v>
      </c>
      <c r="F275" t="str">
        <f t="shared" si="206"/>
        <v>enemy_1508_faust</v>
      </c>
      <c r="G275">
        <v>1</v>
      </c>
      <c r="K275">
        <v>37000</v>
      </c>
      <c r="M275">
        <v>1000</v>
      </c>
      <c r="O275">
        <v>350</v>
      </c>
      <c r="Q275">
        <v>35</v>
      </c>
      <c r="Y275">
        <v>0.05</v>
      </c>
      <c r="Z275">
        <v>5</v>
      </c>
      <c r="AA275">
        <v>5</v>
      </c>
      <c r="AB275">
        <v>0.5</v>
      </c>
      <c r="AE275">
        <v>0</v>
      </c>
      <c r="AF275">
        <v>1</v>
      </c>
      <c r="AG275" t="s">
        <v>1347</v>
      </c>
      <c r="AH275" t="s">
        <v>209</v>
      </c>
      <c r="AI275" t="s">
        <v>1348</v>
      </c>
      <c r="AK275">
        <v>1</v>
      </c>
      <c r="AT275">
        <v>1</v>
      </c>
      <c r="AU275" t="s">
        <v>1349</v>
      </c>
      <c r="AV275">
        <v>0.25</v>
      </c>
      <c r="BC275" t="str">
        <f t="shared" si="207"/>
        <v>enemy_1508_faust</v>
      </c>
      <c r="BI275" t="s">
        <v>1333</v>
      </c>
      <c r="BJ275" t="s">
        <v>1350</v>
      </c>
      <c r="BL275" t="s">
        <v>210</v>
      </c>
      <c r="BM275" t="s">
        <v>211</v>
      </c>
      <c r="BN275" s="19" t="s">
        <v>232</v>
      </c>
      <c r="BO275" t="s">
        <v>213</v>
      </c>
      <c r="BQ275" s="19"/>
      <c r="BR275">
        <v>1</v>
      </c>
    </row>
    <row r="276" spans="1:70" ht="14.5" x14ac:dyDescent="0.25">
      <c r="A276" t="s">
        <v>1351</v>
      </c>
      <c r="B276" t="s">
        <v>206</v>
      </c>
      <c r="D276" s="17" t="s">
        <v>1352</v>
      </c>
      <c r="E276" s="2">
        <v>1055</v>
      </c>
      <c r="F276" t="str">
        <f t="shared" si="206"/>
        <v>enemy_1055_ganman</v>
      </c>
      <c r="G276">
        <v>1</v>
      </c>
      <c r="K276">
        <v>2700</v>
      </c>
      <c r="M276">
        <v>250</v>
      </c>
      <c r="O276">
        <v>100</v>
      </c>
      <c r="Q276">
        <v>10</v>
      </c>
      <c r="Y276">
        <v>0.05</v>
      </c>
      <c r="Z276">
        <v>2</v>
      </c>
      <c r="AA276">
        <v>1</v>
      </c>
      <c r="AB276">
        <v>1</v>
      </c>
      <c r="AE276">
        <v>0</v>
      </c>
      <c r="AF276">
        <v>1</v>
      </c>
      <c r="AG276" t="s">
        <v>1353</v>
      </c>
      <c r="AH276" t="s">
        <v>209</v>
      </c>
      <c r="AI276" t="s">
        <v>231</v>
      </c>
      <c r="AK276">
        <v>1</v>
      </c>
      <c r="AT276">
        <v>1</v>
      </c>
      <c r="AV276">
        <v>0.25</v>
      </c>
      <c r="BC276" t="str">
        <f t="shared" si="207"/>
        <v>enemy_1055_ganman</v>
      </c>
      <c r="BI276" t="s">
        <v>935</v>
      </c>
      <c r="BJ276" t="s">
        <v>1354</v>
      </c>
      <c r="BL276" t="s">
        <v>210</v>
      </c>
      <c r="BM276" t="s">
        <v>211</v>
      </c>
      <c r="BN276" s="19" t="s">
        <v>232</v>
      </c>
      <c r="BO276" t="s">
        <v>213</v>
      </c>
      <c r="BQ276" s="19"/>
      <c r="BR276">
        <v>1</v>
      </c>
    </row>
    <row r="277" spans="1:70" ht="14.5" x14ac:dyDescent="0.25">
      <c r="A277" t="s">
        <v>1355</v>
      </c>
      <c r="B277" t="s">
        <v>206</v>
      </c>
      <c r="D277" s="17" t="s">
        <v>1356</v>
      </c>
      <c r="E277" s="2">
        <v>1055</v>
      </c>
      <c r="F277" t="str">
        <f t="shared" si="206"/>
        <v>enemy_1055_ganman_2</v>
      </c>
      <c r="G277">
        <v>1</v>
      </c>
      <c r="K277">
        <v>3800</v>
      </c>
      <c r="M277">
        <v>350</v>
      </c>
      <c r="O277">
        <v>160</v>
      </c>
      <c r="Q277">
        <v>10</v>
      </c>
      <c r="Y277">
        <v>0.05</v>
      </c>
      <c r="Z277">
        <v>2</v>
      </c>
      <c r="AA277">
        <v>1</v>
      </c>
      <c r="AB277">
        <v>1</v>
      </c>
      <c r="AE277">
        <v>0</v>
      </c>
      <c r="AF277">
        <v>1</v>
      </c>
      <c r="AG277" t="s">
        <v>1357</v>
      </c>
      <c r="AH277" t="s">
        <v>209</v>
      </c>
      <c r="AI277" t="s">
        <v>231</v>
      </c>
      <c r="AK277">
        <v>1</v>
      </c>
      <c r="AT277">
        <v>1</v>
      </c>
      <c r="AV277">
        <v>0.25</v>
      </c>
      <c r="BC277" t="str">
        <f t="shared" si="207"/>
        <v>enemy_1055_ganman_2</v>
      </c>
      <c r="BI277" t="s">
        <v>935</v>
      </c>
      <c r="BJ277" t="s">
        <v>1358</v>
      </c>
      <c r="BL277" t="s">
        <v>210</v>
      </c>
      <c r="BM277" t="s">
        <v>211</v>
      </c>
      <c r="BN277" s="19" t="s">
        <v>232</v>
      </c>
      <c r="BO277" t="s">
        <v>213</v>
      </c>
      <c r="BQ277" s="19"/>
      <c r="BR277">
        <v>1</v>
      </c>
    </row>
    <row r="278" spans="1:70" ht="14.5" x14ac:dyDescent="0.25">
      <c r="A278" t="s">
        <v>1359</v>
      </c>
      <c r="B278" t="s">
        <v>206</v>
      </c>
      <c r="D278" s="17" t="s">
        <v>1360</v>
      </c>
      <c r="E278" s="2">
        <v>1056</v>
      </c>
      <c r="F278" t="str">
        <f t="shared" si="206"/>
        <v>enemy_1056_ganwar</v>
      </c>
      <c r="G278">
        <v>1</v>
      </c>
      <c r="K278">
        <v>3200</v>
      </c>
      <c r="M278">
        <v>290</v>
      </c>
      <c r="O278">
        <v>250</v>
      </c>
      <c r="Q278">
        <v>0</v>
      </c>
      <c r="Y278">
        <v>0.05</v>
      </c>
      <c r="Z278">
        <v>0.4</v>
      </c>
      <c r="AA278">
        <v>1</v>
      </c>
      <c r="AB278">
        <v>0.95</v>
      </c>
      <c r="AE278">
        <v>0</v>
      </c>
      <c r="AF278">
        <v>1</v>
      </c>
      <c r="AG278" t="s">
        <v>1361</v>
      </c>
      <c r="AH278" t="s">
        <v>209</v>
      </c>
      <c r="AI278" t="s">
        <v>231</v>
      </c>
      <c r="AK278">
        <v>1</v>
      </c>
      <c r="AT278">
        <v>1</v>
      </c>
      <c r="AV278">
        <v>0.25</v>
      </c>
      <c r="BC278" t="str">
        <f t="shared" si="207"/>
        <v>enemy_1056_ganwar</v>
      </c>
      <c r="BI278" t="s">
        <v>935</v>
      </c>
      <c r="BJ278" t="s">
        <v>1362</v>
      </c>
      <c r="BL278" t="s">
        <v>210</v>
      </c>
      <c r="BM278" t="s">
        <v>211</v>
      </c>
      <c r="BN278" s="19" t="s">
        <v>232</v>
      </c>
      <c r="BO278" t="s">
        <v>213</v>
      </c>
      <c r="BQ278" s="19"/>
      <c r="BR278">
        <v>1</v>
      </c>
    </row>
    <row r="279" spans="1:70" ht="14.5" x14ac:dyDescent="0.25">
      <c r="A279" t="s">
        <v>1363</v>
      </c>
      <c r="B279" t="s">
        <v>206</v>
      </c>
      <c r="D279" s="17" t="s">
        <v>1364</v>
      </c>
      <c r="E279" s="2">
        <v>1056</v>
      </c>
      <c r="F279" t="str">
        <f t="shared" si="206"/>
        <v>enemy_1056_ganwar_2</v>
      </c>
      <c r="G279">
        <v>1</v>
      </c>
      <c r="K279">
        <v>4200</v>
      </c>
      <c r="M279">
        <v>380</v>
      </c>
      <c r="O279">
        <v>300</v>
      </c>
      <c r="Q279">
        <v>0</v>
      </c>
      <c r="Y279">
        <v>0.05</v>
      </c>
      <c r="Z279">
        <v>0.4</v>
      </c>
      <c r="AA279">
        <v>1</v>
      </c>
      <c r="AB279">
        <v>0.95</v>
      </c>
      <c r="AE279">
        <v>0</v>
      </c>
      <c r="AF279">
        <v>1</v>
      </c>
      <c r="AG279" t="s">
        <v>1365</v>
      </c>
      <c r="AH279" t="s">
        <v>209</v>
      </c>
      <c r="AI279" t="s">
        <v>231</v>
      </c>
      <c r="AK279">
        <v>1</v>
      </c>
      <c r="AT279">
        <v>1</v>
      </c>
      <c r="AV279">
        <v>0.25</v>
      </c>
      <c r="BC279" t="str">
        <f t="shared" si="207"/>
        <v>enemy_1056_ganwar_2</v>
      </c>
      <c r="BI279" t="s">
        <v>935</v>
      </c>
      <c r="BJ279" t="s">
        <v>1366</v>
      </c>
      <c r="BL279" t="s">
        <v>210</v>
      </c>
      <c r="BM279" t="s">
        <v>211</v>
      </c>
      <c r="BN279" s="19" t="s">
        <v>232</v>
      </c>
      <c r="BO279" t="s">
        <v>213</v>
      </c>
      <c r="BQ279" s="19"/>
      <c r="BR279">
        <v>1</v>
      </c>
    </row>
    <row r="280" spans="1:70" ht="14.5" x14ac:dyDescent="0.25">
      <c r="A280" t="s">
        <v>1367</v>
      </c>
      <c r="B280" t="s">
        <v>206</v>
      </c>
      <c r="D280" s="17" t="s">
        <v>1368</v>
      </c>
      <c r="E280" s="2">
        <v>1057</v>
      </c>
      <c r="F280" t="str">
        <f t="shared" si="206"/>
        <v>enemy_1057_gansho</v>
      </c>
      <c r="G280">
        <v>1</v>
      </c>
      <c r="K280">
        <v>3000</v>
      </c>
      <c r="M280">
        <v>180</v>
      </c>
      <c r="O280">
        <v>150</v>
      </c>
      <c r="Q280">
        <v>0</v>
      </c>
      <c r="Y280">
        <v>0.05</v>
      </c>
      <c r="Z280">
        <v>3</v>
      </c>
      <c r="AA280">
        <v>1</v>
      </c>
      <c r="AB280">
        <v>1</v>
      </c>
      <c r="AE280">
        <v>0</v>
      </c>
      <c r="AF280">
        <v>1</v>
      </c>
      <c r="AG280" t="s">
        <v>1369</v>
      </c>
      <c r="AH280" t="s">
        <v>209</v>
      </c>
      <c r="AI280" t="s">
        <v>1370</v>
      </c>
      <c r="AK280">
        <v>1</v>
      </c>
      <c r="AT280">
        <v>1</v>
      </c>
      <c r="AV280">
        <v>0.25</v>
      </c>
      <c r="BC280" t="str">
        <f t="shared" si="207"/>
        <v>enemy_1057_gansho</v>
      </c>
      <c r="BI280" t="s">
        <v>941</v>
      </c>
      <c r="BJ280" t="s">
        <v>1371</v>
      </c>
      <c r="BL280" t="s">
        <v>210</v>
      </c>
      <c r="BM280" t="s">
        <v>211</v>
      </c>
      <c r="BN280" s="19" t="s">
        <v>232</v>
      </c>
      <c r="BO280" t="s">
        <v>213</v>
      </c>
      <c r="BQ280" s="19"/>
      <c r="BR280">
        <v>1</v>
      </c>
    </row>
    <row r="281" spans="1:70" ht="14.5" x14ac:dyDescent="0.25">
      <c r="A281" t="s">
        <v>1372</v>
      </c>
      <c r="B281" t="s">
        <v>206</v>
      </c>
      <c r="D281" s="17" t="s">
        <v>322</v>
      </c>
      <c r="E281" s="2">
        <v>1057</v>
      </c>
      <c r="F281" t="str">
        <f t="shared" si="206"/>
        <v>enemy_1057_gansho_2</v>
      </c>
      <c r="G281">
        <v>1</v>
      </c>
      <c r="K281">
        <v>4000</v>
      </c>
      <c r="M281">
        <v>230</v>
      </c>
      <c r="O281">
        <v>200</v>
      </c>
      <c r="Q281">
        <v>0</v>
      </c>
      <c r="Y281">
        <v>0.05</v>
      </c>
      <c r="Z281">
        <v>3</v>
      </c>
      <c r="AA281">
        <v>1</v>
      </c>
      <c r="AB281">
        <v>1</v>
      </c>
      <c r="AE281">
        <v>0</v>
      </c>
      <c r="AF281">
        <v>1</v>
      </c>
      <c r="AG281" t="s">
        <v>321</v>
      </c>
      <c r="AH281" t="s">
        <v>209</v>
      </c>
      <c r="AI281" t="s">
        <v>1370</v>
      </c>
      <c r="AK281">
        <v>1</v>
      </c>
      <c r="AT281">
        <v>1</v>
      </c>
      <c r="AV281">
        <v>0.25</v>
      </c>
      <c r="BC281" t="str">
        <f t="shared" si="207"/>
        <v>enemy_1057_gansho_2</v>
      </c>
      <c r="BI281" t="s">
        <v>941</v>
      </c>
      <c r="BJ281" t="s">
        <v>1373</v>
      </c>
      <c r="BL281" t="s">
        <v>210</v>
      </c>
      <c r="BM281" t="s">
        <v>211</v>
      </c>
      <c r="BN281" s="19" t="s">
        <v>232</v>
      </c>
      <c r="BO281" t="s">
        <v>213</v>
      </c>
      <c r="BQ281" s="19"/>
      <c r="BR281">
        <v>1</v>
      </c>
    </row>
    <row r="282" spans="1:70" ht="14.5" x14ac:dyDescent="0.25">
      <c r="A282" t="s">
        <v>1374</v>
      </c>
      <c r="B282" t="s">
        <v>206</v>
      </c>
      <c r="D282" s="17" t="s">
        <v>1375</v>
      </c>
      <c r="E282" s="2">
        <v>1058</v>
      </c>
      <c r="F282" t="str">
        <f t="shared" si="206"/>
        <v>enemy_1058_traink</v>
      </c>
      <c r="G282">
        <v>1</v>
      </c>
      <c r="K282">
        <v>16000</v>
      </c>
      <c r="M282">
        <v>800</v>
      </c>
      <c r="O282">
        <v>800</v>
      </c>
      <c r="Q282">
        <v>20</v>
      </c>
      <c r="Y282">
        <v>0.05</v>
      </c>
      <c r="Z282">
        <v>3.5</v>
      </c>
      <c r="AA282">
        <v>4</v>
      </c>
      <c r="AB282">
        <v>1.2</v>
      </c>
      <c r="AE282">
        <v>0</v>
      </c>
      <c r="AF282">
        <v>1</v>
      </c>
      <c r="AG282" t="s">
        <v>1376</v>
      </c>
      <c r="AH282" t="s">
        <v>209</v>
      </c>
      <c r="AI282" t="s">
        <v>231</v>
      </c>
      <c r="AK282">
        <v>1</v>
      </c>
      <c r="AN282">
        <v>3</v>
      </c>
      <c r="AT282">
        <v>1</v>
      </c>
      <c r="AV282">
        <v>0.25</v>
      </c>
      <c r="BC282" t="str">
        <f t="shared" si="207"/>
        <v>enemy_1058_traink</v>
      </c>
      <c r="BI282" t="s">
        <v>994</v>
      </c>
      <c r="BJ282" t="s">
        <v>1377</v>
      </c>
      <c r="BL282" t="s">
        <v>210</v>
      </c>
      <c r="BM282" t="s">
        <v>211</v>
      </c>
      <c r="BN282" s="19" t="s">
        <v>232</v>
      </c>
      <c r="BO282" t="s">
        <v>213</v>
      </c>
      <c r="BQ282" s="19"/>
      <c r="BR282">
        <v>1</v>
      </c>
    </row>
    <row r="283" spans="1:70" ht="14.5" x14ac:dyDescent="0.25">
      <c r="A283" t="s">
        <v>1378</v>
      </c>
      <c r="B283" t="s">
        <v>206</v>
      </c>
      <c r="D283" s="17" t="s">
        <v>1379</v>
      </c>
      <c r="E283" s="2">
        <v>1058</v>
      </c>
      <c r="F283" t="str">
        <f t="shared" si="206"/>
        <v>enemy_1058_traink_2</v>
      </c>
      <c r="G283">
        <v>1</v>
      </c>
      <c r="K283">
        <v>25000</v>
      </c>
      <c r="M283">
        <v>1000</v>
      </c>
      <c r="O283">
        <v>1000</v>
      </c>
      <c r="Q283">
        <v>30</v>
      </c>
      <c r="Y283">
        <v>0.05</v>
      </c>
      <c r="Z283">
        <v>3.5</v>
      </c>
      <c r="AA283">
        <v>4</v>
      </c>
      <c r="AB283">
        <v>1.2</v>
      </c>
      <c r="AE283">
        <v>0</v>
      </c>
      <c r="AF283">
        <v>1</v>
      </c>
      <c r="AG283" t="s">
        <v>1380</v>
      </c>
      <c r="AH283" t="s">
        <v>209</v>
      </c>
      <c r="AI283" t="s">
        <v>231</v>
      </c>
      <c r="AK283">
        <v>1</v>
      </c>
      <c r="AN283">
        <v>3</v>
      </c>
      <c r="AT283">
        <v>1</v>
      </c>
      <c r="AV283">
        <v>0.25</v>
      </c>
      <c r="BC283" t="str">
        <f t="shared" si="207"/>
        <v>enemy_1058_traink_2</v>
      </c>
      <c r="BI283" t="s">
        <v>994</v>
      </c>
      <c r="BJ283" t="s">
        <v>1377</v>
      </c>
      <c r="BL283" t="s">
        <v>210</v>
      </c>
      <c r="BM283" t="s">
        <v>211</v>
      </c>
      <c r="BN283" s="19" t="s">
        <v>232</v>
      </c>
      <c r="BO283" t="s">
        <v>213</v>
      </c>
      <c r="BQ283" s="19"/>
      <c r="BR283">
        <v>1</v>
      </c>
    </row>
    <row r="284" spans="1:70" ht="14.5" x14ac:dyDescent="0.25">
      <c r="A284" t="s">
        <v>1381</v>
      </c>
      <c r="B284" t="s">
        <v>206</v>
      </c>
      <c r="D284" s="17" t="s">
        <v>1382</v>
      </c>
      <c r="E284" s="2">
        <v>1059</v>
      </c>
      <c r="F284" t="str">
        <f t="shared" si="206"/>
        <v>enemy_1059_buster</v>
      </c>
      <c r="G284">
        <v>1</v>
      </c>
      <c r="K284">
        <v>9000</v>
      </c>
      <c r="M284">
        <v>700</v>
      </c>
      <c r="O284">
        <v>500</v>
      </c>
      <c r="Q284">
        <v>0</v>
      </c>
      <c r="Y284">
        <v>0.05</v>
      </c>
      <c r="Z284">
        <v>5</v>
      </c>
      <c r="AA284">
        <v>2</v>
      </c>
      <c r="AB284">
        <v>0.8</v>
      </c>
      <c r="AE284">
        <v>0</v>
      </c>
      <c r="AF284">
        <v>1</v>
      </c>
      <c r="AG284" t="s">
        <v>1383</v>
      </c>
      <c r="AH284" t="s">
        <v>209</v>
      </c>
      <c r="AI284" t="s">
        <v>1384</v>
      </c>
      <c r="AK284">
        <v>1</v>
      </c>
      <c r="AT284">
        <v>1</v>
      </c>
      <c r="AV284">
        <v>0.25</v>
      </c>
      <c r="BC284" t="str">
        <f t="shared" si="207"/>
        <v>enemy_1059_buster</v>
      </c>
      <c r="BI284" t="s">
        <v>962</v>
      </c>
      <c r="BJ284" t="s">
        <v>1385</v>
      </c>
      <c r="BL284" t="s">
        <v>210</v>
      </c>
      <c r="BM284" t="s">
        <v>211</v>
      </c>
      <c r="BN284" s="19" t="s">
        <v>232</v>
      </c>
      <c r="BO284" t="s">
        <v>213</v>
      </c>
      <c r="BQ284" s="19"/>
      <c r="BR284">
        <v>1</v>
      </c>
    </row>
    <row r="285" spans="1:70" ht="14.5" x14ac:dyDescent="0.25">
      <c r="A285" t="s">
        <v>1386</v>
      </c>
      <c r="B285" t="s">
        <v>206</v>
      </c>
      <c r="D285" s="17" t="s">
        <v>1387</v>
      </c>
      <c r="E285" s="2">
        <v>1059</v>
      </c>
      <c r="F285" t="str">
        <f t="shared" si="206"/>
        <v>enemy_1059_buster_2</v>
      </c>
      <c r="G285">
        <v>1</v>
      </c>
      <c r="K285">
        <v>13000</v>
      </c>
      <c r="M285">
        <v>800</v>
      </c>
      <c r="O285">
        <v>600</v>
      </c>
      <c r="Q285">
        <v>0</v>
      </c>
      <c r="Y285">
        <v>0.05</v>
      </c>
      <c r="Z285">
        <v>5</v>
      </c>
      <c r="AA285">
        <v>2</v>
      </c>
      <c r="AB285">
        <v>0.8</v>
      </c>
      <c r="AE285">
        <v>0</v>
      </c>
      <c r="AF285">
        <v>1</v>
      </c>
      <c r="AG285" t="s">
        <v>1388</v>
      </c>
      <c r="AH285" t="s">
        <v>209</v>
      </c>
      <c r="AI285" t="s">
        <v>1384</v>
      </c>
      <c r="AK285">
        <v>1</v>
      </c>
      <c r="AT285">
        <v>1</v>
      </c>
      <c r="AV285">
        <v>0.25</v>
      </c>
      <c r="BC285" t="str">
        <f t="shared" si="207"/>
        <v>enemy_1059_buster_2</v>
      </c>
      <c r="BI285" t="s">
        <v>962</v>
      </c>
      <c r="BJ285" t="s">
        <v>1385</v>
      </c>
      <c r="BL285" t="s">
        <v>210</v>
      </c>
      <c r="BM285" t="s">
        <v>211</v>
      </c>
      <c r="BN285" s="19" t="s">
        <v>232</v>
      </c>
      <c r="BO285" t="s">
        <v>213</v>
      </c>
      <c r="BQ285" s="19"/>
      <c r="BR285">
        <v>1</v>
      </c>
    </row>
    <row r="286" spans="1:70" ht="14.5" x14ac:dyDescent="0.25">
      <c r="A286" t="s">
        <v>1389</v>
      </c>
      <c r="B286" t="s">
        <v>206</v>
      </c>
      <c r="D286" s="17" t="s">
        <v>1390</v>
      </c>
      <c r="E286" s="2">
        <v>1060</v>
      </c>
      <c r="F286" t="str">
        <f t="shared" si="206"/>
        <v>enemy_1060_emouse</v>
      </c>
      <c r="G286">
        <v>1</v>
      </c>
      <c r="K286">
        <v>3000</v>
      </c>
      <c r="M286">
        <v>700</v>
      </c>
      <c r="O286">
        <v>250</v>
      </c>
      <c r="Q286">
        <v>20</v>
      </c>
      <c r="Y286">
        <v>0.05</v>
      </c>
      <c r="Z286">
        <v>3.2</v>
      </c>
      <c r="AA286">
        <v>2</v>
      </c>
      <c r="AB286">
        <v>0.9</v>
      </c>
      <c r="AE286">
        <v>0</v>
      </c>
      <c r="AF286">
        <v>1</v>
      </c>
      <c r="AG286" t="s">
        <v>1391</v>
      </c>
      <c r="AH286" t="s">
        <v>209</v>
      </c>
      <c r="AI286" t="s">
        <v>1392</v>
      </c>
      <c r="AK286">
        <v>1</v>
      </c>
      <c r="AT286">
        <v>1</v>
      </c>
      <c r="AV286">
        <v>0.25</v>
      </c>
      <c r="BC286" t="str">
        <f t="shared" si="207"/>
        <v>enemy_1060_emouse</v>
      </c>
      <c r="BI286" t="s">
        <v>994</v>
      </c>
      <c r="BJ286" t="s">
        <v>1393</v>
      </c>
      <c r="BL286" t="s">
        <v>210</v>
      </c>
      <c r="BM286" t="s">
        <v>211</v>
      </c>
      <c r="BN286" s="19" t="s">
        <v>232</v>
      </c>
      <c r="BO286" t="s">
        <v>213</v>
      </c>
      <c r="BQ286" s="19"/>
      <c r="BR286">
        <v>1</v>
      </c>
    </row>
    <row r="287" spans="1:70" ht="14.5" x14ac:dyDescent="0.25">
      <c r="A287" t="s">
        <v>1394</v>
      </c>
      <c r="B287" t="s">
        <v>206</v>
      </c>
      <c r="D287" s="17" t="s">
        <v>1395</v>
      </c>
      <c r="E287" s="2">
        <v>1060</v>
      </c>
      <c r="F287" t="str">
        <f t="shared" si="206"/>
        <v>enemy_1060_emouse_2</v>
      </c>
      <c r="G287">
        <v>1</v>
      </c>
      <c r="K287">
        <v>4000</v>
      </c>
      <c r="M287">
        <v>800</v>
      </c>
      <c r="O287">
        <v>250</v>
      </c>
      <c r="Q287">
        <v>20</v>
      </c>
      <c r="Y287">
        <v>0.05</v>
      </c>
      <c r="Z287">
        <v>3.2</v>
      </c>
      <c r="AA287">
        <v>2</v>
      </c>
      <c r="AB287">
        <v>0.9</v>
      </c>
      <c r="AE287">
        <v>0</v>
      </c>
      <c r="AF287">
        <v>1</v>
      </c>
      <c r="AG287" t="s">
        <v>1396</v>
      </c>
      <c r="AH287" t="s">
        <v>209</v>
      </c>
      <c r="AI287" t="s">
        <v>1397</v>
      </c>
      <c r="AK287">
        <v>1</v>
      </c>
      <c r="AT287">
        <v>1</v>
      </c>
      <c r="AV287">
        <v>0.25</v>
      </c>
      <c r="BC287" t="str">
        <f t="shared" si="207"/>
        <v>enemy_1060_emouse_2</v>
      </c>
      <c r="BI287" t="s">
        <v>994</v>
      </c>
      <c r="BJ287" t="s">
        <v>1393</v>
      </c>
      <c r="BL287" t="s">
        <v>210</v>
      </c>
      <c r="BM287" t="s">
        <v>211</v>
      </c>
      <c r="BN287" s="19" t="s">
        <v>232</v>
      </c>
      <c r="BO287" t="s">
        <v>213</v>
      </c>
      <c r="BQ287" s="19"/>
      <c r="BR287">
        <v>1</v>
      </c>
    </row>
    <row r="288" spans="1:70" ht="14.5" x14ac:dyDescent="0.25">
      <c r="A288" t="s">
        <v>1398</v>
      </c>
      <c r="B288" t="s">
        <v>206</v>
      </c>
      <c r="D288" s="17" t="s">
        <v>1399</v>
      </c>
      <c r="E288" s="2">
        <v>1509</v>
      </c>
      <c r="F288" t="str">
        <f t="shared" si="206"/>
        <v>enemy_1509_mousek</v>
      </c>
      <c r="G288">
        <v>1</v>
      </c>
      <c r="K288">
        <v>22000</v>
      </c>
      <c r="M288">
        <v>470</v>
      </c>
      <c r="O288">
        <v>350</v>
      </c>
      <c r="Q288">
        <v>30</v>
      </c>
      <c r="Y288">
        <v>0.05</v>
      </c>
      <c r="Z288">
        <v>3.4</v>
      </c>
      <c r="AA288">
        <v>5</v>
      </c>
      <c r="AB288">
        <v>0.6</v>
      </c>
      <c r="AE288">
        <v>0</v>
      </c>
      <c r="AF288">
        <v>1</v>
      </c>
      <c r="AG288" t="s">
        <v>1400</v>
      </c>
      <c r="AH288" t="s">
        <v>209</v>
      </c>
      <c r="AI288" t="s">
        <v>1401</v>
      </c>
      <c r="AK288">
        <v>1</v>
      </c>
      <c r="AT288">
        <v>1</v>
      </c>
      <c r="AV288">
        <v>0.25</v>
      </c>
      <c r="BC288" t="str">
        <f t="shared" si="207"/>
        <v>enemy_1509_mousek</v>
      </c>
      <c r="BI288" t="s">
        <v>1333</v>
      </c>
      <c r="BJ288" t="s">
        <v>1402</v>
      </c>
      <c r="BL288" t="s">
        <v>210</v>
      </c>
      <c r="BM288" t="s">
        <v>211</v>
      </c>
      <c r="BN288" s="19" t="s">
        <v>232</v>
      </c>
      <c r="BO288" t="s">
        <v>213</v>
      </c>
      <c r="BQ288" s="19"/>
      <c r="BR288">
        <v>1</v>
      </c>
    </row>
    <row r="289" spans="1:70" ht="14.5" x14ac:dyDescent="0.25">
      <c r="A289" t="s">
        <v>1403</v>
      </c>
      <c r="B289" t="s">
        <v>206</v>
      </c>
      <c r="D289" s="17" t="s">
        <v>1404</v>
      </c>
      <c r="E289" s="2">
        <v>1061</v>
      </c>
      <c r="F289" t="str">
        <f t="shared" si="206"/>
        <v>enemy_1061_zomshd</v>
      </c>
      <c r="G289">
        <v>1</v>
      </c>
      <c r="K289">
        <v>10000</v>
      </c>
      <c r="M289">
        <v>600</v>
      </c>
      <c r="O289">
        <v>800</v>
      </c>
      <c r="Q289">
        <v>0</v>
      </c>
      <c r="Y289">
        <v>0.05</v>
      </c>
      <c r="Z289">
        <v>2.6</v>
      </c>
      <c r="AA289">
        <v>3</v>
      </c>
      <c r="AB289">
        <v>0.75</v>
      </c>
      <c r="AE289">
        <v>0</v>
      </c>
      <c r="AF289">
        <v>1</v>
      </c>
      <c r="AG289" t="s">
        <v>1405</v>
      </c>
      <c r="AH289" t="s">
        <v>209</v>
      </c>
      <c r="AI289" t="s">
        <v>231</v>
      </c>
      <c r="AK289">
        <v>1</v>
      </c>
      <c r="AR289">
        <v>200</v>
      </c>
      <c r="AT289">
        <v>1</v>
      </c>
      <c r="AV289">
        <v>0.25</v>
      </c>
      <c r="BC289" t="str">
        <f t="shared" si="207"/>
        <v>enemy_1061_zomshd</v>
      </c>
      <c r="BI289" t="s">
        <v>1406</v>
      </c>
      <c r="BJ289" t="s">
        <v>1407</v>
      </c>
      <c r="BL289" t="s">
        <v>210</v>
      </c>
      <c r="BM289" t="s">
        <v>211</v>
      </c>
      <c r="BN289" s="19" t="s">
        <v>212</v>
      </c>
      <c r="BO289" t="s">
        <v>213</v>
      </c>
      <c r="BQ289" s="19"/>
      <c r="BR289">
        <v>1</v>
      </c>
    </row>
    <row r="290" spans="1:70" ht="14.5" x14ac:dyDescent="0.25">
      <c r="A290" t="s">
        <v>1408</v>
      </c>
      <c r="B290" t="s">
        <v>206</v>
      </c>
      <c r="D290" s="17" t="s">
        <v>1409</v>
      </c>
      <c r="E290" s="2">
        <v>1061</v>
      </c>
      <c r="F290" t="str">
        <f t="shared" si="206"/>
        <v>enemy_1061_zomshd_2</v>
      </c>
      <c r="G290">
        <v>1</v>
      </c>
      <c r="K290">
        <v>16000</v>
      </c>
      <c r="M290">
        <v>800</v>
      </c>
      <c r="O290">
        <v>1000</v>
      </c>
      <c r="Q290">
        <v>0</v>
      </c>
      <c r="Y290">
        <v>0.05</v>
      </c>
      <c r="Z290">
        <v>2.6</v>
      </c>
      <c r="AA290">
        <v>3</v>
      </c>
      <c r="AB290">
        <v>0.75</v>
      </c>
      <c r="AE290">
        <v>0</v>
      </c>
      <c r="AF290">
        <v>1</v>
      </c>
      <c r="AG290" t="s">
        <v>1410</v>
      </c>
      <c r="AH290" t="s">
        <v>209</v>
      </c>
      <c r="AI290" t="s">
        <v>231</v>
      </c>
      <c r="AK290">
        <v>1</v>
      </c>
      <c r="AR290">
        <v>250</v>
      </c>
      <c r="AT290">
        <v>1</v>
      </c>
      <c r="AV290">
        <v>0.25</v>
      </c>
      <c r="BC290" t="str">
        <f t="shared" si="207"/>
        <v>enemy_1061_zomshd_2</v>
      </c>
      <c r="BI290" t="s">
        <v>1406</v>
      </c>
      <c r="BJ290" t="s">
        <v>1411</v>
      </c>
      <c r="BL290" t="s">
        <v>210</v>
      </c>
      <c r="BM290" t="s">
        <v>211</v>
      </c>
      <c r="BN290" s="19" t="s">
        <v>212</v>
      </c>
      <c r="BO290" t="s">
        <v>213</v>
      </c>
      <c r="BQ290" s="19"/>
      <c r="BR290">
        <v>1</v>
      </c>
    </row>
    <row r="291" spans="1:70" ht="14.5" x14ac:dyDescent="0.25">
      <c r="A291" t="s">
        <v>1412</v>
      </c>
      <c r="B291" t="s">
        <v>206</v>
      </c>
      <c r="D291" s="17" t="s">
        <v>1413</v>
      </c>
      <c r="E291" s="2">
        <v>1062</v>
      </c>
      <c r="F291" t="str">
        <f t="shared" si="206"/>
        <v>enemy_1062_rager</v>
      </c>
      <c r="G291">
        <v>1</v>
      </c>
      <c r="K291">
        <v>20000</v>
      </c>
      <c r="M291">
        <v>1000</v>
      </c>
      <c r="O291">
        <v>200</v>
      </c>
      <c r="Q291">
        <v>30</v>
      </c>
      <c r="Y291">
        <v>0.05</v>
      </c>
      <c r="Z291">
        <v>1.3</v>
      </c>
      <c r="AA291">
        <v>2</v>
      </c>
      <c r="AB291">
        <v>1.2</v>
      </c>
      <c r="AE291">
        <v>0</v>
      </c>
      <c r="AF291">
        <v>1</v>
      </c>
      <c r="AG291" t="s">
        <v>1414</v>
      </c>
      <c r="AH291" t="s">
        <v>209</v>
      </c>
      <c r="AI291" t="s">
        <v>231</v>
      </c>
      <c r="AK291">
        <v>1</v>
      </c>
      <c r="AR291">
        <v>-330</v>
      </c>
      <c r="AT291">
        <v>1</v>
      </c>
      <c r="AV291">
        <v>0.25</v>
      </c>
      <c r="BC291" t="str">
        <f t="shared" si="207"/>
        <v>enemy_1062_rager</v>
      </c>
      <c r="BI291" t="s">
        <v>1406</v>
      </c>
      <c r="BJ291" t="s">
        <v>1415</v>
      </c>
      <c r="BL291" t="s">
        <v>210</v>
      </c>
      <c r="BM291" t="s">
        <v>211</v>
      </c>
      <c r="BN291" s="19" t="s">
        <v>232</v>
      </c>
      <c r="BO291" t="s">
        <v>213</v>
      </c>
      <c r="BQ291" s="19"/>
      <c r="BR291">
        <v>1</v>
      </c>
    </row>
    <row r="292" spans="1:70" ht="14.5" x14ac:dyDescent="0.25">
      <c r="A292" t="s">
        <v>1416</v>
      </c>
      <c r="B292" t="s">
        <v>206</v>
      </c>
      <c r="D292" s="17" t="s">
        <v>1417</v>
      </c>
      <c r="E292" s="2">
        <v>1062</v>
      </c>
      <c r="F292" t="str">
        <f t="shared" si="206"/>
        <v>enemy_1062_rager_2</v>
      </c>
      <c r="G292">
        <v>1</v>
      </c>
      <c r="K292">
        <v>30000</v>
      </c>
      <c r="M292">
        <v>1750</v>
      </c>
      <c r="O292">
        <v>230</v>
      </c>
      <c r="Q292">
        <v>30</v>
      </c>
      <c r="Y292">
        <v>0.05</v>
      </c>
      <c r="Z292">
        <v>1.3</v>
      </c>
      <c r="AA292">
        <v>2</v>
      </c>
      <c r="AB292">
        <v>1.2</v>
      </c>
      <c r="AE292">
        <v>0</v>
      </c>
      <c r="AF292">
        <v>1</v>
      </c>
      <c r="AG292" t="s">
        <v>1418</v>
      </c>
      <c r="AH292" t="s">
        <v>209</v>
      </c>
      <c r="AI292" t="s">
        <v>231</v>
      </c>
      <c r="AK292">
        <v>1</v>
      </c>
      <c r="AR292">
        <v>-500</v>
      </c>
      <c r="AT292">
        <v>1</v>
      </c>
      <c r="AV292">
        <v>0.25</v>
      </c>
      <c r="BC292" t="str">
        <f t="shared" si="207"/>
        <v>enemy_1062_rager_2</v>
      </c>
      <c r="BI292" t="s">
        <v>1406</v>
      </c>
      <c r="BJ292" t="s">
        <v>1419</v>
      </c>
      <c r="BL292" t="s">
        <v>210</v>
      </c>
      <c r="BM292" t="s">
        <v>211</v>
      </c>
      <c r="BN292" s="19" t="s">
        <v>232</v>
      </c>
      <c r="BO292" t="s">
        <v>213</v>
      </c>
      <c r="BQ292" s="19"/>
      <c r="BR292">
        <v>1</v>
      </c>
    </row>
    <row r="293" spans="1:70" ht="14.5" x14ac:dyDescent="0.25">
      <c r="A293" t="s">
        <v>1420</v>
      </c>
      <c r="B293" t="s">
        <v>206</v>
      </c>
      <c r="D293" s="17" t="s">
        <v>1421</v>
      </c>
      <c r="E293" s="2">
        <v>1063</v>
      </c>
      <c r="F293" t="str">
        <f t="shared" si="206"/>
        <v>enemy_1063_rageth</v>
      </c>
      <c r="G293">
        <v>1</v>
      </c>
      <c r="K293">
        <v>15000</v>
      </c>
      <c r="M293">
        <v>750</v>
      </c>
      <c r="O293">
        <v>200</v>
      </c>
      <c r="Q293">
        <v>30</v>
      </c>
      <c r="Y293">
        <v>0.05</v>
      </c>
      <c r="Z293">
        <v>2</v>
      </c>
      <c r="AA293">
        <v>2</v>
      </c>
      <c r="AB293">
        <v>0.7</v>
      </c>
      <c r="AE293">
        <v>0</v>
      </c>
      <c r="AF293">
        <v>1</v>
      </c>
      <c r="AG293" t="s">
        <v>1422</v>
      </c>
      <c r="AH293" t="s">
        <v>209</v>
      </c>
      <c r="AI293" t="s">
        <v>1423</v>
      </c>
      <c r="AK293">
        <v>1</v>
      </c>
      <c r="AR293">
        <v>-250</v>
      </c>
      <c r="AT293">
        <v>1</v>
      </c>
      <c r="AV293">
        <v>0.25</v>
      </c>
      <c r="BC293" t="str">
        <f t="shared" si="207"/>
        <v>enemy_1063_rageth</v>
      </c>
      <c r="BI293" t="s">
        <v>1424</v>
      </c>
      <c r="BJ293" t="s">
        <v>1425</v>
      </c>
      <c r="BL293" t="s">
        <v>210</v>
      </c>
      <c r="BM293" t="s">
        <v>211</v>
      </c>
      <c r="BN293" s="19" t="s">
        <v>232</v>
      </c>
      <c r="BO293" t="s">
        <v>213</v>
      </c>
      <c r="BQ293" s="19"/>
      <c r="BR293">
        <v>1</v>
      </c>
    </row>
    <row r="294" spans="1:70" ht="14.5" x14ac:dyDescent="0.25">
      <c r="A294" t="s">
        <v>1426</v>
      </c>
      <c r="B294" t="s">
        <v>206</v>
      </c>
      <c r="D294" s="17" t="s">
        <v>1427</v>
      </c>
      <c r="E294" s="2">
        <v>1063</v>
      </c>
      <c r="F294" t="str">
        <f t="shared" si="206"/>
        <v>enemy_1063_rageth_2</v>
      </c>
      <c r="G294">
        <v>1</v>
      </c>
      <c r="K294">
        <v>22000</v>
      </c>
      <c r="M294">
        <v>1050</v>
      </c>
      <c r="O294">
        <v>220</v>
      </c>
      <c r="Q294">
        <v>30</v>
      </c>
      <c r="Y294">
        <v>0.05</v>
      </c>
      <c r="Z294">
        <v>2</v>
      </c>
      <c r="AA294">
        <v>2</v>
      </c>
      <c r="AB294">
        <v>0.7</v>
      </c>
      <c r="AE294">
        <v>0</v>
      </c>
      <c r="AF294">
        <v>1</v>
      </c>
      <c r="AG294" t="s">
        <v>1428</v>
      </c>
      <c r="AH294" t="s">
        <v>209</v>
      </c>
      <c r="AI294" t="s">
        <v>1423</v>
      </c>
      <c r="AK294">
        <v>1</v>
      </c>
      <c r="AR294">
        <v>-350</v>
      </c>
      <c r="AT294">
        <v>1</v>
      </c>
      <c r="AV294">
        <v>0.25</v>
      </c>
      <c r="BC294" t="str">
        <f t="shared" si="207"/>
        <v>enemy_1063_rageth_2</v>
      </c>
      <c r="BI294" t="s">
        <v>1424</v>
      </c>
      <c r="BJ294" t="s">
        <v>1429</v>
      </c>
      <c r="BL294" t="s">
        <v>210</v>
      </c>
      <c r="BM294" t="s">
        <v>211</v>
      </c>
      <c r="BN294" s="19" t="s">
        <v>232</v>
      </c>
      <c r="BO294" t="s">
        <v>213</v>
      </c>
      <c r="BQ294" s="19"/>
      <c r="BR294">
        <v>1</v>
      </c>
    </row>
    <row r="295" spans="1:70" ht="14.5" x14ac:dyDescent="0.25">
      <c r="A295" t="s">
        <v>1430</v>
      </c>
      <c r="B295" t="s">
        <v>206</v>
      </c>
      <c r="D295" s="17" t="s">
        <v>239</v>
      </c>
      <c r="E295" s="2">
        <v>1064</v>
      </c>
      <c r="F295" t="str">
        <f t="shared" si="206"/>
        <v>enemy_1064_snsbr</v>
      </c>
      <c r="G295">
        <v>1</v>
      </c>
      <c r="K295">
        <v>3400</v>
      </c>
      <c r="M295">
        <v>360</v>
      </c>
      <c r="O295">
        <v>100</v>
      </c>
      <c r="Q295">
        <v>0</v>
      </c>
      <c r="Y295">
        <v>0.05</v>
      </c>
      <c r="Z295">
        <v>2</v>
      </c>
      <c r="AA295">
        <v>1</v>
      </c>
      <c r="AB295">
        <v>1.1000000000000001</v>
      </c>
      <c r="AE295">
        <v>0</v>
      </c>
      <c r="AF295">
        <v>1</v>
      </c>
      <c r="AG295" t="s">
        <v>238</v>
      </c>
      <c r="AH295" t="s">
        <v>209</v>
      </c>
      <c r="AI295" t="s">
        <v>241</v>
      </c>
      <c r="AK295">
        <v>1</v>
      </c>
      <c r="AT295">
        <v>1</v>
      </c>
      <c r="AV295">
        <v>0.25</v>
      </c>
      <c r="BC295" t="str">
        <f t="shared" si="207"/>
        <v>enemy_1064_snsbr</v>
      </c>
      <c r="BI295" t="s">
        <v>935</v>
      </c>
      <c r="BJ295" t="s">
        <v>1431</v>
      </c>
      <c r="BL295" t="s">
        <v>210</v>
      </c>
      <c r="BM295" t="s">
        <v>211</v>
      </c>
      <c r="BN295" s="19" t="s">
        <v>242</v>
      </c>
      <c r="BO295" t="s">
        <v>213</v>
      </c>
      <c r="BQ295" s="19"/>
      <c r="BR295">
        <v>1</v>
      </c>
    </row>
    <row r="296" spans="1:70" ht="14.5" x14ac:dyDescent="0.25">
      <c r="A296" t="s">
        <v>1432</v>
      </c>
      <c r="B296" t="s">
        <v>206</v>
      </c>
      <c r="D296" s="17" t="s">
        <v>1433</v>
      </c>
      <c r="E296" s="2">
        <v>1065</v>
      </c>
      <c r="F296" t="str">
        <f t="shared" si="206"/>
        <v>enemy_1065_snwolf</v>
      </c>
      <c r="G296">
        <v>1</v>
      </c>
      <c r="K296">
        <v>3150</v>
      </c>
      <c r="M296">
        <v>350</v>
      </c>
      <c r="O296">
        <v>0</v>
      </c>
      <c r="Q296">
        <v>30</v>
      </c>
      <c r="Y296">
        <v>0.05</v>
      </c>
      <c r="Z296">
        <v>1.4</v>
      </c>
      <c r="AA296">
        <v>0</v>
      </c>
      <c r="AB296">
        <v>1.9</v>
      </c>
      <c r="AE296">
        <v>0</v>
      </c>
      <c r="AF296">
        <v>1</v>
      </c>
      <c r="AG296" t="s">
        <v>1434</v>
      </c>
      <c r="AH296" t="s">
        <v>209</v>
      </c>
      <c r="AI296" t="s">
        <v>241</v>
      </c>
      <c r="AK296">
        <v>1</v>
      </c>
      <c r="AT296">
        <v>1</v>
      </c>
      <c r="AV296">
        <v>0.25</v>
      </c>
      <c r="BC296" t="str">
        <f t="shared" si="207"/>
        <v>enemy_1065_snwolf</v>
      </c>
      <c r="BI296" t="s">
        <v>893</v>
      </c>
      <c r="BJ296" t="s">
        <v>1435</v>
      </c>
      <c r="BL296" t="s">
        <v>210</v>
      </c>
      <c r="BM296" t="s">
        <v>211</v>
      </c>
      <c r="BN296" s="19" t="s">
        <v>242</v>
      </c>
      <c r="BO296" t="s">
        <v>213</v>
      </c>
      <c r="BQ296" s="19"/>
      <c r="BR296">
        <v>1</v>
      </c>
    </row>
    <row r="297" spans="1:70" ht="14.5" x14ac:dyDescent="0.25">
      <c r="A297" t="s">
        <v>1436</v>
      </c>
      <c r="B297" t="s">
        <v>206</v>
      </c>
      <c r="D297" s="17" t="s">
        <v>244</v>
      </c>
      <c r="E297" s="2">
        <v>1065</v>
      </c>
      <c r="F297" t="str">
        <f t="shared" si="206"/>
        <v>enemy_1065_snwolf_2</v>
      </c>
      <c r="G297">
        <v>1</v>
      </c>
      <c r="K297">
        <v>4650</v>
      </c>
      <c r="M297">
        <v>430</v>
      </c>
      <c r="O297">
        <v>0</v>
      </c>
      <c r="Q297">
        <v>30</v>
      </c>
      <c r="Y297">
        <v>0.05</v>
      </c>
      <c r="Z297">
        <v>1.4</v>
      </c>
      <c r="AA297">
        <v>0</v>
      </c>
      <c r="AB297">
        <v>1.9</v>
      </c>
      <c r="AE297">
        <v>0</v>
      </c>
      <c r="AF297">
        <v>1</v>
      </c>
      <c r="AG297" t="s">
        <v>246</v>
      </c>
      <c r="AH297" t="s">
        <v>209</v>
      </c>
      <c r="AI297" t="s">
        <v>241</v>
      </c>
      <c r="AK297">
        <v>1</v>
      </c>
      <c r="AT297">
        <v>1</v>
      </c>
      <c r="AV297">
        <v>0.25</v>
      </c>
      <c r="BC297" t="str">
        <f t="shared" si="207"/>
        <v>enemy_1065_snwolf_2</v>
      </c>
      <c r="BI297" t="s">
        <v>893</v>
      </c>
      <c r="BJ297" t="s">
        <v>1437</v>
      </c>
      <c r="BL297" t="s">
        <v>210</v>
      </c>
      <c r="BM297" t="s">
        <v>211</v>
      </c>
      <c r="BN297" s="19" t="s">
        <v>242</v>
      </c>
      <c r="BO297" t="s">
        <v>213</v>
      </c>
      <c r="BQ297" s="19"/>
      <c r="BR297">
        <v>1</v>
      </c>
    </row>
    <row r="298" spans="1:70" ht="14.5" x14ac:dyDescent="0.25">
      <c r="A298" t="s">
        <v>1438</v>
      </c>
      <c r="B298" t="s">
        <v>206</v>
      </c>
      <c r="D298" s="17" t="s">
        <v>1439</v>
      </c>
      <c r="E298" s="2">
        <v>1066</v>
      </c>
      <c r="F298" t="str">
        <f t="shared" si="206"/>
        <v>enemy_1066_snbow</v>
      </c>
      <c r="G298">
        <v>1</v>
      </c>
      <c r="K298">
        <v>2500</v>
      </c>
      <c r="M298">
        <v>290</v>
      </c>
      <c r="O298">
        <v>80</v>
      </c>
      <c r="Q298">
        <v>0</v>
      </c>
      <c r="Y298">
        <v>0.05</v>
      </c>
      <c r="Z298">
        <v>2.4</v>
      </c>
      <c r="AA298">
        <v>1</v>
      </c>
      <c r="AB298">
        <v>0.9</v>
      </c>
      <c r="AE298">
        <v>0</v>
      </c>
      <c r="AF298">
        <v>1</v>
      </c>
      <c r="AG298" t="s">
        <v>1440</v>
      </c>
      <c r="AH298" t="s">
        <v>209</v>
      </c>
      <c r="AI298" t="s">
        <v>263</v>
      </c>
      <c r="AK298">
        <v>1</v>
      </c>
      <c r="AT298">
        <v>1</v>
      </c>
      <c r="AV298">
        <v>0.25</v>
      </c>
      <c r="BC298" t="str">
        <f t="shared" si="207"/>
        <v>enemy_1066_snbow</v>
      </c>
      <c r="BI298" t="s">
        <v>941</v>
      </c>
      <c r="BJ298" t="s">
        <v>1441</v>
      </c>
      <c r="BL298" t="s">
        <v>210</v>
      </c>
      <c r="BM298" t="s">
        <v>211</v>
      </c>
      <c r="BN298" s="19" t="s">
        <v>232</v>
      </c>
      <c r="BO298" t="s">
        <v>213</v>
      </c>
      <c r="BQ298" s="19"/>
      <c r="BR298">
        <v>1</v>
      </c>
    </row>
    <row r="299" spans="1:70" ht="14.5" x14ac:dyDescent="0.25">
      <c r="A299" t="s">
        <v>1442</v>
      </c>
      <c r="B299" t="s">
        <v>206</v>
      </c>
      <c r="D299" s="17" t="s">
        <v>260</v>
      </c>
      <c r="E299" s="2">
        <v>1066</v>
      </c>
      <c r="F299" t="str">
        <f t="shared" si="206"/>
        <v>enemy_1066_snbow_2</v>
      </c>
      <c r="G299">
        <v>1</v>
      </c>
      <c r="K299">
        <v>3500</v>
      </c>
      <c r="M299">
        <v>360</v>
      </c>
      <c r="O299">
        <v>100</v>
      </c>
      <c r="Q299">
        <v>0</v>
      </c>
      <c r="Y299">
        <v>0.05</v>
      </c>
      <c r="Z299">
        <v>2.4</v>
      </c>
      <c r="AA299">
        <v>1</v>
      </c>
      <c r="AB299">
        <v>0.9</v>
      </c>
      <c r="AE299">
        <v>0</v>
      </c>
      <c r="AF299">
        <v>1</v>
      </c>
      <c r="AG299" t="s">
        <v>262</v>
      </c>
      <c r="AH299" t="s">
        <v>209</v>
      </c>
      <c r="AI299" t="s">
        <v>263</v>
      </c>
      <c r="AK299">
        <v>1</v>
      </c>
      <c r="AT299">
        <v>1</v>
      </c>
      <c r="AV299">
        <v>0.25</v>
      </c>
      <c r="BC299" t="str">
        <f t="shared" si="207"/>
        <v>enemy_1066_snbow_2</v>
      </c>
      <c r="BI299" t="s">
        <v>941</v>
      </c>
      <c r="BJ299" t="s">
        <v>1443</v>
      </c>
      <c r="BL299" t="s">
        <v>210</v>
      </c>
      <c r="BM299" t="s">
        <v>211</v>
      </c>
      <c r="BN299" s="19" t="s">
        <v>232</v>
      </c>
      <c r="BO299" t="s">
        <v>213</v>
      </c>
      <c r="BQ299" s="19"/>
      <c r="BR299">
        <v>1</v>
      </c>
    </row>
    <row r="300" spans="1:70" ht="14.5" x14ac:dyDescent="0.25">
      <c r="A300" t="s">
        <v>1444</v>
      </c>
      <c r="B300" t="s">
        <v>206</v>
      </c>
      <c r="D300" s="17" t="s">
        <v>1445</v>
      </c>
      <c r="E300" s="2">
        <v>1067</v>
      </c>
      <c r="F300" t="str">
        <f t="shared" si="206"/>
        <v>enemy_1067_snslime</v>
      </c>
      <c r="G300">
        <v>1</v>
      </c>
      <c r="K300">
        <v>3250</v>
      </c>
      <c r="M300">
        <v>300</v>
      </c>
      <c r="O300">
        <v>0</v>
      </c>
      <c r="Q300">
        <v>0</v>
      </c>
      <c r="Y300">
        <v>0.05</v>
      </c>
      <c r="Z300">
        <v>1.7</v>
      </c>
      <c r="AA300">
        <v>0</v>
      </c>
      <c r="AB300">
        <v>1</v>
      </c>
      <c r="AE300">
        <v>0</v>
      </c>
      <c r="AF300">
        <v>1</v>
      </c>
      <c r="AG300" t="s">
        <v>1446</v>
      </c>
      <c r="AH300" t="s">
        <v>209</v>
      </c>
      <c r="AI300" t="s">
        <v>253</v>
      </c>
      <c r="AK300">
        <v>1</v>
      </c>
      <c r="AT300">
        <v>1</v>
      </c>
      <c r="AV300">
        <v>0.25</v>
      </c>
      <c r="BC300" t="str">
        <f t="shared" si="207"/>
        <v>enemy_1067_snslime</v>
      </c>
      <c r="BI300" t="s">
        <v>893</v>
      </c>
      <c r="BJ300" t="s">
        <v>1447</v>
      </c>
      <c r="BL300" t="s">
        <v>210</v>
      </c>
      <c r="BM300" t="s">
        <v>211</v>
      </c>
      <c r="BN300" s="19" t="s">
        <v>232</v>
      </c>
      <c r="BO300" t="s">
        <v>213</v>
      </c>
      <c r="BQ300" s="19"/>
      <c r="BR300">
        <v>1</v>
      </c>
    </row>
    <row r="301" spans="1:70" ht="14.5" x14ac:dyDescent="0.25">
      <c r="A301" t="s">
        <v>1448</v>
      </c>
      <c r="B301" t="s">
        <v>206</v>
      </c>
      <c r="D301" s="17" t="s">
        <v>249</v>
      </c>
      <c r="E301" s="2">
        <v>1067</v>
      </c>
      <c r="F301" t="str">
        <f t="shared" si="206"/>
        <v>enemy_1067_snslime_2</v>
      </c>
      <c r="G301">
        <v>1</v>
      </c>
      <c r="K301">
        <v>4850</v>
      </c>
      <c r="M301">
        <v>370</v>
      </c>
      <c r="O301">
        <v>0</v>
      </c>
      <c r="Q301">
        <v>0</v>
      </c>
      <c r="Y301">
        <v>0.05</v>
      </c>
      <c r="Z301">
        <v>1.7</v>
      </c>
      <c r="AA301">
        <v>0</v>
      </c>
      <c r="AB301">
        <v>1</v>
      </c>
      <c r="AE301">
        <v>0</v>
      </c>
      <c r="AF301">
        <v>1</v>
      </c>
      <c r="AG301" t="s">
        <v>251</v>
      </c>
      <c r="AH301" t="s">
        <v>209</v>
      </c>
      <c r="AI301" t="s">
        <v>253</v>
      </c>
      <c r="AK301">
        <v>1</v>
      </c>
      <c r="AT301">
        <v>1</v>
      </c>
      <c r="AV301">
        <v>0.25</v>
      </c>
      <c r="BC301" t="str">
        <f t="shared" si="207"/>
        <v>enemy_1067_snslime_2</v>
      </c>
      <c r="BI301" t="s">
        <v>893</v>
      </c>
      <c r="BJ301" t="s">
        <v>1449</v>
      </c>
      <c r="BL301" t="s">
        <v>210</v>
      </c>
      <c r="BM301" t="s">
        <v>211</v>
      </c>
      <c r="BN301" s="19" t="s">
        <v>232</v>
      </c>
      <c r="BO301" t="s">
        <v>213</v>
      </c>
      <c r="BQ301" s="19"/>
      <c r="BR301">
        <v>1</v>
      </c>
    </row>
    <row r="302" spans="1:70" ht="14.5" x14ac:dyDescent="0.25">
      <c r="A302" t="s">
        <v>1450</v>
      </c>
      <c r="B302" t="s">
        <v>206</v>
      </c>
      <c r="D302" s="17" t="s">
        <v>1451</v>
      </c>
      <c r="E302" s="2">
        <v>1068</v>
      </c>
      <c r="F302" t="str">
        <f t="shared" si="206"/>
        <v>enemy_1068_snmage</v>
      </c>
      <c r="G302">
        <v>1</v>
      </c>
      <c r="K302">
        <v>5000</v>
      </c>
      <c r="M302">
        <v>320</v>
      </c>
      <c r="O302">
        <v>200</v>
      </c>
      <c r="Q302">
        <v>50</v>
      </c>
      <c r="Y302">
        <v>0.05</v>
      </c>
      <c r="Z302">
        <v>4.5</v>
      </c>
      <c r="AA302">
        <v>2</v>
      </c>
      <c r="AB302">
        <v>0.8</v>
      </c>
      <c r="AE302">
        <v>0</v>
      </c>
      <c r="AF302">
        <v>1</v>
      </c>
      <c r="AG302" t="s">
        <v>1452</v>
      </c>
      <c r="AH302" t="s">
        <v>209</v>
      </c>
      <c r="AI302" t="s">
        <v>258</v>
      </c>
      <c r="AK302">
        <v>1</v>
      </c>
      <c r="AT302">
        <v>1</v>
      </c>
      <c r="AV302">
        <v>0.25</v>
      </c>
      <c r="BC302" t="str">
        <f t="shared" si="207"/>
        <v>enemy_1068_snmage</v>
      </c>
      <c r="BI302" t="s">
        <v>941</v>
      </c>
      <c r="BJ302" t="s">
        <v>1453</v>
      </c>
      <c r="BL302" t="s">
        <v>210</v>
      </c>
      <c r="BM302" t="s">
        <v>211</v>
      </c>
      <c r="BN302" s="19" t="s">
        <v>232</v>
      </c>
      <c r="BO302" t="s">
        <v>213</v>
      </c>
      <c r="BQ302" s="19"/>
      <c r="BR302">
        <v>1</v>
      </c>
    </row>
    <row r="303" spans="1:70" ht="14.5" x14ac:dyDescent="0.25">
      <c r="A303" t="s">
        <v>1454</v>
      </c>
      <c r="B303" t="s">
        <v>206</v>
      </c>
      <c r="D303" s="17" t="s">
        <v>255</v>
      </c>
      <c r="E303" s="2">
        <v>1068</v>
      </c>
      <c r="F303" t="str">
        <f t="shared" si="206"/>
        <v>enemy_1068_snmage_2</v>
      </c>
      <c r="G303">
        <v>1</v>
      </c>
      <c r="K303">
        <v>8000</v>
      </c>
      <c r="M303">
        <v>400</v>
      </c>
      <c r="O303">
        <v>250</v>
      </c>
      <c r="Q303">
        <v>50</v>
      </c>
      <c r="Y303">
        <v>0.05</v>
      </c>
      <c r="Z303">
        <v>4</v>
      </c>
      <c r="AA303">
        <v>2</v>
      </c>
      <c r="AB303">
        <v>0.8</v>
      </c>
      <c r="AE303">
        <v>0</v>
      </c>
      <c r="AF303">
        <v>1</v>
      </c>
      <c r="AG303" t="s">
        <v>257</v>
      </c>
      <c r="AH303" t="s">
        <v>209</v>
      </c>
      <c r="AI303" t="s">
        <v>258</v>
      </c>
      <c r="AK303">
        <v>1</v>
      </c>
      <c r="AT303">
        <v>1</v>
      </c>
      <c r="AV303">
        <v>0.25</v>
      </c>
      <c r="BC303" t="str">
        <f t="shared" si="207"/>
        <v>enemy_1068_snmage_2</v>
      </c>
      <c r="BI303" t="s">
        <v>941</v>
      </c>
      <c r="BJ303" t="s">
        <v>1455</v>
      </c>
      <c r="BL303" t="s">
        <v>210</v>
      </c>
      <c r="BM303" t="s">
        <v>211</v>
      </c>
      <c r="BN303" s="19" t="s">
        <v>232</v>
      </c>
      <c r="BO303" t="s">
        <v>213</v>
      </c>
      <c r="BQ303" s="19"/>
      <c r="BR303">
        <v>1</v>
      </c>
    </row>
    <row r="304" spans="1:70" ht="14.5" x14ac:dyDescent="0.25">
      <c r="A304" t="s">
        <v>1456</v>
      </c>
      <c r="B304" t="s">
        <v>206</v>
      </c>
      <c r="D304" s="17" t="s">
        <v>1457</v>
      </c>
      <c r="E304" s="2">
        <v>1069</v>
      </c>
      <c r="F304" t="str">
        <f t="shared" si="206"/>
        <v>enemy_1069_icebrk</v>
      </c>
      <c r="G304">
        <v>1</v>
      </c>
      <c r="K304">
        <v>16000</v>
      </c>
      <c r="M304">
        <v>830</v>
      </c>
      <c r="O304">
        <v>500</v>
      </c>
      <c r="Q304">
        <v>20</v>
      </c>
      <c r="Y304">
        <v>0.05</v>
      </c>
      <c r="Z304">
        <v>3</v>
      </c>
      <c r="AA304">
        <v>3</v>
      </c>
      <c r="AB304">
        <v>0.7</v>
      </c>
      <c r="AE304">
        <v>0</v>
      </c>
      <c r="AF304">
        <v>1</v>
      </c>
      <c r="AG304" t="s">
        <v>1458</v>
      </c>
      <c r="AH304" t="s">
        <v>209</v>
      </c>
      <c r="AI304" t="s">
        <v>269</v>
      </c>
      <c r="AK304">
        <v>1</v>
      </c>
      <c r="AT304">
        <v>1</v>
      </c>
      <c r="AV304">
        <v>0.25</v>
      </c>
      <c r="BC304" t="str">
        <f t="shared" si="207"/>
        <v>enemy_1069_icebrk</v>
      </c>
      <c r="BI304" t="s">
        <v>994</v>
      </c>
      <c r="BJ304" t="s">
        <v>1459</v>
      </c>
      <c r="BL304" t="s">
        <v>210</v>
      </c>
      <c r="BM304" t="s">
        <v>211</v>
      </c>
      <c r="BN304" s="19" t="s">
        <v>232</v>
      </c>
      <c r="BO304" t="s">
        <v>213</v>
      </c>
      <c r="BQ304" s="19"/>
      <c r="BR304">
        <v>1</v>
      </c>
    </row>
    <row r="305" spans="1:70" ht="14.5" x14ac:dyDescent="0.25">
      <c r="A305" t="s">
        <v>1460</v>
      </c>
      <c r="B305" t="s">
        <v>206</v>
      </c>
      <c r="D305" s="17" t="s">
        <v>265</v>
      </c>
      <c r="E305" s="2">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267</v>
      </c>
      <c r="AH305" t="s">
        <v>209</v>
      </c>
      <c r="AI305" t="s">
        <v>1461</v>
      </c>
      <c r="AK305">
        <v>1</v>
      </c>
      <c r="AT305">
        <v>1</v>
      </c>
      <c r="AV305">
        <v>0.25</v>
      </c>
      <c r="BC305" t="str">
        <f t="shared" ref="BC305:BC368" si="209">"enemy_"&amp;E305&amp;"_"&amp;D305</f>
        <v>enemy_1069_icebrk_2</v>
      </c>
      <c r="BI305" t="s">
        <v>994</v>
      </c>
      <c r="BJ305" t="s">
        <v>1462</v>
      </c>
      <c r="BL305" t="s">
        <v>210</v>
      </c>
      <c r="BM305" t="s">
        <v>211</v>
      </c>
      <c r="BN305" s="19" t="s">
        <v>232</v>
      </c>
      <c r="BO305" t="s">
        <v>213</v>
      </c>
      <c r="BQ305" s="19"/>
      <c r="BR305">
        <v>1</v>
      </c>
    </row>
    <row r="306" spans="1:70" ht="14.5" x14ac:dyDescent="0.25">
      <c r="A306" t="s">
        <v>1463</v>
      </c>
      <c r="B306" t="s">
        <v>206</v>
      </c>
      <c r="D306" s="17" t="s">
        <v>1464</v>
      </c>
      <c r="E306" s="2">
        <v>1070</v>
      </c>
      <c r="F306" t="str">
        <f t="shared" si="208"/>
        <v>enemy_1070_iced</v>
      </c>
      <c r="G306">
        <v>0.7</v>
      </c>
      <c r="K306">
        <v>4000</v>
      </c>
      <c r="M306">
        <v>500</v>
      </c>
      <c r="O306">
        <v>180</v>
      </c>
      <c r="Q306">
        <v>30</v>
      </c>
      <c r="Y306">
        <v>0.05</v>
      </c>
      <c r="Z306">
        <v>1</v>
      </c>
      <c r="AA306">
        <v>0</v>
      </c>
      <c r="AB306">
        <v>0.6</v>
      </c>
      <c r="AE306">
        <v>0</v>
      </c>
      <c r="AF306">
        <v>1</v>
      </c>
      <c r="AG306" t="s">
        <v>1465</v>
      </c>
      <c r="AH306" t="s">
        <v>209</v>
      </c>
      <c r="AI306" t="s">
        <v>1466</v>
      </c>
      <c r="AK306">
        <v>1</v>
      </c>
      <c r="AL306">
        <v>1</v>
      </c>
      <c r="AT306">
        <v>1</v>
      </c>
      <c r="AV306">
        <v>0.25</v>
      </c>
      <c r="BC306" t="str">
        <f t="shared" si="209"/>
        <v>enemy_1070_iced</v>
      </c>
      <c r="BI306" t="s">
        <v>1037</v>
      </c>
      <c r="BJ306" t="s">
        <v>1467</v>
      </c>
      <c r="BL306" t="s">
        <v>210</v>
      </c>
      <c r="BM306" t="s">
        <v>211</v>
      </c>
      <c r="BN306" s="19" t="s">
        <v>212</v>
      </c>
      <c r="BO306" t="s">
        <v>213</v>
      </c>
      <c r="BQ306" s="19"/>
      <c r="BR306">
        <v>1</v>
      </c>
    </row>
    <row r="307" spans="1:70" ht="14.5" x14ac:dyDescent="0.25">
      <c r="A307" t="s">
        <v>1468</v>
      </c>
      <c r="B307" t="s">
        <v>206</v>
      </c>
      <c r="D307" s="17" t="s">
        <v>234</v>
      </c>
      <c r="E307" s="2">
        <v>1510</v>
      </c>
      <c r="F307" t="str">
        <f t="shared" si="208"/>
        <v>enemy_1510_frstar2</v>
      </c>
      <c r="G307">
        <v>1</v>
      </c>
      <c r="K307">
        <v>30000</v>
      </c>
      <c r="M307">
        <v>440</v>
      </c>
      <c r="O307">
        <v>380</v>
      </c>
      <c r="Q307">
        <v>50</v>
      </c>
      <c r="Y307">
        <v>0.05</v>
      </c>
      <c r="Z307">
        <v>3.7</v>
      </c>
      <c r="AA307">
        <v>6</v>
      </c>
      <c r="AB307">
        <v>0.5</v>
      </c>
      <c r="AE307">
        <v>0</v>
      </c>
      <c r="AF307">
        <v>1</v>
      </c>
      <c r="AG307" t="s">
        <v>1469</v>
      </c>
      <c r="AH307" t="s">
        <v>209</v>
      </c>
      <c r="AI307" t="s">
        <v>1470</v>
      </c>
      <c r="AK307">
        <v>1</v>
      </c>
      <c r="AT307">
        <v>1</v>
      </c>
      <c r="AV307">
        <v>0.25</v>
      </c>
      <c r="BC307" t="str">
        <f t="shared" si="209"/>
        <v>enemy_1510_frstar2</v>
      </c>
      <c r="BI307" t="s">
        <v>1333</v>
      </c>
      <c r="BJ307" t="s">
        <v>1471</v>
      </c>
      <c r="BL307" t="s">
        <v>210</v>
      </c>
      <c r="BM307" t="s">
        <v>211</v>
      </c>
      <c r="BN307" s="19" t="s">
        <v>232</v>
      </c>
      <c r="BO307" t="s">
        <v>213</v>
      </c>
      <c r="BQ307" s="19"/>
      <c r="BR307">
        <v>1</v>
      </c>
    </row>
    <row r="308" spans="1:70" ht="14.5" x14ac:dyDescent="0.25">
      <c r="A308" t="s">
        <v>1472</v>
      </c>
      <c r="B308" t="s">
        <v>206</v>
      </c>
      <c r="D308" s="17" t="s">
        <v>1473</v>
      </c>
      <c r="E308" s="2">
        <v>1510</v>
      </c>
      <c r="F308" t="str">
        <f t="shared" si="208"/>
        <v>enemy_1510_frstar2_s</v>
      </c>
      <c r="G308">
        <v>1</v>
      </c>
      <c r="K308">
        <v>95000</v>
      </c>
      <c r="M308">
        <v>1200</v>
      </c>
      <c r="O308">
        <v>300</v>
      </c>
      <c r="Q308">
        <v>50</v>
      </c>
      <c r="Y308">
        <v>0.05</v>
      </c>
      <c r="Z308">
        <v>3.7</v>
      </c>
      <c r="AA308">
        <v>6</v>
      </c>
      <c r="AB308">
        <v>0.25</v>
      </c>
      <c r="AE308">
        <v>0</v>
      </c>
      <c r="AF308">
        <v>1</v>
      </c>
      <c r="AG308" t="s">
        <v>1474</v>
      </c>
      <c r="AH308" t="s">
        <v>209</v>
      </c>
      <c r="AI308" t="s">
        <v>231</v>
      </c>
      <c r="AK308">
        <v>1</v>
      </c>
      <c r="AT308">
        <v>1</v>
      </c>
      <c r="AV308">
        <v>0.25</v>
      </c>
      <c r="BC308" t="str">
        <f t="shared" si="209"/>
        <v>enemy_1510_frstar2_s</v>
      </c>
      <c r="BL308" t="s">
        <v>210</v>
      </c>
      <c r="BM308" t="s">
        <v>211</v>
      </c>
      <c r="BN308" s="19"/>
      <c r="BO308" t="s">
        <v>213</v>
      </c>
      <c r="BQ308" s="19"/>
      <c r="BR308">
        <v>1</v>
      </c>
    </row>
    <row r="309" spans="1:70" ht="14.5" x14ac:dyDescent="0.25">
      <c r="A309" t="s">
        <v>1475</v>
      </c>
      <c r="B309" t="s">
        <v>206</v>
      </c>
      <c r="D309" s="17" t="s">
        <v>1476</v>
      </c>
      <c r="E309" s="2">
        <v>1071</v>
      </c>
      <c r="F309" t="str">
        <f t="shared" si="208"/>
        <v>enemy_1071_dftman</v>
      </c>
      <c r="G309">
        <v>1</v>
      </c>
      <c r="K309">
        <v>2800</v>
      </c>
      <c r="M309">
        <v>300</v>
      </c>
      <c r="O309">
        <v>70</v>
      </c>
      <c r="Q309">
        <v>50</v>
      </c>
      <c r="Y309">
        <v>0.05</v>
      </c>
      <c r="Z309">
        <v>2.5</v>
      </c>
      <c r="AA309">
        <v>1</v>
      </c>
      <c r="AB309">
        <v>1</v>
      </c>
      <c r="AE309">
        <v>0</v>
      </c>
      <c r="AF309">
        <v>1</v>
      </c>
      <c r="AG309" t="s">
        <v>1477</v>
      </c>
      <c r="AH309" t="s">
        <v>209</v>
      </c>
      <c r="AI309" t="s">
        <v>231</v>
      </c>
      <c r="AK309">
        <v>1</v>
      </c>
      <c r="AT309">
        <v>1</v>
      </c>
      <c r="AV309">
        <v>0.25</v>
      </c>
      <c r="BC309" t="str">
        <f t="shared" si="209"/>
        <v>enemy_1071_dftman</v>
      </c>
      <c r="BI309" t="s">
        <v>1478</v>
      </c>
      <c r="BJ309" t="s">
        <v>1479</v>
      </c>
      <c r="BL309" t="s">
        <v>210</v>
      </c>
      <c r="BM309" t="s">
        <v>211</v>
      </c>
      <c r="BN309" s="19" t="s">
        <v>232</v>
      </c>
      <c r="BO309" t="s">
        <v>213</v>
      </c>
      <c r="BQ309" s="19"/>
      <c r="BR309">
        <v>1</v>
      </c>
    </row>
    <row r="310" spans="1:70" ht="14.5" x14ac:dyDescent="0.25">
      <c r="A310" t="s">
        <v>1480</v>
      </c>
      <c r="B310" t="s">
        <v>206</v>
      </c>
      <c r="D310" s="17" t="s">
        <v>1481</v>
      </c>
      <c r="E310" s="2">
        <v>1071</v>
      </c>
      <c r="F310" t="str">
        <f t="shared" si="208"/>
        <v>enemy_1071_dftman_2</v>
      </c>
      <c r="G310">
        <v>1</v>
      </c>
      <c r="K310">
        <v>4000</v>
      </c>
      <c r="M310">
        <v>370</v>
      </c>
      <c r="O310">
        <v>100</v>
      </c>
      <c r="Q310">
        <v>50</v>
      </c>
      <c r="Y310">
        <v>0.05</v>
      </c>
      <c r="Z310">
        <v>2.5</v>
      </c>
      <c r="AA310">
        <v>1</v>
      </c>
      <c r="AB310">
        <v>1</v>
      </c>
      <c r="AE310">
        <v>0</v>
      </c>
      <c r="AF310">
        <v>1</v>
      </c>
      <c r="AG310" t="s">
        <v>1482</v>
      </c>
      <c r="AH310" t="s">
        <v>209</v>
      </c>
      <c r="AI310" t="s">
        <v>231</v>
      </c>
      <c r="AK310">
        <v>1</v>
      </c>
      <c r="AT310">
        <v>1</v>
      </c>
      <c r="AV310">
        <v>0.25</v>
      </c>
      <c r="BC310" t="str">
        <f t="shared" si="209"/>
        <v>enemy_1071_dftman_2</v>
      </c>
      <c r="BI310" t="s">
        <v>1478</v>
      </c>
      <c r="BJ310" t="s">
        <v>1483</v>
      </c>
      <c r="BL310" t="s">
        <v>210</v>
      </c>
      <c r="BM310" t="s">
        <v>211</v>
      </c>
      <c r="BN310" s="19" t="s">
        <v>232</v>
      </c>
      <c r="BO310" t="s">
        <v>213</v>
      </c>
      <c r="BQ310" s="19"/>
      <c r="BR310">
        <v>1</v>
      </c>
    </row>
    <row r="311" spans="1:70" ht="14.5" x14ac:dyDescent="0.25">
      <c r="A311" t="s">
        <v>1484</v>
      </c>
      <c r="B311" t="s">
        <v>206</v>
      </c>
      <c r="D311" s="17" t="s">
        <v>1485</v>
      </c>
      <c r="E311" s="2">
        <v>1072</v>
      </c>
      <c r="F311" t="str">
        <f t="shared" si="208"/>
        <v>enemy_1072_dlancer</v>
      </c>
      <c r="G311">
        <v>1</v>
      </c>
      <c r="K311">
        <v>6000</v>
      </c>
      <c r="M311">
        <v>450</v>
      </c>
      <c r="O311">
        <v>150</v>
      </c>
      <c r="Q311">
        <v>40</v>
      </c>
      <c r="Y311">
        <v>0.05</v>
      </c>
      <c r="Z311">
        <v>4</v>
      </c>
      <c r="AA311">
        <v>3</v>
      </c>
      <c r="AB311">
        <v>0.25</v>
      </c>
      <c r="AE311">
        <v>0</v>
      </c>
      <c r="AF311">
        <v>1</v>
      </c>
      <c r="AG311" t="s">
        <v>1486</v>
      </c>
      <c r="AH311" t="s">
        <v>209</v>
      </c>
      <c r="AI311" t="s">
        <v>1487</v>
      </c>
      <c r="AK311">
        <v>1</v>
      </c>
      <c r="AT311">
        <v>1</v>
      </c>
      <c r="AV311">
        <v>0.25</v>
      </c>
      <c r="BC311" t="str">
        <f t="shared" si="209"/>
        <v>enemy_1072_dlancer</v>
      </c>
      <c r="BI311" t="s">
        <v>1068</v>
      </c>
      <c r="BJ311" t="s">
        <v>1488</v>
      </c>
      <c r="BL311" t="s">
        <v>210</v>
      </c>
      <c r="BM311" t="s">
        <v>211</v>
      </c>
      <c r="BN311" s="19" t="s">
        <v>232</v>
      </c>
      <c r="BO311" t="s">
        <v>213</v>
      </c>
      <c r="BQ311" s="19"/>
      <c r="BR311">
        <v>1</v>
      </c>
    </row>
    <row r="312" spans="1:70" ht="14.5" x14ac:dyDescent="0.25">
      <c r="A312" t="s">
        <v>1489</v>
      </c>
      <c r="B312" t="s">
        <v>206</v>
      </c>
      <c r="D312" s="17" t="s">
        <v>1490</v>
      </c>
      <c r="E312" s="2">
        <v>1072</v>
      </c>
      <c r="F312" t="str">
        <f t="shared" si="208"/>
        <v>enemy_1072_dlancer_2</v>
      </c>
      <c r="G312">
        <v>1</v>
      </c>
      <c r="K312">
        <v>8000</v>
      </c>
      <c r="M312">
        <v>500</v>
      </c>
      <c r="O312">
        <v>230</v>
      </c>
      <c r="Q312">
        <v>40</v>
      </c>
      <c r="Y312">
        <v>0.05</v>
      </c>
      <c r="Z312">
        <v>4</v>
      </c>
      <c r="AA312">
        <v>3</v>
      </c>
      <c r="AB312">
        <v>0.3</v>
      </c>
      <c r="AE312">
        <v>0</v>
      </c>
      <c r="AF312">
        <v>1</v>
      </c>
      <c r="AG312" t="s">
        <v>1491</v>
      </c>
      <c r="AH312" t="s">
        <v>209</v>
      </c>
      <c r="AI312" t="s">
        <v>1492</v>
      </c>
      <c r="AK312">
        <v>1</v>
      </c>
      <c r="AT312">
        <v>1</v>
      </c>
      <c r="AV312">
        <v>0.25</v>
      </c>
      <c r="BC312" t="str">
        <f t="shared" si="209"/>
        <v>enemy_1072_dlancer_2</v>
      </c>
      <c r="BI312" t="s">
        <v>1068</v>
      </c>
      <c r="BJ312" t="s">
        <v>1493</v>
      </c>
      <c r="BL312" t="s">
        <v>210</v>
      </c>
      <c r="BM312" t="s">
        <v>211</v>
      </c>
      <c r="BN312" s="19" t="s">
        <v>232</v>
      </c>
      <c r="BO312" t="s">
        <v>213</v>
      </c>
      <c r="BQ312" s="19"/>
      <c r="BR312">
        <v>1</v>
      </c>
    </row>
    <row r="313" spans="1:70" ht="14.5" x14ac:dyDescent="0.25">
      <c r="A313" t="s">
        <v>1494</v>
      </c>
      <c r="B313" t="s">
        <v>206</v>
      </c>
      <c r="D313" s="17" t="s">
        <v>1495</v>
      </c>
      <c r="E313" s="2">
        <v>1073</v>
      </c>
      <c r="F313" t="str">
        <f t="shared" si="208"/>
        <v>enemy_1073_dscout</v>
      </c>
      <c r="G313">
        <v>1</v>
      </c>
      <c r="K313">
        <v>4000</v>
      </c>
      <c r="M313">
        <v>0</v>
      </c>
      <c r="O313">
        <v>100</v>
      </c>
      <c r="Q313">
        <v>30</v>
      </c>
      <c r="Y313">
        <v>0.05</v>
      </c>
      <c r="Z313">
        <v>1</v>
      </c>
      <c r="AA313">
        <v>1</v>
      </c>
      <c r="AB313">
        <v>0.5</v>
      </c>
      <c r="AE313">
        <v>0</v>
      </c>
      <c r="AF313">
        <v>1</v>
      </c>
      <c r="AG313" t="s">
        <v>1496</v>
      </c>
      <c r="AH313" t="s">
        <v>209</v>
      </c>
      <c r="AI313" t="s">
        <v>1497</v>
      </c>
      <c r="AK313">
        <v>1</v>
      </c>
      <c r="AT313">
        <v>1</v>
      </c>
      <c r="AU313" t="s">
        <v>1498</v>
      </c>
      <c r="AV313">
        <v>0.25</v>
      </c>
      <c r="BC313" t="str">
        <f t="shared" si="209"/>
        <v>enemy_1073_dscout</v>
      </c>
      <c r="BI313" t="s">
        <v>1499</v>
      </c>
      <c r="BJ313" t="s">
        <v>1500</v>
      </c>
      <c r="BL313" t="s">
        <v>210</v>
      </c>
      <c r="BM313" t="s">
        <v>211</v>
      </c>
      <c r="BN313" s="19" t="s">
        <v>232</v>
      </c>
      <c r="BO313" t="s">
        <v>213</v>
      </c>
      <c r="BQ313" s="19"/>
      <c r="BR313">
        <v>1</v>
      </c>
    </row>
    <row r="314" spans="1:70" ht="14.5" x14ac:dyDescent="0.25">
      <c r="A314" t="s">
        <v>1501</v>
      </c>
      <c r="B314" t="s">
        <v>206</v>
      </c>
      <c r="D314" s="17" t="s">
        <v>1502</v>
      </c>
      <c r="E314" s="2">
        <v>1073</v>
      </c>
      <c r="F314" t="str">
        <f t="shared" si="208"/>
        <v>enemy_1073_dscout_2</v>
      </c>
      <c r="G314">
        <v>1</v>
      </c>
      <c r="K314">
        <v>5000</v>
      </c>
      <c r="M314">
        <v>0</v>
      </c>
      <c r="O314">
        <v>160</v>
      </c>
      <c r="Q314">
        <v>30</v>
      </c>
      <c r="Y314">
        <v>0.05</v>
      </c>
      <c r="Z314">
        <v>1</v>
      </c>
      <c r="AA314">
        <v>1</v>
      </c>
      <c r="AB314">
        <v>0.5</v>
      </c>
      <c r="AE314">
        <v>0</v>
      </c>
      <c r="AF314">
        <v>1</v>
      </c>
      <c r="AG314" t="s">
        <v>1503</v>
      </c>
      <c r="AH314" t="s">
        <v>209</v>
      </c>
      <c r="AI314" t="s">
        <v>1497</v>
      </c>
      <c r="AK314">
        <v>1</v>
      </c>
      <c r="AT314">
        <v>1</v>
      </c>
      <c r="AU314" t="s">
        <v>1498</v>
      </c>
      <c r="AV314">
        <v>0.25</v>
      </c>
      <c r="BC314" t="str">
        <f t="shared" si="209"/>
        <v>enemy_1073_dscout_2</v>
      </c>
      <c r="BI314" t="s">
        <v>1499</v>
      </c>
      <c r="BJ314" t="s">
        <v>1500</v>
      </c>
      <c r="BL314" t="s">
        <v>210</v>
      </c>
      <c r="BM314" t="s">
        <v>211</v>
      </c>
      <c r="BN314" s="19" t="s">
        <v>232</v>
      </c>
      <c r="BO314" t="s">
        <v>213</v>
      </c>
      <c r="BQ314" s="19"/>
      <c r="BR314">
        <v>1</v>
      </c>
    </row>
    <row r="315" spans="1:70" ht="14.5" x14ac:dyDescent="0.25">
      <c r="A315" t="s">
        <v>1504</v>
      </c>
      <c r="B315" t="s">
        <v>206</v>
      </c>
      <c r="D315" s="17" t="s">
        <v>1505</v>
      </c>
      <c r="E315" s="2">
        <v>1074</v>
      </c>
      <c r="F315" t="str">
        <f t="shared" si="208"/>
        <v>enemy_1074_dbskar</v>
      </c>
      <c r="G315">
        <v>1</v>
      </c>
      <c r="K315">
        <v>15000</v>
      </c>
      <c r="M315">
        <v>700</v>
      </c>
      <c r="O315">
        <v>250</v>
      </c>
      <c r="Q315">
        <v>50</v>
      </c>
      <c r="Y315">
        <v>0.05</v>
      </c>
      <c r="Z315">
        <v>5</v>
      </c>
      <c r="AA315">
        <v>3</v>
      </c>
      <c r="AB315">
        <v>0.4</v>
      </c>
      <c r="AE315">
        <v>0</v>
      </c>
      <c r="AF315">
        <v>1</v>
      </c>
      <c r="AG315" t="s">
        <v>1506</v>
      </c>
      <c r="AH315" t="s">
        <v>209</v>
      </c>
      <c r="AI315" t="s">
        <v>1507</v>
      </c>
      <c r="AK315">
        <v>1</v>
      </c>
      <c r="AT315">
        <v>1</v>
      </c>
      <c r="AV315">
        <v>0.25</v>
      </c>
      <c r="BC315" t="str">
        <f t="shared" si="209"/>
        <v>enemy_1074_dbskar</v>
      </c>
      <c r="BI315" t="s">
        <v>1078</v>
      </c>
      <c r="BJ315" t="s">
        <v>1508</v>
      </c>
      <c r="BL315" t="s">
        <v>210</v>
      </c>
      <c r="BM315" t="s">
        <v>211</v>
      </c>
      <c r="BN315" s="19" t="s">
        <v>232</v>
      </c>
      <c r="BO315" t="s">
        <v>213</v>
      </c>
      <c r="BQ315" s="19"/>
      <c r="BR315">
        <v>1</v>
      </c>
    </row>
    <row r="316" spans="1:70" ht="14.5" x14ac:dyDescent="0.25">
      <c r="A316" t="s">
        <v>1509</v>
      </c>
      <c r="B316" t="s">
        <v>206</v>
      </c>
      <c r="D316" s="17" t="s">
        <v>1510</v>
      </c>
      <c r="E316" s="2">
        <v>1074</v>
      </c>
      <c r="F316" t="str">
        <f t="shared" si="208"/>
        <v>enemy_1074_dbskar_2</v>
      </c>
      <c r="G316">
        <v>1</v>
      </c>
      <c r="K316">
        <v>22000</v>
      </c>
      <c r="M316">
        <v>850</v>
      </c>
      <c r="O316">
        <v>300</v>
      </c>
      <c r="Q316">
        <v>50</v>
      </c>
      <c r="Y316">
        <v>0.05</v>
      </c>
      <c r="Z316">
        <v>5</v>
      </c>
      <c r="AA316">
        <v>3</v>
      </c>
      <c r="AB316">
        <v>0.4</v>
      </c>
      <c r="AE316">
        <v>0</v>
      </c>
      <c r="AF316">
        <v>1</v>
      </c>
      <c r="AG316" t="s">
        <v>1511</v>
      </c>
      <c r="AH316" t="s">
        <v>209</v>
      </c>
      <c r="AI316" t="s">
        <v>1507</v>
      </c>
      <c r="AK316">
        <v>1</v>
      </c>
      <c r="AT316">
        <v>1</v>
      </c>
      <c r="AV316">
        <v>0.25</v>
      </c>
      <c r="BC316" t="str">
        <f t="shared" si="209"/>
        <v>enemy_1074_dbskar_2</v>
      </c>
      <c r="BI316" t="s">
        <v>1078</v>
      </c>
      <c r="BJ316" t="s">
        <v>1508</v>
      </c>
      <c r="BL316" t="s">
        <v>210</v>
      </c>
      <c r="BM316" t="s">
        <v>211</v>
      </c>
      <c r="BN316" s="19" t="s">
        <v>232</v>
      </c>
      <c r="BO316" t="s">
        <v>213</v>
      </c>
      <c r="BQ316" s="19"/>
      <c r="BR316">
        <v>1</v>
      </c>
    </row>
    <row r="317" spans="1:70" ht="14.5" x14ac:dyDescent="0.25">
      <c r="A317" t="s">
        <v>1512</v>
      </c>
      <c r="B317" t="s">
        <v>206</v>
      </c>
      <c r="D317" s="17" t="s">
        <v>1513</v>
      </c>
      <c r="E317" s="2">
        <v>1075</v>
      </c>
      <c r="F317" t="str">
        <f t="shared" si="208"/>
        <v>enemy_1075_dmgswd</v>
      </c>
      <c r="G317">
        <v>1</v>
      </c>
      <c r="K317">
        <v>6500</v>
      </c>
      <c r="M317">
        <v>400</v>
      </c>
      <c r="O317">
        <v>200</v>
      </c>
      <c r="Q317">
        <v>50</v>
      </c>
      <c r="Y317">
        <v>0.05</v>
      </c>
      <c r="Z317">
        <v>2.5</v>
      </c>
      <c r="AA317">
        <v>2</v>
      </c>
      <c r="AB317">
        <v>0.4</v>
      </c>
      <c r="AE317">
        <v>0</v>
      </c>
      <c r="AF317">
        <v>1</v>
      </c>
      <c r="AG317" t="s">
        <v>1514</v>
      </c>
      <c r="AH317" t="s">
        <v>209</v>
      </c>
      <c r="AI317" t="s">
        <v>1515</v>
      </c>
      <c r="AK317">
        <v>1</v>
      </c>
      <c r="AT317">
        <v>1</v>
      </c>
      <c r="AV317">
        <v>0.25</v>
      </c>
      <c r="BC317" t="str">
        <f t="shared" si="209"/>
        <v>enemy_1075_dmgswd</v>
      </c>
      <c r="BI317" t="s">
        <v>1068</v>
      </c>
      <c r="BJ317" t="s">
        <v>1516</v>
      </c>
      <c r="BL317" t="s">
        <v>210</v>
      </c>
      <c r="BM317" t="s">
        <v>211</v>
      </c>
      <c r="BN317" s="19" t="s">
        <v>232</v>
      </c>
      <c r="BO317" t="s">
        <v>213</v>
      </c>
      <c r="BQ317" s="19"/>
      <c r="BR317">
        <v>1</v>
      </c>
    </row>
    <row r="318" spans="1:70" ht="14.5" x14ac:dyDescent="0.25">
      <c r="A318" t="s">
        <v>1517</v>
      </c>
      <c r="B318" t="s">
        <v>206</v>
      </c>
      <c r="D318" s="17" t="s">
        <v>1518</v>
      </c>
      <c r="E318" s="2">
        <v>1075</v>
      </c>
      <c r="F318" t="str">
        <f t="shared" si="208"/>
        <v>enemy_1075_dmgswd_2</v>
      </c>
      <c r="G318">
        <v>1</v>
      </c>
      <c r="K318">
        <v>9500</v>
      </c>
      <c r="M318">
        <v>500</v>
      </c>
      <c r="O318">
        <v>250</v>
      </c>
      <c r="Q318">
        <v>50</v>
      </c>
      <c r="Y318">
        <v>0.05</v>
      </c>
      <c r="Z318">
        <v>2.5</v>
      </c>
      <c r="AA318">
        <v>2</v>
      </c>
      <c r="AB318">
        <v>0.4</v>
      </c>
      <c r="AE318">
        <v>0</v>
      </c>
      <c r="AF318">
        <v>1</v>
      </c>
      <c r="AG318" t="s">
        <v>1519</v>
      </c>
      <c r="AH318" t="s">
        <v>209</v>
      </c>
      <c r="AI318" t="s">
        <v>1515</v>
      </c>
      <c r="AK318">
        <v>1</v>
      </c>
      <c r="AT318">
        <v>1</v>
      </c>
      <c r="AV318">
        <v>0.25</v>
      </c>
      <c r="BC318" t="str">
        <f t="shared" si="209"/>
        <v>enemy_1075_dmgswd_2</v>
      </c>
      <c r="BI318" t="s">
        <v>1068</v>
      </c>
      <c r="BJ318" t="s">
        <v>1516</v>
      </c>
      <c r="BL318" t="s">
        <v>210</v>
      </c>
      <c r="BM318" t="s">
        <v>211</v>
      </c>
      <c r="BN318" s="19" t="s">
        <v>232</v>
      </c>
      <c r="BO318" t="s">
        <v>213</v>
      </c>
      <c r="BQ318" s="19"/>
      <c r="BR318">
        <v>1</v>
      </c>
    </row>
    <row r="319" spans="1:70" ht="14.5" x14ac:dyDescent="0.25">
      <c r="A319" t="s">
        <v>1520</v>
      </c>
      <c r="B319" t="s">
        <v>206</v>
      </c>
      <c r="D319" s="17" t="s">
        <v>1521</v>
      </c>
      <c r="E319" s="2">
        <v>1076</v>
      </c>
      <c r="F319" t="str">
        <f t="shared" si="208"/>
        <v>enemy_1076_bsthmr</v>
      </c>
      <c r="G319">
        <v>1</v>
      </c>
      <c r="K319">
        <v>15000</v>
      </c>
      <c r="M319">
        <v>1700</v>
      </c>
      <c r="O319">
        <v>800</v>
      </c>
      <c r="Q319">
        <v>0</v>
      </c>
      <c r="Y319">
        <v>0.05</v>
      </c>
      <c r="Z319">
        <v>5</v>
      </c>
      <c r="AA319">
        <v>4</v>
      </c>
      <c r="AB319">
        <v>0.6</v>
      </c>
      <c r="AE319">
        <v>0</v>
      </c>
      <c r="AF319">
        <v>1</v>
      </c>
      <c r="AG319" t="s">
        <v>1522</v>
      </c>
      <c r="AH319" t="s">
        <v>209</v>
      </c>
      <c r="AI319" t="s">
        <v>1523</v>
      </c>
      <c r="AK319">
        <v>1</v>
      </c>
      <c r="AT319">
        <v>1</v>
      </c>
      <c r="AU319" t="s">
        <v>1524</v>
      </c>
      <c r="AV319">
        <v>0.25</v>
      </c>
      <c r="BC319" t="str">
        <f t="shared" si="209"/>
        <v>enemy_1076_bsthmr</v>
      </c>
      <c r="BI319" t="s">
        <v>994</v>
      </c>
      <c r="BJ319" t="s">
        <v>1525</v>
      </c>
      <c r="BL319" t="s">
        <v>210</v>
      </c>
      <c r="BM319" t="s">
        <v>211</v>
      </c>
      <c r="BN319" s="19" t="s">
        <v>212</v>
      </c>
      <c r="BO319" t="s">
        <v>213</v>
      </c>
      <c r="BQ319" s="19"/>
      <c r="BR319">
        <v>1</v>
      </c>
    </row>
    <row r="320" spans="1:70" ht="14.5" x14ac:dyDescent="0.25">
      <c r="A320" t="s">
        <v>1526</v>
      </c>
      <c r="B320" t="s">
        <v>206</v>
      </c>
      <c r="D320" s="17" t="s">
        <v>1527</v>
      </c>
      <c r="E320" s="2">
        <v>1076</v>
      </c>
      <c r="F320" t="str">
        <f t="shared" si="208"/>
        <v>enemy_1076_bsthmr_2</v>
      </c>
      <c r="G320">
        <v>1</v>
      </c>
      <c r="K320">
        <v>25000</v>
      </c>
      <c r="M320">
        <v>2200</v>
      </c>
      <c r="O320">
        <v>1000</v>
      </c>
      <c r="Q320">
        <v>0</v>
      </c>
      <c r="Y320">
        <v>0.05</v>
      </c>
      <c r="Z320">
        <v>5</v>
      </c>
      <c r="AA320">
        <v>4</v>
      </c>
      <c r="AB320">
        <v>0.6</v>
      </c>
      <c r="AE320">
        <v>0</v>
      </c>
      <c r="AF320">
        <v>1</v>
      </c>
      <c r="AG320" t="s">
        <v>1528</v>
      </c>
      <c r="AH320" t="s">
        <v>209</v>
      </c>
      <c r="AI320" t="s">
        <v>1523</v>
      </c>
      <c r="AK320">
        <v>1</v>
      </c>
      <c r="AT320">
        <v>1</v>
      </c>
      <c r="AV320">
        <v>0.25</v>
      </c>
      <c r="BC320" t="str">
        <f t="shared" si="209"/>
        <v>enemy_1076_bsthmr_2</v>
      </c>
      <c r="BI320" t="s">
        <v>994</v>
      </c>
      <c r="BJ320" t="s">
        <v>1525</v>
      </c>
      <c r="BL320" t="s">
        <v>210</v>
      </c>
      <c r="BM320" t="s">
        <v>211</v>
      </c>
      <c r="BN320" s="19" t="s">
        <v>212</v>
      </c>
      <c r="BO320" t="s">
        <v>213</v>
      </c>
      <c r="BQ320" s="19"/>
      <c r="BR320">
        <v>1</v>
      </c>
    </row>
    <row r="321" spans="1:70" ht="14.5" x14ac:dyDescent="0.25">
      <c r="A321" t="s">
        <v>1529</v>
      </c>
      <c r="B321" t="s">
        <v>206</v>
      </c>
      <c r="D321" s="17" t="s">
        <v>1530</v>
      </c>
      <c r="E321" s="2">
        <v>1077</v>
      </c>
      <c r="F321" t="str">
        <f t="shared" si="208"/>
        <v>enemy_1077_sotihd</v>
      </c>
      <c r="G321">
        <v>1</v>
      </c>
      <c r="K321">
        <v>2900</v>
      </c>
      <c r="M321">
        <v>350</v>
      </c>
      <c r="O321">
        <v>150</v>
      </c>
      <c r="Q321">
        <v>20</v>
      </c>
      <c r="Y321">
        <v>0.05</v>
      </c>
      <c r="Z321">
        <v>1.4</v>
      </c>
      <c r="AA321">
        <v>0</v>
      </c>
      <c r="AB321">
        <v>1.9</v>
      </c>
      <c r="AE321">
        <v>0</v>
      </c>
      <c r="AF321">
        <v>1</v>
      </c>
      <c r="AG321" t="s">
        <v>1531</v>
      </c>
      <c r="AH321" t="s">
        <v>209</v>
      </c>
      <c r="AI321" t="s">
        <v>231</v>
      </c>
      <c r="AK321">
        <v>1</v>
      </c>
      <c r="AT321">
        <v>1</v>
      </c>
      <c r="AV321">
        <v>0.25</v>
      </c>
      <c r="BC321" t="str">
        <f t="shared" si="209"/>
        <v>enemy_1077_sotihd</v>
      </c>
      <c r="BI321" t="s">
        <v>893</v>
      </c>
      <c r="BJ321" t="s">
        <v>1532</v>
      </c>
      <c r="BL321" t="s">
        <v>210</v>
      </c>
      <c r="BM321" t="s">
        <v>211</v>
      </c>
      <c r="BN321" s="19" t="s">
        <v>242</v>
      </c>
      <c r="BO321" t="s">
        <v>213</v>
      </c>
      <c r="BQ321" s="19"/>
      <c r="BR321">
        <v>1</v>
      </c>
    </row>
    <row r="322" spans="1:70" ht="14.5" x14ac:dyDescent="0.25">
      <c r="A322" t="s">
        <v>1533</v>
      </c>
      <c r="B322" t="s">
        <v>206</v>
      </c>
      <c r="D322" s="17" t="s">
        <v>1534</v>
      </c>
      <c r="E322" s="2">
        <v>1077</v>
      </c>
      <c r="F322" t="str">
        <f t="shared" si="208"/>
        <v>enemy_1077_sotihd_2</v>
      </c>
      <c r="G322">
        <v>1</v>
      </c>
      <c r="K322">
        <v>3800</v>
      </c>
      <c r="M322">
        <v>420</v>
      </c>
      <c r="O322">
        <v>150</v>
      </c>
      <c r="Q322">
        <v>20</v>
      </c>
      <c r="Y322">
        <v>0.05</v>
      </c>
      <c r="Z322">
        <v>1.4</v>
      </c>
      <c r="AA322">
        <v>0</v>
      </c>
      <c r="AB322">
        <v>1.9</v>
      </c>
      <c r="AE322">
        <v>0</v>
      </c>
      <c r="AF322">
        <v>1</v>
      </c>
      <c r="AG322" t="s">
        <v>1535</v>
      </c>
      <c r="AH322" t="s">
        <v>209</v>
      </c>
      <c r="AI322" t="s">
        <v>231</v>
      </c>
      <c r="AK322">
        <v>1</v>
      </c>
      <c r="AT322">
        <v>1</v>
      </c>
      <c r="AV322">
        <v>0.25</v>
      </c>
      <c r="BC322" t="str">
        <f t="shared" si="209"/>
        <v>enemy_1077_sotihd_2</v>
      </c>
      <c r="BI322" t="s">
        <v>893</v>
      </c>
      <c r="BJ322" t="s">
        <v>1536</v>
      </c>
      <c r="BL322" t="s">
        <v>210</v>
      </c>
      <c r="BM322" t="s">
        <v>211</v>
      </c>
      <c r="BN322" s="19" t="s">
        <v>242</v>
      </c>
      <c r="BO322" t="s">
        <v>213</v>
      </c>
      <c r="BQ322" s="19"/>
      <c r="BR322">
        <v>1</v>
      </c>
    </row>
    <row r="323" spans="1:70" ht="14.5" x14ac:dyDescent="0.25">
      <c r="A323" t="s">
        <v>1537</v>
      </c>
      <c r="B323" t="s">
        <v>206</v>
      </c>
      <c r="D323" s="17" t="s">
        <v>1538</v>
      </c>
      <c r="E323" s="2">
        <v>1078</v>
      </c>
      <c r="F323" t="str">
        <f t="shared" si="208"/>
        <v>enemy_1078_sotisc</v>
      </c>
      <c r="G323">
        <v>1</v>
      </c>
      <c r="K323">
        <v>3300</v>
      </c>
      <c r="M323">
        <v>300</v>
      </c>
      <c r="O323">
        <v>300</v>
      </c>
      <c r="Q323">
        <v>20</v>
      </c>
      <c r="Y323">
        <v>0.05</v>
      </c>
      <c r="Z323">
        <v>2</v>
      </c>
      <c r="AA323">
        <v>1</v>
      </c>
      <c r="AB323">
        <v>1.1000000000000001</v>
      </c>
      <c r="AE323">
        <v>0</v>
      </c>
      <c r="AF323">
        <v>1</v>
      </c>
      <c r="AG323" t="s">
        <v>1539</v>
      </c>
      <c r="AH323" t="s">
        <v>209</v>
      </c>
      <c r="AI323" t="s">
        <v>1540</v>
      </c>
      <c r="AK323">
        <v>1</v>
      </c>
      <c r="AT323">
        <v>1</v>
      </c>
      <c r="AV323">
        <v>0.25</v>
      </c>
      <c r="BC323" t="str">
        <f t="shared" si="209"/>
        <v>enemy_1078_sotisc</v>
      </c>
      <c r="BI323" t="s">
        <v>935</v>
      </c>
      <c r="BJ323" t="s">
        <v>1541</v>
      </c>
      <c r="BL323" t="s">
        <v>210</v>
      </c>
      <c r="BM323" t="s">
        <v>211</v>
      </c>
      <c r="BN323" s="19" t="s">
        <v>232</v>
      </c>
      <c r="BO323" t="s">
        <v>213</v>
      </c>
      <c r="BQ323" s="19"/>
      <c r="BR323">
        <v>1</v>
      </c>
    </row>
    <row r="324" spans="1:70" ht="14.5" x14ac:dyDescent="0.25">
      <c r="A324" t="s">
        <v>1542</v>
      </c>
      <c r="B324" t="s">
        <v>206</v>
      </c>
      <c r="D324" s="17" t="s">
        <v>1543</v>
      </c>
      <c r="E324" s="2">
        <v>1078</v>
      </c>
      <c r="F324" t="str">
        <f t="shared" si="208"/>
        <v>enemy_1078_sotisc_2</v>
      </c>
      <c r="G324">
        <v>1</v>
      </c>
      <c r="K324">
        <v>4500</v>
      </c>
      <c r="M324">
        <v>330</v>
      </c>
      <c r="O324">
        <v>350</v>
      </c>
      <c r="Q324">
        <v>20</v>
      </c>
      <c r="Y324">
        <v>0.05</v>
      </c>
      <c r="Z324">
        <v>2</v>
      </c>
      <c r="AA324">
        <v>1</v>
      </c>
      <c r="AB324">
        <v>1.1000000000000001</v>
      </c>
      <c r="AE324">
        <v>0</v>
      </c>
      <c r="AF324">
        <v>1</v>
      </c>
      <c r="AG324" t="s">
        <v>1544</v>
      </c>
      <c r="AH324" t="s">
        <v>209</v>
      </c>
      <c r="AI324" t="s">
        <v>1540</v>
      </c>
      <c r="AK324">
        <v>1</v>
      </c>
      <c r="AT324">
        <v>1</v>
      </c>
      <c r="AV324">
        <v>0.25</v>
      </c>
      <c r="BC324" t="str">
        <f t="shared" si="209"/>
        <v>enemy_1078_sotisc_2</v>
      </c>
      <c r="BI324" t="s">
        <v>935</v>
      </c>
      <c r="BJ324" t="s">
        <v>1541</v>
      </c>
      <c r="BL324" t="s">
        <v>210</v>
      </c>
      <c r="BM324" t="s">
        <v>211</v>
      </c>
      <c r="BN324" s="19" t="s">
        <v>232</v>
      </c>
      <c r="BO324" t="s">
        <v>213</v>
      </c>
      <c r="BQ324" s="19"/>
      <c r="BR324">
        <v>1</v>
      </c>
    </row>
    <row r="325" spans="1:70" ht="14.5" x14ac:dyDescent="0.25">
      <c r="A325" t="s">
        <v>1545</v>
      </c>
      <c r="B325" t="s">
        <v>206</v>
      </c>
      <c r="D325" s="17" t="s">
        <v>1546</v>
      </c>
      <c r="E325" s="2">
        <v>1079</v>
      </c>
      <c r="F325" t="str">
        <f t="shared" si="208"/>
        <v>enemy_1079_sotisp</v>
      </c>
      <c r="G325">
        <v>1</v>
      </c>
      <c r="K325">
        <v>3000</v>
      </c>
      <c r="M325">
        <v>340</v>
      </c>
      <c r="O325">
        <v>300</v>
      </c>
      <c r="Q325">
        <v>20</v>
      </c>
      <c r="Y325">
        <v>0.05</v>
      </c>
      <c r="Z325">
        <v>2.5</v>
      </c>
      <c r="AA325">
        <v>1</v>
      </c>
      <c r="AB325">
        <v>0.9</v>
      </c>
      <c r="AE325">
        <v>0</v>
      </c>
      <c r="AF325">
        <v>1</v>
      </c>
      <c r="AG325" t="s">
        <v>1547</v>
      </c>
      <c r="AH325" t="s">
        <v>209</v>
      </c>
      <c r="AI325" t="s">
        <v>1548</v>
      </c>
      <c r="AK325">
        <v>1</v>
      </c>
      <c r="AT325">
        <v>1</v>
      </c>
      <c r="AV325">
        <v>0.25</v>
      </c>
      <c r="BC325" t="str">
        <f t="shared" si="209"/>
        <v>enemy_1079_sotisp</v>
      </c>
      <c r="BI325" t="s">
        <v>941</v>
      </c>
      <c r="BJ325" t="s">
        <v>1549</v>
      </c>
      <c r="BL325" t="s">
        <v>210</v>
      </c>
      <c r="BM325" t="s">
        <v>211</v>
      </c>
      <c r="BN325" s="19" t="s">
        <v>232</v>
      </c>
      <c r="BO325" t="s">
        <v>213</v>
      </c>
      <c r="BQ325" s="19"/>
      <c r="BR325">
        <v>1</v>
      </c>
    </row>
    <row r="326" spans="1:70" ht="14.5" x14ac:dyDescent="0.25">
      <c r="A326" t="s">
        <v>1550</v>
      </c>
      <c r="B326" t="s">
        <v>206</v>
      </c>
      <c r="D326" s="17" t="s">
        <v>1551</v>
      </c>
      <c r="E326" s="2">
        <v>1079</v>
      </c>
      <c r="F326" t="str">
        <f t="shared" si="208"/>
        <v>enemy_1079_sotisp_2</v>
      </c>
      <c r="G326">
        <v>1</v>
      </c>
      <c r="K326">
        <v>4000</v>
      </c>
      <c r="M326">
        <v>390</v>
      </c>
      <c r="O326">
        <v>300</v>
      </c>
      <c r="Q326">
        <v>20</v>
      </c>
      <c r="Y326">
        <v>0.05</v>
      </c>
      <c r="Z326">
        <v>2.7</v>
      </c>
      <c r="AA326">
        <v>1</v>
      </c>
      <c r="AB326">
        <v>0.9</v>
      </c>
      <c r="AE326">
        <v>0</v>
      </c>
      <c r="AF326">
        <v>1</v>
      </c>
      <c r="AG326" t="s">
        <v>1552</v>
      </c>
      <c r="AH326" t="s">
        <v>209</v>
      </c>
      <c r="AI326" t="s">
        <v>1548</v>
      </c>
      <c r="AK326">
        <v>1</v>
      </c>
      <c r="AT326">
        <v>1</v>
      </c>
      <c r="AV326">
        <v>0.25</v>
      </c>
      <c r="BC326" t="str">
        <f t="shared" si="209"/>
        <v>enemy_1079_sotisp_2</v>
      </c>
      <c r="BI326" t="s">
        <v>941</v>
      </c>
      <c r="BJ326" t="s">
        <v>1549</v>
      </c>
      <c r="BL326" t="s">
        <v>210</v>
      </c>
      <c r="BM326" t="s">
        <v>211</v>
      </c>
      <c r="BN326" s="19" t="s">
        <v>232</v>
      </c>
      <c r="BO326" t="s">
        <v>213</v>
      </c>
      <c r="BQ326" s="19"/>
      <c r="BR326">
        <v>1</v>
      </c>
    </row>
    <row r="327" spans="1:70" ht="14.5" x14ac:dyDescent="0.25">
      <c r="A327" t="s">
        <v>1553</v>
      </c>
      <c r="B327" t="s">
        <v>206</v>
      </c>
      <c r="D327" s="17" t="s">
        <v>1554</v>
      </c>
      <c r="E327" s="2">
        <v>1080</v>
      </c>
      <c r="F327" t="str">
        <f t="shared" si="208"/>
        <v>enemy_1080_sotidp</v>
      </c>
      <c r="G327">
        <v>1</v>
      </c>
      <c r="K327">
        <v>7000</v>
      </c>
      <c r="M327">
        <v>300</v>
      </c>
      <c r="O327">
        <v>120</v>
      </c>
      <c r="Q327">
        <v>50</v>
      </c>
      <c r="Y327">
        <v>0.05</v>
      </c>
      <c r="Z327">
        <v>2.7</v>
      </c>
      <c r="AA327">
        <v>1</v>
      </c>
      <c r="AB327">
        <v>1</v>
      </c>
      <c r="AE327">
        <v>0</v>
      </c>
      <c r="AF327">
        <v>1</v>
      </c>
      <c r="AG327" t="s">
        <v>1555</v>
      </c>
      <c r="AH327" t="s">
        <v>209</v>
      </c>
      <c r="AI327" t="s">
        <v>1556</v>
      </c>
      <c r="AK327">
        <v>1</v>
      </c>
      <c r="AT327">
        <v>1</v>
      </c>
      <c r="AV327">
        <v>0.25</v>
      </c>
      <c r="BC327" t="str">
        <f t="shared" si="209"/>
        <v>enemy_1080_sotidp</v>
      </c>
      <c r="BI327" t="s">
        <v>935</v>
      </c>
      <c r="BJ327" t="s">
        <v>1557</v>
      </c>
      <c r="BL327" t="s">
        <v>210</v>
      </c>
      <c r="BM327" t="s">
        <v>211</v>
      </c>
      <c r="BN327" s="19" t="s">
        <v>232</v>
      </c>
      <c r="BO327" t="s">
        <v>213</v>
      </c>
      <c r="BQ327" s="19"/>
      <c r="BR327">
        <v>1</v>
      </c>
    </row>
    <row r="328" spans="1:70" ht="14.5" x14ac:dyDescent="0.25">
      <c r="A328" t="s">
        <v>1558</v>
      </c>
      <c r="B328" t="s">
        <v>206</v>
      </c>
      <c r="D328" s="17" t="s">
        <v>1559</v>
      </c>
      <c r="E328" s="2">
        <v>1080</v>
      </c>
      <c r="F328" t="str">
        <f t="shared" si="208"/>
        <v>enemy_1080_sotidp_2</v>
      </c>
      <c r="G328">
        <v>1</v>
      </c>
      <c r="K328">
        <v>10000</v>
      </c>
      <c r="M328">
        <v>360</v>
      </c>
      <c r="O328">
        <v>120</v>
      </c>
      <c r="Q328">
        <v>50</v>
      </c>
      <c r="Y328">
        <v>0.05</v>
      </c>
      <c r="Z328">
        <v>2.5</v>
      </c>
      <c r="AA328">
        <v>1</v>
      </c>
      <c r="AB328">
        <v>1</v>
      </c>
      <c r="AE328">
        <v>0</v>
      </c>
      <c r="AF328">
        <v>1</v>
      </c>
      <c r="AG328" t="s">
        <v>1560</v>
      </c>
      <c r="AH328" t="s">
        <v>209</v>
      </c>
      <c r="AI328" t="s">
        <v>1556</v>
      </c>
      <c r="AK328">
        <v>1</v>
      </c>
      <c r="AT328">
        <v>1</v>
      </c>
      <c r="AV328">
        <v>0.25</v>
      </c>
      <c r="BC328" t="str">
        <f t="shared" si="209"/>
        <v>enemy_1080_sotidp_2</v>
      </c>
      <c r="BI328" t="s">
        <v>935</v>
      </c>
      <c r="BJ328" t="s">
        <v>1557</v>
      </c>
      <c r="BL328" t="s">
        <v>210</v>
      </c>
      <c r="BM328" t="s">
        <v>211</v>
      </c>
      <c r="BN328" s="19" t="s">
        <v>232</v>
      </c>
      <c r="BO328" t="s">
        <v>213</v>
      </c>
      <c r="BQ328" s="19"/>
      <c r="BR328">
        <v>1</v>
      </c>
    </row>
    <row r="329" spans="1:70" ht="14.5" x14ac:dyDescent="0.25">
      <c r="A329" t="s">
        <v>1561</v>
      </c>
      <c r="B329" t="s">
        <v>206</v>
      </c>
      <c r="D329" s="17" t="s">
        <v>1562</v>
      </c>
      <c r="E329" s="2">
        <v>1081</v>
      </c>
      <c r="F329" t="str">
        <f t="shared" si="208"/>
        <v>enemy_1081_sotisd</v>
      </c>
      <c r="G329">
        <v>1</v>
      </c>
      <c r="K329">
        <v>15000</v>
      </c>
      <c r="M329">
        <v>700</v>
      </c>
      <c r="O329">
        <v>1300</v>
      </c>
      <c r="Q329">
        <v>60</v>
      </c>
      <c r="Y329">
        <v>0.05</v>
      </c>
      <c r="Z329">
        <v>3.8</v>
      </c>
      <c r="AA329">
        <v>4</v>
      </c>
      <c r="AB329">
        <v>0.7</v>
      </c>
      <c r="AE329">
        <v>1</v>
      </c>
      <c r="AF329">
        <v>1</v>
      </c>
      <c r="AG329" t="s">
        <v>1563</v>
      </c>
      <c r="AH329" t="s">
        <v>209</v>
      </c>
      <c r="AI329" t="s">
        <v>231</v>
      </c>
      <c r="AK329">
        <v>1</v>
      </c>
      <c r="AT329">
        <v>1</v>
      </c>
      <c r="AV329">
        <v>0.25</v>
      </c>
      <c r="BC329" t="str">
        <f t="shared" si="209"/>
        <v>enemy_1081_sotisd</v>
      </c>
      <c r="BI329" t="s">
        <v>994</v>
      </c>
      <c r="BJ329" t="s">
        <v>1564</v>
      </c>
      <c r="BL329" t="s">
        <v>210</v>
      </c>
      <c r="BM329" t="s">
        <v>211</v>
      </c>
      <c r="BN329" s="19" t="s">
        <v>212</v>
      </c>
      <c r="BO329" t="s">
        <v>213</v>
      </c>
      <c r="BQ329" s="19"/>
      <c r="BR329">
        <v>1</v>
      </c>
    </row>
    <row r="330" spans="1:70" ht="14.5" x14ac:dyDescent="0.25">
      <c r="A330" t="s">
        <v>1565</v>
      </c>
      <c r="B330" t="s">
        <v>206</v>
      </c>
      <c r="D330" s="17" t="s">
        <v>1566</v>
      </c>
      <c r="E330" s="2">
        <v>1081</v>
      </c>
      <c r="F330" t="str">
        <f t="shared" si="208"/>
        <v>enemy_1081_sotisd_2</v>
      </c>
      <c r="G330">
        <v>1</v>
      </c>
      <c r="K330">
        <v>25000</v>
      </c>
      <c r="M330">
        <v>800</v>
      </c>
      <c r="O330">
        <v>1500</v>
      </c>
      <c r="Q330">
        <v>60</v>
      </c>
      <c r="Y330">
        <v>0.05</v>
      </c>
      <c r="Z330">
        <v>3.8</v>
      </c>
      <c r="AA330">
        <v>4</v>
      </c>
      <c r="AB330">
        <v>0.7</v>
      </c>
      <c r="AE330">
        <v>1</v>
      </c>
      <c r="AF330">
        <v>1</v>
      </c>
      <c r="AG330" t="s">
        <v>1567</v>
      </c>
      <c r="AH330" t="s">
        <v>209</v>
      </c>
      <c r="AI330" t="s">
        <v>231</v>
      </c>
      <c r="AK330">
        <v>1</v>
      </c>
      <c r="AT330">
        <v>1</v>
      </c>
      <c r="AV330">
        <v>0.25</v>
      </c>
      <c r="BC330" t="str">
        <f t="shared" si="209"/>
        <v>enemy_1081_sotisd_2</v>
      </c>
      <c r="BI330" t="s">
        <v>994</v>
      </c>
      <c r="BJ330" t="s">
        <v>1564</v>
      </c>
      <c r="BL330" t="s">
        <v>210</v>
      </c>
      <c r="BM330" t="s">
        <v>211</v>
      </c>
      <c r="BN330" s="19" t="s">
        <v>212</v>
      </c>
      <c r="BO330" t="s">
        <v>213</v>
      </c>
      <c r="BQ330" s="19"/>
      <c r="BR330">
        <v>1</v>
      </c>
    </row>
    <row r="331" spans="1:70" ht="14.5" x14ac:dyDescent="0.25">
      <c r="A331" t="s">
        <v>1568</v>
      </c>
      <c r="B331" t="s">
        <v>206</v>
      </c>
      <c r="D331" s="17" t="s">
        <v>1569</v>
      </c>
      <c r="E331" s="2">
        <v>1082</v>
      </c>
      <c r="F331" t="str">
        <f t="shared" si="208"/>
        <v>enemy_1082_soticn</v>
      </c>
      <c r="G331">
        <v>1</v>
      </c>
      <c r="K331">
        <v>5500</v>
      </c>
      <c r="M331">
        <v>450</v>
      </c>
      <c r="O331">
        <v>550</v>
      </c>
      <c r="Q331">
        <v>20</v>
      </c>
      <c r="Y331">
        <v>0.05</v>
      </c>
      <c r="Z331">
        <v>4.8</v>
      </c>
      <c r="AA331">
        <v>2</v>
      </c>
      <c r="AB331">
        <v>0.6</v>
      </c>
      <c r="AE331">
        <v>0</v>
      </c>
      <c r="AF331">
        <v>1</v>
      </c>
      <c r="AG331" t="s">
        <v>1570</v>
      </c>
      <c r="AH331" t="s">
        <v>209</v>
      </c>
      <c r="AI331" t="s">
        <v>1571</v>
      </c>
      <c r="AK331">
        <v>1</v>
      </c>
      <c r="AT331">
        <v>1</v>
      </c>
      <c r="AV331">
        <v>0.25</v>
      </c>
      <c r="BC331" t="str">
        <f t="shared" si="209"/>
        <v>enemy_1082_soticn</v>
      </c>
      <c r="BI331" t="s">
        <v>962</v>
      </c>
      <c r="BJ331" t="s">
        <v>1572</v>
      </c>
      <c r="BL331" t="s">
        <v>210</v>
      </c>
      <c r="BM331" t="s">
        <v>274</v>
      </c>
      <c r="BN331" s="19" t="s">
        <v>232</v>
      </c>
      <c r="BO331" t="s">
        <v>213</v>
      </c>
      <c r="BQ331" s="19"/>
      <c r="BR331">
        <v>1</v>
      </c>
    </row>
    <row r="332" spans="1:70" ht="14.5" x14ac:dyDescent="0.25">
      <c r="A332" t="s">
        <v>1573</v>
      </c>
      <c r="B332" t="s">
        <v>206</v>
      </c>
      <c r="D332" s="17" t="s">
        <v>1574</v>
      </c>
      <c r="E332" s="2">
        <v>1082</v>
      </c>
      <c r="F332" t="str">
        <f t="shared" si="208"/>
        <v>enemy_1082_soticn_2</v>
      </c>
      <c r="G332">
        <v>1</v>
      </c>
      <c r="K332">
        <v>6500</v>
      </c>
      <c r="M332">
        <v>590</v>
      </c>
      <c r="O332">
        <v>550</v>
      </c>
      <c r="Q332">
        <v>20</v>
      </c>
      <c r="Y332">
        <v>0.05</v>
      </c>
      <c r="Z332">
        <v>4.8</v>
      </c>
      <c r="AA332">
        <v>2</v>
      </c>
      <c r="AB332">
        <v>0.6</v>
      </c>
      <c r="AE332">
        <v>0</v>
      </c>
      <c r="AF332">
        <v>1</v>
      </c>
      <c r="AG332" t="s">
        <v>1575</v>
      </c>
      <c r="AH332" t="s">
        <v>209</v>
      </c>
      <c r="AI332" t="s">
        <v>1571</v>
      </c>
      <c r="AK332">
        <v>1</v>
      </c>
      <c r="AT332">
        <v>1</v>
      </c>
      <c r="AV332">
        <v>0.25</v>
      </c>
      <c r="BC332" t="str">
        <f t="shared" si="209"/>
        <v>enemy_1082_soticn_2</v>
      </c>
      <c r="BI332" t="s">
        <v>962</v>
      </c>
      <c r="BJ332" t="s">
        <v>1572</v>
      </c>
      <c r="BL332" t="s">
        <v>210</v>
      </c>
      <c r="BM332" t="s">
        <v>274</v>
      </c>
      <c r="BN332" s="19" t="s">
        <v>232</v>
      </c>
      <c r="BO332" t="s">
        <v>213</v>
      </c>
      <c r="BQ332" s="19"/>
      <c r="BR332">
        <v>1</v>
      </c>
    </row>
    <row r="333" spans="1:70" ht="14.5" x14ac:dyDescent="0.25">
      <c r="A333" t="s">
        <v>1576</v>
      </c>
      <c r="B333" t="s">
        <v>206</v>
      </c>
      <c r="D333" s="17" t="s">
        <v>1577</v>
      </c>
      <c r="E333" s="2">
        <v>1083</v>
      </c>
      <c r="F333" t="str">
        <f t="shared" si="208"/>
        <v>enemy_1083_sotiab</v>
      </c>
      <c r="G333">
        <v>1</v>
      </c>
      <c r="K333">
        <v>3800</v>
      </c>
      <c r="M333">
        <v>360</v>
      </c>
      <c r="O333">
        <v>550</v>
      </c>
      <c r="Q333">
        <v>20</v>
      </c>
      <c r="Y333">
        <v>0.05</v>
      </c>
      <c r="Z333">
        <v>1.9</v>
      </c>
      <c r="AA333">
        <v>2</v>
      </c>
      <c r="AB333">
        <v>1</v>
      </c>
      <c r="AE333">
        <v>0</v>
      </c>
      <c r="AF333">
        <v>1</v>
      </c>
      <c r="AG333" t="s">
        <v>1578</v>
      </c>
      <c r="AH333" t="s">
        <v>209</v>
      </c>
      <c r="AI333" t="s">
        <v>1579</v>
      </c>
      <c r="AK333">
        <v>1</v>
      </c>
      <c r="AT333">
        <v>1</v>
      </c>
      <c r="AV333">
        <v>0.25</v>
      </c>
      <c r="BC333" t="str">
        <f t="shared" si="209"/>
        <v>enemy_1083_sotiab</v>
      </c>
      <c r="BI333" t="s">
        <v>994</v>
      </c>
      <c r="BJ333" t="s">
        <v>1580</v>
      </c>
      <c r="BL333" t="s">
        <v>210</v>
      </c>
      <c r="BM333" t="s">
        <v>211</v>
      </c>
      <c r="BN333" s="19" t="s">
        <v>232</v>
      </c>
      <c r="BO333" t="s">
        <v>213</v>
      </c>
      <c r="BQ333" s="19"/>
      <c r="BR333">
        <v>1</v>
      </c>
    </row>
    <row r="334" spans="1:70" ht="14.5" x14ac:dyDescent="0.25">
      <c r="A334" t="s">
        <v>1581</v>
      </c>
      <c r="B334" t="s">
        <v>206</v>
      </c>
      <c r="D334" s="17" t="s">
        <v>1582</v>
      </c>
      <c r="E334" s="2">
        <v>1083</v>
      </c>
      <c r="F334" t="str">
        <f t="shared" si="208"/>
        <v>enemy_1083_sotiab_2</v>
      </c>
      <c r="G334">
        <v>1</v>
      </c>
      <c r="K334">
        <v>5000</v>
      </c>
      <c r="M334">
        <v>430</v>
      </c>
      <c r="O334">
        <v>550</v>
      </c>
      <c r="Q334">
        <v>20</v>
      </c>
      <c r="Y334">
        <v>0.05</v>
      </c>
      <c r="Z334">
        <v>1.9</v>
      </c>
      <c r="AA334">
        <v>2</v>
      </c>
      <c r="AB334">
        <v>1</v>
      </c>
      <c r="AE334">
        <v>0</v>
      </c>
      <c r="AF334">
        <v>1</v>
      </c>
      <c r="AG334" t="s">
        <v>1583</v>
      </c>
      <c r="AH334" t="s">
        <v>209</v>
      </c>
      <c r="AI334" t="s">
        <v>1584</v>
      </c>
      <c r="AK334">
        <v>1</v>
      </c>
      <c r="AT334">
        <v>1</v>
      </c>
      <c r="AV334">
        <v>0.25</v>
      </c>
      <c r="BC334" t="str">
        <f t="shared" si="209"/>
        <v>enemy_1083_sotiab_2</v>
      </c>
      <c r="BI334" t="s">
        <v>994</v>
      </c>
      <c r="BJ334" t="s">
        <v>1585</v>
      </c>
      <c r="BL334" t="s">
        <v>210</v>
      </c>
      <c r="BM334" t="s">
        <v>211</v>
      </c>
      <c r="BN334" s="19" t="s">
        <v>232</v>
      </c>
      <c r="BO334" t="s">
        <v>213</v>
      </c>
      <c r="BQ334" s="19"/>
      <c r="BR334">
        <v>1</v>
      </c>
    </row>
    <row r="335" spans="1:70" ht="14.5" x14ac:dyDescent="0.25">
      <c r="A335" t="s">
        <v>1586</v>
      </c>
      <c r="B335" t="s">
        <v>206</v>
      </c>
      <c r="D335" s="17" t="s">
        <v>1587</v>
      </c>
      <c r="E335" s="2">
        <v>1084</v>
      </c>
      <c r="F335" t="str">
        <f t="shared" si="208"/>
        <v>enemy_1084_sotidm</v>
      </c>
      <c r="G335">
        <v>1</v>
      </c>
      <c r="K335">
        <v>8000</v>
      </c>
      <c r="M335">
        <v>480</v>
      </c>
      <c r="O335">
        <v>400</v>
      </c>
      <c r="Q335">
        <v>50</v>
      </c>
      <c r="Y335">
        <v>0.05</v>
      </c>
      <c r="Z335">
        <v>2.5</v>
      </c>
      <c r="AA335">
        <v>2</v>
      </c>
      <c r="AB335">
        <v>0.85</v>
      </c>
      <c r="AE335">
        <v>0</v>
      </c>
      <c r="AF335">
        <v>1</v>
      </c>
      <c r="AG335" t="s">
        <v>1588</v>
      </c>
      <c r="AH335" t="s">
        <v>209</v>
      </c>
      <c r="AI335" t="s">
        <v>1589</v>
      </c>
      <c r="AK335">
        <v>1</v>
      </c>
      <c r="AT335">
        <v>1</v>
      </c>
      <c r="AV335">
        <v>0.25</v>
      </c>
      <c r="BC335" t="str">
        <f t="shared" si="209"/>
        <v>enemy_1084_sotidm</v>
      </c>
      <c r="BI335" t="s">
        <v>1590</v>
      </c>
      <c r="BJ335" t="s">
        <v>1591</v>
      </c>
      <c r="BL335" t="s">
        <v>210</v>
      </c>
      <c r="BM335" t="s">
        <v>211</v>
      </c>
      <c r="BN335" s="19" t="s">
        <v>232</v>
      </c>
      <c r="BO335" t="s">
        <v>213</v>
      </c>
      <c r="BQ335" s="19"/>
      <c r="BR335">
        <v>1</v>
      </c>
    </row>
    <row r="336" spans="1:70" ht="14.5" x14ac:dyDescent="0.25">
      <c r="A336" t="s">
        <v>1592</v>
      </c>
      <c r="B336" t="s">
        <v>206</v>
      </c>
      <c r="D336" s="17" t="s">
        <v>1593</v>
      </c>
      <c r="E336" s="2">
        <v>1084</v>
      </c>
      <c r="F336" t="str">
        <f t="shared" si="208"/>
        <v>enemy_1084_sotidm_2</v>
      </c>
      <c r="G336">
        <v>1</v>
      </c>
      <c r="K336">
        <v>12000</v>
      </c>
      <c r="M336">
        <v>580</v>
      </c>
      <c r="O336">
        <v>400</v>
      </c>
      <c r="Q336">
        <v>50</v>
      </c>
      <c r="Y336">
        <v>0.05</v>
      </c>
      <c r="Z336">
        <v>2.5</v>
      </c>
      <c r="AA336">
        <v>2</v>
      </c>
      <c r="AB336">
        <v>0.85</v>
      </c>
      <c r="AE336">
        <v>0</v>
      </c>
      <c r="AF336">
        <v>1</v>
      </c>
      <c r="AG336" t="s">
        <v>1594</v>
      </c>
      <c r="AH336" t="s">
        <v>209</v>
      </c>
      <c r="AI336" t="s">
        <v>1589</v>
      </c>
      <c r="AK336">
        <v>1</v>
      </c>
      <c r="AT336">
        <v>1</v>
      </c>
      <c r="AV336">
        <v>0.25</v>
      </c>
      <c r="BC336" t="str">
        <f t="shared" si="209"/>
        <v>enemy_1084_sotidm_2</v>
      </c>
      <c r="BI336" t="s">
        <v>1590</v>
      </c>
      <c r="BJ336" t="s">
        <v>1591</v>
      </c>
      <c r="BL336" t="s">
        <v>210</v>
      </c>
      <c r="BM336" t="s">
        <v>211</v>
      </c>
      <c r="BN336" s="19" t="s">
        <v>232</v>
      </c>
      <c r="BO336" t="s">
        <v>213</v>
      </c>
      <c r="BQ336" s="19"/>
      <c r="BR336">
        <v>1</v>
      </c>
    </row>
    <row r="337" spans="1:70" ht="14.5" x14ac:dyDescent="0.25">
      <c r="A337" t="s">
        <v>1595</v>
      </c>
      <c r="B337" t="s">
        <v>206</v>
      </c>
      <c r="D337" s="17" t="s">
        <v>1596</v>
      </c>
      <c r="E337" s="2">
        <v>1084</v>
      </c>
      <c r="F337" t="str">
        <f t="shared" si="208"/>
        <v>enemy_1084_sotidm_3</v>
      </c>
      <c r="G337">
        <v>1</v>
      </c>
      <c r="K337">
        <v>8000</v>
      </c>
      <c r="M337">
        <v>480</v>
      </c>
      <c r="O337">
        <v>400</v>
      </c>
      <c r="Q337">
        <v>50</v>
      </c>
      <c r="Y337">
        <v>0.05</v>
      </c>
      <c r="Z337">
        <v>2.5</v>
      </c>
      <c r="AA337">
        <v>2</v>
      </c>
      <c r="AB337">
        <v>0.85</v>
      </c>
      <c r="AE337">
        <v>0</v>
      </c>
      <c r="AF337">
        <v>1</v>
      </c>
      <c r="AG337" t="s">
        <v>1597</v>
      </c>
      <c r="AH337" t="s">
        <v>209</v>
      </c>
      <c r="AI337" t="s">
        <v>1589</v>
      </c>
      <c r="AK337">
        <v>1</v>
      </c>
      <c r="AT337">
        <v>1</v>
      </c>
      <c r="AV337">
        <v>0.25</v>
      </c>
      <c r="BC337" t="str">
        <f t="shared" si="209"/>
        <v>enemy_1084_sotidm_3</v>
      </c>
      <c r="BI337" t="s">
        <v>1590</v>
      </c>
      <c r="BJ337" t="s">
        <v>1591</v>
      </c>
      <c r="BL337" t="s">
        <v>210</v>
      </c>
      <c r="BM337" t="s">
        <v>211</v>
      </c>
      <c r="BN337" s="19" t="s">
        <v>232</v>
      </c>
      <c r="BO337" t="s">
        <v>213</v>
      </c>
      <c r="BQ337" s="19"/>
      <c r="BR337">
        <v>1</v>
      </c>
    </row>
    <row r="338" spans="1:70" ht="14.5" x14ac:dyDescent="0.25">
      <c r="A338" t="s">
        <v>1598</v>
      </c>
      <c r="B338" t="s">
        <v>206</v>
      </c>
      <c r="D338" s="17" t="s">
        <v>1599</v>
      </c>
      <c r="E338" s="2">
        <v>1085</v>
      </c>
      <c r="F338" t="str">
        <f t="shared" si="208"/>
        <v>enemy_1085_sotiwz</v>
      </c>
      <c r="G338">
        <v>1</v>
      </c>
      <c r="K338">
        <v>7000</v>
      </c>
      <c r="M338">
        <v>350</v>
      </c>
      <c r="O338">
        <v>400</v>
      </c>
      <c r="Q338">
        <v>50</v>
      </c>
      <c r="Y338">
        <v>0.05</v>
      </c>
      <c r="Z338">
        <v>0.1</v>
      </c>
      <c r="AA338">
        <v>2</v>
      </c>
      <c r="AB338">
        <v>0.75</v>
      </c>
      <c r="AE338">
        <v>0</v>
      </c>
      <c r="AF338">
        <v>1</v>
      </c>
      <c r="AG338" t="s">
        <v>1600</v>
      </c>
      <c r="AH338" t="s">
        <v>209</v>
      </c>
      <c r="AI338" t="s">
        <v>1601</v>
      </c>
      <c r="AK338">
        <v>1</v>
      </c>
      <c r="AT338">
        <v>1</v>
      </c>
      <c r="AV338">
        <v>0.25</v>
      </c>
      <c r="BC338" t="str">
        <f t="shared" si="209"/>
        <v>enemy_1085_sotiwz</v>
      </c>
      <c r="BI338" t="s">
        <v>1602</v>
      </c>
      <c r="BJ338" t="s">
        <v>1603</v>
      </c>
      <c r="BL338" t="s">
        <v>210</v>
      </c>
      <c r="BM338" t="s">
        <v>211</v>
      </c>
      <c r="BN338" s="19" t="s">
        <v>232</v>
      </c>
      <c r="BO338" t="s">
        <v>213</v>
      </c>
      <c r="BQ338" s="19"/>
      <c r="BR338">
        <v>1</v>
      </c>
    </row>
    <row r="339" spans="1:70" ht="14.5" x14ac:dyDescent="0.25">
      <c r="A339" t="s">
        <v>1604</v>
      </c>
      <c r="B339" t="s">
        <v>206</v>
      </c>
      <c r="D339" s="17" t="s">
        <v>1605</v>
      </c>
      <c r="E339" s="2">
        <v>1085</v>
      </c>
      <c r="F339" t="str">
        <f t="shared" si="208"/>
        <v>enemy_1085_sotiwz_2</v>
      </c>
      <c r="G339">
        <v>1</v>
      </c>
      <c r="K339">
        <v>10000</v>
      </c>
      <c r="M339">
        <v>450</v>
      </c>
      <c r="O339">
        <v>400</v>
      </c>
      <c r="Q339">
        <v>50</v>
      </c>
      <c r="Y339">
        <v>0.05</v>
      </c>
      <c r="Z339">
        <v>0.1</v>
      </c>
      <c r="AA339">
        <v>2</v>
      </c>
      <c r="AB339">
        <v>0.75</v>
      </c>
      <c r="AE339">
        <v>0</v>
      </c>
      <c r="AF339">
        <v>1</v>
      </c>
      <c r="AG339" t="s">
        <v>1606</v>
      </c>
      <c r="AH339" t="s">
        <v>209</v>
      </c>
      <c r="AI339" t="s">
        <v>1601</v>
      </c>
      <c r="AK339">
        <v>1</v>
      </c>
      <c r="AT339">
        <v>1</v>
      </c>
      <c r="AV339">
        <v>0.25</v>
      </c>
      <c r="BC339" t="str">
        <f t="shared" si="209"/>
        <v>enemy_1085_sotiwz_2</v>
      </c>
      <c r="BI339" t="s">
        <v>1602</v>
      </c>
      <c r="BJ339" t="s">
        <v>1603</v>
      </c>
      <c r="BL339" t="s">
        <v>210</v>
      </c>
      <c r="BM339" t="s">
        <v>211</v>
      </c>
      <c r="BN339" s="19" t="s">
        <v>232</v>
      </c>
      <c r="BO339" t="s">
        <v>213</v>
      </c>
      <c r="BQ339" s="19"/>
      <c r="BR339">
        <v>1</v>
      </c>
    </row>
    <row r="340" spans="1:70" ht="14.5" x14ac:dyDescent="0.25">
      <c r="A340" t="s">
        <v>1607</v>
      </c>
      <c r="B340" t="s">
        <v>206</v>
      </c>
      <c r="D340" s="17" t="s">
        <v>1608</v>
      </c>
      <c r="E340" s="2">
        <v>1085</v>
      </c>
      <c r="F340" t="str">
        <f t="shared" si="208"/>
        <v>enemy_1085_sotiwz_3</v>
      </c>
      <c r="G340">
        <v>1</v>
      </c>
      <c r="K340">
        <v>7000</v>
      </c>
      <c r="M340">
        <v>350</v>
      </c>
      <c r="O340">
        <v>400</v>
      </c>
      <c r="Q340">
        <v>50</v>
      </c>
      <c r="Y340">
        <v>0.05</v>
      </c>
      <c r="Z340">
        <v>0.1</v>
      </c>
      <c r="AA340">
        <v>2</v>
      </c>
      <c r="AB340">
        <v>0.75</v>
      </c>
      <c r="AE340">
        <v>0</v>
      </c>
      <c r="AF340">
        <v>1</v>
      </c>
      <c r="AG340" t="s">
        <v>1609</v>
      </c>
      <c r="AH340" t="s">
        <v>209</v>
      </c>
      <c r="AI340" t="s">
        <v>1601</v>
      </c>
      <c r="AK340">
        <v>1</v>
      </c>
      <c r="AT340">
        <v>1</v>
      </c>
      <c r="AV340">
        <v>0.25</v>
      </c>
      <c r="BC340" t="str">
        <f t="shared" si="209"/>
        <v>enemy_1085_sotiwz_3</v>
      </c>
      <c r="BI340" t="s">
        <v>1602</v>
      </c>
      <c r="BJ340" t="s">
        <v>1603</v>
      </c>
      <c r="BL340" t="s">
        <v>210</v>
      </c>
      <c r="BM340" t="s">
        <v>211</v>
      </c>
      <c r="BN340" s="19" t="s">
        <v>232</v>
      </c>
      <c r="BO340" t="s">
        <v>213</v>
      </c>
      <c r="BQ340" s="19"/>
      <c r="BR340">
        <v>1</v>
      </c>
    </row>
    <row r="341" spans="1:70" ht="14.5" x14ac:dyDescent="0.25">
      <c r="A341" t="s">
        <v>1610</v>
      </c>
      <c r="B341" t="s">
        <v>206</v>
      </c>
      <c r="D341" s="17" t="s">
        <v>1611</v>
      </c>
      <c r="E341" s="2">
        <v>1506</v>
      </c>
      <c r="F341" t="str">
        <f t="shared" si="208"/>
        <v>enemy_1506_patrt</v>
      </c>
      <c r="G341">
        <v>1</v>
      </c>
      <c r="K341">
        <v>45000</v>
      </c>
      <c r="M341">
        <v>1600</v>
      </c>
      <c r="O341">
        <v>500</v>
      </c>
      <c r="Q341">
        <v>45</v>
      </c>
      <c r="Y341">
        <v>0.05</v>
      </c>
      <c r="Z341">
        <v>4</v>
      </c>
      <c r="AA341">
        <v>7</v>
      </c>
      <c r="AB341">
        <v>0.4</v>
      </c>
      <c r="AE341">
        <v>0</v>
      </c>
      <c r="AF341">
        <v>1</v>
      </c>
      <c r="AG341" t="s">
        <v>1612</v>
      </c>
      <c r="AH341" t="s">
        <v>209</v>
      </c>
      <c r="AI341" t="s">
        <v>1613</v>
      </c>
      <c r="AK341">
        <v>1</v>
      </c>
      <c r="AT341">
        <v>2</v>
      </c>
      <c r="AU341" t="s">
        <v>1614</v>
      </c>
      <c r="AV341">
        <v>0.25</v>
      </c>
      <c r="BC341" t="str">
        <f t="shared" si="209"/>
        <v>enemy_1506_patrt</v>
      </c>
      <c r="BI341" t="s">
        <v>1615</v>
      </c>
      <c r="BJ341" t="s">
        <v>1616</v>
      </c>
      <c r="BL341" t="s">
        <v>210</v>
      </c>
      <c r="BM341" t="s">
        <v>274</v>
      </c>
      <c r="BN341" s="19" t="s">
        <v>1617</v>
      </c>
      <c r="BO341" t="s">
        <v>213</v>
      </c>
      <c r="BQ341" s="19"/>
      <c r="BR341">
        <v>1</v>
      </c>
    </row>
    <row r="342" spans="1:70" ht="14.5" x14ac:dyDescent="0.25">
      <c r="A342" t="s">
        <v>1618</v>
      </c>
      <c r="B342" t="s">
        <v>206</v>
      </c>
      <c r="D342" s="17" t="s">
        <v>1619</v>
      </c>
      <c r="E342" s="2">
        <v>1086</v>
      </c>
      <c r="F342" t="str">
        <f t="shared" si="208"/>
        <v>enemy_1086_ltsodr</v>
      </c>
      <c r="G342">
        <v>1</v>
      </c>
      <c r="K342">
        <v>3000</v>
      </c>
      <c r="M342">
        <v>130</v>
      </c>
      <c r="O342">
        <v>130</v>
      </c>
      <c r="Q342">
        <v>20</v>
      </c>
      <c r="Y342">
        <v>0.05</v>
      </c>
      <c r="Z342">
        <v>2</v>
      </c>
      <c r="AA342">
        <v>1</v>
      </c>
      <c r="AB342">
        <v>1.1000000000000001</v>
      </c>
      <c r="AE342">
        <v>0</v>
      </c>
      <c r="AF342">
        <v>1</v>
      </c>
      <c r="AG342" t="s">
        <v>1620</v>
      </c>
      <c r="AH342" t="s">
        <v>209</v>
      </c>
      <c r="AI342" t="s">
        <v>1137</v>
      </c>
      <c r="AK342">
        <v>1</v>
      </c>
      <c r="AT342">
        <v>1</v>
      </c>
      <c r="AV342">
        <v>0.25</v>
      </c>
      <c r="BC342" t="str">
        <f t="shared" si="209"/>
        <v>enemy_1086_ltsodr</v>
      </c>
      <c r="BI342" t="s">
        <v>935</v>
      </c>
      <c r="BJ342" t="s">
        <v>1621</v>
      </c>
      <c r="BL342" t="s">
        <v>210</v>
      </c>
      <c r="BM342" t="s">
        <v>211</v>
      </c>
      <c r="BN342" s="19" t="s">
        <v>232</v>
      </c>
      <c r="BO342" t="s">
        <v>213</v>
      </c>
      <c r="BQ342" s="19"/>
      <c r="BR342">
        <v>1</v>
      </c>
    </row>
    <row r="343" spans="1:70" ht="14.5" x14ac:dyDescent="0.25">
      <c r="A343" t="s">
        <v>1622</v>
      </c>
      <c r="B343" t="s">
        <v>206</v>
      </c>
      <c r="D343" s="17" t="s">
        <v>1623</v>
      </c>
      <c r="E343" s="2">
        <v>1086</v>
      </c>
      <c r="F343" t="str">
        <f t="shared" si="208"/>
        <v>enemy_1086_ltsodr_2</v>
      </c>
      <c r="G343">
        <v>1</v>
      </c>
      <c r="K343">
        <v>4000</v>
      </c>
      <c r="M343">
        <v>180</v>
      </c>
      <c r="O343">
        <v>150</v>
      </c>
      <c r="Q343">
        <v>20</v>
      </c>
      <c r="Y343">
        <v>0.05</v>
      </c>
      <c r="Z343">
        <v>2</v>
      </c>
      <c r="AA343">
        <v>1</v>
      </c>
      <c r="AB343">
        <v>1.1000000000000001</v>
      </c>
      <c r="AE343">
        <v>0</v>
      </c>
      <c r="AF343">
        <v>1</v>
      </c>
      <c r="AG343" t="s">
        <v>1624</v>
      </c>
      <c r="AH343" t="s">
        <v>209</v>
      </c>
      <c r="AI343" t="s">
        <v>1137</v>
      </c>
      <c r="AK343">
        <v>1</v>
      </c>
      <c r="AT343">
        <v>1</v>
      </c>
      <c r="AV343">
        <v>0.25</v>
      </c>
      <c r="BC343" t="str">
        <f t="shared" si="209"/>
        <v>enemy_1086_ltsodr_2</v>
      </c>
      <c r="BI343" t="s">
        <v>935</v>
      </c>
      <c r="BJ343" t="s">
        <v>1625</v>
      </c>
      <c r="BL343" t="s">
        <v>210</v>
      </c>
      <c r="BM343" t="s">
        <v>211</v>
      </c>
      <c r="BN343" s="19" t="s">
        <v>232</v>
      </c>
      <c r="BO343" t="s">
        <v>213</v>
      </c>
      <c r="BQ343" s="19"/>
      <c r="BR343">
        <v>1</v>
      </c>
    </row>
    <row r="344" spans="1:70" ht="14.5" x14ac:dyDescent="0.25">
      <c r="A344" t="s">
        <v>1626</v>
      </c>
      <c r="B344" t="s">
        <v>206</v>
      </c>
      <c r="D344" s="17" t="s">
        <v>1627</v>
      </c>
      <c r="E344" s="2">
        <v>1087</v>
      </c>
      <c r="F344" t="str">
        <f t="shared" si="208"/>
        <v>enemy_1087_ltwolf</v>
      </c>
      <c r="G344">
        <v>1</v>
      </c>
      <c r="K344">
        <v>2800</v>
      </c>
      <c r="M344">
        <v>300</v>
      </c>
      <c r="O344">
        <v>0</v>
      </c>
      <c r="Q344">
        <v>20</v>
      </c>
      <c r="Y344">
        <v>0.05</v>
      </c>
      <c r="Z344">
        <v>1.4</v>
      </c>
      <c r="AA344">
        <v>0</v>
      </c>
      <c r="AB344">
        <v>1.9</v>
      </c>
      <c r="AE344">
        <v>0</v>
      </c>
      <c r="AF344">
        <v>1</v>
      </c>
      <c r="AG344" t="s">
        <v>1628</v>
      </c>
      <c r="AH344" t="s">
        <v>209</v>
      </c>
      <c r="AI344" t="s">
        <v>231</v>
      </c>
      <c r="AK344">
        <v>1</v>
      </c>
      <c r="AT344">
        <v>1</v>
      </c>
      <c r="AV344">
        <v>0.25</v>
      </c>
      <c r="BC344" t="str">
        <f t="shared" si="209"/>
        <v>enemy_1087_ltwolf</v>
      </c>
      <c r="BI344" t="s">
        <v>935</v>
      </c>
      <c r="BJ344" t="s">
        <v>1629</v>
      </c>
      <c r="BL344" t="s">
        <v>210</v>
      </c>
      <c r="BM344" t="s">
        <v>211</v>
      </c>
      <c r="BN344" s="19" t="s">
        <v>242</v>
      </c>
      <c r="BO344" t="s">
        <v>213</v>
      </c>
      <c r="BQ344" s="19"/>
      <c r="BR344">
        <v>1</v>
      </c>
    </row>
    <row r="345" spans="1:70" ht="14.5" x14ac:dyDescent="0.25">
      <c r="A345" t="s">
        <v>1630</v>
      </c>
      <c r="B345" t="s">
        <v>206</v>
      </c>
      <c r="D345" s="17" t="s">
        <v>1631</v>
      </c>
      <c r="E345" s="2">
        <v>1087</v>
      </c>
      <c r="F345" t="str">
        <f t="shared" si="208"/>
        <v>enemy_1087_ltwolf_2</v>
      </c>
      <c r="G345">
        <v>1</v>
      </c>
      <c r="K345">
        <v>3500</v>
      </c>
      <c r="M345">
        <v>360</v>
      </c>
      <c r="O345">
        <v>0</v>
      </c>
      <c r="Q345">
        <v>20</v>
      </c>
      <c r="Y345">
        <v>0.05</v>
      </c>
      <c r="Z345">
        <v>1.4</v>
      </c>
      <c r="AA345">
        <v>0</v>
      </c>
      <c r="AB345">
        <v>1.9</v>
      </c>
      <c r="AE345">
        <v>0</v>
      </c>
      <c r="AF345">
        <v>1</v>
      </c>
      <c r="AG345" t="s">
        <v>1632</v>
      </c>
      <c r="AH345" t="s">
        <v>209</v>
      </c>
      <c r="AI345" t="s">
        <v>231</v>
      </c>
      <c r="AK345">
        <v>1</v>
      </c>
      <c r="AT345">
        <v>1</v>
      </c>
      <c r="AV345">
        <v>0.25</v>
      </c>
      <c r="BC345" t="str">
        <f t="shared" si="209"/>
        <v>enemy_1087_ltwolf_2</v>
      </c>
      <c r="BI345" t="s">
        <v>935</v>
      </c>
      <c r="BJ345" t="s">
        <v>1633</v>
      </c>
      <c r="BL345" t="s">
        <v>210</v>
      </c>
      <c r="BM345" t="s">
        <v>211</v>
      </c>
      <c r="BN345" s="19" t="s">
        <v>242</v>
      </c>
      <c r="BO345" t="s">
        <v>213</v>
      </c>
      <c r="BQ345" s="19"/>
      <c r="BR345">
        <v>1</v>
      </c>
    </row>
    <row r="346" spans="1:70" ht="14.5" x14ac:dyDescent="0.25">
      <c r="A346" t="s">
        <v>1634</v>
      </c>
      <c r="B346" t="s">
        <v>206</v>
      </c>
      <c r="C346">
        <v>1</v>
      </c>
      <c r="D346" s="17" t="s">
        <v>1635</v>
      </c>
      <c r="E346" s="2">
        <v>1088</v>
      </c>
      <c r="F346" t="str">
        <f t="shared" si="208"/>
        <v>enemy_1088_ltsmer</v>
      </c>
      <c r="G346">
        <v>1</v>
      </c>
      <c r="K346">
        <v>6000</v>
      </c>
      <c r="M346">
        <v>300</v>
      </c>
      <c r="O346">
        <v>200</v>
      </c>
      <c r="Q346">
        <v>50</v>
      </c>
      <c r="Y346">
        <v>0.05</v>
      </c>
      <c r="Z346">
        <v>3</v>
      </c>
      <c r="AA346">
        <v>3</v>
      </c>
      <c r="AB346">
        <v>0.85</v>
      </c>
      <c r="AE346">
        <v>0</v>
      </c>
      <c r="AF346">
        <v>1</v>
      </c>
      <c r="AG346" t="s">
        <v>1636</v>
      </c>
      <c r="AH346" t="s">
        <v>209</v>
      </c>
      <c r="AI346" t="s">
        <v>231</v>
      </c>
      <c r="AK346">
        <v>1</v>
      </c>
      <c r="AT346">
        <v>1</v>
      </c>
      <c r="AV346">
        <v>0.25</v>
      </c>
      <c r="BC346" t="str">
        <f t="shared" si="209"/>
        <v>enemy_1088_ltsmer</v>
      </c>
      <c r="BI346" t="s">
        <v>941</v>
      </c>
      <c r="BJ346" t="s">
        <v>1637</v>
      </c>
      <c r="BL346" t="s">
        <v>210</v>
      </c>
      <c r="BM346" t="s">
        <v>211</v>
      </c>
      <c r="BN346" s="19" t="s">
        <v>232</v>
      </c>
      <c r="BO346" t="s">
        <v>213</v>
      </c>
      <c r="BQ346" s="19"/>
      <c r="BR346">
        <v>1</v>
      </c>
    </row>
    <row r="347" spans="1:70" ht="14.5" x14ac:dyDescent="0.25">
      <c r="A347" t="s">
        <v>1638</v>
      </c>
      <c r="B347" t="s">
        <v>206</v>
      </c>
      <c r="C347">
        <v>1</v>
      </c>
      <c r="D347" s="17" t="s">
        <v>1639</v>
      </c>
      <c r="E347" s="2">
        <v>1088</v>
      </c>
      <c r="F347" t="str">
        <f t="shared" si="208"/>
        <v>enemy_1088_ltsmer_2</v>
      </c>
      <c r="G347">
        <v>1</v>
      </c>
      <c r="K347">
        <v>8000</v>
      </c>
      <c r="M347">
        <v>360</v>
      </c>
      <c r="O347">
        <v>200</v>
      </c>
      <c r="Q347">
        <v>50</v>
      </c>
      <c r="Y347">
        <v>0.05</v>
      </c>
      <c r="Z347">
        <v>3</v>
      </c>
      <c r="AA347">
        <v>3</v>
      </c>
      <c r="AB347">
        <v>0.85</v>
      </c>
      <c r="AE347">
        <v>0</v>
      </c>
      <c r="AF347">
        <v>1</v>
      </c>
      <c r="AG347" t="s">
        <v>1640</v>
      </c>
      <c r="AH347" t="s">
        <v>209</v>
      </c>
      <c r="AI347" t="s">
        <v>231</v>
      </c>
      <c r="AK347">
        <v>1</v>
      </c>
      <c r="AT347">
        <v>1</v>
      </c>
      <c r="AV347">
        <v>0.25</v>
      </c>
      <c r="BC347" t="str">
        <f t="shared" si="209"/>
        <v>enemy_1088_ltsmer_2</v>
      </c>
      <c r="BI347" t="s">
        <v>941</v>
      </c>
      <c r="BJ347" t="s">
        <v>1641</v>
      </c>
      <c r="BL347" t="s">
        <v>210</v>
      </c>
      <c r="BM347" t="s">
        <v>211</v>
      </c>
      <c r="BN347" s="19" t="s">
        <v>232</v>
      </c>
      <c r="BO347" t="s">
        <v>213</v>
      </c>
      <c r="BQ347" s="19"/>
      <c r="BR347">
        <v>1</v>
      </c>
    </row>
    <row r="348" spans="1:70" ht="14.5" x14ac:dyDescent="0.25">
      <c r="A348" t="s">
        <v>1642</v>
      </c>
      <c r="B348" t="s">
        <v>206</v>
      </c>
      <c r="C348">
        <v>1</v>
      </c>
      <c r="D348" s="17" t="s">
        <v>1643</v>
      </c>
      <c r="E348" s="2">
        <v>1089</v>
      </c>
      <c r="F348" t="str">
        <f t="shared" si="208"/>
        <v>enemy_1089_ltlntc</v>
      </c>
      <c r="G348">
        <v>1</v>
      </c>
      <c r="K348">
        <v>20000</v>
      </c>
      <c r="M348">
        <v>500</v>
      </c>
      <c r="O348">
        <v>300</v>
      </c>
      <c r="Q348">
        <v>50</v>
      </c>
      <c r="Y348">
        <v>0.05</v>
      </c>
      <c r="Z348">
        <v>1.3</v>
      </c>
      <c r="AA348">
        <v>3</v>
      </c>
      <c r="AB348">
        <v>1.5</v>
      </c>
      <c r="AE348">
        <v>0</v>
      </c>
      <c r="AF348">
        <v>1</v>
      </c>
      <c r="AG348" t="s">
        <v>1644</v>
      </c>
      <c r="AH348" t="s">
        <v>209</v>
      </c>
      <c r="AI348" t="s">
        <v>231</v>
      </c>
      <c r="AK348">
        <v>1</v>
      </c>
      <c r="AT348">
        <v>1</v>
      </c>
      <c r="AV348">
        <v>0.25</v>
      </c>
      <c r="BC348" t="str">
        <f t="shared" si="209"/>
        <v>enemy_1089_ltlntc</v>
      </c>
      <c r="BI348" t="s">
        <v>994</v>
      </c>
      <c r="BJ348" t="s">
        <v>1645</v>
      </c>
      <c r="BL348" t="s">
        <v>210</v>
      </c>
      <c r="BM348" t="s">
        <v>211</v>
      </c>
      <c r="BN348" s="19" t="s">
        <v>232</v>
      </c>
      <c r="BO348" t="s">
        <v>213</v>
      </c>
      <c r="BQ348" s="19"/>
      <c r="BR348">
        <v>1</v>
      </c>
    </row>
    <row r="349" spans="1:70" ht="14.5" x14ac:dyDescent="0.25">
      <c r="A349" t="s">
        <v>1646</v>
      </c>
      <c r="B349" t="s">
        <v>206</v>
      </c>
      <c r="C349">
        <v>1</v>
      </c>
      <c r="D349" s="17" t="s">
        <v>1647</v>
      </c>
      <c r="E349" s="2">
        <v>1089</v>
      </c>
      <c r="F349" t="str">
        <f t="shared" si="208"/>
        <v>enemy_1089_ltlntc_2</v>
      </c>
      <c r="G349">
        <v>1</v>
      </c>
      <c r="K349">
        <v>30000</v>
      </c>
      <c r="M349">
        <v>650</v>
      </c>
      <c r="O349">
        <v>300</v>
      </c>
      <c r="Q349">
        <v>50</v>
      </c>
      <c r="Y349">
        <v>0.05</v>
      </c>
      <c r="Z349">
        <v>1.3</v>
      </c>
      <c r="AA349">
        <v>3</v>
      </c>
      <c r="AB349">
        <v>1.5</v>
      </c>
      <c r="AE349">
        <v>0</v>
      </c>
      <c r="AF349">
        <v>1</v>
      </c>
      <c r="AG349" t="s">
        <v>1648</v>
      </c>
      <c r="AH349" t="s">
        <v>209</v>
      </c>
      <c r="AI349" t="s">
        <v>231</v>
      </c>
      <c r="AK349">
        <v>1</v>
      </c>
      <c r="AT349">
        <v>1</v>
      </c>
      <c r="AV349">
        <v>0.25</v>
      </c>
      <c r="BC349" t="str">
        <f t="shared" si="209"/>
        <v>enemy_1089_ltlntc_2</v>
      </c>
      <c r="BI349" t="s">
        <v>994</v>
      </c>
      <c r="BJ349" t="s">
        <v>1649</v>
      </c>
      <c r="BL349" t="s">
        <v>210</v>
      </c>
      <c r="BM349" t="s">
        <v>211</v>
      </c>
      <c r="BN349" s="19" t="s">
        <v>232</v>
      </c>
      <c r="BO349" t="s">
        <v>213</v>
      </c>
      <c r="BQ349" s="19"/>
      <c r="BR349">
        <v>1</v>
      </c>
    </row>
    <row r="350" spans="1:70" ht="14.5" x14ac:dyDescent="0.25">
      <c r="A350" t="s">
        <v>1650</v>
      </c>
      <c r="B350" t="s">
        <v>206</v>
      </c>
      <c r="C350">
        <v>1</v>
      </c>
      <c r="D350" s="17" t="s">
        <v>1651</v>
      </c>
      <c r="E350" s="2">
        <v>1090</v>
      </c>
      <c r="F350" t="str">
        <f t="shared" si="208"/>
        <v>enemy_1090_mdsnpr</v>
      </c>
      <c r="G350">
        <v>1</v>
      </c>
      <c r="K350">
        <v>7000</v>
      </c>
      <c r="M350">
        <v>400</v>
      </c>
      <c r="O350">
        <v>400</v>
      </c>
      <c r="Q350">
        <v>30</v>
      </c>
      <c r="Y350">
        <v>0.05</v>
      </c>
      <c r="Z350">
        <v>2.6</v>
      </c>
      <c r="AA350">
        <v>3</v>
      </c>
      <c r="AB350">
        <v>0.8</v>
      </c>
      <c r="AE350">
        <v>0</v>
      </c>
      <c r="AF350">
        <v>1</v>
      </c>
      <c r="AG350" t="s">
        <v>1652</v>
      </c>
      <c r="AH350" t="s">
        <v>209</v>
      </c>
      <c r="AI350" t="s">
        <v>231</v>
      </c>
      <c r="AK350">
        <v>1</v>
      </c>
      <c r="AT350">
        <v>1</v>
      </c>
      <c r="AV350">
        <v>0.25</v>
      </c>
      <c r="BC350" t="str">
        <f t="shared" si="209"/>
        <v>enemy_1090_mdsnpr</v>
      </c>
      <c r="BI350" t="s">
        <v>1078</v>
      </c>
      <c r="BJ350" t="s">
        <v>1653</v>
      </c>
      <c r="BL350" t="s">
        <v>210</v>
      </c>
      <c r="BM350" t="s">
        <v>211</v>
      </c>
      <c r="BN350" s="19" t="s">
        <v>232</v>
      </c>
      <c r="BO350" t="s">
        <v>213</v>
      </c>
      <c r="BQ350" s="19"/>
      <c r="BR350">
        <v>1</v>
      </c>
    </row>
    <row r="351" spans="1:70" ht="14.5" x14ac:dyDescent="0.25">
      <c r="A351" t="s">
        <v>1654</v>
      </c>
      <c r="B351" t="s">
        <v>206</v>
      </c>
      <c r="C351">
        <v>1</v>
      </c>
      <c r="D351" s="17" t="s">
        <v>1655</v>
      </c>
      <c r="E351" s="2">
        <v>1090</v>
      </c>
      <c r="F351" t="str">
        <f t="shared" si="208"/>
        <v>enemy_1090_mdsnpr_2</v>
      </c>
      <c r="G351">
        <v>1</v>
      </c>
      <c r="K351">
        <v>10000</v>
      </c>
      <c r="M351">
        <v>500</v>
      </c>
      <c r="O351">
        <v>500</v>
      </c>
      <c r="Q351">
        <v>30</v>
      </c>
      <c r="Y351">
        <v>0.05</v>
      </c>
      <c r="Z351">
        <v>2.6</v>
      </c>
      <c r="AA351">
        <v>3</v>
      </c>
      <c r="AB351">
        <v>0.8</v>
      </c>
      <c r="AE351">
        <v>0</v>
      </c>
      <c r="AF351">
        <v>1</v>
      </c>
      <c r="AG351" t="s">
        <v>1656</v>
      </c>
      <c r="AH351" t="s">
        <v>209</v>
      </c>
      <c r="AI351" t="s">
        <v>231</v>
      </c>
      <c r="AK351">
        <v>1</v>
      </c>
      <c r="AT351">
        <v>1</v>
      </c>
      <c r="AV351">
        <v>0.25</v>
      </c>
      <c r="BC351" t="str">
        <f t="shared" si="209"/>
        <v>enemy_1090_mdsnpr_2</v>
      </c>
      <c r="BI351" t="s">
        <v>1078</v>
      </c>
      <c r="BJ351" t="s">
        <v>1657</v>
      </c>
      <c r="BL351" t="s">
        <v>210</v>
      </c>
      <c r="BM351" t="s">
        <v>211</v>
      </c>
      <c r="BN351" s="19" t="s">
        <v>232</v>
      </c>
      <c r="BO351" t="s">
        <v>213</v>
      </c>
      <c r="BQ351" s="19"/>
      <c r="BR351">
        <v>1</v>
      </c>
    </row>
    <row r="352" spans="1:70" ht="14.5" x14ac:dyDescent="0.25">
      <c r="A352" t="s">
        <v>1658</v>
      </c>
      <c r="B352" t="s">
        <v>206</v>
      </c>
      <c r="D352" s="17" t="s">
        <v>1659</v>
      </c>
      <c r="E352" s="2">
        <v>1091</v>
      </c>
      <c r="F352" t="str">
        <f t="shared" si="208"/>
        <v>enemy_1091_mdhmmr</v>
      </c>
      <c r="G352">
        <v>1</v>
      </c>
      <c r="K352">
        <v>10000</v>
      </c>
      <c r="M352">
        <v>900</v>
      </c>
      <c r="O352">
        <v>800</v>
      </c>
      <c r="Q352">
        <v>30</v>
      </c>
      <c r="Y352">
        <v>0.05</v>
      </c>
      <c r="Z352">
        <v>3.5</v>
      </c>
      <c r="AA352">
        <v>3</v>
      </c>
      <c r="AB352">
        <v>0.8</v>
      </c>
      <c r="AE352">
        <v>0</v>
      </c>
      <c r="AF352">
        <v>1</v>
      </c>
      <c r="AG352" t="s">
        <v>1660</v>
      </c>
      <c r="AH352" t="s">
        <v>209</v>
      </c>
      <c r="AI352" t="s">
        <v>1661</v>
      </c>
      <c r="AK352">
        <v>1</v>
      </c>
      <c r="AT352">
        <v>1</v>
      </c>
      <c r="AV352">
        <v>0.25</v>
      </c>
      <c r="BC352" t="str">
        <f t="shared" si="209"/>
        <v>enemy_1091_mdhmmr</v>
      </c>
      <c r="BI352" t="s">
        <v>1068</v>
      </c>
      <c r="BJ352" t="s">
        <v>1662</v>
      </c>
      <c r="BL352" t="s">
        <v>210</v>
      </c>
      <c r="BM352" t="s">
        <v>211</v>
      </c>
      <c r="BN352" s="19" t="s">
        <v>232</v>
      </c>
      <c r="BO352" t="s">
        <v>213</v>
      </c>
      <c r="BQ352" s="19"/>
      <c r="BR352">
        <v>1</v>
      </c>
    </row>
    <row r="353" spans="1:70" ht="14.5" x14ac:dyDescent="0.25">
      <c r="A353" t="s">
        <v>1663</v>
      </c>
      <c r="B353" t="s">
        <v>206</v>
      </c>
      <c r="D353" s="17" t="s">
        <v>1664</v>
      </c>
      <c r="E353" s="2">
        <v>1091</v>
      </c>
      <c r="F353" t="str">
        <f t="shared" si="208"/>
        <v>enemy_1091_mdhmmr_2</v>
      </c>
      <c r="G353">
        <v>1</v>
      </c>
      <c r="K353">
        <v>13000</v>
      </c>
      <c r="M353">
        <v>1000</v>
      </c>
      <c r="O353">
        <v>800</v>
      </c>
      <c r="Q353">
        <v>30</v>
      </c>
      <c r="Y353">
        <v>0.05</v>
      </c>
      <c r="Z353">
        <v>3.5</v>
      </c>
      <c r="AA353">
        <v>3</v>
      </c>
      <c r="AB353">
        <v>0.8</v>
      </c>
      <c r="AE353">
        <v>0</v>
      </c>
      <c r="AF353">
        <v>1</v>
      </c>
      <c r="AG353" t="s">
        <v>1665</v>
      </c>
      <c r="AH353" t="s">
        <v>209</v>
      </c>
      <c r="AI353" t="s">
        <v>1666</v>
      </c>
      <c r="AK353">
        <v>1</v>
      </c>
      <c r="AT353">
        <v>1</v>
      </c>
      <c r="AV353">
        <v>0.25</v>
      </c>
      <c r="BC353" t="str">
        <f t="shared" si="209"/>
        <v>enemy_1091_mdhmmr_2</v>
      </c>
      <c r="BI353" t="s">
        <v>1068</v>
      </c>
      <c r="BJ353" t="s">
        <v>1662</v>
      </c>
      <c r="BL353" t="s">
        <v>210</v>
      </c>
      <c r="BM353" t="s">
        <v>211</v>
      </c>
      <c r="BN353" s="19" t="s">
        <v>232</v>
      </c>
      <c r="BO353" t="s">
        <v>213</v>
      </c>
      <c r="BQ353" s="19"/>
      <c r="BR353">
        <v>1</v>
      </c>
    </row>
    <row r="354" spans="1:70" ht="14.5" x14ac:dyDescent="0.25">
      <c r="A354" t="s">
        <v>1667</v>
      </c>
      <c r="B354" t="s">
        <v>206</v>
      </c>
      <c r="D354" s="17" t="s">
        <v>1668</v>
      </c>
      <c r="E354" s="2">
        <v>1092</v>
      </c>
      <c r="F354" t="str">
        <f t="shared" si="208"/>
        <v>enemy_1092_mdgint</v>
      </c>
      <c r="G354">
        <v>1</v>
      </c>
      <c r="K354">
        <v>100000</v>
      </c>
      <c r="M354">
        <v>3000</v>
      </c>
      <c r="O354">
        <v>700</v>
      </c>
      <c r="Q354">
        <v>30</v>
      </c>
      <c r="Y354">
        <v>0.05</v>
      </c>
      <c r="Z354">
        <v>7</v>
      </c>
      <c r="AA354">
        <v>5</v>
      </c>
      <c r="AB354">
        <v>0.4</v>
      </c>
      <c r="AE354">
        <v>0</v>
      </c>
      <c r="AF354">
        <v>1</v>
      </c>
      <c r="AG354" t="s">
        <v>1669</v>
      </c>
      <c r="AH354" t="s">
        <v>209</v>
      </c>
      <c r="AI354" t="s">
        <v>231</v>
      </c>
      <c r="AK354">
        <v>1</v>
      </c>
      <c r="AT354">
        <v>1</v>
      </c>
      <c r="AV354">
        <v>0.25</v>
      </c>
      <c r="BC354" t="str">
        <f t="shared" si="209"/>
        <v>enemy_1092_mdgint</v>
      </c>
      <c r="BI354" t="s">
        <v>1670</v>
      </c>
      <c r="BJ354" t="s">
        <v>1671</v>
      </c>
      <c r="BL354" t="s">
        <v>210</v>
      </c>
      <c r="BM354" t="s">
        <v>211</v>
      </c>
      <c r="BN354" s="19" t="s">
        <v>232</v>
      </c>
      <c r="BO354" t="s">
        <v>213</v>
      </c>
      <c r="BQ354" s="19"/>
      <c r="BR354">
        <v>1</v>
      </c>
    </row>
    <row r="355" spans="1:70" ht="14.5" x14ac:dyDescent="0.25">
      <c r="A355" t="s">
        <v>1672</v>
      </c>
      <c r="B355" t="s">
        <v>206</v>
      </c>
      <c r="D355" s="17" t="s">
        <v>1673</v>
      </c>
      <c r="E355" s="2">
        <v>1092</v>
      </c>
      <c r="F355" t="str">
        <f t="shared" si="208"/>
        <v>enemy_1092_mdgint_2</v>
      </c>
      <c r="G355">
        <v>1</v>
      </c>
      <c r="K355">
        <v>150000</v>
      </c>
      <c r="M355">
        <v>3600</v>
      </c>
      <c r="O355">
        <v>800</v>
      </c>
      <c r="Q355">
        <v>40</v>
      </c>
      <c r="Y355">
        <v>0.05</v>
      </c>
      <c r="Z355">
        <v>7</v>
      </c>
      <c r="AA355">
        <v>5</v>
      </c>
      <c r="AB355">
        <v>0.4</v>
      </c>
      <c r="AE355">
        <v>0</v>
      </c>
      <c r="AF355">
        <v>1</v>
      </c>
      <c r="AG355" t="s">
        <v>1674</v>
      </c>
      <c r="AH355" t="s">
        <v>209</v>
      </c>
      <c r="AI355" t="s">
        <v>231</v>
      </c>
      <c r="AK355">
        <v>1</v>
      </c>
      <c r="AT355">
        <v>1</v>
      </c>
      <c r="AV355">
        <v>0.25</v>
      </c>
      <c r="BC355" t="str">
        <f t="shared" si="209"/>
        <v>enemy_1092_mdgint_2</v>
      </c>
      <c r="BI355" t="s">
        <v>1670</v>
      </c>
      <c r="BJ355" t="s">
        <v>1675</v>
      </c>
      <c r="BL355" t="s">
        <v>210</v>
      </c>
      <c r="BM355" t="s">
        <v>211</v>
      </c>
      <c r="BN355" s="19" t="s">
        <v>232</v>
      </c>
      <c r="BO355" t="s">
        <v>213</v>
      </c>
      <c r="BQ355" s="19"/>
      <c r="BR355">
        <v>1</v>
      </c>
    </row>
    <row r="356" spans="1:70" ht="14.5" x14ac:dyDescent="0.25">
      <c r="A356" t="s">
        <v>1676</v>
      </c>
      <c r="B356" t="s">
        <v>206</v>
      </c>
      <c r="C356">
        <v>1</v>
      </c>
      <c r="D356" s="17" t="s">
        <v>1677</v>
      </c>
      <c r="E356" s="2">
        <v>1511</v>
      </c>
      <c r="F356" t="str">
        <f t="shared" si="208"/>
        <v>enemy_1511_mdrock</v>
      </c>
      <c r="G356">
        <v>1</v>
      </c>
      <c r="K356">
        <v>45000</v>
      </c>
      <c r="M356">
        <v>800</v>
      </c>
      <c r="O356">
        <v>1000</v>
      </c>
      <c r="Q356">
        <v>30</v>
      </c>
      <c r="Y356">
        <v>0.05</v>
      </c>
      <c r="Z356">
        <v>4.5</v>
      </c>
      <c r="AA356">
        <v>6</v>
      </c>
      <c r="AB356">
        <v>0.6</v>
      </c>
      <c r="AE356">
        <v>0</v>
      </c>
      <c r="AF356">
        <v>1</v>
      </c>
      <c r="AG356" t="s">
        <v>1678</v>
      </c>
      <c r="AH356" t="s">
        <v>209</v>
      </c>
      <c r="AI356" t="s">
        <v>231</v>
      </c>
      <c r="AK356">
        <v>1</v>
      </c>
      <c r="AT356">
        <v>1</v>
      </c>
      <c r="AV356">
        <v>0.25</v>
      </c>
      <c r="BC356" t="str">
        <f t="shared" si="209"/>
        <v>enemy_1511_mdrock</v>
      </c>
      <c r="BI356" t="s">
        <v>1679</v>
      </c>
      <c r="BJ356" t="s">
        <v>1680</v>
      </c>
      <c r="BL356" t="s">
        <v>210</v>
      </c>
      <c r="BM356" t="s">
        <v>211</v>
      </c>
      <c r="BN356" s="19" t="s">
        <v>232</v>
      </c>
      <c r="BO356" t="s">
        <v>213</v>
      </c>
      <c r="BQ356" s="19"/>
      <c r="BR356">
        <v>1</v>
      </c>
    </row>
    <row r="357" spans="1:70" ht="14.5" x14ac:dyDescent="0.25">
      <c r="A357" t="s">
        <v>1681</v>
      </c>
      <c r="B357" t="s">
        <v>206</v>
      </c>
      <c r="D357" s="17" t="s">
        <v>1682</v>
      </c>
      <c r="E357" s="2">
        <v>1093</v>
      </c>
      <c r="F357" t="str">
        <f t="shared" si="208"/>
        <v>enemy_1093_ccsbr</v>
      </c>
      <c r="G357">
        <v>1</v>
      </c>
      <c r="K357">
        <v>2600</v>
      </c>
      <c r="M357">
        <v>290</v>
      </c>
      <c r="O357">
        <v>60</v>
      </c>
      <c r="Q357">
        <v>10</v>
      </c>
      <c r="Y357">
        <v>0.05</v>
      </c>
      <c r="Z357">
        <v>1.8</v>
      </c>
      <c r="AA357">
        <v>1</v>
      </c>
      <c r="AB357">
        <v>0.8</v>
      </c>
      <c r="AE357">
        <v>0</v>
      </c>
      <c r="AF357">
        <v>1</v>
      </c>
      <c r="AG357" t="s">
        <v>1683</v>
      </c>
      <c r="AH357" t="s">
        <v>209</v>
      </c>
      <c r="AI357" t="s">
        <v>1684</v>
      </c>
      <c r="AK357">
        <v>1</v>
      </c>
      <c r="AT357">
        <v>1</v>
      </c>
      <c r="AV357">
        <v>0.25</v>
      </c>
      <c r="BC357" t="str">
        <f t="shared" si="209"/>
        <v>enemy_1093_ccsbr</v>
      </c>
      <c r="BI357" t="s">
        <v>935</v>
      </c>
      <c r="BJ357" t="s">
        <v>1685</v>
      </c>
      <c r="BL357" t="s">
        <v>210</v>
      </c>
      <c r="BM357" t="s">
        <v>211</v>
      </c>
      <c r="BN357" s="19" t="s">
        <v>232</v>
      </c>
      <c r="BO357" t="s">
        <v>213</v>
      </c>
      <c r="BQ357" s="19"/>
      <c r="BR357">
        <v>1</v>
      </c>
    </row>
    <row r="358" spans="1:70" ht="14.5" x14ac:dyDescent="0.25">
      <c r="A358" t="s">
        <v>1686</v>
      </c>
      <c r="B358" t="s">
        <v>206</v>
      </c>
      <c r="D358" s="17" t="s">
        <v>1687</v>
      </c>
      <c r="E358" s="2">
        <v>1093</v>
      </c>
      <c r="F358" t="str">
        <f t="shared" si="208"/>
        <v>enemy_1093_ccsbr_2</v>
      </c>
      <c r="G358">
        <v>1</v>
      </c>
      <c r="K358">
        <v>3600</v>
      </c>
      <c r="M358">
        <v>380</v>
      </c>
      <c r="O358">
        <v>110</v>
      </c>
      <c r="Q358">
        <v>10</v>
      </c>
      <c r="Y358">
        <v>0.05</v>
      </c>
      <c r="Z358">
        <v>1.8</v>
      </c>
      <c r="AA358">
        <v>1</v>
      </c>
      <c r="AB358">
        <v>0.9</v>
      </c>
      <c r="AE358">
        <v>0</v>
      </c>
      <c r="AF358">
        <v>1</v>
      </c>
      <c r="AG358" t="s">
        <v>1688</v>
      </c>
      <c r="AH358" t="s">
        <v>209</v>
      </c>
      <c r="AI358" t="s">
        <v>1689</v>
      </c>
      <c r="AK358">
        <v>1</v>
      </c>
      <c r="AT358">
        <v>1</v>
      </c>
      <c r="AV358">
        <v>0.25</v>
      </c>
      <c r="BC358" t="str">
        <f t="shared" si="209"/>
        <v>enemy_1093_ccsbr_2</v>
      </c>
      <c r="BI358" t="s">
        <v>935</v>
      </c>
      <c r="BJ358" t="s">
        <v>1690</v>
      </c>
      <c r="BL358" t="s">
        <v>210</v>
      </c>
      <c r="BM358" t="s">
        <v>211</v>
      </c>
      <c r="BN358" s="19" t="s">
        <v>232</v>
      </c>
      <c r="BO358" t="s">
        <v>213</v>
      </c>
      <c r="BQ358" s="19"/>
      <c r="BR358">
        <v>1</v>
      </c>
    </row>
    <row r="359" spans="1:70" ht="14.5" x14ac:dyDescent="0.25">
      <c r="A359" t="s">
        <v>1691</v>
      </c>
      <c r="B359" t="s">
        <v>206</v>
      </c>
      <c r="D359" s="17" t="s">
        <v>1692</v>
      </c>
      <c r="E359" s="2">
        <v>1094</v>
      </c>
      <c r="F359" t="str">
        <f t="shared" si="208"/>
        <v>enemy_1094_ccspm</v>
      </c>
      <c r="G359">
        <v>1</v>
      </c>
      <c r="K359">
        <v>2800</v>
      </c>
      <c r="M359">
        <v>240</v>
      </c>
      <c r="O359">
        <v>100</v>
      </c>
      <c r="Q359">
        <v>10</v>
      </c>
      <c r="Y359">
        <v>0.05</v>
      </c>
      <c r="Z359">
        <v>1.3</v>
      </c>
      <c r="AA359">
        <v>1</v>
      </c>
      <c r="AB359">
        <v>0.8</v>
      </c>
      <c r="AE359">
        <v>0</v>
      </c>
      <c r="AF359">
        <v>1</v>
      </c>
      <c r="AG359" t="s">
        <v>1693</v>
      </c>
      <c r="AH359" t="s">
        <v>209</v>
      </c>
      <c r="AI359" t="s">
        <v>1694</v>
      </c>
      <c r="AK359">
        <v>1</v>
      </c>
      <c r="AT359">
        <v>1</v>
      </c>
      <c r="AV359">
        <v>0.25</v>
      </c>
      <c r="BC359" t="str">
        <f t="shared" si="209"/>
        <v>enemy_1094_ccspm</v>
      </c>
      <c r="BI359" t="s">
        <v>941</v>
      </c>
      <c r="BJ359" t="s">
        <v>1695</v>
      </c>
      <c r="BL359" t="s">
        <v>210</v>
      </c>
      <c r="BM359" t="s">
        <v>211</v>
      </c>
      <c r="BN359" s="19" t="s">
        <v>232</v>
      </c>
      <c r="BO359" t="s">
        <v>213</v>
      </c>
      <c r="BQ359" s="19"/>
      <c r="BR359">
        <v>1</v>
      </c>
    </row>
    <row r="360" spans="1:70" ht="14.5" x14ac:dyDescent="0.25">
      <c r="A360" t="s">
        <v>1696</v>
      </c>
      <c r="B360" t="s">
        <v>206</v>
      </c>
      <c r="D360" s="17" t="s">
        <v>1697</v>
      </c>
      <c r="E360" s="2">
        <v>1094</v>
      </c>
      <c r="F360" t="str">
        <f t="shared" si="208"/>
        <v>enemy_1094_ccspm_2</v>
      </c>
      <c r="G360">
        <v>1</v>
      </c>
      <c r="K360">
        <v>3800</v>
      </c>
      <c r="M360">
        <v>340</v>
      </c>
      <c r="O360">
        <v>150</v>
      </c>
      <c r="Q360">
        <v>10</v>
      </c>
      <c r="Y360">
        <v>0.05</v>
      </c>
      <c r="Z360">
        <v>1.3</v>
      </c>
      <c r="AA360">
        <v>1</v>
      </c>
      <c r="AB360">
        <v>0.8</v>
      </c>
      <c r="AE360">
        <v>0</v>
      </c>
      <c r="AF360">
        <v>1</v>
      </c>
      <c r="AG360" t="s">
        <v>1698</v>
      </c>
      <c r="AH360" t="s">
        <v>209</v>
      </c>
      <c r="AI360" t="s">
        <v>1694</v>
      </c>
      <c r="AK360">
        <v>1</v>
      </c>
      <c r="AT360">
        <v>1</v>
      </c>
      <c r="AV360">
        <v>0.25</v>
      </c>
      <c r="BC360" t="str">
        <f t="shared" si="209"/>
        <v>enemy_1094_ccspm_2</v>
      </c>
      <c r="BI360" t="s">
        <v>941</v>
      </c>
      <c r="BJ360" t="s">
        <v>1699</v>
      </c>
      <c r="BL360" t="s">
        <v>210</v>
      </c>
      <c r="BM360" t="s">
        <v>211</v>
      </c>
      <c r="BN360" s="19" t="s">
        <v>232</v>
      </c>
      <c r="BO360" t="s">
        <v>213</v>
      </c>
      <c r="BQ360" s="19"/>
      <c r="BR360">
        <v>1</v>
      </c>
    </row>
    <row r="361" spans="1:70" ht="14.5" x14ac:dyDescent="0.25">
      <c r="A361" t="s">
        <v>1700</v>
      </c>
      <c r="B361" t="s">
        <v>206</v>
      </c>
      <c r="D361" s="17" t="s">
        <v>1701</v>
      </c>
      <c r="E361" s="2">
        <v>1095</v>
      </c>
      <c r="F361" t="str">
        <f t="shared" si="208"/>
        <v>enemy_1095_ccripr</v>
      </c>
      <c r="G361">
        <v>1</v>
      </c>
      <c r="K361">
        <v>5500</v>
      </c>
      <c r="M361">
        <v>320</v>
      </c>
      <c r="O361">
        <v>380</v>
      </c>
      <c r="Q361">
        <v>10</v>
      </c>
      <c r="Y361">
        <v>0.05</v>
      </c>
      <c r="Z361">
        <v>1</v>
      </c>
      <c r="AA361">
        <v>2</v>
      </c>
      <c r="AB361">
        <v>0.8</v>
      </c>
      <c r="AE361">
        <v>0</v>
      </c>
      <c r="AF361">
        <v>1</v>
      </c>
      <c r="AG361" t="s">
        <v>1702</v>
      </c>
      <c r="AH361" t="s">
        <v>209</v>
      </c>
      <c r="AI361" t="s">
        <v>1703</v>
      </c>
      <c r="AK361">
        <v>1</v>
      </c>
      <c r="AT361">
        <v>1</v>
      </c>
      <c r="AV361">
        <v>0.25</v>
      </c>
      <c r="BC361" t="str">
        <f t="shared" si="209"/>
        <v>enemy_1095_ccripr</v>
      </c>
      <c r="BI361" t="s">
        <v>935</v>
      </c>
      <c r="BJ361" t="s">
        <v>1704</v>
      </c>
      <c r="BL361" t="s">
        <v>210</v>
      </c>
      <c r="BM361" t="s">
        <v>211</v>
      </c>
      <c r="BN361" s="19" t="s">
        <v>232</v>
      </c>
      <c r="BO361" t="s">
        <v>213</v>
      </c>
      <c r="BQ361" s="19"/>
      <c r="BR361">
        <v>1</v>
      </c>
    </row>
    <row r="362" spans="1:70" ht="14.5" x14ac:dyDescent="0.25">
      <c r="A362" t="s">
        <v>1705</v>
      </c>
      <c r="B362" t="s">
        <v>206</v>
      </c>
      <c r="D362" s="17" t="s">
        <v>1706</v>
      </c>
      <c r="E362" s="2">
        <v>1095</v>
      </c>
      <c r="F362" t="str">
        <f t="shared" si="208"/>
        <v>enemy_1095_ccripr_2</v>
      </c>
      <c r="G362">
        <v>1</v>
      </c>
      <c r="K362">
        <v>7500</v>
      </c>
      <c r="M362">
        <v>350</v>
      </c>
      <c r="O362">
        <v>460</v>
      </c>
      <c r="Q362">
        <v>10</v>
      </c>
      <c r="Y362">
        <v>0.05</v>
      </c>
      <c r="Z362">
        <v>0.9</v>
      </c>
      <c r="AA362">
        <v>2</v>
      </c>
      <c r="AB362">
        <v>0.8</v>
      </c>
      <c r="AE362">
        <v>0</v>
      </c>
      <c r="AF362">
        <v>1</v>
      </c>
      <c r="AG362" t="s">
        <v>1707</v>
      </c>
      <c r="AH362" t="s">
        <v>209</v>
      </c>
      <c r="AI362" t="s">
        <v>1708</v>
      </c>
      <c r="AK362">
        <v>1</v>
      </c>
      <c r="AT362">
        <v>1</v>
      </c>
      <c r="AV362">
        <v>0.25</v>
      </c>
      <c r="BC362" t="str">
        <f t="shared" si="209"/>
        <v>enemy_1095_ccripr_2</v>
      </c>
      <c r="BI362" t="s">
        <v>935</v>
      </c>
      <c r="BJ362" t="s">
        <v>1709</v>
      </c>
      <c r="BL362" t="s">
        <v>210</v>
      </c>
      <c r="BM362" t="s">
        <v>211</v>
      </c>
      <c r="BN362" s="19" t="s">
        <v>232</v>
      </c>
      <c r="BO362" t="s">
        <v>213</v>
      </c>
      <c r="BQ362" s="19"/>
      <c r="BR362">
        <v>1</v>
      </c>
    </row>
    <row r="363" spans="1:70" ht="14.5" x14ac:dyDescent="0.25">
      <c r="A363" t="s">
        <v>1710</v>
      </c>
      <c r="B363" t="s">
        <v>206</v>
      </c>
      <c r="D363" s="17" t="s">
        <v>1711</v>
      </c>
      <c r="E363" s="2">
        <v>1096</v>
      </c>
      <c r="F363" t="str">
        <f t="shared" si="208"/>
        <v>enemy_1096_ccwitch</v>
      </c>
      <c r="G363">
        <v>1</v>
      </c>
      <c r="K363">
        <v>6000</v>
      </c>
      <c r="M363">
        <v>250</v>
      </c>
      <c r="O363">
        <v>200</v>
      </c>
      <c r="Q363">
        <v>70</v>
      </c>
      <c r="Y363">
        <v>0.05</v>
      </c>
      <c r="Z363">
        <v>4</v>
      </c>
      <c r="AA363">
        <v>3</v>
      </c>
      <c r="AB363">
        <v>0.8</v>
      </c>
      <c r="AE363">
        <v>0</v>
      </c>
      <c r="AF363">
        <v>1</v>
      </c>
      <c r="AG363" t="s">
        <v>1712</v>
      </c>
      <c r="AH363" t="s">
        <v>209</v>
      </c>
      <c r="AI363" t="s">
        <v>1713</v>
      </c>
      <c r="AK363">
        <v>1</v>
      </c>
      <c r="AT363">
        <v>1</v>
      </c>
      <c r="AV363">
        <v>0.25</v>
      </c>
      <c r="BC363" t="str">
        <f t="shared" si="209"/>
        <v>enemy_1096_ccwitch</v>
      </c>
      <c r="BI363" t="s">
        <v>962</v>
      </c>
      <c r="BJ363" t="s">
        <v>1714</v>
      </c>
      <c r="BL363" t="s">
        <v>210</v>
      </c>
      <c r="BM363" t="s">
        <v>211</v>
      </c>
      <c r="BN363" s="19" t="s">
        <v>232</v>
      </c>
      <c r="BO363" t="s">
        <v>213</v>
      </c>
      <c r="BQ363" s="19"/>
      <c r="BR363">
        <v>1</v>
      </c>
    </row>
    <row r="364" spans="1:70" ht="14.5" x14ac:dyDescent="0.25">
      <c r="A364" t="s">
        <v>1715</v>
      </c>
      <c r="B364" t="s">
        <v>206</v>
      </c>
      <c r="D364" s="17" t="s">
        <v>1716</v>
      </c>
      <c r="E364" s="2">
        <v>1096</v>
      </c>
      <c r="F364" t="str">
        <f t="shared" si="208"/>
        <v>enemy_1096_ccwitch_2</v>
      </c>
      <c r="G364">
        <v>1</v>
      </c>
      <c r="K364">
        <v>8000</v>
      </c>
      <c r="M364">
        <v>350</v>
      </c>
      <c r="O364">
        <v>250</v>
      </c>
      <c r="Q364">
        <v>80</v>
      </c>
      <c r="Y364">
        <v>0.05</v>
      </c>
      <c r="Z364">
        <v>4</v>
      </c>
      <c r="AA364">
        <v>3</v>
      </c>
      <c r="AB364">
        <v>0.8</v>
      </c>
      <c r="AE364">
        <v>0</v>
      </c>
      <c r="AF364">
        <v>1</v>
      </c>
      <c r="AG364" t="s">
        <v>1717</v>
      </c>
      <c r="AH364" t="s">
        <v>209</v>
      </c>
      <c r="AI364" t="s">
        <v>1718</v>
      </c>
      <c r="AK364">
        <v>1</v>
      </c>
      <c r="AT364">
        <v>1</v>
      </c>
      <c r="AV364">
        <v>0.25</v>
      </c>
      <c r="BC364" t="str">
        <f t="shared" si="209"/>
        <v>enemy_1096_ccwitch_2</v>
      </c>
      <c r="BI364" t="s">
        <v>962</v>
      </c>
      <c r="BJ364" t="s">
        <v>1719</v>
      </c>
      <c r="BL364" t="s">
        <v>210</v>
      </c>
      <c r="BM364" t="s">
        <v>211</v>
      </c>
      <c r="BN364" s="19" t="s">
        <v>232</v>
      </c>
      <c r="BO364" t="s">
        <v>213</v>
      </c>
      <c r="BQ364" s="19"/>
      <c r="BR364">
        <v>1</v>
      </c>
    </row>
    <row r="365" spans="1:70" ht="14.5" x14ac:dyDescent="0.25">
      <c r="A365" t="s">
        <v>1720</v>
      </c>
      <c r="B365" t="s">
        <v>206</v>
      </c>
      <c r="C365">
        <v>1</v>
      </c>
      <c r="D365" s="17" t="s">
        <v>1721</v>
      </c>
      <c r="E365" s="2">
        <v>1097</v>
      </c>
      <c r="F365" t="str">
        <f t="shared" si="208"/>
        <v>enemy_1097_cclmbjk</v>
      </c>
      <c r="G365">
        <v>1</v>
      </c>
      <c r="K365">
        <v>7500</v>
      </c>
      <c r="M365">
        <v>650</v>
      </c>
      <c r="O365">
        <v>550</v>
      </c>
      <c r="Q365">
        <v>10</v>
      </c>
      <c r="Y365">
        <v>0.05</v>
      </c>
      <c r="Z365">
        <v>5</v>
      </c>
      <c r="AA365">
        <v>4</v>
      </c>
      <c r="AB365">
        <v>0.7</v>
      </c>
      <c r="AE365">
        <v>0</v>
      </c>
      <c r="AF365">
        <v>1</v>
      </c>
      <c r="AG365" t="s">
        <v>1722</v>
      </c>
      <c r="AH365" t="s">
        <v>209</v>
      </c>
      <c r="AI365" t="s">
        <v>231</v>
      </c>
      <c r="AK365">
        <v>1</v>
      </c>
      <c r="AT365">
        <v>1</v>
      </c>
      <c r="AV365">
        <v>0.25</v>
      </c>
      <c r="BC365" t="str">
        <f t="shared" si="209"/>
        <v>enemy_1097_cclmbjk</v>
      </c>
      <c r="BI365" t="s">
        <v>962</v>
      </c>
      <c r="BJ365" t="s">
        <v>1723</v>
      </c>
      <c r="BL365" t="s">
        <v>210</v>
      </c>
      <c r="BM365" t="s">
        <v>211</v>
      </c>
      <c r="BN365" s="19" t="s">
        <v>232</v>
      </c>
      <c r="BO365" t="s">
        <v>213</v>
      </c>
      <c r="BQ365" s="19"/>
      <c r="BR365">
        <v>1</v>
      </c>
    </row>
    <row r="366" spans="1:70" ht="14.5" x14ac:dyDescent="0.25">
      <c r="A366" t="s">
        <v>1724</v>
      </c>
      <c r="B366" t="s">
        <v>206</v>
      </c>
      <c r="C366">
        <v>1</v>
      </c>
      <c r="D366" s="17" t="s">
        <v>1725</v>
      </c>
      <c r="E366" s="2">
        <v>1097</v>
      </c>
      <c r="F366" t="str">
        <f t="shared" si="208"/>
        <v>enemy_1097_cclmbjk_2</v>
      </c>
      <c r="G366">
        <v>1</v>
      </c>
      <c r="K366">
        <v>9500</v>
      </c>
      <c r="M366">
        <v>750</v>
      </c>
      <c r="O366">
        <v>700</v>
      </c>
      <c r="Q366">
        <v>10</v>
      </c>
      <c r="Y366">
        <v>0.05</v>
      </c>
      <c r="Z366">
        <v>5</v>
      </c>
      <c r="AA366">
        <v>4</v>
      </c>
      <c r="AB366">
        <v>0.7</v>
      </c>
      <c r="AE366">
        <v>0</v>
      </c>
      <c r="AF366">
        <v>1</v>
      </c>
      <c r="AG366" t="s">
        <v>1726</v>
      </c>
      <c r="AH366" t="s">
        <v>209</v>
      </c>
      <c r="AI366" t="s">
        <v>231</v>
      </c>
      <c r="AK366">
        <v>1</v>
      </c>
      <c r="AT366">
        <v>1</v>
      </c>
      <c r="AV366">
        <v>0.25</v>
      </c>
      <c r="BC366" t="str">
        <f t="shared" si="209"/>
        <v>enemy_1097_cclmbjk_2</v>
      </c>
      <c r="BI366" t="s">
        <v>962</v>
      </c>
      <c r="BJ366" t="s">
        <v>1723</v>
      </c>
      <c r="BL366" t="s">
        <v>210</v>
      </c>
      <c r="BM366" t="s">
        <v>211</v>
      </c>
      <c r="BN366" s="19" t="s">
        <v>232</v>
      </c>
      <c r="BO366" t="s">
        <v>213</v>
      </c>
      <c r="BQ366" s="19"/>
      <c r="BR366">
        <v>1</v>
      </c>
    </row>
    <row r="367" spans="1:70" ht="14.5" x14ac:dyDescent="0.25">
      <c r="A367" t="s">
        <v>1727</v>
      </c>
      <c r="B367" t="s">
        <v>206</v>
      </c>
      <c r="D367" s="17" t="s">
        <v>1728</v>
      </c>
      <c r="E367" s="2">
        <v>1098</v>
      </c>
      <c r="F367" t="str">
        <f t="shared" si="208"/>
        <v>enemy_1098_cchmpn</v>
      </c>
      <c r="G367">
        <v>1</v>
      </c>
      <c r="K367">
        <v>12000</v>
      </c>
      <c r="M367">
        <v>700</v>
      </c>
      <c r="O367">
        <v>950</v>
      </c>
      <c r="Q367">
        <v>10</v>
      </c>
      <c r="Y367">
        <v>0.05</v>
      </c>
      <c r="Z367">
        <v>4</v>
      </c>
      <c r="AA367">
        <v>5</v>
      </c>
      <c r="AB367">
        <v>0.7</v>
      </c>
      <c r="AE367">
        <v>0</v>
      </c>
      <c r="AF367">
        <v>1</v>
      </c>
      <c r="AG367" t="s">
        <v>1729</v>
      </c>
      <c r="AH367" t="s">
        <v>209</v>
      </c>
      <c r="AI367" t="s">
        <v>1730</v>
      </c>
      <c r="AK367">
        <v>1</v>
      </c>
      <c r="AT367">
        <v>1</v>
      </c>
      <c r="AV367">
        <v>0.25</v>
      </c>
      <c r="BC367" t="str">
        <f t="shared" si="209"/>
        <v>enemy_1098_cchmpn</v>
      </c>
      <c r="BI367" t="s">
        <v>994</v>
      </c>
      <c r="BJ367" t="s">
        <v>1731</v>
      </c>
      <c r="BL367" t="s">
        <v>210</v>
      </c>
      <c r="BM367" t="s">
        <v>211</v>
      </c>
      <c r="BN367" s="19" t="s">
        <v>232</v>
      </c>
      <c r="BO367" t="s">
        <v>213</v>
      </c>
      <c r="BQ367" s="19"/>
      <c r="BR367">
        <v>1</v>
      </c>
    </row>
    <row r="368" spans="1:70" ht="14.5" x14ac:dyDescent="0.25">
      <c r="A368" t="s">
        <v>1732</v>
      </c>
      <c r="B368" t="s">
        <v>206</v>
      </c>
      <c r="D368" s="17" t="s">
        <v>1733</v>
      </c>
      <c r="E368" s="2">
        <v>1098</v>
      </c>
      <c r="F368" t="str">
        <f t="shared" si="208"/>
        <v>enemy_1098_cchmpn_2</v>
      </c>
      <c r="G368">
        <v>1</v>
      </c>
      <c r="K368">
        <v>16000</v>
      </c>
      <c r="M368">
        <v>1000</v>
      </c>
      <c r="O368">
        <v>1100</v>
      </c>
      <c r="Q368">
        <v>10</v>
      </c>
      <c r="Y368">
        <v>0.05</v>
      </c>
      <c r="Z368">
        <v>4</v>
      </c>
      <c r="AA368">
        <v>5</v>
      </c>
      <c r="AB368">
        <v>0.8</v>
      </c>
      <c r="AE368">
        <v>0</v>
      </c>
      <c r="AF368">
        <v>1</v>
      </c>
      <c r="AG368" t="s">
        <v>1734</v>
      </c>
      <c r="AH368" t="s">
        <v>209</v>
      </c>
      <c r="AI368" t="s">
        <v>1730</v>
      </c>
      <c r="AK368">
        <v>1</v>
      </c>
      <c r="AT368">
        <v>1</v>
      </c>
      <c r="AV368">
        <v>0.25</v>
      </c>
      <c r="BC368" t="str">
        <f t="shared" si="209"/>
        <v>enemy_1098_cchmpn_2</v>
      </c>
      <c r="BI368" t="s">
        <v>994</v>
      </c>
      <c r="BJ368" t="s">
        <v>1735</v>
      </c>
      <c r="BL368" t="s">
        <v>210</v>
      </c>
      <c r="BM368" t="s">
        <v>211</v>
      </c>
      <c r="BN368" s="19" t="s">
        <v>232</v>
      </c>
      <c r="BO368" t="s">
        <v>213</v>
      </c>
      <c r="BQ368" s="19"/>
      <c r="BR368">
        <v>1</v>
      </c>
    </row>
    <row r="369" spans="1:70" ht="14.5" x14ac:dyDescent="0.25">
      <c r="A369" t="s">
        <v>1736</v>
      </c>
      <c r="B369" t="s">
        <v>206</v>
      </c>
      <c r="C369">
        <v>1</v>
      </c>
      <c r="D369" s="17" t="s">
        <v>1737</v>
      </c>
      <c r="E369" s="2">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1738</v>
      </c>
      <c r="AH369" t="s">
        <v>209</v>
      </c>
      <c r="AI369" t="s">
        <v>231</v>
      </c>
      <c r="AK369">
        <v>1</v>
      </c>
      <c r="AT369">
        <v>1</v>
      </c>
      <c r="AV369">
        <v>0.25</v>
      </c>
      <c r="BC369" t="str">
        <f t="shared" ref="BC369:BC432" si="211">"enemy_"&amp;E369&amp;"_"&amp;D369</f>
        <v>enemy_1512_mcmstr</v>
      </c>
      <c r="BI369" t="s">
        <v>1739</v>
      </c>
      <c r="BJ369" t="s">
        <v>1740</v>
      </c>
      <c r="BL369" t="s">
        <v>210</v>
      </c>
      <c r="BM369" t="s">
        <v>211</v>
      </c>
      <c r="BN369" s="19" t="s">
        <v>1617</v>
      </c>
      <c r="BO369" t="s">
        <v>213</v>
      </c>
      <c r="BQ369" s="19"/>
      <c r="BR369">
        <v>1</v>
      </c>
    </row>
    <row r="370" spans="1:70" ht="14.5" x14ac:dyDescent="0.25">
      <c r="A370" t="s">
        <v>1741</v>
      </c>
      <c r="B370" t="s">
        <v>206</v>
      </c>
      <c r="C370">
        <v>1</v>
      </c>
      <c r="D370" s="17" t="s">
        <v>1742</v>
      </c>
      <c r="E370" s="2">
        <v>2001</v>
      </c>
      <c r="F370" t="str">
        <f t="shared" si="210"/>
        <v>enemy_2001_duckmi</v>
      </c>
      <c r="G370">
        <v>1</v>
      </c>
      <c r="K370">
        <v>18000</v>
      </c>
      <c r="M370">
        <v>100</v>
      </c>
      <c r="O370">
        <v>200</v>
      </c>
      <c r="Q370">
        <v>30</v>
      </c>
      <c r="Y370">
        <v>0.05</v>
      </c>
      <c r="Z370">
        <v>1</v>
      </c>
      <c r="AA370">
        <v>3</v>
      </c>
      <c r="AB370">
        <v>0.4</v>
      </c>
      <c r="AE370">
        <v>0</v>
      </c>
      <c r="AF370">
        <v>1</v>
      </c>
      <c r="AG370" t="s">
        <v>1743</v>
      </c>
      <c r="AH370" t="s">
        <v>209</v>
      </c>
      <c r="AI370" t="s">
        <v>231</v>
      </c>
      <c r="AK370">
        <v>1</v>
      </c>
      <c r="AT370">
        <v>1</v>
      </c>
      <c r="AV370">
        <v>0.25</v>
      </c>
      <c r="BC370" t="str">
        <f t="shared" si="211"/>
        <v>enemy_2001_duckmi</v>
      </c>
      <c r="BI370" t="s">
        <v>1744</v>
      </c>
      <c r="BJ370" t="s">
        <v>1745</v>
      </c>
      <c r="BL370" t="s">
        <v>210</v>
      </c>
      <c r="BM370" t="s">
        <v>211</v>
      </c>
      <c r="BN370" s="19" t="s">
        <v>232</v>
      </c>
      <c r="BO370" t="s">
        <v>213</v>
      </c>
      <c r="BQ370" s="19"/>
      <c r="BR370">
        <v>1</v>
      </c>
    </row>
    <row r="371" spans="1:70" ht="14.5" x14ac:dyDescent="0.25">
      <c r="A371" t="s">
        <v>1746</v>
      </c>
      <c r="B371" t="s">
        <v>206</v>
      </c>
      <c r="C371">
        <v>1</v>
      </c>
      <c r="D371" s="17" t="s">
        <v>1747</v>
      </c>
      <c r="E371" s="2">
        <v>2002</v>
      </c>
      <c r="F371" t="str">
        <f t="shared" si="210"/>
        <v>enemy_2002_bearmi</v>
      </c>
      <c r="G371">
        <v>1</v>
      </c>
      <c r="K371">
        <v>30000</v>
      </c>
      <c r="M371">
        <v>2000</v>
      </c>
      <c r="O371">
        <v>200</v>
      </c>
      <c r="Q371">
        <v>50</v>
      </c>
      <c r="Y371">
        <v>0.05</v>
      </c>
      <c r="Z371">
        <v>3.5</v>
      </c>
      <c r="AA371">
        <v>4</v>
      </c>
      <c r="AB371">
        <v>0.5</v>
      </c>
      <c r="AE371">
        <v>0</v>
      </c>
      <c r="AF371">
        <v>1</v>
      </c>
      <c r="AG371" t="s">
        <v>1748</v>
      </c>
      <c r="AH371" t="s">
        <v>209</v>
      </c>
      <c r="AI371" t="s">
        <v>231</v>
      </c>
      <c r="AK371">
        <v>1</v>
      </c>
      <c r="AT371">
        <v>1</v>
      </c>
      <c r="AV371">
        <v>0.25</v>
      </c>
      <c r="BC371" t="str">
        <f t="shared" si="211"/>
        <v>enemy_2002_bearmi</v>
      </c>
      <c r="BI371" t="s">
        <v>994</v>
      </c>
      <c r="BJ371" t="s">
        <v>1749</v>
      </c>
      <c r="BL371" t="s">
        <v>210</v>
      </c>
      <c r="BM371" t="s">
        <v>211</v>
      </c>
      <c r="BN371" s="19" t="s">
        <v>232</v>
      </c>
      <c r="BO371" t="s">
        <v>213</v>
      </c>
      <c r="BQ371" s="19"/>
      <c r="BR371">
        <v>1</v>
      </c>
    </row>
    <row r="372" spans="1:70" ht="14.5" x14ac:dyDescent="0.25">
      <c r="A372" t="s">
        <v>1750</v>
      </c>
      <c r="B372" t="s">
        <v>206</v>
      </c>
      <c r="C372">
        <v>1</v>
      </c>
      <c r="D372" s="17" t="s">
        <v>1751</v>
      </c>
      <c r="E372" s="2">
        <v>2003</v>
      </c>
      <c r="F372" t="str">
        <f t="shared" si="210"/>
        <v>enemy_2003_rockman</v>
      </c>
      <c r="G372">
        <v>1</v>
      </c>
      <c r="K372">
        <v>75000</v>
      </c>
      <c r="M372">
        <v>1500</v>
      </c>
      <c r="O372">
        <v>600</v>
      </c>
      <c r="Q372">
        <v>0</v>
      </c>
      <c r="Y372">
        <v>0.05</v>
      </c>
      <c r="Z372">
        <v>4.4000000000000004</v>
      </c>
      <c r="AA372">
        <v>4</v>
      </c>
      <c r="AB372">
        <v>0.5</v>
      </c>
      <c r="AE372">
        <v>0</v>
      </c>
      <c r="AF372">
        <v>1</v>
      </c>
      <c r="AG372" t="s">
        <v>1752</v>
      </c>
      <c r="AH372" t="s">
        <v>209</v>
      </c>
      <c r="AI372" t="s">
        <v>231</v>
      </c>
      <c r="AK372">
        <v>1</v>
      </c>
      <c r="AT372">
        <v>1</v>
      </c>
      <c r="AV372">
        <v>0.25</v>
      </c>
      <c r="BC372" t="str">
        <f t="shared" si="211"/>
        <v>enemy_2003_rockman</v>
      </c>
      <c r="BI372" t="s">
        <v>1753</v>
      </c>
      <c r="BJ372" t="s">
        <v>1754</v>
      </c>
      <c r="BL372" t="s">
        <v>210</v>
      </c>
      <c r="BM372" t="s">
        <v>211</v>
      </c>
      <c r="BN372" s="19" t="s">
        <v>232</v>
      </c>
      <c r="BO372" t="s">
        <v>213</v>
      </c>
      <c r="BQ372" s="19"/>
      <c r="BR372">
        <v>1</v>
      </c>
    </row>
    <row r="373" spans="1:70" ht="14.5" x14ac:dyDescent="0.25">
      <c r="A373" t="s">
        <v>1755</v>
      </c>
      <c r="B373" t="s">
        <v>206</v>
      </c>
      <c r="C373">
        <v>1</v>
      </c>
      <c r="D373" s="17" t="s">
        <v>1756</v>
      </c>
      <c r="E373" s="2">
        <v>2004</v>
      </c>
      <c r="F373" t="str">
        <f t="shared" si="210"/>
        <v>enemy_2004_balloon</v>
      </c>
      <c r="G373">
        <v>1</v>
      </c>
      <c r="K373">
        <v>58000</v>
      </c>
      <c r="M373">
        <v>400</v>
      </c>
      <c r="O373">
        <v>280</v>
      </c>
      <c r="Q373">
        <v>30</v>
      </c>
      <c r="Y373">
        <v>0.05</v>
      </c>
      <c r="Z373">
        <v>2</v>
      </c>
      <c r="AA373">
        <v>3</v>
      </c>
      <c r="AB373">
        <v>0.8</v>
      </c>
      <c r="AE373">
        <v>0</v>
      </c>
      <c r="AF373">
        <v>1</v>
      </c>
      <c r="AG373" t="s">
        <v>1757</v>
      </c>
      <c r="AH373" t="s">
        <v>209</v>
      </c>
      <c r="AI373" t="s">
        <v>231</v>
      </c>
      <c r="AK373">
        <v>1</v>
      </c>
      <c r="AT373">
        <v>1</v>
      </c>
      <c r="AV373">
        <v>0.25</v>
      </c>
      <c r="BC373" t="str">
        <f t="shared" si="211"/>
        <v>enemy_2004_balloon</v>
      </c>
      <c r="BI373" t="s">
        <v>1001</v>
      </c>
      <c r="BJ373" t="s">
        <v>1758</v>
      </c>
      <c r="BL373" t="s">
        <v>210</v>
      </c>
      <c r="BM373" t="s">
        <v>211</v>
      </c>
      <c r="BN373" t="s">
        <v>1326</v>
      </c>
      <c r="BO373" t="s">
        <v>213</v>
      </c>
      <c r="BQ373" s="19"/>
      <c r="BR373">
        <v>1</v>
      </c>
    </row>
    <row r="374" spans="1:70" ht="14.5" x14ac:dyDescent="0.25">
      <c r="A374" t="s">
        <v>1759</v>
      </c>
      <c r="B374" t="s">
        <v>206</v>
      </c>
      <c r="C374">
        <v>1</v>
      </c>
      <c r="D374" s="17" t="s">
        <v>1760</v>
      </c>
      <c r="E374" s="2">
        <v>2005</v>
      </c>
      <c r="F374" t="str">
        <f t="shared" si="210"/>
        <v>enemy_2005_axetro</v>
      </c>
      <c r="G374">
        <v>1</v>
      </c>
      <c r="K374">
        <v>50000</v>
      </c>
      <c r="M374">
        <v>500</v>
      </c>
      <c r="O374">
        <v>300</v>
      </c>
      <c r="Q374">
        <v>30</v>
      </c>
      <c r="Y374">
        <v>0.05</v>
      </c>
      <c r="Z374">
        <v>3</v>
      </c>
      <c r="AA374">
        <v>3</v>
      </c>
      <c r="AB374">
        <v>0.6</v>
      </c>
      <c r="AE374">
        <v>0</v>
      </c>
      <c r="AF374">
        <v>1</v>
      </c>
      <c r="AG374" t="s">
        <v>1761</v>
      </c>
      <c r="AH374" t="s">
        <v>209</v>
      </c>
      <c r="AI374" t="s">
        <v>231</v>
      </c>
      <c r="AK374">
        <v>1</v>
      </c>
      <c r="AT374">
        <v>1</v>
      </c>
      <c r="AV374">
        <v>0.25</v>
      </c>
      <c r="BC374" t="str">
        <f t="shared" si="211"/>
        <v>enemy_2005_axetro</v>
      </c>
      <c r="BI374" t="s">
        <v>1324</v>
      </c>
      <c r="BJ374" t="s">
        <v>1762</v>
      </c>
      <c r="BL374" t="s">
        <v>210</v>
      </c>
      <c r="BM374" t="s">
        <v>211</v>
      </c>
      <c r="BN374" s="19" t="s">
        <v>232</v>
      </c>
      <c r="BO374" t="s">
        <v>213</v>
      </c>
      <c r="BQ374" s="19"/>
      <c r="BR374">
        <v>1</v>
      </c>
    </row>
    <row r="375" spans="1:70" ht="14.5" x14ac:dyDescent="0.25">
      <c r="A375" t="s">
        <v>1763</v>
      </c>
      <c r="B375" t="s">
        <v>206</v>
      </c>
      <c r="C375">
        <v>1</v>
      </c>
      <c r="D375" s="17" t="s">
        <v>1764</v>
      </c>
      <c r="E375" s="2">
        <v>2006</v>
      </c>
      <c r="F375" t="str">
        <f t="shared" si="210"/>
        <v>enemy_2006_flsnip</v>
      </c>
      <c r="G375">
        <v>1</v>
      </c>
      <c r="K375">
        <v>40000</v>
      </c>
      <c r="M375">
        <v>1200</v>
      </c>
      <c r="O375">
        <v>550</v>
      </c>
      <c r="Q375">
        <v>40</v>
      </c>
      <c r="Y375">
        <v>0.05</v>
      </c>
      <c r="Z375">
        <v>5</v>
      </c>
      <c r="AA375">
        <v>5</v>
      </c>
      <c r="AB375">
        <v>0.4</v>
      </c>
      <c r="AE375">
        <v>0</v>
      </c>
      <c r="AF375">
        <v>1</v>
      </c>
      <c r="AG375" t="s">
        <v>1765</v>
      </c>
      <c r="AH375" t="s">
        <v>209</v>
      </c>
      <c r="AI375" t="s">
        <v>231</v>
      </c>
      <c r="AK375">
        <v>1</v>
      </c>
      <c r="AT375">
        <v>1</v>
      </c>
      <c r="AV375">
        <v>0.25</v>
      </c>
      <c r="BC375" t="str">
        <f t="shared" si="211"/>
        <v>enemy_2006_flsnip</v>
      </c>
      <c r="BI375" t="s">
        <v>1333</v>
      </c>
      <c r="BJ375" t="s">
        <v>1766</v>
      </c>
      <c r="BL375" t="s">
        <v>210</v>
      </c>
      <c r="BM375" t="s">
        <v>211</v>
      </c>
      <c r="BN375" s="19" t="s">
        <v>232</v>
      </c>
      <c r="BO375" t="s">
        <v>213</v>
      </c>
      <c r="BQ375" s="19"/>
      <c r="BR375">
        <v>1</v>
      </c>
    </row>
    <row r="376" spans="1:70" ht="14.5" x14ac:dyDescent="0.25">
      <c r="A376" t="s">
        <v>1767</v>
      </c>
      <c r="B376" t="s">
        <v>206</v>
      </c>
      <c r="C376">
        <v>1</v>
      </c>
      <c r="D376" s="17" t="s">
        <v>1768</v>
      </c>
      <c r="E376" s="2">
        <v>2007</v>
      </c>
      <c r="F376" t="str">
        <f t="shared" si="210"/>
        <v>enemy_2007_flwitch</v>
      </c>
      <c r="G376">
        <v>1</v>
      </c>
      <c r="K376">
        <v>27000</v>
      </c>
      <c r="M376">
        <v>350</v>
      </c>
      <c r="O376">
        <v>1500</v>
      </c>
      <c r="Q376">
        <v>80</v>
      </c>
      <c r="Y376">
        <v>0.05</v>
      </c>
      <c r="Z376">
        <v>4</v>
      </c>
      <c r="AA376">
        <v>5</v>
      </c>
      <c r="AB376">
        <v>0.5</v>
      </c>
      <c r="AE376">
        <v>0</v>
      </c>
      <c r="AF376">
        <v>1</v>
      </c>
      <c r="AG376" t="s">
        <v>1769</v>
      </c>
      <c r="AH376" t="s">
        <v>209</v>
      </c>
      <c r="AI376" t="s">
        <v>231</v>
      </c>
      <c r="AK376">
        <v>1</v>
      </c>
      <c r="AT376">
        <v>1</v>
      </c>
      <c r="AV376">
        <v>0.25</v>
      </c>
      <c r="BC376" t="str">
        <f t="shared" si="211"/>
        <v>enemy_2007_flwitch</v>
      </c>
      <c r="BI376" t="s">
        <v>1333</v>
      </c>
      <c r="BJ376" t="s">
        <v>1770</v>
      </c>
      <c r="BL376" t="s">
        <v>210</v>
      </c>
      <c r="BM376" t="s">
        <v>211</v>
      </c>
      <c r="BN376" s="19" t="s">
        <v>232</v>
      </c>
      <c r="BO376" t="s">
        <v>213</v>
      </c>
      <c r="BQ376" s="19"/>
      <c r="BR376">
        <v>1</v>
      </c>
    </row>
    <row r="377" spans="1:70" ht="14.5" x14ac:dyDescent="0.25">
      <c r="A377" t="s">
        <v>1771</v>
      </c>
      <c r="B377" t="s">
        <v>206</v>
      </c>
      <c r="C377">
        <v>1</v>
      </c>
      <c r="D377" s="17" t="s">
        <v>1772</v>
      </c>
      <c r="E377" s="2">
        <v>2008</v>
      </c>
      <c r="F377" t="str">
        <f t="shared" si="210"/>
        <v>enemy_2008_flking</v>
      </c>
      <c r="G377">
        <v>1</v>
      </c>
      <c r="K377">
        <v>60000</v>
      </c>
      <c r="M377">
        <v>2000</v>
      </c>
      <c r="O377">
        <v>330</v>
      </c>
      <c r="Q377">
        <v>55</v>
      </c>
      <c r="Y377">
        <v>0.05</v>
      </c>
      <c r="Z377">
        <v>3.5</v>
      </c>
      <c r="AA377">
        <v>6</v>
      </c>
      <c r="AB377">
        <v>0.5</v>
      </c>
      <c r="AE377">
        <v>0</v>
      </c>
      <c r="AF377">
        <v>1</v>
      </c>
      <c r="AG377" t="s">
        <v>1773</v>
      </c>
      <c r="AH377" t="s">
        <v>209</v>
      </c>
      <c r="AI377" t="s">
        <v>231</v>
      </c>
      <c r="AK377">
        <v>1</v>
      </c>
      <c r="AT377">
        <v>1</v>
      </c>
      <c r="AV377">
        <v>0.25</v>
      </c>
      <c r="BC377" t="str">
        <f t="shared" si="211"/>
        <v>enemy_2008_flking</v>
      </c>
      <c r="BI377" t="s">
        <v>1324</v>
      </c>
      <c r="BJ377" t="s">
        <v>1774</v>
      </c>
      <c r="BL377" t="s">
        <v>210</v>
      </c>
      <c r="BM377" t="s">
        <v>211</v>
      </c>
      <c r="BN377" s="19" t="s">
        <v>232</v>
      </c>
      <c r="BO377" t="s">
        <v>213</v>
      </c>
      <c r="BQ377" s="19"/>
      <c r="BR377">
        <v>1</v>
      </c>
    </row>
    <row r="378" spans="1:70" ht="14.5" x14ac:dyDescent="0.25">
      <c r="A378" t="s">
        <v>1775</v>
      </c>
      <c r="B378" t="s">
        <v>206</v>
      </c>
      <c r="D378" s="17" t="s">
        <v>1776</v>
      </c>
      <c r="E378" s="2">
        <v>1099</v>
      </c>
      <c r="F378" t="str">
        <f t="shared" si="210"/>
        <v>enemy_1099_nbkght</v>
      </c>
      <c r="G378">
        <v>1</v>
      </c>
      <c r="K378">
        <v>2800</v>
      </c>
      <c r="M378">
        <v>280</v>
      </c>
      <c r="O378">
        <v>150</v>
      </c>
      <c r="Q378">
        <v>0</v>
      </c>
      <c r="Y378">
        <v>0.05</v>
      </c>
      <c r="Z378">
        <v>2</v>
      </c>
      <c r="AA378">
        <v>1</v>
      </c>
      <c r="AB378">
        <v>1.1000000000000001</v>
      </c>
      <c r="AE378">
        <v>0</v>
      </c>
      <c r="AF378">
        <v>1</v>
      </c>
      <c r="AG378" t="s">
        <v>1777</v>
      </c>
      <c r="AH378" t="s">
        <v>209</v>
      </c>
      <c r="AI378" t="s">
        <v>231</v>
      </c>
      <c r="AK378">
        <v>1</v>
      </c>
      <c r="AT378">
        <v>1</v>
      </c>
      <c r="AV378">
        <v>0.25</v>
      </c>
      <c r="BC378" t="str">
        <f t="shared" si="211"/>
        <v>enemy_1099_nbkght</v>
      </c>
      <c r="BI378" t="s">
        <v>935</v>
      </c>
      <c r="BJ378" t="s">
        <v>1778</v>
      </c>
      <c r="BL378" t="s">
        <v>210</v>
      </c>
      <c r="BM378" t="s">
        <v>211</v>
      </c>
      <c r="BN378" s="19" t="s">
        <v>232</v>
      </c>
      <c r="BO378" t="s">
        <v>213</v>
      </c>
      <c r="BQ378" s="19"/>
      <c r="BR378">
        <v>1</v>
      </c>
    </row>
    <row r="379" spans="1:70" ht="14.5" x14ac:dyDescent="0.25">
      <c r="A379" t="s">
        <v>1779</v>
      </c>
      <c r="B379" t="s">
        <v>206</v>
      </c>
      <c r="D379" s="17" t="s">
        <v>1780</v>
      </c>
      <c r="E379" s="2">
        <v>1099</v>
      </c>
      <c r="F379" t="str">
        <f t="shared" si="210"/>
        <v>enemy_1099_nbkght_2</v>
      </c>
      <c r="G379">
        <v>1</v>
      </c>
      <c r="K379">
        <v>3800</v>
      </c>
      <c r="M379">
        <v>360</v>
      </c>
      <c r="O379">
        <v>150</v>
      </c>
      <c r="Q379">
        <v>0</v>
      </c>
      <c r="Y379">
        <v>0.05</v>
      </c>
      <c r="Z379">
        <v>2</v>
      </c>
      <c r="AA379">
        <v>1</v>
      </c>
      <c r="AB379">
        <v>1.1000000000000001</v>
      </c>
      <c r="AE379">
        <v>0</v>
      </c>
      <c r="AF379">
        <v>1</v>
      </c>
      <c r="AG379" t="s">
        <v>1781</v>
      </c>
      <c r="AH379" t="s">
        <v>209</v>
      </c>
      <c r="AI379" t="s">
        <v>231</v>
      </c>
      <c r="AK379">
        <v>1</v>
      </c>
      <c r="AT379">
        <v>1</v>
      </c>
      <c r="AV379">
        <v>0.25</v>
      </c>
      <c r="BC379" t="str">
        <f t="shared" si="211"/>
        <v>enemy_1099_nbkght_2</v>
      </c>
      <c r="BI379" t="s">
        <v>935</v>
      </c>
      <c r="BJ379" t="s">
        <v>1782</v>
      </c>
      <c r="BL379" t="s">
        <v>210</v>
      </c>
      <c r="BM379" t="s">
        <v>211</v>
      </c>
      <c r="BN379" s="19" t="s">
        <v>232</v>
      </c>
      <c r="BO379" t="s">
        <v>213</v>
      </c>
      <c r="BQ379" s="19"/>
      <c r="BR379">
        <v>1</v>
      </c>
    </row>
    <row r="380" spans="1:70" ht="14.5" x14ac:dyDescent="0.25">
      <c r="A380" t="s">
        <v>1783</v>
      </c>
      <c r="B380" t="s">
        <v>206</v>
      </c>
      <c r="D380" s="17" t="s">
        <v>1784</v>
      </c>
      <c r="E380" s="2">
        <v>1100</v>
      </c>
      <c r="F380" t="str">
        <f t="shared" si="210"/>
        <v>enemy_1100_scorpn</v>
      </c>
      <c r="G380">
        <v>1</v>
      </c>
      <c r="K380">
        <v>2000</v>
      </c>
      <c r="M380">
        <v>380</v>
      </c>
      <c r="O380">
        <v>450</v>
      </c>
      <c r="Q380">
        <v>30</v>
      </c>
      <c r="Y380">
        <v>0.05</v>
      </c>
      <c r="Z380">
        <v>2.5</v>
      </c>
      <c r="AA380">
        <v>0</v>
      </c>
      <c r="AB380">
        <v>1</v>
      </c>
      <c r="AE380">
        <v>0</v>
      </c>
      <c r="AF380">
        <v>1</v>
      </c>
      <c r="AG380" t="s">
        <v>1785</v>
      </c>
      <c r="AH380" t="s">
        <v>209</v>
      </c>
      <c r="AI380" t="s">
        <v>231</v>
      </c>
      <c r="AK380">
        <v>1</v>
      </c>
      <c r="AT380">
        <v>1</v>
      </c>
      <c r="AV380">
        <v>0.25</v>
      </c>
      <c r="BC380" t="str">
        <f t="shared" si="211"/>
        <v>enemy_1100_scorpn</v>
      </c>
      <c r="BI380" t="s">
        <v>893</v>
      </c>
      <c r="BJ380" t="s">
        <v>1786</v>
      </c>
      <c r="BL380" t="s">
        <v>210</v>
      </c>
      <c r="BM380" t="s">
        <v>211</v>
      </c>
      <c r="BN380" s="19" t="s">
        <v>232</v>
      </c>
      <c r="BO380" t="s">
        <v>213</v>
      </c>
      <c r="BQ380" s="19"/>
      <c r="BR380">
        <v>1</v>
      </c>
    </row>
    <row r="381" spans="1:70" ht="14.5" x14ac:dyDescent="0.25">
      <c r="A381" t="s">
        <v>1787</v>
      </c>
      <c r="B381" t="s">
        <v>206</v>
      </c>
      <c r="D381" s="17" t="s">
        <v>1788</v>
      </c>
      <c r="E381" s="2">
        <v>1100</v>
      </c>
      <c r="F381" t="str">
        <f t="shared" si="210"/>
        <v>enemy_1100_scorpn_2</v>
      </c>
      <c r="G381">
        <v>1</v>
      </c>
      <c r="K381">
        <v>3000</v>
      </c>
      <c r="M381">
        <v>450</v>
      </c>
      <c r="O381">
        <v>700</v>
      </c>
      <c r="Q381">
        <v>50</v>
      </c>
      <c r="Y381">
        <v>0.05</v>
      </c>
      <c r="Z381">
        <v>2.5</v>
      </c>
      <c r="AA381">
        <v>0</v>
      </c>
      <c r="AB381">
        <v>1</v>
      </c>
      <c r="AE381">
        <v>0</v>
      </c>
      <c r="AF381">
        <v>1</v>
      </c>
      <c r="AG381" t="s">
        <v>1789</v>
      </c>
      <c r="AH381" t="s">
        <v>209</v>
      </c>
      <c r="AI381" t="s">
        <v>231</v>
      </c>
      <c r="AK381">
        <v>1</v>
      </c>
      <c r="AT381">
        <v>1</v>
      </c>
      <c r="AV381">
        <v>0.25</v>
      </c>
      <c r="BC381" t="str">
        <f t="shared" si="211"/>
        <v>enemy_1100_scorpn_2</v>
      </c>
      <c r="BI381" t="s">
        <v>893</v>
      </c>
      <c r="BJ381" t="s">
        <v>1786</v>
      </c>
      <c r="BL381" t="s">
        <v>210</v>
      </c>
      <c r="BM381" t="s">
        <v>211</v>
      </c>
      <c r="BN381" s="19" t="s">
        <v>232</v>
      </c>
      <c r="BO381" t="s">
        <v>213</v>
      </c>
      <c r="BQ381" s="19"/>
      <c r="BR381">
        <v>1</v>
      </c>
    </row>
    <row r="382" spans="1:70" ht="14.5" x14ac:dyDescent="0.25">
      <c r="A382" t="s">
        <v>1790</v>
      </c>
      <c r="B382" t="s">
        <v>206</v>
      </c>
      <c r="D382" s="17" t="s">
        <v>1791</v>
      </c>
      <c r="E382" s="2">
        <v>1101</v>
      </c>
      <c r="F382" t="str">
        <f t="shared" si="210"/>
        <v>enemy_1101_plkght</v>
      </c>
      <c r="G382">
        <v>1</v>
      </c>
      <c r="K382">
        <v>2800</v>
      </c>
      <c r="M382">
        <v>300</v>
      </c>
      <c r="O382">
        <v>100</v>
      </c>
      <c r="Q382">
        <v>0</v>
      </c>
      <c r="Y382">
        <v>0.05</v>
      </c>
      <c r="Z382">
        <v>2.4</v>
      </c>
      <c r="AA382">
        <v>1</v>
      </c>
      <c r="AB382">
        <v>0.9</v>
      </c>
      <c r="AE382">
        <v>0</v>
      </c>
      <c r="AF382">
        <v>1</v>
      </c>
      <c r="AG382" t="s">
        <v>1792</v>
      </c>
      <c r="AH382" t="s">
        <v>209</v>
      </c>
      <c r="AI382" t="s">
        <v>1793</v>
      </c>
      <c r="AK382">
        <v>1</v>
      </c>
      <c r="AT382">
        <v>1</v>
      </c>
      <c r="AV382">
        <v>0.25</v>
      </c>
      <c r="BC382" t="str">
        <f t="shared" si="211"/>
        <v>enemy_1101_plkght</v>
      </c>
      <c r="BI382" t="s">
        <v>941</v>
      </c>
      <c r="BJ382" t="s">
        <v>1794</v>
      </c>
      <c r="BL382" t="s">
        <v>210</v>
      </c>
      <c r="BM382" t="s">
        <v>211</v>
      </c>
      <c r="BN382" s="19" t="s">
        <v>232</v>
      </c>
      <c r="BO382" t="s">
        <v>213</v>
      </c>
      <c r="BQ382" s="19"/>
      <c r="BR382">
        <v>1</v>
      </c>
    </row>
    <row r="383" spans="1:70" ht="14.5" x14ac:dyDescent="0.25">
      <c r="A383" t="s">
        <v>1795</v>
      </c>
      <c r="B383" t="s">
        <v>206</v>
      </c>
      <c r="D383" s="17" t="s">
        <v>1796</v>
      </c>
      <c r="E383" s="2">
        <v>1101</v>
      </c>
      <c r="F383" t="str">
        <f t="shared" si="210"/>
        <v>enemy_1101_plkght_2</v>
      </c>
      <c r="G383">
        <v>1</v>
      </c>
      <c r="K383">
        <v>3800</v>
      </c>
      <c r="M383">
        <v>420</v>
      </c>
      <c r="O383">
        <v>100</v>
      </c>
      <c r="Q383">
        <v>0</v>
      </c>
      <c r="Y383">
        <v>0.05</v>
      </c>
      <c r="Z383">
        <v>2.4</v>
      </c>
      <c r="AA383">
        <v>1</v>
      </c>
      <c r="AB383">
        <v>0.9</v>
      </c>
      <c r="AE383">
        <v>0</v>
      </c>
      <c r="AF383">
        <v>1</v>
      </c>
      <c r="AG383" t="s">
        <v>1797</v>
      </c>
      <c r="AH383" t="s">
        <v>209</v>
      </c>
      <c r="AI383" t="s">
        <v>1793</v>
      </c>
      <c r="AK383">
        <v>1</v>
      </c>
      <c r="AT383">
        <v>1</v>
      </c>
      <c r="AV383">
        <v>0.25</v>
      </c>
      <c r="BC383" t="str">
        <f t="shared" si="211"/>
        <v>enemy_1101_plkght_2</v>
      </c>
      <c r="BI383" t="s">
        <v>941</v>
      </c>
      <c r="BJ383" t="s">
        <v>1794</v>
      </c>
      <c r="BL383" t="s">
        <v>210</v>
      </c>
      <c r="BM383" t="s">
        <v>211</v>
      </c>
      <c r="BN383" s="19" t="s">
        <v>232</v>
      </c>
      <c r="BO383" t="s">
        <v>213</v>
      </c>
      <c r="BQ383" s="19"/>
      <c r="BR383">
        <v>1</v>
      </c>
    </row>
    <row r="384" spans="1:70" ht="14.5" x14ac:dyDescent="0.25">
      <c r="A384" t="s">
        <v>1798</v>
      </c>
      <c r="B384" t="s">
        <v>206</v>
      </c>
      <c r="D384" s="17" t="s">
        <v>1799</v>
      </c>
      <c r="E384" s="2">
        <v>1101</v>
      </c>
      <c r="F384" t="str">
        <f t="shared" si="210"/>
        <v>enemy_1101_plkght_3</v>
      </c>
      <c r="G384">
        <v>1</v>
      </c>
      <c r="K384">
        <v>3800</v>
      </c>
      <c r="M384">
        <v>600</v>
      </c>
      <c r="O384">
        <v>100</v>
      </c>
      <c r="Q384">
        <v>0</v>
      </c>
      <c r="Y384">
        <v>0.05</v>
      </c>
      <c r="Z384">
        <v>2.4</v>
      </c>
      <c r="AA384">
        <v>1</v>
      </c>
      <c r="AB384">
        <v>0.9</v>
      </c>
      <c r="AE384">
        <v>0</v>
      </c>
      <c r="AF384">
        <v>1</v>
      </c>
      <c r="AG384" t="s">
        <v>1800</v>
      </c>
      <c r="AH384" t="s">
        <v>209</v>
      </c>
      <c r="AI384" t="s">
        <v>1801</v>
      </c>
      <c r="AK384">
        <v>1</v>
      </c>
      <c r="AT384">
        <v>1</v>
      </c>
      <c r="AV384">
        <v>0.25</v>
      </c>
      <c r="BC384" t="str">
        <f t="shared" si="211"/>
        <v>enemy_1101_plkght_3</v>
      </c>
      <c r="BI384" t="s">
        <v>962</v>
      </c>
      <c r="BJ384" t="s">
        <v>1794</v>
      </c>
      <c r="BL384" t="s">
        <v>210</v>
      </c>
      <c r="BM384" t="s">
        <v>211</v>
      </c>
      <c r="BN384" s="19" t="s">
        <v>232</v>
      </c>
      <c r="BO384" t="s">
        <v>213</v>
      </c>
      <c r="BQ384" s="19"/>
      <c r="BR384">
        <v>1</v>
      </c>
    </row>
    <row r="385" spans="1:70" ht="14.5" x14ac:dyDescent="0.25">
      <c r="A385" t="s">
        <v>1802</v>
      </c>
      <c r="B385" t="s">
        <v>206</v>
      </c>
      <c r="D385" s="17" t="s">
        <v>1803</v>
      </c>
      <c r="E385" s="2">
        <v>1102</v>
      </c>
      <c r="F385" t="str">
        <f t="shared" si="210"/>
        <v>enemy_1102_sdkght</v>
      </c>
      <c r="G385">
        <v>1</v>
      </c>
      <c r="K385">
        <v>8000</v>
      </c>
      <c r="M385">
        <v>700</v>
      </c>
      <c r="O385">
        <v>1000</v>
      </c>
      <c r="Q385">
        <v>0</v>
      </c>
      <c r="Y385">
        <v>0.05</v>
      </c>
      <c r="Z385">
        <v>3</v>
      </c>
      <c r="AA385">
        <v>4</v>
      </c>
      <c r="AB385">
        <v>0.7</v>
      </c>
      <c r="AE385">
        <v>0</v>
      </c>
      <c r="AF385">
        <v>1</v>
      </c>
      <c r="AG385" t="s">
        <v>1804</v>
      </c>
      <c r="AH385" t="s">
        <v>209</v>
      </c>
      <c r="AI385" t="s">
        <v>231</v>
      </c>
      <c r="AK385">
        <v>1</v>
      </c>
      <c r="AT385">
        <v>1</v>
      </c>
      <c r="AV385">
        <v>0.25</v>
      </c>
      <c r="BC385" t="str">
        <f t="shared" si="211"/>
        <v>enemy_1102_sdkght</v>
      </c>
      <c r="BI385" t="s">
        <v>994</v>
      </c>
      <c r="BJ385" t="s">
        <v>1805</v>
      </c>
      <c r="BL385" t="s">
        <v>210</v>
      </c>
      <c r="BM385" t="s">
        <v>211</v>
      </c>
      <c r="BN385" s="19" t="s">
        <v>232</v>
      </c>
      <c r="BO385" t="s">
        <v>213</v>
      </c>
      <c r="BQ385" s="19"/>
      <c r="BR385">
        <v>1</v>
      </c>
    </row>
    <row r="386" spans="1:70" ht="14.5" x14ac:dyDescent="0.25">
      <c r="A386" t="s">
        <v>1806</v>
      </c>
      <c r="B386" t="s">
        <v>206</v>
      </c>
      <c r="D386" s="17" t="s">
        <v>1807</v>
      </c>
      <c r="E386" s="2">
        <v>1102</v>
      </c>
      <c r="F386" t="str">
        <f t="shared" si="210"/>
        <v>enemy_1102_sdkght_2</v>
      </c>
      <c r="G386">
        <v>1</v>
      </c>
      <c r="K386">
        <v>12000</v>
      </c>
      <c r="M386">
        <v>700</v>
      </c>
      <c r="O386">
        <v>1300</v>
      </c>
      <c r="Q386">
        <v>0</v>
      </c>
      <c r="Y386">
        <v>0.05</v>
      </c>
      <c r="Z386">
        <v>3</v>
      </c>
      <c r="AA386">
        <v>4</v>
      </c>
      <c r="AB386">
        <v>0.7</v>
      </c>
      <c r="AE386">
        <v>0</v>
      </c>
      <c r="AF386">
        <v>1</v>
      </c>
      <c r="AG386" t="s">
        <v>1808</v>
      </c>
      <c r="AH386" t="s">
        <v>209</v>
      </c>
      <c r="AI386" t="s">
        <v>231</v>
      </c>
      <c r="AK386">
        <v>1</v>
      </c>
      <c r="AT386">
        <v>1</v>
      </c>
      <c r="AV386">
        <v>0.25</v>
      </c>
      <c r="BC386" t="str">
        <f t="shared" si="211"/>
        <v>enemy_1102_sdkght_2</v>
      </c>
      <c r="BI386" t="s">
        <v>994</v>
      </c>
      <c r="BJ386" t="s">
        <v>1809</v>
      </c>
      <c r="BL386" t="s">
        <v>210</v>
      </c>
      <c r="BM386" t="s">
        <v>211</v>
      </c>
      <c r="BN386" s="19" t="s">
        <v>232</v>
      </c>
      <c r="BO386" t="s">
        <v>213</v>
      </c>
      <c r="BQ386" s="19"/>
      <c r="BR386">
        <v>1</v>
      </c>
    </row>
    <row r="387" spans="1:70" ht="14.5" x14ac:dyDescent="0.25">
      <c r="A387" t="s">
        <v>1810</v>
      </c>
      <c r="B387" t="s">
        <v>206</v>
      </c>
      <c r="D387" s="17" t="s">
        <v>1811</v>
      </c>
      <c r="E387" s="2">
        <v>1103</v>
      </c>
      <c r="F387" t="str">
        <f t="shared" si="210"/>
        <v>enemy_1103_wdkght</v>
      </c>
      <c r="G387">
        <v>1</v>
      </c>
      <c r="K387">
        <v>9000</v>
      </c>
      <c r="M387">
        <v>500</v>
      </c>
      <c r="O387">
        <v>800</v>
      </c>
      <c r="Q387">
        <v>0</v>
      </c>
      <c r="Y387">
        <v>0.05</v>
      </c>
      <c r="Z387">
        <v>2.2999999999999998</v>
      </c>
      <c r="AA387">
        <v>3</v>
      </c>
      <c r="AB387">
        <v>0.7</v>
      </c>
      <c r="AE387">
        <v>0</v>
      </c>
      <c r="AF387">
        <v>1</v>
      </c>
      <c r="AG387" t="s">
        <v>1812</v>
      </c>
      <c r="AH387" t="s">
        <v>209</v>
      </c>
      <c r="AI387" t="s">
        <v>1813</v>
      </c>
      <c r="AK387">
        <v>1</v>
      </c>
      <c r="AT387">
        <v>1</v>
      </c>
      <c r="AV387">
        <v>0.25</v>
      </c>
      <c r="BC387" t="str">
        <f t="shared" si="211"/>
        <v>enemy_1103_wdkght</v>
      </c>
      <c r="BI387" t="s">
        <v>994</v>
      </c>
      <c r="BJ387" t="s">
        <v>1814</v>
      </c>
      <c r="BL387" t="s">
        <v>210</v>
      </c>
      <c r="BM387" t="s">
        <v>211</v>
      </c>
      <c r="BN387" s="19" t="s">
        <v>232</v>
      </c>
      <c r="BO387" t="s">
        <v>213</v>
      </c>
      <c r="BQ387" s="19"/>
      <c r="BR387">
        <v>1</v>
      </c>
    </row>
    <row r="388" spans="1:70" ht="14.5" x14ac:dyDescent="0.25">
      <c r="A388" t="s">
        <v>1815</v>
      </c>
      <c r="B388" t="s">
        <v>206</v>
      </c>
      <c r="D388" s="17" t="s">
        <v>1816</v>
      </c>
      <c r="E388" s="2">
        <v>1103</v>
      </c>
      <c r="F388" t="str">
        <f t="shared" si="210"/>
        <v>enemy_1103_wdkght_2</v>
      </c>
      <c r="G388">
        <v>1</v>
      </c>
      <c r="K388">
        <v>13000</v>
      </c>
      <c r="M388">
        <v>650</v>
      </c>
      <c r="O388">
        <v>800</v>
      </c>
      <c r="Q388">
        <v>0</v>
      </c>
      <c r="Y388">
        <v>0.05</v>
      </c>
      <c r="Z388">
        <v>2.2999999999999998</v>
      </c>
      <c r="AA388">
        <v>3</v>
      </c>
      <c r="AB388">
        <v>0.7</v>
      </c>
      <c r="AE388">
        <v>0</v>
      </c>
      <c r="AF388">
        <v>1</v>
      </c>
      <c r="AG388" t="s">
        <v>1817</v>
      </c>
      <c r="AH388" t="s">
        <v>209</v>
      </c>
      <c r="AI388" t="s">
        <v>1813</v>
      </c>
      <c r="AK388">
        <v>1</v>
      </c>
      <c r="AT388">
        <v>1</v>
      </c>
      <c r="AV388">
        <v>0.25</v>
      </c>
      <c r="BC388" t="str">
        <f t="shared" si="211"/>
        <v>enemy_1103_wdkght_2</v>
      </c>
      <c r="BI388" t="s">
        <v>994</v>
      </c>
      <c r="BJ388" t="s">
        <v>1814</v>
      </c>
      <c r="BL388" t="s">
        <v>210</v>
      </c>
      <c r="BM388" t="s">
        <v>211</v>
      </c>
      <c r="BN388" s="19" t="s">
        <v>232</v>
      </c>
      <c r="BO388" t="s">
        <v>213</v>
      </c>
      <c r="BQ388" s="19"/>
      <c r="BR388">
        <v>1</v>
      </c>
    </row>
    <row r="389" spans="1:70" ht="14.5" x14ac:dyDescent="0.25">
      <c r="A389" t="s">
        <v>1818</v>
      </c>
      <c r="B389" t="s">
        <v>206</v>
      </c>
      <c r="D389" s="17" t="s">
        <v>1819</v>
      </c>
      <c r="E389" s="2">
        <v>1103</v>
      </c>
      <c r="F389" t="str">
        <f t="shared" si="210"/>
        <v>enemy_1103_wdkght_3</v>
      </c>
      <c r="G389">
        <v>1</v>
      </c>
      <c r="K389">
        <v>15000</v>
      </c>
      <c r="M389">
        <v>700</v>
      </c>
      <c r="O389">
        <v>800</v>
      </c>
      <c r="Q389">
        <v>0</v>
      </c>
      <c r="Y389">
        <v>0.05</v>
      </c>
      <c r="Z389">
        <v>2.2999999999999998</v>
      </c>
      <c r="AA389">
        <v>3</v>
      </c>
      <c r="AB389">
        <v>0.7</v>
      </c>
      <c r="AE389">
        <v>0</v>
      </c>
      <c r="AF389">
        <v>1</v>
      </c>
      <c r="AG389" t="s">
        <v>1820</v>
      </c>
      <c r="AH389" t="s">
        <v>209</v>
      </c>
      <c r="AI389" t="s">
        <v>1813</v>
      </c>
      <c r="AK389">
        <v>1</v>
      </c>
      <c r="AT389">
        <v>1</v>
      </c>
      <c r="AV389">
        <v>0.25</v>
      </c>
      <c r="BC389" t="str">
        <f t="shared" si="211"/>
        <v>enemy_1103_wdkght_3</v>
      </c>
      <c r="BI389" t="s">
        <v>994</v>
      </c>
      <c r="BJ389" t="s">
        <v>1814</v>
      </c>
      <c r="BL389" t="s">
        <v>210</v>
      </c>
      <c r="BM389" t="s">
        <v>211</v>
      </c>
      <c r="BN389" s="19" t="s">
        <v>232</v>
      </c>
      <c r="BO389" t="s">
        <v>213</v>
      </c>
      <c r="BQ389" s="19"/>
      <c r="BR389">
        <v>1</v>
      </c>
    </row>
    <row r="390" spans="1:70" ht="14.5" x14ac:dyDescent="0.25">
      <c r="A390" t="s">
        <v>1821</v>
      </c>
      <c r="B390" t="s">
        <v>206</v>
      </c>
      <c r="D390" s="17" t="s">
        <v>1822</v>
      </c>
      <c r="E390" s="2">
        <v>1104</v>
      </c>
      <c r="F390" t="str">
        <f t="shared" si="210"/>
        <v>enemy_1104_lfkght</v>
      </c>
      <c r="G390">
        <v>1</v>
      </c>
      <c r="K390">
        <v>10000</v>
      </c>
      <c r="M390">
        <v>550</v>
      </c>
      <c r="O390">
        <v>700</v>
      </c>
      <c r="Q390">
        <v>50</v>
      </c>
      <c r="Y390">
        <v>0.05</v>
      </c>
      <c r="Z390">
        <v>2.5</v>
      </c>
      <c r="AA390">
        <v>3</v>
      </c>
      <c r="AB390">
        <v>0.75</v>
      </c>
      <c r="AE390">
        <v>0</v>
      </c>
      <c r="AF390">
        <v>1</v>
      </c>
      <c r="AG390" t="s">
        <v>1823</v>
      </c>
      <c r="AH390" t="s">
        <v>209</v>
      </c>
      <c r="AI390" t="s">
        <v>1824</v>
      </c>
      <c r="AK390">
        <v>1</v>
      </c>
      <c r="AT390">
        <v>1</v>
      </c>
      <c r="AV390">
        <v>0.25</v>
      </c>
      <c r="BC390" t="str">
        <f t="shared" si="211"/>
        <v>enemy_1104_lfkght</v>
      </c>
      <c r="BI390" t="s">
        <v>962</v>
      </c>
      <c r="BJ390" t="s">
        <v>1825</v>
      </c>
      <c r="BL390" t="s">
        <v>210</v>
      </c>
      <c r="BM390" t="s">
        <v>211</v>
      </c>
      <c r="BN390" s="19" t="s">
        <v>232</v>
      </c>
      <c r="BO390" t="s">
        <v>213</v>
      </c>
      <c r="BQ390" s="19"/>
      <c r="BR390">
        <v>1</v>
      </c>
    </row>
    <row r="391" spans="1:70" ht="14.5" x14ac:dyDescent="0.25">
      <c r="A391" t="s">
        <v>1826</v>
      </c>
      <c r="B391" t="s">
        <v>206</v>
      </c>
      <c r="D391" s="17" t="s">
        <v>1827</v>
      </c>
      <c r="E391" s="2">
        <v>1104</v>
      </c>
      <c r="F391" t="str">
        <f t="shared" si="210"/>
        <v>enemy_1104_lfkght_2</v>
      </c>
      <c r="G391">
        <v>1</v>
      </c>
      <c r="K391">
        <v>13000</v>
      </c>
      <c r="M391">
        <v>650</v>
      </c>
      <c r="O391">
        <v>700</v>
      </c>
      <c r="Q391">
        <v>50</v>
      </c>
      <c r="Y391">
        <v>0.05</v>
      </c>
      <c r="Z391">
        <v>2.5</v>
      </c>
      <c r="AA391">
        <v>3</v>
      </c>
      <c r="AB391">
        <v>0.75</v>
      </c>
      <c r="AE391">
        <v>0</v>
      </c>
      <c r="AF391">
        <v>1</v>
      </c>
      <c r="AG391" t="s">
        <v>1828</v>
      </c>
      <c r="AH391" t="s">
        <v>209</v>
      </c>
      <c r="AI391" t="s">
        <v>1829</v>
      </c>
      <c r="AK391">
        <v>1</v>
      </c>
      <c r="AT391">
        <v>1</v>
      </c>
      <c r="AV391">
        <v>0.25</v>
      </c>
      <c r="BC391" t="str">
        <f t="shared" si="211"/>
        <v>enemy_1104_lfkght_2</v>
      </c>
      <c r="BI391" t="s">
        <v>962</v>
      </c>
      <c r="BJ391" t="s">
        <v>1825</v>
      </c>
      <c r="BL391" t="s">
        <v>210</v>
      </c>
      <c r="BM391" t="s">
        <v>211</v>
      </c>
      <c r="BN391" s="19" t="s">
        <v>232</v>
      </c>
      <c r="BO391" t="s">
        <v>213</v>
      </c>
      <c r="BQ391" s="19"/>
      <c r="BR391">
        <v>1</v>
      </c>
    </row>
    <row r="392" spans="1:70" ht="14.5" x14ac:dyDescent="0.25">
      <c r="A392" t="s">
        <v>1830</v>
      </c>
      <c r="B392" t="s">
        <v>206</v>
      </c>
      <c r="D392" s="17" t="s">
        <v>1831</v>
      </c>
      <c r="E392" s="2">
        <v>1104</v>
      </c>
      <c r="F392" t="str">
        <f t="shared" si="210"/>
        <v>enemy_1104_lfkght_3</v>
      </c>
      <c r="G392">
        <v>1</v>
      </c>
      <c r="K392">
        <v>20000</v>
      </c>
      <c r="M392">
        <v>750</v>
      </c>
      <c r="O392">
        <v>700</v>
      </c>
      <c r="Q392">
        <v>50</v>
      </c>
      <c r="Y392">
        <v>0.05</v>
      </c>
      <c r="Z392">
        <v>2.5</v>
      </c>
      <c r="AA392">
        <v>3</v>
      </c>
      <c r="AB392">
        <v>0.75</v>
      </c>
      <c r="AE392">
        <v>0</v>
      </c>
      <c r="AF392">
        <v>1</v>
      </c>
      <c r="AG392" t="s">
        <v>1832</v>
      </c>
      <c r="AH392" t="s">
        <v>209</v>
      </c>
      <c r="AI392" t="s">
        <v>1833</v>
      </c>
      <c r="AK392">
        <v>1</v>
      </c>
      <c r="AT392">
        <v>1</v>
      </c>
      <c r="AV392">
        <v>0.25</v>
      </c>
      <c r="BC392" t="str">
        <f t="shared" si="211"/>
        <v>enemy_1104_lfkght_3</v>
      </c>
      <c r="BI392" t="s">
        <v>962</v>
      </c>
      <c r="BJ392" t="s">
        <v>1825</v>
      </c>
      <c r="BL392" t="s">
        <v>210</v>
      </c>
      <c r="BM392" t="s">
        <v>211</v>
      </c>
      <c r="BN392" s="19" t="s">
        <v>232</v>
      </c>
      <c r="BO392" t="s">
        <v>213</v>
      </c>
      <c r="BQ392" s="19"/>
      <c r="BR392">
        <v>1</v>
      </c>
    </row>
    <row r="393" spans="1:70" ht="14.5" x14ac:dyDescent="0.25">
      <c r="A393" t="s">
        <v>1834</v>
      </c>
      <c r="B393" t="s">
        <v>206</v>
      </c>
      <c r="C393">
        <v>1</v>
      </c>
      <c r="D393" s="17" t="s">
        <v>1835</v>
      </c>
      <c r="E393" s="2">
        <v>1105</v>
      </c>
      <c r="F393" t="str">
        <f t="shared" si="210"/>
        <v>enemy_1105_tyokai</v>
      </c>
      <c r="G393">
        <v>1</v>
      </c>
      <c r="K393">
        <v>5000</v>
      </c>
      <c r="M393">
        <v>0</v>
      </c>
      <c r="O393">
        <v>150</v>
      </c>
      <c r="Q393">
        <v>20</v>
      </c>
      <c r="Y393">
        <v>0.05</v>
      </c>
      <c r="Z393">
        <v>1</v>
      </c>
      <c r="AA393">
        <v>0</v>
      </c>
      <c r="AB393">
        <v>1</v>
      </c>
      <c r="AE393">
        <v>0</v>
      </c>
      <c r="AF393">
        <v>1</v>
      </c>
      <c r="AG393" t="s">
        <v>1836</v>
      </c>
      <c r="AH393" t="s">
        <v>209</v>
      </c>
      <c r="AI393" t="s">
        <v>231</v>
      </c>
      <c r="AK393">
        <v>1</v>
      </c>
      <c r="AT393">
        <v>1</v>
      </c>
      <c r="AV393">
        <v>0.25</v>
      </c>
      <c r="BC393" t="str">
        <f t="shared" si="211"/>
        <v>enemy_1105_tyokai</v>
      </c>
      <c r="BI393" t="s">
        <v>1027</v>
      </c>
      <c r="BJ393" t="s">
        <v>1837</v>
      </c>
      <c r="BL393" t="s">
        <v>210</v>
      </c>
      <c r="BM393" t="s">
        <v>211</v>
      </c>
      <c r="BN393" s="19" t="s">
        <v>232</v>
      </c>
      <c r="BO393" t="s">
        <v>213</v>
      </c>
      <c r="BQ393" s="19"/>
      <c r="BR393">
        <v>1</v>
      </c>
    </row>
    <row r="394" spans="1:70" ht="14.5" x14ac:dyDescent="0.25">
      <c r="A394" t="s">
        <v>1838</v>
      </c>
      <c r="B394" t="s">
        <v>206</v>
      </c>
      <c r="C394">
        <v>1</v>
      </c>
      <c r="D394" s="17" t="s">
        <v>1839</v>
      </c>
      <c r="E394" s="2">
        <v>1105</v>
      </c>
      <c r="F394" t="str">
        <f t="shared" si="210"/>
        <v>enemy_1105_tyokai_2</v>
      </c>
      <c r="G394">
        <v>1</v>
      </c>
      <c r="K394">
        <v>10000</v>
      </c>
      <c r="M394">
        <v>0</v>
      </c>
      <c r="O394">
        <v>300</v>
      </c>
      <c r="Q394">
        <v>40</v>
      </c>
      <c r="Y394">
        <v>0.05</v>
      </c>
      <c r="Z394">
        <v>1</v>
      </c>
      <c r="AA394">
        <v>1</v>
      </c>
      <c r="AB394">
        <v>0.5</v>
      </c>
      <c r="AE394">
        <v>0</v>
      </c>
      <c r="AF394">
        <v>1</v>
      </c>
      <c r="AG394" t="s">
        <v>1840</v>
      </c>
      <c r="AH394" t="s">
        <v>209</v>
      </c>
      <c r="AI394" t="s">
        <v>231</v>
      </c>
      <c r="AK394">
        <v>1</v>
      </c>
      <c r="AT394">
        <v>1</v>
      </c>
      <c r="AV394">
        <v>0.25</v>
      </c>
      <c r="BC394" t="str">
        <f t="shared" si="211"/>
        <v>enemy_1105_tyokai_2</v>
      </c>
      <c r="BI394" t="s">
        <v>1027</v>
      </c>
      <c r="BJ394" t="s">
        <v>1841</v>
      </c>
      <c r="BL394" t="s">
        <v>210</v>
      </c>
      <c r="BM394" t="s">
        <v>211</v>
      </c>
      <c r="BN394" s="19" t="s">
        <v>232</v>
      </c>
      <c r="BO394" t="s">
        <v>213</v>
      </c>
      <c r="BQ394" s="19"/>
      <c r="BR394">
        <v>1</v>
      </c>
    </row>
    <row r="395" spans="1:70" ht="14.5" x14ac:dyDescent="0.25">
      <c r="A395" t="s">
        <v>1842</v>
      </c>
      <c r="B395" t="s">
        <v>206</v>
      </c>
      <c r="C395">
        <v>1</v>
      </c>
      <c r="D395" s="17" t="s">
        <v>1843</v>
      </c>
      <c r="E395" s="2">
        <v>1106</v>
      </c>
      <c r="F395" t="str">
        <f t="shared" si="210"/>
        <v>enemy_1106_byokai</v>
      </c>
      <c r="G395">
        <v>1</v>
      </c>
      <c r="K395">
        <v>5000</v>
      </c>
      <c r="M395">
        <v>0</v>
      </c>
      <c r="O395">
        <v>150</v>
      </c>
      <c r="Q395">
        <v>20</v>
      </c>
      <c r="Y395">
        <v>0.05</v>
      </c>
      <c r="Z395">
        <v>1</v>
      </c>
      <c r="AA395">
        <v>0</v>
      </c>
      <c r="AB395">
        <v>1</v>
      </c>
      <c r="AE395">
        <v>0</v>
      </c>
      <c r="AF395">
        <v>1</v>
      </c>
      <c r="AG395" t="s">
        <v>1844</v>
      </c>
      <c r="AH395" t="s">
        <v>209</v>
      </c>
      <c r="AI395" t="s">
        <v>231</v>
      </c>
      <c r="AK395">
        <v>1</v>
      </c>
      <c r="AT395">
        <v>1</v>
      </c>
      <c r="AV395">
        <v>0.25</v>
      </c>
      <c r="BC395" t="str">
        <f t="shared" si="211"/>
        <v>enemy_1106_byokai</v>
      </c>
      <c r="BI395" t="s">
        <v>1027</v>
      </c>
      <c r="BJ395" t="s">
        <v>1845</v>
      </c>
      <c r="BL395" t="s">
        <v>210</v>
      </c>
      <c r="BM395" t="s">
        <v>211</v>
      </c>
      <c r="BN395" s="19" t="s">
        <v>232</v>
      </c>
      <c r="BO395" t="s">
        <v>213</v>
      </c>
      <c r="BQ395" s="19"/>
      <c r="BR395">
        <v>1</v>
      </c>
    </row>
    <row r="396" spans="1:70" ht="14.5" x14ac:dyDescent="0.25">
      <c r="A396" t="s">
        <v>1846</v>
      </c>
      <c r="B396" t="s">
        <v>206</v>
      </c>
      <c r="C396">
        <v>1</v>
      </c>
      <c r="D396" s="17" t="s">
        <v>1847</v>
      </c>
      <c r="E396" s="2">
        <v>1513</v>
      </c>
      <c r="F396" t="str">
        <f t="shared" si="210"/>
        <v>enemy_1513_dekght</v>
      </c>
      <c r="G396">
        <v>1</v>
      </c>
      <c r="K396">
        <v>40000</v>
      </c>
      <c r="M396">
        <v>1200</v>
      </c>
      <c r="O396">
        <v>1200</v>
      </c>
      <c r="Q396">
        <v>30</v>
      </c>
      <c r="Y396">
        <v>0.05</v>
      </c>
      <c r="Z396">
        <v>4</v>
      </c>
      <c r="AA396">
        <v>6</v>
      </c>
      <c r="AB396">
        <v>0.65</v>
      </c>
      <c r="AE396">
        <v>0</v>
      </c>
      <c r="AF396">
        <v>1</v>
      </c>
      <c r="AG396" t="s">
        <v>1848</v>
      </c>
      <c r="AH396" t="s">
        <v>209</v>
      </c>
      <c r="AI396" t="s">
        <v>231</v>
      </c>
      <c r="AK396">
        <v>1</v>
      </c>
      <c r="AT396">
        <v>1</v>
      </c>
      <c r="AV396">
        <v>0.25</v>
      </c>
      <c r="BC396" t="str">
        <f t="shared" si="211"/>
        <v>enemy_1513_dekght</v>
      </c>
      <c r="BI396" t="s">
        <v>1679</v>
      </c>
      <c r="BJ396" t="s">
        <v>1849</v>
      </c>
      <c r="BL396" t="s">
        <v>210</v>
      </c>
      <c r="BM396" t="s">
        <v>211</v>
      </c>
      <c r="BN396" s="19" t="s">
        <v>232</v>
      </c>
      <c r="BO396" t="s">
        <v>213</v>
      </c>
      <c r="BQ396" s="19"/>
      <c r="BR396">
        <v>1</v>
      </c>
    </row>
    <row r="397" spans="1:70" ht="14.5" x14ac:dyDescent="0.25">
      <c r="A397" t="s">
        <v>1850</v>
      </c>
      <c r="B397" t="s">
        <v>206</v>
      </c>
      <c r="C397">
        <v>1</v>
      </c>
      <c r="D397" s="17" t="s">
        <v>1851</v>
      </c>
      <c r="E397" s="2">
        <v>1513</v>
      </c>
      <c r="F397" t="str">
        <f t="shared" si="210"/>
        <v>enemy_1513_dekght_2</v>
      </c>
      <c r="G397">
        <v>1</v>
      </c>
      <c r="K397">
        <v>40000</v>
      </c>
      <c r="M397">
        <v>500</v>
      </c>
      <c r="O397">
        <v>600</v>
      </c>
      <c r="Q397">
        <v>70</v>
      </c>
      <c r="Y397">
        <v>0.05</v>
      </c>
      <c r="Z397">
        <v>4</v>
      </c>
      <c r="AA397">
        <v>6</v>
      </c>
      <c r="AB397">
        <v>0.65</v>
      </c>
      <c r="AE397">
        <v>0</v>
      </c>
      <c r="AF397">
        <v>1</v>
      </c>
      <c r="AG397" t="s">
        <v>1852</v>
      </c>
      <c r="AH397" t="s">
        <v>209</v>
      </c>
      <c r="AI397" t="s">
        <v>231</v>
      </c>
      <c r="AK397">
        <v>1</v>
      </c>
      <c r="AT397">
        <v>1</v>
      </c>
      <c r="AV397">
        <v>0.25</v>
      </c>
      <c r="BC397" t="str">
        <f t="shared" si="211"/>
        <v>enemy_1513_dekght_2</v>
      </c>
      <c r="BI397" t="s">
        <v>1096</v>
      </c>
      <c r="BJ397" t="s">
        <v>1853</v>
      </c>
      <c r="BL397" t="s">
        <v>210</v>
      </c>
      <c r="BM397" t="s">
        <v>211</v>
      </c>
      <c r="BN397" s="19" t="s">
        <v>232</v>
      </c>
      <c r="BO397" t="s">
        <v>213</v>
      </c>
      <c r="BQ397" s="19"/>
      <c r="BR397">
        <v>1</v>
      </c>
    </row>
    <row r="398" spans="1:70" ht="14.5" x14ac:dyDescent="0.25">
      <c r="A398" t="s">
        <v>1854</v>
      </c>
      <c r="B398" t="s">
        <v>206</v>
      </c>
      <c r="D398" s="17" t="s">
        <v>1855</v>
      </c>
      <c r="E398" s="2">
        <v>1107</v>
      </c>
      <c r="F398" t="str">
        <f t="shared" si="210"/>
        <v>enemy_1107_uoffcr</v>
      </c>
      <c r="G398">
        <v>1</v>
      </c>
      <c r="K398">
        <v>3300</v>
      </c>
      <c r="M398">
        <v>330</v>
      </c>
      <c r="O398">
        <v>150</v>
      </c>
      <c r="Q398">
        <v>20</v>
      </c>
      <c r="Y398">
        <v>0.05</v>
      </c>
      <c r="Z398">
        <v>2</v>
      </c>
      <c r="AA398">
        <v>1</v>
      </c>
      <c r="AB398">
        <v>1.1000000000000001</v>
      </c>
      <c r="AE398">
        <v>0</v>
      </c>
      <c r="AF398">
        <v>1</v>
      </c>
      <c r="AG398" t="s">
        <v>1856</v>
      </c>
      <c r="AH398" t="s">
        <v>209</v>
      </c>
      <c r="AI398" t="s">
        <v>1857</v>
      </c>
      <c r="AK398">
        <v>1</v>
      </c>
      <c r="AT398">
        <v>1</v>
      </c>
      <c r="AV398">
        <v>0.25</v>
      </c>
      <c r="BC398" t="str">
        <f t="shared" si="211"/>
        <v>enemy_1107_uoffcr</v>
      </c>
      <c r="BI398" t="s">
        <v>935</v>
      </c>
      <c r="BJ398" t="s">
        <v>1858</v>
      </c>
      <c r="BL398" t="s">
        <v>210</v>
      </c>
      <c r="BM398" t="s">
        <v>211</v>
      </c>
      <c r="BN398" s="19" t="s">
        <v>232</v>
      </c>
      <c r="BO398" t="s">
        <v>213</v>
      </c>
      <c r="BQ398" s="19"/>
      <c r="BR398">
        <v>1</v>
      </c>
    </row>
    <row r="399" spans="1:70" ht="14.5" x14ac:dyDescent="0.25">
      <c r="A399" t="s">
        <v>1859</v>
      </c>
      <c r="B399" t="s">
        <v>206</v>
      </c>
      <c r="D399" s="17" t="s">
        <v>1860</v>
      </c>
      <c r="E399" s="2">
        <v>1107</v>
      </c>
      <c r="F399" t="str">
        <f t="shared" si="210"/>
        <v>enemy_1107_uoffcr_2</v>
      </c>
      <c r="G399">
        <v>1</v>
      </c>
      <c r="K399">
        <v>4300</v>
      </c>
      <c r="M399">
        <v>400</v>
      </c>
      <c r="O399">
        <v>150</v>
      </c>
      <c r="Q399">
        <v>20</v>
      </c>
      <c r="Y399">
        <v>0.05</v>
      </c>
      <c r="Z399">
        <v>2</v>
      </c>
      <c r="AA399">
        <v>1</v>
      </c>
      <c r="AB399">
        <v>1.1000000000000001</v>
      </c>
      <c r="AE399">
        <v>0</v>
      </c>
      <c r="AF399">
        <v>1</v>
      </c>
      <c r="AG399" t="s">
        <v>1861</v>
      </c>
      <c r="AH399" t="s">
        <v>209</v>
      </c>
      <c r="AI399" t="s">
        <v>1857</v>
      </c>
      <c r="AK399">
        <v>1</v>
      </c>
      <c r="AT399">
        <v>1</v>
      </c>
      <c r="AV399">
        <v>0.25</v>
      </c>
      <c r="BC399" t="str">
        <f t="shared" si="211"/>
        <v>enemy_1107_uoffcr_2</v>
      </c>
      <c r="BI399" t="s">
        <v>935</v>
      </c>
      <c r="BJ399" t="s">
        <v>1858</v>
      </c>
      <c r="BL399" t="s">
        <v>210</v>
      </c>
      <c r="BM399" t="s">
        <v>211</v>
      </c>
      <c r="BN399" s="19" t="s">
        <v>232</v>
      </c>
      <c r="BO399" t="s">
        <v>213</v>
      </c>
      <c r="BQ399" s="19"/>
      <c r="BR399">
        <v>1</v>
      </c>
    </row>
    <row r="400" spans="1:70" ht="14.5" x14ac:dyDescent="0.25">
      <c r="A400" t="s">
        <v>1862</v>
      </c>
      <c r="B400" t="s">
        <v>206</v>
      </c>
      <c r="D400" s="17" t="s">
        <v>1863</v>
      </c>
      <c r="E400" s="2">
        <v>1108</v>
      </c>
      <c r="F400" t="str">
        <f t="shared" si="210"/>
        <v>enemy_1108_uterer</v>
      </c>
      <c r="G400">
        <v>1</v>
      </c>
      <c r="K400">
        <v>3500</v>
      </c>
      <c r="M400">
        <v>380</v>
      </c>
      <c r="O400">
        <v>100</v>
      </c>
      <c r="Q400">
        <v>20</v>
      </c>
      <c r="Y400">
        <v>0.05</v>
      </c>
      <c r="Z400">
        <v>1.5</v>
      </c>
      <c r="AA400">
        <v>0</v>
      </c>
      <c r="AB400">
        <v>1.7</v>
      </c>
      <c r="AE400">
        <v>0</v>
      </c>
      <c r="AF400">
        <v>1</v>
      </c>
      <c r="AG400" t="s">
        <v>1864</v>
      </c>
      <c r="AH400" t="s">
        <v>209</v>
      </c>
      <c r="AI400" t="s">
        <v>231</v>
      </c>
      <c r="AK400">
        <v>1</v>
      </c>
      <c r="AT400">
        <v>1</v>
      </c>
      <c r="AV400">
        <v>0.25</v>
      </c>
      <c r="BC400" t="str">
        <f t="shared" si="211"/>
        <v>enemy_1108_uterer</v>
      </c>
      <c r="BI400" t="s">
        <v>935</v>
      </c>
      <c r="BJ400" t="s">
        <v>1865</v>
      </c>
      <c r="BL400" t="s">
        <v>210</v>
      </c>
      <c r="BM400" t="s">
        <v>211</v>
      </c>
      <c r="BN400" s="19" t="s">
        <v>212</v>
      </c>
      <c r="BO400" t="s">
        <v>213</v>
      </c>
      <c r="BQ400" s="19"/>
      <c r="BR400">
        <v>1</v>
      </c>
    </row>
    <row r="401" spans="1:70" ht="14.5" x14ac:dyDescent="0.25">
      <c r="A401" t="s">
        <v>1866</v>
      </c>
      <c r="B401" t="s">
        <v>206</v>
      </c>
      <c r="D401" s="17" t="s">
        <v>1867</v>
      </c>
      <c r="E401" s="2">
        <v>1108</v>
      </c>
      <c r="F401" t="str">
        <f t="shared" si="210"/>
        <v>enemy_1108_uterer_2</v>
      </c>
      <c r="G401">
        <v>1</v>
      </c>
      <c r="K401">
        <v>4600</v>
      </c>
      <c r="M401">
        <v>450</v>
      </c>
      <c r="O401">
        <v>100</v>
      </c>
      <c r="Q401">
        <v>20</v>
      </c>
      <c r="Y401">
        <v>0.05</v>
      </c>
      <c r="Z401">
        <v>1.5</v>
      </c>
      <c r="AA401">
        <v>0</v>
      </c>
      <c r="AB401">
        <v>1.7</v>
      </c>
      <c r="AE401">
        <v>0</v>
      </c>
      <c r="AF401">
        <v>1</v>
      </c>
      <c r="AG401" t="s">
        <v>1868</v>
      </c>
      <c r="AH401" t="s">
        <v>209</v>
      </c>
      <c r="AI401" t="s">
        <v>231</v>
      </c>
      <c r="AK401">
        <v>1</v>
      </c>
      <c r="AT401">
        <v>1</v>
      </c>
      <c r="AV401">
        <v>0.25</v>
      </c>
      <c r="BC401" t="str">
        <f t="shared" si="211"/>
        <v>enemy_1108_uterer_2</v>
      </c>
      <c r="BI401" t="s">
        <v>935</v>
      </c>
      <c r="BJ401" t="s">
        <v>1869</v>
      </c>
      <c r="BL401" t="s">
        <v>210</v>
      </c>
      <c r="BM401" t="s">
        <v>211</v>
      </c>
      <c r="BN401" s="19" t="s">
        <v>212</v>
      </c>
      <c r="BO401" t="s">
        <v>213</v>
      </c>
      <c r="BQ401" s="19"/>
      <c r="BR401">
        <v>1</v>
      </c>
    </row>
    <row r="402" spans="1:70" ht="14.5" x14ac:dyDescent="0.25">
      <c r="A402" t="s">
        <v>1870</v>
      </c>
      <c r="B402" t="s">
        <v>206</v>
      </c>
      <c r="D402" s="17" t="s">
        <v>1871</v>
      </c>
      <c r="E402" s="2">
        <v>1109</v>
      </c>
      <c r="F402" t="str">
        <f t="shared" si="210"/>
        <v>enemy_1109_uabone</v>
      </c>
      <c r="G402">
        <v>1</v>
      </c>
      <c r="K402">
        <v>4000</v>
      </c>
      <c r="M402">
        <v>350</v>
      </c>
      <c r="O402">
        <v>200</v>
      </c>
      <c r="Q402">
        <v>20</v>
      </c>
      <c r="Y402">
        <v>0.05</v>
      </c>
      <c r="Z402">
        <v>2.2999999999999998</v>
      </c>
      <c r="AA402">
        <v>1</v>
      </c>
      <c r="AB402">
        <v>1</v>
      </c>
      <c r="AE402">
        <v>0</v>
      </c>
      <c r="AF402">
        <v>1</v>
      </c>
      <c r="AG402" t="s">
        <v>1872</v>
      </c>
      <c r="AH402" t="s">
        <v>209</v>
      </c>
      <c r="AI402" t="s">
        <v>1873</v>
      </c>
      <c r="AK402">
        <v>1</v>
      </c>
      <c r="AT402">
        <v>1</v>
      </c>
      <c r="AV402">
        <v>0.25</v>
      </c>
      <c r="BC402" t="str">
        <f t="shared" si="211"/>
        <v>enemy_1109_uabone</v>
      </c>
      <c r="BI402" t="s">
        <v>941</v>
      </c>
      <c r="BJ402" t="s">
        <v>1874</v>
      </c>
      <c r="BL402" t="s">
        <v>210</v>
      </c>
      <c r="BM402" t="s">
        <v>211</v>
      </c>
      <c r="BN402" s="19" t="s">
        <v>943</v>
      </c>
      <c r="BO402" t="s">
        <v>213</v>
      </c>
      <c r="BQ402" s="19"/>
      <c r="BR402">
        <v>1</v>
      </c>
    </row>
    <row r="403" spans="1:70" ht="14.5" x14ac:dyDescent="0.25">
      <c r="A403" t="s">
        <v>1875</v>
      </c>
      <c r="B403" t="s">
        <v>206</v>
      </c>
      <c r="D403" s="17" t="s">
        <v>1876</v>
      </c>
      <c r="E403" s="2">
        <v>1109</v>
      </c>
      <c r="F403" t="str">
        <f t="shared" si="210"/>
        <v>enemy_1109_uabone_2</v>
      </c>
      <c r="G403">
        <v>1</v>
      </c>
      <c r="K403">
        <v>5500</v>
      </c>
      <c r="M403">
        <v>430</v>
      </c>
      <c r="O403">
        <v>200</v>
      </c>
      <c r="Q403">
        <v>20</v>
      </c>
      <c r="Y403">
        <v>0.05</v>
      </c>
      <c r="Z403">
        <v>2.2999999999999998</v>
      </c>
      <c r="AA403">
        <v>1</v>
      </c>
      <c r="AB403">
        <v>1</v>
      </c>
      <c r="AE403">
        <v>0</v>
      </c>
      <c r="AF403">
        <v>1</v>
      </c>
      <c r="AG403" t="s">
        <v>1877</v>
      </c>
      <c r="AH403" t="s">
        <v>209</v>
      </c>
      <c r="AI403" t="s">
        <v>1873</v>
      </c>
      <c r="AK403">
        <v>1</v>
      </c>
      <c r="AT403">
        <v>1</v>
      </c>
      <c r="AV403">
        <v>0.25</v>
      </c>
      <c r="BC403" t="str">
        <f t="shared" si="211"/>
        <v>enemy_1109_uabone_2</v>
      </c>
      <c r="BI403" t="s">
        <v>941</v>
      </c>
      <c r="BJ403" t="s">
        <v>1878</v>
      </c>
      <c r="BL403" t="s">
        <v>210</v>
      </c>
      <c r="BM403" t="s">
        <v>211</v>
      </c>
      <c r="BN403" s="19" t="s">
        <v>943</v>
      </c>
      <c r="BO403" t="s">
        <v>213</v>
      </c>
      <c r="BQ403" s="19"/>
      <c r="BR403">
        <v>1</v>
      </c>
    </row>
    <row r="404" spans="1:70" ht="14.5" x14ac:dyDescent="0.25">
      <c r="A404" t="s">
        <v>1879</v>
      </c>
      <c r="B404" t="s">
        <v>206</v>
      </c>
      <c r="D404" s="17" t="s">
        <v>1880</v>
      </c>
      <c r="E404" s="2">
        <v>1110</v>
      </c>
      <c r="F404" t="str">
        <f t="shared" si="210"/>
        <v>enemy_1110_uamord</v>
      </c>
      <c r="G404">
        <v>1</v>
      </c>
      <c r="K404">
        <v>5000</v>
      </c>
      <c r="M404">
        <v>340</v>
      </c>
      <c r="O404">
        <v>500</v>
      </c>
      <c r="Q404">
        <v>50</v>
      </c>
      <c r="Y404">
        <v>0.05</v>
      </c>
      <c r="Z404">
        <v>2.8</v>
      </c>
      <c r="AA404">
        <v>2</v>
      </c>
      <c r="AB404">
        <v>0.9</v>
      </c>
      <c r="AE404">
        <v>0</v>
      </c>
      <c r="AF404">
        <v>1</v>
      </c>
      <c r="AG404" t="s">
        <v>1881</v>
      </c>
      <c r="AH404" t="s">
        <v>209</v>
      </c>
      <c r="AI404" t="s">
        <v>1882</v>
      </c>
      <c r="AK404">
        <v>1</v>
      </c>
      <c r="AT404">
        <v>1</v>
      </c>
      <c r="AV404">
        <v>0.25</v>
      </c>
      <c r="BC404" t="str">
        <f t="shared" si="211"/>
        <v>enemy_1110_uamord</v>
      </c>
      <c r="BI404" t="s">
        <v>941</v>
      </c>
      <c r="BJ404" t="s">
        <v>1883</v>
      </c>
      <c r="BL404" t="s">
        <v>210</v>
      </c>
      <c r="BM404" t="s">
        <v>211</v>
      </c>
      <c r="BN404" s="19" t="s">
        <v>212</v>
      </c>
      <c r="BO404" t="s">
        <v>213</v>
      </c>
      <c r="BQ404" s="19"/>
      <c r="BR404">
        <v>1</v>
      </c>
    </row>
    <row r="405" spans="1:70" ht="14.5" x14ac:dyDescent="0.25">
      <c r="A405" t="s">
        <v>1884</v>
      </c>
      <c r="B405" t="s">
        <v>206</v>
      </c>
      <c r="D405" s="17" t="s">
        <v>1885</v>
      </c>
      <c r="E405" s="2">
        <v>1110</v>
      </c>
      <c r="F405" t="str">
        <f t="shared" si="210"/>
        <v>enemy_1110_uamord_2</v>
      </c>
      <c r="G405">
        <v>1</v>
      </c>
      <c r="K405">
        <v>6500</v>
      </c>
      <c r="M405">
        <v>420</v>
      </c>
      <c r="O405">
        <v>500</v>
      </c>
      <c r="Q405">
        <v>50</v>
      </c>
      <c r="Y405">
        <v>0.05</v>
      </c>
      <c r="Z405">
        <v>2.8</v>
      </c>
      <c r="AA405">
        <v>2</v>
      </c>
      <c r="AB405">
        <v>0.9</v>
      </c>
      <c r="AE405">
        <v>0</v>
      </c>
      <c r="AF405">
        <v>1</v>
      </c>
      <c r="AG405" t="s">
        <v>1886</v>
      </c>
      <c r="AH405" t="s">
        <v>209</v>
      </c>
      <c r="AI405" t="s">
        <v>1882</v>
      </c>
      <c r="AK405">
        <v>1</v>
      </c>
      <c r="AT405">
        <v>1</v>
      </c>
      <c r="AV405">
        <v>0.25</v>
      </c>
      <c r="BC405" t="str">
        <f t="shared" si="211"/>
        <v>enemy_1110_uamord_2</v>
      </c>
      <c r="BI405" t="s">
        <v>941</v>
      </c>
      <c r="BJ405" t="s">
        <v>1887</v>
      </c>
      <c r="BL405" t="s">
        <v>210</v>
      </c>
      <c r="BM405" t="s">
        <v>211</v>
      </c>
      <c r="BN405" s="19" t="s">
        <v>212</v>
      </c>
      <c r="BO405" t="s">
        <v>213</v>
      </c>
      <c r="BQ405" s="19"/>
      <c r="BR405">
        <v>1</v>
      </c>
    </row>
    <row r="406" spans="1:70" ht="14.5" x14ac:dyDescent="0.25">
      <c r="A406" t="s">
        <v>1888</v>
      </c>
      <c r="B406" t="s">
        <v>206</v>
      </c>
      <c r="D406" s="17" t="s">
        <v>1889</v>
      </c>
      <c r="E406" s="2">
        <v>1111</v>
      </c>
      <c r="F406" t="str">
        <f t="shared" si="210"/>
        <v>enemy_1111_ucommd</v>
      </c>
      <c r="G406">
        <v>1</v>
      </c>
      <c r="K406">
        <v>7500</v>
      </c>
      <c r="M406">
        <v>550</v>
      </c>
      <c r="O406">
        <v>500</v>
      </c>
      <c r="Q406">
        <v>50</v>
      </c>
      <c r="Y406">
        <v>0.05</v>
      </c>
      <c r="Z406">
        <v>2.2000000000000002</v>
      </c>
      <c r="AA406">
        <v>2</v>
      </c>
      <c r="AB406">
        <v>1.5</v>
      </c>
      <c r="AE406">
        <v>0</v>
      </c>
      <c r="AF406">
        <v>1</v>
      </c>
      <c r="AG406" t="s">
        <v>1890</v>
      </c>
      <c r="AH406" t="s">
        <v>209</v>
      </c>
      <c r="AI406" t="s">
        <v>1857</v>
      </c>
      <c r="AK406">
        <v>1</v>
      </c>
      <c r="AN406">
        <v>2</v>
      </c>
      <c r="AT406">
        <v>1</v>
      </c>
      <c r="AV406">
        <v>0.25</v>
      </c>
      <c r="BC406" t="str">
        <f t="shared" si="211"/>
        <v>enemy_1111_ucommd</v>
      </c>
      <c r="BI406" t="s">
        <v>994</v>
      </c>
      <c r="BJ406" t="s">
        <v>1891</v>
      </c>
      <c r="BL406" t="s">
        <v>210</v>
      </c>
      <c r="BM406" t="s">
        <v>1892</v>
      </c>
      <c r="BN406" s="19" t="s">
        <v>232</v>
      </c>
      <c r="BO406" t="s">
        <v>213</v>
      </c>
      <c r="BQ406" s="19"/>
      <c r="BR406">
        <v>1</v>
      </c>
    </row>
    <row r="407" spans="1:70" ht="14.5" x14ac:dyDescent="0.25">
      <c r="A407" t="s">
        <v>1893</v>
      </c>
      <c r="B407" t="s">
        <v>206</v>
      </c>
      <c r="D407" s="17" t="s">
        <v>1894</v>
      </c>
      <c r="E407" s="2">
        <v>1111</v>
      </c>
      <c r="F407" t="str">
        <f t="shared" si="210"/>
        <v>enemy_1111_ucommd_2</v>
      </c>
      <c r="G407">
        <v>1</v>
      </c>
      <c r="K407">
        <v>10000</v>
      </c>
      <c r="M407">
        <v>700</v>
      </c>
      <c r="O407">
        <v>500</v>
      </c>
      <c r="Q407">
        <v>50</v>
      </c>
      <c r="Y407">
        <v>0.05</v>
      </c>
      <c r="Z407">
        <v>2.2000000000000002</v>
      </c>
      <c r="AA407">
        <v>2</v>
      </c>
      <c r="AB407">
        <v>1.5</v>
      </c>
      <c r="AE407">
        <v>0</v>
      </c>
      <c r="AF407">
        <v>1</v>
      </c>
      <c r="AG407" t="s">
        <v>1895</v>
      </c>
      <c r="AH407" t="s">
        <v>209</v>
      </c>
      <c r="AI407" t="s">
        <v>1857</v>
      </c>
      <c r="AK407">
        <v>1</v>
      </c>
      <c r="AN407">
        <v>2</v>
      </c>
      <c r="AT407">
        <v>1</v>
      </c>
      <c r="AV407">
        <v>0.25</v>
      </c>
      <c r="BC407" t="str">
        <f t="shared" si="211"/>
        <v>enemy_1111_ucommd_2</v>
      </c>
      <c r="BI407" t="s">
        <v>994</v>
      </c>
      <c r="BJ407" t="s">
        <v>1891</v>
      </c>
      <c r="BL407" t="s">
        <v>210</v>
      </c>
      <c r="BM407" t="s">
        <v>1892</v>
      </c>
      <c r="BN407" s="19" t="s">
        <v>232</v>
      </c>
      <c r="BO407" t="s">
        <v>213</v>
      </c>
      <c r="BQ407" s="19"/>
      <c r="BR407">
        <v>1</v>
      </c>
    </row>
    <row r="408" spans="1:70" ht="14.5" x14ac:dyDescent="0.25">
      <c r="A408" t="s">
        <v>1896</v>
      </c>
      <c r="B408" t="s">
        <v>206</v>
      </c>
      <c r="D408" s="17" t="s">
        <v>1897</v>
      </c>
      <c r="E408" s="2">
        <v>1112</v>
      </c>
      <c r="F408" t="str">
        <f t="shared" si="210"/>
        <v>enemy_1112_emppnt</v>
      </c>
      <c r="G408">
        <v>0.7</v>
      </c>
      <c r="K408">
        <v>13000</v>
      </c>
      <c r="M408">
        <v>1000</v>
      </c>
      <c r="O408">
        <v>800</v>
      </c>
      <c r="Q408">
        <v>50</v>
      </c>
      <c r="Y408">
        <v>0.05</v>
      </c>
      <c r="Z408">
        <v>5</v>
      </c>
      <c r="AA408">
        <v>4</v>
      </c>
      <c r="AB408">
        <v>0.5</v>
      </c>
      <c r="AE408">
        <v>0</v>
      </c>
      <c r="AF408">
        <v>1</v>
      </c>
      <c r="AG408" t="s">
        <v>1898</v>
      </c>
      <c r="AH408" t="s">
        <v>209</v>
      </c>
      <c r="AI408" t="s">
        <v>1899</v>
      </c>
      <c r="AK408">
        <v>1</v>
      </c>
      <c r="AL408">
        <v>1</v>
      </c>
      <c r="AT408">
        <v>1</v>
      </c>
      <c r="AV408">
        <v>0.25</v>
      </c>
      <c r="BC408" t="str">
        <f t="shared" si="211"/>
        <v>enemy_1112_emppnt</v>
      </c>
      <c r="BI408" t="s">
        <v>1037</v>
      </c>
      <c r="BJ408" t="s">
        <v>1900</v>
      </c>
      <c r="BL408" t="s">
        <v>210</v>
      </c>
      <c r="BM408" t="s">
        <v>211</v>
      </c>
      <c r="BN408" s="19" t="s">
        <v>232</v>
      </c>
      <c r="BO408" t="s">
        <v>213</v>
      </c>
      <c r="BQ408" s="19"/>
      <c r="BR408">
        <v>1</v>
      </c>
    </row>
    <row r="409" spans="1:70" ht="14.5" x14ac:dyDescent="0.25">
      <c r="A409" t="s">
        <v>1901</v>
      </c>
      <c r="B409" t="s">
        <v>206</v>
      </c>
      <c r="D409" s="17" t="s">
        <v>1902</v>
      </c>
      <c r="E409" s="2">
        <v>1112</v>
      </c>
      <c r="F409" t="str">
        <f t="shared" si="210"/>
        <v>enemy_1112_emppnt_2</v>
      </c>
      <c r="G409">
        <v>0.7</v>
      </c>
      <c r="K409">
        <v>16000</v>
      </c>
      <c r="M409">
        <v>1200</v>
      </c>
      <c r="O409">
        <v>800</v>
      </c>
      <c r="Q409">
        <v>50</v>
      </c>
      <c r="Y409">
        <v>0.05</v>
      </c>
      <c r="Z409">
        <v>5</v>
      </c>
      <c r="AA409">
        <v>4</v>
      </c>
      <c r="AB409">
        <v>0.5</v>
      </c>
      <c r="AE409">
        <v>0</v>
      </c>
      <c r="AF409">
        <v>1</v>
      </c>
      <c r="AG409" t="s">
        <v>1903</v>
      </c>
      <c r="AH409" t="s">
        <v>209</v>
      </c>
      <c r="AI409" t="s">
        <v>1899</v>
      </c>
      <c r="AK409">
        <v>1</v>
      </c>
      <c r="AL409">
        <v>1</v>
      </c>
      <c r="AT409">
        <v>1</v>
      </c>
      <c r="AV409">
        <v>0.25</v>
      </c>
      <c r="BC409" t="str">
        <f t="shared" si="211"/>
        <v>enemy_1112_emppnt_2</v>
      </c>
      <c r="BI409" t="s">
        <v>1037</v>
      </c>
      <c r="BJ409" t="s">
        <v>1904</v>
      </c>
      <c r="BL409" t="s">
        <v>210</v>
      </c>
      <c r="BM409" t="s">
        <v>211</v>
      </c>
      <c r="BN409" s="19" t="s">
        <v>232</v>
      </c>
      <c r="BO409" t="s">
        <v>213</v>
      </c>
      <c r="BQ409" s="19"/>
      <c r="BR409">
        <v>1</v>
      </c>
    </row>
    <row r="410" spans="1:70" ht="14.5" x14ac:dyDescent="0.25">
      <c r="A410" t="s">
        <v>1905</v>
      </c>
      <c r="B410" t="s">
        <v>206</v>
      </c>
      <c r="D410" s="17" t="s">
        <v>1906</v>
      </c>
      <c r="E410" s="2">
        <v>1113</v>
      </c>
      <c r="F410" t="str">
        <f t="shared" si="210"/>
        <v>enemy_1113_empace</v>
      </c>
      <c r="G410">
        <v>1</v>
      </c>
      <c r="K410">
        <v>12000</v>
      </c>
      <c r="M410">
        <v>900</v>
      </c>
      <c r="O410">
        <v>800</v>
      </c>
      <c r="Q410">
        <v>50</v>
      </c>
      <c r="Y410">
        <v>0.05</v>
      </c>
      <c r="Z410">
        <v>4.5</v>
      </c>
      <c r="AA410">
        <v>4</v>
      </c>
      <c r="AB410">
        <v>0.7</v>
      </c>
      <c r="AE410">
        <v>0</v>
      </c>
      <c r="AF410">
        <v>1</v>
      </c>
      <c r="AG410" t="s">
        <v>1907</v>
      </c>
      <c r="AH410" t="s">
        <v>209</v>
      </c>
      <c r="AI410" t="s">
        <v>1908</v>
      </c>
      <c r="AK410">
        <v>1</v>
      </c>
      <c r="AT410">
        <v>1</v>
      </c>
      <c r="AV410">
        <v>0.25</v>
      </c>
      <c r="BC410" t="str">
        <f t="shared" si="211"/>
        <v>enemy_1113_empace</v>
      </c>
      <c r="BI410" t="s">
        <v>1909</v>
      </c>
      <c r="BJ410" t="s">
        <v>1910</v>
      </c>
      <c r="BL410" t="s">
        <v>210</v>
      </c>
      <c r="BM410" t="s">
        <v>211</v>
      </c>
      <c r="BN410" s="19" t="s">
        <v>232</v>
      </c>
      <c r="BO410" t="s">
        <v>213</v>
      </c>
      <c r="BQ410" s="19"/>
      <c r="BR410">
        <v>1</v>
      </c>
    </row>
    <row r="411" spans="1:70" ht="14.5" x14ac:dyDescent="0.25">
      <c r="A411" t="s">
        <v>1911</v>
      </c>
      <c r="B411" t="s">
        <v>206</v>
      </c>
      <c r="D411" s="17" t="s">
        <v>1912</v>
      </c>
      <c r="E411" s="2">
        <v>1113</v>
      </c>
      <c r="F411" t="str">
        <f t="shared" si="210"/>
        <v>enemy_1113_empace_2</v>
      </c>
      <c r="G411">
        <v>1</v>
      </c>
      <c r="K411">
        <v>15000</v>
      </c>
      <c r="M411">
        <v>1200</v>
      </c>
      <c r="O411">
        <v>800</v>
      </c>
      <c r="Q411">
        <v>50</v>
      </c>
      <c r="Y411">
        <v>0.05</v>
      </c>
      <c r="Z411">
        <v>4.5</v>
      </c>
      <c r="AA411">
        <v>4</v>
      </c>
      <c r="AB411">
        <v>0.7</v>
      </c>
      <c r="AE411">
        <v>0</v>
      </c>
      <c r="AF411">
        <v>1</v>
      </c>
      <c r="AG411" t="s">
        <v>1913</v>
      </c>
      <c r="AH411" t="s">
        <v>209</v>
      </c>
      <c r="AI411" t="s">
        <v>1908</v>
      </c>
      <c r="AK411">
        <v>1</v>
      </c>
      <c r="AT411">
        <v>1</v>
      </c>
      <c r="AV411">
        <v>0.25</v>
      </c>
      <c r="BC411" t="str">
        <f t="shared" si="211"/>
        <v>enemy_1113_empace_2</v>
      </c>
      <c r="BI411" t="s">
        <v>1909</v>
      </c>
      <c r="BJ411" t="s">
        <v>1910</v>
      </c>
      <c r="BL411" t="s">
        <v>210</v>
      </c>
      <c r="BM411" t="s">
        <v>211</v>
      </c>
      <c r="BN411" s="19" t="s">
        <v>232</v>
      </c>
      <c r="BO411" t="s">
        <v>213</v>
      </c>
      <c r="BQ411" s="19"/>
      <c r="BR411">
        <v>1</v>
      </c>
    </row>
    <row r="412" spans="1:70" ht="14.5" x14ac:dyDescent="0.25">
      <c r="A412" t="s">
        <v>1914</v>
      </c>
      <c r="B412" t="s">
        <v>206</v>
      </c>
      <c r="D412" s="17" t="s">
        <v>1915</v>
      </c>
      <c r="E412" s="2">
        <v>1114</v>
      </c>
      <c r="F412" t="str">
        <f t="shared" si="210"/>
        <v>enemy_1114_rgrdmn</v>
      </c>
      <c r="G412">
        <v>1</v>
      </c>
      <c r="K412">
        <v>10000</v>
      </c>
      <c r="M412">
        <v>600</v>
      </c>
      <c r="O412">
        <v>200</v>
      </c>
      <c r="Q412">
        <v>50</v>
      </c>
      <c r="Y412">
        <v>0.05</v>
      </c>
      <c r="Z412">
        <v>5</v>
      </c>
      <c r="AA412">
        <v>3</v>
      </c>
      <c r="AB412">
        <v>0.8</v>
      </c>
      <c r="AE412">
        <v>0</v>
      </c>
      <c r="AF412">
        <v>1</v>
      </c>
      <c r="AG412" t="s">
        <v>1916</v>
      </c>
      <c r="AH412" t="s">
        <v>209</v>
      </c>
      <c r="AI412" t="s">
        <v>1917</v>
      </c>
      <c r="AK412">
        <v>1</v>
      </c>
      <c r="AT412">
        <v>1</v>
      </c>
      <c r="AV412">
        <v>0.25</v>
      </c>
      <c r="BC412" t="str">
        <f t="shared" si="211"/>
        <v>enemy_1114_rgrdmn</v>
      </c>
      <c r="BI412" t="s">
        <v>1424</v>
      </c>
      <c r="BJ412" t="s">
        <v>1918</v>
      </c>
      <c r="BL412" t="s">
        <v>210</v>
      </c>
      <c r="BM412" t="s">
        <v>211</v>
      </c>
      <c r="BN412" s="19" t="s">
        <v>943</v>
      </c>
      <c r="BO412" t="s">
        <v>213</v>
      </c>
      <c r="BQ412" s="19"/>
      <c r="BR412">
        <v>1</v>
      </c>
    </row>
    <row r="413" spans="1:70" ht="14.5" x14ac:dyDescent="0.25">
      <c r="A413" t="s">
        <v>1919</v>
      </c>
      <c r="B413" t="s">
        <v>206</v>
      </c>
      <c r="D413" s="17" t="s">
        <v>1920</v>
      </c>
      <c r="E413" s="2">
        <v>1114</v>
      </c>
      <c r="F413" t="str">
        <f t="shared" si="210"/>
        <v>enemy_1114_rgrdmn_2</v>
      </c>
      <c r="G413">
        <v>1</v>
      </c>
      <c r="K413">
        <v>14000</v>
      </c>
      <c r="M413">
        <v>700</v>
      </c>
      <c r="O413">
        <v>220</v>
      </c>
      <c r="Q413">
        <v>60</v>
      </c>
      <c r="Y413">
        <v>0.05</v>
      </c>
      <c r="Z413">
        <v>5</v>
      </c>
      <c r="AA413">
        <v>3</v>
      </c>
      <c r="AB413">
        <v>0.8</v>
      </c>
      <c r="AE413">
        <v>0</v>
      </c>
      <c r="AF413">
        <v>1</v>
      </c>
      <c r="AG413" t="s">
        <v>1921</v>
      </c>
      <c r="AH413" t="s">
        <v>209</v>
      </c>
      <c r="AI413" t="s">
        <v>1917</v>
      </c>
      <c r="AK413">
        <v>1</v>
      </c>
      <c r="AT413">
        <v>1</v>
      </c>
      <c r="AV413">
        <v>0.25</v>
      </c>
      <c r="BC413" t="str">
        <f t="shared" si="211"/>
        <v>enemy_1114_rgrdmn_2</v>
      </c>
      <c r="BI413" t="s">
        <v>1424</v>
      </c>
      <c r="BJ413" t="s">
        <v>1918</v>
      </c>
      <c r="BL413" t="s">
        <v>210</v>
      </c>
      <c r="BM413" t="s">
        <v>211</v>
      </c>
      <c r="BN413" s="19" t="s">
        <v>943</v>
      </c>
      <c r="BO413" t="s">
        <v>213</v>
      </c>
      <c r="BQ413" s="19"/>
      <c r="BR413">
        <v>1</v>
      </c>
    </row>
    <row r="414" spans="1:70" ht="14.5" x14ac:dyDescent="0.25">
      <c r="A414" t="s">
        <v>1922</v>
      </c>
      <c r="B414" t="s">
        <v>206</v>
      </c>
      <c r="D414" s="17" t="s">
        <v>1923</v>
      </c>
      <c r="E414" s="2">
        <v>1115</v>
      </c>
      <c r="F414" t="str">
        <f t="shared" si="210"/>
        <v>enemy_1115_embald</v>
      </c>
      <c r="G414">
        <v>1</v>
      </c>
      <c r="K414">
        <v>50000</v>
      </c>
      <c r="M414">
        <v>0</v>
      </c>
      <c r="O414">
        <v>3000</v>
      </c>
      <c r="Q414">
        <v>90</v>
      </c>
      <c r="Y414">
        <v>0.05</v>
      </c>
      <c r="Z414">
        <v>0</v>
      </c>
      <c r="AA414">
        <v>5</v>
      </c>
      <c r="AB414">
        <v>0.4</v>
      </c>
      <c r="AE414">
        <v>0</v>
      </c>
      <c r="AF414">
        <v>1</v>
      </c>
      <c r="AG414" t="s">
        <v>1924</v>
      </c>
      <c r="AH414" t="s">
        <v>209</v>
      </c>
      <c r="AI414" t="s">
        <v>231</v>
      </c>
      <c r="AK414">
        <v>1</v>
      </c>
      <c r="AT414">
        <v>1</v>
      </c>
      <c r="AV414">
        <v>0.25</v>
      </c>
      <c r="BC414" t="str">
        <f t="shared" si="211"/>
        <v>enemy_1115_embald</v>
      </c>
      <c r="BI414" t="s">
        <v>1001</v>
      </c>
      <c r="BJ414" t="s">
        <v>1925</v>
      </c>
      <c r="BL414" t="s">
        <v>210</v>
      </c>
      <c r="BM414" t="s">
        <v>211</v>
      </c>
      <c r="BN414" s="19" t="s">
        <v>232</v>
      </c>
      <c r="BO414" t="s">
        <v>213</v>
      </c>
      <c r="BQ414" s="19"/>
      <c r="BR414">
        <v>1</v>
      </c>
    </row>
    <row r="415" spans="1:70" ht="14.5" x14ac:dyDescent="0.25">
      <c r="A415" t="s">
        <v>1926</v>
      </c>
      <c r="B415" t="s">
        <v>206</v>
      </c>
      <c r="D415" s="17" t="s">
        <v>1927</v>
      </c>
      <c r="E415" s="2">
        <v>1503</v>
      </c>
      <c r="F415" t="str">
        <f t="shared" si="210"/>
        <v>enemy_1503_talula</v>
      </c>
      <c r="G415">
        <v>1</v>
      </c>
      <c r="K415">
        <v>50000</v>
      </c>
      <c r="M415">
        <v>1500</v>
      </c>
      <c r="O415">
        <v>700</v>
      </c>
      <c r="Q415">
        <v>50</v>
      </c>
      <c r="Y415">
        <v>0.05</v>
      </c>
      <c r="Z415">
        <v>4.5</v>
      </c>
      <c r="AA415">
        <v>6</v>
      </c>
      <c r="AB415">
        <v>0.5</v>
      </c>
      <c r="AE415">
        <v>0</v>
      </c>
      <c r="AF415">
        <v>1</v>
      </c>
      <c r="AG415" t="s">
        <v>1928</v>
      </c>
      <c r="AH415" t="s">
        <v>209</v>
      </c>
      <c r="AI415" t="s">
        <v>1929</v>
      </c>
      <c r="AK415">
        <v>1</v>
      </c>
      <c r="AT415">
        <v>1</v>
      </c>
      <c r="AU415" t="s">
        <v>1498</v>
      </c>
      <c r="AV415">
        <v>0.25</v>
      </c>
      <c r="BC415" t="str">
        <f t="shared" si="211"/>
        <v>enemy_1503_talula</v>
      </c>
      <c r="BI415" t="s">
        <v>1324</v>
      </c>
      <c r="BJ415" t="s">
        <v>1930</v>
      </c>
      <c r="BL415" t="s">
        <v>210</v>
      </c>
      <c r="BM415" t="s">
        <v>211</v>
      </c>
      <c r="BN415" s="19" t="s">
        <v>232</v>
      </c>
      <c r="BO415" t="s">
        <v>213</v>
      </c>
      <c r="BQ415" s="19"/>
      <c r="BR415">
        <v>1</v>
      </c>
    </row>
    <row r="416" spans="1:70" ht="14.5" x14ac:dyDescent="0.25">
      <c r="A416" t="s">
        <v>1931</v>
      </c>
      <c r="B416" t="s">
        <v>206</v>
      </c>
      <c r="C416">
        <v>1</v>
      </c>
      <c r="D416" s="17" t="s">
        <v>1932</v>
      </c>
      <c r="E416" s="2">
        <v>1514</v>
      </c>
      <c r="F416" t="str">
        <f t="shared" si="210"/>
        <v>enemy_1514_smephi</v>
      </c>
      <c r="G416">
        <v>1</v>
      </c>
      <c r="K416">
        <v>60000</v>
      </c>
      <c r="M416">
        <v>450</v>
      </c>
      <c r="O416">
        <v>450</v>
      </c>
      <c r="Q416">
        <v>30</v>
      </c>
      <c r="Y416">
        <v>0.05</v>
      </c>
      <c r="Z416">
        <v>4</v>
      </c>
      <c r="AA416">
        <v>6</v>
      </c>
      <c r="AB416">
        <v>1</v>
      </c>
      <c r="AE416">
        <v>0</v>
      </c>
      <c r="AF416">
        <v>1</v>
      </c>
      <c r="AG416" t="s">
        <v>1933</v>
      </c>
      <c r="AH416" t="s">
        <v>209</v>
      </c>
      <c r="AI416" t="s">
        <v>231</v>
      </c>
      <c r="AK416">
        <v>1</v>
      </c>
      <c r="AT416">
        <v>1</v>
      </c>
      <c r="AV416">
        <v>0.25</v>
      </c>
      <c r="BC416" t="str">
        <f t="shared" si="211"/>
        <v>enemy_1514_smephi</v>
      </c>
      <c r="BI416" t="s">
        <v>1333</v>
      </c>
      <c r="BJ416" t="s">
        <v>1934</v>
      </c>
      <c r="BL416" t="s">
        <v>210</v>
      </c>
      <c r="BM416" t="s">
        <v>211</v>
      </c>
      <c r="BN416" t="s">
        <v>1935</v>
      </c>
      <c r="BO416" t="s">
        <v>213</v>
      </c>
      <c r="BQ416" s="19"/>
      <c r="BR416">
        <v>1</v>
      </c>
    </row>
    <row r="417" spans="1:70" ht="14.5" x14ac:dyDescent="0.25">
      <c r="A417" t="s">
        <v>1936</v>
      </c>
      <c r="B417" t="s">
        <v>206</v>
      </c>
      <c r="D417" s="17" t="s">
        <v>1937</v>
      </c>
      <c r="E417" s="2">
        <v>1515</v>
      </c>
      <c r="F417" t="str">
        <f t="shared" si="210"/>
        <v>enemy_1515_bsnake</v>
      </c>
      <c r="G417">
        <v>1</v>
      </c>
      <c r="K417">
        <v>50000</v>
      </c>
      <c r="M417">
        <v>770</v>
      </c>
      <c r="O417">
        <v>800</v>
      </c>
      <c r="Q417">
        <v>50</v>
      </c>
      <c r="Y417">
        <v>0.05</v>
      </c>
      <c r="Z417">
        <v>4.5</v>
      </c>
      <c r="AA417">
        <v>6</v>
      </c>
      <c r="AB417">
        <v>0.5</v>
      </c>
      <c r="AE417">
        <v>0</v>
      </c>
      <c r="AF417">
        <v>1</v>
      </c>
      <c r="AG417" t="s">
        <v>1938</v>
      </c>
      <c r="AH417" t="s">
        <v>209</v>
      </c>
      <c r="AI417" t="s">
        <v>1939</v>
      </c>
      <c r="AK417">
        <v>1</v>
      </c>
      <c r="AT417">
        <v>1</v>
      </c>
      <c r="AU417" t="s">
        <v>1498</v>
      </c>
      <c r="AV417">
        <v>0.25</v>
      </c>
      <c r="BC417" t="str">
        <f t="shared" si="211"/>
        <v>enemy_1515_bsnake</v>
      </c>
      <c r="BI417" t="s">
        <v>1333</v>
      </c>
      <c r="BJ417" t="s">
        <v>1940</v>
      </c>
      <c r="BL417" t="s">
        <v>210</v>
      </c>
      <c r="BM417" t="s">
        <v>1941</v>
      </c>
      <c r="BN417" s="19" t="s">
        <v>1942</v>
      </c>
      <c r="BO417" t="s">
        <v>213</v>
      </c>
      <c r="BQ417" s="19"/>
      <c r="BR417">
        <v>1</v>
      </c>
    </row>
    <row r="418" spans="1:70" ht="14.5" x14ac:dyDescent="0.25">
      <c r="A418" t="s">
        <v>1943</v>
      </c>
      <c r="B418" t="s">
        <v>206</v>
      </c>
      <c r="D418" s="17" t="s">
        <v>1944</v>
      </c>
      <c r="E418" s="2">
        <v>3001</v>
      </c>
      <c r="F418" t="str">
        <f t="shared" si="210"/>
        <v>enemy_3001_upeopl</v>
      </c>
      <c r="G418">
        <v>1</v>
      </c>
      <c r="K418">
        <v>3500</v>
      </c>
      <c r="M418">
        <v>0</v>
      </c>
      <c r="O418">
        <v>50</v>
      </c>
      <c r="Q418">
        <v>0</v>
      </c>
      <c r="Y418">
        <v>0.05</v>
      </c>
      <c r="Z418">
        <v>0</v>
      </c>
      <c r="AA418">
        <v>1</v>
      </c>
      <c r="AB418">
        <v>0.65</v>
      </c>
      <c r="AE418">
        <v>0</v>
      </c>
      <c r="AF418">
        <v>0</v>
      </c>
      <c r="AG418" t="s">
        <v>1945</v>
      </c>
      <c r="AH418" t="s">
        <v>209</v>
      </c>
      <c r="AI418" t="s">
        <v>1946</v>
      </c>
      <c r="AK418">
        <v>1</v>
      </c>
      <c r="AT418">
        <v>0</v>
      </c>
      <c r="AV418">
        <v>0.25</v>
      </c>
      <c r="BC418" t="str">
        <f t="shared" si="211"/>
        <v>enemy_3001_upeopl</v>
      </c>
      <c r="BI418" t="s">
        <v>1947</v>
      </c>
      <c r="BJ418" t="s">
        <v>1948</v>
      </c>
      <c r="BL418" t="s">
        <v>210</v>
      </c>
      <c r="BM418" t="s">
        <v>211</v>
      </c>
      <c r="BN418" s="19" t="s">
        <v>232</v>
      </c>
      <c r="BO418" t="s">
        <v>213</v>
      </c>
      <c r="BQ418" s="19"/>
      <c r="BR418">
        <v>1</v>
      </c>
    </row>
    <row r="419" spans="1:70" ht="14.5" x14ac:dyDescent="0.25">
      <c r="A419" t="s">
        <v>1949</v>
      </c>
      <c r="B419" t="s">
        <v>206</v>
      </c>
      <c r="C419">
        <v>1</v>
      </c>
      <c r="D419" s="17" t="s">
        <v>1950</v>
      </c>
      <c r="E419" s="2">
        <v>3002</v>
      </c>
      <c r="F419" t="str">
        <f t="shared" si="210"/>
        <v>enemy_3002_ftrtal</v>
      </c>
      <c r="G419">
        <v>1</v>
      </c>
      <c r="K419">
        <v>15000</v>
      </c>
      <c r="M419">
        <v>600</v>
      </c>
      <c r="O419">
        <v>350</v>
      </c>
      <c r="Q419">
        <v>50</v>
      </c>
      <c r="Y419">
        <v>0.05</v>
      </c>
      <c r="Z419">
        <v>5</v>
      </c>
      <c r="AA419">
        <v>6</v>
      </c>
      <c r="AB419">
        <v>0.45</v>
      </c>
      <c r="AE419">
        <v>0</v>
      </c>
      <c r="AF419">
        <v>1</v>
      </c>
      <c r="AG419" t="s">
        <v>1951</v>
      </c>
      <c r="AH419" t="s">
        <v>209</v>
      </c>
      <c r="AI419" t="s">
        <v>231</v>
      </c>
      <c r="AK419">
        <v>1</v>
      </c>
      <c r="AT419">
        <v>1</v>
      </c>
      <c r="AV419">
        <v>0.25</v>
      </c>
      <c r="BC419" t="str">
        <f t="shared" si="211"/>
        <v>enemy_3002_ftrtal</v>
      </c>
      <c r="BI419" t="s">
        <v>1952</v>
      </c>
      <c r="BJ419" t="s">
        <v>1953</v>
      </c>
      <c r="BL419" t="s">
        <v>210</v>
      </c>
      <c r="BM419" t="s">
        <v>211</v>
      </c>
      <c r="BN419" s="19" t="s">
        <v>232</v>
      </c>
      <c r="BO419" t="s">
        <v>213</v>
      </c>
      <c r="BQ419" s="19"/>
      <c r="BR419">
        <v>1</v>
      </c>
    </row>
    <row r="420" spans="1:70" ht="14.5" x14ac:dyDescent="0.25">
      <c r="A420" t="s">
        <v>1954</v>
      </c>
      <c r="B420" t="s">
        <v>206</v>
      </c>
      <c r="C420">
        <v>1</v>
      </c>
      <c r="D420" s="17" t="s">
        <v>1955</v>
      </c>
      <c r="E420" s="2">
        <v>3002</v>
      </c>
      <c r="F420" t="str">
        <f t="shared" si="210"/>
        <v>enemy_3002_ftrtal_s</v>
      </c>
      <c r="G420">
        <v>1</v>
      </c>
      <c r="K420">
        <v>15000</v>
      </c>
      <c r="M420">
        <v>600</v>
      </c>
      <c r="O420">
        <v>350</v>
      </c>
      <c r="Q420">
        <v>50</v>
      </c>
      <c r="Y420">
        <v>0.05</v>
      </c>
      <c r="Z420">
        <v>5</v>
      </c>
      <c r="AA420">
        <v>6</v>
      </c>
      <c r="AB420">
        <v>0.45</v>
      </c>
      <c r="AE420">
        <v>0</v>
      </c>
      <c r="AF420">
        <v>1</v>
      </c>
      <c r="AG420" t="s">
        <v>1951</v>
      </c>
      <c r="AH420" t="s">
        <v>209</v>
      </c>
      <c r="AI420" t="s">
        <v>231</v>
      </c>
      <c r="AK420">
        <v>1</v>
      </c>
      <c r="AT420">
        <v>1</v>
      </c>
      <c r="AV420">
        <v>0.25</v>
      </c>
      <c r="BC420" t="str">
        <f t="shared" si="211"/>
        <v>enemy_3002_ftrtal_s</v>
      </c>
      <c r="BL420" t="s">
        <v>210</v>
      </c>
      <c r="BM420" t="s">
        <v>211</v>
      </c>
      <c r="BN420" s="19"/>
      <c r="BO420" t="s">
        <v>213</v>
      </c>
      <c r="BQ420" s="19"/>
      <c r="BR420">
        <v>1</v>
      </c>
    </row>
    <row r="421" spans="1:70" ht="14.5" x14ac:dyDescent="0.25">
      <c r="A421" t="s">
        <v>1956</v>
      </c>
      <c r="B421" t="s">
        <v>206</v>
      </c>
      <c r="C421">
        <v>1</v>
      </c>
      <c r="D421" s="17" t="s">
        <v>1957</v>
      </c>
      <c r="E421" s="2">
        <v>1116</v>
      </c>
      <c r="F421" t="str">
        <f t="shared" si="210"/>
        <v>enemy_1116_liprr</v>
      </c>
      <c r="G421">
        <v>1</v>
      </c>
      <c r="K421">
        <v>5500</v>
      </c>
      <c r="M421">
        <v>280</v>
      </c>
      <c r="O421">
        <v>60</v>
      </c>
      <c r="Q421">
        <v>0</v>
      </c>
      <c r="Y421">
        <v>0.05</v>
      </c>
      <c r="Z421">
        <v>2</v>
      </c>
      <c r="AA421">
        <v>1</v>
      </c>
      <c r="AB421">
        <v>1.1000000000000001</v>
      </c>
      <c r="AE421">
        <v>0</v>
      </c>
      <c r="AF421">
        <v>1</v>
      </c>
      <c r="AG421" t="s">
        <v>1958</v>
      </c>
      <c r="AH421" t="s">
        <v>209</v>
      </c>
      <c r="AI421" t="s">
        <v>231</v>
      </c>
      <c r="AK421">
        <v>1</v>
      </c>
      <c r="AT421">
        <v>1</v>
      </c>
      <c r="AV421">
        <v>0.25</v>
      </c>
      <c r="BC421" t="str">
        <f t="shared" si="211"/>
        <v>enemy_1116_liprr</v>
      </c>
      <c r="BI421" t="s">
        <v>1959</v>
      </c>
      <c r="BJ421" t="s">
        <v>1960</v>
      </c>
      <c r="BL421" t="s">
        <v>210</v>
      </c>
      <c r="BM421" t="s">
        <v>211</v>
      </c>
      <c r="BN421" s="19" t="s">
        <v>232</v>
      </c>
      <c r="BO421" t="s">
        <v>213</v>
      </c>
      <c r="BQ421" s="19"/>
      <c r="BR421">
        <v>1</v>
      </c>
    </row>
    <row r="422" spans="1:70" ht="14.5" x14ac:dyDescent="0.25">
      <c r="A422" t="s">
        <v>1961</v>
      </c>
      <c r="B422" t="s">
        <v>206</v>
      </c>
      <c r="C422">
        <v>1</v>
      </c>
      <c r="D422" s="17" t="s">
        <v>1962</v>
      </c>
      <c r="E422" s="2">
        <v>1116</v>
      </c>
      <c r="F422" t="str">
        <f t="shared" si="210"/>
        <v>enemy_1116_liprr_2</v>
      </c>
      <c r="G422">
        <v>1</v>
      </c>
      <c r="K422">
        <v>7500</v>
      </c>
      <c r="M422">
        <v>380</v>
      </c>
      <c r="O422">
        <v>60</v>
      </c>
      <c r="Q422">
        <v>0</v>
      </c>
      <c r="Y422">
        <v>0.05</v>
      </c>
      <c r="Z422">
        <v>2</v>
      </c>
      <c r="AA422">
        <v>1</v>
      </c>
      <c r="AB422">
        <v>1.1000000000000001</v>
      </c>
      <c r="AE422">
        <v>0</v>
      </c>
      <c r="AF422">
        <v>1</v>
      </c>
      <c r="AG422" t="s">
        <v>1963</v>
      </c>
      <c r="AH422" t="s">
        <v>209</v>
      </c>
      <c r="AI422" t="s">
        <v>231</v>
      </c>
      <c r="AK422">
        <v>1</v>
      </c>
      <c r="AT422">
        <v>1</v>
      </c>
      <c r="AV422">
        <v>0.25</v>
      </c>
      <c r="BC422" t="str">
        <f t="shared" si="211"/>
        <v>enemy_1116_liprr_2</v>
      </c>
      <c r="BI422" t="s">
        <v>1959</v>
      </c>
      <c r="BJ422" t="s">
        <v>1964</v>
      </c>
      <c r="BL422" t="s">
        <v>210</v>
      </c>
      <c r="BM422" t="s">
        <v>211</v>
      </c>
      <c r="BN422" s="19" t="s">
        <v>232</v>
      </c>
      <c r="BO422" t="s">
        <v>213</v>
      </c>
      <c r="BQ422" s="19"/>
      <c r="BR422">
        <v>1</v>
      </c>
    </row>
    <row r="423" spans="1:70" ht="14.5" x14ac:dyDescent="0.25">
      <c r="A423" t="s">
        <v>1965</v>
      </c>
      <c r="B423" t="s">
        <v>206</v>
      </c>
      <c r="C423">
        <v>1</v>
      </c>
      <c r="D423" s="17" t="s">
        <v>1966</v>
      </c>
      <c r="E423" s="2">
        <v>1117</v>
      </c>
      <c r="F423" t="str">
        <f t="shared" si="210"/>
        <v>enemy_1117_liiprr</v>
      </c>
      <c r="G423">
        <v>1</v>
      </c>
      <c r="K423">
        <v>5500</v>
      </c>
      <c r="M423">
        <v>220</v>
      </c>
      <c r="O423">
        <v>80</v>
      </c>
      <c r="Q423">
        <v>30</v>
      </c>
      <c r="Y423">
        <v>0.05</v>
      </c>
      <c r="Z423">
        <v>3</v>
      </c>
      <c r="AA423">
        <v>1</v>
      </c>
      <c r="AB423">
        <v>0.9</v>
      </c>
      <c r="AE423">
        <v>0</v>
      </c>
      <c r="AF423">
        <v>1</v>
      </c>
      <c r="AG423" t="s">
        <v>1967</v>
      </c>
      <c r="AH423" t="s">
        <v>209</v>
      </c>
      <c r="AI423" t="s">
        <v>231</v>
      </c>
      <c r="AK423">
        <v>1</v>
      </c>
      <c r="AT423">
        <v>1</v>
      </c>
      <c r="AV423">
        <v>0.25</v>
      </c>
      <c r="BC423" t="str">
        <f t="shared" si="211"/>
        <v>enemy_1117_liiprr</v>
      </c>
      <c r="BI423" t="s">
        <v>1968</v>
      </c>
      <c r="BJ423" t="s">
        <v>1969</v>
      </c>
      <c r="BL423" t="s">
        <v>210</v>
      </c>
      <c r="BM423" t="s">
        <v>211</v>
      </c>
      <c r="BN423" s="19" t="s">
        <v>232</v>
      </c>
      <c r="BO423" t="s">
        <v>213</v>
      </c>
      <c r="BQ423" s="19"/>
      <c r="BR423">
        <v>1</v>
      </c>
    </row>
    <row r="424" spans="1:70" ht="14.5" x14ac:dyDescent="0.25">
      <c r="A424" t="s">
        <v>1970</v>
      </c>
      <c r="B424" t="s">
        <v>206</v>
      </c>
      <c r="C424">
        <v>1</v>
      </c>
      <c r="D424" s="17" t="s">
        <v>1971</v>
      </c>
      <c r="E424" s="2">
        <v>1117</v>
      </c>
      <c r="F424" t="str">
        <f t="shared" si="210"/>
        <v>enemy_1117_liiprr_2</v>
      </c>
      <c r="G424">
        <v>1</v>
      </c>
      <c r="K424">
        <v>7000</v>
      </c>
      <c r="M424">
        <v>320</v>
      </c>
      <c r="O424">
        <v>80</v>
      </c>
      <c r="Q424">
        <v>30</v>
      </c>
      <c r="Y424">
        <v>0.05</v>
      </c>
      <c r="Z424">
        <v>3</v>
      </c>
      <c r="AA424">
        <v>1</v>
      </c>
      <c r="AB424">
        <v>0.9</v>
      </c>
      <c r="AE424">
        <v>0</v>
      </c>
      <c r="AF424">
        <v>1</v>
      </c>
      <c r="AG424" t="s">
        <v>1972</v>
      </c>
      <c r="AH424" t="s">
        <v>209</v>
      </c>
      <c r="AI424" t="s">
        <v>231</v>
      </c>
      <c r="AK424">
        <v>1</v>
      </c>
      <c r="AT424">
        <v>1</v>
      </c>
      <c r="AV424">
        <v>0.25</v>
      </c>
      <c r="BC424" t="str">
        <f t="shared" si="211"/>
        <v>enemy_1117_liiprr_2</v>
      </c>
      <c r="BI424" t="s">
        <v>1968</v>
      </c>
      <c r="BJ424" t="s">
        <v>1973</v>
      </c>
      <c r="BL424" t="s">
        <v>210</v>
      </c>
      <c r="BM424" t="s">
        <v>211</v>
      </c>
      <c r="BN424" s="19" t="s">
        <v>232</v>
      </c>
      <c r="BO424" t="s">
        <v>213</v>
      </c>
      <c r="BQ424" s="19"/>
      <c r="BR424">
        <v>1</v>
      </c>
    </row>
    <row r="425" spans="1:70" ht="14.5" x14ac:dyDescent="0.25">
      <c r="A425" t="s">
        <v>1974</v>
      </c>
      <c r="B425" t="s">
        <v>206</v>
      </c>
      <c r="C425">
        <v>1</v>
      </c>
      <c r="D425" s="17" t="s">
        <v>1975</v>
      </c>
      <c r="E425" s="2">
        <v>1118</v>
      </c>
      <c r="F425" t="str">
        <f t="shared" si="210"/>
        <v>enemy_1118_lidbox</v>
      </c>
      <c r="G425">
        <v>1</v>
      </c>
      <c r="K425">
        <v>8000</v>
      </c>
      <c r="M425">
        <v>300</v>
      </c>
      <c r="O425">
        <v>300</v>
      </c>
      <c r="Q425">
        <v>0</v>
      </c>
      <c r="Y425">
        <v>0.05</v>
      </c>
      <c r="Z425">
        <v>1.2</v>
      </c>
      <c r="AA425">
        <v>2</v>
      </c>
      <c r="AB425">
        <v>1.6</v>
      </c>
      <c r="AE425">
        <v>0</v>
      </c>
      <c r="AF425">
        <v>1</v>
      </c>
      <c r="AG425" t="s">
        <v>1976</v>
      </c>
      <c r="AH425" t="s">
        <v>209</v>
      </c>
      <c r="AI425" t="s">
        <v>231</v>
      </c>
      <c r="AK425">
        <v>1</v>
      </c>
      <c r="AT425">
        <v>1</v>
      </c>
      <c r="AV425">
        <v>0.25</v>
      </c>
      <c r="BC425" t="str">
        <f t="shared" si="211"/>
        <v>enemy_1118_lidbox</v>
      </c>
      <c r="BI425" t="s">
        <v>1977</v>
      </c>
      <c r="BJ425" t="s">
        <v>1978</v>
      </c>
      <c r="BL425" t="s">
        <v>1979</v>
      </c>
      <c r="BM425" t="s">
        <v>1980</v>
      </c>
      <c r="BN425" s="19" t="s">
        <v>1981</v>
      </c>
      <c r="BO425" t="s">
        <v>1982</v>
      </c>
      <c r="BQ425" s="19"/>
      <c r="BR425">
        <v>1</v>
      </c>
    </row>
    <row r="426" spans="1:70" ht="14.5" x14ac:dyDescent="0.25">
      <c r="A426" t="s">
        <v>1983</v>
      </c>
      <c r="B426" t="s">
        <v>206</v>
      </c>
      <c r="C426">
        <v>1</v>
      </c>
      <c r="D426" s="17" t="s">
        <v>1984</v>
      </c>
      <c r="E426" s="2">
        <v>1118</v>
      </c>
      <c r="F426" t="str">
        <f t="shared" si="210"/>
        <v>enemy_1118_lidbox_2</v>
      </c>
      <c r="G426">
        <v>1</v>
      </c>
      <c r="K426">
        <v>9500</v>
      </c>
      <c r="M426">
        <v>400</v>
      </c>
      <c r="O426">
        <v>400</v>
      </c>
      <c r="Q426">
        <v>0</v>
      </c>
      <c r="Y426">
        <v>0.05</v>
      </c>
      <c r="Z426">
        <v>1</v>
      </c>
      <c r="AA426">
        <v>2</v>
      </c>
      <c r="AB426">
        <v>1.6</v>
      </c>
      <c r="AE426">
        <v>0</v>
      </c>
      <c r="AF426">
        <v>1</v>
      </c>
      <c r="AG426" t="s">
        <v>1985</v>
      </c>
      <c r="AH426" t="s">
        <v>209</v>
      </c>
      <c r="AI426" t="s">
        <v>231</v>
      </c>
      <c r="AK426">
        <v>1</v>
      </c>
      <c r="AT426">
        <v>1</v>
      </c>
      <c r="AV426">
        <v>0.25</v>
      </c>
      <c r="BC426" t="str">
        <f t="shared" si="211"/>
        <v>enemy_1118_lidbox_2</v>
      </c>
      <c r="BI426" t="s">
        <v>1977</v>
      </c>
      <c r="BJ426" t="s">
        <v>1986</v>
      </c>
      <c r="BL426" t="s">
        <v>1979</v>
      </c>
      <c r="BM426" t="s">
        <v>1980</v>
      </c>
      <c r="BN426" s="19" t="s">
        <v>1981</v>
      </c>
      <c r="BO426" t="s">
        <v>1982</v>
      </c>
      <c r="BQ426" s="19"/>
      <c r="BR426">
        <v>1</v>
      </c>
    </row>
    <row r="427" spans="1:70" ht="14.5" x14ac:dyDescent="0.25">
      <c r="A427" t="s">
        <v>1987</v>
      </c>
      <c r="B427" t="s">
        <v>206</v>
      </c>
      <c r="C427">
        <v>1</v>
      </c>
      <c r="D427" s="17" t="s">
        <v>1988</v>
      </c>
      <c r="E427" s="2">
        <v>1119</v>
      </c>
      <c r="F427" t="str">
        <f t="shared" si="210"/>
        <v>enemy_1119_vofsd</v>
      </c>
      <c r="G427">
        <v>1</v>
      </c>
      <c r="K427">
        <v>11000</v>
      </c>
      <c r="M427">
        <v>600</v>
      </c>
      <c r="O427">
        <v>700</v>
      </c>
      <c r="Q427">
        <v>0</v>
      </c>
      <c r="Y427">
        <v>0.05</v>
      </c>
      <c r="Z427">
        <v>3.3</v>
      </c>
      <c r="AA427">
        <v>3</v>
      </c>
      <c r="AB427">
        <v>0.8</v>
      </c>
      <c r="AE427">
        <v>0</v>
      </c>
      <c r="AF427">
        <v>1</v>
      </c>
      <c r="AG427" t="s">
        <v>1989</v>
      </c>
      <c r="AH427" t="s">
        <v>209</v>
      </c>
      <c r="AI427" t="s">
        <v>231</v>
      </c>
      <c r="AK427">
        <v>1</v>
      </c>
      <c r="AT427">
        <v>1</v>
      </c>
      <c r="AV427">
        <v>0.25</v>
      </c>
      <c r="BC427" t="str">
        <f t="shared" si="211"/>
        <v>enemy_1119_vofsd</v>
      </c>
      <c r="BI427" t="s">
        <v>1977</v>
      </c>
      <c r="BJ427" t="s">
        <v>1990</v>
      </c>
      <c r="BL427" t="s">
        <v>210</v>
      </c>
      <c r="BM427" t="s">
        <v>211</v>
      </c>
      <c r="BN427" s="19" t="s">
        <v>232</v>
      </c>
      <c r="BO427" t="s">
        <v>213</v>
      </c>
      <c r="BQ427" s="19"/>
      <c r="BR427">
        <v>1</v>
      </c>
    </row>
    <row r="428" spans="1:70" ht="14.5" x14ac:dyDescent="0.25">
      <c r="A428" t="s">
        <v>1991</v>
      </c>
      <c r="B428" t="s">
        <v>206</v>
      </c>
      <c r="C428">
        <v>1</v>
      </c>
      <c r="D428" s="17" t="s">
        <v>1992</v>
      </c>
      <c r="E428" s="2">
        <v>1119</v>
      </c>
      <c r="F428" t="str">
        <f t="shared" si="210"/>
        <v>enemy_1119_vofsd_2</v>
      </c>
      <c r="G428">
        <v>1</v>
      </c>
      <c r="K428">
        <v>14000</v>
      </c>
      <c r="M428">
        <v>700</v>
      </c>
      <c r="O428">
        <v>1000</v>
      </c>
      <c r="Q428">
        <v>0</v>
      </c>
      <c r="Y428">
        <v>0.05</v>
      </c>
      <c r="Z428">
        <v>3.3</v>
      </c>
      <c r="AA428">
        <v>3</v>
      </c>
      <c r="AB428">
        <v>0.8</v>
      </c>
      <c r="AE428">
        <v>0</v>
      </c>
      <c r="AF428">
        <v>1</v>
      </c>
      <c r="AG428" t="s">
        <v>1993</v>
      </c>
      <c r="AH428" t="s">
        <v>209</v>
      </c>
      <c r="AI428" t="s">
        <v>231</v>
      </c>
      <c r="AK428">
        <v>1</v>
      </c>
      <c r="AT428">
        <v>1</v>
      </c>
      <c r="AV428">
        <v>0.25</v>
      </c>
      <c r="BC428" t="str">
        <f t="shared" si="211"/>
        <v>enemy_1119_vofsd_2</v>
      </c>
      <c r="BI428" t="s">
        <v>1977</v>
      </c>
      <c r="BJ428" t="s">
        <v>1994</v>
      </c>
      <c r="BL428" t="s">
        <v>210</v>
      </c>
      <c r="BM428" t="s">
        <v>211</v>
      </c>
      <c r="BN428" s="19" t="s">
        <v>232</v>
      </c>
      <c r="BO428" t="s">
        <v>213</v>
      </c>
      <c r="BQ428" s="19"/>
      <c r="BR428">
        <v>1</v>
      </c>
    </row>
    <row r="429" spans="1:70" ht="14.5" x14ac:dyDescent="0.25">
      <c r="A429" t="s">
        <v>1995</v>
      </c>
      <c r="B429" t="s">
        <v>206</v>
      </c>
      <c r="C429">
        <v>1</v>
      </c>
      <c r="D429" s="17" t="s">
        <v>1996</v>
      </c>
      <c r="E429" s="2">
        <v>1120</v>
      </c>
      <c r="F429" t="str">
        <f t="shared" si="210"/>
        <v>enemy_1120_vofwiz</v>
      </c>
      <c r="G429">
        <v>1</v>
      </c>
      <c r="K429">
        <v>9000</v>
      </c>
      <c r="M429">
        <v>300</v>
      </c>
      <c r="O429">
        <v>100</v>
      </c>
      <c r="Q429">
        <v>50</v>
      </c>
      <c r="Y429">
        <v>0.05</v>
      </c>
      <c r="Z429">
        <v>3.5</v>
      </c>
      <c r="AA429">
        <v>3</v>
      </c>
      <c r="AB429">
        <v>0.5</v>
      </c>
      <c r="AE429">
        <v>0</v>
      </c>
      <c r="AF429">
        <v>1</v>
      </c>
      <c r="AG429" t="s">
        <v>1997</v>
      </c>
      <c r="AH429" t="s">
        <v>209</v>
      </c>
      <c r="AI429" t="s">
        <v>231</v>
      </c>
      <c r="AK429">
        <v>1</v>
      </c>
      <c r="AT429">
        <v>1</v>
      </c>
      <c r="AV429">
        <v>0.25</v>
      </c>
      <c r="BC429" t="str">
        <f t="shared" si="211"/>
        <v>enemy_1120_vofwiz</v>
      </c>
      <c r="BI429" t="s">
        <v>1998</v>
      </c>
      <c r="BJ429" t="s">
        <v>1999</v>
      </c>
      <c r="BL429" t="s">
        <v>210</v>
      </c>
      <c r="BM429" t="s">
        <v>211</v>
      </c>
      <c r="BN429" s="19" t="s">
        <v>232</v>
      </c>
      <c r="BO429" t="s">
        <v>213</v>
      </c>
      <c r="BQ429" s="19"/>
      <c r="BR429">
        <v>1</v>
      </c>
    </row>
    <row r="430" spans="1:70" ht="14.5" x14ac:dyDescent="0.25">
      <c r="A430" t="s">
        <v>2000</v>
      </c>
      <c r="B430" t="s">
        <v>206</v>
      </c>
      <c r="C430">
        <v>1</v>
      </c>
      <c r="D430" s="17" t="s">
        <v>2001</v>
      </c>
      <c r="E430" s="2">
        <v>1120</v>
      </c>
      <c r="F430" t="str">
        <f t="shared" si="210"/>
        <v>enemy_1120_vofwiz_2</v>
      </c>
      <c r="G430">
        <v>1</v>
      </c>
      <c r="K430">
        <v>11000</v>
      </c>
      <c r="M430">
        <v>340</v>
      </c>
      <c r="O430">
        <v>200</v>
      </c>
      <c r="Q430">
        <v>50</v>
      </c>
      <c r="Y430">
        <v>0.05</v>
      </c>
      <c r="Z430">
        <v>3.5</v>
      </c>
      <c r="AA430">
        <v>3</v>
      </c>
      <c r="AB430">
        <v>0.5</v>
      </c>
      <c r="AE430">
        <v>0</v>
      </c>
      <c r="AF430">
        <v>1</v>
      </c>
      <c r="AG430" t="s">
        <v>2002</v>
      </c>
      <c r="AH430" t="s">
        <v>209</v>
      </c>
      <c r="AI430" t="s">
        <v>231</v>
      </c>
      <c r="AK430">
        <v>1</v>
      </c>
      <c r="AT430">
        <v>1</v>
      </c>
      <c r="AV430">
        <v>0.25</v>
      </c>
      <c r="BC430" t="str">
        <f t="shared" si="211"/>
        <v>enemy_1120_vofwiz_2</v>
      </c>
      <c r="BI430" t="s">
        <v>1998</v>
      </c>
      <c r="BJ430" t="s">
        <v>2003</v>
      </c>
      <c r="BL430" t="s">
        <v>210</v>
      </c>
      <c r="BM430" t="s">
        <v>211</v>
      </c>
      <c r="BN430" s="19" t="s">
        <v>232</v>
      </c>
      <c r="BO430" t="s">
        <v>213</v>
      </c>
      <c r="BQ430" s="19"/>
      <c r="BR430">
        <v>1</v>
      </c>
    </row>
    <row r="431" spans="1:70" ht="14.5" x14ac:dyDescent="0.25">
      <c r="A431" t="s">
        <v>2004</v>
      </c>
      <c r="B431" t="s">
        <v>206</v>
      </c>
      <c r="C431">
        <v>1</v>
      </c>
      <c r="D431" s="17" t="s">
        <v>2005</v>
      </c>
      <c r="E431" s="2">
        <v>1121</v>
      </c>
      <c r="F431" t="str">
        <f t="shared" si="210"/>
        <v>enemy_1121_lifbos</v>
      </c>
      <c r="G431">
        <v>1</v>
      </c>
      <c r="K431">
        <v>20000</v>
      </c>
      <c r="M431">
        <v>800</v>
      </c>
      <c r="O431">
        <v>400</v>
      </c>
      <c r="Q431">
        <v>0</v>
      </c>
      <c r="Y431">
        <v>0.05</v>
      </c>
      <c r="Z431">
        <v>3</v>
      </c>
      <c r="AA431">
        <v>5</v>
      </c>
      <c r="AB431">
        <v>0.8</v>
      </c>
      <c r="AE431">
        <v>0</v>
      </c>
      <c r="AF431">
        <v>1</v>
      </c>
      <c r="AG431" t="s">
        <v>2006</v>
      </c>
      <c r="AH431" t="s">
        <v>209</v>
      </c>
      <c r="AI431" t="s">
        <v>231</v>
      </c>
      <c r="AK431">
        <v>1</v>
      </c>
      <c r="AT431">
        <v>1</v>
      </c>
      <c r="AV431">
        <v>0.25</v>
      </c>
      <c r="BC431" t="str">
        <f t="shared" si="211"/>
        <v>enemy_1121_lifbos</v>
      </c>
      <c r="BI431" t="s">
        <v>1977</v>
      </c>
      <c r="BJ431" t="s">
        <v>2007</v>
      </c>
      <c r="BL431" t="s">
        <v>1979</v>
      </c>
      <c r="BM431" t="s">
        <v>1980</v>
      </c>
      <c r="BN431" s="19" t="s">
        <v>1981</v>
      </c>
      <c r="BO431" t="s">
        <v>1982</v>
      </c>
      <c r="BQ431" s="19"/>
      <c r="BR431">
        <v>1</v>
      </c>
    </row>
    <row r="432" spans="1:70" ht="14.5" x14ac:dyDescent="0.25">
      <c r="A432" t="s">
        <v>2008</v>
      </c>
      <c r="B432" t="s">
        <v>206</v>
      </c>
      <c r="C432">
        <v>1</v>
      </c>
      <c r="D432" s="17" t="s">
        <v>2009</v>
      </c>
      <c r="E432" s="2">
        <v>1121</v>
      </c>
      <c r="F432" t="str">
        <f t="shared" si="210"/>
        <v>enemy_1121_lifbos_2</v>
      </c>
      <c r="G432">
        <v>1</v>
      </c>
      <c r="K432">
        <v>25000</v>
      </c>
      <c r="M432">
        <v>1000</v>
      </c>
      <c r="O432">
        <v>500</v>
      </c>
      <c r="Q432">
        <v>0</v>
      </c>
      <c r="Y432">
        <v>0.05</v>
      </c>
      <c r="Z432">
        <v>3</v>
      </c>
      <c r="AA432">
        <v>5</v>
      </c>
      <c r="AB432">
        <v>0.8</v>
      </c>
      <c r="AE432">
        <v>0</v>
      </c>
      <c r="AF432">
        <v>1</v>
      </c>
      <c r="AG432" t="s">
        <v>2010</v>
      </c>
      <c r="AH432" t="s">
        <v>209</v>
      </c>
      <c r="AI432" t="s">
        <v>231</v>
      </c>
      <c r="AK432">
        <v>1</v>
      </c>
      <c r="AT432">
        <v>1</v>
      </c>
      <c r="AV432">
        <v>0.25</v>
      </c>
      <c r="BC432" t="str">
        <f t="shared" si="211"/>
        <v>enemy_1121_lifbos_2</v>
      </c>
      <c r="BI432" t="s">
        <v>1977</v>
      </c>
      <c r="BJ432" t="s">
        <v>2011</v>
      </c>
      <c r="BL432" t="s">
        <v>1979</v>
      </c>
      <c r="BM432" t="s">
        <v>1980</v>
      </c>
      <c r="BN432" s="19" t="s">
        <v>1981</v>
      </c>
      <c r="BO432" t="s">
        <v>1982</v>
      </c>
      <c r="BQ432" s="19"/>
      <c r="BR432">
        <v>1</v>
      </c>
    </row>
    <row r="433" spans="1:70" ht="14.5" x14ac:dyDescent="0.25">
      <c r="A433" t="s">
        <v>2012</v>
      </c>
      <c r="B433" t="s">
        <v>206</v>
      </c>
      <c r="C433">
        <v>1</v>
      </c>
      <c r="D433" s="17" t="s">
        <v>2013</v>
      </c>
      <c r="E433" s="2">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2014</v>
      </c>
      <c r="AH433" t="s">
        <v>209</v>
      </c>
      <c r="AI433" t="s">
        <v>231</v>
      </c>
      <c r="AK433">
        <v>1</v>
      </c>
      <c r="AT433">
        <v>1</v>
      </c>
      <c r="AV433">
        <v>0.25</v>
      </c>
      <c r="BC433" t="str">
        <f t="shared" ref="BC433:BC496" si="213">"enemy_"&amp;E433&amp;"_"&amp;D433</f>
        <v>enemy_1516_jakill</v>
      </c>
      <c r="BI433" t="s">
        <v>1333</v>
      </c>
      <c r="BJ433" t="s">
        <v>2015</v>
      </c>
      <c r="BL433" t="s">
        <v>2016</v>
      </c>
      <c r="BM433" t="s">
        <v>2017</v>
      </c>
      <c r="BN433" s="19" t="s">
        <v>2018</v>
      </c>
      <c r="BO433" t="s">
        <v>2019</v>
      </c>
      <c r="BQ433" s="19"/>
      <c r="BR433">
        <v>1</v>
      </c>
    </row>
    <row r="434" spans="1:70" ht="14.5" x14ac:dyDescent="0.25">
      <c r="A434" t="s">
        <v>2020</v>
      </c>
      <c r="B434" t="s">
        <v>206</v>
      </c>
      <c r="C434">
        <v>1</v>
      </c>
      <c r="D434" s="17" t="s">
        <v>2021</v>
      </c>
      <c r="E434" s="2">
        <v>1122</v>
      </c>
      <c r="F434" t="str">
        <f t="shared" si="212"/>
        <v>enemy_1122_sphond</v>
      </c>
      <c r="G434">
        <v>1</v>
      </c>
      <c r="K434">
        <v>3200</v>
      </c>
      <c r="M434">
        <v>330</v>
      </c>
      <c r="O434">
        <v>0</v>
      </c>
      <c r="Q434">
        <v>20</v>
      </c>
      <c r="Y434">
        <v>0.05</v>
      </c>
      <c r="Z434">
        <v>1.3</v>
      </c>
      <c r="AA434">
        <v>0</v>
      </c>
      <c r="AB434">
        <v>1.9</v>
      </c>
      <c r="AE434">
        <v>0</v>
      </c>
      <c r="AF434">
        <v>1</v>
      </c>
      <c r="AG434" t="s">
        <v>2022</v>
      </c>
      <c r="AH434" t="s">
        <v>209</v>
      </c>
      <c r="AI434" t="s">
        <v>231</v>
      </c>
      <c r="AK434">
        <v>1</v>
      </c>
      <c r="AT434">
        <v>1</v>
      </c>
      <c r="AV434">
        <v>0.25</v>
      </c>
      <c r="BC434" t="str">
        <f t="shared" si="213"/>
        <v>enemy_1122_sphond</v>
      </c>
      <c r="BI434" t="s">
        <v>2023</v>
      </c>
      <c r="BJ434" t="s">
        <v>2024</v>
      </c>
      <c r="BL434" t="s">
        <v>210</v>
      </c>
      <c r="BM434" t="s">
        <v>211</v>
      </c>
      <c r="BN434" s="19" t="s">
        <v>232</v>
      </c>
      <c r="BO434" t="s">
        <v>213</v>
      </c>
      <c r="BQ434" s="19"/>
      <c r="BR434">
        <v>1</v>
      </c>
    </row>
    <row r="435" spans="1:70" ht="14.5" x14ac:dyDescent="0.25">
      <c r="A435" t="s">
        <v>2025</v>
      </c>
      <c r="B435" t="s">
        <v>206</v>
      </c>
      <c r="C435">
        <v>1</v>
      </c>
      <c r="D435" s="17" t="s">
        <v>2026</v>
      </c>
      <c r="E435" s="2">
        <v>1122</v>
      </c>
      <c r="F435" t="str">
        <f t="shared" si="212"/>
        <v>enemy_1122_sphond_2</v>
      </c>
      <c r="G435">
        <v>1</v>
      </c>
      <c r="K435">
        <v>4500</v>
      </c>
      <c r="M435">
        <v>380</v>
      </c>
      <c r="O435">
        <v>0</v>
      </c>
      <c r="Q435">
        <v>30</v>
      </c>
      <c r="Y435">
        <v>0.05</v>
      </c>
      <c r="Z435">
        <v>1.3</v>
      </c>
      <c r="AA435">
        <v>0</v>
      </c>
      <c r="AB435">
        <v>1.9</v>
      </c>
      <c r="AE435">
        <v>0</v>
      </c>
      <c r="AF435">
        <v>1</v>
      </c>
      <c r="AG435" t="s">
        <v>2027</v>
      </c>
      <c r="AH435" t="s">
        <v>209</v>
      </c>
      <c r="AI435" t="s">
        <v>231</v>
      </c>
      <c r="AK435">
        <v>1</v>
      </c>
      <c r="AT435">
        <v>1</v>
      </c>
      <c r="AV435">
        <v>0.25</v>
      </c>
      <c r="BC435" t="str">
        <f t="shared" si="213"/>
        <v>enemy_1122_sphond_2</v>
      </c>
      <c r="BI435" t="s">
        <v>2023</v>
      </c>
      <c r="BJ435" t="s">
        <v>2024</v>
      </c>
      <c r="BL435" t="s">
        <v>210</v>
      </c>
      <c r="BM435" t="s">
        <v>211</v>
      </c>
      <c r="BN435" s="19" t="s">
        <v>232</v>
      </c>
      <c r="BO435" t="s">
        <v>213</v>
      </c>
      <c r="BQ435" s="19"/>
      <c r="BR435">
        <v>1</v>
      </c>
    </row>
    <row r="436" spans="1:70" ht="14.5" x14ac:dyDescent="0.25">
      <c r="A436" t="s">
        <v>2028</v>
      </c>
      <c r="B436" t="s">
        <v>206</v>
      </c>
      <c r="C436">
        <v>1</v>
      </c>
      <c r="D436" s="17" t="s">
        <v>2029</v>
      </c>
      <c r="E436" s="2">
        <v>1123</v>
      </c>
      <c r="F436" t="str">
        <f t="shared" si="212"/>
        <v>enemy_1123_spsbr</v>
      </c>
      <c r="G436">
        <v>1</v>
      </c>
      <c r="K436">
        <v>3000</v>
      </c>
      <c r="M436">
        <v>290</v>
      </c>
      <c r="O436">
        <v>120</v>
      </c>
      <c r="Q436">
        <v>10</v>
      </c>
      <c r="Y436">
        <v>0.05</v>
      </c>
      <c r="Z436">
        <v>2</v>
      </c>
      <c r="AA436">
        <v>1</v>
      </c>
      <c r="AB436">
        <v>1.1000000000000001</v>
      </c>
      <c r="AE436">
        <v>0</v>
      </c>
      <c r="AF436">
        <v>1</v>
      </c>
      <c r="AG436" t="s">
        <v>2030</v>
      </c>
      <c r="AH436" t="s">
        <v>209</v>
      </c>
      <c r="AI436" t="s">
        <v>231</v>
      </c>
      <c r="AK436">
        <v>1</v>
      </c>
      <c r="AT436">
        <v>1</v>
      </c>
      <c r="AV436">
        <v>0.25</v>
      </c>
      <c r="BC436" t="str">
        <f t="shared" si="213"/>
        <v>enemy_1123_spsbr</v>
      </c>
      <c r="BI436" t="s">
        <v>2023</v>
      </c>
      <c r="BJ436" t="s">
        <v>2031</v>
      </c>
      <c r="BL436" t="s">
        <v>210</v>
      </c>
      <c r="BM436" t="s">
        <v>211</v>
      </c>
      <c r="BN436" s="19" t="s">
        <v>232</v>
      </c>
      <c r="BO436" t="s">
        <v>213</v>
      </c>
      <c r="BQ436" s="19"/>
      <c r="BR436">
        <v>1</v>
      </c>
    </row>
    <row r="437" spans="1:70" ht="14.5" x14ac:dyDescent="0.25">
      <c r="A437" t="s">
        <v>2032</v>
      </c>
      <c r="B437" t="s">
        <v>206</v>
      </c>
      <c r="C437">
        <v>1</v>
      </c>
      <c r="D437" s="17" t="s">
        <v>2033</v>
      </c>
      <c r="E437" s="2">
        <v>1123</v>
      </c>
      <c r="F437" t="str">
        <f t="shared" si="212"/>
        <v>enemy_1123_spsbr_2</v>
      </c>
      <c r="G437">
        <v>1</v>
      </c>
      <c r="K437">
        <v>4000</v>
      </c>
      <c r="M437">
        <v>370</v>
      </c>
      <c r="O437">
        <v>150</v>
      </c>
      <c r="Q437">
        <v>10</v>
      </c>
      <c r="Y437">
        <v>0.05</v>
      </c>
      <c r="Z437">
        <v>2</v>
      </c>
      <c r="AA437">
        <v>1</v>
      </c>
      <c r="AB437">
        <v>1.1000000000000001</v>
      </c>
      <c r="AE437">
        <v>0</v>
      </c>
      <c r="AF437">
        <v>1</v>
      </c>
      <c r="AG437" t="s">
        <v>2034</v>
      </c>
      <c r="AH437" t="s">
        <v>209</v>
      </c>
      <c r="AI437" t="s">
        <v>231</v>
      </c>
      <c r="AK437">
        <v>1</v>
      </c>
      <c r="AT437">
        <v>1</v>
      </c>
      <c r="AV437">
        <v>0.25</v>
      </c>
      <c r="BC437" t="str">
        <f t="shared" si="213"/>
        <v>enemy_1123_spsbr_2</v>
      </c>
      <c r="BI437" t="s">
        <v>2023</v>
      </c>
      <c r="BJ437" t="s">
        <v>2031</v>
      </c>
      <c r="BL437" t="s">
        <v>210</v>
      </c>
      <c r="BM437" t="s">
        <v>211</v>
      </c>
      <c r="BN437" s="19" t="s">
        <v>232</v>
      </c>
      <c r="BO437" t="s">
        <v>213</v>
      </c>
      <c r="BQ437" s="19"/>
      <c r="BR437">
        <v>1</v>
      </c>
    </row>
    <row r="438" spans="1:70" ht="14.5" x14ac:dyDescent="0.25">
      <c r="A438" t="s">
        <v>2035</v>
      </c>
      <c r="B438" t="s">
        <v>206</v>
      </c>
      <c r="C438">
        <v>1</v>
      </c>
      <c r="D438" s="17" t="s">
        <v>2036</v>
      </c>
      <c r="E438" s="2">
        <v>1124</v>
      </c>
      <c r="F438" t="str">
        <f t="shared" si="212"/>
        <v>enemy_1124_spbow</v>
      </c>
      <c r="G438">
        <v>1</v>
      </c>
      <c r="K438">
        <v>4800</v>
      </c>
      <c r="M438">
        <v>300</v>
      </c>
      <c r="O438">
        <v>240</v>
      </c>
      <c r="Q438">
        <v>20</v>
      </c>
      <c r="Y438">
        <v>0.05</v>
      </c>
      <c r="Z438">
        <v>3</v>
      </c>
      <c r="AA438">
        <v>0</v>
      </c>
      <c r="AB438">
        <v>0.75</v>
      </c>
      <c r="AE438">
        <v>0</v>
      </c>
      <c r="AF438">
        <v>1</v>
      </c>
      <c r="AG438" t="s">
        <v>2037</v>
      </c>
      <c r="AH438" t="s">
        <v>209</v>
      </c>
      <c r="AI438" t="s">
        <v>231</v>
      </c>
      <c r="AK438">
        <v>1</v>
      </c>
      <c r="AT438">
        <v>1</v>
      </c>
      <c r="AV438">
        <v>0.25</v>
      </c>
      <c r="BC438" t="str">
        <f t="shared" si="213"/>
        <v>enemy_1124_spbow</v>
      </c>
      <c r="BI438" t="s">
        <v>2038</v>
      </c>
      <c r="BJ438" t="s">
        <v>2039</v>
      </c>
      <c r="BL438" t="s">
        <v>210</v>
      </c>
      <c r="BM438" t="s">
        <v>211</v>
      </c>
      <c r="BN438" s="19" t="s">
        <v>232</v>
      </c>
      <c r="BO438" t="s">
        <v>213</v>
      </c>
      <c r="BQ438" s="19"/>
      <c r="BR438">
        <v>1</v>
      </c>
    </row>
    <row r="439" spans="1:70" ht="14.5" x14ac:dyDescent="0.25">
      <c r="A439" t="s">
        <v>2040</v>
      </c>
      <c r="B439" t="s">
        <v>206</v>
      </c>
      <c r="C439">
        <v>1</v>
      </c>
      <c r="D439" s="17" t="s">
        <v>2041</v>
      </c>
      <c r="E439" s="2">
        <v>1124</v>
      </c>
      <c r="F439" t="str">
        <f t="shared" si="212"/>
        <v>enemy_1124_spbow_2</v>
      </c>
      <c r="G439">
        <v>1</v>
      </c>
      <c r="K439">
        <v>6000</v>
      </c>
      <c r="M439">
        <v>400</v>
      </c>
      <c r="O439">
        <v>280</v>
      </c>
      <c r="Q439">
        <v>20</v>
      </c>
      <c r="Y439">
        <v>0.05</v>
      </c>
      <c r="Z439">
        <v>3</v>
      </c>
      <c r="AA439">
        <v>0</v>
      </c>
      <c r="AB439">
        <v>0.75</v>
      </c>
      <c r="AE439">
        <v>0</v>
      </c>
      <c r="AF439">
        <v>1</v>
      </c>
      <c r="AG439" t="s">
        <v>2042</v>
      </c>
      <c r="AH439" t="s">
        <v>209</v>
      </c>
      <c r="AI439" t="s">
        <v>231</v>
      </c>
      <c r="AK439">
        <v>1</v>
      </c>
      <c r="AT439">
        <v>1</v>
      </c>
      <c r="AV439">
        <v>0.25</v>
      </c>
      <c r="BC439" t="str">
        <f t="shared" si="213"/>
        <v>enemy_1124_spbow_2</v>
      </c>
      <c r="BI439" t="s">
        <v>2038</v>
      </c>
      <c r="BJ439" t="s">
        <v>2039</v>
      </c>
      <c r="BL439" t="s">
        <v>210</v>
      </c>
      <c r="BM439" t="s">
        <v>211</v>
      </c>
      <c r="BN439" s="19" t="s">
        <v>232</v>
      </c>
      <c r="BO439" t="s">
        <v>213</v>
      </c>
      <c r="BQ439" s="19"/>
      <c r="BR439">
        <v>1</v>
      </c>
    </row>
    <row r="440" spans="1:70" ht="14.5" x14ac:dyDescent="0.25">
      <c r="A440" t="s">
        <v>2043</v>
      </c>
      <c r="B440" t="s">
        <v>206</v>
      </c>
      <c r="C440">
        <v>1</v>
      </c>
      <c r="D440" s="17" t="s">
        <v>2044</v>
      </c>
      <c r="E440" s="2">
        <v>1125</v>
      </c>
      <c r="F440" t="str">
        <f t="shared" si="212"/>
        <v>enemy_1125_spshld</v>
      </c>
      <c r="G440">
        <v>1</v>
      </c>
      <c r="K440">
        <v>12000</v>
      </c>
      <c r="M440">
        <v>700</v>
      </c>
      <c r="O440">
        <v>1000</v>
      </c>
      <c r="Q440">
        <v>50</v>
      </c>
      <c r="Y440">
        <v>0.05</v>
      </c>
      <c r="Z440">
        <v>3.8</v>
      </c>
      <c r="AA440">
        <v>4</v>
      </c>
      <c r="AB440">
        <v>0.7</v>
      </c>
      <c r="AE440">
        <v>0</v>
      </c>
      <c r="AF440">
        <v>1</v>
      </c>
      <c r="AG440" t="s">
        <v>2045</v>
      </c>
      <c r="AH440" t="s">
        <v>209</v>
      </c>
      <c r="AI440" t="s">
        <v>231</v>
      </c>
      <c r="AK440">
        <v>1</v>
      </c>
      <c r="AT440">
        <v>1</v>
      </c>
      <c r="AV440">
        <v>0.25</v>
      </c>
      <c r="BC440" t="str">
        <f t="shared" si="213"/>
        <v>enemy_1125_spshld</v>
      </c>
      <c r="BI440" t="s">
        <v>2046</v>
      </c>
      <c r="BJ440" t="s">
        <v>2047</v>
      </c>
      <c r="BL440" t="s">
        <v>210</v>
      </c>
      <c r="BM440" t="s">
        <v>211</v>
      </c>
      <c r="BN440" s="19" t="s">
        <v>232</v>
      </c>
      <c r="BO440" t="s">
        <v>213</v>
      </c>
      <c r="BQ440" s="19"/>
      <c r="BR440">
        <v>1</v>
      </c>
    </row>
    <row r="441" spans="1:70" ht="14.5" x14ac:dyDescent="0.25">
      <c r="A441" t="s">
        <v>2048</v>
      </c>
      <c r="B441" t="s">
        <v>206</v>
      </c>
      <c r="C441">
        <v>1</v>
      </c>
      <c r="D441" s="17" t="s">
        <v>2049</v>
      </c>
      <c r="E441" s="2">
        <v>1125</v>
      </c>
      <c r="F441" t="str">
        <f t="shared" si="212"/>
        <v>enemy_1125_spshld_2</v>
      </c>
      <c r="G441">
        <v>1</v>
      </c>
      <c r="K441">
        <v>18000</v>
      </c>
      <c r="M441">
        <v>800</v>
      </c>
      <c r="O441">
        <v>1300</v>
      </c>
      <c r="Q441">
        <v>60</v>
      </c>
      <c r="Y441">
        <v>0.05</v>
      </c>
      <c r="Z441">
        <v>3.8</v>
      </c>
      <c r="AA441">
        <v>4</v>
      </c>
      <c r="AB441">
        <v>0.7</v>
      </c>
      <c r="AE441">
        <v>0</v>
      </c>
      <c r="AF441">
        <v>1</v>
      </c>
      <c r="AG441" t="s">
        <v>2050</v>
      </c>
      <c r="AH441" t="s">
        <v>209</v>
      </c>
      <c r="AI441" t="s">
        <v>231</v>
      </c>
      <c r="AK441">
        <v>1</v>
      </c>
      <c r="AT441">
        <v>1</v>
      </c>
      <c r="AV441">
        <v>0.25</v>
      </c>
      <c r="BC441" t="str">
        <f t="shared" si="213"/>
        <v>enemy_1125_spshld_2</v>
      </c>
      <c r="BI441" t="s">
        <v>2046</v>
      </c>
      <c r="BJ441" t="s">
        <v>2047</v>
      </c>
      <c r="BL441" t="s">
        <v>210</v>
      </c>
      <c r="BM441" t="s">
        <v>211</v>
      </c>
      <c r="BN441" s="19" t="s">
        <v>232</v>
      </c>
      <c r="BO441" t="s">
        <v>213</v>
      </c>
      <c r="BQ441" s="19"/>
      <c r="BR441">
        <v>1</v>
      </c>
    </row>
    <row r="442" spans="1:70" ht="14.5" x14ac:dyDescent="0.25">
      <c r="A442" t="s">
        <v>2051</v>
      </c>
      <c r="B442" t="s">
        <v>206</v>
      </c>
      <c r="C442">
        <v>1</v>
      </c>
      <c r="D442" s="17" t="s">
        <v>2052</v>
      </c>
      <c r="E442" s="2">
        <v>1126</v>
      </c>
      <c r="F442" t="str">
        <f t="shared" si="212"/>
        <v>enemy_1126_spslme</v>
      </c>
      <c r="G442">
        <v>1</v>
      </c>
      <c r="K442">
        <v>2460</v>
      </c>
      <c r="M442">
        <v>120</v>
      </c>
      <c r="O442">
        <v>0</v>
      </c>
      <c r="Q442">
        <v>0</v>
      </c>
      <c r="Y442">
        <v>0.05</v>
      </c>
      <c r="Z442">
        <v>2</v>
      </c>
      <c r="AA442">
        <v>0</v>
      </c>
      <c r="AB442">
        <v>1.2</v>
      </c>
      <c r="AE442">
        <v>0</v>
      </c>
      <c r="AF442">
        <v>1</v>
      </c>
      <c r="AG442" t="s">
        <v>2053</v>
      </c>
      <c r="AH442" t="s">
        <v>209</v>
      </c>
      <c r="AI442" t="s">
        <v>231</v>
      </c>
      <c r="AK442">
        <v>1</v>
      </c>
      <c r="AT442">
        <v>1</v>
      </c>
      <c r="AV442">
        <v>0.25</v>
      </c>
      <c r="BC442" t="str">
        <f t="shared" si="213"/>
        <v>enemy_1126_spslme</v>
      </c>
      <c r="BI442" t="s">
        <v>2054</v>
      </c>
      <c r="BJ442" t="s">
        <v>2055</v>
      </c>
      <c r="BL442" t="s">
        <v>210</v>
      </c>
      <c r="BM442" t="s">
        <v>211</v>
      </c>
      <c r="BN442" s="19" t="s">
        <v>232</v>
      </c>
      <c r="BO442" t="s">
        <v>213</v>
      </c>
      <c r="BQ442" s="19"/>
      <c r="BR442">
        <v>1</v>
      </c>
    </row>
    <row r="443" spans="1:70" ht="14.5" x14ac:dyDescent="0.25">
      <c r="A443" t="s">
        <v>2056</v>
      </c>
      <c r="B443" t="s">
        <v>206</v>
      </c>
      <c r="C443">
        <v>1</v>
      </c>
      <c r="D443" s="17" t="s">
        <v>2057</v>
      </c>
      <c r="E443" s="2">
        <v>1126</v>
      </c>
      <c r="F443" t="str">
        <f t="shared" si="212"/>
        <v>enemy_1126_spslme_2</v>
      </c>
      <c r="G443">
        <v>1</v>
      </c>
      <c r="K443">
        <v>3700</v>
      </c>
      <c r="M443">
        <v>150</v>
      </c>
      <c r="O443">
        <v>0</v>
      </c>
      <c r="Q443">
        <v>0</v>
      </c>
      <c r="Y443">
        <v>0.05</v>
      </c>
      <c r="Z443">
        <v>2</v>
      </c>
      <c r="AA443">
        <v>0</v>
      </c>
      <c r="AB443">
        <v>1.2</v>
      </c>
      <c r="AE443">
        <v>0</v>
      </c>
      <c r="AF443">
        <v>1</v>
      </c>
      <c r="AG443" t="s">
        <v>2058</v>
      </c>
      <c r="AH443" t="s">
        <v>209</v>
      </c>
      <c r="AI443" t="s">
        <v>231</v>
      </c>
      <c r="AK443">
        <v>1</v>
      </c>
      <c r="AT443">
        <v>1</v>
      </c>
      <c r="AV443">
        <v>0.25</v>
      </c>
      <c r="BC443" t="str">
        <f t="shared" si="213"/>
        <v>enemy_1126_spslme_2</v>
      </c>
      <c r="BI443" t="s">
        <v>2054</v>
      </c>
      <c r="BJ443" t="s">
        <v>2055</v>
      </c>
      <c r="BL443" t="s">
        <v>210</v>
      </c>
      <c r="BM443" t="s">
        <v>211</v>
      </c>
      <c r="BN443" s="19" t="s">
        <v>232</v>
      </c>
      <c r="BO443" t="s">
        <v>213</v>
      </c>
      <c r="BQ443" s="19"/>
      <c r="BR443">
        <v>1</v>
      </c>
    </row>
    <row r="444" spans="1:70" ht="14.5" x14ac:dyDescent="0.25">
      <c r="A444" t="s">
        <v>2059</v>
      </c>
      <c r="B444" t="s">
        <v>206</v>
      </c>
      <c r="C444">
        <v>1</v>
      </c>
      <c r="D444" s="17" t="s">
        <v>2060</v>
      </c>
      <c r="E444" s="2">
        <v>1127</v>
      </c>
      <c r="F444" t="str">
        <f t="shared" si="212"/>
        <v>enemy_1127_sptrkg</v>
      </c>
      <c r="G444">
        <v>1</v>
      </c>
      <c r="K444">
        <v>14000</v>
      </c>
      <c r="M444">
        <v>800</v>
      </c>
      <c r="O444">
        <v>600</v>
      </c>
      <c r="Q444">
        <v>20</v>
      </c>
      <c r="Y444">
        <v>0.05</v>
      </c>
      <c r="Z444">
        <v>3.5</v>
      </c>
      <c r="AA444">
        <v>4</v>
      </c>
      <c r="AB444">
        <v>1.3</v>
      </c>
      <c r="AE444">
        <v>0</v>
      </c>
      <c r="AF444">
        <v>1</v>
      </c>
      <c r="AG444" t="s">
        <v>2061</v>
      </c>
      <c r="AH444" t="s">
        <v>209</v>
      </c>
      <c r="AI444" t="s">
        <v>231</v>
      </c>
      <c r="AK444">
        <v>1</v>
      </c>
      <c r="AT444">
        <v>1</v>
      </c>
      <c r="AV444">
        <v>0.25</v>
      </c>
      <c r="BC444" t="str">
        <f t="shared" si="213"/>
        <v>enemy_1127_sptrkg</v>
      </c>
      <c r="BI444" t="s">
        <v>2046</v>
      </c>
      <c r="BJ444" t="s">
        <v>2062</v>
      </c>
      <c r="BL444" t="s">
        <v>210</v>
      </c>
      <c r="BM444" t="s">
        <v>211</v>
      </c>
      <c r="BN444" s="19" t="s">
        <v>232</v>
      </c>
      <c r="BO444" t="s">
        <v>213</v>
      </c>
      <c r="BQ444" s="19"/>
      <c r="BR444">
        <v>1</v>
      </c>
    </row>
    <row r="445" spans="1:70" ht="14.5" x14ac:dyDescent="0.25">
      <c r="A445" t="s">
        <v>2063</v>
      </c>
      <c r="B445" t="s">
        <v>206</v>
      </c>
      <c r="C445">
        <v>1</v>
      </c>
      <c r="D445" s="17" t="s">
        <v>2064</v>
      </c>
      <c r="E445" s="2">
        <v>1127</v>
      </c>
      <c r="F445" t="str">
        <f t="shared" si="212"/>
        <v>enemy_1127_sptrkg_2</v>
      </c>
      <c r="G445">
        <v>1</v>
      </c>
      <c r="K445">
        <v>18000</v>
      </c>
      <c r="M445">
        <v>1000</v>
      </c>
      <c r="O445">
        <v>750</v>
      </c>
      <c r="Q445">
        <v>25</v>
      </c>
      <c r="Y445">
        <v>0.05</v>
      </c>
      <c r="Z445">
        <v>3.5</v>
      </c>
      <c r="AA445">
        <v>4</v>
      </c>
      <c r="AB445">
        <v>1.3</v>
      </c>
      <c r="AE445">
        <v>0</v>
      </c>
      <c r="AF445">
        <v>1</v>
      </c>
      <c r="AG445" t="s">
        <v>2065</v>
      </c>
      <c r="AH445" t="s">
        <v>209</v>
      </c>
      <c r="AI445" t="s">
        <v>231</v>
      </c>
      <c r="AK445">
        <v>1</v>
      </c>
      <c r="AT445">
        <v>1</v>
      </c>
      <c r="AV445">
        <v>0.25</v>
      </c>
      <c r="BC445" t="str">
        <f t="shared" si="213"/>
        <v>enemy_1127_sptrkg_2</v>
      </c>
      <c r="BI445" t="s">
        <v>2046</v>
      </c>
      <c r="BJ445" t="s">
        <v>2062</v>
      </c>
      <c r="BL445" t="s">
        <v>210</v>
      </c>
      <c r="BM445" t="s">
        <v>211</v>
      </c>
      <c r="BN445" s="19" t="s">
        <v>232</v>
      </c>
      <c r="BO445" t="s">
        <v>213</v>
      </c>
      <c r="BQ445" s="19"/>
      <c r="BR445">
        <v>1</v>
      </c>
    </row>
    <row r="446" spans="1:70" ht="14.5" x14ac:dyDescent="0.25">
      <c r="A446" t="s">
        <v>2066</v>
      </c>
      <c r="B446" t="s">
        <v>206</v>
      </c>
      <c r="C446">
        <v>1</v>
      </c>
      <c r="D446" s="17" t="s">
        <v>2067</v>
      </c>
      <c r="E446" s="2">
        <v>1128</v>
      </c>
      <c r="F446" t="str">
        <f t="shared" si="212"/>
        <v>enemy_1128_spmage</v>
      </c>
      <c r="G446">
        <v>1</v>
      </c>
      <c r="K446">
        <v>10000</v>
      </c>
      <c r="M446">
        <v>500</v>
      </c>
      <c r="O446">
        <v>200</v>
      </c>
      <c r="Q446">
        <v>60</v>
      </c>
      <c r="Y446">
        <v>0.05</v>
      </c>
      <c r="Z446">
        <v>4</v>
      </c>
      <c r="AA446">
        <v>3</v>
      </c>
      <c r="AB446">
        <v>0.8</v>
      </c>
      <c r="AE446">
        <v>0</v>
      </c>
      <c r="AF446">
        <v>1</v>
      </c>
      <c r="AG446" t="s">
        <v>2068</v>
      </c>
      <c r="AH446" t="s">
        <v>209</v>
      </c>
      <c r="AI446" t="s">
        <v>231</v>
      </c>
      <c r="AK446">
        <v>1</v>
      </c>
      <c r="AT446">
        <v>1</v>
      </c>
      <c r="AV446">
        <v>0.25</v>
      </c>
      <c r="BC446" t="str">
        <f t="shared" si="213"/>
        <v>enemy_1128_spmage</v>
      </c>
      <c r="BI446" t="s">
        <v>2069</v>
      </c>
      <c r="BJ446" t="s">
        <v>2070</v>
      </c>
      <c r="BL446" t="s">
        <v>210</v>
      </c>
      <c r="BM446" t="s">
        <v>211</v>
      </c>
      <c r="BN446" s="19" t="s">
        <v>232</v>
      </c>
      <c r="BO446" t="s">
        <v>213</v>
      </c>
      <c r="BQ446" s="19"/>
      <c r="BR446">
        <v>1</v>
      </c>
    </row>
    <row r="447" spans="1:70" ht="14.5" x14ac:dyDescent="0.25">
      <c r="A447" t="s">
        <v>2071</v>
      </c>
      <c r="B447" t="s">
        <v>206</v>
      </c>
      <c r="C447">
        <v>1</v>
      </c>
      <c r="D447" s="17" t="s">
        <v>2072</v>
      </c>
      <c r="E447" s="2">
        <v>1128</v>
      </c>
      <c r="F447" t="str">
        <f t="shared" si="212"/>
        <v>enemy_1128_spmage_2</v>
      </c>
      <c r="G447">
        <v>1</v>
      </c>
      <c r="K447">
        <v>15000</v>
      </c>
      <c r="M447">
        <v>700</v>
      </c>
      <c r="O447">
        <v>220</v>
      </c>
      <c r="Q447">
        <v>50</v>
      </c>
      <c r="Y447">
        <v>0.05</v>
      </c>
      <c r="Z447">
        <v>4</v>
      </c>
      <c r="AA447">
        <v>3</v>
      </c>
      <c r="AB447">
        <v>0.8</v>
      </c>
      <c r="AE447">
        <v>0</v>
      </c>
      <c r="AF447">
        <v>1</v>
      </c>
      <c r="AG447" t="s">
        <v>2073</v>
      </c>
      <c r="AH447" t="s">
        <v>209</v>
      </c>
      <c r="AI447" t="s">
        <v>231</v>
      </c>
      <c r="AK447">
        <v>1</v>
      </c>
      <c r="AT447">
        <v>1</v>
      </c>
      <c r="AV447">
        <v>0.25</v>
      </c>
      <c r="BC447" t="str">
        <f t="shared" si="213"/>
        <v>enemy_1128_spmage_2</v>
      </c>
      <c r="BI447" t="s">
        <v>2069</v>
      </c>
      <c r="BJ447" t="s">
        <v>2070</v>
      </c>
      <c r="BL447" t="s">
        <v>210</v>
      </c>
      <c r="BM447" t="s">
        <v>211</v>
      </c>
      <c r="BN447" s="19" t="s">
        <v>232</v>
      </c>
      <c r="BO447" t="s">
        <v>213</v>
      </c>
      <c r="BQ447" s="19"/>
      <c r="BR447">
        <v>1</v>
      </c>
    </row>
    <row r="448" spans="1:70" ht="14.5" x14ac:dyDescent="0.25">
      <c r="A448" t="s">
        <v>2074</v>
      </c>
      <c r="B448" t="s">
        <v>206</v>
      </c>
      <c r="C448">
        <v>1</v>
      </c>
      <c r="D448" s="17" t="s">
        <v>2075</v>
      </c>
      <c r="E448" s="2">
        <v>1129</v>
      </c>
      <c r="F448" t="str">
        <f t="shared" si="212"/>
        <v>enemy_1129_spklr</v>
      </c>
      <c r="G448">
        <v>1</v>
      </c>
      <c r="K448">
        <v>16000</v>
      </c>
      <c r="M448">
        <v>1100</v>
      </c>
      <c r="O448">
        <v>750</v>
      </c>
      <c r="Q448">
        <v>25</v>
      </c>
      <c r="Y448">
        <v>0.05</v>
      </c>
      <c r="Z448">
        <v>3</v>
      </c>
      <c r="AA448">
        <v>3</v>
      </c>
      <c r="AB448">
        <v>0.7</v>
      </c>
      <c r="AE448">
        <v>0</v>
      </c>
      <c r="AF448">
        <v>1</v>
      </c>
      <c r="AG448" t="s">
        <v>2076</v>
      </c>
      <c r="AH448" t="s">
        <v>209</v>
      </c>
      <c r="AI448" t="s">
        <v>231</v>
      </c>
      <c r="AK448">
        <v>1</v>
      </c>
      <c r="AT448">
        <v>1</v>
      </c>
      <c r="AV448">
        <v>0.25</v>
      </c>
      <c r="BC448" t="str">
        <f t="shared" si="213"/>
        <v>enemy_1129_spklr</v>
      </c>
      <c r="BI448" t="s">
        <v>2046</v>
      </c>
      <c r="BJ448" t="s">
        <v>2077</v>
      </c>
      <c r="BL448" t="s">
        <v>210</v>
      </c>
      <c r="BM448" t="s">
        <v>211</v>
      </c>
      <c r="BN448" s="19" t="s">
        <v>232</v>
      </c>
      <c r="BO448" t="s">
        <v>213</v>
      </c>
      <c r="BQ448" s="19"/>
      <c r="BR448">
        <v>1</v>
      </c>
    </row>
    <row r="449" spans="1:70" ht="14.5" x14ac:dyDescent="0.25">
      <c r="A449" t="s">
        <v>2078</v>
      </c>
      <c r="B449" t="s">
        <v>206</v>
      </c>
      <c r="C449">
        <v>1</v>
      </c>
      <c r="D449" s="17" t="s">
        <v>2079</v>
      </c>
      <c r="E449" s="2">
        <v>1129</v>
      </c>
      <c r="F449" t="str">
        <f t="shared" si="212"/>
        <v>enemy_1129_spklr_2</v>
      </c>
      <c r="G449">
        <v>1</v>
      </c>
      <c r="K449">
        <v>16000</v>
      </c>
      <c r="M449">
        <v>1500</v>
      </c>
      <c r="O449">
        <v>900</v>
      </c>
      <c r="Q449">
        <v>30</v>
      </c>
      <c r="Y449">
        <v>0.05</v>
      </c>
      <c r="Z449">
        <v>3</v>
      </c>
      <c r="AA449">
        <v>3</v>
      </c>
      <c r="AB449">
        <v>0.7</v>
      </c>
      <c r="AE449">
        <v>0</v>
      </c>
      <c r="AF449">
        <v>1</v>
      </c>
      <c r="AG449" t="s">
        <v>2080</v>
      </c>
      <c r="AH449" t="s">
        <v>209</v>
      </c>
      <c r="AI449" t="s">
        <v>231</v>
      </c>
      <c r="AK449">
        <v>1</v>
      </c>
      <c r="AT449">
        <v>1</v>
      </c>
      <c r="AV449">
        <v>0.25</v>
      </c>
      <c r="BC449" t="str">
        <f t="shared" si="213"/>
        <v>enemy_1129_spklr_2</v>
      </c>
      <c r="BI449" t="s">
        <v>2046</v>
      </c>
      <c r="BJ449" t="s">
        <v>2077</v>
      </c>
      <c r="BL449" t="s">
        <v>210</v>
      </c>
      <c r="BM449" t="s">
        <v>211</v>
      </c>
      <c r="BN449" s="19" t="s">
        <v>232</v>
      </c>
      <c r="BO449" t="s">
        <v>213</v>
      </c>
      <c r="BQ449" s="19"/>
      <c r="BR449">
        <v>1</v>
      </c>
    </row>
    <row r="450" spans="1:70" ht="14.5" x14ac:dyDescent="0.25">
      <c r="A450" t="s">
        <v>2081</v>
      </c>
      <c r="B450" t="s">
        <v>206</v>
      </c>
      <c r="C450">
        <v>1</v>
      </c>
      <c r="D450" s="17" t="s">
        <v>2082</v>
      </c>
      <c r="E450" s="2">
        <v>1517</v>
      </c>
      <c r="F450" t="str">
        <f t="shared" si="212"/>
        <v>enemy_1517_xi</v>
      </c>
      <c r="G450">
        <v>1</v>
      </c>
      <c r="K450">
        <v>30000</v>
      </c>
      <c r="M450">
        <v>500</v>
      </c>
      <c r="O450">
        <v>750</v>
      </c>
      <c r="Q450">
        <v>50</v>
      </c>
      <c r="Y450">
        <v>0.05</v>
      </c>
      <c r="Z450">
        <v>4</v>
      </c>
      <c r="AA450">
        <v>10</v>
      </c>
      <c r="AB450">
        <v>0.5</v>
      </c>
      <c r="AE450">
        <v>0</v>
      </c>
      <c r="AF450">
        <v>1</v>
      </c>
      <c r="AG450" t="s">
        <v>2083</v>
      </c>
      <c r="AH450" t="s">
        <v>209</v>
      </c>
      <c r="AI450" t="s">
        <v>231</v>
      </c>
      <c r="AK450">
        <v>1</v>
      </c>
      <c r="AT450">
        <v>1</v>
      </c>
      <c r="AV450">
        <v>0.25</v>
      </c>
      <c r="BC450" t="str">
        <f t="shared" si="213"/>
        <v>enemy_1517_xi</v>
      </c>
      <c r="BI450" t="s">
        <v>2084</v>
      </c>
      <c r="BJ450" t="s">
        <v>2085</v>
      </c>
      <c r="BL450" t="s">
        <v>210</v>
      </c>
      <c r="BM450" t="s">
        <v>211</v>
      </c>
      <c r="BN450" s="19" t="s">
        <v>232</v>
      </c>
      <c r="BO450" t="s">
        <v>213</v>
      </c>
      <c r="BQ450" s="19"/>
      <c r="BR450">
        <v>1</v>
      </c>
    </row>
    <row r="451" spans="1:70" ht="14.5" x14ac:dyDescent="0.25">
      <c r="A451" t="s">
        <v>2086</v>
      </c>
      <c r="B451" t="s">
        <v>206</v>
      </c>
      <c r="C451">
        <v>1</v>
      </c>
      <c r="D451" s="17" t="s">
        <v>2087</v>
      </c>
      <c r="E451" s="2">
        <v>1518</v>
      </c>
      <c r="F451" t="str">
        <f t="shared" si="212"/>
        <v>enemy_1518_dusk</v>
      </c>
      <c r="G451">
        <v>1</v>
      </c>
      <c r="K451">
        <v>30000</v>
      </c>
      <c r="M451">
        <v>500</v>
      </c>
      <c r="O451">
        <v>750</v>
      </c>
      <c r="Q451">
        <v>50</v>
      </c>
      <c r="Y451">
        <v>0.05</v>
      </c>
      <c r="Z451">
        <v>4</v>
      </c>
      <c r="AA451">
        <v>7</v>
      </c>
      <c r="AB451">
        <v>0.5</v>
      </c>
      <c r="AE451">
        <v>0</v>
      </c>
      <c r="AF451">
        <v>1</v>
      </c>
      <c r="AG451" t="s">
        <v>2088</v>
      </c>
      <c r="AH451" t="s">
        <v>209</v>
      </c>
      <c r="AI451" t="s">
        <v>231</v>
      </c>
      <c r="AK451">
        <v>1</v>
      </c>
      <c r="AT451">
        <v>1</v>
      </c>
      <c r="AV451">
        <v>0.25</v>
      </c>
      <c r="BC451" t="str">
        <f t="shared" si="213"/>
        <v>enemy_1518_dusk</v>
      </c>
      <c r="BI451" t="s">
        <v>941</v>
      </c>
      <c r="BL451" t="s">
        <v>210</v>
      </c>
      <c r="BM451" t="s">
        <v>211</v>
      </c>
      <c r="BN451" s="19"/>
      <c r="BO451" t="s">
        <v>213</v>
      </c>
      <c r="BQ451" s="19"/>
      <c r="BR451">
        <v>1</v>
      </c>
    </row>
    <row r="452" spans="1:70" ht="14.5" x14ac:dyDescent="0.25">
      <c r="A452" t="s">
        <v>2089</v>
      </c>
      <c r="B452" t="s">
        <v>206</v>
      </c>
      <c r="C452">
        <v>1</v>
      </c>
      <c r="D452" s="17" t="s">
        <v>2090</v>
      </c>
      <c r="E452" s="2">
        <v>4001</v>
      </c>
      <c r="F452" t="str">
        <f t="shared" si="212"/>
        <v>enemy_4001_toxcar</v>
      </c>
      <c r="G452">
        <v>1</v>
      </c>
      <c r="K452">
        <v>12000</v>
      </c>
      <c r="M452">
        <v>500</v>
      </c>
      <c r="O452">
        <v>400</v>
      </c>
      <c r="Q452">
        <v>30</v>
      </c>
      <c r="Y452">
        <v>0.05</v>
      </c>
      <c r="Z452">
        <v>3.5</v>
      </c>
      <c r="AA452">
        <v>5</v>
      </c>
      <c r="AB452">
        <v>0.7</v>
      </c>
      <c r="AE452">
        <v>0</v>
      </c>
      <c r="AF452">
        <v>1</v>
      </c>
      <c r="AG452" t="s">
        <v>2091</v>
      </c>
      <c r="AH452" t="s">
        <v>209</v>
      </c>
      <c r="AI452" t="s">
        <v>231</v>
      </c>
      <c r="AK452">
        <v>1</v>
      </c>
      <c r="AT452">
        <v>1</v>
      </c>
      <c r="AV452">
        <v>0.25</v>
      </c>
      <c r="BC452" t="str">
        <f t="shared" si="213"/>
        <v>enemy_4001_toxcar</v>
      </c>
      <c r="BI452" t="s">
        <v>2092</v>
      </c>
      <c r="BJ452" t="s">
        <v>2093</v>
      </c>
      <c r="BL452" t="s">
        <v>210</v>
      </c>
      <c r="BM452" t="s">
        <v>211</v>
      </c>
      <c r="BN452" s="19" t="s">
        <v>232</v>
      </c>
      <c r="BO452" t="s">
        <v>213</v>
      </c>
      <c r="BQ452" s="19"/>
      <c r="BR452">
        <v>1</v>
      </c>
    </row>
    <row r="453" spans="1:70" ht="14.5" x14ac:dyDescent="0.25">
      <c r="A453" t="s">
        <v>2094</v>
      </c>
      <c r="B453" t="s">
        <v>206</v>
      </c>
      <c r="C453">
        <v>1</v>
      </c>
      <c r="D453" s="17" t="s">
        <v>2095</v>
      </c>
      <c r="E453" s="2">
        <v>4001</v>
      </c>
      <c r="F453" t="str">
        <f t="shared" si="212"/>
        <v>enemy_4001_toxcar_2</v>
      </c>
      <c r="G453">
        <v>1</v>
      </c>
      <c r="K453">
        <v>15000</v>
      </c>
      <c r="M453">
        <v>550</v>
      </c>
      <c r="O453">
        <v>500</v>
      </c>
      <c r="Q453">
        <v>30</v>
      </c>
      <c r="Y453">
        <v>0.05</v>
      </c>
      <c r="Z453">
        <v>3.5</v>
      </c>
      <c r="AA453">
        <v>5</v>
      </c>
      <c r="AB453">
        <v>0.7</v>
      </c>
      <c r="AE453">
        <v>0</v>
      </c>
      <c r="AF453">
        <v>1</v>
      </c>
      <c r="AG453" t="s">
        <v>2096</v>
      </c>
      <c r="AH453" t="s">
        <v>209</v>
      </c>
      <c r="AI453" t="s">
        <v>231</v>
      </c>
      <c r="AK453">
        <v>1</v>
      </c>
      <c r="AT453">
        <v>1</v>
      </c>
      <c r="AV453">
        <v>0.25</v>
      </c>
      <c r="BC453" t="str">
        <f t="shared" si="213"/>
        <v>enemy_4001_toxcar_2</v>
      </c>
      <c r="BI453" t="s">
        <v>2092</v>
      </c>
      <c r="BJ453" t="s">
        <v>2093</v>
      </c>
      <c r="BL453" t="s">
        <v>210</v>
      </c>
      <c r="BM453" t="s">
        <v>211</v>
      </c>
      <c r="BN453" s="19" t="s">
        <v>232</v>
      </c>
      <c r="BO453" t="s">
        <v>213</v>
      </c>
      <c r="BQ453" s="19"/>
      <c r="BR453">
        <v>1</v>
      </c>
    </row>
    <row r="454" spans="1:70" ht="14.5" x14ac:dyDescent="0.25">
      <c r="A454" t="s">
        <v>2097</v>
      </c>
      <c r="B454" t="s">
        <v>206</v>
      </c>
      <c r="C454">
        <v>1</v>
      </c>
      <c r="D454" s="17" t="s">
        <v>2098</v>
      </c>
      <c r="E454" s="2">
        <v>4002</v>
      </c>
      <c r="F454" t="str">
        <f t="shared" si="212"/>
        <v>enemy_4002_syokai</v>
      </c>
      <c r="G454">
        <v>1</v>
      </c>
      <c r="K454">
        <v>5000</v>
      </c>
      <c r="M454">
        <v>0</v>
      </c>
      <c r="O454">
        <v>100</v>
      </c>
      <c r="Q454">
        <v>20</v>
      </c>
      <c r="Y454">
        <v>0.05</v>
      </c>
      <c r="Z454">
        <v>1</v>
      </c>
      <c r="AA454">
        <v>0</v>
      </c>
      <c r="AB454">
        <v>0.7</v>
      </c>
      <c r="AE454">
        <v>0</v>
      </c>
      <c r="AF454">
        <v>1</v>
      </c>
      <c r="AG454" t="s">
        <v>2099</v>
      </c>
      <c r="AH454" t="s">
        <v>209</v>
      </c>
      <c r="AI454" t="s">
        <v>231</v>
      </c>
      <c r="AK454">
        <v>1</v>
      </c>
      <c r="AT454">
        <v>1</v>
      </c>
      <c r="AV454">
        <v>0.25</v>
      </c>
      <c r="BC454" t="str">
        <f t="shared" si="213"/>
        <v>enemy_4002_syokai</v>
      </c>
      <c r="BI454" t="s">
        <v>1027</v>
      </c>
      <c r="BJ454" t="s">
        <v>2100</v>
      </c>
      <c r="BL454" t="s">
        <v>210</v>
      </c>
      <c r="BM454" t="s">
        <v>211</v>
      </c>
      <c r="BN454" s="19" t="s">
        <v>232</v>
      </c>
      <c r="BO454" t="s">
        <v>213</v>
      </c>
      <c r="BQ454" s="19"/>
      <c r="BR454">
        <v>1</v>
      </c>
    </row>
    <row r="455" spans="1:70" ht="14.5" x14ac:dyDescent="0.25">
      <c r="A455" t="s">
        <v>2101</v>
      </c>
      <c r="B455" t="s">
        <v>206</v>
      </c>
      <c r="C455">
        <v>1</v>
      </c>
      <c r="D455" s="17" t="s">
        <v>2102</v>
      </c>
      <c r="E455" s="2">
        <v>4002</v>
      </c>
      <c r="F455" t="str">
        <f t="shared" si="212"/>
        <v>enemy_4002_syokai_2</v>
      </c>
      <c r="G455">
        <v>1</v>
      </c>
      <c r="K455">
        <v>10000</v>
      </c>
      <c r="M455">
        <v>0</v>
      </c>
      <c r="O455">
        <v>200</v>
      </c>
      <c r="Q455">
        <v>30</v>
      </c>
      <c r="Y455">
        <v>0.05</v>
      </c>
      <c r="Z455">
        <v>1</v>
      </c>
      <c r="AA455">
        <v>0</v>
      </c>
      <c r="AB455">
        <v>0.7</v>
      </c>
      <c r="AE455">
        <v>0</v>
      </c>
      <c r="AF455">
        <v>1</v>
      </c>
      <c r="AG455" t="s">
        <v>2103</v>
      </c>
      <c r="AH455" t="s">
        <v>209</v>
      </c>
      <c r="AI455" t="s">
        <v>231</v>
      </c>
      <c r="AK455">
        <v>1</v>
      </c>
      <c r="AT455">
        <v>1</v>
      </c>
      <c r="AV455">
        <v>0.25</v>
      </c>
      <c r="BC455" t="str">
        <f t="shared" si="213"/>
        <v>enemy_4002_syokai_2</v>
      </c>
      <c r="BI455" t="s">
        <v>1027</v>
      </c>
      <c r="BJ455" t="s">
        <v>2100</v>
      </c>
      <c r="BL455" t="s">
        <v>210</v>
      </c>
      <c r="BM455" t="s">
        <v>211</v>
      </c>
      <c r="BN455" s="19" t="s">
        <v>232</v>
      </c>
      <c r="BO455" t="s">
        <v>213</v>
      </c>
      <c r="BQ455" s="19"/>
      <c r="BR455">
        <v>1</v>
      </c>
    </row>
    <row r="456" spans="1:70" ht="14.5" x14ac:dyDescent="0.25">
      <c r="A456" t="s">
        <v>2104</v>
      </c>
      <c r="B456" t="s">
        <v>206</v>
      </c>
      <c r="C456">
        <v>1</v>
      </c>
      <c r="D456" s="17" t="s">
        <v>2105</v>
      </c>
      <c r="E456" s="2">
        <v>4003</v>
      </c>
      <c r="F456" t="str">
        <f t="shared" si="212"/>
        <v>enemy_4003_pbank</v>
      </c>
      <c r="G456">
        <v>1</v>
      </c>
      <c r="K456">
        <v>7500</v>
      </c>
      <c r="M456">
        <v>0</v>
      </c>
      <c r="O456">
        <v>250</v>
      </c>
      <c r="Q456">
        <v>30</v>
      </c>
      <c r="Y456">
        <v>0.05</v>
      </c>
      <c r="Z456">
        <v>3</v>
      </c>
      <c r="AA456">
        <v>0</v>
      </c>
      <c r="AB456">
        <v>1.9</v>
      </c>
      <c r="AE456">
        <v>0</v>
      </c>
      <c r="AF456">
        <v>1</v>
      </c>
      <c r="AG456" t="s">
        <v>2106</v>
      </c>
      <c r="AH456" t="s">
        <v>209</v>
      </c>
      <c r="AI456" t="s">
        <v>231</v>
      </c>
      <c r="AK456">
        <v>1</v>
      </c>
      <c r="AT456">
        <v>1</v>
      </c>
      <c r="AV456">
        <v>0.25</v>
      </c>
      <c r="BC456" t="str">
        <f t="shared" si="213"/>
        <v>enemy_4003_pbank</v>
      </c>
      <c r="BI456" t="s">
        <v>2107</v>
      </c>
      <c r="BJ456" t="s">
        <v>2108</v>
      </c>
      <c r="BL456" t="s">
        <v>210</v>
      </c>
      <c r="BM456" t="s">
        <v>211</v>
      </c>
      <c r="BN456" s="19" t="s">
        <v>232</v>
      </c>
      <c r="BO456" t="s">
        <v>213</v>
      </c>
      <c r="BQ456" s="19"/>
      <c r="BR456">
        <v>1</v>
      </c>
    </row>
    <row r="457" spans="1:70" ht="14.5" x14ac:dyDescent="0.25">
      <c r="A457" t="s">
        <v>2109</v>
      </c>
      <c r="B457" t="s">
        <v>206</v>
      </c>
      <c r="D457" s="17" t="s">
        <v>2110</v>
      </c>
      <c r="E457" s="2">
        <v>1130</v>
      </c>
      <c r="F457" t="str">
        <f t="shared" si="212"/>
        <v>enemy_1130_infstr</v>
      </c>
      <c r="G457">
        <v>1</v>
      </c>
      <c r="K457">
        <v>1900</v>
      </c>
      <c r="M457">
        <v>210</v>
      </c>
      <c r="O457">
        <v>100</v>
      </c>
      <c r="Q457">
        <v>0</v>
      </c>
      <c r="Y457">
        <v>0.05</v>
      </c>
      <c r="Z457">
        <v>2</v>
      </c>
      <c r="AA457">
        <v>1</v>
      </c>
      <c r="AB457">
        <v>0.9</v>
      </c>
      <c r="AE457">
        <v>0</v>
      </c>
      <c r="AF457">
        <v>1</v>
      </c>
      <c r="AG457" t="s">
        <v>2111</v>
      </c>
      <c r="AH457" t="s">
        <v>209</v>
      </c>
      <c r="AI457" t="s">
        <v>2112</v>
      </c>
      <c r="AK457">
        <v>1</v>
      </c>
      <c r="AT457">
        <v>1</v>
      </c>
      <c r="AV457">
        <v>0.25</v>
      </c>
      <c r="BC457" t="str">
        <f t="shared" si="213"/>
        <v>enemy_1130_infstr</v>
      </c>
      <c r="BI457" t="s">
        <v>893</v>
      </c>
      <c r="BJ457" t="s">
        <v>2113</v>
      </c>
      <c r="BL457" t="s">
        <v>210</v>
      </c>
      <c r="BM457" t="s">
        <v>211</v>
      </c>
      <c r="BN457" s="19" t="s">
        <v>232</v>
      </c>
      <c r="BO457" t="s">
        <v>213</v>
      </c>
      <c r="BQ457" s="19"/>
      <c r="BR457">
        <v>1</v>
      </c>
    </row>
    <row r="458" spans="1:70" ht="14.5" x14ac:dyDescent="0.25">
      <c r="A458" t="s">
        <v>2114</v>
      </c>
      <c r="B458" t="s">
        <v>206</v>
      </c>
      <c r="D458" s="17" t="s">
        <v>2115</v>
      </c>
      <c r="E458" s="2">
        <v>1131</v>
      </c>
      <c r="F458" t="str">
        <f t="shared" si="212"/>
        <v>enemy_1131_sbeast</v>
      </c>
      <c r="G458">
        <v>1</v>
      </c>
      <c r="K458">
        <v>2700</v>
      </c>
      <c r="M458">
        <v>320</v>
      </c>
      <c r="O458">
        <v>100</v>
      </c>
      <c r="Q458">
        <v>0</v>
      </c>
      <c r="Y458">
        <v>0.05</v>
      </c>
      <c r="Z458">
        <v>2.5</v>
      </c>
      <c r="AA458">
        <v>2</v>
      </c>
      <c r="AB458">
        <v>1.7</v>
      </c>
      <c r="AE458">
        <v>0</v>
      </c>
      <c r="AF458">
        <v>1</v>
      </c>
      <c r="AG458" t="s">
        <v>2116</v>
      </c>
      <c r="AH458" t="s">
        <v>209</v>
      </c>
      <c r="AI458" t="s">
        <v>2112</v>
      </c>
      <c r="AK458">
        <v>1</v>
      </c>
      <c r="AT458">
        <v>1</v>
      </c>
      <c r="AV458">
        <v>0.25</v>
      </c>
      <c r="BC458" t="str">
        <f t="shared" si="213"/>
        <v>enemy_1131_sbeast</v>
      </c>
      <c r="BI458" t="s">
        <v>893</v>
      </c>
      <c r="BJ458" t="s">
        <v>2113</v>
      </c>
      <c r="BL458" t="s">
        <v>210</v>
      </c>
      <c r="BM458" t="s">
        <v>211</v>
      </c>
      <c r="BN458" s="19" t="s">
        <v>232</v>
      </c>
      <c r="BO458" t="s">
        <v>213</v>
      </c>
      <c r="BQ458" s="19"/>
      <c r="BR458">
        <v>1</v>
      </c>
    </row>
    <row r="459" spans="1:70" ht="14.5" x14ac:dyDescent="0.25">
      <c r="A459" t="s">
        <v>2117</v>
      </c>
      <c r="B459" t="s">
        <v>206</v>
      </c>
      <c r="D459" s="17" t="s">
        <v>2118</v>
      </c>
      <c r="E459" s="2">
        <v>1131</v>
      </c>
      <c r="F459" t="str">
        <f t="shared" si="212"/>
        <v>enemy_1131_sbeast_2</v>
      </c>
      <c r="G459">
        <v>1</v>
      </c>
      <c r="K459">
        <v>3300</v>
      </c>
      <c r="M459">
        <v>380</v>
      </c>
      <c r="O459">
        <v>100</v>
      </c>
      <c r="Q459">
        <v>0</v>
      </c>
      <c r="Y459">
        <v>0.05</v>
      </c>
      <c r="Z459">
        <v>2.5</v>
      </c>
      <c r="AA459">
        <v>2</v>
      </c>
      <c r="AB459">
        <v>1.7</v>
      </c>
      <c r="AE459">
        <v>0</v>
      </c>
      <c r="AF459">
        <v>1</v>
      </c>
      <c r="AG459" t="s">
        <v>2119</v>
      </c>
      <c r="AH459" t="s">
        <v>209</v>
      </c>
      <c r="AI459" t="s">
        <v>2120</v>
      </c>
      <c r="AK459">
        <v>1</v>
      </c>
      <c r="AT459">
        <v>1</v>
      </c>
      <c r="AV459">
        <v>0.25</v>
      </c>
      <c r="BC459" t="str">
        <f t="shared" si="213"/>
        <v>enemy_1131_sbeast_2</v>
      </c>
      <c r="BI459" t="s">
        <v>893</v>
      </c>
      <c r="BJ459" t="s">
        <v>2121</v>
      </c>
      <c r="BL459" t="s">
        <v>210</v>
      </c>
      <c r="BM459" t="s">
        <v>211</v>
      </c>
      <c r="BN459" s="19" t="s">
        <v>232</v>
      </c>
      <c r="BO459" t="s">
        <v>213</v>
      </c>
      <c r="BQ459" s="19"/>
      <c r="BR459">
        <v>1</v>
      </c>
    </row>
    <row r="460" spans="1:70" ht="14.5" x14ac:dyDescent="0.25">
      <c r="A460" t="s">
        <v>2122</v>
      </c>
      <c r="B460" t="s">
        <v>206</v>
      </c>
      <c r="D460" s="17" t="s">
        <v>2123</v>
      </c>
      <c r="E460" s="2">
        <v>1132</v>
      </c>
      <c r="F460" t="str">
        <f t="shared" si="212"/>
        <v>enemy_1132_sarchn</v>
      </c>
      <c r="G460">
        <v>1</v>
      </c>
      <c r="K460">
        <v>2500</v>
      </c>
      <c r="M460">
        <v>360</v>
      </c>
      <c r="O460">
        <v>200</v>
      </c>
      <c r="Q460">
        <v>0</v>
      </c>
      <c r="Y460">
        <v>0.05</v>
      </c>
      <c r="Z460">
        <v>1.5</v>
      </c>
      <c r="AA460">
        <v>1</v>
      </c>
      <c r="AB460">
        <v>1.1000000000000001</v>
      </c>
      <c r="AE460">
        <v>0</v>
      </c>
      <c r="AF460">
        <v>1</v>
      </c>
      <c r="AG460" t="s">
        <v>2124</v>
      </c>
      <c r="AH460" t="s">
        <v>209</v>
      </c>
      <c r="AI460" t="s">
        <v>2125</v>
      </c>
      <c r="AK460">
        <v>1</v>
      </c>
      <c r="AT460">
        <v>1</v>
      </c>
      <c r="AV460">
        <v>0.25</v>
      </c>
      <c r="BC460" t="str">
        <f t="shared" si="213"/>
        <v>enemy_1132_sarchn</v>
      </c>
      <c r="BI460" t="s">
        <v>893</v>
      </c>
      <c r="BJ460" t="s">
        <v>2126</v>
      </c>
      <c r="BL460" t="s">
        <v>210</v>
      </c>
      <c r="BM460" t="s">
        <v>211</v>
      </c>
      <c r="BN460" s="19" t="s">
        <v>232</v>
      </c>
      <c r="BO460" t="s">
        <v>213</v>
      </c>
      <c r="BQ460" s="19"/>
      <c r="BR460">
        <v>1</v>
      </c>
    </row>
    <row r="461" spans="1:70" ht="14.5" x14ac:dyDescent="0.25">
      <c r="A461" t="s">
        <v>2127</v>
      </c>
      <c r="B461" t="s">
        <v>206</v>
      </c>
      <c r="D461" s="17" t="s">
        <v>2128</v>
      </c>
      <c r="E461" s="2">
        <v>1132</v>
      </c>
      <c r="F461" t="str">
        <f t="shared" si="212"/>
        <v>enemy_1132_sarchn_2</v>
      </c>
      <c r="G461">
        <v>1</v>
      </c>
      <c r="K461">
        <v>3500</v>
      </c>
      <c r="M461">
        <v>410</v>
      </c>
      <c r="O461">
        <v>200</v>
      </c>
      <c r="Q461">
        <v>0</v>
      </c>
      <c r="Y461">
        <v>0.05</v>
      </c>
      <c r="Z461">
        <v>1.5</v>
      </c>
      <c r="AA461">
        <v>1</v>
      </c>
      <c r="AB461">
        <v>1.1000000000000001</v>
      </c>
      <c r="AE461">
        <v>0</v>
      </c>
      <c r="AF461">
        <v>1</v>
      </c>
      <c r="AG461" t="s">
        <v>2129</v>
      </c>
      <c r="AH461" t="s">
        <v>209</v>
      </c>
      <c r="AI461" t="s">
        <v>2130</v>
      </c>
      <c r="AK461">
        <v>1</v>
      </c>
      <c r="AT461">
        <v>1</v>
      </c>
      <c r="AV461">
        <v>0.25</v>
      </c>
      <c r="BC461" t="str">
        <f t="shared" si="213"/>
        <v>enemy_1132_sarchn_2</v>
      </c>
      <c r="BI461" t="s">
        <v>893</v>
      </c>
      <c r="BJ461" t="s">
        <v>2131</v>
      </c>
      <c r="BL461" t="s">
        <v>210</v>
      </c>
      <c r="BM461" t="s">
        <v>211</v>
      </c>
      <c r="BN461" s="19" t="s">
        <v>232</v>
      </c>
      <c r="BO461" t="s">
        <v>213</v>
      </c>
      <c r="BQ461" s="19"/>
      <c r="BR461">
        <v>1</v>
      </c>
    </row>
    <row r="462" spans="1:70" ht="14.5" x14ac:dyDescent="0.25">
      <c r="A462" t="s">
        <v>2132</v>
      </c>
      <c r="B462" t="s">
        <v>206</v>
      </c>
      <c r="D462" s="17" t="s">
        <v>2133</v>
      </c>
      <c r="E462" s="2">
        <v>1133</v>
      </c>
      <c r="F462" t="str">
        <f t="shared" si="212"/>
        <v>enemy_1133_harchn</v>
      </c>
      <c r="G462">
        <v>1</v>
      </c>
      <c r="K462">
        <v>15000</v>
      </c>
      <c r="M462">
        <v>600</v>
      </c>
      <c r="O462">
        <v>300</v>
      </c>
      <c r="Q462">
        <v>0</v>
      </c>
      <c r="Y462">
        <v>0.05</v>
      </c>
      <c r="Z462">
        <v>3</v>
      </c>
      <c r="AA462">
        <v>4</v>
      </c>
      <c r="AB462">
        <v>0.8</v>
      </c>
      <c r="AE462">
        <v>0</v>
      </c>
      <c r="AF462">
        <v>1</v>
      </c>
      <c r="AG462" t="s">
        <v>2134</v>
      </c>
      <c r="AH462" t="s">
        <v>209</v>
      </c>
      <c r="AI462" t="s">
        <v>2135</v>
      </c>
      <c r="AK462">
        <v>1</v>
      </c>
      <c r="AT462">
        <v>1</v>
      </c>
      <c r="AV462">
        <v>0.25</v>
      </c>
      <c r="BC462" t="str">
        <f t="shared" si="213"/>
        <v>enemy_1133_harchn</v>
      </c>
      <c r="BI462" t="s">
        <v>2136</v>
      </c>
      <c r="BJ462" t="s">
        <v>2137</v>
      </c>
      <c r="BL462" t="s">
        <v>210</v>
      </c>
      <c r="BM462" t="s">
        <v>211</v>
      </c>
      <c r="BN462" s="19" t="s">
        <v>232</v>
      </c>
      <c r="BO462" t="s">
        <v>213</v>
      </c>
      <c r="BQ462" s="19"/>
      <c r="BR462">
        <v>1</v>
      </c>
    </row>
    <row r="463" spans="1:70" ht="14.5" x14ac:dyDescent="0.25">
      <c r="A463" t="s">
        <v>2138</v>
      </c>
      <c r="B463" t="s">
        <v>206</v>
      </c>
      <c r="D463" s="17" t="s">
        <v>2139</v>
      </c>
      <c r="E463" s="2">
        <v>1133</v>
      </c>
      <c r="F463" t="str">
        <f t="shared" si="212"/>
        <v>enemy_1133_harchn_2</v>
      </c>
      <c r="G463">
        <v>1</v>
      </c>
      <c r="K463">
        <v>20000</v>
      </c>
      <c r="M463">
        <v>800</v>
      </c>
      <c r="O463">
        <v>300</v>
      </c>
      <c r="Q463">
        <v>0</v>
      </c>
      <c r="Y463">
        <v>0.05</v>
      </c>
      <c r="Z463">
        <v>3</v>
      </c>
      <c r="AA463">
        <v>4</v>
      </c>
      <c r="AB463">
        <v>0.8</v>
      </c>
      <c r="AE463">
        <v>0</v>
      </c>
      <c r="AF463">
        <v>1</v>
      </c>
      <c r="AG463" t="s">
        <v>2140</v>
      </c>
      <c r="AH463" t="s">
        <v>209</v>
      </c>
      <c r="AI463" t="s">
        <v>2141</v>
      </c>
      <c r="AK463">
        <v>1</v>
      </c>
      <c r="AT463">
        <v>1</v>
      </c>
      <c r="AV463">
        <v>0.25</v>
      </c>
      <c r="BC463" t="str">
        <f t="shared" si="213"/>
        <v>enemy_1133_harchn_2</v>
      </c>
      <c r="BI463" t="s">
        <v>2136</v>
      </c>
      <c r="BJ463" t="s">
        <v>2142</v>
      </c>
      <c r="BL463" t="s">
        <v>210</v>
      </c>
      <c r="BM463" t="s">
        <v>211</v>
      </c>
      <c r="BN463" s="19" t="s">
        <v>232</v>
      </c>
      <c r="BO463" t="s">
        <v>213</v>
      </c>
      <c r="BQ463" s="19"/>
      <c r="BR463">
        <v>1</v>
      </c>
    </row>
    <row r="464" spans="1:70" ht="14.5" x14ac:dyDescent="0.25">
      <c r="A464" t="s">
        <v>2143</v>
      </c>
      <c r="B464" t="s">
        <v>206</v>
      </c>
      <c r="D464" s="17" t="s">
        <v>2144</v>
      </c>
      <c r="E464" s="2">
        <v>1134</v>
      </c>
      <c r="F464" t="str">
        <f t="shared" si="212"/>
        <v>enemy_1134_diamd</v>
      </c>
      <c r="G464">
        <v>1</v>
      </c>
      <c r="K464">
        <v>4000</v>
      </c>
      <c r="M464">
        <v>1000</v>
      </c>
      <c r="O464">
        <v>2000</v>
      </c>
      <c r="Q464">
        <v>80</v>
      </c>
      <c r="Y464">
        <v>0.05</v>
      </c>
      <c r="Z464">
        <v>4</v>
      </c>
      <c r="AA464">
        <v>4</v>
      </c>
      <c r="AB464">
        <v>0.7</v>
      </c>
      <c r="AE464">
        <v>0</v>
      </c>
      <c r="AF464">
        <v>1</v>
      </c>
      <c r="AG464" t="s">
        <v>2145</v>
      </c>
      <c r="AH464" t="s">
        <v>209</v>
      </c>
      <c r="AI464" t="s">
        <v>1137</v>
      </c>
      <c r="AK464">
        <v>1</v>
      </c>
      <c r="AT464">
        <v>1</v>
      </c>
      <c r="AV464">
        <v>0.25</v>
      </c>
      <c r="BC464" t="str">
        <f t="shared" si="213"/>
        <v>enemy_1134_diamd</v>
      </c>
      <c r="BI464" t="s">
        <v>2146</v>
      </c>
      <c r="BJ464" t="s">
        <v>2147</v>
      </c>
      <c r="BL464" t="s">
        <v>210</v>
      </c>
      <c r="BM464" t="s">
        <v>211</v>
      </c>
      <c r="BN464" s="19" t="s">
        <v>232</v>
      </c>
      <c r="BO464" t="s">
        <v>213</v>
      </c>
      <c r="BQ464" s="19"/>
      <c r="BR464">
        <v>1</v>
      </c>
    </row>
    <row r="465" spans="1:70" ht="14.5" x14ac:dyDescent="0.25">
      <c r="A465" t="s">
        <v>2148</v>
      </c>
      <c r="B465" t="s">
        <v>206</v>
      </c>
      <c r="D465" s="17" t="s">
        <v>2149</v>
      </c>
      <c r="E465" s="2">
        <v>1134</v>
      </c>
      <c r="F465" t="str">
        <f t="shared" si="212"/>
        <v>enemy_1134_diamd_2</v>
      </c>
      <c r="G465">
        <v>1</v>
      </c>
      <c r="K465">
        <v>7000</v>
      </c>
      <c r="M465">
        <v>1500</v>
      </c>
      <c r="O465">
        <v>2000</v>
      </c>
      <c r="Q465">
        <v>80</v>
      </c>
      <c r="Y465">
        <v>0.05</v>
      </c>
      <c r="Z465">
        <v>4</v>
      </c>
      <c r="AA465">
        <v>4</v>
      </c>
      <c r="AB465">
        <v>0.7</v>
      </c>
      <c r="AE465">
        <v>0</v>
      </c>
      <c r="AF465">
        <v>1</v>
      </c>
      <c r="AG465" t="s">
        <v>2150</v>
      </c>
      <c r="AH465" t="s">
        <v>209</v>
      </c>
      <c r="AI465" t="s">
        <v>1137</v>
      </c>
      <c r="AK465">
        <v>1</v>
      </c>
      <c r="AT465">
        <v>1</v>
      </c>
      <c r="AV465">
        <v>0.25</v>
      </c>
      <c r="BC465" t="str">
        <f t="shared" si="213"/>
        <v>enemy_1134_diamd_2</v>
      </c>
      <c r="BI465" t="s">
        <v>2146</v>
      </c>
      <c r="BJ465" t="s">
        <v>2151</v>
      </c>
      <c r="BL465" t="s">
        <v>210</v>
      </c>
      <c r="BM465" t="s">
        <v>211</v>
      </c>
      <c r="BN465" s="19" t="s">
        <v>232</v>
      </c>
      <c r="BO465" t="s">
        <v>213</v>
      </c>
      <c r="BQ465" s="19"/>
      <c r="BR465">
        <v>1</v>
      </c>
    </row>
    <row r="466" spans="1:70" ht="14.5" x14ac:dyDescent="0.25">
      <c r="A466" t="s">
        <v>2152</v>
      </c>
      <c r="B466" t="s">
        <v>206</v>
      </c>
      <c r="C466">
        <v>1</v>
      </c>
      <c r="D466" s="17" t="s">
        <v>2153</v>
      </c>
      <c r="E466" s="2">
        <v>1135</v>
      </c>
      <c r="F466" t="str">
        <f t="shared" si="212"/>
        <v>enemy_1135_redman</v>
      </c>
      <c r="G466">
        <v>1</v>
      </c>
      <c r="K466">
        <v>5000</v>
      </c>
      <c r="M466">
        <v>1500</v>
      </c>
      <c r="O466">
        <v>300</v>
      </c>
      <c r="Q466">
        <v>30</v>
      </c>
      <c r="Y466">
        <v>0.05</v>
      </c>
      <c r="Z466">
        <v>5</v>
      </c>
      <c r="AA466">
        <v>1</v>
      </c>
      <c r="AB466">
        <v>0.9</v>
      </c>
      <c r="AE466">
        <v>0</v>
      </c>
      <c r="AF466">
        <v>1</v>
      </c>
      <c r="AG466" t="s">
        <v>2154</v>
      </c>
      <c r="AH466" t="s">
        <v>209</v>
      </c>
      <c r="AI466" t="s">
        <v>231</v>
      </c>
      <c r="AK466">
        <v>1</v>
      </c>
      <c r="AT466">
        <v>1</v>
      </c>
      <c r="AV466">
        <v>0.25</v>
      </c>
      <c r="BC466" t="str">
        <f t="shared" si="213"/>
        <v>enemy_1135_redman</v>
      </c>
      <c r="BI466" t="s">
        <v>962</v>
      </c>
      <c r="BJ466" t="s">
        <v>2155</v>
      </c>
      <c r="BL466" t="s">
        <v>210</v>
      </c>
      <c r="BM466" t="s">
        <v>2156</v>
      </c>
      <c r="BN466" s="19" t="s">
        <v>2157</v>
      </c>
      <c r="BO466" t="s">
        <v>2158</v>
      </c>
      <c r="BQ466" s="19"/>
      <c r="BR466">
        <v>1</v>
      </c>
    </row>
    <row r="467" spans="1:70" ht="14.5" x14ac:dyDescent="0.25">
      <c r="A467" t="s">
        <v>2159</v>
      </c>
      <c r="B467" t="s">
        <v>206</v>
      </c>
      <c r="C467">
        <v>1</v>
      </c>
      <c r="D467" s="17" t="s">
        <v>2160</v>
      </c>
      <c r="E467" s="2">
        <v>1135</v>
      </c>
      <c r="F467" t="str">
        <f t="shared" si="212"/>
        <v>enemy_1135_redman_2</v>
      </c>
      <c r="G467">
        <v>1</v>
      </c>
      <c r="K467">
        <v>7000</v>
      </c>
      <c r="M467">
        <v>2000</v>
      </c>
      <c r="O467">
        <v>300</v>
      </c>
      <c r="Q467">
        <v>30</v>
      </c>
      <c r="Y467">
        <v>0.05</v>
      </c>
      <c r="Z467">
        <v>5</v>
      </c>
      <c r="AA467">
        <v>1</v>
      </c>
      <c r="AB467">
        <v>0.9</v>
      </c>
      <c r="AE467">
        <v>0</v>
      </c>
      <c r="AF467">
        <v>1</v>
      </c>
      <c r="AG467" t="s">
        <v>2161</v>
      </c>
      <c r="AH467" t="s">
        <v>209</v>
      </c>
      <c r="AI467" t="s">
        <v>231</v>
      </c>
      <c r="AK467">
        <v>1</v>
      </c>
      <c r="AT467">
        <v>1</v>
      </c>
      <c r="AV467">
        <v>0.25</v>
      </c>
      <c r="BC467" t="str">
        <f t="shared" si="213"/>
        <v>enemy_1135_redman_2</v>
      </c>
      <c r="BI467" t="s">
        <v>962</v>
      </c>
      <c r="BJ467" t="s">
        <v>2155</v>
      </c>
      <c r="BL467" t="s">
        <v>210</v>
      </c>
      <c r="BM467" t="s">
        <v>2156</v>
      </c>
      <c r="BN467" s="19" t="s">
        <v>2157</v>
      </c>
      <c r="BO467" t="s">
        <v>2158</v>
      </c>
      <c r="BQ467" s="19"/>
      <c r="BR467">
        <v>1</v>
      </c>
    </row>
    <row r="468" spans="1:70" ht="14.5" x14ac:dyDescent="0.25">
      <c r="A468" t="s">
        <v>2162</v>
      </c>
      <c r="B468" t="s">
        <v>206</v>
      </c>
      <c r="C468">
        <v>1</v>
      </c>
      <c r="D468" s="17" t="s">
        <v>2163</v>
      </c>
      <c r="E468" s="2">
        <v>1136</v>
      </c>
      <c r="F468" t="str">
        <f t="shared" si="212"/>
        <v>enemy_1136_redace</v>
      </c>
      <c r="G468">
        <v>1</v>
      </c>
      <c r="K468">
        <v>6000</v>
      </c>
      <c r="M468">
        <v>400</v>
      </c>
      <c r="O468">
        <v>500</v>
      </c>
      <c r="Q468">
        <v>30</v>
      </c>
      <c r="Y468">
        <v>0.05</v>
      </c>
      <c r="Z468">
        <v>2</v>
      </c>
      <c r="AA468">
        <v>1</v>
      </c>
      <c r="AB468">
        <v>1.3</v>
      </c>
      <c r="AE468">
        <v>0</v>
      </c>
      <c r="AF468">
        <v>1</v>
      </c>
      <c r="AG468" t="s">
        <v>2164</v>
      </c>
      <c r="AH468" t="s">
        <v>209</v>
      </c>
      <c r="AI468" t="s">
        <v>231</v>
      </c>
      <c r="AK468">
        <v>1</v>
      </c>
      <c r="AT468">
        <v>1</v>
      </c>
      <c r="AV468">
        <v>0.25</v>
      </c>
      <c r="BC468" t="str">
        <f t="shared" si="213"/>
        <v>enemy_1136_redace</v>
      </c>
      <c r="BI468" t="s">
        <v>962</v>
      </c>
      <c r="BJ468" t="s">
        <v>2165</v>
      </c>
      <c r="BL468" t="s">
        <v>210</v>
      </c>
      <c r="BM468" t="s">
        <v>211</v>
      </c>
      <c r="BN468" s="19" t="s">
        <v>232</v>
      </c>
      <c r="BO468" t="s">
        <v>213</v>
      </c>
      <c r="BQ468" s="19"/>
      <c r="BR468">
        <v>1</v>
      </c>
    </row>
    <row r="469" spans="1:70" ht="14.5" x14ac:dyDescent="0.25">
      <c r="A469" t="s">
        <v>2166</v>
      </c>
      <c r="B469" t="s">
        <v>206</v>
      </c>
      <c r="C469">
        <v>1</v>
      </c>
      <c r="D469" s="17" t="s">
        <v>2167</v>
      </c>
      <c r="E469" s="2">
        <v>1136</v>
      </c>
      <c r="F469" t="str">
        <f t="shared" si="212"/>
        <v>enemy_1136_redace_2</v>
      </c>
      <c r="G469">
        <v>1</v>
      </c>
      <c r="K469">
        <v>8000</v>
      </c>
      <c r="M469">
        <v>500</v>
      </c>
      <c r="O469">
        <v>500</v>
      </c>
      <c r="Q469">
        <v>30</v>
      </c>
      <c r="Y469">
        <v>0.05</v>
      </c>
      <c r="Z469">
        <v>2</v>
      </c>
      <c r="AA469">
        <v>1</v>
      </c>
      <c r="AB469">
        <v>1.3</v>
      </c>
      <c r="AE469">
        <v>0</v>
      </c>
      <c r="AF469">
        <v>1</v>
      </c>
      <c r="AG469" t="s">
        <v>2168</v>
      </c>
      <c r="AH469" t="s">
        <v>209</v>
      </c>
      <c r="AI469" t="s">
        <v>231</v>
      </c>
      <c r="AK469">
        <v>1</v>
      </c>
      <c r="AT469">
        <v>1</v>
      </c>
      <c r="AV469">
        <v>0.25</v>
      </c>
      <c r="BC469" t="str">
        <f t="shared" si="213"/>
        <v>enemy_1136_redace_2</v>
      </c>
      <c r="BI469" t="s">
        <v>962</v>
      </c>
      <c r="BJ469" t="s">
        <v>2165</v>
      </c>
      <c r="BL469" t="s">
        <v>210</v>
      </c>
      <c r="BM469" t="s">
        <v>211</v>
      </c>
      <c r="BN469" s="19" t="s">
        <v>232</v>
      </c>
      <c r="BO469" t="s">
        <v>213</v>
      </c>
      <c r="BQ469" s="19"/>
      <c r="BR469">
        <v>1</v>
      </c>
    </row>
    <row r="470" spans="1:70" ht="14.5" x14ac:dyDescent="0.25">
      <c r="A470" t="s">
        <v>2169</v>
      </c>
      <c r="B470" t="s">
        <v>206</v>
      </c>
      <c r="C470">
        <v>1</v>
      </c>
      <c r="D470" s="17" t="s">
        <v>2170</v>
      </c>
      <c r="E470" s="2">
        <v>1137</v>
      </c>
      <c r="F470" t="str">
        <f t="shared" si="212"/>
        <v>enemy_1137_plasm</v>
      </c>
      <c r="G470">
        <v>1</v>
      </c>
      <c r="K470">
        <v>1000</v>
      </c>
      <c r="M470">
        <v>150</v>
      </c>
      <c r="O470">
        <v>0</v>
      </c>
      <c r="Q470">
        <v>0</v>
      </c>
      <c r="Y470">
        <v>0.05</v>
      </c>
      <c r="Z470">
        <v>2</v>
      </c>
      <c r="AA470">
        <v>0</v>
      </c>
      <c r="AB470">
        <v>1.9</v>
      </c>
      <c r="AE470">
        <v>0</v>
      </c>
      <c r="AF470">
        <v>1</v>
      </c>
      <c r="AG470" t="s">
        <v>2171</v>
      </c>
      <c r="AH470" t="s">
        <v>209</v>
      </c>
      <c r="AI470" t="s">
        <v>2172</v>
      </c>
      <c r="AK470">
        <v>1</v>
      </c>
      <c r="AT470">
        <v>1</v>
      </c>
      <c r="AV470">
        <v>0.25</v>
      </c>
      <c r="BC470" t="str">
        <f t="shared" si="213"/>
        <v>enemy_1137_plasm</v>
      </c>
      <c r="BI470" t="s">
        <v>893</v>
      </c>
      <c r="BJ470" t="s">
        <v>2173</v>
      </c>
      <c r="BL470" t="s">
        <v>210</v>
      </c>
      <c r="BM470" t="s">
        <v>211</v>
      </c>
      <c r="BN470" s="19" t="s">
        <v>232</v>
      </c>
      <c r="BO470" t="s">
        <v>213</v>
      </c>
      <c r="BQ470" s="19"/>
      <c r="BR470">
        <v>1</v>
      </c>
    </row>
    <row r="471" spans="1:70" ht="14.5" x14ac:dyDescent="0.25">
      <c r="A471" t="s">
        <v>2174</v>
      </c>
      <c r="B471" t="s">
        <v>206</v>
      </c>
      <c r="C471">
        <v>1</v>
      </c>
      <c r="D471" s="17" t="s">
        <v>2175</v>
      </c>
      <c r="E471" s="2">
        <v>1138</v>
      </c>
      <c r="F471" t="str">
        <f t="shared" si="212"/>
        <v>enemy_1138_tumor</v>
      </c>
      <c r="G471">
        <v>1</v>
      </c>
      <c r="K471">
        <v>1500</v>
      </c>
      <c r="M471">
        <v>200</v>
      </c>
      <c r="O471">
        <v>0</v>
      </c>
      <c r="Q471">
        <v>0</v>
      </c>
      <c r="Y471">
        <v>0.05</v>
      </c>
      <c r="Z471">
        <v>2</v>
      </c>
      <c r="AA471">
        <v>0</v>
      </c>
      <c r="AB471">
        <v>1.9</v>
      </c>
      <c r="AE471">
        <v>0</v>
      </c>
      <c r="AF471">
        <v>1</v>
      </c>
      <c r="AG471" t="s">
        <v>2176</v>
      </c>
      <c r="AH471" t="s">
        <v>209</v>
      </c>
      <c r="AI471" t="s">
        <v>2177</v>
      </c>
      <c r="AK471">
        <v>1</v>
      </c>
      <c r="AT471">
        <v>1</v>
      </c>
      <c r="AV471">
        <v>0.25</v>
      </c>
      <c r="BC471" t="str">
        <f t="shared" si="213"/>
        <v>enemy_1138_tumor</v>
      </c>
      <c r="BI471" t="s">
        <v>893</v>
      </c>
      <c r="BJ471" t="s">
        <v>2178</v>
      </c>
      <c r="BL471" t="s">
        <v>210</v>
      </c>
      <c r="BM471" t="s">
        <v>211</v>
      </c>
      <c r="BN471" s="19" t="s">
        <v>232</v>
      </c>
      <c r="BO471" t="s">
        <v>213</v>
      </c>
      <c r="BQ471" s="19"/>
      <c r="BR471">
        <v>1</v>
      </c>
    </row>
    <row r="472" spans="1:70" ht="14.5" x14ac:dyDescent="0.25">
      <c r="A472" t="s">
        <v>2179</v>
      </c>
      <c r="B472" t="s">
        <v>206</v>
      </c>
      <c r="C472">
        <v>1</v>
      </c>
      <c r="D472" s="17" t="s">
        <v>2180</v>
      </c>
      <c r="E472" s="2">
        <v>1139</v>
      </c>
      <c r="F472" t="str">
        <f t="shared" si="212"/>
        <v>enemy_1139_hologc</v>
      </c>
      <c r="G472">
        <v>1</v>
      </c>
      <c r="K472">
        <v>3000</v>
      </c>
      <c r="M472">
        <v>250</v>
      </c>
      <c r="O472">
        <v>0</v>
      </c>
      <c r="Q472">
        <v>0</v>
      </c>
      <c r="Y472">
        <v>0.05</v>
      </c>
      <c r="Z472">
        <v>2</v>
      </c>
      <c r="AA472">
        <v>1</v>
      </c>
      <c r="AB472">
        <v>1.3</v>
      </c>
      <c r="AE472">
        <v>0</v>
      </c>
      <c r="AF472">
        <v>1</v>
      </c>
      <c r="AG472" t="s">
        <v>2181</v>
      </c>
      <c r="AH472" t="s">
        <v>209</v>
      </c>
      <c r="AI472" t="s">
        <v>231</v>
      </c>
      <c r="AK472">
        <v>1</v>
      </c>
      <c r="AT472">
        <v>1</v>
      </c>
      <c r="AV472">
        <v>0.25</v>
      </c>
      <c r="BC472" t="str">
        <f t="shared" si="213"/>
        <v>enemy_1139_hologc</v>
      </c>
      <c r="BI472" t="s">
        <v>941</v>
      </c>
      <c r="BJ472" t="s">
        <v>2182</v>
      </c>
      <c r="BL472" t="s">
        <v>210</v>
      </c>
      <c r="BM472" t="s">
        <v>211</v>
      </c>
      <c r="BN472" t="s">
        <v>211</v>
      </c>
      <c r="BO472" t="s">
        <v>213</v>
      </c>
      <c r="BQ472" s="19"/>
      <c r="BR472">
        <v>1</v>
      </c>
    </row>
    <row r="473" spans="1:70" ht="14.5" x14ac:dyDescent="0.25">
      <c r="A473" t="s">
        <v>2183</v>
      </c>
      <c r="B473" t="s">
        <v>206</v>
      </c>
      <c r="C473">
        <v>1</v>
      </c>
      <c r="D473" s="17" t="s">
        <v>2184</v>
      </c>
      <c r="E473" s="2">
        <v>1139</v>
      </c>
      <c r="F473" t="str">
        <f t="shared" si="212"/>
        <v>enemy_1139_hologc_2</v>
      </c>
      <c r="G473">
        <v>1</v>
      </c>
      <c r="K473">
        <v>4000</v>
      </c>
      <c r="M473">
        <v>350</v>
      </c>
      <c r="O473">
        <v>0</v>
      </c>
      <c r="Q473">
        <v>0</v>
      </c>
      <c r="Y473">
        <v>0.05</v>
      </c>
      <c r="Z473">
        <v>2</v>
      </c>
      <c r="AA473">
        <v>1</v>
      </c>
      <c r="AB473">
        <v>1.3</v>
      </c>
      <c r="AE473">
        <v>0</v>
      </c>
      <c r="AF473">
        <v>1</v>
      </c>
      <c r="AG473" t="s">
        <v>2185</v>
      </c>
      <c r="AH473" t="s">
        <v>209</v>
      </c>
      <c r="AI473" t="s">
        <v>231</v>
      </c>
      <c r="AK473">
        <v>1</v>
      </c>
      <c r="AT473">
        <v>1</v>
      </c>
      <c r="AV473">
        <v>0.25</v>
      </c>
      <c r="BC473" t="str">
        <f t="shared" si="213"/>
        <v>enemy_1139_hologc_2</v>
      </c>
      <c r="BI473" t="s">
        <v>941</v>
      </c>
      <c r="BJ473" t="s">
        <v>2186</v>
      </c>
      <c r="BL473" t="s">
        <v>210</v>
      </c>
      <c r="BM473" t="s">
        <v>211</v>
      </c>
      <c r="BN473" t="s">
        <v>211</v>
      </c>
      <c r="BO473" t="s">
        <v>213</v>
      </c>
      <c r="BQ473" s="19"/>
      <c r="BR473">
        <v>1</v>
      </c>
    </row>
    <row r="474" spans="1:70" ht="14.5" x14ac:dyDescent="0.25">
      <c r="A474" t="s">
        <v>2187</v>
      </c>
      <c r="B474" t="s">
        <v>206</v>
      </c>
      <c r="C474">
        <v>1</v>
      </c>
      <c r="D474" s="17" t="s">
        <v>2188</v>
      </c>
      <c r="E474" s="2">
        <v>1519</v>
      </c>
      <c r="F474" t="str">
        <f t="shared" si="212"/>
        <v>enemy_1519_bgball</v>
      </c>
      <c r="G474">
        <v>1</v>
      </c>
      <c r="K474">
        <v>50000</v>
      </c>
      <c r="M474">
        <v>700</v>
      </c>
      <c r="O474">
        <v>500</v>
      </c>
      <c r="Q474">
        <v>50</v>
      </c>
      <c r="Y474">
        <v>0.05</v>
      </c>
      <c r="Z474">
        <v>5</v>
      </c>
      <c r="AA474">
        <v>6</v>
      </c>
      <c r="AB474">
        <v>1</v>
      </c>
      <c r="AE474">
        <v>0</v>
      </c>
      <c r="AF474">
        <v>1</v>
      </c>
      <c r="AG474" t="s">
        <v>2189</v>
      </c>
      <c r="AH474" t="s">
        <v>209</v>
      </c>
      <c r="AI474" t="s">
        <v>231</v>
      </c>
      <c r="AK474">
        <v>1</v>
      </c>
      <c r="AT474">
        <v>1</v>
      </c>
      <c r="AV474">
        <v>0.25</v>
      </c>
      <c r="BC474" t="str">
        <f t="shared" si="213"/>
        <v>enemy_1519_bgball</v>
      </c>
      <c r="BI474" t="s">
        <v>2190</v>
      </c>
      <c r="BJ474" t="s">
        <v>2191</v>
      </c>
      <c r="BL474" t="s">
        <v>210</v>
      </c>
      <c r="BM474" t="s">
        <v>2017</v>
      </c>
      <c r="BN474" t="s">
        <v>2017</v>
      </c>
      <c r="BO474" t="s">
        <v>2019</v>
      </c>
      <c r="BQ474" s="19"/>
      <c r="BR474">
        <v>1</v>
      </c>
    </row>
    <row r="475" spans="1:70" ht="14.5" x14ac:dyDescent="0.25">
      <c r="A475" t="s">
        <v>2192</v>
      </c>
      <c r="B475" t="s">
        <v>206</v>
      </c>
      <c r="C475">
        <v>1</v>
      </c>
      <c r="D475" s="17" t="s">
        <v>2193</v>
      </c>
      <c r="E475" s="2">
        <v>1140</v>
      </c>
      <c r="F475" t="str">
        <f t="shared" si="212"/>
        <v>enemy_1140_merhd</v>
      </c>
      <c r="G475">
        <v>1</v>
      </c>
      <c r="K475">
        <v>2200</v>
      </c>
      <c r="M475">
        <v>310</v>
      </c>
      <c r="O475">
        <v>0</v>
      </c>
      <c r="Q475">
        <v>20</v>
      </c>
      <c r="Y475">
        <v>0.05</v>
      </c>
      <c r="Z475">
        <v>1.5</v>
      </c>
      <c r="AA475">
        <v>0</v>
      </c>
      <c r="AB475">
        <v>1.9</v>
      </c>
      <c r="AE475">
        <v>0</v>
      </c>
      <c r="AF475">
        <v>1</v>
      </c>
      <c r="AG475" t="s">
        <v>2194</v>
      </c>
      <c r="AH475" t="s">
        <v>209</v>
      </c>
      <c r="AI475" t="s">
        <v>231</v>
      </c>
      <c r="AK475">
        <v>1</v>
      </c>
      <c r="AT475">
        <v>1</v>
      </c>
      <c r="AV475">
        <v>0.25</v>
      </c>
      <c r="BC475" t="str">
        <f t="shared" si="213"/>
        <v>enemy_1140_merhd</v>
      </c>
      <c r="BI475" t="s">
        <v>893</v>
      </c>
      <c r="BJ475" t="s">
        <v>2195</v>
      </c>
      <c r="BL475" t="s">
        <v>210</v>
      </c>
      <c r="BM475" t="s">
        <v>211</v>
      </c>
      <c r="BN475" s="19" t="s">
        <v>232</v>
      </c>
      <c r="BO475" t="s">
        <v>213</v>
      </c>
      <c r="BQ475" s="19"/>
      <c r="BR475">
        <v>1</v>
      </c>
    </row>
    <row r="476" spans="1:70" ht="14.5" x14ac:dyDescent="0.25">
      <c r="A476" t="s">
        <v>2196</v>
      </c>
      <c r="B476" t="s">
        <v>206</v>
      </c>
      <c r="C476">
        <v>1</v>
      </c>
      <c r="D476" s="17" t="s">
        <v>2197</v>
      </c>
      <c r="E476" s="2">
        <v>1140</v>
      </c>
      <c r="F476" t="str">
        <f t="shared" si="212"/>
        <v>enemy_1140_merhd_2</v>
      </c>
      <c r="G476">
        <v>1</v>
      </c>
      <c r="K476">
        <v>3500</v>
      </c>
      <c r="M476">
        <v>380</v>
      </c>
      <c r="O476">
        <v>0</v>
      </c>
      <c r="Q476">
        <v>30</v>
      </c>
      <c r="Y476">
        <v>0.05</v>
      </c>
      <c r="Z476">
        <v>1.5</v>
      </c>
      <c r="AA476">
        <v>0</v>
      </c>
      <c r="AB476">
        <v>1.9</v>
      </c>
      <c r="AE476">
        <v>0</v>
      </c>
      <c r="AF476">
        <v>1</v>
      </c>
      <c r="AG476" t="s">
        <v>2198</v>
      </c>
      <c r="AH476" t="s">
        <v>209</v>
      </c>
      <c r="AI476" t="s">
        <v>231</v>
      </c>
      <c r="AK476">
        <v>1</v>
      </c>
      <c r="AT476">
        <v>1</v>
      </c>
      <c r="AV476">
        <v>0.25</v>
      </c>
      <c r="BC476" t="str">
        <f t="shared" si="213"/>
        <v>enemy_1140_merhd_2</v>
      </c>
      <c r="BI476" t="s">
        <v>893</v>
      </c>
      <c r="BJ476" t="s">
        <v>2199</v>
      </c>
      <c r="BL476" t="s">
        <v>210</v>
      </c>
      <c r="BM476" t="s">
        <v>211</v>
      </c>
      <c r="BN476" s="19" t="s">
        <v>232</v>
      </c>
      <c r="BO476" t="s">
        <v>213</v>
      </c>
      <c r="BQ476" s="19"/>
      <c r="BR476">
        <v>1</v>
      </c>
    </row>
    <row r="477" spans="1:70" ht="14.5" x14ac:dyDescent="0.25">
      <c r="A477" t="s">
        <v>2200</v>
      </c>
      <c r="B477" t="s">
        <v>206</v>
      </c>
      <c r="C477">
        <v>1</v>
      </c>
      <c r="D477" s="17" t="s">
        <v>2201</v>
      </c>
      <c r="E477" s="2">
        <v>1141</v>
      </c>
      <c r="F477" t="str">
        <f t="shared" si="212"/>
        <v>enemy_1141_merbow</v>
      </c>
      <c r="G477">
        <v>1</v>
      </c>
      <c r="K477">
        <v>3100</v>
      </c>
      <c r="M477">
        <v>320</v>
      </c>
      <c r="O477">
        <v>260</v>
      </c>
      <c r="Q477">
        <v>40</v>
      </c>
      <c r="Y477">
        <v>0.05</v>
      </c>
      <c r="Z477">
        <v>2.4</v>
      </c>
      <c r="AA477">
        <v>1</v>
      </c>
      <c r="AB477">
        <v>0.9</v>
      </c>
      <c r="AE477">
        <v>0</v>
      </c>
      <c r="AF477">
        <v>1</v>
      </c>
      <c r="AG477" t="s">
        <v>2202</v>
      </c>
      <c r="AH477" t="s">
        <v>209</v>
      </c>
      <c r="AI477" t="s">
        <v>231</v>
      </c>
      <c r="AK477">
        <v>1</v>
      </c>
      <c r="AT477">
        <v>1</v>
      </c>
      <c r="AV477">
        <v>0.25</v>
      </c>
      <c r="BC477" t="str">
        <f t="shared" si="213"/>
        <v>enemy_1141_merbow</v>
      </c>
      <c r="BI477" t="s">
        <v>941</v>
      </c>
      <c r="BJ477" t="s">
        <v>2203</v>
      </c>
      <c r="BL477" t="s">
        <v>210</v>
      </c>
      <c r="BM477" t="s">
        <v>211</v>
      </c>
      <c r="BN477" s="19" t="s">
        <v>232</v>
      </c>
      <c r="BO477" t="s">
        <v>213</v>
      </c>
      <c r="BQ477" s="19"/>
      <c r="BR477">
        <v>1</v>
      </c>
    </row>
    <row r="478" spans="1:70" ht="14.5" x14ac:dyDescent="0.25">
      <c r="A478" t="s">
        <v>2204</v>
      </c>
      <c r="B478" t="s">
        <v>206</v>
      </c>
      <c r="C478">
        <v>1</v>
      </c>
      <c r="D478" s="17" t="s">
        <v>2205</v>
      </c>
      <c r="E478" s="2">
        <v>1141</v>
      </c>
      <c r="F478" t="str">
        <f t="shared" si="212"/>
        <v>enemy_1141_merbow_2</v>
      </c>
      <c r="G478">
        <v>1</v>
      </c>
      <c r="K478">
        <v>4200</v>
      </c>
      <c r="M478">
        <v>390</v>
      </c>
      <c r="O478">
        <v>260</v>
      </c>
      <c r="Q478">
        <v>40</v>
      </c>
      <c r="Y478">
        <v>0.05</v>
      </c>
      <c r="Z478">
        <v>2.4</v>
      </c>
      <c r="AA478">
        <v>1</v>
      </c>
      <c r="AB478">
        <v>0.9</v>
      </c>
      <c r="AE478">
        <v>0</v>
      </c>
      <c r="AF478">
        <v>1</v>
      </c>
      <c r="AG478" t="s">
        <v>2206</v>
      </c>
      <c r="AH478" t="s">
        <v>209</v>
      </c>
      <c r="AI478" t="s">
        <v>231</v>
      </c>
      <c r="AK478">
        <v>1</v>
      </c>
      <c r="AT478">
        <v>1</v>
      </c>
      <c r="AV478">
        <v>0.25</v>
      </c>
      <c r="BC478" t="str">
        <f t="shared" si="213"/>
        <v>enemy_1141_merbow_2</v>
      </c>
      <c r="BI478" t="s">
        <v>941</v>
      </c>
      <c r="BJ478" t="s">
        <v>2207</v>
      </c>
      <c r="BL478" t="s">
        <v>210</v>
      </c>
      <c r="BM478" t="s">
        <v>211</v>
      </c>
      <c r="BN478" s="19" t="s">
        <v>232</v>
      </c>
      <c r="BO478" t="s">
        <v>213</v>
      </c>
      <c r="BQ478" s="19"/>
      <c r="BR478">
        <v>1</v>
      </c>
    </row>
    <row r="479" spans="1:70" ht="14.5" x14ac:dyDescent="0.25">
      <c r="A479" t="s">
        <v>2208</v>
      </c>
      <c r="B479" t="s">
        <v>206</v>
      </c>
      <c r="C479">
        <v>1</v>
      </c>
      <c r="D479" s="17" t="s">
        <v>2209</v>
      </c>
      <c r="E479" s="2">
        <v>1142</v>
      </c>
      <c r="F479" t="str">
        <f t="shared" si="212"/>
        <v>enemy_1142_mershd</v>
      </c>
      <c r="G479">
        <v>1</v>
      </c>
      <c r="K479">
        <v>7000</v>
      </c>
      <c r="M479">
        <v>700</v>
      </c>
      <c r="O479">
        <v>800</v>
      </c>
      <c r="Q479">
        <v>40</v>
      </c>
      <c r="Y479">
        <v>0.05</v>
      </c>
      <c r="Z479">
        <v>2.6</v>
      </c>
      <c r="AA479">
        <v>4</v>
      </c>
      <c r="AB479">
        <v>0.7</v>
      </c>
      <c r="AE479">
        <v>0</v>
      </c>
      <c r="AF479">
        <v>1</v>
      </c>
      <c r="AG479" t="s">
        <v>2210</v>
      </c>
      <c r="AH479" t="s">
        <v>209</v>
      </c>
      <c r="AI479" t="s">
        <v>231</v>
      </c>
      <c r="AK479">
        <v>1</v>
      </c>
      <c r="AT479">
        <v>1</v>
      </c>
      <c r="AV479">
        <v>0.25</v>
      </c>
      <c r="BC479" t="str">
        <f t="shared" si="213"/>
        <v>enemy_1142_mershd</v>
      </c>
      <c r="BI479" t="s">
        <v>994</v>
      </c>
      <c r="BJ479" t="s">
        <v>2211</v>
      </c>
      <c r="BL479" t="s">
        <v>210</v>
      </c>
      <c r="BM479" t="s">
        <v>211</v>
      </c>
      <c r="BN479" s="19" t="s">
        <v>232</v>
      </c>
      <c r="BO479" t="s">
        <v>213</v>
      </c>
      <c r="BQ479" s="19"/>
      <c r="BR479">
        <v>1</v>
      </c>
    </row>
    <row r="480" spans="1:70" ht="14.5" x14ac:dyDescent="0.25">
      <c r="A480" t="s">
        <v>2212</v>
      </c>
      <c r="B480" t="s">
        <v>206</v>
      </c>
      <c r="C480">
        <v>1</v>
      </c>
      <c r="D480" s="17" t="s">
        <v>2213</v>
      </c>
      <c r="E480" s="2">
        <v>1142</v>
      </c>
      <c r="F480" t="str">
        <f t="shared" si="212"/>
        <v>enemy_1142_mershd_2</v>
      </c>
      <c r="G480">
        <v>1</v>
      </c>
      <c r="K480">
        <v>10000</v>
      </c>
      <c r="M480">
        <v>700</v>
      </c>
      <c r="O480">
        <v>1000</v>
      </c>
      <c r="Q480">
        <v>60</v>
      </c>
      <c r="Y480">
        <v>0.05</v>
      </c>
      <c r="Z480">
        <v>2.6</v>
      </c>
      <c r="AA480">
        <v>4</v>
      </c>
      <c r="AB480">
        <v>0.7</v>
      </c>
      <c r="AE480">
        <v>0</v>
      </c>
      <c r="AF480">
        <v>1</v>
      </c>
      <c r="AG480" t="s">
        <v>2214</v>
      </c>
      <c r="AH480" t="s">
        <v>209</v>
      </c>
      <c r="AI480" t="s">
        <v>231</v>
      </c>
      <c r="AK480">
        <v>1</v>
      </c>
      <c r="AT480">
        <v>1</v>
      </c>
      <c r="AV480">
        <v>0.25</v>
      </c>
      <c r="BC480" t="str">
        <f t="shared" si="213"/>
        <v>enemy_1142_mershd_2</v>
      </c>
      <c r="BI480" t="s">
        <v>994</v>
      </c>
      <c r="BJ480" t="s">
        <v>2215</v>
      </c>
      <c r="BL480" t="s">
        <v>210</v>
      </c>
      <c r="BM480" t="s">
        <v>211</v>
      </c>
      <c r="BN480" s="19" t="s">
        <v>232</v>
      </c>
      <c r="BO480" t="s">
        <v>213</v>
      </c>
      <c r="BQ480" s="19"/>
      <c r="BR480">
        <v>1</v>
      </c>
    </row>
    <row r="481" spans="1:70" ht="14.5" x14ac:dyDescent="0.25">
      <c r="A481" t="s">
        <v>2216</v>
      </c>
      <c r="B481" t="s">
        <v>206</v>
      </c>
      <c r="C481">
        <v>1</v>
      </c>
      <c r="D481" s="17" t="s">
        <v>2217</v>
      </c>
      <c r="E481" s="2">
        <v>1143</v>
      </c>
      <c r="F481" t="str">
        <f t="shared" si="212"/>
        <v>enemy_1143_merrpg</v>
      </c>
      <c r="G481">
        <v>1</v>
      </c>
      <c r="K481">
        <v>3200</v>
      </c>
      <c r="M481">
        <v>500</v>
      </c>
      <c r="O481">
        <v>50</v>
      </c>
      <c r="Q481">
        <v>40</v>
      </c>
      <c r="Y481">
        <v>0.05</v>
      </c>
      <c r="Z481">
        <v>2.6</v>
      </c>
      <c r="AA481">
        <v>2</v>
      </c>
      <c r="AB481">
        <v>0.9</v>
      </c>
      <c r="AE481">
        <v>0</v>
      </c>
      <c r="AF481">
        <v>1</v>
      </c>
      <c r="AG481" t="s">
        <v>2218</v>
      </c>
      <c r="AH481" t="s">
        <v>209</v>
      </c>
      <c r="AI481" t="s">
        <v>231</v>
      </c>
      <c r="AK481">
        <v>1</v>
      </c>
      <c r="AT481">
        <v>1</v>
      </c>
      <c r="AV481">
        <v>0.25</v>
      </c>
      <c r="BC481" t="str">
        <f t="shared" si="213"/>
        <v>enemy_1143_merrpg</v>
      </c>
      <c r="BI481" t="s">
        <v>941</v>
      </c>
      <c r="BJ481" t="s">
        <v>2219</v>
      </c>
      <c r="BL481" t="s">
        <v>210</v>
      </c>
      <c r="BM481" t="s">
        <v>211</v>
      </c>
      <c r="BN481" s="19" t="s">
        <v>1942</v>
      </c>
      <c r="BO481" t="s">
        <v>213</v>
      </c>
      <c r="BQ481" s="19"/>
      <c r="BR481">
        <v>1</v>
      </c>
    </row>
    <row r="482" spans="1:70" ht="14.5" x14ac:dyDescent="0.25">
      <c r="A482" t="s">
        <v>2220</v>
      </c>
      <c r="B482" t="s">
        <v>206</v>
      </c>
      <c r="C482">
        <v>1</v>
      </c>
      <c r="D482" s="17" t="s">
        <v>2221</v>
      </c>
      <c r="E482" s="2">
        <v>1143</v>
      </c>
      <c r="F482" t="str">
        <f t="shared" si="212"/>
        <v>enemy_1143_merrpg_2</v>
      </c>
      <c r="G482">
        <v>1</v>
      </c>
      <c r="K482">
        <v>4800</v>
      </c>
      <c r="M482">
        <v>750</v>
      </c>
      <c r="O482">
        <v>50</v>
      </c>
      <c r="Q482">
        <v>40</v>
      </c>
      <c r="Y482">
        <v>0.05</v>
      </c>
      <c r="Z482">
        <v>2.6</v>
      </c>
      <c r="AA482">
        <v>2</v>
      </c>
      <c r="AB482">
        <v>0.9</v>
      </c>
      <c r="AE482">
        <v>0</v>
      </c>
      <c r="AF482">
        <v>1</v>
      </c>
      <c r="AG482" t="s">
        <v>2222</v>
      </c>
      <c r="AH482" t="s">
        <v>209</v>
      </c>
      <c r="AI482" t="s">
        <v>231</v>
      </c>
      <c r="AK482">
        <v>1</v>
      </c>
      <c r="AT482">
        <v>1</v>
      </c>
      <c r="AV482">
        <v>0.25</v>
      </c>
      <c r="BC482" t="str">
        <f t="shared" si="213"/>
        <v>enemy_1143_merrpg_2</v>
      </c>
      <c r="BI482" t="s">
        <v>941</v>
      </c>
      <c r="BJ482" t="s">
        <v>2223</v>
      </c>
      <c r="BL482" t="s">
        <v>210</v>
      </c>
      <c r="BM482" t="s">
        <v>211</v>
      </c>
      <c r="BN482" s="19" t="s">
        <v>1942</v>
      </c>
      <c r="BO482" t="s">
        <v>213</v>
      </c>
      <c r="BQ482" s="19"/>
      <c r="BR482">
        <v>1</v>
      </c>
    </row>
    <row r="483" spans="1:70" ht="14.5" x14ac:dyDescent="0.25">
      <c r="A483" t="s">
        <v>2224</v>
      </c>
      <c r="B483" t="s">
        <v>206</v>
      </c>
      <c r="C483">
        <v>1</v>
      </c>
      <c r="D483" s="17" t="s">
        <v>2225</v>
      </c>
      <c r="E483" s="2">
        <v>1144</v>
      </c>
      <c r="F483" t="str">
        <f t="shared" si="212"/>
        <v>enemy_1144_merlgd</v>
      </c>
      <c r="G483">
        <v>1</v>
      </c>
      <c r="K483">
        <v>10000</v>
      </c>
      <c r="M483">
        <v>1100</v>
      </c>
      <c r="O483">
        <v>500</v>
      </c>
      <c r="Q483">
        <v>60</v>
      </c>
      <c r="Y483">
        <v>0.05</v>
      </c>
      <c r="Z483">
        <v>3</v>
      </c>
      <c r="AA483">
        <v>3</v>
      </c>
      <c r="AB483">
        <v>1.2</v>
      </c>
      <c r="AE483">
        <v>0</v>
      </c>
      <c r="AF483">
        <v>1</v>
      </c>
      <c r="AG483" t="s">
        <v>2226</v>
      </c>
      <c r="AH483" t="s">
        <v>209</v>
      </c>
      <c r="AI483" t="s">
        <v>231</v>
      </c>
      <c r="AK483">
        <v>1</v>
      </c>
      <c r="AT483">
        <v>1</v>
      </c>
      <c r="AV483">
        <v>0.25</v>
      </c>
      <c r="BC483" t="str">
        <f t="shared" si="213"/>
        <v>enemy_1144_merlgd</v>
      </c>
      <c r="BI483" t="s">
        <v>994</v>
      </c>
      <c r="BJ483" t="s">
        <v>2227</v>
      </c>
      <c r="BL483" t="s">
        <v>210</v>
      </c>
      <c r="BM483" t="s">
        <v>211</v>
      </c>
      <c r="BN483" s="19" t="s">
        <v>232</v>
      </c>
      <c r="BO483" t="s">
        <v>213</v>
      </c>
      <c r="BQ483" s="19"/>
      <c r="BR483">
        <v>1</v>
      </c>
    </row>
    <row r="484" spans="1:70" ht="14.5" x14ac:dyDescent="0.25">
      <c r="A484" t="s">
        <v>2228</v>
      </c>
      <c r="B484" t="s">
        <v>206</v>
      </c>
      <c r="C484">
        <v>1</v>
      </c>
      <c r="D484" s="17" t="s">
        <v>2229</v>
      </c>
      <c r="E484" s="2">
        <v>1144</v>
      </c>
      <c r="F484" t="str">
        <f t="shared" si="212"/>
        <v>enemy_1144_merlgd_2</v>
      </c>
      <c r="G484">
        <v>1</v>
      </c>
      <c r="K484">
        <v>12000</v>
      </c>
      <c r="M484">
        <v>1400</v>
      </c>
      <c r="O484">
        <v>500</v>
      </c>
      <c r="Q484">
        <v>60</v>
      </c>
      <c r="Y484">
        <v>0.05</v>
      </c>
      <c r="Z484">
        <v>3</v>
      </c>
      <c r="AA484">
        <v>3</v>
      </c>
      <c r="AB484">
        <v>1.2</v>
      </c>
      <c r="AE484">
        <v>0</v>
      </c>
      <c r="AF484">
        <v>1</v>
      </c>
      <c r="AG484" t="s">
        <v>2230</v>
      </c>
      <c r="AH484" t="s">
        <v>209</v>
      </c>
      <c r="AI484" t="s">
        <v>231</v>
      </c>
      <c r="AK484">
        <v>1</v>
      </c>
      <c r="AT484">
        <v>1</v>
      </c>
      <c r="AV484">
        <v>0.25</v>
      </c>
      <c r="BC484" t="str">
        <f t="shared" si="213"/>
        <v>enemy_1144_merlgd_2</v>
      </c>
      <c r="BI484" t="s">
        <v>994</v>
      </c>
      <c r="BJ484" t="s">
        <v>2231</v>
      </c>
      <c r="BL484" t="s">
        <v>210</v>
      </c>
      <c r="BM484" t="s">
        <v>211</v>
      </c>
      <c r="BN484" s="19" t="s">
        <v>232</v>
      </c>
      <c r="BO484" t="s">
        <v>213</v>
      </c>
      <c r="BQ484" s="19"/>
      <c r="BR484">
        <v>1</v>
      </c>
    </row>
    <row r="485" spans="1:70" ht="14.5" x14ac:dyDescent="0.25">
      <c r="A485" t="s">
        <v>2232</v>
      </c>
      <c r="B485" t="s">
        <v>206</v>
      </c>
      <c r="C485">
        <v>1</v>
      </c>
      <c r="D485" s="17" t="s">
        <v>2233</v>
      </c>
      <c r="E485" s="2">
        <v>1145</v>
      </c>
      <c r="F485" t="str">
        <f t="shared" si="212"/>
        <v>enemy_1145_atkspd</v>
      </c>
      <c r="G485">
        <v>1</v>
      </c>
      <c r="K485">
        <v>5000</v>
      </c>
      <c r="M485">
        <v>250</v>
      </c>
      <c r="O485">
        <v>80</v>
      </c>
      <c r="Q485">
        <v>50</v>
      </c>
      <c r="Y485">
        <v>0.05</v>
      </c>
      <c r="Z485">
        <v>3.8</v>
      </c>
      <c r="AA485">
        <v>0</v>
      </c>
      <c r="AB485">
        <v>1</v>
      </c>
      <c r="AE485">
        <v>-1</v>
      </c>
      <c r="AF485">
        <v>1</v>
      </c>
      <c r="AG485" t="s">
        <v>2234</v>
      </c>
      <c r="AH485" t="s">
        <v>209</v>
      </c>
      <c r="AI485" t="s">
        <v>231</v>
      </c>
      <c r="AK485">
        <v>1</v>
      </c>
      <c r="AT485">
        <v>1</v>
      </c>
      <c r="AV485">
        <v>0.25</v>
      </c>
      <c r="BC485" t="str">
        <f t="shared" si="213"/>
        <v>enemy_1145_atkspd</v>
      </c>
      <c r="BI485" t="s">
        <v>2235</v>
      </c>
      <c r="BJ485" t="s">
        <v>2236</v>
      </c>
      <c r="BL485" t="s">
        <v>210</v>
      </c>
      <c r="BM485" t="s">
        <v>211</v>
      </c>
      <c r="BN485" s="19" t="s">
        <v>232</v>
      </c>
      <c r="BO485" t="s">
        <v>213</v>
      </c>
      <c r="BQ485" s="19"/>
      <c r="BR485">
        <v>1</v>
      </c>
    </row>
    <row r="486" spans="1:70" ht="14.5" x14ac:dyDescent="0.25">
      <c r="A486" t="s">
        <v>2237</v>
      </c>
      <c r="B486" t="s">
        <v>206</v>
      </c>
      <c r="C486">
        <v>1</v>
      </c>
      <c r="D486" s="17" t="s">
        <v>2238</v>
      </c>
      <c r="E486" s="2">
        <v>1145</v>
      </c>
      <c r="F486" t="str">
        <f t="shared" si="212"/>
        <v>enemy_1145_atkspd_2</v>
      </c>
      <c r="G486">
        <v>1</v>
      </c>
      <c r="K486">
        <v>8000</v>
      </c>
      <c r="M486">
        <v>350</v>
      </c>
      <c r="O486">
        <v>80</v>
      </c>
      <c r="Q486">
        <v>50</v>
      </c>
      <c r="Y486">
        <v>0.05</v>
      </c>
      <c r="Z486">
        <v>3.8</v>
      </c>
      <c r="AA486">
        <v>0</v>
      </c>
      <c r="AB486">
        <v>1</v>
      </c>
      <c r="AE486">
        <v>-1</v>
      </c>
      <c r="AF486">
        <v>1</v>
      </c>
      <c r="AG486" t="s">
        <v>2239</v>
      </c>
      <c r="AH486" t="s">
        <v>209</v>
      </c>
      <c r="AI486" t="s">
        <v>231</v>
      </c>
      <c r="AK486">
        <v>1</v>
      </c>
      <c r="AT486">
        <v>1</v>
      </c>
      <c r="AV486">
        <v>0.25</v>
      </c>
      <c r="BC486" t="str">
        <f t="shared" si="213"/>
        <v>enemy_1145_atkspd_2</v>
      </c>
      <c r="BI486" t="s">
        <v>2235</v>
      </c>
      <c r="BJ486" t="s">
        <v>2240</v>
      </c>
      <c r="BL486" t="s">
        <v>210</v>
      </c>
      <c r="BM486" t="s">
        <v>211</v>
      </c>
      <c r="BN486" s="19" t="s">
        <v>232</v>
      </c>
      <c r="BO486" t="s">
        <v>213</v>
      </c>
      <c r="BQ486" s="19"/>
      <c r="BR486">
        <v>1</v>
      </c>
    </row>
    <row r="487" spans="1:70" ht="14.5" x14ac:dyDescent="0.25">
      <c r="A487" t="s">
        <v>2241</v>
      </c>
      <c r="B487" t="s">
        <v>206</v>
      </c>
      <c r="C487">
        <v>1</v>
      </c>
      <c r="D487" s="17" t="s">
        <v>2242</v>
      </c>
      <c r="E487" s="2">
        <v>1146</v>
      </c>
      <c r="F487" t="str">
        <f t="shared" si="212"/>
        <v>enemy_1146_defspd</v>
      </c>
      <c r="G487">
        <v>1</v>
      </c>
      <c r="K487">
        <v>5000</v>
      </c>
      <c r="M487">
        <v>0</v>
      </c>
      <c r="O487">
        <v>80</v>
      </c>
      <c r="Q487">
        <v>50</v>
      </c>
      <c r="Y487">
        <v>0.05</v>
      </c>
      <c r="Z487">
        <v>1</v>
      </c>
      <c r="AA487">
        <v>0</v>
      </c>
      <c r="AB487">
        <v>1</v>
      </c>
      <c r="AE487">
        <v>-1</v>
      </c>
      <c r="AF487">
        <v>1</v>
      </c>
      <c r="AG487" t="s">
        <v>2243</v>
      </c>
      <c r="AH487" t="s">
        <v>209</v>
      </c>
      <c r="AI487" t="s">
        <v>231</v>
      </c>
      <c r="AK487">
        <v>1</v>
      </c>
      <c r="AT487">
        <v>1</v>
      </c>
      <c r="AV487">
        <v>0.25</v>
      </c>
      <c r="BC487" t="str">
        <f t="shared" si="213"/>
        <v>enemy_1146_defspd</v>
      </c>
      <c r="BI487" t="s">
        <v>2244</v>
      </c>
      <c r="BJ487" t="s">
        <v>2245</v>
      </c>
      <c r="BL487" t="s">
        <v>210</v>
      </c>
      <c r="BM487" t="s">
        <v>211</v>
      </c>
      <c r="BN487" s="19" t="s">
        <v>232</v>
      </c>
      <c r="BO487" t="s">
        <v>213</v>
      </c>
      <c r="BQ487" s="19"/>
      <c r="BR487">
        <v>1</v>
      </c>
    </row>
    <row r="488" spans="1:70" ht="14.5" x14ac:dyDescent="0.25">
      <c r="A488" t="s">
        <v>2246</v>
      </c>
      <c r="B488" t="s">
        <v>206</v>
      </c>
      <c r="C488">
        <v>1</v>
      </c>
      <c r="D488" s="17" t="s">
        <v>2247</v>
      </c>
      <c r="E488" s="2">
        <v>1146</v>
      </c>
      <c r="F488" t="str">
        <f t="shared" si="212"/>
        <v>enemy_1146_defspd_2</v>
      </c>
      <c r="G488">
        <v>1</v>
      </c>
      <c r="K488">
        <v>8000</v>
      </c>
      <c r="M488">
        <v>0</v>
      </c>
      <c r="O488">
        <v>80</v>
      </c>
      <c r="Q488">
        <v>50</v>
      </c>
      <c r="Y488">
        <v>0.05</v>
      </c>
      <c r="Z488">
        <v>1</v>
      </c>
      <c r="AA488">
        <v>0</v>
      </c>
      <c r="AB488">
        <v>1</v>
      </c>
      <c r="AE488">
        <v>-1</v>
      </c>
      <c r="AF488">
        <v>1</v>
      </c>
      <c r="AG488" t="s">
        <v>2248</v>
      </c>
      <c r="AH488" t="s">
        <v>209</v>
      </c>
      <c r="AI488" t="s">
        <v>231</v>
      </c>
      <c r="AK488">
        <v>1</v>
      </c>
      <c r="AT488">
        <v>1</v>
      </c>
      <c r="AV488">
        <v>0.25</v>
      </c>
      <c r="BC488" t="str">
        <f t="shared" si="213"/>
        <v>enemy_1146_defspd_2</v>
      </c>
      <c r="BI488" t="s">
        <v>2244</v>
      </c>
      <c r="BJ488" t="s">
        <v>2249</v>
      </c>
      <c r="BL488" t="s">
        <v>210</v>
      </c>
      <c r="BM488" t="s">
        <v>211</v>
      </c>
      <c r="BN488" s="19" t="s">
        <v>232</v>
      </c>
      <c r="BO488" t="s">
        <v>213</v>
      </c>
      <c r="BQ488" s="19"/>
      <c r="BR488">
        <v>1</v>
      </c>
    </row>
    <row r="489" spans="1:70" ht="14.5" x14ac:dyDescent="0.25">
      <c r="A489" t="s">
        <v>2250</v>
      </c>
      <c r="B489" t="s">
        <v>206</v>
      </c>
      <c r="C489">
        <v>1</v>
      </c>
      <c r="D489" s="17" t="s">
        <v>2251</v>
      </c>
      <c r="E489" s="2">
        <v>1520</v>
      </c>
      <c r="F489" t="str">
        <f t="shared" si="212"/>
        <v>enemy_1520_empgrd</v>
      </c>
      <c r="G489">
        <v>1</v>
      </c>
      <c r="K489">
        <v>28000</v>
      </c>
      <c r="M489">
        <v>600</v>
      </c>
      <c r="O489">
        <v>400</v>
      </c>
      <c r="Q489">
        <v>40</v>
      </c>
      <c r="Y489">
        <v>0.05</v>
      </c>
      <c r="Z489">
        <v>4</v>
      </c>
      <c r="AA489">
        <v>6</v>
      </c>
      <c r="AB489">
        <v>0.6</v>
      </c>
      <c r="AE489">
        <v>0</v>
      </c>
      <c r="AF489">
        <v>1</v>
      </c>
      <c r="AG489" t="s">
        <v>2252</v>
      </c>
      <c r="AH489" t="s">
        <v>209</v>
      </c>
      <c r="AI489" t="s">
        <v>231</v>
      </c>
      <c r="AK489">
        <v>1</v>
      </c>
      <c r="AT489">
        <v>1</v>
      </c>
      <c r="AV489">
        <v>0.25</v>
      </c>
      <c r="BC489" t="str">
        <f t="shared" si="213"/>
        <v>enemy_1520_empgrd</v>
      </c>
      <c r="BI489" t="s">
        <v>1324</v>
      </c>
      <c r="BJ489" t="s">
        <v>2253</v>
      </c>
      <c r="BL489" t="s">
        <v>210</v>
      </c>
      <c r="BM489" t="s">
        <v>211</v>
      </c>
      <c r="BN489" s="19" t="s">
        <v>232</v>
      </c>
      <c r="BO489" t="s">
        <v>213</v>
      </c>
      <c r="BQ489" s="19"/>
      <c r="BR489">
        <v>1</v>
      </c>
    </row>
    <row r="490" spans="1:70" ht="14.5" x14ac:dyDescent="0.25">
      <c r="A490" t="s">
        <v>2254</v>
      </c>
      <c r="B490" t="s">
        <v>206</v>
      </c>
      <c r="D490" s="17" t="s">
        <v>2255</v>
      </c>
      <c r="E490" s="2">
        <v>1147</v>
      </c>
      <c r="F490" t="str">
        <f t="shared" si="212"/>
        <v>enemy_1147_dshond</v>
      </c>
      <c r="G490">
        <v>1</v>
      </c>
      <c r="K490">
        <v>3000</v>
      </c>
      <c r="M490">
        <v>280</v>
      </c>
      <c r="O490">
        <v>0</v>
      </c>
      <c r="Q490">
        <v>20</v>
      </c>
      <c r="Y490">
        <v>0.05</v>
      </c>
      <c r="Z490">
        <v>1.3</v>
      </c>
      <c r="AA490">
        <v>0</v>
      </c>
      <c r="AB490">
        <v>1.9</v>
      </c>
      <c r="AE490">
        <v>0</v>
      </c>
      <c r="AF490">
        <v>1</v>
      </c>
      <c r="AG490" t="s">
        <v>2256</v>
      </c>
      <c r="AH490" t="s">
        <v>209</v>
      </c>
      <c r="AI490" t="s">
        <v>231</v>
      </c>
      <c r="AK490">
        <v>1</v>
      </c>
      <c r="AT490">
        <v>1</v>
      </c>
      <c r="AV490">
        <v>0.25</v>
      </c>
      <c r="BC490" t="str">
        <f t="shared" si="213"/>
        <v>enemy_1147_dshond</v>
      </c>
      <c r="BI490" t="s">
        <v>2257</v>
      </c>
      <c r="BJ490" t="s">
        <v>2258</v>
      </c>
      <c r="BL490" t="s">
        <v>210</v>
      </c>
      <c r="BM490" t="s">
        <v>211</v>
      </c>
      <c r="BN490" s="19" t="s">
        <v>232</v>
      </c>
      <c r="BO490" t="s">
        <v>213</v>
      </c>
      <c r="BQ490" s="19"/>
      <c r="BR490">
        <v>1</v>
      </c>
    </row>
    <row r="491" spans="1:70" ht="14.5" x14ac:dyDescent="0.25">
      <c r="A491" t="s">
        <v>2259</v>
      </c>
      <c r="B491" t="s">
        <v>206</v>
      </c>
      <c r="D491" s="17" t="s">
        <v>2260</v>
      </c>
      <c r="E491" s="2">
        <v>1147</v>
      </c>
      <c r="F491" t="str">
        <f t="shared" si="212"/>
        <v>enemy_1147_dshond_2</v>
      </c>
      <c r="G491">
        <v>1</v>
      </c>
      <c r="K491">
        <v>4000</v>
      </c>
      <c r="M491">
        <v>340</v>
      </c>
      <c r="O491">
        <v>0</v>
      </c>
      <c r="Q491">
        <v>20</v>
      </c>
      <c r="Y491">
        <v>0.05</v>
      </c>
      <c r="Z491">
        <v>1.3</v>
      </c>
      <c r="AA491">
        <v>0</v>
      </c>
      <c r="AB491">
        <v>1.9</v>
      </c>
      <c r="AE491">
        <v>0</v>
      </c>
      <c r="AF491">
        <v>1</v>
      </c>
      <c r="AG491" t="s">
        <v>2261</v>
      </c>
      <c r="AH491" t="s">
        <v>209</v>
      </c>
      <c r="AI491" t="s">
        <v>231</v>
      </c>
      <c r="AK491">
        <v>1</v>
      </c>
      <c r="AT491">
        <v>1</v>
      </c>
      <c r="AV491">
        <v>0.25</v>
      </c>
      <c r="BC491" t="str">
        <f t="shared" si="213"/>
        <v>enemy_1147_dshond_2</v>
      </c>
      <c r="BI491" t="s">
        <v>2257</v>
      </c>
      <c r="BJ491" t="s">
        <v>2262</v>
      </c>
      <c r="BL491" t="s">
        <v>210</v>
      </c>
      <c r="BM491" t="s">
        <v>211</v>
      </c>
      <c r="BN491" s="19" t="s">
        <v>232</v>
      </c>
      <c r="BO491" t="s">
        <v>213</v>
      </c>
      <c r="BQ491" s="19"/>
      <c r="BR491">
        <v>1</v>
      </c>
    </row>
    <row r="492" spans="1:70" ht="14.5" x14ac:dyDescent="0.25">
      <c r="A492" t="s">
        <v>2263</v>
      </c>
      <c r="B492" t="s">
        <v>206</v>
      </c>
      <c r="D492" s="17" t="s">
        <v>2264</v>
      </c>
      <c r="E492" s="2">
        <v>1148</v>
      </c>
      <c r="F492" t="str">
        <f t="shared" si="212"/>
        <v>enemy_1148_dssbr</v>
      </c>
      <c r="G492">
        <v>1</v>
      </c>
      <c r="K492">
        <v>2800</v>
      </c>
      <c r="M492">
        <v>280</v>
      </c>
      <c r="O492">
        <v>130</v>
      </c>
      <c r="Q492">
        <v>10</v>
      </c>
      <c r="Y492">
        <v>0.05</v>
      </c>
      <c r="Z492">
        <v>2</v>
      </c>
      <c r="AA492">
        <v>1</v>
      </c>
      <c r="AB492">
        <v>1.1000000000000001</v>
      </c>
      <c r="AE492">
        <v>0</v>
      </c>
      <c r="AF492">
        <v>1</v>
      </c>
      <c r="AG492" t="s">
        <v>2265</v>
      </c>
      <c r="AH492" t="s">
        <v>209</v>
      </c>
      <c r="AI492" t="s">
        <v>2266</v>
      </c>
      <c r="AK492">
        <v>1</v>
      </c>
      <c r="AT492">
        <v>1</v>
      </c>
      <c r="AV492">
        <v>0.25</v>
      </c>
      <c r="BC492" t="str">
        <f t="shared" si="213"/>
        <v>enemy_1148_dssbr</v>
      </c>
      <c r="BI492" t="s">
        <v>2257</v>
      </c>
      <c r="BJ492" t="s">
        <v>2267</v>
      </c>
      <c r="BL492" t="s">
        <v>210</v>
      </c>
      <c r="BM492" t="s">
        <v>211</v>
      </c>
      <c r="BN492" s="19" t="s">
        <v>232</v>
      </c>
      <c r="BO492" t="s">
        <v>213</v>
      </c>
      <c r="BQ492" s="19"/>
      <c r="BR492">
        <v>1</v>
      </c>
    </row>
    <row r="493" spans="1:70" ht="14.5" x14ac:dyDescent="0.25">
      <c r="A493" t="s">
        <v>2268</v>
      </c>
      <c r="B493" t="s">
        <v>206</v>
      </c>
      <c r="D493" s="17" t="s">
        <v>2269</v>
      </c>
      <c r="E493" s="2">
        <v>1148</v>
      </c>
      <c r="F493" t="str">
        <f t="shared" si="212"/>
        <v>enemy_1148_dssbr_2</v>
      </c>
      <c r="G493">
        <v>1</v>
      </c>
      <c r="K493">
        <v>3600</v>
      </c>
      <c r="M493">
        <v>360</v>
      </c>
      <c r="O493">
        <v>150</v>
      </c>
      <c r="Q493">
        <v>10</v>
      </c>
      <c r="Y493">
        <v>0.05</v>
      </c>
      <c r="Z493">
        <v>2</v>
      </c>
      <c r="AA493">
        <v>1</v>
      </c>
      <c r="AB493">
        <v>1.1000000000000001</v>
      </c>
      <c r="AE493">
        <v>0</v>
      </c>
      <c r="AF493">
        <v>1</v>
      </c>
      <c r="AG493" t="s">
        <v>2270</v>
      </c>
      <c r="AH493" t="s">
        <v>209</v>
      </c>
      <c r="AI493" t="s">
        <v>2266</v>
      </c>
      <c r="AK493">
        <v>1</v>
      </c>
      <c r="AT493">
        <v>1</v>
      </c>
      <c r="AV493">
        <v>0.25</v>
      </c>
      <c r="BC493" t="str">
        <f t="shared" si="213"/>
        <v>enemy_1148_dssbr_2</v>
      </c>
      <c r="BI493" t="s">
        <v>2257</v>
      </c>
      <c r="BJ493" t="s">
        <v>2271</v>
      </c>
      <c r="BL493" t="s">
        <v>210</v>
      </c>
      <c r="BM493" t="s">
        <v>211</v>
      </c>
      <c r="BN493" s="19" t="s">
        <v>232</v>
      </c>
      <c r="BO493" t="s">
        <v>213</v>
      </c>
      <c r="BQ493" s="19"/>
      <c r="BR493">
        <v>1</v>
      </c>
    </row>
    <row r="494" spans="1:70" ht="14.5" x14ac:dyDescent="0.25">
      <c r="A494" t="s">
        <v>2272</v>
      </c>
      <c r="B494" t="s">
        <v>206</v>
      </c>
      <c r="D494" s="17" t="s">
        <v>2273</v>
      </c>
      <c r="E494" s="2">
        <v>1149</v>
      </c>
      <c r="F494" t="str">
        <f t="shared" si="212"/>
        <v>enemy_1149_dsbow</v>
      </c>
      <c r="G494">
        <v>1</v>
      </c>
      <c r="K494">
        <v>4400</v>
      </c>
      <c r="M494">
        <v>280</v>
      </c>
      <c r="O494">
        <v>160</v>
      </c>
      <c r="Q494">
        <v>20</v>
      </c>
      <c r="Y494">
        <v>0.05</v>
      </c>
      <c r="Z494">
        <v>3</v>
      </c>
      <c r="AA494">
        <v>1</v>
      </c>
      <c r="AB494">
        <v>0.75</v>
      </c>
      <c r="AE494">
        <v>0</v>
      </c>
      <c r="AF494">
        <v>1</v>
      </c>
      <c r="AG494" t="s">
        <v>2274</v>
      </c>
      <c r="AH494" t="s">
        <v>209</v>
      </c>
      <c r="AI494" t="s">
        <v>2275</v>
      </c>
      <c r="AK494">
        <v>1</v>
      </c>
      <c r="AT494">
        <v>1</v>
      </c>
      <c r="AV494">
        <v>0.25</v>
      </c>
      <c r="BC494" t="str">
        <f t="shared" si="213"/>
        <v>enemy_1149_dsbow</v>
      </c>
      <c r="BI494" t="s">
        <v>2276</v>
      </c>
      <c r="BJ494" t="s">
        <v>2277</v>
      </c>
      <c r="BL494" t="s">
        <v>210</v>
      </c>
      <c r="BM494" t="s">
        <v>211</v>
      </c>
      <c r="BN494" s="19" t="s">
        <v>232</v>
      </c>
      <c r="BO494" t="s">
        <v>213</v>
      </c>
      <c r="BQ494" s="19"/>
      <c r="BR494">
        <v>1</v>
      </c>
    </row>
    <row r="495" spans="1:70" ht="14.5" x14ac:dyDescent="0.25">
      <c r="A495" t="s">
        <v>2278</v>
      </c>
      <c r="B495" t="s">
        <v>206</v>
      </c>
      <c r="D495" s="17" t="s">
        <v>2279</v>
      </c>
      <c r="E495" s="2">
        <v>1149</v>
      </c>
      <c r="F495" t="str">
        <f t="shared" si="212"/>
        <v>enemy_1149_dsbow_2</v>
      </c>
      <c r="G495">
        <v>1</v>
      </c>
      <c r="K495">
        <v>5000</v>
      </c>
      <c r="M495">
        <v>320</v>
      </c>
      <c r="O495">
        <v>200</v>
      </c>
      <c r="Q495">
        <v>20</v>
      </c>
      <c r="Y495">
        <v>0.05</v>
      </c>
      <c r="Z495">
        <v>3</v>
      </c>
      <c r="AA495">
        <v>1</v>
      </c>
      <c r="AB495">
        <v>0.75</v>
      </c>
      <c r="AE495">
        <v>0</v>
      </c>
      <c r="AF495">
        <v>1</v>
      </c>
      <c r="AG495" t="s">
        <v>2280</v>
      </c>
      <c r="AH495" t="s">
        <v>209</v>
      </c>
      <c r="AI495" t="s">
        <v>2275</v>
      </c>
      <c r="AK495">
        <v>1</v>
      </c>
      <c r="AT495">
        <v>1</v>
      </c>
      <c r="AV495">
        <v>0.25</v>
      </c>
      <c r="BC495" t="str">
        <f t="shared" si="213"/>
        <v>enemy_1149_dsbow_2</v>
      </c>
      <c r="BI495" t="s">
        <v>2276</v>
      </c>
      <c r="BJ495" t="s">
        <v>2281</v>
      </c>
      <c r="BL495" t="s">
        <v>210</v>
      </c>
      <c r="BM495" t="s">
        <v>211</v>
      </c>
      <c r="BN495" s="19" t="s">
        <v>232</v>
      </c>
      <c r="BO495" t="s">
        <v>213</v>
      </c>
      <c r="BQ495" s="19"/>
      <c r="BR495">
        <v>1</v>
      </c>
    </row>
    <row r="496" spans="1:70" ht="14.5" x14ac:dyDescent="0.25">
      <c r="A496" t="s">
        <v>2282</v>
      </c>
      <c r="B496" t="s">
        <v>206</v>
      </c>
      <c r="D496" s="17" t="s">
        <v>2283</v>
      </c>
      <c r="E496" s="2">
        <v>1150</v>
      </c>
      <c r="F496" t="str">
        <f t="shared" si="212"/>
        <v>enemy_1150_dsjely</v>
      </c>
      <c r="G496">
        <v>1</v>
      </c>
      <c r="K496">
        <v>3000</v>
      </c>
      <c r="M496">
        <v>220</v>
      </c>
      <c r="O496">
        <v>200</v>
      </c>
      <c r="Q496">
        <v>20</v>
      </c>
      <c r="Y496">
        <v>0.05</v>
      </c>
      <c r="Z496">
        <v>3</v>
      </c>
      <c r="AA496">
        <v>0</v>
      </c>
      <c r="AB496">
        <v>0.75</v>
      </c>
      <c r="AE496">
        <v>0</v>
      </c>
      <c r="AF496">
        <v>1</v>
      </c>
      <c r="AG496" t="s">
        <v>2284</v>
      </c>
      <c r="AH496" t="s">
        <v>209</v>
      </c>
      <c r="AI496" t="s">
        <v>2285</v>
      </c>
      <c r="AK496">
        <v>1</v>
      </c>
      <c r="AL496">
        <v>1</v>
      </c>
      <c r="AT496">
        <v>1</v>
      </c>
      <c r="AV496">
        <v>0.25</v>
      </c>
      <c r="BC496" t="str">
        <f t="shared" si="213"/>
        <v>enemy_1150_dsjely</v>
      </c>
      <c r="BI496" t="s">
        <v>2276</v>
      </c>
      <c r="BJ496" t="s">
        <v>2286</v>
      </c>
      <c r="BL496" t="s">
        <v>210</v>
      </c>
      <c r="BM496" t="s">
        <v>211</v>
      </c>
      <c r="BN496" s="19" t="s">
        <v>232</v>
      </c>
      <c r="BO496" t="s">
        <v>213</v>
      </c>
      <c r="BQ496" s="19"/>
      <c r="BR496">
        <v>1</v>
      </c>
    </row>
    <row r="497" spans="1:70" ht="14.5" x14ac:dyDescent="0.25">
      <c r="A497" t="s">
        <v>2287</v>
      </c>
      <c r="B497" t="s">
        <v>206</v>
      </c>
      <c r="D497" s="17" t="s">
        <v>2288</v>
      </c>
      <c r="E497" s="2">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2289</v>
      </c>
      <c r="AH497" t="s">
        <v>209</v>
      </c>
      <c r="AI497" t="s">
        <v>2285</v>
      </c>
      <c r="AK497">
        <v>1</v>
      </c>
      <c r="AL497">
        <v>1</v>
      </c>
      <c r="AT497">
        <v>1</v>
      </c>
      <c r="AV497">
        <v>0.25</v>
      </c>
      <c r="BC497" t="str">
        <f t="shared" ref="BC497:BC560" si="215">"enemy_"&amp;E497&amp;"_"&amp;D497</f>
        <v>enemy_1150_dsjely_2</v>
      </c>
      <c r="BI497" t="s">
        <v>2276</v>
      </c>
      <c r="BJ497" t="s">
        <v>2290</v>
      </c>
      <c r="BL497" t="s">
        <v>210</v>
      </c>
      <c r="BM497" t="s">
        <v>211</v>
      </c>
      <c r="BN497" s="19" t="s">
        <v>232</v>
      </c>
      <c r="BO497" t="s">
        <v>213</v>
      </c>
      <c r="BQ497" s="19"/>
      <c r="BR497">
        <v>1</v>
      </c>
    </row>
    <row r="498" spans="1:70" ht="14.5" x14ac:dyDescent="0.25">
      <c r="A498" t="s">
        <v>2291</v>
      </c>
      <c r="B498" t="s">
        <v>206</v>
      </c>
      <c r="D498" s="17" t="s">
        <v>2292</v>
      </c>
      <c r="E498" s="2">
        <v>1151</v>
      </c>
      <c r="F498" t="str">
        <f t="shared" si="214"/>
        <v>enemy_1151_dslntc</v>
      </c>
      <c r="G498">
        <v>1</v>
      </c>
      <c r="K498">
        <v>20000</v>
      </c>
      <c r="M498">
        <v>400</v>
      </c>
      <c r="O498">
        <v>800</v>
      </c>
      <c r="Q498">
        <v>75</v>
      </c>
      <c r="Y498">
        <v>0.05</v>
      </c>
      <c r="Z498">
        <v>3</v>
      </c>
      <c r="AA498">
        <v>2</v>
      </c>
      <c r="AB498">
        <v>0.3</v>
      </c>
      <c r="AE498">
        <v>0</v>
      </c>
      <c r="AF498">
        <v>1</v>
      </c>
      <c r="AG498" t="s">
        <v>2293</v>
      </c>
      <c r="AH498" t="s">
        <v>209</v>
      </c>
      <c r="AI498" t="s">
        <v>2294</v>
      </c>
      <c r="AK498">
        <v>1</v>
      </c>
      <c r="AT498">
        <v>1</v>
      </c>
      <c r="AV498">
        <v>0.25</v>
      </c>
      <c r="BC498" t="str">
        <f t="shared" si="215"/>
        <v>enemy_1151_dslntc</v>
      </c>
      <c r="BI498" t="s">
        <v>2295</v>
      </c>
      <c r="BJ498" t="s">
        <v>2296</v>
      </c>
      <c r="BL498" t="s">
        <v>210</v>
      </c>
      <c r="BM498" t="s">
        <v>211</v>
      </c>
      <c r="BN498" s="19" t="s">
        <v>232</v>
      </c>
      <c r="BO498" t="s">
        <v>213</v>
      </c>
      <c r="BQ498" s="19"/>
      <c r="BR498">
        <v>1</v>
      </c>
    </row>
    <row r="499" spans="1:70" ht="14.5" x14ac:dyDescent="0.25">
      <c r="A499" t="s">
        <v>2297</v>
      </c>
      <c r="B499" t="s">
        <v>206</v>
      </c>
      <c r="D499" s="17" t="s">
        <v>2298</v>
      </c>
      <c r="E499" s="2">
        <v>1151</v>
      </c>
      <c r="F499" t="str">
        <f t="shared" si="214"/>
        <v>enemy_1151_dslntc_2</v>
      </c>
      <c r="G499">
        <v>1</v>
      </c>
      <c r="K499">
        <v>25000</v>
      </c>
      <c r="M499">
        <v>500</v>
      </c>
      <c r="O499">
        <v>800</v>
      </c>
      <c r="Q499">
        <v>75</v>
      </c>
      <c r="Y499">
        <v>0.05</v>
      </c>
      <c r="Z499">
        <v>2</v>
      </c>
      <c r="AA499">
        <v>2</v>
      </c>
      <c r="AB499">
        <v>0.3</v>
      </c>
      <c r="AE499">
        <v>0</v>
      </c>
      <c r="AF499">
        <v>1</v>
      </c>
      <c r="AG499" t="s">
        <v>2299</v>
      </c>
      <c r="AH499" t="s">
        <v>209</v>
      </c>
      <c r="AI499" t="s">
        <v>2294</v>
      </c>
      <c r="AK499">
        <v>1</v>
      </c>
      <c r="AT499">
        <v>1</v>
      </c>
      <c r="AV499">
        <v>0.25</v>
      </c>
      <c r="BC499" t="str">
        <f t="shared" si="215"/>
        <v>enemy_1151_dslntc_2</v>
      </c>
      <c r="BI499" t="s">
        <v>2295</v>
      </c>
      <c r="BJ499" t="s">
        <v>2296</v>
      </c>
      <c r="BL499" t="s">
        <v>210</v>
      </c>
      <c r="BM499" t="s">
        <v>211</v>
      </c>
      <c r="BN499" s="19" t="s">
        <v>232</v>
      </c>
      <c r="BO499" t="s">
        <v>213</v>
      </c>
      <c r="BQ499" s="19"/>
      <c r="BR499">
        <v>1</v>
      </c>
    </row>
    <row r="500" spans="1:70" ht="14.5" x14ac:dyDescent="0.25">
      <c r="A500" t="s">
        <v>2300</v>
      </c>
      <c r="B500" t="s">
        <v>206</v>
      </c>
      <c r="D500" s="17" t="s">
        <v>2301</v>
      </c>
      <c r="E500" s="2">
        <v>1152</v>
      </c>
      <c r="F500" t="str">
        <f t="shared" si="214"/>
        <v>enemy_1152_dsurch</v>
      </c>
      <c r="G500">
        <v>1</v>
      </c>
      <c r="K500">
        <v>25000</v>
      </c>
      <c r="M500">
        <v>300</v>
      </c>
      <c r="O500">
        <v>0</v>
      </c>
      <c r="Q500">
        <v>0</v>
      </c>
      <c r="Y500">
        <v>0.05</v>
      </c>
      <c r="Z500">
        <v>3</v>
      </c>
      <c r="AA500">
        <v>4</v>
      </c>
      <c r="AB500">
        <v>0.4</v>
      </c>
      <c r="AE500">
        <v>0</v>
      </c>
      <c r="AF500">
        <v>1</v>
      </c>
      <c r="AG500" t="s">
        <v>2302</v>
      </c>
      <c r="AH500" t="s">
        <v>209</v>
      </c>
      <c r="AI500" t="s">
        <v>2303</v>
      </c>
      <c r="AK500">
        <v>1</v>
      </c>
      <c r="AT500">
        <v>1</v>
      </c>
      <c r="AV500">
        <v>0.25</v>
      </c>
      <c r="BC500" t="str">
        <f t="shared" si="215"/>
        <v>enemy_1152_dsurch</v>
      </c>
      <c r="BI500" t="s">
        <v>2304</v>
      </c>
      <c r="BJ500" t="s">
        <v>2305</v>
      </c>
      <c r="BL500" t="s">
        <v>210</v>
      </c>
      <c r="BM500" t="s">
        <v>211</v>
      </c>
      <c r="BN500" s="19" t="s">
        <v>232</v>
      </c>
      <c r="BO500" t="s">
        <v>213</v>
      </c>
      <c r="BQ500" s="19"/>
      <c r="BR500">
        <v>1</v>
      </c>
    </row>
    <row r="501" spans="1:70" ht="14.5" x14ac:dyDescent="0.25">
      <c r="A501" t="s">
        <v>2306</v>
      </c>
      <c r="B501" t="s">
        <v>206</v>
      </c>
      <c r="D501" s="17" t="s">
        <v>2307</v>
      </c>
      <c r="E501" s="2">
        <v>1152</v>
      </c>
      <c r="F501" t="str">
        <f t="shared" si="214"/>
        <v>enemy_1152_dsurch_2</v>
      </c>
      <c r="G501">
        <v>1</v>
      </c>
      <c r="K501">
        <v>35000</v>
      </c>
      <c r="M501">
        <v>400</v>
      </c>
      <c r="O501">
        <v>0</v>
      </c>
      <c r="Q501">
        <v>0</v>
      </c>
      <c r="Y501">
        <v>0.05</v>
      </c>
      <c r="Z501">
        <v>3</v>
      </c>
      <c r="AA501">
        <v>4</v>
      </c>
      <c r="AB501">
        <v>0.4</v>
      </c>
      <c r="AE501">
        <v>0</v>
      </c>
      <c r="AF501">
        <v>1</v>
      </c>
      <c r="AG501" t="s">
        <v>2308</v>
      </c>
      <c r="AH501" t="s">
        <v>209</v>
      </c>
      <c r="AI501" t="s">
        <v>2303</v>
      </c>
      <c r="AK501">
        <v>1</v>
      </c>
      <c r="AT501">
        <v>1</v>
      </c>
      <c r="AV501">
        <v>0.25</v>
      </c>
      <c r="BC501" t="str">
        <f t="shared" si="215"/>
        <v>enemy_1152_dsurch_2</v>
      </c>
      <c r="BI501" t="s">
        <v>2304</v>
      </c>
      <c r="BJ501" t="s">
        <v>2309</v>
      </c>
      <c r="BL501" t="s">
        <v>210</v>
      </c>
      <c r="BM501" t="s">
        <v>211</v>
      </c>
      <c r="BN501" s="19" t="s">
        <v>232</v>
      </c>
      <c r="BO501" t="s">
        <v>213</v>
      </c>
      <c r="BQ501" s="19"/>
      <c r="BR501">
        <v>1</v>
      </c>
    </row>
    <row r="502" spans="1:70" ht="14.5" x14ac:dyDescent="0.25">
      <c r="A502" t="s">
        <v>2310</v>
      </c>
      <c r="B502" t="s">
        <v>206</v>
      </c>
      <c r="D502" s="17" t="s">
        <v>2311</v>
      </c>
      <c r="E502" s="2">
        <v>1153</v>
      </c>
      <c r="F502" t="str">
        <f t="shared" si="214"/>
        <v>enemy_1153_dsexcu</v>
      </c>
      <c r="G502">
        <v>1</v>
      </c>
      <c r="K502">
        <v>9000</v>
      </c>
      <c r="M502">
        <v>550</v>
      </c>
      <c r="O502">
        <v>240</v>
      </c>
      <c r="Q502">
        <v>20</v>
      </c>
      <c r="Y502">
        <v>0.05</v>
      </c>
      <c r="Z502">
        <v>3.5</v>
      </c>
      <c r="AA502">
        <v>3</v>
      </c>
      <c r="AB502">
        <v>0.75</v>
      </c>
      <c r="AE502">
        <v>0</v>
      </c>
      <c r="AF502">
        <v>1</v>
      </c>
      <c r="AG502" t="s">
        <v>2312</v>
      </c>
      <c r="AH502" t="s">
        <v>209</v>
      </c>
      <c r="AI502" t="s">
        <v>2313</v>
      </c>
      <c r="AK502">
        <v>1</v>
      </c>
      <c r="AT502">
        <v>1</v>
      </c>
      <c r="AV502">
        <v>0.25</v>
      </c>
      <c r="BC502" t="str">
        <f t="shared" si="215"/>
        <v>enemy_1153_dsexcu</v>
      </c>
      <c r="BI502" t="s">
        <v>2314</v>
      </c>
      <c r="BJ502" t="s">
        <v>2315</v>
      </c>
      <c r="BL502" t="s">
        <v>210</v>
      </c>
      <c r="BM502" t="s">
        <v>211</v>
      </c>
      <c r="BN502" s="19" t="s">
        <v>232</v>
      </c>
      <c r="BO502" t="s">
        <v>213</v>
      </c>
      <c r="BQ502" s="19"/>
      <c r="BR502">
        <v>1</v>
      </c>
    </row>
    <row r="503" spans="1:70" ht="14.5" x14ac:dyDescent="0.25">
      <c r="A503" t="s">
        <v>2316</v>
      </c>
      <c r="B503" t="s">
        <v>206</v>
      </c>
      <c r="D503" s="17" t="s">
        <v>2317</v>
      </c>
      <c r="E503" s="2">
        <v>1153</v>
      </c>
      <c r="F503" t="str">
        <f t="shared" si="214"/>
        <v>enemy_1153_dsexcu_2</v>
      </c>
      <c r="G503">
        <v>1</v>
      </c>
      <c r="K503">
        <v>12500</v>
      </c>
      <c r="M503">
        <v>700</v>
      </c>
      <c r="O503">
        <v>240</v>
      </c>
      <c r="Q503">
        <v>20</v>
      </c>
      <c r="Y503">
        <v>0.05</v>
      </c>
      <c r="Z503">
        <v>3.5</v>
      </c>
      <c r="AA503">
        <v>3</v>
      </c>
      <c r="AB503">
        <v>0.75</v>
      </c>
      <c r="AE503">
        <v>0</v>
      </c>
      <c r="AF503">
        <v>1</v>
      </c>
      <c r="AG503" t="s">
        <v>2318</v>
      </c>
      <c r="AH503" t="s">
        <v>209</v>
      </c>
      <c r="AI503" t="s">
        <v>2313</v>
      </c>
      <c r="AK503">
        <v>1</v>
      </c>
      <c r="AT503">
        <v>1</v>
      </c>
      <c r="AV503">
        <v>0.25</v>
      </c>
      <c r="BC503" t="str">
        <f t="shared" si="215"/>
        <v>enemy_1153_dsexcu_2</v>
      </c>
      <c r="BI503" t="s">
        <v>2314</v>
      </c>
      <c r="BJ503" t="s">
        <v>2319</v>
      </c>
      <c r="BL503" t="s">
        <v>210</v>
      </c>
      <c r="BM503" t="s">
        <v>211</v>
      </c>
      <c r="BN503" s="19" t="s">
        <v>232</v>
      </c>
      <c r="BO503" t="s">
        <v>213</v>
      </c>
      <c r="BQ503" s="19"/>
      <c r="BR503">
        <v>1</v>
      </c>
    </row>
    <row r="504" spans="1:70" ht="14.5" x14ac:dyDescent="0.25">
      <c r="A504" t="s">
        <v>2320</v>
      </c>
      <c r="B504" t="s">
        <v>206</v>
      </c>
      <c r="C504">
        <v>1</v>
      </c>
      <c r="D504" s="17" t="s">
        <v>2321</v>
      </c>
      <c r="E504" s="2">
        <v>1154</v>
      </c>
      <c r="F504" t="str">
        <f t="shared" si="214"/>
        <v>enemy_1154_dsmant</v>
      </c>
      <c r="G504">
        <v>1</v>
      </c>
      <c r="K504">
        <v>21000</v>
      </c>
      <c r="M504">
        <v>600</v>
      </c>
      <c r="O504">
        <v>500</v>
      </c>
      <c r="Q504">
        <v>20</v>
      </c>
      <c r="Y504">
        <v>0.05</v>
      </c>
      <c r="Z504">
        <v>3</v>
      </c>
      <c r="AA504">
        <v>4</v>
      </c>
      <c r="AB504">
        <v>0.8</v>
      </c>
      <c r="AE504">
        <v>0</v>
      </c>
      <c r="AF504">
        <v>1</v>
      </c>
      <c r="AG504" t="s">
        <v>2322</v>
      </c>
      <c r="AH504" t="s">
        <v>209</v>
      </c>
      <c r="AI504" t="s">
        <v>2323</v>
      </c>
      <c r="AK504">
        <v>1</v>
      </c>
      <c r="AT504">
        <v>1</v>
      </c>
      <c r="AV504">
        <v>0.25</v>
      </c>
      <c r="BC504" t="str">
        <f t="shared" si="215"/>
        <v>enemy_1154_dsmant</v>
      </c>
      <c r="BI504" t="s">
        <v>2314</v>
      </c>
      <c r="BJ504" t="s">
        <v>2324</v>
      </c>
      <c r="BL504" t="s">
        <v>210</v>
      </c>
      <c r="BM504" t="s">
        <v>211</v>
      </c>
      <c r="BN504" s="19" t="s">
        <v>232</v>
      </c>
      <c r="BO504" t="s">
        <v>213</v>
      </c>
      <c r="BQ504" s="19"/>
      <c r="BR504">
        <v>1</v>
      </c>
    </row>
    <row r="505" spans="1:70" ht="14.5" x14ac:dyDescent="0.25">
      <c r="A505" t="s">
        <v>2325</v>
      </c>
      <c r="B505" t="s">
        <v>206</v>
      </c>
      <c r="C505">
        <v>1</v>
      </c>
      <c r="D505" s="17" t="s">
        <v>2326</v>
      </c>
      <c r="E505" s="2">
        <v>1155</v>
      </c>
      <c r="F505" t="str">
        <f t="shared" si="214"/>
        <v>enemy_1155_dsrobt</v>
      </c>
      <c r="G505">
        <v>1</v>
      </c>
      <c r="K505">
        <v>6000</v>
      </c>
      <c r="M505">
        <v>0</v>
      </c>
      <c r="O505">
        <v>0</v>
      </c>
      <c r="Q505">
        <v>0</v>
      </c>
      <c r="Y505">
        <v>0.05</v>
      </c>
      <c r="Z505">
        <v>3</v>
      </c>
      <c r="AA505">
        <v>0</v>
      </c>
      <c r="AB505">
        <v>0.6</v>
      </c>
      <c r="AE505">
        <v>0</v>
      </c>
      <c r="AF505">
        <v>1</v>
      </c>
      <c r="AG505" t="s">
        <v>2327</v>
      </c>
      <c r="AH505" t="s">
        <v>209</v>
      </c>
      <c r="AI505" t="s">
        <v>231</v>
      </c>
      <c r="AK505">
        <v>1</v>
      </c>
      <c r="AT505">
        <v>1</v>
      </c>
      <c r="AV505">
        <v>0.25</v>
      </c>
      <c r="BC505" t="str">
        <f t="shared" si="215"/>
        <v>enemy_1155_dsrobt</v>
      </c>
      <c r="BI505" t="s">
        <v>1022</v>
      </c>
      <c r="BJ505" t="s">
        <v>2328</v>
      </c>
      <c r="BL505" t="s">
        <v>210</v>
      </c>
      <c r="BM505" t="s">
        <v>211</v>
      </c>
      <c r="BN505" s="19" t="s">
        <v>232</v>
      </c>
      <c r="BO505" t="s">
        <v>213</v>
      </c>
      <c r="BQ505" s="19"/>
      <c r="BR505">
        <v>1</v>
      </c>
    </row>
    <row r="506" spans="1:70" ht="14.5" x14ac:dyDescent="0.25">
      <c r="A506" t="s">
        <v>2329</v>
      </c>
      <c r="B506" t="s">
        <v>206</v>
      </c>
      <c r="D506" s="17" t="s">
        <v>2330</v>
      </c>
      <c r="E506" s="2">
        <v>1521</v>
      </c>
      <c r="F506" t="str">
        <f t="shared" si="214"/>
        <v>enemy_1521_dslily</v>
      </c>
      <c r="G506">
        <v>1</v>
      </c>
      <c r="K506">
        <v>100000</v>
      </c>
      <c r="M506">
        <v>380</v>
      </c>
      <c r="O506">
        <v>500</v>
      </c>
      <c r="Q506">
        <v>50</v>
      </c>
      <c r="Y506">
        <v>0.05</v>
      </c>
      <c r="Z506">
        <v>3.5</v>
      </c>
      <c r="AA506">
        <v>99</v>
      </c>
      <c r="AB506">
        <v>1</v>
      </c>
      <c r="AE506">
        <v>-2</v>
      </c>
      <c r="AF506">
        <v>1</v>
      </c>
      <c r="AG506" t="s">
        <v>2331</v>
      </c>
      <c r="AH506" t="s">
        <v>209</v>
      </c>
      <c r="AI506" t="s">
        <v>2332</v>
      </c>
      <c r="AK506">
        <v>1</v>
      </c>
      <c r="AT506">
        <v>1</v>
      </c>
      <c r="AV506">
        <v>0.25</v>
      </c>
      <c r="AW506" t="s">
        <v>2333</v>
      </c>
      <c r="BC506" t="str">
        <f t="shared" si="215"/>
        <v>enemy_1521_dslily</v>
      </c>
      <c r="BI506" t="s">
        <v>2334</v>
      </c>
      <c r="BJ506" t="s">
        <v>2335</v>
      </c>
      <c r="BL506" t="s">
        <v>210</v>
      </c>
      <c r="BM506" t="s">
        <v>211</v>
      </c>
      <c r="BN506" s="19"/>
      <c r="BO506" t="s">
        <v>213</v>
      </c>
      <c r="BQ506" s="19"/>
      <c r="BR506">
        <v>1</v>
      </c>
    </row>
    <row r="507" spans="1:70" ht="14.5" x14ac:dyDescent="0.25">
      <c r="A507" t="s">
        <v>2336</v>
      </c>
      <c r="B507" t="s">
        <v>206</v>
      </c>
      <c r="C507">
        <v>1</v>
      </c>
      <c r="D507" s="17" t="s">
        <v>2337</v>
      </c>
      <c r="E507" s="2">
        <v>1156</v>
      </c>
      <c r="F507" t="str">
        <f t="shared" si="214"/>
        <v>enemy_1156_hymhr</v>
      </c>
      <c r="G507">
        <v>1</v>
      </c>
      <c r="K507">
        <v>40000</v>
      </c>
      <c r="M507">
        <v>500</v>
      </c>
      <c r="O507">
        <v>500</v>
      </c>
      <c r="Q507">
        <v>60</v>
      </c>
      <c r="Y507">
        <v>0.05</v>
      </c>
      <c r="Z507">
        <v>1</v>
      </c>
      <c r="AA507">
        <v>4</v>
      </c>
      <c r="AB507">
        <v>1.2</v>
      </c>
      <c r="AE507">
        <v>0</v>
      </c>
      <c r="AF507">
        <v>1</v>
      </c>
      <c r="AG507" t="s">
        <v>2338</v>
      </c>
      <c r="AH507" t="s">
        <v>209</v>
      </c>
      <c r="AI507" t="s">
        <v>231</v>
      </c>
      <c r="AK507">
        <v>1</v>
      </c>
      <c r="AT507">
        <v>1</v>
      </c>
      <c r="AV507">
        <v>0.25</v>
      </c>
      <c r="BC507" t="str">
        <f t="shared" si="215"/>
        <v>enemy_1156_hymhr</v>
      </c>
      <c r="BI507" t="s">
        <v>1744</v>
      </c>
      <c r="BJ507" t="s">
        <v>2339</v>
      </c>
      <c r="BL507" t="s">
        <v>210</v>
      </c>
      <c r="BM507" t="s">
        <v>211</v>
      </c>
      <c r="BN507" s="19" t="s">
        <v>232</v>
      </c>
      <c r="BO507" t="s">
        <v>213</v>
      </c>
      <c r="BQ507" s="19"/>
      <c r="BR507">
        <v>1</v>
      </c>
    </row>
    <row r="508" spans="1:70" ht="14.5" x14ac:dyDescent="0.25">
      <c r="A508" t="s">
        <v>2340</v>
      </c>
      <c r="B508" t="s">
        <v>206</v>
      </c>
      <c r="C508">
        <v>1</v>
      </c>
      <c r="D508" s="17" t="s">
        <v>2341</v>
      </c>
      <c r="E508" s="2">
        <v>1157</v>
      </c>
      <c r="F508" t="str">
        <f t="shared" si="214"/>
        <v>enemy_1157_hymwr</v>
      </c>
      <c r="G508">
        <v>1</v>
      </c>
      <c r="K508">
        <v>40000</v>
      </c>
      <c r="M508">
        <v>1200</v>
      </c>
      <c r="O508">
        <v>1000</v>
      </c>
      <c r="Q508">
        <v>40</v>
      </c>
      <c r="Y508">
        <v>0.05</v>
      </c>
      <c r="Z508">
        <v>3</v>
      </c>
      <c r="AA508">
        <v>6</v>
      </c>
      <c r="AB508">
        <v>0.7</v>
      </c>
      <c r="AE508">
        <v>0</v>
      </c>
      <c r="AF508">
        <v>1</v>
      </c>
      <c r="AG508" t="s">
        <v>2342</v>
      </c>
      <c r="AH508" t="s">
        <v>209</v>
      </c>
      <c r="AI508" t="s">
        <v>231</v>
      </c>
      <c r="AK508">
        <v>1</v>
      </c>
      <c r="AT508">
        <v>1</v>
      </c>
      <c r="AV508">
        <v>0.25</v>
      </c>
      <c r="BC508" t="str">
        <f t="shared" si="215"/>
        <v>enemy_1157_hymwr</v>
      </c>
      <c r="BI508" t="s">
        <v>1909</v>
      </c>
      <c r="BJ508" t="s">
        <v>2343</v>
      </c>
      <c r="BL508" t="s">
        <v>210</v>
      </c>
      <c r="BM508" t="s">
        <v>211</v>
      </c>
      <c r="BN508" s="19" t="s">
        <v>232</v>
      </c>
      <c r="BO508" t="s">
        <v>213</v>
      </c>
      <c r="BQ508" s="19"/>
      <c r="BR508">
        <v>1</v>
      </c>
    </row>
    <row r="509" spans="1:70" ht="14.5" x14ac:dyDescent="0.25">
      <c r="A509" t="s">
        <v>2344</v>
      </c>
      <c r="B509" t="s">
        <v>206</v>
      </c>
      <c r="C509">
        <v>1</v>
      </c>
      <c r="D509" s="17" t="s">
        <v>2345</v>
      </c>
      <c r="E509" s="2">
        <v>1158</v>
      </c>
      <c r="F509" t="str">
        <f t="shared" si="214"/>
        <v>enemy_1158_divman</v>
      </c>
      <c r="G509">
        <v>1</v>
      </c>
      <c r="K509">
        <v>3300</v>
      </c>
      <c r="M509">
        <v>240</v>
      </c>
      <c r="O509">
        <v>150</v>
      </c>
      <c r="Q509">
        <v>20</v>
      </c>
      <c r="Y509">
        <v>0.05</v>
      </c>
      <c r="Z509">
        <v>2.7</v>
      </c>
      <c r="AA509">
        <v>1</v>
      </c>
      <c r="AB509">
        <v>0.9</v>
      </c>
      <c r="AE509">
        <v>0</v>
      </c>
      <c r="AF509">
        <v>1</v>
      </c>
      <c r="AG509" t="s">
        <v>2346</v>
      </c>
      <c r="AH509" t="s">
        <v>209</v>
      </c>
      <c r="AI509" t="s">
        <v>231</v>
      </c>
      <c r="AK509">
        <v>1</v>
      </c>
      <c r="AT509">
        <v>1</v>
      </c>
      <c r="AV509">
        <v>0.25</v>
      </c>
      <c r="BC509" t="str">
        <f t="shared" si="215"/>
        <v>enemy_1158_divman</v>
      </c>
      <c r="BI509" t="s">
        <v>941</v>
      </c>
      <c r="BJ509" t="s">
        <v>2347</v>
      </c>
      <c r="BL509" t="s">
        <v>210</v>
      </c>
      <c r="BM509" t="s">
        <v>2348</v>
      </c>
      <c r="BN509" t="s">
        <v>2349</v>
      </c>
      <c r="BO509" t="s">
        <v>213</v>
      </c>
      <c r="BQ509" s="19"/>
      <c r="BR509">
        <v>1</v>
      </c>
    </row>
    <row r="510" spans="1:70" ht="14.5" x14ac:dyDescent="0.25">
      <c r="A510" t="s">
        <v>2350</v>
      </c>
      <c r="B510" t="s">
        <v>206</v>
      </c>
      <c r="C510">
        <v>1</v>
      </c>
      <c r="D510" s="17" t="s">
        <v>2351</v>
      </c>
      <c r="E510" s="2">
        <v>1158</v>
      </c>
      <c r="F510" t="str">
        <f t="shared" si="214"/>
        <v>enemy_1158_divman_2</v>
      </c>
      <c r="G510">
        <v>1</v>
      </c>
      <c r="K510">
        <v>4000</v>
      </c>
      <c r="M510">
        <v>320</v>
      </c>
      <c r="O510">
        <v>200</v>
      </c>
      <c r="Q510">
        <v>20</v>
      </c>
      <c r="Y510">
        <v>0.05</v>
      </c>
      <c r="Z510">
        <v>2.7</v>
      </c>
      <c r="AA510">
        <v>1</v>
      </c>
      <c r="AB510">
        <v>0.9</v>
      </c>
      <c r="AE510">
        <v>0</v>
      </c>
      <c r="AF510">
        <v>1</v>
      </c>
      <c r="AG510" t="s">
        <v>2352</v>
      </c>
      <c r="AH510" t="s">
        <v>209</v>
      </c>
      <c r="AI510" t="s">
        <v>231</v>
      </c>
      <c r="AK510">
        <v>1</v>
      </c>
      <c r="AT510">
        <v>1</v>
      </c>
      <c r="AV510">
        <v>0.25</v>
      </c>
      <c r="BC510" t="str">
        <f t="shared" si="215"/>
        <v>enemy_1158_divman_2</v>
      </c>
      <c r="BI510" t="s">
        <v>941</v>
      </c>
      <c r="BJ510" t="s">
        <v>2347</v>
      </c>
      <c r="BL510" t="s">
        <v>210</v>
      </c>
      <c r="BM510" t="s">
        <v>2348</v>
      </c>
      <c r="BN510" t="s">
        <v>2349</v>
      </c>
      <c r="BO510" t="s">
        <v>213</v>
      </c>
      <c r="BQ510" s="19"/>
      <c r="BR510">
        <v>1</v>
      </c>
    </row>
    <row r="511" spans="1:70" ht="14.5" x14ac:dyDescent="0.25">
      <c r="A511" t="s">
        <v>2353</v>
      </c>
      <c r="B511" t="s">
        <v>206</v>
      </c>
      <c r="C511">
        <v>1</v>
      </c>
      <c r="D511" s="17" t="s">
        <v>2354</v>
      </c>
      <c r="E511" s="2">
        <v>1159</v>
      </c>
      <c r="F511" t="str">
        <f t="shared" si="214"/>
        <v>enemy_1159_swfmob</v>
      </c>
      <c r="G511">
        <v>1</v>
      </c>
      <c r="K511">
        <v>2800</v>
      </c>
      <c r="M511">
        <v>280</v>
      </c>
      <c r="O511">
        <v>100</v>
      </c>
      <c r="Q511">
        <v>0</v>
      </c>
      <c r="Y511">
        <v>0.05</v>
      </c>
      <c r="Z511">
        <v>2</v>
      </c>
      <c r="AA511">
        <v>1</v>
      </c>
      <c r="AB511">
        <v>1</v>
      </c>
      <c r="AE511">
        <v>0</v>
      </c>
      <c r="AF511">
        <v>1</v>
      </c>
      <c r="AG511" t="s">
        <v>2355</v>
      </c>
      <c r="AH511" t="s">
        <v>209</v>
      </c>
      <c r="AI511" t="s">
        <v>231</v>
      </c>
      <c r="AK511">
        <v>1</v>
      </c>
      <c r="AT511">
        <v>1</v>
      </c>
      <c r="AV511">
        <v>0.25</v>
      </c>
      <c r="BC511" t="str">
        <f t="shared" si="215"/>
        <v>enemy_1159_swfmob</v>
      </c>
      <c r="BI511" t="s">
        <v>935</v>
      </c>
      <c r="BJ511" t="s">
        <v>2356</v>
      </c>
      <c r="BL511" t="s">
        <v>210</v>
      </c>
      <c r="BM511" t="s">
        <v>211</v>
      </c>
      <c r="BN511" s="19" t="s">
        <v>232</v>
      </c>
      <c r="BO511" t="s">
        <v>213</v>
      </c>
      <c r="BQ511" s="19"/>
      <c r="BR511">
        <v>1</v>
      </c>
    </row>
    <row r="512" spans="1:70" ht="14.5" x14ac:dyDescent="0.25">
      <c r="A512" t="s">
        <v>2357</v>
      </c>
      <c r="B512" t="s">
        <v>206</v>
      </c>
      <c r="C512">
        <v>1</v>
      </c>
      <c r="D512" s="17" t="s">
        <v>2358</v>
      </c>
      <c r="E512" s="2">
        <v>1159</v>
      </c>
      <c r="F512" t="str">
        <f t="shared" si="214"/>
        <v>enemy_1159_swfmob_2</v>
      </c>
      <c r="G512">
        <v>1</v>
      </c>
      <c r="K512">
        <v>3500</v>
      </c>
      <c r="M512">
        <v>360</v>
      </c>
      <c r="O512">
        <v>120</v>
      </c>
      <c r="Q512">
        <v>0</v>
      </c>
      <c r="Y512">
        <v>0.05</v>
      </c>
      <c r="Z512">
        <v>2</v>
      </c>
      <c r="AA512">
        <v>1</v>
      </c>
      <c r="AB512">
        <v>1</v>
      </c>
      <c r="AE512">
        <v>0</v>
      </c>
      <c r="AF512">
        <v>1</v>
      </c>
      <c r="AG512" t="s">
        <v>2359</v>
      </c>
      <c r="AH512" t="s">
        <v>209</v>
      </c>
      <c r="AI512" t="s">
        <v>231</v>
      </c>
      <c r="AK512">
        <v>1</v>
      </c>
      <c r="AT512">
        <v>1</v>
      </c>
      <c r="AV512">
        <v>0.25</v>
      </c>
      <c r="BC512" t="str">
        <f t="shared" si="215"/>
        <v>enemy_1159_swfmob_2</v>
      </c>
      <c r="BI512" t="s">
        <v>935</v>
      </c>
      <c r="BJ512" t="s">
        <v>2360</v>
      </c>
      <c r="BL512" t="s">
        <v>210</v>
      </c>
      <c r="BM512" t="s">
        <v>211</v>
      </c>
      <c r="BN512" s="19" t="s">
        <v>232</v>
      </c>
      <c r="BO512" t="s">
        <v>213</v>
      </c>
      <c r="BQ512" s="19"/>
      <c r="BR512">
        <v>1</v>
      </c>
    </row>
    <row r="513" spans="1:70" ht="14.5" x14ac:dyDescent="0.25">
      <c r="A513" t="s">
        <v>2361</v>
      </c>
      <c r="B513" t="s">
        <v>206</v>
      </c>
      <c r="C513">
        <v>1</v>
      </c>
      <c r="D513" s="17" t="s">
        <v>2362</v>
      </c>
      <c r="E513" s="2">
        <v>1160</v>
      </c>
      <c r="F513" t="str">
        <f t="shared" si="214"/>
        <v>enemy_1160_hvyslr</v>
      </c>
      <c r="G513">
        <v>1</v>
      </c>
      <c r="K513">
        <v>10000</v>
      </c>
      <c r="M513">
        <v>800</v>
      </c>
      <c r="O513">
        <v>800</v>
      </c>
      <c r="Q513">
        <v>20</v>
      </c>
      <c r="Y513">
        <v>0.05</v>
      </c>
      <c r="Z513">
        <v>3.5</v>
      </c>
      <c r="AA513">
        <v>4</v>
      </c>
      <c r="AB513">
        <v>0.7</v>
      </c>
      <c r="AE513">
        <v>0</v>
      </c>
      <c r="AF513">
        <v>1</v>
      </c>
      <c r="AG513" t="s">
        <v>2363</v>
      </c>
      <c r="AH513" t="s">
        <v>209</v>
      </c>
      <c r="AI513" t="s">
        <v>231</v>
      </c>
      <c r="AK513">
        <v>1</v>
      </c>
      <c r="AT513">
        <v>1</v>
      </c>
      <c r="AV513">
        <v>0.25</v>
      </c>
      <c r="BC513" t="str">
        <f t="shared" si="215"/>
        <v>enemy_1160_hvyslr</v>
      </c>
      <c r="BI513" t="s">
        <v>994</v>
      </c>
      <c r="BJ513" t="s">
        <v>2364</v>
      </c>
      <c r="BL513" t="s">
        <v>210</v>
      </c>
      <c r="BM513" t="s">
        <v>211</v>
      </c>
      <c r="BN513" s="19" t="s">
        <v>232</v>
      </c>
      <c r="BO513" t="s">
        <v>213</v>
      </c>
      <c r="BQ513" s="19"/>
      <c r="BR513">
        <v>1</v>
      </c>
    </row>
    <row r="514" spans="1:70" ht="14.5" x14ac:dyDescent="0.25">
      <c r="A514" t="s">
        <v>2365</v>
      </c>
      <c r="B514" t="s">
        <v>206</v>
      </c>
      <c r="C514">
        <v>1</v>
      </c>
      <c r="D514" s="17" t="s">
        <v>2366</v>
      </c>
      <c r="E514" s="2">
        <v>1160</v>
      </c>
      <c r="F514" t="str">
        <f t="shared" si="214"/>
        <v>enemy_1160_hvyslr_2</v>
      </c>
      <c r="G514">
        <v>1</v>
      </c>
      <c r="K514">
        <v>14000</v>
      </c>
      <c r="M514">
        <v>1000</v>
      </c>
      <c r="O514">
        <v>1000</v>
      </c>
      <c r="Q514">
        <v>20</v>
      </c>
      <c r="Y514">
        <v>0.05</v>
      </c>
      <c r="Z514">
        <v>3.5</v>
      </c>
      <c r="AA514">
        <v>4</v>
      </c>
      <c r="AB514">
        <v>0.7</v>
      </c>
      <c r="AE514">
        <v>0</v>
      </c>
      <c r="AF514">
        <v>1</v>
      </c>
      <c r="AG514" t="s">
        <v>2367</v>
      </c>
      <c r="AH514" t="s">
        <v>209</v>
      </c>
      <c r="AI514" t="s">
        <v>231</v>
      </c>
      <c r="AK514">
        <v>1</v>
      </c>
      <c r="AT514">
        <v>1</v>
      </c>
      <c r="AV514">
        <v>0.25</v>
      </c>
      <c r="BC514" t="str">
        <f t="shared" si="215"/>
        <v>enemy_1160_hvyslr_2</v>
      </c>
      <c r="BI514" t="s">
        <v>994</v>
      </c>
      <c r="BJ514" t="s">
        <v>2368</v>
      </c>
      <c r="BL514" t="s">
        <v>210</v>
      </c>
      <c r="BM514" t="s">
        <v>211</v>
      </c>
      <c r="BN514" s="19" t="s">
        <v>232</v>
      </c>
      <c r="BO514" t="s">
        <v>213</v>
      </c>
      <c r="BQ514" s="19"/>
      <c r="BR514">
        <v>1</v>
      </c>
    </row>
    <row r="515" spans="1:70" ht="14.5" x14ac:dyDescent="0.25">
      <c r="A515" t="s">
        <v>2369</v>
      </c>
      <c r="B515" t="s">
        <v>206</v>
      </c>
      <c r="C515">
        <v>1</v>
      </c>
      <c r="D515" s="17" t="s">
        <v>2370</v>
      </c>
      <c r="E515" s="2">
        <v>1161</v>
      </c>
      <c r="F515" t="str">
        <f t="shared" si="214"/>
        <v>enemy_1161_tidmag</v>
      </c>
      <c r="G515">
        <v>1</v>
      </c>
      <c r="K515">
        <v>6000</v>
      </c>
      <c r="M515">
        <v>200</v>
      </c>
      <c r="O515">
        <v>200</v>
      </c>
      <c r="Q515">
        <v>60</v>
      </c>
      <c r="Y515">
        <v>0.05</v>
      </c>
      <c r="Z515">
        <v>2.5</v>
      </c>
      <c r="AA515">
        <v>2</v>
      </c>
      <c r="AB515">
        <v>0.7</v>
      </c>
      <c r="AE515">
        <v>0</v>
      </c>
      <c r="AF515">
        <v>1</v>
      </c>
      <c r="AG515" t="s">
        <v>2371</v>
      </c>
      <c r="AH515" t="s">
        <v>209</v>
      </c>
      <c r="AI515" t="s">
        <v>231</v>
      </c>
      <c r="AK515">
        <v>1</v>
      </c>
      <c r="AT515">
        <v>1</v>
      </c>
      <c r="AV515">
        <v>0.25</v>
      </c>
      <c r="BC515" t="str">
        <f t="shared" si="215"/>
        <v>enemy_1161_tidmag</v>
      </c>
      <c r="BI515" t="s">
        <v>941</v>
      </c>
      <c r="BJ515" t="s">
        <v>2372</v>
      </c>
      <c r="BL515" t="s">
        <v>210</v>
      </c>
      <c r="BM515" t="s">
        <v>211</v>
      </c>
      <c r="BN515" s="19" t="s">
        <v>232</v>
      </c>
      <c r="BO515" t="s">
        <v>213</v>
      </c>
      <c r="BQ515" s="19"/>
      <c r="BR515">
        <v>1</v>
      </c>
    </row>
    <row r="516" spans="1:70" ht="14.5" x14ac:dyDescent="0.25">
      <c r="A516" t="s">
        <v>2373</v>
      </c>
      <c r="B516" t="s">
        <v>206</v>
      </c>
      <c r="C516">
        <v>1</v>
      </c>
      <c r="D516" s="17" t="s">
        <v>2374</v>
      </c>
      <c r="E516" s="2">
        <v>1161</v>
      </c>
      <c r="F516" t="str">
        <f t="shared" si="214"/>
        <v>enemy_1161_tidmag_2</v>
      </c>
      <c r="G516">
        <v>1</v>
      </c>
      <c r="K516">
        <v>8000</v>
      </c>
      <c r="M516">
        <v>260</v>
      </c>
      <c r="O516">
        <v>220</v>
      </c>
      <c r="Q516">
        <v>60</v>
      </c>
      <c r="Y516">
        <v>0.05</v>
      </c>
      <c r="Z516">
        <v>2.5</v>
      </c>
      <c r="AA516">
        <v>2</v>
      </c>
      <c r="AB516">
        <v>0.7</v>
      </c>
      <c r="AE516">
        <v>0</v>
      </c>
      <c r="AF516">
        <v>1</v>
      </c>
      <c r="AG516" t="s">
        <v>2375</v>
      </c>
      <c r="AH516" t="s">
        <v>209</v>
      </c>
      <c r="AI516" t="s">
        <v>231</v>
      </c>
      <c r="AK516">
        <v>1</v>
      </c>
      <c r="AT516">
        <v>1</v>
      </c>
      <c r="AV516">
        <v>0.25</v>
      </c>
      <c r="BC516" t="str">
        <f t="shared" si="215"/>
        <v>enemy_1161_tidmag_2</v>
      </c>
      <c r="BI516" t="s">
        <v>941</v>
      </c>
      <c r="BJ516" t="s">
        <v>2376</v>
      </c>
      <c r="BL516" t="s">
        <v>210</v>
      </c>
      <c r="BM516" t="s">
        <v>211</v>
      </c>
      <c r="BN516" s="19" t="s">
        <v>232</v>
      </c>
      <c r="BO516" t="s">
        <v>213</v>
      </c>
      <c r="BQ516" s="19"/>
      <c r="BR516">
        <v>1</v>
      </c>
    </row>
    <row r="517" spans="1:70" ht="14.5" x14ac:dyDescent="0.25">
      <c r="A517" t="s">
        <v>2377</v>
      </c>
      <c r="B517" t="s">
        <v>206</v>
      </c>
      <c r="C517">
        <v>1</v>
      </c>
      <c r="D517" s="17" t="s">
        <v>2378</v>
      </c>
      <c r="E517" s="2">
        <v>1162</v>
      </c>
      <c r="F517" t="str">
        <f t="shared" si="214"/>
        <v>enemy_1162_magmot</v>
      </c>
      <c r="G517">
        <v>1</v>
      </c>
      <c r="K517">
        <v>12000</v>
      </c>
      <c r="M517">
        <v>300</v>
      </c>
      <c r="O517">
        <v>200</v>
      </c>
      <c r="Q517">
        <v>0</v>
      </c>
      <c r="Y517">
        <v>0.05</v>
      </c>
      <c r="Z517">
        <v>3.5</v>
      </c>
      <c r="AA517">
        <v>4</v>
      </c>
      <c r="AB517">
        <v>1.1000000000000001</v>
      </c>
      <c r="AE517">
        <v>0</v>
      </c>
      <c r="AF517">
        <v>1</v>
      </c>
      <c r="AG517" t="s">
        <v>2379</v>
      </c>
      <c r="AH517" t="s">
        <v>209</v>
      </c>
      <c r="AI517" t="s">
        <v>231</v>
      </c>
      <c r="AK517">
        <v>1</v>
      </c>
      <c r="AT517">
        <v>1</v>
      </c>
      <c r="AV517">
        <v>0.25</v>
      </c>
      <c r="BC517" t="str">
        <f t="shared" si="215"/>
        <v>enemy_1162_magmot</v>
      </c>
      <c r="BI517" t="s">
        <v>2380</v>
      </c>
      <c r="BJ517" t="s">
        <v>2381</v>
      </c>
      <c r="BL517" t="s">
        <v>210</v>
      </c>
      <c r="BM517" t="s">
        <v>211</v>
      </c>
      <c r="BN517" s="19" t="s">
        <v>232</v>
      </c>
      <c r="BO517" t="s">
        <v>213</v>
      </c>
      <c r="BQ517" s="19"/>
      <c r="BR517">
        <v>1</v>
      </c>
    </row>
    <row r="518" spans="1:70" ht="14.5" x14ac:dyDescent="0.25">
      <c r="A518" t="s">
        <v>2382</v>
      </c>
      <c r="B518" t="s">
        <v>206</v>
      </c>
      <c r="C518">
        <v>1</v>
      </c>
      <c r="D518" s="17" t="s">
        <v>2383</v>
      </c>
      <c r="E518" s="2">
        <v>1162</v>
      </c>
      <c r="F518" t="str">
        <f t="shared" si="214"/>
        <v>enemy_1162_magmot_2</v>
      </c>
      <c r="G518">
        <v>1</v>
      </c>
      <c r="K518">
        <v>16000</v>
      </c>
      <c r="M518">
        <v>380</v>
      </c>
      <c r="O518">
        <v>220</v>
      </c>
      <c r="Q518">
        <v>0</v>
      </c>
      <c r="Y518">
        <v>0.05</v>
      </c>
      <c r="Z518">
        <v>3.5</v>
      </c>
      <c r="AA518">
        <v>4</v>
      </c>
      <c r="AB518">
        <v>1.1000000000000001</v>
      </c>
      <c r="AE518">
        <v>0</v>
      </c>
      <c r="AF518">
        <v>1</v>
      </c>
      <c r="AG518" t="s">
        <v>2384</v>
      </c>
      <c r="AH518" t="s">
        <v>209</v>
      </c>
      <c r="AI518" t="s">
        <v>231</v>
      </c>
      <c r="AK518">
        <v>1</v>
      </c>
      <c r="AT518">
        <v>1</v>
      </c>
      <c r="AV518">
        <v>0.25</v>
      </c>
      <c r="BC518" t="str">
        <f t="shared" si="215"/>
        <v>enemy_1162_magmot_2</v>
      </c>
      <c r="BI518" t="s">
        <v>2380</v>
      </c>
      <c r="BJ518" t="s">
        <v>2385</v>
      </c>
      <c r="BL518" t="s">
        <v>210</v>
      </c>
      <c r="BM518" t="s">
        <v>211</v>
      </c>
      <c r="BN518" s="19" t="s">
        <v>232</v>
      </c>
      <c r="BO518" t="s">
        <v>213</v>
      </c>
      <c r="BQ518" s="19"/>
      <c r="BR518">
        <v>1</v>
      </c>
    </row>
    <row r="519" spans="1:70" ht="14.5" x14ac:dyDescent="0.25">
      <c r="A519" t="s">
        <v>2386</v>
      </c>
      <c r="B519" t="s">
        <v>206</v>
      </c>
      <c r="C519">
        <v>1</v>
      </c>
      <c r="D519" s="17" t="s">
        <v>2387</v>
      </c>
      <c r="E519" s="2">
        <v>1163</v>
      </c>
      <c r="F519" t="str">
        <f t="shared" si="214"/>
        <v>enemy_1163_hvymot</v>
      </c>
      <c r="G519">
        <v>1</v>
      </c>
      <c r="K519">
        <v>15000</v>
      </c>
      <c r="M519">
        <v>1000</v>
      </c>
      <c r="O519">
        <v>1000</v>
      </c>
      <c r="Q519">
        <v>0</v>
      </c>
      <c r="Y519">
        <v>0.05</v>
      </c>
      <c r="Z519">
        <v>5</v>
      </c>
      <c r="AA519">
        <v>4</v>
      </c>
      <c r="AB519">
        <v>1.2</v>
      </c>
      <c r="AE519">
        <v>0</v>
      </c>
      <c r="AF519">
        <v>1</v>
      </c>
      <c r="AG519" t="s">
        <v>2388</v>
      </c>
      <c r="AH519" t="s">
        <v>209</v>
      </c>
      <c r="AI519" t="s">
        <v>231</v>
      </c>
      <c r="AK519">
        <v>1</v>
      </c>
      <c r="AT519">
        <v>1</v>
      </c>
      <c r="AV519">
        <v>0.25</v>
      </c>
      <c r="BC519" t="str">
        <f t="shared" si="215"/>
        <v>enemy_1163_hvymot</v>
      </c>
      <c r="BI519" t="s">
        <v>2389</v>
      </c>
      <c r="BJ519" t="s">
        <v>2390</v>
      </c>
      <c r="BL519" t="s">
        <v>210</v>
      </c>
      <c r="BM519" t="s">
        <v>211</v>
      </c>
      <c r="BN519" s="19" t="s">
        <v>232</v>
      </c>
      <c r="BO519" t="s">
        <v>213</v>
      </c>
      <c r="BQ519" s="19"/>
      <c r="BR519">
        <v>1</v>
      </c>
    </row>
    <row r="520" spans="1:70" ht="14.5" x14ac:dyDescent="0.25">
      <c r="A520" t="s">
        <v>2391</v>
      </c>
      <c r="B520" t="s">
        <v>206</v>
      </c>
      <c r="C520">
        <v>1</v>
      </c>
      <c r="D520" s="17" t="s">
        <v>2392</v>
      </c>
      <c r="E520" s="2">
        <v>1163</v>
      </c>
      <c r="F520" t="str">
        <f t="shared" si="214"/>
        <v>enemy_1163_hvymot_2</v>
      </c>
      <c r="G520">
        <v>1</v>
      </c>
      <c r="K520">
        <v>20000</v>
      </c>
      <c r="M520">
        <v>1400</v>
      </c>
      <c r="O520">
        <v>1200</v>
      </c>
      <c r="Q520">
        <v>0</v>
      </c>
      <c r="Y520">
        <v>0.05</v>
      </c>
      <c r="Z520">
        <v>5</v>
      </c>
      <c r="AA520">
        <v>4</v>
      </c>
      <c r="AB520">
        <v>1.2</v>
      </c>
      <c r="AE520">
        <v>0</v>
      </c>
      <c r="AF520">
        <v>1</v>
      </c>
      <c r="AG520" t="s">
        <v>2393</v>
      </c>
      <c r="AH520" t="s">
        <v>209</v>
      </c>
      <c r="AI520" t="s">
        <v>231</v>
      </c>
      <c r="AK520">
        <v>1</v>
      </c>
      <c r="AT520">
        <v>1</v>
      </c>
      <c r="AV520">
        <v>0.25</v>
      </c>
      <c r="BC520" t="str">
        <f t="shared" si="215"/>
        <v>enemy_1163_hvymot_2</v>
      </c>
      <c r="BI520" t="s">
        <v>2389</v>
      </c>
      <c r="BJ520" t="s">
        <v>2394</v>
      </c>
      <c r="BL520" t="s">
        <v>210</v>
      </c>
      <c r="BM520" t="s">
        <v>211</v>
      </c>
      <c r="BN520" s="19" t="s">
        <v>232</v>
      </c>
      <c r="BO520" t="s">
        <v>213</v>
      </c>
      <c r="BQ520" s="19"/>
      <c r="BR520">
        <v>1</v>
      </c>
    </row>
    <row r="521" spans="1:70" ht="14.5" x14ac:dyDescent="0.25">
      <c r="A521" t="s">
        <v>2395</v>
      </c>
      <c r="B521" t="s">
        <v>206</v>
      </c>
      <c r="C521">
        <v>1</v>
      </c>
      <c r="D521" s="17" t="s">
        <v>2396</v>
      </c>
      <c r="E521" s="2">
        <v>1164</v>
      </c>
      <c r="F521" t="s">
        <v>2395</v>
      </c>
      <c r="G521">
        <v>1</v>
      </c>
      <c r="K521">
        <v>8000</v>
      </c>
      <c r="M521">
        <v>300</v>
      </c>
      <c r="O521">
        <v>300</v>
      </c>
      <c r="Q521">
        <v>0</v>
      </c>
      <c r="Y521">
        <v>0.05</v>
      </c>
      <c r="Z521">
        <v>1</v>
      </c>
      <c r="AA521">
        <v>3</v>
      </c>
      <c r="AB521">
        <v>1.2</v>
      </c>
      <c r="AE521">
        <v>0</v>
      </c>
      <c r="AF521">
        <v>1</v>
      </c>
      <c r="AG521" t="s">
        <v>2397</v>
      </c>
      <c r="AH521" t="s">
        <v>209</v>
      </c>
      <c r="AI521" t="s">
        <v>231</v>
      </c>
      <c r="AK521">
        <v>1</v>
      </c>
      <c r="AT521">
        <v>1</v>
      </c>
      <c r="AV521">
        <v>0.25</v>
      </c>
      <c r="BC521" t="str">
        <f t="shared" si="215"/>
        <v>enemy_1164_bmbmot</v>
      </c>
      <c r="BI521" t="s">
        <v>2107</v>
      </c>
      <c r="BJ521" t="s">
        <v>2398</v>
      </c>
      <c r="BL521" t="s">
        <v>210</v>
      </c>
      <c r="BM521" t="s">
        <v>211</v>
      </c>
      <c r="BN521" s="19" t="s">
        <v>232</v>
      </c>
      <c r="BO521" t="s">
        <v>213</v>
      </c>
      <c r="BQ521" s="19"/>
      <c r="BR521">
        <v>1</v>
      </c>
    </row>
    <row r="522" spans="1:70" ht="14.5" x14ac:dyDescent="0.25">
      <c r="A522" t="s">
        <v>2399</v>
      </c>
      <c r="B522" t="s">
        <v>206</v>
      </c>
      <c r="C522">
        <v>1</v>
      </c>
      <c r="D522" s="17" t="s">
        <v>2400</v>
      </c>
      <c r="E522" s="2">
        <v>1164</v>
      </c>
      <c r="F522" t="str">
        <f t="shared" si="214"/>
        <v>enemy_1164_bmbmot_2</v>
      </c>
      <c r="G522">
        <v>1</v>
      </c>
      <c r="K522">
        <v>10000</v>
      </c>
      <c r="M522">
        <v>400</v>
      </c>
      <c r="O522">
        <v>400</v>
      </c>
      <c r="Q522">
        <v>0</v>
      </c>
      <c r="Y522">
        <v>0.05</v>
      </c>
      <c r="Z522">
        <v>1</v>
      </c>
      <c r="AA522">
        <v>3</v>
      </c>
      <c r="AB522">
        <v>1.2</v>
      </c>
      <c r="AE522">
        <v>0</v>
      </c>
      <c r="AF522">
        <v>1</v>
      </c>
      <c r="AG522" t="s">
        <v>2401</v>
      </c>
      <c r="AH522" t="s">
        <v>209</v>
      </c>
      <c r="AI522" t="s">
        <v>231</v>
      </c>
      <c r="AK522">
        <v>1</v>
      </c>
      <c r="AT522">
        <v>1</v>
      </c>
      <c r="AV522">
        <v>0.25</v>
      </c>
      <c r="BC522" t="str">
        <f t="shared" si="215"/>
        <v>enemy_1164_bmbmot_2</v>
      </c>
      <c r="BI522" t="s">
        <v>2107</v>
      </c>
      <c r="BJ522" t="s">
        <v>2402</v>
      </c>
      <c r="BL522" t="s">
        <v>210</v>
      </c>
      <c r="BM522" t="s">
        <v>211</v>
      </c>
      <c r="BN522" s="19" t="s">
        <v>232</v>
      </c>
      <c r="BO522" t="s">
        <v>213</v>
      </c>
      <c r="BQ522" s="19"/>
      <c r="BR522">
        <v>1</v>
      </c>
    </row>
    <row r="523" spans="1:70" ht="14.5" x14ac:dyDescent="0.25">
      <c r="A523" t="s">
        <v>2403</v>
      </c>
      <c r="B523" t="s">
        <v>206</v>
      </c>
      <c r="C523">
        <v>1</v>
      </c>
      <c r="D523" s="17" t="s">
        <v>2404</v>
      </c>
      <c r="E523" s="2">
        <v>1164</v>
      </c>
      <c r="F523" t="str">
        <f t="shared" si="214"/>
        <v>enemy_1164_bmbmot_3</v>
      </c>
      <c r="G523">
        <v>1</v>
      </c>
      <c r="K523">
        <v>8000</v>
      </c>
      <c r="M523">
        <v>300</v>
      </c>
      <c r="O523">
        <v>300</v>
      </c>
      <c r="Q523">
        <v>0</v>
      </c>
      <c r="Y523">
        <v>0.05</v>
      </c>
      <c r="Z523">
        <v>1</v>
      </c>
      <c r="AA523">
        <v>3</v>
      </c>
      <c r="AB523">
        <v>1.2</v>
      </c>
      <c r="AE523">
        <v>0</v>
      </c>
      <c r="AF523">
        <v>1</v>
      </c>
      <c r="AG523" t="s">
        <v>2405</v>
      </c>
      <c r="AH523" t="s">
        <v>209</v>
      </c>
      <c r="AI523" t="s">
        <v>231</v>
      </c>
      <c r="AK523">
        <v>1</v>
      </c>
      <c r="AT523">
        <v>1</v>
      </c>
      <c r="AV523">
        <v>0.25</v>
      </c>
      <c r="BC523" t="str">
        <f t="shared" si="215"/>
        <v>enemy_1164_bmbmot_3</v>
      </c>
      <c r="BI523" t="s">
        <v>2107</v>
      </c>
      <c r="BJ523" t="s">
        <v>2406</v>
      </c>
      <c r="BL523" t="s">
        <v>210</v>
      </c>
      <c r="BM523" t="s">
        <v>211</v>
      </c>
      <c r="BN523" s="19" t="s">
        <v>232</v>
      </c>
      <c r="BO523" t="s">
        <v>213</v>
      </c>
      <c r="BQ523" s="19"/>
      <c r="BR523">
        <v>1</v>
      </c>
    </row>
    <row r="524" spans="1:70" ht="14.5" x14ac:dyDescent="0.25">
      <c r="A524" t="s">
        <v>2407</v>
      </c>
      <c r="B524" t="s">
        <v>206</v>
      </c>
      <c r="C524">
        <v>1</v>
      </c>
      <c r="D524" s="17" t="s">
        <v>2408</v>
      </c>
      <c r="E524" s="2">
        <v>3003</v>
      </c>
      <c r="F524" t="str">
        <f t="shared" si="214"/>
        <v>enemy_3003_alymot</v>
      </c>
      <c r="G524">
        <v>1</v>
      </c>
      <c r="K524">
        <v>2000</v>
      </c>
      <c r="M524">
        <v>100</v>
      </c>
      <c r="O524">
        <v>100</v>
      </c>
      <c r="Q524">
        <v>0</v>
      </c>
      <c r="Y524">
        <v>0.05</v>
      </c>
      <c r="Z524">
        <v>1</v>
      </c>
      <c r="AA524">
        <v>4</v>
      </c>
      <c r="AB524">
        <v>0.65</v>
      </c>
      <c r="AE524">
        <v>1</v>
      </c>
      <c r="AF524">
        <v>1</v>
      </c>
      <c r="AG524" t="s">
        <v>2409</v>
      </c>
      <c r="AH524" t="s">
        <v>209</v>
      </c>
      <c r="AI524" t="s">
        <v>231</v>
      </c>
      <c r="AK524">
        <v>1</v>
      </c>
      <c r="AT524">
        <v>1</v>
      </c>
      <c r="AV524">
        <v>0.25</v>
      </c>
      <c r="BC524" t="str">
        <f t="shared" si="215"/>
        <v>enemy_3003_alymot</v>
      </c>
      <c r="BI524" t="s">
        <v>1947</v>
      </c>
      <c r="BJ524" t="s">
        <v>2410</v>
      </c>
      <c r="BL524" t="s">
        <v>210</v>
      </c>
      <c r="BM524" t="s">
        <v>211</v>
      </c>
      <c r="BN524" s="19" t="s">
        <v>232</v>
      </c>
      <c r="BO524" t="s">
        <v>213</v>
      </c>
      <c r="BQ524" s="19"/>
      <c r="BR524">
        <v>1</v>
      </c>
    </row>
    <row r="525" spans="1:70" ht="14.5" x14ac:dyDescent="0.25">
      <c r="A525" t="s">
        <v>2411</v>
      </c>
      <c r="B525" t="s">
        <v>206</v>
      </c>
      <c r="C525">
        <v>1</v>
      </c>
      <c r="D525" s="17" t="s">
        <v>2412</v>
      </c>
      <c r="E525" s="2">
        <v>1522</v>
      </c>
      <c r="F525" t="str">
        <f t="shared" si="214"/>
        <v>enemy_1522_captan</v>
      </c>
      <c r="G525">
        <v>1</v>
      </c>
      <c r="K525">
        <v>27000</v>
      </c>
      <c r="M525">
        <v>1000</v>
      </c>
      <c r="O525">
        <v>750</v>
      </c>
      <c r="Q525">
        <v>30</v>
      </c>
      <c r="Y525">
        <v>0.05</v>
      </c>
      <c r="Z525">
        <v>4</v>
      </c>
      <c r="AA525">
        <v>7</v>
      </c>
      <c r="AB525">
        <v>1</v>
      </c>
      <c r="AE525">
        <v>0</v>
      </c>
      <c r="AF525">
        <v>1</v>
      </c>
      <c r="AG525" t="s">
        <v>2413</v>
      </c>
      <c r="AH525" t="s">
        <v>209</v>
      </c>
      <c r="AI525" t="s">
        <v>231</v>
      </c>
      <c r="AK525">
        <v>1</v>
      </c>
      <c r="AT525">
        <v>1</v>
      </c>
      <c r="AV525">
        <v>0.25</v>
      </c>
      <c r="BC525" t="str">
        <f t="shared" si="215"/>
        <v>enemy_1522_captan</v>
      </c>
      <c r="BI525" t="s">
        <v>1324</v>
      </c>
      <c r="BJ525" t="s">
        <v>2414</v>
      </c>
      <c r="BL525" t="s">
        <v>2016</v>
      </c>
      <c r="BM525" t="s">
        <v>2017</v>
      </c>
      <c r="BN525" s="19" t="s">
        <v>2018</v>
      </c>
      <c r="BO525" t="s">
        <v>2019</v>
      </c>
      <c r="BQ525" s="19"/>
      <c r="BR525">
        <v>1</v>
      </c>
    </row>
    <row r="526" spans="1:70" ht="14.5" x14ac:dyDescent="0.25">
      <c r="A526" t="s">
        <v>2415</v>
      </c>
      <c r="B526" t="s">
        <v>206</v>
      </c>
      <c r="C526">
        <v>1</v>
      </c>
      <c r="D526" s="17" t="s">
        <v>2416</v>
      </c>
      <c r="E526" s="2">
        <v>1165</v>
      </c>
      <c r="F526" t="str">
        <f t="shared" si="214"/>
        <v>enemy_1165_duhond</v>
      </c>
      <c r="G526">
        <v>1</v>
      </c>
      <c r="K526">
        <v>2800</v>
      </c>
      <c r="M526">
        <v>300</v>
      </c>
      <c r="O526">
        <v>0</v>
      </c>
      <c r="Q526">
        <v>0</v>
      </c>
      <c r="Y526">
        <v>0.05</v>
      </c>
      <c r="Z526">
        <v>1.4</v>
      </c>
      <c r="AA526">
        <v>0</v>
      </c>
      <c r="AB526">
        <v>1.7</v>
      </c>
      <c r="AE526">
        <v>0</v>
      </c>
      <c r="AF526">
        <v>1</v>
      </c>
      <c r="AG526" t="s">
        <v>2417</v>
      </c>
      <c r="AH526" t="s">
        <v>209</v>
      </c>
      <c r="AI526" t="s">
        <v>231</v>
      </c>
      <c r="AK526">
        <v>1</v>
      </c>
      <c r="AT526">
        <v>1</v>
      </c>
      <c r="AV526">
        <v>0.25</v>
      </c>
      <c r="BC526" t="str">
        <f t="shared" si="215"/>
        <v>enemy_1165_duhond</v>
      </c>
      <c r="BI526" t="s">
        <v>935</v>
      </c>
      <c r="BJ526" t="s">
        <v>2418</v>
      </c>
      <c r="BL526" t="s">
        <v>210</v>
      </c>
      <c r="BM526" t="s">
        <v>211</v>
      </c>
      <c r="BN526" s="19" t="s">
        <v>242</v>
      </c>
      <c r="BO526" t="s">
        <v>213</v>
      </c>
      <c r="BQ526" s="19"/>
      <c r="BR526">
        <v>1</v>
      </c>
    </row>
    <row r="527" spans="1:70" ht="14.5" x14ac:dyDescent="0.25">
      <c r="A527" t="s">
        <v>2419</v>
      </c>
      <c r="B527" t="s">
        <v>206</v>
      </c>
      <c r="C527">
        <v>1</v>
      </c>
      <c r="D527" s="17" t="s">
        <v>2420</v>
      </c>
      <c r="E527" s="2">
        <v>1165</v>
      </c>
      <c r="F527" t="str">
        <f t="shared" si="214"/>
        <v>enemy_1165_duhond_2</v>
      </c>
      <c r="G527">
        <v>1</v>
      </c>
      <c r="K527">
        <v>4000</v>
      </c>
      <c r="M527">
        <v>380</v>
      </c>
      <c r="O527">
        <v>0</v>
      </c>
      <c r="Q527">
        <v>0</v>
      </c>
      <c r="Y527">
        <v>0.05</v>
      </c>
      <c r="Z527">
        <v>1.4</v>
      </c>
      <c r="AA527">
        <v>0</v>
      </c>
      <c r="AB527">
        <v>1.7</v>
      </c>
      <c r="AE527">
        <v>0</v>
      </c>
      <c r="AF527">
        <v>1</v>
      </c>
      <c r="AG527" t="s">
        <v>2421</v>
      </c>
      <c r="AH527" t="s">
        <v>209</v>
      </c>
      <c r="AI527" t="s">
        <v>231</v>
      </c>
      <c r="AK527">
        <v>1</v>
      </c>
      <c r="AT527">
        <v>1</v>
      </c>
      <c r="AV527">
        <v>0.25</v>
      </c>
      <c r="BC527" t="str">
        <f t="shared" si="215"/>
        <v>enemy_1165_duhond_2</v>
      </c>
      <c r="BI527" t="s">
        <v>935</v>
      </c>
      <c r="BJ527" t="s">
        <v>2422</v>
      </c>
      <c r="BL527" t="s">
        <v>210</v>
      </c>
      <c r="BM527" t="s">
        <v>211</v>
      </c>
      <c r="BN527" s="19" t="s">
        <v>242</v>
      </c>
      <c r="BO527" t="s">
        <v>213</v>
      </c>
      <c r="BQ527" s="19"/>
      <c r="BR527">
        <v>1</v>
      </c>
    </row>
    <row r="528" spans="1:70" ht="14.5" x14ac:dyDescent="0.25">
      <c r="A528" t="s">
        <v>2423</v>
      </c>
      <c r="B528" t="s">
        <v>206</v>
      </c>
      <c r="C528">
        <v>1</v>
      </c>
      <c r="D528" s="17" t="s">
        <v>2424</v>
      </c>
      <c r="E528" s="2">
        <v>1166</v>
      </c>
      <c r="F528" t="str">
        <f t="shared" si="214"/>
        <v>enemy_1166_dusbr</v>
      </c>
      <c r="G528">
        <v>1</v>
      </c>
      <c r="K528">
        <v>3000</v>
      </c>
      <c r="M528">
        <v>280</v>
      </c>
      <c r="O528">
        <v>110</v>
      </c>
      <c r="Q528">
        <v>0</v>
      </c>
      <c r="Y528">
        <v>0.05</v>
      </c>
      <c r="Z528">
        <v>2</v>
      </c>
      <c r="AA528">
        <v>1</v>
      </c>
      <c r="AB528">
        <v>1</v>
      </c>
      <c r="AE528">
        <v>0</v>
      </c>
      <c r="AF528">
        <v>1</v>
      </c>
      <c r="AG528" t="s">
        <v>2425</v>
      </c>
      <c r="AH528" t="s">
        <v>209</v>
      </c>
      <c r="AI528" t="s">
        <v>231</v>
      </c>
      <c r="AK528">
        <v>1</v>
      </c>
      <c r="AT528">
        <v>1</v>
      </c>
      <c r="AV528">
        <v>0.25</v>
      </c>
      <c r="BC528" t="str">
        <f t="shared" si="215"/>
        <v>enemy_1166_dusbr</v>
      </c>
      <c r="BI528" t="s">
        <v>935</v>
      </c>
      <c r="BJ528" t="s">
        <v>2426</v>
      </c>
      <c r="BL528" t="s">
        <v>210</v>
      </c>
      <c r="BM528" t="s">
        <v>211</v>
      </c>
      <c r="BN528" s="19" t="s">
        <v>232</v>
      </c>
      <c r="BO528" t="s">
        <v>213</v>
      </c>
      <c r="BQ528" s="19"/>
      <c r="BR528">
        <v>1</v>
      </c>
    </row>
    <row r="529" spans="1:70" ht="14.5" x14ac:dyDescent="0.25">
      <c r="A529" t="s">
        <v>2427</v>
      </c>
      <c r="B529" t="s">
        <v>206</v>
      </c>
      <c r="C529">
        <v>1</v>
      </c>
      <c r="D529" s="17" t="s">
        <v>2428</v>
      </c>
      <c r="E529" s="2">
        <v>1166</v>
      </c>
      <c r="F529" t="str">
        <f t="shared" si="214"/>
        <v>enemy_1166_dusbr_2</v>
      </c>
      <c r="G529">
        <v>1</v>
      </c>
      <c r="K529">
        <v>4400</v>
      </c>
      <c r="M529">
        <v>380</v>
      </c>
      <c r="O529">
        <v>180</v>
      </c>
      <c r="Q529">
        <v>0</v>
      </c>
      <c r="Y529">
        <v>0.05</v>
      </c>
      <c r="Z529">
        <v>2</v>
      </c>
      <c r="AA529">
        <v>1</v>
      </c>
      <c r="AB529">
        <v>1</v>
      </c>
      <c r="AE529">
        <v>0</v>
      </c>
      <c r="AF529">
        <v>1</v>
      </c>
      <c r="AG529" t="s">
        <v>2429</v>
      </c>
      <c r="AH529" t="s">
        <v>209</v>
      </c>
      <c r="AI529" t="s">
        <v>231</v>
      </c>
      <c r="AK529">
        <v>1</v>
      </c>
      <c r="AT529">
        <v>1</v>
      </c>
      <c r="AV529">
        <v>0.25</v>
      </c>
      <c r="BC529" t="str">
        <f t="shared" si="215"/>
        <v>enemy_1166_dusbr_2</v>
      </c>
      <c r="BI529" t="s">
        <v>935</v>
      </c>
      <c r="BJ529" t="s">
        <v>2430</v>
      </c>
      <c r="BL529" t="s">
        <v>210</v>
      </c>
      <c r="BM529" t="s">
        <v>211</v>
      </c>
      <c r="BN529" s="19" t="s">
        <v>232</v>
      </c>
      <c r="BO529" t="s">
        <v>213</v>
      </c>
      <c r="BQ529" s="19"/>
      <c r="BR529">
        <v>1</v>
      </c>
    </row>
    <row r="530" spans="1:70" ht="14.5" x14ac:dyDescent="0.25">
      <c r="A530" t="s">
        <v>2431</v>
      </c>
      <c r="B530" t="s">
        <v>206</v>
      </c>
      <c r="C530">
        <v>1</v>
      </c>
      <c r="D530" s="17" t="s">
        <v>2432</v>
      </c>
      <c r="E530" s="2">
        <v>1167</v>
      </c>
      <c r="F530" t="str">
        <f t="shared" si="214"/>
        <v>enemy_1167_dubow</v>
      </c>
      <c r="G530">
        <v>1</v>
      </c>
      <c r="K530">
        <v>3800</v>
      </c>
      <c r="M530">
        <v>250</v>
      </c>
      <c r="O530">
        <v>150</v>
      </c>
      <c r="Q530">
        <v>0</v>
      </c>
      <c r="Y530">
        <v>0.05</v>
      </c>
      <c r="Z530">
        <v>2.2999999999999998</v>
      </c>
      <c r="AA530">
        <v>1</v>
      </c>
      <c r="AB530">
        <v>1.1000000000000001</v>
      </c>
      <c r="AE530">
        <v>0</v>
      </c>
      <c r="AF530">
        <v>1</v>
      </c>
      <c r="AG530" t="s">
        <v>2433</v>
      </c>
      <c r="AH530" t="s">
        <v>209</v>
      </c>
      <c r="AI530" t="s">
        <v>231</v>
      </c>
      <c r="AK530">
        <v>1</v>
      </c>
      <c r="AT530">
        <v>1</v>
      </c>
      <c r="AV530">
        <v>0.25</v>
      </c>
      <c r="BC530" t="str">
        <f t="shared" si="215"/>
        <v>enemy_1167_dubow</v>
      </c>
      <c r="BI530" t="s">
        <v>941</v>
      </c>
      <c r="BJ530" t="s">
        <v>2434</v>
      </c>
      <c r="BL530" t="s">
        <v>210</v>
      </c>
      <c r="BM530" t="s">
        <v>211</v>
      </c>
      <c r="BN530" s="19" t="s">
        <v>232</v>
      </c>
      <c r="BO530" t="s">
        <v>213</v>
      </c>
      <c r="BQ530" s="19"/>
      <c r="BR530">
        <v>1</v>
      </c>
    </row>
    <row r="531" spans="1:70" ht="14.5" x14ac:dyDescent="0.25">
      <c r="A531" t="s">
        <v>2435</v>
      </c>
      <c r="B531" t="s">
        <v>206</v>
      </c>
      <c r="C531">
        <v>1</v>
      </c>
      <c r="D531" s="17" t="s">
        <v>2436</v>
      </c>
      <c r="E531" s="2">
        <v>1167</v>
      </c>
      <c r="F531" t="str">
        <f t="shared" si="214"/>
        <v>enemy_1167_dubow_2</v>
      </c>
      <c r="G531">
        <v>1</v>
      </c>
      <c r="K531">
        <v>5000</v>
      </c>
      <c r="M531">
        <v>380</v>
      </c>
      <c r="O531">
        <v>150</v>
      </c>
      <c r="Q531">
        <v>0</v>
      </c>
      <c r="Y531">
        <v>0.05</v>
      </c>
      <c r="Z531">
        <v>2.2999999999999998</v>
      </c>
      <c r="AA531">
        <v>1</v>
      </c>
      <c r="AB531">
        <v>1.1000000000000001</v>
      </c>
      <c r="AE531">
        <v>0</v>
      </c>
      <c r="AF531">
        <v>1</v>
      </c>
      <c r="AG531" t="s">
        <v>2437</v>
      </c>
      <c r="AH531" t="s">
        <v>209</v>
      </c>
      <c r="AI531" t="s">
        <v>231</v>
      </c>
      <c r="AK531">
        <v>1</v>
      </c>
      <c r="AT531">
        <v>1</v>
      </c>
      <c r="AV531">
        <v>0.25</v>
      </c>
      <c r="BC531" t="str">
        <f t="shared" si="215"/>
        <v>enemy_1167_dubow_2</v>
      </c>
      <c r="BI531" t="s">
        <v>941</v>
      </c>
      <c r="BJ531" t="s">
        <v>2438</v>
      </c>
      <c r="BL531" t="s">
        <v>210</v>
      </c>
      <c r="BM531" t="s">
        <v>211</v>
      </c>
      <c r="BN531" s="19" t="s">
        <v>232</v>
      </c>
      <c r="BO531" t="s">
        <v>213</v>
      </c>
      <c r="BQ531" s="19"/>
      <c r="BR531">
        <v>1</v>
      </c>
    </row>
    <row r="532" spans="1:70" ht="14.5" x14ac:dyDescent="0.25">
      <c r="A532" t="s">
        <v>2439</v>
      </c>
      <c r="B532" t="s">
        <v>206</v>
      </c>
      <c r="C532">
        <v>1</v>
      </c>
      <c r="D532" s="17" t="s">
        <v>2440</v>
      </c>
      <c r="E532" s="2">
        <v>1168</v>
      </c>
      <c r="F532" t="str">
        <f t="shared" si="214"/>
        <v>enemy_1168_dumage</v>
      </c>
      <c r="G532">
        <v>1</v>
      </c>
      <c r="K532">
        <v>4500</v>
      </c>
      <c r="M532">
        <v>300</v>
      </c>
      <c r="O532">
        <v>150</v>
      </c>
      <c r="Q532">
        <v>20</v>
      </c>
      <c r="Y532">
        <v>0.05</v>
      </c>
      <c r="Z532">
        <v>3</v>
      </c>
      <c r="AA532">
        <v>1</v>
      </c>
      <c r="AB532">
        <v>1.1000000000000001</v>
      </c>
      <c r="AE532">
        <v>0</v>
      </c>
      <c r="AF532">
        <v>1</v>
      </c>
      <c r="AG532" t="s">
        <v>2441</v>
      </c>
      <c r="AH532" t="s">
        <v>209</v>
      </c>
      <c r="AI532" t="s">
        <v>231</v>
      </c>
      <c r="AK532">
        <v>1</v>
      </c>
      <c r="AT532">
        <v>1</v>
      </c>
      <c r="AV532">
        <v>0.25</v>
      </c>
      <c r="BC532" t="str">
        <f t="shared" si="215"/>
        <v>enemy_1168_dumage</v>
      </c>
      <c r="BI532" t="s">
        <v>941</v>
      </c>
      <c r="BJ532" t="s">
        <v>2442</v>
      </c>
      <c r="BL532" t="s">
        <v>210</v>
      </c>
      <c r="BM532" t="s">
        <v>211</v>
      </c>
      <c r="BN532" s="19" t="s">
        <v>232</v>
      </c>
      <c r="BO532" t="s">
        <v>213</v>
      </c>
      <c r="BQ532" s="19"/>
      <c r="BR532">
        <v>1</v>
      </c>
    </row>
    <row r="533" spans="1:70" ht="14.5" x14ac:dyDescent="0.25">
      <c r="A533" t="s">
        <v>2443</v>
      </c>
      <c r="B533" t="s">
        <v>206</v>
      </c>
      <c r="C533">
        <v>1</v>
      </c>
      <c r="D533" s="17" t="s">
        <v>2444</v>
      </c>
      <c r="E533" s="2">
        <v>1168</v>
      </c>
      <c r="F533" t="str">
        <f t="shared" si="214"/>
        <v>enemy_1168_dumage_2</v>
      </c>
      <c r="G533">
        <v>1</v>
      </c>
      <c r="K533">
        <v>6500</v>
      </c>
      <c r="M533">
        <v>460</v>
      </c>
      <c r="O533">
        <v>150</v>
      </c>
      <c r="Q533">
        <v>20</v>
      </c>
      <c r="Y533">
        <v>0.05</v>
      </c>
      <c r="Z533">
        <v>3</v>
      </c>
      <c r="AA533">
        <v>1</v>
      </c>
      <c r="AB533">
        <v>1.1000000000000001</v>
      </c>
      <c r="AE533">
        <v>0</v>
      </c>
      <c r="AF533">
        <v>1</v>
      </c>
      <c r="AG533" t="s">
        <v>2445</v>
      </c>
      <c r="AH533" t="s">
        <v>209</v>
      </c>
      <c r="AI533" t="s">
        <v>231</v>
      </c>
      <c r="AK533">
        <v>1</v>
      </c>
      <c r="AT533">
        <v>1</v>
      </c>
      <c r="AV533">
        <v>0.25</v>
      </c>
      <c r="BC533" t="str">
        <f t="shared" si="215"/>
        <v>enemy_1168_dumage_2</v>
      </c>
      <c r="BI533" t="s">
        <v>941</v>
      </c>
      <c r="BJ533" t="s">
        <v>2446</v>
      </c>
      <c r="BL533" t="s">
        <v>210</v>
      </c>
      <c r="BM533" t="s">
        <v>211</v>
      </c>
      <c r="BN533" s="19" t="s">
        <v>232</v>
      </c>
      <c r="BO533" t="s">
        <v>213</v>
      </c>
      <c r="BQ533" s="19"/>
      <c r="BR533">
        <v>1</v>
      </c>
    </row>
    <row r="534" spans="1:70" ht="14.5" x14ac:dyDescent="0.25">
      <c r="A534" t="s">
        <v>2447</v>
      </c>
      <c r="B534" t="s">
        <v>206</v>
      </c>
      <c r="C534">
        <v>1</v>
      </c>
      <c r="D534" s="17" t="s">
        <v>2448</v>
      </c>
      <c r="E534" s="2">
        <v>1169</v>
      </c>
      <c r="F534" t="str">
        <f t="shared" si="214"/>
        <v>enemy_1169_duphlx</v>
      </c>
      <c r="G534">
        <v>1</v>
      </c>
      <c r="K534">
        <v>4000</v>
      </c>
      <c r="M534">
        <v>300</v>
      </c>
      <c r="O534">
        <v>300</v>
      </c>
      <c r="Q534">
        <v>0</v>
      </c>
      <c r="Y534">
        <v>0.05</v>
      </c>
      <c r="Z534">
        <v>2.5</v>
      </c>
      <c r="AA534">
        <v>2</v>
      </c>
      <c r="AB534">
        <v>1</v>
      </c>
      <c r="AE534">
        <v>0</v>
      </c>
      <c r="AF534">
        <v>1</v>
      </c>
      <c r="AG534" t="s">
        <v>2449</v>
      </c>
      <c r="AH534" t="s">
        <v>209</v>
      </c>
      <c r="AI534" t="s">
        <v>231</v>
      </c>
      <c r="AK534">
        <v>1</v>
      </c>
      <c r="AT534">
        <v>1</v>
      </c>
      <c r="AV534">
        <v>0.25</v>
      </c>
      <c r="BC534" t="str">
        <f t="shared" si="215"/>
        <v>enemy_1169_duphlx</v>
      </c>
      <c r="BI534" t="s">
        <v>935</v>
      </c>
      <c r="BJ534" t="s">
        <v>2450</v>
      </c>
      <c r="BL534" t="s">
        <v>210</v>
      </c>
      <c r="BM534" t="s">
        <v>211</v>
      </c>
      <c r="BN534" t="s">
        <v>232</v>
      </c>
      <c r="BO534" t="s">
        <v>213</v>
      </c>
      <c r="BQ534" s="19"/>
      <c r="BR534">
        <v>1</v>
      </c>
    </row>
    <row r="535" spans="1:70" ht="14.5" x14ac:dyDescent="0.25">
      <c r="A535" t="s">
        <v>2451</v>
      </c>
      <c r="B535" t="s">
        <v>206</v>
      </c>
      <c r="C535">
        <v>1</v>
      </c>
      <c r="D535" s="17" t="s">
        <v>2452</v>
      </c>
      <c r="E535" s="2">
        <v>1169</v>
      </c>
      <c r="F535" t="str">
        <f t="shared" si="214"/>
        <v>enemy_1169_duphlx_2</v>
      </c>
      <c r="G535">
        <v>1</v>
      </c>
      <c r="K535">
        <v>6000</v>
      </c>
      <c r="M535">
        <v>450</v>
      </c>
      <c r="O535">
        <v>400</v>
      </c>
      <c r="Q535">
        <v>0</v>
      </c>
      <c r="Y535">
        <v>0.05</v>
      </c>
      <c r="Z535">
        <v>2.5</v>
      </c>
      <c r="AA535">
        <v>2</v>
      </c>
      <c r="AB535">
        <v>1</v>
      </c>
      <c r="AE535">
        <v>0</v>
      </c>
      <c r="AF535">
        <v>1</v>
      </c>
      <c r="AG535" t="s">
        <v>2453</v>
      </c>
      <c r="AH535" t="s">
        <v>209</v>
      </c>
      <c r="AI535" t="s">
        <v>231</v>
      </c>
      <c r="AK535">
        <v>1</v>
      </c>
      <c r="AT535">
        <v>1</v>
      </c>
      <c r="AV535">
        <v>0.25</v>
      </c>
      <c r="BC535" t="str">
        <f t="shared" si="215"/>
        <v>enemy_1169_duphlx_2</v>
      </c>
      <c r="BI535" t="s">
        <v>935</v>
      </c>
      <c r="BJ535" t="s">
        <v>2454</v>
      </c>
      <c r="BL535" t="s">
        <v>210</v>
      </c>
      <c r="BM535" t="s">
        <v>211</v>
      </c>
      <c r="BN535" t="s">
        <v>232</v>
      </c>
      <c r="BO535" t="s">
        <v>213</v>
      </c>
      <c r="BQ535" s="19"/>
      <c r="BR535">
        <v>1</v>
      </c>
    </row>
    <row r="536" spans="1:70" ht="14.5" x14ac:dyDescent="0.25">
      <c r="A536" t="s">
        <v>2455</v>
      </c>
      <c r="B536" t="s">
        <v>206</v>
      </c>
      <c r="C536">
        <v>1</v>
      </c>
      <c r="D536" s="17" t="s">
        <v>2456</v>
      </c>
      <c r="E536" s="2">
        <v>1170</v>
      </c>
      <c r="F536" t="str">
        <f t="shared" si="214"/>
        <v>enemy_1170_dushld</v>
      </c>
      <c r="G536">
        <v>1</v>
      </c>
      <c r="K536">
        <v>7000</v>
      </c>
      <c r="M536">
        <v>700</v>
      </c>
      <c r="O536">
        <v>750</v>
      </c>
      <c r="Q536">
        <v>0</v>
      </c>
      <c r="Y536">
        <v>0.05</v>
      </c>
      <c r="Z536">
        <v>4</v>
      </c>
      <c r="AA536">
        <v>4</v>
      </c>
      <c r="AB536">
        <v>0.7</v>
      </c>
      <c r="AE536">
        <v>0</v>
      </c>
      <c r="AF536">
        <v>1</v>
      </c>
      <c r="AG536" t="s">
        <v>2457</v>
      </c>
      <c r="AH536" t="s">
        <v>209</v>
      </c>
      <c r="AI536" t="s">
        <v>231</v>
      </c>
      <c r="AK536">
        <v>1</v>
      </c>
      <c r="AT536">
        <v>1</v>
      </c>
      <c r="AV536">
        <v>0.25</v>
      </c>
      <c r="BC536" t="str">
        <f t="shared" si="215"/>
        <v>enemy_1170_dushld</v>
      </c>
      <c r="BI536" t="s">
        <v>994</v>
      </c>
      <c r="BJ536" t="s">
        <v>2458</v>
      </c>
      <c r="BL536" t="s">
        <v>210</v>
      </c>
      <c r="BM536" t="s">
        <v>211</v>
      </c>
      <c r="BN536" s="19" t="s">
        <v>212</v>
      </c>
      <c r="BO536" t="s">
        <v>213</v>
      </c>
      <c r="BQ536" s="19"/>
      <c r="BR536">
        <v>1</v>
      </c>
    </row>
    <row r="537" spans="1:70" ht="14.5" x14ac:dyDescent="0.25">
      <c r="A537" t="s">
        <v>2459</v>
      </c>
      <c r="B537" t="s">
        <v>206</v>
      </c>
      <c r="C537">
        <v>1</v>
      </c>
      <c r="D537" s="17" t="s">
        <v>2460</v>
      </c>
      <c r="E537" s="2">
        <v>1170</v>
      </c>
      <c r="F537" t="str">
        <f t="shared" si="214"/>
        <v>enemy_1170_dushld_2</v>
      </c>
      <c r="G537">
        <v>1</v>
      </c>
      <c r="K537">
        <v>9000</v>
      </c>
      <c r="M537">
        <v>900</v>
      </c>
      <c r="O537">
        <v>1100</v>
      </c>
      <c r="Q537">
        <v>0</v>
      </c>
      <c r="Y537">
        <v>0.05</v>
      </c>
      <c r="Z537">
        <v>4</v>
      </c>
      <c r="AA537">
        <v>4</v>
      </c>
      <c r="AB537">
        <v>0.7</v>
      </c>
      <c r="AE537">
        <v>0</v>
      </c>
      <c r="AF537">
        <v>1</v>
      </c>
      <c r="AG537" t="s">
        <v>2461</v>
      </c>
      <c r="AH537" t="s">
        <v>209</v>
      </c>
      <c r="AI537" t="s">
        <v>231</v>
      </c>
      <c r="AK537">
        <v>1</v>
      </c>
      <c r="AT537">
        <v>1</v>
      </c>
      <c r="AV537">
        <v>0.25</v>
      </c>
      <c r="BC537" t="str">
        <f t="shared" si="215"/>
        <v>enemy_1170_dushld_2</v>
      </c>
      <c r="BI537" t="s">
        <v>994</v>
      </c>
      <c r="BJ537" t="s">
        <v>2462</v>
      </c>
      <c r="BL537" t="s">
        <v>210</v>
      </c>
      <c r="BM537" t="s">
        <v>211</v>
      </c>
      <c r="BN537" s="19" t="s">
        <v>212</v>
      </c>
      <c r="BO537" t="s">
        <v>213</v>
      </c>
      <c r="BQ537" s="19"/>
      <c r="BR537">
        <v>1</v>
      </c>
    </row>
    <row r="538" spans="1:70" ht="14.5" x14ac:dyDescent="0.25">
      <c r="A538" t="s">
        <v>2463</v>
      </c>
      <c r="B538" t="s">
        <v>206</v>
      </c>
      <c r="C538">
        <v>1</v>
      </c>
      <c r="D538" s="17" t="s">
        <v>2464</v>
      </c>
      <c r="E538" s="2">
        <v>1171</v>
      </c>
      <c r="F538" t="str">
        <f t="shared" si="214"/>
        <v>enemy_1171_durokt</v>
      </c>
      <c r="G538">
        <v>1</v>
      </c>
      <c r="K538">
        <v>6000</v>
      </c>
      <c r="M538">
        <v>400</v>
      </c>
      <c r="O538">
        <v>350</v>
      </c>
      <c r="Q538">
        <v>0</v>
      </c>
      <c r="Y538">
        <v>0.05</v>
      </c>
      <c r="Z538">
        <v>3</v>
      </c>
      <c r="AA538">
        <v>2</v>
      </c>
      <c r="AB538">
        <v>0.8</v>
      </c>
      <c r="AE538">
        <v>0</v>
      </c>
      <c r="AF538">
        <v>1</v>
      </c>
      <c r="AG538" t="s">
        <v>2465</v>
      </c>
      <c r="AH538" t="s">
        <v>209</v>
      </c>
      <c r="AI538" t="s">
        <v>231</v>
      </c>
      <c r="AK538">
        <v>1</v>
      </c>
      <c r="AT538">
        <v>1</v>
      </c>
      <c r="AV538">
        <v>0.25</v>
      </c>
      <c r="BC538" t="str">
        <f t="shared" si="215"/>
        <v>enemy_1171_durokt</v>
      </c>
      <c r="BI538" t="s">
        <v>941</v>
      </c>
      <c r="BJ538" t="s">
        <v>2466</v>
      </c>
      <c r="BL538" t="s">
        <v>210</v>
      </c>
      <c r="BM538" t="s">
        <v>2348</v>
      </c>
      <c r="BN538" t="s">
        <v>2349</v>
      </c>
      <c r="BO538" t="s">
        <v>213</v>
      </c>
      <c r="BQ538" s="19"/>
      <c r="BR538">
        <v>1</v>
      </c>
    </row>
    <row r="539" spans="1:70" ht="14.5" x14ac:dyDescent="0.25">
      <c r="A539" t="s">
        <v>2467</v>
      </c>
      <c r="B539" t="s">
        <v>206</v>
      </c>
      <c r="C539">
        <v>1</v>
      </c>
      <c r="D539" s="17" t="s">
        <v>2468</v>
      </c>
      <c r="E539" s="2">
        <v>1171</v>
      </c>
      <c r="F539" t="str">
        <f t="shared" si="214"/>
        <v>enemy_1171_durokt_2</v>
      </c>
      <c r="G539">
        <v>1</v>
      </c>
      <c r="K539">
        <v>8000</v>
      </c>
      <c r="M539">
        <v>550</v>
      </c>
      <c r="O539">
        <v>450</v>
      </c>
      <c r="Q539">
        <v>0</v>
      </c>
      <c r="Y539">
        <v>0.05</v>
      </c>
      <c r="Z539">
        <v>3</v>
      </c>
      <c r="AA539">
        <v>2</v>
      </c>
      <c r="AB539">
        <v>0.8</v>
      </c>
      <c r="AE539">
        <v>0</v>
      </c>
      <c r="AF539">
        <v>1</v>
      </c>
      <c r="AG539" t="s">
        <v>2469</v>
      </c>
      <c r="AH539" t="s">
        <v>209</v>
      </c>
      <c r="AI539" t="s">
        <v>231</v>
      </c>
      <c r="AK539">
        <v>1</v>
      </c>
      <c r="AT539">
        <v>1</v>
      </c>
      <c r="AV539">
        <v>0.25</v>
      </c>
      <c r="BC539" t="str">
        <f t="shared" si="215"/>
        <v>enemy_1171_durokt_2</v>
      </c>
      <c r="BI539" t="s">
        <v>941</v>
      </c>
      <c r="BJ539" t="s">
        <v>2466</v>
      </c>
      <c r="BL539" t="s">
        <v>210</v>
      </c>
      <c r="BM539" t="s">
        <v>2348</v>
      </c>
      <c r="BN539" t="s">
        <v>2349</v>
      </c>
      <c r="BO539" t="s">
        <v>213</v>
      </c>
      <c r="BQ539" s="19"/>
      <c r="BR539">
        <v>1</v>
      </c>
    </row>
    <row r="540" spans="1:70" ht="14.5" x14ac:dyDescent="0.25">
      <c r="A540" t="s">
        <v>2470</v>
      </c>
      <c r="B540" t="s">
        <v>206</v>
      </c>
      <c r="C540">
        <v>1</v>
      </c>
      <c r="D540" s="17" t="s">
        <v>2471</v>
      </c>
      <c r="E540" s="2">
        <v>1172</v>
      </c>
      <c r="F540" t="str">
        <f t="shared" si="214"/>
        <v>enemy_1172_dugago</v>
      </c>
      <c r="G540">
        <v>1</v>
      </c>
      <c r="K540">
        <v>10000</v>
      </c>
      <c r="M540">
        <v>550</v>
      </c>
      <c r="O540">
        <v>550</v>
      </c>
      <c r="Q540">
        <v>0</v>
      </c>
      <c r="Y540">
        <v>0.05</v>
      </c>
      <c r="Z540">
        <v>4</v>
      </c>
      <c r="AA540">
        <v>4</v>
      </c>
      <c r="AB540">
        <v>0.5</v>
      </c>
      <c r="AE540">
        <v>0</v>
      </c>
      <c r="AF540">
        <v>1</v>
      </c>
      <c r="AG540" t="s">
        <v>2472</v>
      </c>
      <c r="AH540" t="s">
        <v>209</v>
      </c>
      <c r="AI540" t="s">
        <v>231</v>
      </c>
      <c r="AK540">
        <v>1</v>
      </c>
      <c r="AT540">
        <v>1</v>
      </c>
      <c r="AV540">
        <v>0.25</v>
      </c>
      <c r="BC540" t="str">
        <f t="shared" si="215"/>
        <v>enemy_1172_dugago</v>
      </c>
      <c r="BI540" t="s">
        <v>2473</v>
      </c>
      <c r="BJ540" t="s">
        <v>2474</v>
      </c>
      <c r="BL540" t="s">
        <v>210</v>
      </c>
      <c r="BM540" t="s">
        <v>211</v>
      </c>
      <c r="BN540" s="19" t="s">
        <v>232</v>
      </c>
      <c r="BO540" t="s">
        <v>213</v>
      </c>
      <c r="BQ540" s="19"/>
      <c r="BR540">
        <v>1</v>
      </c>
    </row>
    <row r="541" spans="1:70" ht="14.5" x14ac:dyDescent="0.25">
      <c r="A541" t="s">
        <v>2475</v>
      </c>
      <c r="B541" t="s">
        <v>206</v>
      </c>
      <c r="C541">
        <v>1</v>
      </c>
      <c r="D541" s="17" t="s">
        <v>2476</v>
      </c>
      <c r="E541" s="2">
        <v>1172</v>
      </c>
      <c r="F541" t="str">
        <f t="shared" si="214"/>
        <v>enemy_1172_dugago_2</v>
      </c>
      <c r="G541">
        <v>1</v>
      </c>
      <c r="K541">
        <v>12000</v>
      </c>
      <c r="M541">
        <v>750</v>
      </c>
      <c r="O541">
        <v>750</v>
      </c>
      <c r="Q541">
        <v>0</v>
      </c>
      <c r="Y541">
        <v>0.05</v>
      </c>
      <c r="Z541">
        <v>4</v>
      </c>
      <c r="AA541">
        <v>4</v>
      </c>
      <c r="AB541">
        <v>0.5</v>
      </c>
      <c r="AE541">
        <v>0</v>
      </c>
      <c r="AF541">
        <v>1</v>
      </c>
      <c r="AG541" t="s">
        <v>2477</v>
      </c>
      <c r="AH541" t="s">
        <v>209</v>
      </c>
      <c r="AI541" t="s">
        <v>231</v>
      </c>
      <c r="AK541">
        <v>1</v>
      </c>
      <c r="AT541">
        <v>1</v>
      </c>
      <c r="AV541">
        <v>0.25</v>
      </c>
      <c r="BC541" t="str">
        <f t="shared" si="215"/>
        <v>enemy_1172_dugago_2</v>
      </c>
      <c r="BI541" t="s">
        <v>2473</v>
      </c>
      <c r="BJ541" t="s">
        <v>2474</v>
      </c>
      <c r="BL541" t="s">
        <v>210</v>
      </c>
      <c r="BM541" t="s">
        <v>211</v>
      </c>
      <c r="BN541" s="19" t="s">
        <v>232</v>
      </c>
      <c r="BO541" t="s">
        <v>213</v>
      </c>
      <c r="BQ541" s="19"/>
      <c r="BR541">
        <v>1</v>
      </c>
    </row>
    <row r="542" spans="1:70" ht="14.5" x14ac:dyDescent="0.25">
      <c r="A542" t="s">
        <v>2478</v>
      </c>
      <c r="B542" t="s">
        <v>206</v>
      </c>
      <c r="C542">
        <v>1</v>
      </c>
      <c r="D542" s="17" t="s">
        <v>2479</v>
      </c>
      <c r="E542" s="2">
        <v>1173</v>
      </c>
      <c r="F542" t="str">
        <f t="shared" si="214"/>
        <v>enemy_1173_duspfr</v>
      </c>
      <c r="G542">
        <v>1</v>
      </c>
      <c r="K542">
        <v>8000</v>
      </c>
      <c r="M542">
        <v>500</v>
      </c>
      <c r="O542">
        <v>400</v>
      </c>
      <c r="Q542">
        <v>0</v>
      </c>
      <c r="Y542">
        <v>0.05</v>
      </c>
      <c r="Z542">
        <v>2</v>
      </c>
      <c r="AA542">
        <v>3</v>
      </c>
      <c r="AB542">
        <v>0.8</v>
      </c>
      <c r="AE542">
        <v>0</v>
      </c>
      <c r="AF542">
        <v>1</v>
      </c>
      <c r="AG542" t="s">
        <v>2480</v>
      </c>
      <c r="AH542" t="s">
        <v>209</v>
      </c>
      <c r="AI542" t="s">
        <v>231</v>
      </c>
      <c r="AK542">
        <v>1</v>
      </c>
      <c r="AT542">
        <v>1</v>
      </c>
      <c r="AV542">
        <v>0.25</v>
      </c>
      <c r="BC542" t="str">
        <f t="shared" si="215"/>
        <v>enemy_1173_duspfr</v>
      </c>
      <c r="BI542" t="s">
        <v>962</v>
      </c>
      <c r="BJ542" t="s">
        <v>2481</v>
      </c>
      <c r="BL542" t="s">
        <v>210</v>
      </c>
      <c r="BM542" t="s">
        <v>211</v>
      </c>
      <c r="BN542" s="19" t="s">
        <v>232</v>
      </c>
      <c r="BO542" t="s">
        <v>213</v>
      </c>
      <c r="BQ542" s="19"/>
      <c r="BR542">
        <v>1</v>
      </c>
    </row>
    <row r="543" spans="1:70" ht="14.5" x14ac:dyDescent="0.25">
      <c r="A543" t="s">
        <v>2482</v>
      </c>
      <c r="B543" t="s">
        <v>206</v>
      </c>
      <c r="C543">
        <v>1</v>
      </c>
      <c r="D543" s="17" t="s">
        <v>2483</v>
      </c>
      <c r="E543" s="2">
        <v>1173</v>
      </c>
      <c r="F543" t="str">
        <f t="shared" si="214"/>
        <v>enemy_1173_duspfr_2</v>
      </c>
      <c r="G543">
        <v>1</v>
      </c>
      <c r="K543">
        <v>10000</v>
      </c>
      <c r="M543">
        <v>600</v>
      </c>
      <c r="O543">
        <v>550</v>
      </c>
      <c r="Q543">
        <v>0</v>
      </c>
      <c r="Y543">
        <v>0.05</v>
      </c>
      <c r="Z543">
        <v>2</v>
      </c>
      <c r="AA543">
        <v>3</v>
      </c>
      <c r="AB543">
        <v>0.8</v>
      </c>
      <c r="AE543">
        <v>0</v>
      </c>
      <c r="AF543">
        <v>1</v>
      </c>
      <c r="AG543" t="s">
        <v>2484</v>
      </c>
      <c r="AH543" t="s">
        <v>209</v>
      </c>
      <c r="AI543" t="s">
        <v>231</v>
      </c>
      <c r="AK543">
        <v>1</v>
      </c>
      <c r="AT543">
        <v>1</v>
      </c>
      <c r="AV543">
        <v>0.25</v>
      </c>
      <c r="BC543" t="str">
        <f t="shared" si="215"/>
        <v>enemy_1173_duspfr_2</v>
      </c>
      <c r="BI543" t="s">
        <v>962</v>
      </c>
      <c r="BJ543" t="s">
        <v>2485</v>
      </c>
      <c r="BL543" t="s">
        <v>210</v>
      </c>
      <c r="BM543" t="s">
        <v>211</v>
      </c>
      <c r="BN543" s="19" t="s">
        <v>232</v>
      </c>
      <c r="BO543" t="s">
        <v>213</v>
      </c>
      <c r="BQ543" s="19"/>
      <c r="BR543">
        <v>1</v>
      </c>
    </row>
    <row r="544" spans="1:70" ht="14.5" x14ac:dyDescent="0.25">
      <c r="A544" t="s">
        <v>2486</v>
      </c>
      <c r="B544" t="s">
        <v>206</v>
      </c>
      <c r="C544">
        <v>1</v>
      </c>
      <c r="D544" s="17" t="s">
        <v>2487</v>
      </c>
      <c r="E544" s="2">
        <v>1174</v>
      </c>
      <c r="F544" t="str">
        <f t="shared" si="214"/>
        <v>enemy_1174_duholy</v>
      </c>
      <c r="G544">
        <v>1</v>
      </c>
      <c r="K544">
        <v>15000</v>
      </c>
      <c r="M544">
        <v>900</v>
      </c>
      <c r="O544">
        <v>900</v>
      </c>
      <c r="Q544">
        <v>0</v>
      </c>
      <c r="Y544">
        <v>0.05</v>
      </c>
      <c r="Z544">
        <v>4</v>
      </c>
      <c r="AA544">
        <v>5</v>
      </c>
      <c r="AB544">
        <v>0.8</v>
      </c>
      <c r="AE544">
        <v>1</v>
      </c>
      <c r="AF544">
        <v>1</v>
      </c>
      <c r="AG544" t="s">
        <v>2488</v>
      </c>
      <c r="AH544" t="s">
        <v>209</v>
      </c>
      <c r="AI544" t="s">
        <v>231</v>
      </c>
      <c r="AK544">
        <v>1</v>
      </c>
      <c r="AT544">
        <v>1</v>
      </c>
      <c r="AV544">
        <v>0.25</v>
      </c>
      <c r="BC544" t="str">
        <f t="shared" si="215"/>
        <v>enemy_1174_duholy</v>
      </c>
      <c r="BI544" t="s">
        <v>2489</v>
      </c>
      <c r="BJ544" t="s">
        <v>2490</v>
      </c>
      <c r="BL544" t="s">
        <v>210</v>
      </c>
      <c r="BM544" t="s">
        <v>211</v>
      </c>
      <c r="BN544" s="19" t="s">
        <v>232</v>
      </c>
      <c r="BO544" t="s">
        <v>213</v>
      </c>
      <c r="BQ544" s="19"/>
      <c r="BR544">
        <v>1</v>
      </c>
    </row>
    <row r="545" spans="1:70" ht="14.5" x14ac:dyDescent="0.25">
      <c r="A545" t="s">
        <v>2491</v>
      </c>
      <c r="B545" t="s">
        <v>206</v>
      </c>
      <c r="C545">
        <v>1</v>
      </c>
      <c r="D545" s="17" t="s">
        <v>2492</v>
      </c>
      <c r="E545" s="2">
        <v>1174</v>
      </c>
      <c r="F545" t="str">
        <f t="shared" si="214"/>
        <v>enemy_1174_duholy_2</v>
      </c>
      <c r="G545">
        <v>1</v>
      </c>
      <c r="K545">
        <v>20000</v>
      </c>
      <c r="M545">
        <v>1100</v>
      </c>
      <c r="O545">
        <v>1000</v>
      </c>
      <c r="Q545">
        <v>0</v>
      </c>
      <c r="Y545">
        <v>0.05</v>
      </c>
      <c r="Z545">
        <v>4</v>
      </c>
      <c r="AA545">
        <v>5</v>
      </c>
      <c r="AB545">
        <v>0.8</v>
      </c>
      <c r="AE545">
        <v>1</v>
      </c>
      <c r="AF545">
        <v>1</v>
      </c>
      <c r="AG545" t="s">
        <v>2493</v>
      </c>
      <c r="AH545" t="s">
        <v>209</v>
      </c>
      <c r="AI545" t="s">
        <v>231</v>
      </c>
      <c r="AK545">
        <v>1</v>
      </c>
      <c r="AT545">
        <v>1</v>
      </c>
      <c r="AV545">
        <v>0.25</v>
      </c>
      <c r="BC545" t="str">
        <f t="shared" si="215"/>
        <v>enemy_1174_duholy_2</v>
      </c>
      <c r="BI545" t="s">
        <v>2489</v>
      </c>
      <c r="BJ545" t="s">
        <v>2494</v>
      </c>
      <c r="BL545" t="s">
        <v>210</v>
      </c>
      <c r="BM545" t="s">
        <v>211</v>
      </c>
      <c r="BN545" s="19" t="s">
        <v>232</v>
      </c>
      <c r="BO545" t="s">
        <v>213</v>
      </c>
      <c r="BQ545" s="19"/>
      <c r="BR545">
        <v>1</v>
      </c>
    </row>
    <row r="546" spans="1:70" ht="14.5" x14ac:dyDescent="0.25">
      <c r="A546" t="s">
        <v>2495</v>
      </c>
      <c r="B546" t="s">
        <v>206</v>
      </c>
      <c r="C546">
        <v>1</v>
      </c>
      <c r="D546" s="17" t="s">
        <v>2496</v>
      </c>
      <c r="E546" s="2">
        <v>1175</v>
      </c>
      <c r="F546" t="str">
        <f t="shared" si="214"/>
        <v>enemy_1175_dushdo</v>
      </c>
      <c r="G546">
        <v>1</v>
      </c>
      <c r="K546">
        <v>12000</v>
      </c>
      <c r="M546">
        <v>400</v>
      </c>
      <c r="O546">
        <v>350</v>
      </c>
      <c r="Q546">
        <v>0</v>
      </c>
      <c r="Y546">
        <v>0.05</v>
      </c>
      <c r="Z546">
        <v>2.1</v>
      </c>
      <c r="AA546">
        <v>2</v>
      </c>
      <c r="AB546">
        <v>0.8</v>
      </c>
      <c r="AE546">
        <v>0</v>
      </c>
      <c r="AF546">
        <v>1</v>
      </c>
      <c r="AG546" t="s">
        <v>2497</v>
      </c>
      <c r="AH546" t="s">
        <v>209</v>
      </c>
      <c r="AI546" t="s">
        <v>231</v>
      </c>
      <c r="AK546">
        <v>1</v>
      </c>
      <c r="AT546">
        <v>1</v>
      </c>
      <c r="AV546">
        <v>0.25</v>
      </c>
      <c r="BC546" t="str">
        <f t="shared" si="215"/>
        <v>enemy_1175_dushdo</v>
      </c>
      <c r="BI546" t="s">
        <v>2498</v>
      </c>
      <c r="BJ546" t="s">
        <v>2499</v>
      </c>
      <c r="BL546" t="s">
        <v>210</v>
      </c>
      <c r="BM546" t="s">
        <v>211</v>
      </c>
      <c r="BN546" s="19" t="s">
        <v>232</v>
      </c>
      <c r="BO546" t="s">
        <v>213</v>
      </c>
      <c r="BQ546" s="19"/>
      <c r="BR546">
        <v>1</v>
      </c>
    </row>
    <row r="547" spans="1:70" ht="14.5" x14ac:dyDescent="0.25">
      <c r="A547" t="s">
        <v>2500</v>
      </c>
      <c r="B547" t="s">
        <v>206</v>
      </c>
      <c r="C547">
        <v>1</v>
      </c>
      <c r="D547" s="17" t="s">
        <v>2501</v>
      </c>
      <c r="E547" s="2">
        <v>1175</v>
      </c>
      <c r="F547" t="str">
        <f t="shared" si="214"/>
        <v>enemy_1175_dushdo_2</v>
      </c>
      <c r="G547">
        <v>1</v>
      </c>
      <c r="K547">
        <v>15000</v>
      </c>
      <c r="M547">
        <v>580</v>
      </c>
      <c r="O547">
        <v>550</v>
      </c>
      <c r="Q547">
        <v>0</v>
      </c>
      <c r="Y547">
        <v>0.05</v>
      </c>
      <c r="Z547">
        <v>2.1</v>
      </c>
      <c r="AA547">
        <v>2</v>
      </c>
      <c r="AB547">
        <v>0.8</v>
      </c>
      <c r="AE547">
        <v>0</v>
      </c>
      <c r="AF547">
        <v>1</v>
      </c>
      <c r="AG547" t="s">
        <v>2502</v>
      </c>
      <c r="AH547" t="s">
        <v>209</v>
      </c>
      <c r="AI547" t="s">
        <v>231</v>
      </c>
      <c r="AK547">
        <v>1</v>
      </c>
      <c r="AT547">
        <v>1</v>
      </c>
      <c r="AV547">
        <v>0.25</v>
      </c>
      <c r="BC547" t="str">
        <f t="shared" si="215"/>
        <v>enemy_1175_dushdo_2</v>
      </c>
      <c r="BI547" t="s">
        <v>2498</v>
      </c>
      <c r="BJ547" t="s">
        <v>2503</v>
      </c>
      <c r="BL547" t="s">
        <v>210</v>
      </c>
      <c r="BM547" t="s">
        <v>211</v>
      </c>
      <c r="BN547" s="19" t="s">
        <v>232</v>
      </c>
      <c r="BO547" t="s">
        <v>213</v>
      </c>
      <c r="BQ547" s="19"/>
      <c r="BR547">
        <v>1</v>
      </c>
    </row>
    <row r="548" spans="1:70" ht="14.5" x14ac:dyDescent="0.25">
      <c r="A548" t="s">
        <v>2504</v>
      </c>
      <c r="B548" t="s">
        <v>206</v>
      </c>
      <c r="C548">
        <v>1</v>
      </c>
      <c r="D548" s="17" t="s">
        <v>2505</v>
      </c>
      <c r="E548" s="2">
        <v>1176</v>
      </c>
      <c r="F548" t="str">
        <f t="shared" si="214"/>
        <v>enemy_1176_dusocr</v>
      </c>
      <c r="G548">
        <v>1</v>
      </c>
      <c r="K548">
        <v>15000</v>
      </c>
      <c r="M548">
        <v>0</v>
      </c>
      <c r="O548">
        <v>450</v>
      </c>
      <c r="Q548">
        <v>40</v>
      </c>
      <c r="Y548">
        <v>0.05</v>
      </c>
      <c r="Z548">
        <v>5</v>
      </c>
      <c r="AA548">
        <v>3</v>
      </c>
      <c r="AB548">
        <v>0.3</v>
      </c>
      <c r="AE548">
        <v>0</v>
      </c>
      <c r="AF548">
        <v>1</v>
      </c>
      <c r="AG548" t="s">
        <v>2506</v>
      </c>
      <c r="AH548" t="s">
        <v>209</v>
      </c>
      <c r="AI548" t="s">
        <v>231</v>
      </c>
      <c r="AK548">
        <v>1</v>
      </c>
      <c r="AT548">
        <v>1</v>
      </c>
      <c r="AV548">
        <v>0.25</v>
      </c>
      <c r="BC548" t="str">
        <f t="shared" si="215"/>
        <v>enemy_1176_dusocr</v>
      </c>
      <c r="BI548" t="s">
        <v>1744</v>
      </c>
      <c r="BJ548" t="s">
        <v>2507</v>
      </c>
      <c r="BL548" t="s">
        <v>210</v>
      </c>
      <c r="BM548" t="s">
        <v>211</v>
      </c>
      <c r="BN548" s="19" t="s">
        <v>232</v>
      </c>
      <c r="BO548" t="s">
        <v>213</v>
      </c>
      <c r="BQ548" s="19"/>
      <c r="BR548">
        <v>1</v>
      </c>
    </row>
    <row r="549" spans="1:70" ht="14.5" x14ac:dyDescent="0.25">
      <c r="A549" t="s">
        <v>2508</v>
      </c>
      <c r="B549" t="s">
        <v>206</v>
      </c>
      <c r="C549">
        <v>1</v>
      </c>
      <c r="D549" s="17" t="s">
        <v>2509</v>
      </c>
      <c r="E549" s="2">
        <v>1176</v>
      </c>
      <c r="F549" t="str">
        <f t="shared" si="214"/>
        <v>enemy_1176_dusocr_2</v>
      </c>
      <c r="G549">
        <v>1</v>
      </c>
      <c r="K549">
        <v>20000</v>
      </c>
      <c r="M549">
        <v>0</v>
      </c>
      <c r="O549">
        <v>550</v>
      </c>
      <c r="Q549">
        <v>50</v>
      </c>
      <c r="Y549">
        <v>0.05</v>
      </c>
      <c r="Z549">
        <v>5</v>
      </c>
      <c r="AA549">
        <v>3</v>
      </c>
      <c r="AB549">
        <v>0.3</v>
      </c>
      <c r="AE549">
        <v>0</v>
      </c>
      <c r="AF549">
        <v>1</v>
      </c>
      <c r="AG549" t="s">
        <v>2510</v>
      </c>
      <c r="AH549" t="s">
        <v>209</v>
      </c>
      <c r="AI549" t="s">
        <v>231</v>
      </c>
      <c r="AK549">
        <v>1</v>
      </c>
      <c r="AT549">
        <v>1</v>
      </c>
      <c r="AV549">
        <v>0.25</v>
      </c>
      <c r="BC549" t="str">
        <f t="shared" si="215"/>
        <v>enemy_1176_dusocr_2</v>
      </c>
      <c r="BI549" t="s">
        <v>1744</v>
      </c>
      <c r="BJ549" t="s">
        <v>2507</v>
      </c>
      <c r="BL549" t="s">
        <v>210</v>
      </c>
      <c r="BM549" t="s">
        <v>211</v>
      </c>
      <c r="BN549" s="19" t="s">
        <v>232</v>
      </c>
      <c r="BO549" t="s">
        <v>213</v>
      </c>
      <c r="BQ549" s="19"/>
      <c r="BR549">
        <v>1</v>
      </c>
    </row>
    <row r="550" spans="1:70" ht="14.5" x14ac:dyDescent="0.25">
      <c r="A550" t="s">
        <v>2511</v>
      </c>
      <c r="B550" t="s">
        <v>206</v>
      </c>
      <c r="C550">
        <v>1</v>
      </c>
      <c r="D550" s="17" t="s">
        <v>2512</v>
      </c>
      <c r="E550" s="2">
        <v>1177</v>
      </c>
      <c r="F550" t="str">
        <f t="shared" si="214"/>
        <v>enemy_1177_dufrbl</v>
      </c>
      <c r="G550">
        <v>1</v>
      </c>
      <c r="K550">
        <v>100</v>
      </c>
      <c r="M550">
        <v>500</v>
      </c>
      <c r="O550">
        <v>0</v>
      </c>
      <c r="Q550">
        <v>0</v>
      </c>
      <c r="Y550">
        <v>0.05</v>
      </c>
      <c r="Z550">
        <v>2</v>
      </c>
      <c r="AA550">
        <v>0</v>
      </c>
      <c r="AB550">
        <v>2.5</v>
      </c>
      <c r="AE550">
        <v>0</v>
      </c>
      <c r="AF550">
        <v>1</v>
      </c>
      <c r="AG550" t="s">
        <v>2513</v>
      </c>
      <c r="AH550" t="s">
        <v>209</v>
      </c>
      <c r="AI550" t="s">
        <v>231</v>
      </c>
      <c r="AK550">
        <v>1</v>
      </c>
      <c r="AT550">
        <v>1</v>
      </c>
      <c r="AV550">
        <v>0.25</v>
      </c>
      <c r="BC550" t="str">
        <f t="shared" si="215"/>
        <v>enemy_1177_dufrbl</v>
      </c>
      <c r="BI550" t="s">
        <v>2514</v>
      </c>
      <c r="BL550" t="s">
        <v>210</v>
      </c>
      <c r="BM550" t="s">
        <v>211</v>
      </c>
      <c r="BN550" s="19"/>
      <c r="BO550" t="s">
        <v>213</v>
      </c>
      <c r="BQ550" s="19"/>
      <c r="BR550">
        <v>1</v>
      </c>
    </row>
    <row r="551" spans="1:70" ht="14.5" x14ac:dyDescent="0.25">
      <c r="A551" t="s">
        <v>2515</v>
      </c>
      <c r="B551" t="s">
        <v>206</v>
      </c>
      <c r="C551">
        <v>1</v>
      </c>
      <c r="D551" s="17" t="s">
        <v>2516</v>
      </c>
      <c r="E551" s="2">
        <v>1177</v>
      </c>
      <c r="F551" t="str">
        <f t="shared" si="214"/>
        <v>enemy_1177_dufrbl_2</v>
      </c>
      <c r="G551">
        <v>1</v>
      </c>
      <c r="K551">
        <v>100</v>
      </c>
      <c r="M551">
        <v>600</v>
      </c>
      <c r="O551">
        <v>0</v>
      </c>
      <c r="Q551">
        <v>0</v>
      </c>
      <c r="Y551">
        <v>0.05</v>
      </c>
      <c r="Z551">
        <v>2</v>
      </c>
      <c r="AA551">
        <v>0</v>
      </c>
      <c r="AB551">
        <v>2.5</v>
      </c>
      <c r="AE551">
        <v>0</v>
      </c>
      <c r="AF551">
        <v>1</v>
      </c>
      <c r="AG551" t="s">
        <v>2513</v>
      </c>
      <c r="AH551" t="s">
        <v>209</v>
      </c>
      <c r="AI551" t="s">
        <v>231</v>
      </c>
      <c r="AK551">
        <v>1</v>
      </c>
      <c r="AT551">
        <v>1</v>
      </c>
      <c r="AV551">
        <v>0.25</v>
      </c>
      <c r="BC551" t="str">
        <f t="shared" si="215"/>
        <v>enemy_1177_dufrbl_2</v>
      </c>
      <c r="BI551" t="s">
        <v>2514</v>
      </c>
      <c r="BL551" t="s">
        <v>210</v>
      </c>
      <c r="BM551" t="s">
        <v>211</v>
      </c>
      <c r="BN551" s="19"/>
      <c r="BO551" t="s">
        <v>213</v>
      </c>
      <c r="BQ551" s="19"/>
      <c r="BR551">
        <v>1</v>
      </c>
    </row>
    <row r="552" spans="1:70" ht="14.5" x14ac:dyDescent="0.25">
      <c r="A552" t="s">
        <v>2517</v>
      </c>
      <c r="B552" t="s">
        <v>206</v>
      </c>
      <c r="C552">
        <v>1</v>
      </c>
      <c r="D552" s="17" t="s">
        <v>2518</v>
      </c>
      <c r="E552" s="2">
        <v>1523</v>
      </c>
      <c r="F552" t="str">
        <f t="shared" si="214"/>
        <v>enemy_1523_mandra</v>
      </c>
      <c r="G552">
        <v>1</v>
      </c>
      <c r="K552">
        <v>50000</v>
      </c>
      <c r="M552">
        <v>640</v>
      </c>
      <c r="O552">
        <v>520</v>
      </c>
      <c r="Q552">
        <v>35</v>
      </c>
      <c r="Y552">
        <v>0.05</v>
      </c>
      <c r="Z552">
        <v>1.8</v>
      </c>
      <c r="AA552">
        <v>7</v>
      </c>
      <c r="AB552">
        <v>0.4</v>
      </c>
      <c r="AE552">
        <v>0</v>
      </c>
      <c r="AF552">
        <v>1</v>
      </c>
      <c r="AG552" t="s">
        <v>2519</v>
      </c>
      <c r="AH552" t="s">
        <v>209</v>
      </c>
      <c r="AI552" t="s">
        <v>231</v>
      </c>
      <c r="AK552">
        <v>1</v>
      </c>
      <c r="AT552">
        <v>1</v>
      </c>
      <c r="AV552">
        <v>0.25</v>
      </c>
      <c r="BC552" t="str">
        <f t="shared" si="215"/>
        <v>enemy_1523_mandra</v>
      </c>
      <c r="BI552" t="s">
        <v>1324</v>
      </c>
      <c r="BJ552" t="s">
        <v>2520</v>
      </c>
      <c r="BL552" t="s">
        <v>210</v>
      </c>
      <c r="BM552" t="s">
        <v>2017</v>
      </c>
      <c r="BN552" s="19" t="s">
        <v>2018</v>
      </c>
      <c r="BO552" t="s">
        <v>2521</v>
      </c>
      <c r="BQ552" s="19"/>
      <c r="BR552">
        <v>1</v>
      </c>
    </row>
    <row r="553" spans="1:70" ht="14.5" x14ac:dyDescent="0.25">
      <c r="A553" t="s">
        <v>2522</v>
      </c>
      <c r="B553" t="s">
        <v>206</v>
      </c>
      <c r="C553">
        <v>1</v>
      </c>
      <c r="D553" s="17" t="s">
        <v>2523</v>
      </c>
      <c r="E553" s="2">
        <v>1178</v>
      </c>
      <c r="F553" t="str">
        <f t="shared" si="214"/>
        <v>enemy_1178_dscorp</v>
      </c>
      <c r="G553">
        <v>1</v>
      </c>
      <c r="K553">
        <v>1800</v>
      </c>
      <c r="M553">
        <v>350</v>
      </c>
      <c r="O553">
        <v>300</v>
      </c>
      <c r="Q553">
        <v>30</v>
      </c>
      <c r="Y553">
        <v>0.05</v>
      </c>
      <c r="Z553">
        <v>2.1</v>
      </c>
      <c r="AA553">
        <v>0</v>
      </c>
      <c r="AB553">
        <v>1.5</v>
      </c>
      <c r="AE553">
        <v>0</v>
      </c>
      <c r="AF553">
        <v>1</v>
      </c>
      <c r="AG553" t="s">
        <v>2524</v>
      </c>
      <c r="AH553" t="s">
        <v>209</v>
      </c>
      <c r="AI553" t="s">
        <v>231</v>
      </c>
      <c r="AK553">
        <v>1</v>
      </c>
      <c r="AT553">
        <v>1</v>
      </c>
      <c r="AV553">
        <v>0.25</v>
      </c>
      <c r="BC553" t="str">
        <f t="shared" si="215"/>
        <v>enemy_1178_dscorp</v>
      </c>
      <c r="BI553" t="s">
        <v>893</v>
      </c>
      <c r="BJ553" t="s">
        <v>2525</v>
      </c>
      <c r="BL553" t="s">
        <v>210</v>
      </c>
      <c r="BM553" t="s">
        <v>211</v>
      </c>
      <c r="BN553" s="19" t="s">
        <v>232</v>
      </c>
      <c r="BO553" t="s">
        <v>213</v>
      </c>
      <c r="BQ553" s="19"/>
      <c r="BR553">
        <v>1</v>
      </c>
    </row>
    <row r="554" spans="1:70" ht="14.5" x14ac:dyDescent="0.25">
      <c r="A554" t="s">
        <v>2526</v>
      </c>
      <c r="B554" t="s">
        <v>206</v>
      </c>
      <c r="C554">
        <v>1</v>
      </c>
      <c r="D554" s="17" t="s">
        <v>2527</v>
      </c>
      <c r="E554" s="2">
        <v>1178</v>
      </c>
      <c r="F554" t="str">
        <f t="shared" si="214"/>
        <v>enemy_1178_dscorp_2</v>
      </c>
      <c r="G554">
        <v>1</v>
      </c>
      <c r="K554">
        <v>2800</v>
      </c>
      <c r="M554">
        <v>400</v>
      </c>
      <c r="O554">
        <v>400</v>
      </c>
      <c r="Q554">
        <v>30</v>
      </c>
      <c r="Y554">
        <v>0.05</v>
      </c>
      <c r="Z554">
        <v>2.1</v>
      </c>
      <c r="AA554">
        <v>0</v>
      </c>
      <c r="AB554">
        <v>1.5</v>
      </c>
      <c r="AE554">
        <v>0</v>
      </c>
      <c r="AF554">
        <v>1</v>
      </c>
      <c r="AG554" t="s">
        <v>2528</v>
      </c>
      <c r="AH554" t="s">
        <v>209</v>
      </c>
      <c r="AI554" t="s">
        <v>231</v>
      </c>
      <c r="AK554">
        <v>1</v>
      </c>
      <c r="AT554">
        <v>1</v>
      </c>
      <c r="AV554">
        <v>0.25</v>
      </c>
      <c r="BC554" t="str">
        <f t="shared" si="215"/>
        <v>enemy_1178_dscorp_2</v>
      </c>
      <c r="BI554" t="s">
        <v>893</v>
      </c>
      <c r="BJ554" t="s">
        <v>2529</v>
      </c>
      <c r="BL554" t="s">
        <v>210</v>
      </c>
      <c r="BM554" t="s">
        <v>211</v>
      </c>
      <c r="BN554" s="19" t="s">
        <v>232</v>
      </c>
      <c r="BO554" t="s">
        <v>213</v>
      </c>
      <c r="BQ554" s="19"/>
      <c r="BR554">
        <v>1</v>
      </c>
    </row>
    <row r="555" spans="1:70" ht="14.5" x14ac:dyDescent="0.25">
      <c r="A555" t="s">
        <v>2530</v>
      </c>
      <c r="B555" t="s">
        <v>206</v>
      </c>
      <c r="C555">
        <v>1</v>
      </c>
      <c r="D555" s="17" t="s">
        <v>2531</v>
      </c>
      <c r="E555" s="2">
        <v>1179</v>
      </c>
      <c r="F555" t="str">
        <f t="shared" si="214"/>
        <v>enemy_1179_aruarw</v>
      </c>
      <c r="G555">
        <v>1</v>
      </c>
      <c r="K555">
        <v>3000</v>
      </c>
      <c r="M555">
        <v>300</v>
      </c>
      <c r="O555">
        <v>100</v>
      </c>
      <c r="Q555">
        <v>0</v>
      </c>
      <c r="Y555">
        <v>0.05</v>
      </c>
      <c r="Z555">
        <v>2.9</v>
      </c>
      <c r="AA555">
        <v>1</v>
      </c>
      <c r="AB555">
        <v>0.9</v>
      </c>
      <c r="AE555">
        <v>0</v>
      </c>
      <c r="AF555">
        <v>1</v>
      </c>
      <c r="AG555" t="s">
        <v>2532</v>
      </c>
      <c r="AH555" t="s">
        <v>209</v>
      </c>
      <c r="AI555" t="s">
        <v>231</v>
      </c>
      <c r="AK555">
        <v>1</v>
      </c>
      <c r="AT555">
        <v>1</v>
      </c>
      <c r="AV555">
        <v>0.25</v>
      </c>
      <c r="BC555" t="str">
        <f t="shared" si="215"/>
        <v>enemy_1179_aruarw</v>
      </c>
      <c r="BI555" t="s">
        <v>941</v>
      </c>
      <c r="BJ555" t="s">
        <v>2533</v>
      </c>
      <c r="BL555" t="s">
        <v>210</v>
      </c>
      <c r="BM555" t="s">
        <v>211</v>
      </c>
      <c r="BN555" s="19" t="s">
        <v>232</v>
      </c>
      <c r="BO555" t="s">
        <v>213</v>
      </c>
      <c r="BQ555" s="19"/>
      <c r="BR555">
        <v>1</v>
      </c>
    </row>
    <row r="556" spans="1:70" ht="14.5" x14ac:dyDescent="0.25">
      <c r="A556" t="s">
        <v>2534</v>
      </c>
      <c r="B556" t="s">
        <v>206</v>
      </c>
      <c r="C556">
        <v>1</v>
      </c>
      <c r="D556" s="17" t="s">
        <v>2535</v>
      </c>
      <c r="E556" s="2">
        <v>1179</v>
      </c>
      <c r="F556" t="str">
        <f t="shared" si="214"/>
        <v>enemy_1179_aruarw_2</v>
      </c>
      <c r="G556">
        <v>1</v>
      </c>
      <c r="K556">
        <v>4000</v>
      </c>
      <c r="M556">
        <v>350</v>
      </c>
      <c r="O556">
        <v>150</v>
      </c>
      <c r="Q556">
        <v>0</v>
      </c>
      <c r="Y556">
        <v>0.05</v>
      </c>
      <c r="Z556">
        <v>2.9</v>
      </c>
      <c r="AA556">
        <v>1</v>
      </c>
      <c r="AB556">
        <v>0.9</v>
      </c>
      <c r="AE556">
        <v>0</v>
      </c>
      <c r="AF556">
        <v>1</v>
      </c>
      <c r="AG556" t="s">
        <v>2536</v>
      </c>
      <c r="AH556" t="s">
        <v>209</v>
      </c>
      <c r="AI556" t="s">
        <v>231</v>
      </c>
      <c r="AK556">
        <v>1</v>
      </c>
      <c r="AT556">
        <v>1</v>
      </c>
      <c r="AV556">
        <v>0.25</v>
      </c>
      <c r="BC556" t="str">
        <f t="shared" si="215"/>
        <v>enemy_1179_aruarw_2</v>
      </c>
      <c r="BI556" t="s">
        <v>941</v>
      </c>
      <c r="BJ556" t="s">
        <v>2537</v>
      </c>
      <c r="BL556" t="s">
        <v>210</v>
      </c>
      <c r="BM556" t="s">
        <v>211</v>
      </c>
      <c r="BN556" s="19" t="s">
        <v>232</v>
      </c>
      <c r="BO556" t="s">
        <v>213</v>
      </c>
      <c r="BQ556" s="19"/>
      <c r="BR556">
        <v>1</v>
      </c>
    </row>
    <row r="557" spans="1:70" ht="14.5" x14ac:dyDescent="0.25">
      <c r="A557" t="s">
        <v>2538</v>
      </c>
      <c r="B557" t="s">
        <v>206</v>
      </c>
      <c r="C557">
        <v>1</v>
      </c>
      <c r="D557" s="17" t="s">
        <v>2539</v>
      </c>
      <c r="E557" s="2">
        <v>1180</v>
      </c>
      <c r="F557" t="str">
        <f t="shared" si="214"/>
        <v>enemy_1180_aruass</v>
      </c>
      <c r="G557">
        <v>1</v>
      </c>
      <c r="K557">
        <v>4500</v>
      </c>
      <c r="M557">
        <v>400</v>
      </c>
      <c r="O557">
        <v>250</v>
      </c>
      <c r="Q557">
        <v>20</v>
      </c>
      <c r="Y557">
        <v>0.05</v>
      </c>
      <c r="Z557">
        <v>2.2000000000000002</v>
      </c>
      <c r="AA557">
        <v>1</v>
      </c>
      <c r="AB557">
        <v>1</v>
      </c>
      <c r="AE557">
        <v>0</v>
      </c>
      <c r="AF557">
        <v>1</v>
      </c>
      <c r="AG557" t="s">
        <v>2540</v>
      </c>
      <c r="AH557" t="s">
        <v>209</v>
      </c>
      <c r="AI557" t="s">
        <v>231</v>
      </c>
      <c r="AK557">
        <v>1</v>
      </c>
      <c r="AT557">
        <v>1</v>
      </c>
      <c r="AV557">
        <v>0.25</v>
      </c>
      <c r="BC557" t="str">
        <f t="shared" si="215"/>
        <v>enemy_1180_aruass</v>
      </c>
      <c r="BI557" t="s">
        <v>935</v>
      </c>
      <c r="BJ557" t="s">
        <v>2541</v>
      </c>
      <c r="BL557" t="s">
        <v>210</v>
      </c>
      <c r="BM557" t="s">
        <v>211</v>
      </c>
      <c r="BN557" t="s">
        <v>232</v>
      </c>
      <c r="BO557" t="s">
        <v>213</v>
      </c>
      <c r="BR557">
        <v>1</v>
      </c>
    </row>
    <row r="558" spans="1:70" ht="14.5" x14ac:dyDescent="0.25">
      <c r="A558" t="s">
        <v>2542</v>
      </c>
      <c r="B558" t="s">
        <v>206</v>
      </c>
      <c r="C558">
        <v>1</v>
      </c>
      <c r="D558" s="17" t="s">
        <v>2543</v>
      </c>
      <c r="E558" s="2">
        <v>1180</v>
      </c>
      <c r="F558" t="str">
        <f t="shared" si="214"/>
        <v>enemy_1180_aruass_2</v>
      </c>
      <c r="G558">
        <v>1</v>
      </c>
      <c r="K558">
        <v>5500</v>
      </c>
      <c r="M558">
        <v>500</v>
      </c>
      <c r="O558">
        <v>300</v>
      </c>
      <c r="Q558">
        <v>20</v>
      </c>
      <c r="Y558">
        <v>0.05</v>
      </c>
      <c r="Z558">
        <v>2.2000000000000002</v>
      </c>
      <c r="AA558">
        <v>1</v>
      </c>
      <c r="AB558">
        <v>1</v>
      </c>
      <c r="AE558">
        <v>0</v>
      </c>
      <c r="AF558">
        <v>1</v>
      </c>
      <c r="AG558" t="s">
        <v>2544</v>
      </c>
      <c r="AH558" t="s">
        <v>209</v>
      </c>
      <c r="AI558" t="s">
        <v>231</v>
      </c>
      <c r="AK558">
        <v>1</v>
      </c>
      <c r="AT558">
        <v>1</v>
      </c>
      <c r="AV558">
        <v>0.25</v>
      </c>
      <c r="BC558" t="str">
        <f t="shared" si="215"/>
        <v>enemy_1180_aruass_2</v>
      </c>
      <c r="BI558" t="s">
        <v>935</v>
      </c>
      <c r="BJ558" t="s">
        <v>2545</v>
      </c>
      <c r="BL558" t="s">
        <v>210</v>
      </c>
      <c r="BM558" t="s">
        <v>211</v>
      </c>
      <c r="BN558" t="s">
        <v>232</v>
      </c>
      <c r="BO558" t="s">
        <v>213</v>
      </c>
      <c r="BR558">
        <v>1</v>
      </c>
    </row>
    <row r="559" spans="1:70" ht="14.5" x14ac:dyDescent="0.25">
      <c r="A559" t="s">
        <v>2546</v>
      </c>
      <c r="B559" t="s">
        <v>206</v>
      </c>
      <c r="C559">
        <v>1</v>
      </c>
      <c r="D559" s="17" t="s">
        <v>2547</v>
      </c>
      <c r="E559" s="2">
        <v>1181</v>
      </c>
      <c r="F559" t="str">
        <f t="shared" si="214"/>
        <v>enemy_1181_napkgt</v>
      </c>
      <c r="G559">
        <v>1</v>
      </c>
      <c r="K559">
        <v>7500</v>
      </c>
      <c r="M559">
        <v>800</v>
      </c>
      <c r="O559">
        <v>550</v>
      </c>
      <c r="Q559">
        <v>20</v>
      </c>
      <c r="Y559">
        <v>0.05</v>
      </c>
      <c r="Z559">
        <v>2.5</v>
      </c>
      <c r="AA559">
        <v>3</v>
      </c>
      <c r="AB559">
        <v>1.3</v>
      </c>
      <c r="AE559">
        <v>0</v>
      </c>
      <c r="AF559">
        <v>1</v>
      </c>
      <c r="AG559" t="s">
        <v>2548</v>
      </c>
      <c r="AH559" t="s">
        <v>209</v>
      </c>
      <c r="AI559" t="s">
        <v>231</v>
      </c>
      <c r="AK559">
        <v>1</v>
      </c>
      <c r="AT559">
        <v>1</v>
      </c>
      <c r="AV559">
        <v>0.25</v>
      </c>
      <c r="BC559" t="str">
        <f t="shared" si="215"/>
        <v>enemy_1181_napkgt</v>
      </c>
      <c r="BI559" t="s">
        <v>935</v>
      </c>
      <c r="BJ559" t="s">
        <v>2549</v>
      </c>
      <c r="BL559" t="s">
        <v>210</v>
      </c>
      <c r="BM559" t="s">
        <v>211</v>
      </c>
      <c r="BN559" t="s">
        <v>232</v>
      </c>
      <c r="BO559" t="s">
        <v>213</v>
      </c>
      <c r="BR559">
        <v>1</v>
      </c>
    </row>
    <row r="560" spans="1:70" ht="14.5" x14ac:dyDescent="0.25">
      <c r="A560" t="s">
        <v>2550</v>
      </c>
      <c r="B560" t="s">
        <v>206</v>
      </c>
      <c r="C560">
        <v>1</v>
      </c>
      <c r="D560" s="17" t="s">
        <v>2551</v>
      </c>
      <c r="E560" s="2">
        <v>1181</v>
      </c>
      <c r="F560" t="str">
        <f t="shared" si="214"/>
        <v>enemy_1181_napkgt_2</v>
      </c>
      <c r="G560">
        <v>1</v>
      </c>
      <c r="K560">
        <v>8500</v>
      </c>
      <c r="M560">
        <v>1000</v>
      </c>
      <c r="O560">
        <v>550</v>
      </c>
      <c r="Q560">
        <v>20</v>
      </c>
      <c r="Y560">
        <v>0.05</v>
      </c>
      <c r="Z560">
        <v>2.5</v>
      </c>
      <c r="AA560">
        <v>3</v>
      </c>
      <c r="AB560">
        <v>1.3</v>
      </c>
      <c r="AE560">
        <v>0</v>
      </c>
      <c r="AF560">
        <v>1</v>
      </c>
      <c r="AG560" t="s">
        <v>2552</v>
      </c>
      <c r="AH560" t="s">
        <v>209</v>
      </c>
      <c r="AI560" t="s">
        <v>231</v>
      </c>
      <c r="AK560">
        <v>1</v>
      </c>
      <c r="AT560">
        <v>1</v>
      </c>
      <c r="AV560">
        <v>0.25</v>
      </c>
      <c r="BC560" t="str">
        <f t="shared" si="215"/>
        <v>enemy_1181_napkgt_2</v>
      </c>
      <c r="BI560" t="s">
        <v>935</v>
      </c>
      <c r="BJ560" t="s">
        <v>2549</v>
      </c>
      <c r="BL560" t="s">
        <v>210</v>
      </c>
      <c r="BM560" t="s">
        <v>211</v>
      </c>
      <c r="BN560" t="s">
        <v>232</v>
      </c>
      <c r="BO560" t="s">
        <v>213</v>
      </c>
      <c r="BR560">
        <v>1</v>
      </c>
    </row>
    <row r="561" spans="1:70" ht="14.5" x14ac:dyDescent="0.25">
      <c r="A561" t="s">
        <v>2553</v>
      </c>
      <c r="B561" t="s">
        <v>206</v>
      </c>
      <c r="C561">
        <v>1</v>
      </c>
      <c r="D561" s="17" t="s">
        <v>2554</v>
      </c>
      <c r="E561" s="2">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2555</v>
      </c>
      <c r="AH561" t="s">
        <v>209</v>
      </c>
      <c r="AI561" t="s">
        <v>231</v>
      </c>
      <c r="AK561">
        <v>1</v>
      </c>
      <c r="AT561">
        <v>1</v>
      </c>
      <c r="AV561">
        <v>0.25</v>
      </c>
      <c r="BC561" t="str">
        <f t="shared" ref="BC561:BC624" si="217">"enemy_"&amp;E561&amp;"_"&amp;D561</f>
        <v>enemy_1182_flasrt</v>
      </c>
      <c r="BI561" t="s">
        <v>962</v>
      </c>
      <c r="BJ561" t="s">
        <v>2556</v>
      </c>
      <c r="BL561" t="s">
        <v>210</v>
      </c>
      <c r="BM561" t="s">
        <v>211</v>
      </c>
      <c r="BN561" t="s">
        <v>232</v>
      </c>
      <c r="BO561" t="s">
        <v>213</v>
      </c>
      <c r="BR561">
        <v>1</v>
      </c>
    </row>
    <row r="562" spans="1:70" ht="14.5" x14ac:dyDescent="0.25">
      <c r="A562" t="s">
        <v>2557</v>
      </c>
      <c r="B562" t="s">
        <v>206</v>
      </c>
      <c r="C562">
        <v>1</v>
      </c>
      <c r="D562" s="17" t="s">
        <v>2558</v>
      </c>
      <c r="E562" s="2">
        <v>1182</v>
      </c>
      <c r="F562" t="str">
        <f t="shared" si="216"/>
        <v>enemy_1182_flasrt_2</v>
      </c>
      <c r="G562">
        <v>1</v>
      </c>
      <c r="K562">
        <v>8000</v>
      </c>
      <c r="M562">
        <v>600</v>
      </c>
      <c r="O562">
        <v>200</v>
      </c>
      <c r="Q562">
        <v>40</v>
      </c>
      <c r="Y562">
        <v>0.05</v>
      </c>
      <c r="Z562">
        <v>3</v>
      </c>
      <c r="AA562">
        <v>2</v>
      </c>
      <c r="AB562">
        <v>0.8</v>
      </c>
      <c r="AE562">
        <v>0</v>
      </c>
      <c r="AF562">
        <v>1</v>
      </c>
      <c r="AG562" t="s">
        <v>2559</v>
      </c>
      <c r="AH562" t="s">
        <v>209</v>
      </c>
      <c r="AI562" t="s">
        <v>231</v>
      </c>
      <c r="AK562">
        <v>1</v>
      </c>
      <c r="AT562">
        <v>1</v>
      </c>
      <c r="AV562">
        <v>0.25</v>
      </c>
      <c r="BC562" t="str">
        <f t="shared" si="217"/>
        <v>enemy_1182_flasrt_2</v>
      </c>
      <c r="BI562" t="s">
        <v>962</v>
      </c>
      <c r="BJ562" t="s">
        <v>2556</v>
      </c>
      <c r="BL562" t="s">
        <v>210</v>
      </c>
      <c r="BM562" t="s">
        <v>211</v>
      </c>
      <c r="BN562" t="s">
        <v>232</v>
      </c>
      <c r="BO562" t="s">
        <v>213</v>
      </c>
      <c r="BR562">
        <v>1</v>
      </c>
    </row>
    <row r="563" spans="1:70" ht="14.5" x14ac:dyDescent="0.25">
      <c r="A563" t="s">
        <v>2560</v>
      </c>
      <c r="B563" t="s">
        <v>206</v>
      </c>
      <c r="C563">
        <v>1</v>
      </c>
      <c r="D563" s="17" t="s">
        <v>2561</v>
      </c>
      <c r="E563" s="2">
        <v>1182</v>
      </c>
      <c r="F563" t="str">
        <f t="shared" si="216"/>
        <v>enemy_1182_flasrt_3</v>
      </c>
      <c r="G563">
        <v>1</v>
      </c>
      <c r="K563">
        <v>9000</v>
      </c>
      <c r="M563">
        <v>600</v>
      </c>
      <c r="O563">
        <v>200</v>
      </c>
      <c r="Q563">
        <v>40</v>
      </c>
      <c r="Y563">
        <v>0.05</v>
      </c>
      <c r="Z563">
        <v>3</v>
      </c>
      <c r="AA563">
        <v>2</v>
      </c>
      <c r="AB563">
        <v>0.8</v>
      </c>
      <c r="AE563">
        <v>0</v>
      </c>
      <c r="AF563">
        <v>1</v>
      </c>
      <c r="AG563" t="s">
        <v>2562</v>
      </c>
      <c r="AH563" t="s">
        <v>209</v>
      </c>
      <c r="AI563" t="s">
        <v>231</v>
      </c>
      <c r="AK563">
        <v>1</v>
      </c>
      <c r="AT563">
        <v>1</v>
      </c>
      <c r="AV563">
        <v>0.25</v>
      </c>
      <c r="BC563" t="str">
        <f t="shared" si="217"/>
        <v>enemy_1182_flasrt_3</v>
      </c>
      <c r="BI563" t="s">
        <v>962</v>
      </c>
      <c r="BJ563" t="s">
        <v>2556</v>
      </c>
      <c r="BL563" t="s">
        <v>210</v>
      </c>
      <c r="BM563" t="s">
        <v>211</v>
      </c>
      <c r="BN563" t="s">
        <v>232</v>
      </c>
      <c r="BO563" t="s">
        <v>213</v>
      </c>
      <c r="BR563">
        <v>1</v>
      </c>
    </row>
    <row r="564" spans="1:70" ht="14.5" x14ac:dyDescent="0.25">
      <c r="A564" t="s">
        <v>2563</v>
      </c>
      <c r="B564" t="s">
        <v>206</v>
      </c>
      <c r="C564">
        <v>1</v>
      </c>
      <c r="D564" s="17" t="s">
        <v>2564</v>
      </c>
      <c r="E564" s="2">
        <v>1183</v>
      </c>
      <c r="F564" t="str">
        <f t="shared" si="216"/>
        <v>enemy_1183_mlasrt</v>
      </c>
      <c r="G564">
        <v>1</v>
      </c>
      <c r="K564">
        <v>6500</v>
      </c>
      <c r="M564">
        <v>700</v>
      </c>
      <c r="O564">
        <v>200</v>
      </c>
      <c r="Q564">
        <v>40</v>
      </c>
      <c r="Y564">
        <v>0.05</v>
      </c>
      <c r="Z564">
        <v>5</v>
      </c>
      <c r="AA564">
        <v>2</v>
      </c>
      <c r="AB564">
        <v>0.8</v>
      </c>
      <c r="AE564">
        <v>0</v>
      </c>
      <c r="AF564">
        <v>1</v>
      </c>
      <c r="AG564" t="s">
        <v>2565</v>
      </c>
      <c r="AH564" t="s">
        <v>209</v>
      </c>
      <c r="AI564" t="s">
        <v>231</v>
      </c>
      <c r="AK564">
        <v>1</v>
      </c>
      <c r="AT564">
        <v>1</v>
      </c>
      <c r="AV564">
        <v>0.25</v>
      </c>
      <c r="BC564" t="str">
        <f t="shared" si="217"/>
        <v>enemy_1183_mlasrt</v>
      </c>
      <c r="BI564" t="s">
        <v>962</v>
      </c>
      <c r="BJ564" t="s">
        <v>2556</v>
      </c>
      <c r="BL564" t="s">
        <v>210</v>
      </c>
      <c r="BM564" t="s">
        <v>211</v>
      </c>
      <c r="BN564" t="s">
        <v>232</v>
      </c>
      <c r="BO564" t="s">
        <v>213</v>
      </c>
      <c r="BR564">
        <v>1</v>
      </c>
    </row>
    <row r="565" spans="1:70" ht="14.5" x14ac:dyDescent="0.25">
      <c r="A565" t="s">
        <v>2566</v>
      </c>
      <c r="B565" t="s">
        <v>206</v>
      </c>
      <c r="C565">
        <v>1</v>
      </c>
      <c r="D565" s="17" t="s">
        <v>2567</v>
      </c>
      <c r="E565" s="2">
        <v>1183</v>
      </c>
      <c r="F565" t="str">
        <f t="shared" si="216"/>
        <v>enemy_1183_mlasrt_2</v>
      </c>
      <c r="G565">
        <v>1</v>
      </c>
      <c r="K565">
        <v>8000</v>
      </c>
      <c r="M565">
        <v>800</v>
      </c>
      <c r="O565">
        <v>200</v>
      </c>
      <c r="Q565">
        <v>40</v>
      </c>
      <c r="Y565">
        <v>0.05</v>
      </c>
      <c r="Z565">
        <v>5</v>
      </c>
      <c r="AA565">
        <v>2</v>
      </c>
      <c r="AB565">
        <v>0.8</v>
      </c>
      <c r="AE565">
        <v>0</v>
      </c>
      <c r="AF565">
        <v>1</v>
      </c>
      <c r="AG565" t="s">
        <v>2568</v>
      </c>
      <c r="AH565" t="s">
        <v>209</v>
      </c>
      <c r="AI565" t="s">
        <v>231</v>
      </c>
      <c r="AK565">
        <v>1</v>
      </c>
      <c r="AT565">
        <v>1</v>
      </c>
      <c r="AV565">
        <v>0.25</v>
      </c>
      <c r="BC565" t="str">
        <f t="shared" si="217"/>
        <v>enemy_1183_mlasrt_2</v>
      </c>
      <c r="BI565" t="s">
        <v>962</v>
      </c>
      <c r="BJ565" t="s">
        <v>2556</v>
      </c>
      <c r="BL565" t="s">
        <v>210</v>
      </c>
      <c r="BM565" t="s">
        <v>211</v>
      </c>
      <c r="BN565" t="s">
        <v>232</v>
      </c>
      <c r="BO565" t="s">
        <v>213</v>
      </c>
      <c r="BR565">
        <v>1</v>
      </c>
    </row>
    <row r="566" spans="1:70" ht="14.5" x14ac:dyDescent="0.25">
      <c r="A566" t="s">
        <v>2569</v>
      </c>
      <c r="B566" t="s">
        <v>206</v>
      </c>
      <c r="C566">
        <v>1</v>
      </c>
      <c r="D566" s="17" t="s">
        <v>2570</v>
      </c>
      <c r="E566" s="2">
        <v>1183</v>
      </c>
      <c r="F566" t="str">
        <f t="shared" si="216"/>
        <v>enemy_1183_mlasrt_3</v>
      </c>
      <c r="G566">
        <v>1</v>
      </c>
      <c r="K566">
        <v>9000</v>
      </c>
      <c r="M566">
        <v>800</v>
      </c>
      <c r="O566">
        <v>200</v>
      </c>
      <c r="Q566">
        <v>40</v>
      </c>
      <c r="Y566">
        <v>0.05</v>
      </c>
      <c r="Z566">
        <v>5</v>
      </c>
      <c r="AA566">
        <v>2</v>
      </c>
      <c r="AB566">
        <v>0.8</v>
      </c>
      <c r="AE566">
        <v>0</v>
      </c>
      <c r="AF566">
        <v>1</v>
      </c>
      <c r="AG566" t="s">
        <v>2571</v>
      </c>
      <c r="AH566" t="s">
        <v>209</v>
      </c>
      <c r="AI566" t="s">
        <v>231</v>
      </c>
      <c r="AK566">
        <v>1</v>
      </c>
      <c r="AT566">
        <v>1</v>
      </c>
      <c r="AV566">
        <v>0.25</v>
      </c>
      <c r="BC566" t="str">
        <f t="shared" si="217"/>
        <v>enemy_1183_mlasrt_3</v>
      </c>
      <c r="BI566" t="s">
        <v>962</v>
      </c>
      <c r="BJ566" t="s">
        <v>2556</v>
      </c>
      <c r="BL566" t="s">
        <v>210</v>
      </c>
      <c r="BM566" t="s">
        <v>211</v>
      </c>
      <c r="BN566" t="s">
        <v>232</v>
      </c>
      <c r="BO566" t="s">
        <v>213</v>
      </c>
      <c r="BR566">
        <v>1</v>
      </c>
    </row>
    <row r="567" spans="1:70" ht="14.5" x14ac:dyDescent="0.25">
      <c r="A567" t="s">
        <v>2572</v>
      </c>
      <c r="B567" t="s">
        <v>206</v>
      </c>
      <c r="C567">
        <v>1</v>
      </c>
      <c r="D567" s="17" t="s">
        <v>2573</v>
      </c>
      <c r="E567" s="2">
        <v>1184</v>
      </c>
      <c r="F567" t="str">
        <f t="shared" si="216"/>
        <v>enemy_1184_cadkgt</v>
      </c>
      <c r="G567">
        <v>1</v>
      </c>
      <c r="K567">
        <v>7500</v>
      </c>
      <c r="M567">
        <v>350</v>
      </c>
      <c r="O567">
        <v>300</v>
      </c>
      <c r="Q567">
        <v>60</v>
      </c>
      <c r="Y567">
        <v>0.05</v>
      </c>
      <c r="Z567">
        <v>3.2</v>
      </c>
      <c r="AA567">
        <v>4</v>
      </c>
      <c r="AB567">
        <v>0.7</v>
      </c>
      <c r="AE567">
        <v>0</v>
      </c>
      <c r="AF567">
        <v>1</v>
      </c>
      <c r="AG567" t="s">
        <v>2574</v>
      </c>
      <c r="AH567" t="s">
        <v>209</v>
      </c>
      <c r="AI567" t="s">
        <v>231</v>
      </c>
      <c r="AK567">
        <v>1</v>
      </c>
      <c r="AT567">
        <v>1</v>
      </c>
      <c r="AV567">
        <v>0.25</v>
      </c>
      <c r="BC567" t="str">
        <f t="shared" si="217"/>
        <v>enemy_1184_cadkgt</v>
      </c>
      <c r="BI567" t="s">
        <v>962</v>
      </c>
      <c r="BJ567" t="s">
        <v>2575</v>
      </c>
      <c r="BL567" t="s">
        <v>210</v>
      </c>
      <c r="BM567" t="s">
        <v>211</v>
      </c>
      <c r="BN567" t="s">
        <v>232</v>
      </c>
      <c r="BO567" t="s">
        <v>213</v>
      </c>
      <c r="BR567">
        <v>1</v>
      </c>
    </row>
    <row r="568" spans="1:70" ht="14.5" x14ac:dyDescent="0.25">
      <c r="A568" t="s">
        <v>2576</v>
      </c>
      <c r="B568" t="s">
        <v>206</v>
      </c>
      <c r="C568">
        <v>1</v>
      </c>
      <c r="D568" s="17" t="s">
        <v>2577</v>
      </c>
      <c r="E568" s="2">
        <v>1184</v>
      </c>
      <c r="F568" t="str">
        <f t="shared" si="216"/>
        <v>enemy_1184_cadkgt_2</v>
      </c>
      <c r="G568">
        <v>1</v>
      </c>
      <c r="K568">
        <v>8500</v>
      </c>
      <c r="M568">
        <v>450</v>
      </c>
      <c r="O568">
        <v>350</v>
      </c>
      <c r="Q568">
        <v>60</v>
      </c>
      <c r="Y568">
        <v>0.05</v>
      </c>
      <c r="Z568">
        <v>3.2</v>
      </c>
      <c r="AA568">
        <v>4</v>
      </c>
      <c r="AB568">
        <v>0.7</v>
      </c>
      <c r="AE568">
        <v>0</v>
      </c>
      <c r="AF568">
        <v>1</v>
      </c>
      <c r="AG568" t="s">
        <v>2578</v>
      </c>
      <c r="AH568" t="s">
        <v>209</v>
      </c>
      <c r="AI568" t="s">
        <v>231</v>
      </c>
      <c r="AK568">
        <v>1</v>
      </c>
      <c r="AT568">
        <v>1</v>
      </c>
      <c r="AV568">
        <v>0.25</v>
      </c>
      <c r="BC568" t="str">
        <f t="shared" si="217"/>
        <v>enemy_1184_cadkgt_2</v>
      </c>
      <c r="BI568" t="s">
        <v>962</v>
      </c>
      <c r="BJ568" t="s">
        <v>2575</v>
      </c>
      <c r="BL568" t="s">
        <v>210</v>
      </c>
      <c r="BM568" t="s">
        <v>211</v>
      </c>
      <c r="BN568" t="s">
        <v>232</v>
      </c>
      <c r="BO568" t="s">
        <v>213</v>
      </c>
      <c r="BR568">
        <v>1</v>
      </c>
    </row>
    <row r="569" spans="1:70" ht="14.5" x14ac:dyDescent="0.25">
      <c r="A569" t="s">
        <v>2579</v>
      </c>
      <c r="B569" t="s">
        <v>206</v>
      </c>
      <c r="C569">
        <v>1</v>
      </c>
      <c r="D569" s="17" t="s">
        <v>2580</v>
      </c>
      <c r="E569" s="2">
        <v>1184</v>
      </c>
      <c r="F569" t="str">
        <f t="shared" si="216"/>
        <v>enemy_1184_cadkgt_3</v>
      </c>
      <c r="G569">
        <v>1</v>
      </c>
      <c r="K569">
        <v>8500</v>
      </c>
      <c r="M569">
        <v>450</v>
      </c>
      <c r="O569">
        <v>350</v>
      </c>
      <c r="Q569">
        <v>60</v>
      </c>
      <c r="Y569">
        <v>0.05</v>
      </c>
      <c r="Z569">
        <v>3.2</v>
      </c>
      <c r="AA569">
        <v>4</v>
      </c>
      <c r="AB569">
        <v>0.7</v>
      </c>
      <c r="AE569">
        <v>0</v>
      </c>
      <c r="AF569">
        <v>1</v>
      </c>
      <c r="AG569" t="s">
        <v>2581</v>
      </c>
      <c r="AH569" t="s">
        <v>209</v>
      </c>
      <c r="AI569" t="s">
        <v>231</v>
      </c>
      <c r="AK569">
        <v>1</v>
      </c>
      <c r="AT569">
        <v>1</v>
      </c>
      <c r="AV569">
        <v>0.25</v>
      </c>
      <c r="BC569" t="str">
        <f t="shared" si="217"/>
        <v>enemy_1184_cadkgt_3</v>
      </c>
      <c r="BI569" t="s">
        <v>962</v>
      </c>
      <c r="BJ569" t="s">
        <v>2575</v>
      </c>
      <c r="BL569" t="s">
        <v>210</v>
      </c>
      <c r="BM569" t="s">
        <v>211</v>
      </c>
      <c r="BN569" t="s">
        <v>232</v>
      </c>
      <c r="BO569" t="s">
        <v>213</v>
      </c>
      <c r="BR569">
        <v>1</v>
      </c>
    </row>
    <row r="570" spans="1:70" ht="14.5" x14ac:dyDescent="0.25">
      <c r="A570" t="s">
        <v>2582</v>
      </c>
      <c r="B570" t="s">
        <v>206</v>
      </c>
      <c r="C570">
        <v>1</v>
      </c>
      <c r="D570" s="17" t="s">
        <v>2583</v>
      </c>
      <c r="E570" s="2">
        <v>1185</v>
      </c>
      <c r="F570" t="str">
        <f t="shared" si="216"/>
        <v>enemy_1185_nmekgt</v>
      </c>
      <c r="G570">
        <v>1</v>
      </c>
      <c r="K570">
        <v>10000</v>
      </c>
      <c r="M570">
        <v>1200</v>
      </c>
      <c r="O570">
        <v>700</v>
      </c>
      <c r="Q570">
        <v>20</v>
      </c>
      <c r="Y570">
        <v>0.05</v>
      </c>
      <c r="Z570">
        <v>5</v>
      </c>
      <c r="AA570">
        <v>5</v>
      </c>
      <c r="AB570">
        <v>0.7</v>
      </c>
      <c r="AE570">
        <v>0</v>
      </c>
      <c r="AF570">
        <v>1</v>
      </c>
      <c r="AG570" t="s">
        <v>2584</v>
      </c>
      <c r="AH570" t="s">
        <v>209</v>
      </c>
      <c r="AI570" t="s">
        <v>231</v>
      </c>
      <c r="AK570">
        <v>1</v>
      </c>
      <c r="AT570">
        <v>1</v>
      </c>
      <c r="AV570">
        <v>0.25</v>
      </c>
      <c r="BC570" t="str">
        <f t="shared" si="217"/>
        <v>enemy_1185_nmekgt</v>
      </c>
      <c r="BI570" t="s">
        <v>994</v>
      </c>
      <c r="BJ570" t="s">
        <v>2585</v>
      </c>
      <c r="BL570" t="s">
        <v>210</v>
      </c>
      <c r="BM570" t="s">
        <v>211</v>
      </c>
      <c r="BN570" t="s">
        <v>232</v>
      </c>
      <c r="BO570" t="s">
        <v>213</v>
      </c>
      <c r="BR570">
        <v>1</v>
      </c>
    </row>
    <row r="571" spans="1:70" ht="14.5" x14ac:dyDescent="0.25">
      <c r="A571" t="s">
        <v>2586</v>
      </c>
      <c r="B571" t="s">
        <v>206</v>
      </c>
      <c r="C571">
        <v>1</v>
      </c>
      <c r="D571" s="17" t="s">
        <v>2587</v>
      </c>
      <c r="E571" s="2">
        <v>1185</v>
      </c>
      <c r="F571" t="str">
        <f t="shared" si="216"/>
        <v>enemy_1185_nmekgt_2</v>
      </c>
      <c r="G571">
        <v>1</v>
      </c>
      <c r="K571">
        <v>15000</v>
      </c>
      <c r="M571">
        <v>1500</v>
      </c>
      <c r="O571">
        <v>750</v>
      </c>
      <c r="Q571">
        <v>20</v>
      </c>
      <c r="Y571">
        <v>0.05</v>
      </c>
      <c r="Z571">
        <v>5</v>
      </c>
      <c r="AA571">
        <v>5</v>
      </c>
      <c r="AB571">
        <v>0.7</v>
      </c>
      <c r="AE571">
        <v>0</v>
      </c>
      <c r="AF571">
        <v>1</v>
      </c>
      <c r="AG571" t="s">
        <v>2588</v>
      </c>
      <c r="AH571" t="s">
        <v>209</v>
      </c>
      <c r="AI571" t="s">
        <v>231</v>
      </c>
      <c r="AK571">
        <v>1</v>
      </c>
      <c r="AT571">
        <v>1</v>
      </c>
      <c r="AV571">
        <v>0.25</v>
      </c>
      <c r="BC571" t="str">
        <f t="shared" si="217"/>
        <v>enemy_1185_nmekgt_2</v>
      </c>
      <c r="BI571" t="s">
        <v>994</v>
      </c>
      <c r="BJ571" t="s">
        <v>2585</v>
      </c>
      <c r="BL571" t="s">
        <v>210</v>
      </c>
      <c r="BM571" t="s">
        <v>211</v>
      </c>
      <c r="BN571" t="s">
        <v>232</v>
      </c>
      <c r="BO571" t="s">
        <v>213</v>
      </c>
      <c r="BR571">
        <v>1</v>
      </c>
    </row>
    <row r="572" spans="1:70" ht="14.5" x14ac:dyDescent="0.25">
      <c r="A572" t="s">
        <v>2589</v>
      </c>
      <c r="B572" t="s">
        <v>206</v>
      </c>
      <c r="C572">
        <v>1</v>
      </c>
      <c r="D572" s="17" t="s">
        <v>2590</v>
      </c>
      <c r="E572" s="2">
        <v>1185</v>
      </c>
      <c r="F572" t="str">
        <f t="shared" si="216"/>
        <v>enemy_1185_nmekgt_3</v>
      </c>
      <c r="G572">
        <v>1</v>
      </c>
      <c r="K572">
        <v>18000</v>
      </c>
      <c r="M572">
        <v>1200</v>
      </c>
      <c r="O572">
        <v>700</v>
      </c>
      <c r="Q572">
        <v>20</v>
      </c>
      <c r="Y572">
        <v>0.05</v>
      </c>
      <c r="Z572">
        <v>5</v>
      </c>
      <c r="AA572">
        <v>5</v>
      </c>
      <c r="AB572">
        <v>0.7</v>
      </c>
      <c r="AE572">
        <v>0</v>
      </c>
      <c r="AF572">
        <v>1</v>
      </c>
      <c r="AG572" t="s">
        <v>2591</v>
      </c>
      <c r="AH572" t="s">
        <v>209</v>
      </c>
      <c r="AI572" t="s">
        <v>231</v>
      </c>
      <c r="AK572">
        <v>1</v>
      </c>
      <c r="AT572">
        <v>1</v>
      </c>
      <c r="AV572">
        <v>0.25</v>
      </c>
      <c r="BC572" t="str">
        <f t="shared" si="217"/>
        <v>enemy_1185_nmekgt_3</v>
      </c>
      <c r="BI572" t="s">
        <v>994</v>
      </c>
      <c r="BJ572" t="s">
        <v>2585</v>
      </c>
      <c r="BL572" t="s">
        <v>210</v>
      </c>
      <c r="BM572" t="s">
        <v>211</v>
      </c>
      <c r="BN572" t="s">
        <v>232</v>
      </c>
      <c r="BO572" t="s">
        <v>213</v>
      </c>
      <c r="BR572">
        <v>1</v>
      </c>
    </row>
    <row r="573" spans="1:70" ht="14.5" x14ac:dyDescent="0.25">
      <c r="A573" t="s">
        <v>2592</v>
      </c>
      <c r="B573" t="s">
        <v>206</v>
      </c>
      <c r="C573">
        <v>1</v>
      </c>
      <c r="D573" s="17" t="s">
        <v>2593</v>
      </c>
      <c r="E573" s="2">
        <v>1186</v>
      </c>
      <c r="F573" t="str">
        <f t="shared" si="216"/>
        <v>enemy_1186_bldbld</v>
      </c>
      <c r="G573">
        <v>1</v>
      </c>
      <c r="K573">
        <v>8000</v>
      </c>
      <c r="M573">
        <v>800</v>
      </c>
      <c r="O573">
        <v>300</v>
      </c>
      <c r="Q573">
        <v>80</v>
      </c>
      <c r="Y573">
        <v>0.05</v>
      </c>
      <c r="Z573">
        <v>3</v>
      </c>
      <c r="AA573">
        <v>0</v>
      </c>
      <c r="AB573">
        <v>1.5</v>
      </c>
      <c r="AE573">
        <v>0</v>
      </c>
      <c r="AF573">
        <v>1</v>
      </c>
      <c r="AG573" t="s">
        <v>2594</v>
      </c>
      <c r="AH573" t="s">
        <v>209</v>
      </c>
      <c r="AI573" t="s">
        <v>231</v>
      </c>
      <c r="AK573">
        <v>1</v>
      </c>
      <c r="AT573">
        <v>1</v>
      </c>
      <c r="AV573">
        <v>0.25</v>
      </c>
      <c r="BC573" t="str">
        <f t="shared" si="217"/>
        <v>enemy_1186_bldbld</v>
      </c>
      <c r="BI573" t="s">
        <v>994</v>
      </c>
      <c r="BJ573" t="s">
        <v>2595</v>
      </c>
      <c r="BL573" t="s">
        <v>210</v>
      </c>
      <c r="BM573" t="s">
        <v>211</v>
      </c>
      <c r="BN573" t="s">
        <v>232</v>
      </c>
      <c r="BO573" t="s">
        <v>213</v>
      </c>
      <c r="BR573">
        <v>1</v>
      </c>
    </row>
    <row r="574" spans="1:70" ht="14.5" x14ac:dyDescent="0.25">
      <c r="A574" t="s">
        <v>2596</v>
      </c>
      <c r="B574" t="s">
        <v>206</v>
      </c>
      <c r="C574">
        <v>1</v>
      </c>
      <c r="D574" s="17" t="s">
        <v>2597</v>
      </c>
      <c r="E574" s="2">
        <v>1524</v>
      </c>
      <c r="F574" t="str">
        <f t="shared" si="216"/>
        <v>enemy_1524_bldkgt</v>
      </c>
      <c r="G574">
        <v>1</v>
      </c>
      <c r="K574">
        <v>30000</v>
      </c>
      <c r="M574">
        <v>1750</v>
      </c>
      <c r="O574">
        <v>1000</v>
      </c>
      <c r="Q574">
        <v>40</v>
      </c>
      <c r="Y574">
        <v>0.05</v>
      </c>
      <c r="Z574">
        <v>6</v>
      </c>
      <c r="AA574">
        <v>7</v>
      </c>
      <c r="AB574">
        <v>0.6</v>
      </c>
      <c r="AE574">
        <v>0</v>
      </c>
      <c r="AF574">
        <v>1</v>
      </c>
      <c r="AG574" t="s">
        <v>2598</v>
      </c>
      <c r="AH574" t="s">
        <v>209</v>
      </c>
      <c r="AI574" t="s">
        <v>231</v>
      </c>
      <c r="AK574">
        <v>1</v>
      </c>
      <c r="AT574">
        <v>1</v>
      </c>
      <c r="AV574">
        <v>0.25</v>
      </c>
      <c r="BC574" t="str">
        <f t="shared" si="217"/>
        <v>enemy_1524_bldkgt</v>
      </c>
      <c r="BI574" t="s">
        <v>1324</v>
      </c>
      <c r="BJ574" t="s">
        <v>2599</v>
      </c>
      <c r="BL574" t="s">
        <v>210</v>
      </c>
      <c r="BM574" t="s">
        <v>2600</v>
      </c>
      <c r="BN574" t="s">
        <v>2601</v>
      </c>
      <c r="BO574" t="s">
        <v>2602</v>
      </c>
      <c r="BR574">
        <v>1</v>
      </c>
    </row>
    <row r="575" spans="1:70" ht="14.5" x14ac:dyDescent="0.25">
      <c r="A575" t="s">
        <v>2603</v>
      </c>
      <c r="B575" t="s">
        <v>206</v>
      </c>
      <c r="C575">
        <v>1</v>
      </c>
      <c r="D575" s="17" t="s">
        <v>2604</v>
      </c>
      <c r="E575" s="2">
        <v>1187</v>
      </c>
      <c r="F575" t="str">
        <f t="shared" si="216"/>
        <v>enemy_1187_krghd</v>
      </c>
      <c r="G575">
        <v>1</v>
      </c>
      <c r="K575">
        <v>3500</v>
      </c>
      <c r="M575">
        <v>290</v>
      </c>
      <c r="O575">
        <v>0</v>
      </c>
      <c r="Q575">
        <v>20</v>
      </c>
      <c r="Y575">
        <v>0.05</v>
      </c>
      <c r="Z575">
        <v>1.4</v>
      </c>
      <c r="AA575">
        <v>0</v>
      </c>
      <c r="AB575">
        <v>1.9</v>
      </c>
      <c r="AE575">
        <v>0</v>
      </c>
      <c r="AF575">
        <v>1</v>
      </c>
      <c r="AG575" t="s">
        <v>2605</v>
      </c>
      <c r="AH575" t="s">
        <v>209</v>
      </c>
      <c r="AI575" t="s">
        <v>231</v>
      </c>
      <c r="AK575">
        <v>1</v>
      </c>
      <c r="AT575">
        <v>1</v>
      </c>
      <c r="AV575">
        <v>0.25</v>
      </c>
      <c r="BC575" t="str">
        <f t="shared" si="217"/>
        <v>enemy_1187_krghd</v>
      </c>
      <c r="BI575" t="s">
        <v>935</v>
      </c>
      <c r="BJ575" t="s">
        <v>2606</v>
      </c>
      <c r="BL575" t="s">
        <v>210</v>
      </c>
      <c r="BM575" t="s">
        <v>211</v>
      </c>
      <c r="BN575" t="s">
        <v>232</v>
      </c>
      <c r="BO575" t="s">
        <v>213</v>
      </c>
      <c r="BR575">
        <v>1</v>
      </c>
    </row>
    <row r="576" spans="1:70" ht="14.5" x14ac:dyDescent="0.25">
      <c r="A576" t="s">
        <v>2607</v>
      </c>
      <c r="B576" t="s">
        <v>206</v>
      </c>
      <c r="C576">
        <v>1</v>
      </c>
      <c r="D576" s="17" t="s">
        <v>2608</v>
      </c>
      <c r="E576" s="2">
        <v>1187</v>
      </c>
      <c r="F576" t="str">
        <f t="shared" si="216"/>
        <v>enemy_1187_krghd_2</v>
      </c>
      <c r="G576">
        <v>1</v>
      </c>
      <c r="K576">
        <v>4500</v>
      </c>
      <c r="M576">
        <v>340</v>
      </c>
      <c r="O576">
        <v>0</v>
      </c>
      <c r="Q576">
        <v>20</v>
      </c>
      <c r="Y576">
        <v>0.05</v>
      </c>
      <c r="Z576">
        <v>1.4</v>
      </c>
      <c r="AA576">
        <v>0</v>
      </c>
      <c r="AB576">
        <v>1.9</v>
      </c>
      <c r="AE576">
        <v>0</v>
      </c>
      <c r="AF576">
        <v>1</v>
      </c>
      <c r="AG576" t="s">
        <v>2609</v>
      </c>
      <c r="AH576" t="s">
        <v>209</v>
      </c>
      <c r="AI576" t="s">
        <v>231</v>
      </c>
      <c r="AK576">
        <v>1</v>
      </c>
      <c r="AT576">
        <v>1</v>
      </c>
      <c r="AV576">
        <v>0.25</v>
      </c>
      <c r="BC576" t="str">
        <f t="shared" si="217"/>
        <v>enemy_1187_krghd_2</v>
      </c>
      <c r="BI576" t="s">
        <v>935</v>
      </c>
      <c r="BJ576" t="s">
        <v>2606</v>
      </c>
      <c r="BL576" t="s">
        <v>210</v>
      </c>
      <c r="BM576" t="s">
        <v>211</v>
      </c>
      <c r="BN576" t="s">
        <v>232</v>
      </c>
      <c r="BO576" t="s">
        <v>213</v>
      </c>
      <c r="BR576">
        <v>1</v>
      </c>
    </row>
    <row r="577" spans="1:70" ht="14.5" x14ac:dyDescent="0.25">
      <c r="A577" t="s">
        <v>2610</v>
      </c>
      <c r="B577" t="s">
        <v>206</v>
      </c>
      <c r="C577">
        <v>1</v>
      </c>
      <c r="D577" s="17" t="s">
        <v>2611</v>
      </c>
      <c r="E577" s="2">
        <v>1188</v>
      </c>
      <c r="F577" t="str">
        <f t="shared" si="216"/>
        <v>enemy_1188_krgdrn</v>
      </c>
      <c r="G577">
        <v>1</v>
      </c>
      <c r="K577">
        <v>5000</v>
      </c>
      <c r="M577">
        <v>300</v>
      </c>
      <c r="O577">
        <v>100</v>
      </c>
      <c r="Q577">
        <v>20</v>
      </c>
      <c r="Y577">
        <v>0.05</v>
      </c>
      <c r="Z577">
        <v>3</v>
      </c>
      <c r="AA577">
        <v>0</v>
      </c>
      <c r="AB577">
        <v>0.7</v>
      </c>
      <c r="AE577">
        <v>0</v>
      </c>
      <c r="AF577">
        <v>1</v>
      </c>
      <c r="AG577" t="s">
        <v>2612</v>
      </c>
      <c r="AH577" t="s">
        <v>209</v>
      </c>
      <c r="AI577" t="s">
        <v>231</v>
      </c>
      <c r="AK577">
        <v>1</v>
      </c>
      <c r="AT577">
        <v>1</v>
      </c>
      <c r="AV577">
        <v>0.25</v>
      </c>
      <c r="BC577" t="str">
        <f t="shared" si="217"/>
        <v>enemy_1188_krgdrn</v>
      </c>
      <c r="BI577" t="s">
        <v>1032</v>
      </c>
      <c r="BJ577" t="s">
        <v>2613</v>
      </c>
      <c r="BL577" t="s">
        <v>210</v>
      </c>
      <c r="BM577" t="s">
        <v>211</v>
      </c>
      <c r="BN577" t="s">
        <v>232</v>
      </c>
      <c r="BO577" t="s">
        <v>213</v>
      </c>
      <c r="BR577">
        <v>1</v>
      </c>
    </row>
    <row r="578" spans="1:70" ht="14.5" x14ac:dyDescent="0.25">
      <c r="A578" t="s">
        <v>2614</v>
      </c>
      <c r="B578" t="s">
        <v>206</v>
      </c>
      <c r="C578">
        <v>1</v>
      </c>
      <c r="D578" s="17" t="s">
        <v>2615</v>
      </c>
      <c r="E578" s="2">
        <v>1188</v>
      </c>
      <c r="F578" t="str">
        <f t="shared" si="216"/>
        <v>enemy_1188_krgdrn_2</v>
      </c>
      <c r="G578">
        <v>1</v>
      </c>
      <c r="K578">
        <v>7000</v>
      </c>
      <c r="M578">
        <v>350</v>
      </c>
      <c r="O578">
        <v>150</v>
      </c>
      <c r="Q578">
        <v>20</v>
      </c>
      <c r="Y578">
        <v>0.05</v>
      </c>
      <c r="Z578">
        <v>3</v>
      </c>
      <c r="AA578">
        <v>0</v>
      </c>
      <c r="AB578">
        <v>0.7</v>
      </c>
      <c r="AE578">
        <v>0</v>
      </c>
      <c r="AF578">
        <v>1</v>
      </c>
      <c r="AG578" t="s">
        <v>2616</v>
      </c>
      <c r="AH578" t="s">
        <v>209</v>
      </c>
      <c r="AI578" t="s">
        <v>231</v>
      </c>
      <c r="AK578">
        <v>1</v>
      </c>
      <c r="AT578">
        <v>1</v>
      </c>
      <c r="AV578">
        <v>0.25</v>
      </c>
      <c r="BC578" t="str">
        <f t="shared" si="217"/>
        <v>enemy_1188_krgdrn_2</v>
      </c>
      <c r="BI578" t="s">
        <v>1032</v>
      </c>
      <c r="BJ578" t="s">
        <v>2617</v>
      </c>
      <c r="BL578" t="s">
        <v>210</v>
      </c>
      <c r="BM578" t="s">
        <v>211</v>
      </c>
      <c r="BN578" t="s">
        <v>232</v>
      </c>
      <c r="BO578" t="s">
        <v>213</v>
      </c>
      <c r="BR578">
        <v>1</v>
      </c>
    </row>
    <row r="579" spans="1:70" ht="14.5" x14ac:dyDescent="0.25">
      <c r="A579" t="s">
        <v>2618</v>
      </c>
      <c r="B579" t="s">
        <v>206</v>
      </c>
      <c r="C579">
        <v>1</v>
      </c>
      <c r="D579" s="17" t="s">
        <v>2619</v>
      </c>
      <c r="E579" s="2">
        <v>1189</v>
      </c>
      <c r="F579" t="str">
        <f t="shared" si="216"/>
        <v>enemy_1189_krgaxe</v>
      </c>
      <c r="G579">
        <v>1</v>
      </c>
      <c r="K579">
        <v>3000</v>
      </c>
      <c r="M579">
        <v>300</v>
      </c>
      <c r="O579">
        <v>100</v>
      </c>
      <c r="Q579">
        <v>20</v>
      </c>
      <c r="Y579">
        <v>0.05</v>
      </c>
      <c r="Z579">
        <v>2.2000000000000002</v>
      </c>
      <c r="AA579">
        <v>1</v>
      </c>
      <c r="AB579">
        <v>0.9</v>
      </c>
      <c r="AE579">
        <v>0</v>
      </c>
      <c r="AF579">
        <v>1</v>
      </c>
      <c r="AG579" t="s">
        <v>2620</v>
      </c>
      <c r="AH579" t="s">
        <v>209</v>
      </c>
      <c r="AI579" t="s">
        <v>231</v>
      </c>
      <c r="AK579">
        <v>1</v>
      </c>
      <c r="AT579">
        <v>1</v>
      </c>
      <c r="AV579">
        <v>0.25</v>
      </c>
      <c r="BC579" t="str">
        <f t="shared" si="217"/>
        <v>enemy_1189_krgaxe</v>
      </c>
      <c r="BI579" t="s">
        <v>935</v>
      </c>
      <c r="BJ579" t="s">
        <v>2621</v>
      </c>
      <c r="BL579" t="s">
        <v>210</v>
      </c>
      <c r="BM579" t="s">
        <v>211</v>
      </c>
      <c r="BN579" t="s">
        <v>232</v>
      </c>
      <c r="BO579" t="s">
        <v>213</v>
      </c>
      <c r="BR579">
        <v>1</v>
      </c>
    </row>
    <row r="580" spans="1:70" ht="14.5" x14ac:dyDescent="0.25">
      <c r="A580" t="s">
        <v>2622</v>
      </c>
      <c r="B580" t="s">
        <v>206</v>
      </c>
      <c r="C580">
        <v>1</v>
      </c>
      <c r="D580" s="17" t="s">
        <v>2623</v>
      </c>
      <c r="E580" s="2">
        <v>1189</v>
      </c>
      <c r="F580" t="str">
        <f t="shared" si="216"/>
        <v>enemy_1189_krgaxe_2</v>
      </c>
      <c r="G580">
        <v>1</v>
      </c>
      <c r="K580">
        <v>4000</v>
      </c>
      <c r="M580">
        <v>350</v>
      </c>
      <c r="O580">
        <v>150</v>
      </c>
      <c r="Q580">
        <v>20</v>
      </c>
      <c r="Y580">
        <v>0.05</v>
      </c>
      <c r="Z580">
        <v>2.2000000000000002</v>
      </c>
      <c r="AA580">
        <v>1</v>
      </c>
      <c r="AB580">
        <v>0.9</v>
      </c>
      <c r="AE580">
        <v>0</v>
      </c>
      <c r="AF580">
        <v>1</v>
      </c>
      <c r="AG580" t="s">
        <v>2624</v>
      </c>
      <c r="AH580" t="s">
        <v>209</v>
      </c>
      <c r="AI580" t="s">
        <v>231</v>
      </c>
      <c r="AK580">
        <v>1</v>
      </c>
      <c r="AT580">
        <v>1</v>
      </c>
      <c r="AV580">
        <v>0.25</v>
      </c>
      <c r="BC580" t="str">
        <f t="shared" si="217"/>
        <v>enemy_1189_krgaxe_2</v>
      </c>
      <c r="BI580" t="s">
        <v>935</v>
      </c>
      <c r="BJ580" t="s">
        <v>2625</v>
      </c>
      <c r="BL580" t="s">
        <v>210</v>
      </c>
      <c r="BM580" t="s">
        <v>211</v>
      </c>
      <c r="BN580" t="s">
        <v>232</v>
      </c>
      <c r="BO580" t="s">
        <v>213</v>
      </c>
      <c r="BR580">
        <v>1</v>
      </c>
    </row>
    <row r="581" spans="1:70" ht="14.5" x14ac:dyDescent="0.25">
      <c r="A581" t="s">
        <v>2626</v>
      </c>
      <c r="B581" t="s">
        <v>206</v>
      </c>
      <c r="C581">
        <v>1</v>
      </c>
      <c r="D581" s="17" t="s">
        <v>2627</v>
      </c>
      <c r="E581" s="2">
        <v>1190</v>
      </c>
      <c r="F581" t="str">
        <f t="shared" si="216"/>
        <v>enemy_1190_krgbow</v>
      </c>
      <c r="G581">
        <v>1</v>
      </c>
      <c r="K581">
        <v>3500</v>
      </c>
      <c r="M581">
        <v>350</v>
      </c>
      <c r="O581">
        <v>100</v>
      </c>
      <c r="Q581">
        <v>20</v>
      </c>
      <c r="Y581">
        <v>0.05</v>
      </c>
      <c r="Z581">
        <v>3.5</v>
      </c>
      <c r="AA581">
        <v>1</v>
      </c>
      <c r="AB581">
        <v>1.1000000000000001</v>
      </c>
      <c r="AE581">
        <v>0</v>
      </c>
      <c r="AF581">
        <v>1</v>
      </c>
      <c r="AG581" t="s">
        <v>2628</v>
      </c>
      <c r="AH581" t="s">
        <v>209</v>
      </c>
      <c r="AI581" t="s">
        <v>231</v>
      </c>
      <c r="AK581">
        <v>1</v>
      </c>
      <c r="AT581">
        <v>1</v>
      </c>
      <c r="AV581">
        <v>0.25</v>
      </c>
      <c r="BC581" t="str">
        <f t="shared" si="217"/>
        <v>enemy_1190_krgbow</v>
      </c>
      <c r="BI581" t="s">
        <v>941</v>
      </c>
      <c r="BJ581" t="s">
        <v>2629</v>
      </c>
      <c r="BL581" t="s">
        <v>210</v>
      </c>
      <c r="BM581" t="s">
        <v>211</v>
      </c>
      <c r="BN581" t="s">
        <v>232</v>
      </c>
      <c r="BO581" t="s">
        <v>213</v>
      </c>
      <c r="BR581">
        <v>1</v>
      </c>
    </row>
    <row r="582" spans="1:70" ht="14.5" x14ac:dyDescent="0.25">
      <c r="A582" t="s">
        <v>2630</v>
      </c>
      <c r="B582" t="s">
        <v>206</v>
      </c>
      <c r="C582">
        <v>1</v>
      </c>
      <c r="D582" s="17" t="s">
        <v>2631</v>
      </c>
      <c r="E582" s="2">
        <v>1190</v>
      </c>
      <c r="F582" t="str">
        <f t="shared" si="216"/>
        <v>enemy_1190_krgbow_2</v>
      </c>
      <c r="G582">
        <v>1</v>
      </c>
      <c r="K582">
        <v>5000</v>
      </c>
      <c r="M582">
        <v>450</v>
      </c>
      <c r="O582">
        <v>150</v>
      </c>
      <c r="Q582">
        <v>20</v>
      </c>
      <c r="Y582">
        <v>0.05</v>
      </c>
      <c r="Z582">
        <v>3.5</v>
      </c>
      <c r="AA582">
        <v>1</v>
      </c>
      <c r="AB582">
        <v>1.1000000000000001</v>
      </c>
      <c r="AE582">
        <v>0</v>
      </c>
      <c r="AF582">
        <v>1</v>
      </c>
      <c r="AG582" t="s">
        <v>2632</v>
      </c>
      <c r="AH582" t="s">
        <v>209</v>
      </c>
      <c r="AI582" t="s">
        <v>231</v>
      </c>
      <c r="AK582">
        <v>1</v>
      </c>
      <c r="AT582">
        <v>1</v>
      </c>
      <c r="AV582">
        <v>0.25</v>
      </c>
      <c r="BC582" t="str">
        <f t="shared" si="217"/>
        <v>enemy_1190_krgbow_2</v>
      </c>
      <c r="BI582" t="s">
        <v>941</v>
      </c>
      <c r="BJ582" t="s">
        <v>2633</v>
      </c>
      <c r="BL582" t="s">
        <v>210</v>
      </c>
      <c r="BM582" t="s">
        <v>211</v>
      </c>
      <c r="BN582" t="s">
        <v>232</v>
      </c>
      <c r="BO582" t="s">
        <v>213</v>
      </c>
      <c r="BR582">
        <v>1</v>
      </c>
    </row>
    <row r="583" spans="1:70" ht="14.5" x14ac:dyDescent="0.25">
      <c r="A583" t="s">
        <v>2634</v>
      </c>
      <c r="B583" t="s">
        <v>206</v>
      </c>
      <c r="C583">
        <v>1</v>
      </c>
      <c r="D583" s="17" t="s">
        <v>2635</v>
      </c>
      <c r="E583" s="2">
        <v>1192</v>
      </c>
      <c r="F583" t="str">
        <f t="shared" si="216"/>
        <v>enemy_1192_krgscr</v>
      </c>
      <c r="G583">
        <v>1</v>
      </c>
      <c r="K583">
        <v>5000</v>
      </c>
      <c r="M583">
        <v>250</v>
      </c>
      <c r="O583">
        <v>200</v>
      </c>
      <c r="Q583">
        <v>50</v>
      </c>
      <c r="Y583">
        <v>0.05</v>
      </c>
      <c r="Z583">
        <v>4.5</v>
      </c>
      <c r="AA583">
        <v>2</v>
      </c>
      <c r="AB583">
        <v>0.7</v>
      </c>
      <c r="AE583">
        <v>0</v>
      </c>
      <c r="AF583">
        <v>1</v>
      </c>
      <c r="AG583" t="s">
        <v>2636</v>
      </c>
      <c r="AH583" t="s">
        <v>209</v>
      </c>
      <c r="AI583" t="s">
        <v>231</v>
      </c>
      <c r="AK583">
        <v>1</v>
      </c>
      <c r="AT583">
        <v>1</v>
      </c>
      <c r="AV583">
        <v>0.25</v>
      </c>
      <c r="BC583" t="str">
        <f t="shared" si="217"/>
        <v>enemy_1192_krgscr</v>
      </c>
      <c r="BI583" t="s">
        <v>941</v>
      </c>
      <c r="BJ583" t="s">
        <v>2637</v>
      </c>
      <c r="BL583" t="s">
        <v>210</v>
      </c>
      <c r="BM583" t="s">
        <v>211</v>
      </c>
      <c r="BN583" t="s">
        <v>232</v>
      </c>
      <c r="BO583" t="s">
        <v>213</v>
      </c>
      <c r="BR583">
        <v>1</v>
      </c>
    </row>
    <row r="584" spans="1:70" ht="14.5" x14ac:dyDescent="0.25">
      <c r="A584" t="s">
        <v>2638</v>
      </c>
      <c r="B584" t="s">
        <v>206</v>
      </c>
      <c r="C584">
        <v>1</v>
      </c>
      <c r="D584" s="17" t="s">
        <v>2639</v>
      </c>
      <c r="E584" s="2">
        <v>1192</v>
      </c>
      <c r="F584" t="str">
        <f t="shared" si="216"/>
        <v>enemy_1192_krgscr_2</v>
      </c>
      <c r="G584">
        <v>1</v>
      </c>
      <c r="K584">
        <v>8000</v>
      </c>
      <c r="M584">
        <v>320</v>
      </c>
      <c r="O584">
        <v>200</v>
      </c>
      <c r="Q584">
        <v>50</v>
      </c>
      <c r="Y584">
        <v>0.05</v>
      </c>
      <c r="Z584">
        <v>4</v>
      </c>
      <c r="AA584">
        <v>2</v>
      </c>
      <c r="AB584">
        <v>0.7</v>
      </c>
      <c r="AE584">
        <v>0</v>
      </c>
      <c r="AF584">
        <v>1</v>
      </c>
      <c r="AG584" t="s">
        <v>2640</v>
      </c>
      <c r="AH584" t="s">
        <v>209</v>
      </c>
      <c r="AI584" t="s">
        <v>231</v>
      </c>
      <c r="AK584">
        <v>1</v>
      </c>
      <c r="AT584">
        <v>1</v>
      </c>
      <c r="AV584">
        <v>0.25</v>
      </c>
      <c r="BC584" t="str">
        <f t="shared" si="217"/>
        <v>enemy_1192_krgscr_2</v>
      </c>
      <c r="BI584" t="s">
        <v>941</v>
      </c>
      <c r="BJ584" t="s">
        <v>2637</v>
      </c>
      <c r="BL584" t="s">
        <v>210</v>
      </c>
      <c r="BM584" t="s">
        <v>211</v>
      </c>
      <c r="BN584" t="s">
        <v>232</v>
      </c>
      <c r="BO584" t="s">
        <v>213</v>
      </c>
      <c r="BR584">
        <v>1</v>
      </c>
    </row>
    <row r="585" spans="1:70" ht="14.5" x14ac:dyDescent="0.25">
      <c r="A585" t="s">
        <v>2641</v>
      </c>
      <c r="B585" t="s">
        <v>206</v>
      </c>
      <c r="C585">
        <v>1</v>
      </c>
      <c r="D585" s="17" t="s">
        <v>2642</v>
      </c>
      <c r="E585" s="2">
        <v>1193</v>
      </c>
      <c r="F585" t="str">
        <f t="shared" si="216"/>
        <v>enemy_1193_krgbsk</v>
      </c>
      <c r="G585">
        <v>1</v>
      </c>
      <c r="K585">
        <v>12000</v>
      </c>
      <c r="M585">
        <v>800</v>
      </c>
      <c r="O585">
        <v>800</v>
      </c>
      <c r="Q585">
        <v>20</v>
      </c>
      <c r="Y585">
        <v>0.05</v>
      </c>
      <c r="Z585">
        <v>4</v>
      </c>
      <c r="AA585">
        <v>4</v>
      </c>
      <c r="AB585">
        <v>0.7</v>
      </c>
      <c r="AE585">
        <v>0</v>
      </c>
      <c r="AF585">
        <v>1</v>
      </c>
      <c r="AG585" t="s">
        <v>2643</v>
      </c>
      <c r="AH585" t="s">
        <v>209</v>
      </c>
      <c r="AI585" t="s">
        <v>231</v>
      </c>
      <c r="AK585">
        <v>1</v>
      </c>
      <c r="AT585">
        <v>1</v>
      </c>
      <c r="AV585">
        <v>0.25</v>
      </c>
      <c r="BC585" t="str">
        <f t="shared" si="217"/>
        <v>enemy_1193_krgbsk</v>
      </c>
      <c r="BI585" t="s">
        <v>994</v>
      </c>
      <c r="BJ585" t="s">
        <v>2644</v>
      </c>
      <c r="BL585" t="s">
        <v>210</v>
      </c>
      <c r="BM585" t="s">
        <v>211</v>
      </c>
      <c r="BN585" t="s">
        <v>232</v>
      </c>
      <c r="BO585" t="s">
        <v>213</v>
      </c>
      <c r="BR585">
        <v>1</v>
      </c>
    </row>
    <row r="586" spans="1:70" ht="14.5" x14ac:dyDescent="0.25">
      <c r="A586" t="s">
        <v>2645</v>
      </c>
      <c r="B586" t="s">
        <v>206</v>
      </c>
      <c r="C586">
        <v>1</v>
      </c>
      <c r="D586" s="17" t="s">
        <v>2646</v>
      </c>
      <c r="E586" s="2">
        <v>1193</v>
      </c>
      <c r="F586" t="str">
        <f t="shared" si="216"/>
        <v>enemy_1193_krgbsk_2</v>
      </c>
      <c r="G586">
        <v>1</v>
      </c>
      <c r="K586">
        <v>18000</v>
      </c>
      <c r="M586">
        <v>1000</v>
      </c>
      <c r="O586">
        <v>1000</v>
      </c>
      <c r="Q586">
        <v>20</v>
      </c>
      <c r="Y586">
        <v>0.05</v>
      </c>
      <c r="Z586">
        <v>4</v>
      </c>
      <c r="AA586">
        <v>4</v>
      </c>
      <c r="AB586">
        <v>0.7</v>
      </c>
      <c r="AE586">
        <v>0</v>
      </c>
      <c r="AF586">
        <v>1</v>
      </c>
      <c r="AG586" t="s">
        <v>2647</v>
      </c>
      <c r="AH586" t="s">
        <v>209</v>
      </c>
      <c r="AI586" t="s">
        <v>231</v>
      </c>
      <c r="AK586">
        <v>1</v>
      </c>
      <c r="AT586">
        <v>1</v>
      </c>
      <c r="AV586">
        <v>0.25</v>
      </c>
      <c r="BC586" t="str">
        <f t="shared" si="217"/>
        <v>enemy_1193_krgbsk_2</v>
      </c>
      <c r="BI586" t="s">
        <v>994</v>
      </c>
      <c r="BJ586" t="s">
        <v>2648</v>
      </c>
      <c r="BL586" t="s">
        <v>210</v>
      </c>
      <c r="BM586" t="s">
        <v>211</v>
      </c>
      <c r="BN586" t="s">
        <v>232</v>
      </c>
      <c r="BO586" t="s">
        <v>213</v>
      </c>
      <c r="BR586">
        <v>1</v>
      </c>
    </row>
    <row r="587" spans="1:70" ht="14.5" x14ac:dyDescent="0.25">
      <c r="A587" t="s">
        <v>2649</v>
      </c>
      <c r="B587" t="s">
        <v>206</v>
      </c>
      <c r="C587">
        <v>1</v>
      </c>
      <c r="D587" s="17" t="s">
        <v>2650</v>
      </c>
      <c r="E587" s="2">
        <v>1191</v>
      </c>
      <c r="F587" t="str">
        <f t="shared" si="216"/>
        <v>enemy_1191_krgrg</v>
      </c>
      <c r="G587">
        <v>1</v>
      </c>
      <c r="K587">
        <v>5000</v>
      </c>
      <c r="M587">
        <v>600</v>
      </c>
      <c r="O587">
        <v>250</v>
      </c>
      <c r="Q587">
        <v>50</v>
      </c>
      <c r="Y587">
        <v>0.05</v>
      </c>
      <c r="Z587">
        <v>2.5</v>
      </c>
      <c r="AA587">
        <v>1</v>
      </c>
      <c r="AB587">
        <v>0.7</v>
      </c>
      <c r="AE587">
        <v>0</v>
      </c>
      <c r="AF587">
        <v>1</v>
      </c>
      <c r="AG587" t="s">
        <v>2651</v>
      </c>
      <c r="AH587" t="s">
        <v>209</v>
      </c>
      <c r="AI587" t="s">
        <v>231</v>
      </c>
      <c r="AK587">
        <v>1</v>
      </c>
      <c r="AT587">
        <v>1</v>
      </c>
      <c r="AV587">
        <v>0.25</v>
      </c>
      <c r="BC587" t="str">
        <f t="shared" si="217"/>
        <v>enemy_1191_krgrg</v>
      </c>
      <c r="BI587" t="s">
        <v>994</v>
      </c>
      <c r="BJ587" t="s">
        <v>2652</v>
      </c>
      <c r="BL587" t="s">
        <v>210</v>
      </c>
      <c r="BM587" t="s">
        <v>211</v>
      </c>
      <c r="BN587" t="s">
        <v>232</v>
      </c>
      <c r="BO587" t="s">
        <v>213</v>
      </c>
      <c r="BR587">
        <v>1</v>
      </c>
    </row>
    <row r="588" spans="1:70" ht="14.5" x14ac:dyDescent="0.25">
      <c r="A588" t="s">
        <v>2653</v>
      </c>
      <c r="B588" t="s">
        <v>206</v>
      </c>
      <c r="C588">
        <v>1</v>
      </c>
      <c r="D588" s="17" t="s">
        <v>2654</v>
      </c>
      <c r="E588" s="2">
        <v>1191</v>
      </c>
      <c r="F588" t="str">
        <f t="shared" si="216"/>
        <v>enemy_1191_krgrg_2</v>
      </c>
      <c r="G588">
        <v>1</v>
      </c>
      <c r="K588">
        <v>7000</v>
      </c>
      <c r="M588">
        <v>800</v>
      </c>
      <c r="O588">
        <v>350</v>
      </c>
      <c r="Q588">
        <v>50</v>
      </c>
      <c r="Y588">
        <v>0.05</v>
      </c>
      <c r="Z588">
        <v>2.5</v>
      </c>
      <c r="AA588">
        <v>1</v>
      </c>
      <c r="AB588">
        <v>0.7</v>
      </c>
      <c r="AE588">
        <v>0</v>
      </c>
      <c r="AF588">
        <v>1</v>
      </c>
      <c r="AG588" t="s">
        <v>2655</v>
      </c>
      <c r="AH588" t="s">
        <v>209</v>
      </c>
      <c r="AI588" t="s">
        <v>231</v>
      </c>
      <c r="AK588">
        <v>1</v>
      </c>
      <c r="AT588">
        <v>1</v>
      </c>
      <c r="AV588">
        <v>0.25</v>
      </c>
      <c r="BC588" t="str">
        <f t="shared" si="217"/>
        <v>enemy_1191_krgrg_2</v>
      </c>
      <c r="BI588" t="s">
        <v>994</v>
      </c>
      <c r="BJ588" t="s">
        <v>2652</v>
      </c>
      <c r="BL588" t="s">
        <v>210</v>
      </c>
      <c r="BM588" t="s">
        <v>211</v>
      </c>
      <c r="BN588" t="s">
        <v>232</v>
      </c>
      <c r="BO588" t="s">
        <v>213</v>
      </c>
      <c r="BR588">
        <v>1</v>
      </c>
    </row>
    <row r="589" spans="1:70" ht="14.5" x14ac:dyDescent="0.25">
      <c r="A589" t="s">
        <v>2656</v>
      </c>
      <c r="B589" t="s">
        <v>206</v>
      </c>
      <c r="C589">
        <v>1</v>
      </c>
      <c r="D589" s="17" t="s">
        <v>2657</v>
      </c>
      <c r="E589" s="2">
        <v>1194</v>
      </c>
      <c r="F589" t="str">
        <f t="shared" si="216"/>
        <v>enemy_1194_krgmtr</v>
      </c>
      <c r="G589">
        <v>1</v>
      </c>
      <c r="K589">
        <v>15000</v>
      </c>
      <c r="M589">
        <v>600</v>
      </c>
      <c r="O589">
        <v>600</v>
      </c>
      <c r="Q589">
        <v>50</v>
      </c>
      <c r="Y589">
        <v>0.05</v>
      </c>
      <c r="Z589">
        <v>3.7</v>
      </c>
      <c r="AA589">
        <v>5</v>
      </c>
      <c r="AB589">
        <v>0.9</v>
      </c>
      <c r="AE589">
        <v>0</v>
      </c>
      <c r="AF589">
        <v>1</v>
      </c>
      <c r="AG589" t="s">
        <v>2658</v>
      </c>
      <c r="AH589" t="s">
        <v>209</v>
      </c>
      <c r="AI589" t="s">
        <v>231</v>
      </c>
      <c r="AK589">
        <v>1</v>
      </c>
      <c r="AT589">
        <v>1</v>
      </c>
      <c r="AV589">
        <v>0.25</v>
      </c>
      <c r="BC589" t="str">
        <f t="shared" si="217"/>
        <v>enemy_1194_krgmtr</v>
      </c>
      <c r="BI589" t="s">
        <v>962</v>
      </c>
      <c r="BJ589" t="s">
        <v>2659</v>
      </c>
      <c r="BL589" t="s">
        <v>210</v>
      </c>
      <c r="BM589" t="s">
        <v>211</v>
      </c>
      <c r="BN589" t="s">
        <v>232</v>
      </c>
      <c r="BO589" t="s">
        <v>213</v>
      </c>
      <c r="BR589">
        <v>1</v>
      </c>
    </row>
    <row r="590" spans="1:70" ht="14.5" x14ac:dyDescent="0.25">
      <c r="A590" t="s">
        <v>2660</v>
      </c>
      <c r="B590" t="s">
        <v>206</v>
      </c>
      <c r="C590">
        <v>1</v>
      </c>
      <c r="D590" s="17" t="s">
        <v>2661</v>
      </c>
      <c r="E590" s="2">
        <v>1194</v>
      </c>
      <c r="F590" t="str">
        <f t="shared" si="216"/>
        <v>enemy_1194_krgmtr_2</v>
      </c>
      <c r="G590">
        <v>1</v>
      </c>
      <c r="K590">
        <v>20000</v>
      </c>
      <c r="M590">
        <v>800</v>
      </c>
      <c r="O590">
        <v>700</v>
      </c>
      <c r="Q590">
        <v>50</v>
      </c>
      <c r="Y590">
        <v>0.05</v>
      </c>
      <c r="Z590">
        <v>3.7</v>
      </c>
      <c r="AA590">
        <v>5</v>
      </c>
      <c r="AB590">
        <v>0.9</v>
      </c>
      <c r="AE590">
        <v>0</v>
      </c>
      <c r="AF590">
        <v>1</v>
      </c>
      <c r="AG590" t="s">
        <v>2662</v>
      </c>
      <c r="AH590" t="s">
        <v>209</v>
      </c>
      <c r="AI590" t="s">
        <v>231</v>
      </c>
      <c r="AK590">
        <v>1</v>
      </c>
      <c r="AT590">
        <v>1</v>
      </c>
      <c r="AV590">
        <v>0.25</v>
      </c>
      <c r="BC590" t="str">
        <f t="shared" si="217"/>
        <v>enemy_1194_krgmtr_2</v>
      </c>
      <c r="BI590" t="s">
        <v>962</v>
      </c>
      <c r="BJ590" t="s">
        <v>2659</v>
      </c>
      <c r="BL590" t="s">
        <v>210</v>
      </c>
      <c r="BM590" t="s">
        <v>211</v>
      </c>
      <c r="BN590" t="s">
        <v>232</v>
      </c>
      <c r="BO590" t="s">
        <v>213</v>
      </c>
      <c r="BR590">
        <v>1</v>
      </c>
    </row>
    <row r="591" spans="1:70" ht="14.5" x14ac:dyDescent="0.25">
      <c r="A591" t="s">
        <v>2663</v>
      </c>
      <c r="B591" t="s">
        <v>206</v>
      </c>
      <c r="C591">
        <v>1</v>
      </c>
      <c r="D591" s="17" t="s">
        <v>2664</v>
      </c>
      <c r="E591" s="2">
        <v>1525</v>
      </c>
      <c r="F591" t="str">
        <f t="shared" si="216"/>
        <v>enemy_1525_blkswb</v>
      </c>
      <c r="G591">
        <v>1</v>
      </c>
      <c r="K591">
        <v>28000</v>
      </c>
      <c r="M591">
        <v>900</v>
      </c>
      <c r="O591">
        <v>600</v>
      </c>
      <c r="Q591">
        <v>50</v>
      </c>
      <c r="Y591">
        <v>0.05</v>
      </c>
      <c r="Z591">
        <v>4</v>
      </c>
      <c r="AA591">
        <v>6</v>
      </c>
      <c r="AB591">
        <v>0.6</v>
      </c>
      <c r="AE591">
        <v>0</v>
      </c>
      <c r="AF591">
        <v>1</v>
      </c>
      <c r="AG591" t="s">
        <v>2665</v>
      </c>
      <c r="AH591" t="s">
        <v>209</v>
      </c>
      <c r="AI591" t="s">
        <v>231</v>
      </c>
      <c r="AK591">
        <v>1</v>
      </c>
      <c r="AT591">
        <v>1</v>
      </c>
      <c r="AV591">
        <v>0.25</v>
      </c>
      <c r="BC591" t="str">
        <f t="shared" si="217"/>
        <v>enemy_1525_blkswb</v>
      </c>
      <c r="BI591" t="s">
        <v>1001</v>
      </c>
      <c r="BJ591" t="s">
        <v>2666</v>
      </c>
      <c r="BL591" t="s">
        <v>210</v>
      </c>
      <c r="BM591" t="s">
        <v>2600</v>
      </c>
      <c r="BN591" t="s">
        <v>2601</v>
      </c>
      <c r="BO591" t="s">
        <v>2602</v>
      </c>
      <c r="BR591">
        <v>1</v>
      </c>
    </row>
    <row r="592" spans="1:70" ht="14.5" x14ac:dyDescent="0.25">
      <c r="A592" t="s">
        <v>2667</v>
      </c>
      <c r="B592" t="s">
        <v>206</v>
      </c>
      <c r="C592">
        <v>1</v>
      </c>
      <c r="D592" s="17" t="s">
        <v>2668</v>
      </c>
      <c r="E592" s="2">
        <v>2009</v>
      </c>
      <c r="F592" t="str">
        <f t="shared" si="216"/>
        <v>enemy_2009_csaudc</v>
      </c>
      <c r="G592">
        <v>1</v>
      </c>
      <c r="K592">
        <v>8000</v>
      </c>
      <c r="M592">
        <v>750</v>
      </c>
      <c r="O592">
        <v>600</v>
      </c>
      <c r="Q592">
        <v>30</v>
      </c>
      <c r="Y592">
        <v>0.05</v>
      </c>
      <c r="Z592">
        <v>3</v>
      </c>
      <c r="AA592">
        <v>2</v>
      </c>
      <c r="AB592">
        <v>1.2</v>
      </c>
      <c r="AE592">
        <v>0</v>
      </c>
      <c r="AF592">
        <v>1</v>
      </c>
      <c r="AG592" t="s">
        <v>2669</v>
      </c>
      <c r="AH592" t="s">
        <v>209</v>
      </c>
      <c r="AI592" t="s">
        <v>231</v>
      </c>
      <c r="AK592">
        <v>1</v>
      </c>
      <c r="AT592">
        <v>1</v>
      </c>
      <c r="AV592">
        <v>0.25</v>
      </c>
      <c r="BC592" t="str">
        <f t="shared" si="217"/>
        <v>enemy_2009_csaudc</v>
      </c>
      <c r="BI592" t="s">
        <v>994</v>
      </c>
      <c r="BJ592" t="s">
        <v>2670</v>
      </c>
      <c r="BL592" t="s">
        <v>210</v>
      </c>
      <c r="BM592" t="s">
        <v>211</v>
      </c>
      <c r="BN592" t="s">
        <v>232</v>
      </c>
      <c r="BO592" t="s">
        <v>213</v>
      </c>
      <c r="BR592">
        <v>1</v>
      </c>
    </row>
    <row r="593" spans="1:70" ht="14.5" x14ac:dyDescent="0.25">
      <c r="A593" t="s">
        <v>2671</v>
      </c>
      <c r="B593" t="s">
        <v>206</v>
      </c>
      <c r="C593">
        <v>1</v>
      </c>
      <c r="D593" s="17" t="s">
        <v>2672</v>
      </c>
      <c r="E593" s="2">
        <v>2010</v>
      </c>
      <c r="F593" t="str">
        <f t="shared" si="216"/>
        <v>enemy_2010_csdcr</v>
      </c>
      <c r="G593">
        <v>1</v>
      </c>
      <c r="K593">
        <v>12000</v>
      </c>
      <c r="M593">
        <v>500</v>
      </c>
      <c r="O593">
        <v>300</v>
      </c>
      <c r="Q593">
        <v>60</v>
      </c>
      <c r="Y593">
        <v>0.05</v>
      </c>
      <c r="Z593">
        <v>4</v>
      </c>
      <c r="AA593">
        <v>3</v>
      </c>
      <c r="AB593">
        <v>0.8</v>
      </c>
      <c r="AE593">
        <v>0</v>
      </c>
      <c r="AF593">
        <v>1</v>
      </c>
      <c r="AG593" t="s">
        <v>2673</v>
      </c>
      <c r="AH593" t="s">
        <v>209</v>
      </c>
      <c r="AI593" t="s">
        <v>231</v>
      </c>
      <c r="AK593">
        <v>1</v>
      </c>
      <c r="AT593">
        <v>1</v>
      </c>
      <c r="AV593">
        <v>0.25</v>
      </c>
      <c r="BC593" t="str">
        <f t="shared" si="217"/>
        <v>enemy_2010_csdcr</v>
      </c>
      <c r="BI593" t="s">
        <v>962</v>
      </c>
      <c r="BJ593" t="s">
        <v>2674</v>
      </c>
      <c r="BL593" t="s">
        <v>210</v>
      </c>
      <c r="BM593" t="s">
        <v>211</v>
      </c>
      <c r="BN593" t="s">
        <v>232</v>
      </c>
      <c r="BO593" t="s">
        <v>213</v>
      </c>
      <c r="BR593">
        <v>1</v>
      </c>
    </row>
    <row r="594" spans="1:70" ht="14.5" x14ac:dyDescent="0.25">
      <c r="A594" t="s">
        <v>2675</v>
      </c>
      <c r="B594" t="s">
        <v>206</v>
      </c>
      <c r="C594">
        <v>1</v>
      </c>
      <c r="D594" s="17" t="s">
        <v>2676</v>
      </c>
      <c r="E594" s="2">
        <v>2011</v>
      </c>
      <c r="F594" t="str">
        <f t="shared" si="216"/>
        <v>enemy_2011_csppt</v>
      </c>
      <c r="G594">
        <v>1</v>
      </c>
      <c r="K594">
        <v>24000</v>
      </c>
      <c r="M594">
        <v>1200</v>
      </c>
      <c r="O594">
        <v>300</v>
      </c>
      <c r="Q594">
        <v>30</v>
      </c>
      <c r="Y594">
        <v>0.05</v>
      </c>
      <c r="Z594">
        <v>5</v>
      </c>
      <c r="AA594">
        <v>5</v>
      </c>
      <c r="AB594">
        <v>0.5</v>
      </c>
      <c r="AE594">
        <v>0</v>
      </c>
      <c r="AF594">
        <v>1</v>
      </c>
      <c r="AG594" t="s">
        <v>2677</v>
      </c>
      <c r="AH594" t="s">
        <v>209</v>
      </c>
      <c r="AI594" t="s">
        <v>231</v>
      </c>
      <c r="AK594">
        <v>1</v>
      </c>
      <c r="AT594">
        <v>1</v>
      </c>
      <c r="AV594">
        <v>0.25</v>
      </c>
      <c r="BC594" t="str">
        <f t="shared" si="217"/>
        <v>enemy_2011_csppt</v>
      </c>
      <c r="BI594" t="s">
        <v>2678</v>
      </c>
      <c r="BJ594" t="s">
        <v>2679</v>
      </c>
      <c r="BL594" t="s">
        <v>210</v>
      </c>
      <c r="BM594" t="s">
        <v>211</v>
      </c>
      <c r="BN594" t="s">
        <v>232</v>
      </c>
      <c r="BO594" t="s">
        <v>213</v>
      </c>
      <c r="BR594">
        <v>1</v>
      </c>
    </row>
    <row r="595" spans="1:70" ht="14.5" x14ac:dyDescent="0.25">
      <c r="A595" t="s">
        <v>2680</v>
      </c>
      <c r="B595" t="s">
        <v>206</v>
      </c>
      <c r="C595">
        <v>1</v>
      </c>
      <c r="D595" s="17" t="s">
        <v>2681</v>
      </c>
      <c r="E595" s="2">
        <v>2012</v>
      </c>
      <c r="F595" t="str">
        <f t="shared" si="216"/>
        <v>enemy_2012_csbln</v>
      </c>
      <c r="G595">
        <v>1</v>
      </c>
      <c r="K595">
        <v>4000</v>
      </c>
      <c r="M595">
        <v>400</v>
      </c>
      <c r="O595">
        <v>0</v>
      </c>
      <c r="Q595">
        <v>0</v>
      </c>
      <c r="Y595">
        <v>0.05</v>
      </c>
      <c r="Z595">
        <v>1</v>
      </c>
      <c r="AA595">
        <v>0</v>
      </c>
      <c r="AB595">
        <v>0.5</v>
      </c>
      <c r="AE595">
        <v>0</v>
      </c>
      <c r="AF595">
        <v>1</v>
      </c>
      <c r="AG595" t="s">
        <v>2682</v>
      </c>
      <c r="AH595" t="s">
        <v>209</v>
      </c>
      <c r="AI595" t="s">
        <v>231</v>
      </c>
      <c r="AK595">
        <v>1</v>
      </c>
      <c r="AT595">
        <v>1</v>
      </c>
      <c r="AV595">
        <v>0.25</v>
      </c>
      <c r="BC595" t="str">
        <f t="shared" si="217"/>
        <v>enemy_2012_csbln</v>
      </c>
      <c r="BI595" t="s">
        <v>1022</v>
      </c>
      <c r="BJ595" t="s">
        <v>2683</v>
      </c>
      <c r="BL595" t="s">
        <v>210</v>
      </c>
      <c r="BM595" t="s">
        <v>211</v>
      </c>
      <c r="BN595" t="s">
        <v>232</v>
      </c>
      <c r="BO595" t="s">
        <v>213</v>
      </c>
      <c r="BR595">
        <v>1</v>
      </c>
    </row>
    <row r="596" spans="1:70" ht="14.5" x14ac:dyDescent="0.25">
      <c r="A596" t="s">
        <v>2684</v>
      </c>
      <c r="B596" t="s">
        <v>206</v>
      </c>
      <c r="C596">
        <v>1</v>
      </c>
      <c r="D596" s="17" t="s">
        <v>2685</v>
      </c>
      <c r="E596" s="2">
        <v>2013</v>
      </c>
      <c r="F596" t="str">
        <f t="shared" si="216"/>
        <v>enemy_2013_csbot</v>
      </c>
      <c r="G596">
        <v>1</v>
      </c>
      <c r="K596">
        <v>40000</v>
      </c>
      <c r="M596">
        <v>900</v>
      </c>
      <c r="O596">
        <v>800</v>
      </c>
      <c r="Q596">
        <v>50</v>
      </c>
      <c r="Y596">
        <v>0.05</v>
      </c>
      <c r="Z596">
        <v>1.5</v>
      </c>
      <c r="AA596">
        <v>4</v>
      </c>
      <c r="AB596">
        <v>0.5</v>
      </c>
      <c r="AE596">
        <v>0</v>
      </c>
      <c r="AF596">
        <v>1</v>
      </c>
      <c r="AG596" t="s">
        <v>2686</v>
      </c>
      <c r="AH596" t="s">
        <v>209</v>
      </c>
      <c r="AI596" t="s">
        <v>231</v>
      </c>
      <c r="AK596">
        <v>1</v>
      </c>
      <c r="AT596">
        <v>1</v>
      </c>
      <c r="AV596">
        <v>0.25</v>
      </c>
      <c r="BC596" t="str">
        <f t="shared" si="217"/>
        <v>enemy_2013_csbot</v>
      </c>
      <c r="BI596" t="s">
        <v>1001</v>
      </c>
      <c r="BJ596" t="s">
        <v>2687</v>
      </c>
      <c r="BL596" t="s">
        <v>210</v>
      </c>
      <c r="BM596" t="s">
        <v>211</v>
      </c>
      <c r="BN596" t="s">
        <v>232</v>
      </c>
      <c r="BO596" t="s">
        <v>213</v>
      </c>
      <c r="BR596">
        <v>1</v>
      </c>
    </row>
    <row r="597" spans="1:70" ht="14.5" x14ac:dyDescent="0.25">
      <c r="A597" t="s">
        <v>2688</v>
      </c>
      <c r="B597" t="s">
        <v>206</v>
      </c>
      <c r="C597">
        <v>1</v>
      </c>
      <c r="D597" s="17" t="s">
        <v>2689</v>
      </c>
      <c r="E597" s="2">
        <v>2014</v>
      </c>
      <c r="F597" t="str">
        <f t="shared" si="216"/>
        <v>enemy_2014_csicer</v>
      </c>
      <c r="G597">
        <v>1</v>
      </c>
      <c r="K597">
        <v>40000</v>
      </c>
      <c r="M597">
        <v>700</v>
      </c>
      <c r="O597">
        <v>300</v>
      </c>
      <c r="Q597">
        <v>30</v>
      </c>
      <c r="Y597">
        <v>0.05</v>
      </c>
      <c r="Z597">
        <v>4</v>
      </c>
      <c r="AA597">
        <v>4</v>
      </c>
      <c r="AB597">
        <v>0.6</v>
      </c>
      <c r="AE597">
        <v>0</v>
      </c>
      <c r="AF597">
        <v>1</v>
      </c>
      <c r="AG597" t="s">
        <v>2690</v>
      </c>
      <c r="AH597" t="s">
        <v>209</v>
      </c>
      <c r="AI597" t="s">
        <v>231</v>
      </c>
      <c r="AK597">
        <v>1</v>
      </c>
      <c r="AT597">
        <v>1</v>
      </c>
      <c r="AV597">
        <v>0.25</v>
      </c>
      <c r="BC597" t="str">
        <f t="shared" si="217"/>
        <v>enemy_2014_csicer</v>
      </c>
      <c r="BI597" t="s">
        <v>1333</v>
      </c>
      <c r="BJ597" t="s">
        <v>2691</v>
      </c>
      <c r="BL597" t="s">
        <v>210</v>
      </c>
      <c r="BM597" t="s">
        <v>2348</v>
      </c>
      <c r="BN597" t="s">
        <v>2349</v>
      </c>
      <c r="BO597" t="s">
        <v>213</v>
      </c>
      <c r="BR597">
        <v>1</v>
      </c>
    </row>
    <row r="598" spans="1:70" ht="14.5" x14ac:dyDescent="0.25">
      <c r="A598" t="s">
        <v>2692</v>
      </c>
      <c r="B598" t="s">
        <v>206</v>
      </c>
      <c r="C598">
        <v>1</v>
      </c>
      <c r="D598" s="17" t="s">
        <v>2693</v>
      </c>
      <c r="E598" s="2">
        <v>2015</v>
      </c>
      <c r="F598" t="str">
        <f t="shared" si="216"/>
        <v>enemy_2015_csicem</v>
      </c>
      <c r="G598">
        <v>1</v>
      </c>
      <c r="K598">
        <v>60000</v>
      </c>
      <c r="M598">
        <v>1200</v>
      </c>
      <c r="O598">
        <v>300</v>
      </c>
      <c r="Q598">
        <v>30</v>
      </c>
      <c r="Y598">
        <v>0.05</v>
      </c>
      <c r="Z598">
        <v>6</v>
      </c>
      <c r="AA598">
        <v>4</v>
      </c>
      <c r="AB598">
        <v>0.6</v>
      </c>
      <c r="AE598">
        <v>0</v>
      </c>
      <c r="AF598">
        <v>1</v>
      </c>
      <c r="AG598" t="s">
        <v>2694</v>
      </c>
      <c r="AH598" t="s">
        <v>209</v>
      </c>
      <c r="AI598" t="s">
        <v>231</v>
      </c>
      <c r="AK598">
        <v>1</v>
      </c>
      <c r="AT598">
        <v>1</v>
      </c>
      <c r="AV598">
        <v>0.25</v>
      </c>
      <c r="BC598" t="str">
        <f t="shared" si="217"/>
        <v>enemy_2015_csicem</v>
      </c>
      <c r="BI598" t="s">
        <v>1001</v>
      </c>
      <c r="BJ598" t="s">
        <v>2695</v>
      </c>
      <c r="BL598" t="s">
        <v>210</v>
      </c>
      <c r="BM598" t="s">
        <v>211</v>
      </c>
      <c r="BN598" t="s">
        <v>232</v>
      </c>
      <c r="BO598" t="s">
        <v>213</v>
      </c>
      <c r="BR598">
        <v>1</v>
      </c>
    </row>
    <row r="599" spans="1:70" ht="14.5" x14ac:dyDescent="0.25">
      <c r="A599" t="s">
        <v>2696</v>
      </c>
      <c r="B599" t="s">
        <v>206</v>
      </c>
      <c r="C599">
        <v>1</v>
      </c>
      <c r="D599" s="17" t="s">
        <v>2697</v>
      </c>
      <c r="E599" s="2">
        <v>2016</v>
      </c>
      <c r="F599" t="str">
        <f t="shared" si="216"/>
        <v>enemy_2016_csphtm</v>
      </c>
      <c r="G599">
        <v>1</v>
      </c>
      <c r="K599">
        <v>80000</v>
      </c>
      <c r="M599">
        <v>1500</v>
      </c>
      <c r="O599">
        <v>600</v>
      </c>
      <c r="Q599">
        <v>40</v>
      </c>
      <c r="Y599">
        <v>0.05</v>
      </c>
      <c r="Z599">
        <v>3</v>
      </c>
      <c r="AA599">
        <v>6</v>
      </c>
      <c r="AB599">
        <v>0.6</v>
      </c>
      <c r="AE599">
        <v>0</v>
      </c>
      <c r="AF599">
        <v>1</v>
      </c>
      <c r="AG599" t="s">
        <v>2698</v>
      </c>
      <c r="AH599" t="s">
        <v>209</v>
      </c>
      <c r="AI599" t="s">
        <v>231</v>
      </c>
      <c r="AK599">
        <v>1</v>
      </c>
      <c r="AT599">
        <v>1</v>
      </c>
      <c r="AV599">
        <v>0.25</v>
      </c>
      <c r="BC599" t="str">
        <f t="shared" si="217"/>
        <v>enemy_2016_csphtm</v>
      </c>
      <c r="BI599" t="s">
        <v>1001</v>
      </c>
      <c r="BJ599" t="s">
        <v>2699</v>
      </c>
      <c r="BL599" t="s">
        <v>210</v>
      </c>
      <c r="BM599" t="s">
        <v>211</v>
      </c>
      <c r="BN599" t="s">
        <v>232</v>
      </c>
      <c r="BO599" t="s">
        <v>213</v>
      </c>
      <c r="BR599">
        <v>1</v>
      </c>
    </row>
    <row r="600" spans="1:70" ht="14.5" x14ac:dyDescent="0.25">
      <c r="A600" t="s">
        <v>2700</v>
      </c>
      <c r="B600" t="s">
        <v>206</v>
      </c>
      <c r="C600">
        <v>1</v>
      </c>
      <c r="D600" s="17" t="s">
        <v>2701</v>
      </c>
      <c r="E600" s="2">
        <v>2017</v>
      </c>
      <c r="F600" t="str">
        <f t="shared" si="216"/>
        <v>enemy_2017_csphts</v>
      </c>
      <c r="G600">
        <v>1</v>
      </c>
      <c r="K600">
        <v>10000</v>
      </c>
      <c r="M600">
        <v>750</v>
      </c>
      <c r="O600">
        <v>400</v>
      </c>
      <c r="Q600">
        <v>20</v>
      </c>
      <c r="Y600">
        <v>0.05</v>
      </c>
      <c r="Z600">
        <v>3</v>
      </c>
      <c r="AA600">
        <v>2</v>
      </c>
      <c r="AB600">
        <v>0.6</v>
      </c>
      <c r="AE600">
        <v>0</v>
      </c>
      <c r="AF600">
        <v>1</v>
      </c>
      <c r="AG600" t="s">
        <v>2702</v>
      </c>
      <c r="AH600" t="s">
        <v>209</v>
      </c>
      <c r="AI600" t="s">
        <v>231</v>
      </c>
      <c r="AK600">
        <v>1</v>
      </c>
      <c r="AT600">
        <v>1</v>
      </c>
      <c r="AV600">
        <v>0.25</v>
      </c>
      <c r="BC600" t="str">
        <f t="shared" si="217"/>
        <v>enemy_2017_csphts</v>
      </c>
      <c r="BI600" t="s">
        <v>994</v>
      </c>
      <c r="BJ600" t="s">
        <v>2703</v>
      </c>
      <c r="BL600" t="s">
        <v>210</v>
      </c>
      <c r="BM600" t="s">
        <v>211</v>
      </c>
      <c r="BN600" t="s">
        <v>232</v>
      </c>
      <c r="BO600" t="s">
        <v>213</v>
      </c>
      <c r="BR600">
        <v>1</v>
      </c>
    </row>
    <row r="601" spans="1:70" ht="14.5" x14ac:dyDescent="0.25">
      <c r="A601" t="s">
        <v>2704</v>
      </c>
      <c r="B601" t="s">
        <v>206</v>
      </c>
      <c r="C601">
        <v>1</v>
      </c>
      <c r="D601" s="17" t="s">
        <v>2705</v>
      </c>
      <c r="E601" s="2">
        <v>2018</v>
      </c>
      <c r="F601" t="str">
        <f t="shared" si="216"/>
        <v>enemy_2018_csdoll</v>
      </c>
      <c r="G601">
        <v>1</v>
      </c>
      <c r="K601">
        <v>300000</v>
      </c>
      <c r="M601">
        <v>800</v>
      </c>
      <c r="O601">
        <v>700</v>
      </c>
      <c r="Q601">
        <v>60</v>
      </c>
      <c r="Y601">
        <v>0.05</v>
      </c>
      <c r="Z601">
        <v>4</v>
      </c>
      <c r="AA601">
        <v>10</v>
      </c>
      <c r="AB601">
        <v>1</v>
      </c>
      <c r="AE601">
        <v>0</v>
      </c>
      <c r="AF601">
        <v>1</v>
      </c>
      <c r="AG601" t="s">
        <v>2706</v>
      </c>
      <c r="AH601" t="s">
        <v>209</v>
      </c>
      <c r="AI601" t="s">
        <v>231</v>
      </c>
      <c r="AK601">
        <v>1</v>
      </c>
      <c r="AT601">
        <v>1</v>
      </c>
      <c r="AV601">
        <v>0.25</v>
      </c>
      <c r="BC601" t="str">
        <f t="shared" si="217"/>
        <v>enemy_2018_csdoll</v>
      </c>
      <c r="BI601" t="s">
        <v>1333</v>
      </c>
      <c r="BJ601" t="s">
        <v>2707</v>
      </c>
      <c r="BL601" t="s">
        <v>210</v>
      </c>
      <c r="BM601" t="s">
        <v>211</v>
      </c>
      <c r="BN601" t="s">
        <v>211</v>
      </c>
      <c r="BO601" t="s">
        <v>213</v>
      </c>
      <c r="BR601">
        <v>1</v>
      </c>
    </row>
    <row r="602" spans="1:70" ht="14.5" x14ac:dyDescent="0.25">
      <c r="A602" t="s">
        <v>2708</v>
      </c>
      <c r="B602" t="s">
        <v>206</v>
      </c>
      <c r="C602">
        <v>1</v>
      </c>
      <c r="D602" s="17" t="s">
        <v>2709</v>
      </c>
      <c r="E602" s="2">
        <v>2019</v>
      </c>
      <c r="F602" t="str">
        <f t="shared" si="216"/>
        <v>enemy_2019_cshost</v>
      </c>
      <c r="G602">
        <v>1</v>
      </c>
      <c r="K602">
        <v>100000</v>
      </c>
      <c r="M602">
        <v>1000</v>
      </c>
      <c r="O602">
        <v>0</v>
      </c>
      <c r="Q602">
        <v>0</v>
      </c>
      <c r="Y602">
        <v>0.05</v>
      </c>
      <c r="Z602">
        <v>4</v>
      </c>
      <c r="AA602">
        <v>7</v>
      </c>
      <c r="AB602">
        <v>0.5</v>
      </c>
      <c r="AE602">
        <v>0</v>
      </c>
      <c r="AF602">
        <v>1</v>
      </c>
      <c r="AG602" t="s">
        <v>2710</v>
      </c>
      <c r="AH602" t="s">
        <v>209</v>
      </c>
      <c r="AI602" t="s">
        <v>231</v>
      </c>
      <c r="AK602">
        <v>1</v>
      </c>
      <c r="AT602">
        <v>1</v>
      </c>
      <c r="AV602">
        <v>0.25</v>
      </c>
      <c r="BC602" t="str">
        <f t="shared" si="217"/>
        <v>enemy_2019_cshost</v>
      </c>
      <c r="BI602" t="s">
        <v>1333</v>
      </c>
      <c r="BJ602" t="s">
        <v>2711</v>
      </c>
      <c r="BL602" t="s">
        <v>210</v>
      </c>
      <c r="BM602" t="s">
        <v>211</v>
      </c>
      <c r="BN602" t="s">
        <v>232</v>
      </c>
      <c r="BO602" t="s">
        <v>213</v>
      </c>
      <c r="BR602">
        <v>1</v>
      </c>
    </row>
    <row r="603" spans="1:70" ht="14.5" x14ac:dyDescent="0.25">
      <c r="A603" t="s">
        <v>2712</v>
      </c>
      <c r="B603" t="s">
        <v>206</v>
      </c>
      <c r="C603">
        <v>1</v>
      </c>
      <c r="D603" s="17" t="s">
        <v>2713</v>
      </c>
      <c r="E603" s="2">
        <v>1195</v>
      </c>
      <c r="F603" t="str">
        <f t="shared" si="216"/>
        <v>enemy_1195_sfyin</v>
      </c>
      <c r="G603">
        <v>1</v>
      </c>
      <c r="K603">
        <v>2000</v>
      </c>
      <c r="M603">
        <v>310</v>
      </c>
      <c r="O603">
        <v>0</v>
      </c>
      <c r="Q603">
        <v>20</v>
      </c>
      <c r="Y603">
        <v>0.05</v>
      </c>
      <c r="Z603">
        <v>1.5</v>
      </c>
      <c r="AA603">
        <v>0</v>
      </c>
      <c r="AB603">
        <v>1.5</v>
      </c>
      <c r="AE603">
        <v>0</v>
      </c>
      <c r="AF603">
        <v>1</v>
      </c>
      <c r="AG603" t="s">
        <v>2714</v>
      </c>
      <c r="AH603" t="s">
        <v>209</v>
      </c>
      <c r="AI603" t="s">
        <v>231</v>
      </c>
      <c r="AK603">
        <v>1</v>
      </c>
      <c r="AT603">
        <v>1</v>
      </c>
      <c r="AV603">
        <v>0.25</v>
      </c>
      <c r="BC603" t="str">
        <f t="shared" si="217"/>
        <v>enemy_1195_sfyin</v>
      </c>
      <c r="BI603" t="s">
        <v>2023</v>
      </c>
      <c r="BJ603" t="s">
        <v>2715</v>
      </c>
      <c r="BL603" t="s">
        <v>210</v>
      </c>
      <c r="BM603" t="s">
        <v>211</v>
      </c>
      <c r="BN603" t="s">
        <v>232</v>
      </c>
      <c r="BO603" t="s">
        <v>213</v>
      </c>
      <c r="BR603">
        <v>1</v>
      </c>
    </row>
    <row r="604" spans="1:70" ht="14.5" x14ac:dyDescent="0.25">
      <c r="A604" t="s">
        <v>2716</v>
      </c>
      <c r="B604" t="s">
        <v>206</v>
      </c>
      <c r="C604">
        <v>1</v>
      </c>
      <c r="D604" s="17" t="s">
        <v>2717</v>
      </c>
      <c r="E604" s="2">
        <v>1195</v>
      </c>
      <c r="F604" t="str">
        <f t="shared" si="216"/>
        <v>enemy_1195_sfyin_2</v>
      </c>
      <c r="G604">
        <v>1</v>
      </c>
      <c r="K604">
        <v>3100</v>
      </c>
      <c r="M604">
        <v>390</v>
      </c>
      <c r="O604">
        <v>0</v>
      </c>
      <c r="Q604">
        <v>20</v>
      </c>
      <c r="Y604">
        <v>0.05</v>
      </c>
      <c r="Z604">
        <v>1.5</v>
      </c>
      <c r="AA604">
        <v>0</v>
      </c>
      <c r="AB604">
        <v>1.5</v>
      </c>
      <c r="AE604">
        <v>0</v>
      </c>
      <c r="AF604">
        <v>1</v>
      </c>
      <c r="AG604" t="s">
        <v>2718</v>
      </c>
      <c r="AH604" t="s">
        <v>209</v>
      </c>
      <c r="AI604" t="s">
        <v>231</v>
      </c>
      <c r="AK604">
        <v>1</v>
      </c>
      <c r="AT604">
        <v>1</v>
      </c>
      <c r="AV604">
        <v>0.25</v>
      </c>
      <c r="BC604" t="str">
        <f t="shared" si="217"/>
        <v>enemy_1195_sfyin_2</v>
      </c>
      <c r="BI604" t="s">
        <v>2023</v>
      </c>
      <c r="BJ604" t="s">
        <v>2719</v>
      </c>
      <c r="BL604" t="s">
        <v>210</v>
      </c>
      <c r="BM604" t="s">
        <v>211</v>
      </c>
      <c r="BN604" t="s">
        <v>232</v>
      </c>
      <c r="BO604" t="s">
        <v>213</v>
      </c>
      <c r="BR604">
        <v>1</v>
      </c>
    </row>
    <row r="605" spans="1:70" ht="14.5" x14ac:dyDescent="0.25">
      <c r="A605" t="s">
        <v>2720</v>
      </c>
      <c r="B605" t="s">
        <v>206</v>
      </c>
      <c r="C605">
        <v>1</v>
      </c>
      <c r="D605" s="17" t="s">
        <v>2721</v>
      </c>
      <c r="E605" s="2">
        <v>1196</v>
      </c>
      <c r="F605" t="str">
        <f t="shared" si="216"/>
        <v>enemy_1196_msfyin</v>
      </c>
      <c r="G605">
        <v>1</v>
      </c>
      <c r="K605">
        <v>2</v>
      </c>
      <c r="M605">
        <v>0</v>
      </c>
      <c r="O605">
        <v>0</v>
      </c>
      <c r="Q605">
        <v>0</v>
      </c>
      <c r="Y605">
        <v>0.05</v>
      </c>
      <c r="Z605">
        <v>1</v>
      </c>
      <c r="AA605">
        <v>0</v>
      </c>
      <c r="AB605">
        <v>0.8</v>
      </c>
      <c r="AE605">
        <v>0</v>
      </c>
      <c r="AF605">
        <v>1</v>
      </c>
      <c r="AG605" t="s">
        <v>2722</v>
      </c>
      <c r="AH605" t="s">
        <v>209</v>
      </c>
      <c r="AI605" t="s">
        <v>231</v>
      </c>
      <c r="AK605">
        <v>1</v>
      </c>
      <c r="AT605">
        <v>1</v>
      </c>
      <c r="AV605">
        <v>0.25</v>
      </c>
      <c r="BC605" t="str">
        <f t="shared" si="217"/>
        <v>enemy_1196_msfyin</v>
      </c>
      <c r="BI605" t="s">
        <v>2723</v>
      </c>
      <c r="BJ605" t="s">
        <v>2724</v>
      </c>
      <c r="BL605" t="s">
        <v>210</v>
      </c>
      <c r="BM605" t="s">
        <v>211</v>
      </c>
      <c r="BN605" t="s">
        <v>232</v>
      </c>
      <c r="BO605" t="s">
        <v>213</v>
      </c>
      <c r="BR605">
        <v>1</v>
      </c>
    </row>
    <row r="606" spans="1:70" ht="14.5" x14ac:dyDescent="0.25">
      <c r="A606" t="s">
        <v>2725</v>
      </c>
      <c r="B606" t="s">
        <v>206</v>
      </c>
      <c r="C606">
        <v>1</v>
      </c>
      <c r="D606" s="17" t="s">
        <v>2726</v>
      </c>
      <c r="E606" s="2">
        <v>1196</v>
      </c>
      <c r="F606" t="str">
        <f t="shared" si="216"/>
        <v>enemy_1196_msfyin_2</v>
      </c>
      <c r="G606">
        <v>1</v>
      </c>
      <c r="K606">
        <v>3</v>
      </c>
      <c r="M606">
        <v>0</v>
      </c>
      <c r="O606">
        <v>0</v>
      </c>
      <c r="Q606">
        <v>0</v>
      </c>
      <c r="Y606">
        <v>0.05</v>
      </c>
      <c r="Z606">
        <v>1</v>
      </c>
      <c r="AA606">
        <v>0</v>
      </c>
      <c r="AB606">
        <v>0.8</v>
      </c>
      <c r="AE606">
        <v>0</v>
      </c>
      <c r="AF606">
        <v>1</v>
      </c>
      <c r="AG606" t="s">
        <v>2727</v>
      </c>
      <c r="AH606" t="s">
        <v>209</v>
      </c>
      <c r="AI606" t="s">
        <v>231</v>
      </c>
      <c r="AK606">
        <v>1</v>
      </c>
      <c r="AT606">
        <v>1</v>
      </c>
      <c r="AV606">
        <v>0.25</v>
      </c>
      <c r="BC606" t="str">
        <f t="shared" si="217"/>
        <v>enemy_1196_msfyin_2</v>
      </c>
      <c r="BI606" t="s">
        <v>2723</v>
      </c>
      <c r="BJ606" t="s">
        <v>2728</v>
      </c>
      <c r="BL606" t="s">
        <v>210</v>
      </c>
      <c r="BM606" t="s">
        <v>211</v>
      </c>
      <c r="BN606" t="s">
        <v>232</v>
      </c>
      <c r="BO606" t="s">
        <v>213</v>
      </c>
      <c r="BR606">
        <v>1</v>
      </c>
    </row>
    <row r="607" spans="1:70" ht="14.5" x14ac:dyDescent="0.25">
      <c r="A607" t="s">
        <v>2729</v>
      </c>
      <c r="B607" t="s">
        <v>206</v>
      </c>
      <c r="C607">
        <v>1</v>
      </c>
      <c r="D607" s="17" t="s">
        <v>2730</v>
      </c>
      <c r="E607" s="2">
        <v>1197</v>
      </c>
      <c r="F607" t="str">
        <f t="shared" si="216"/>
        <v>enemy_1197_sfshu</v>
      </c>
      <c r="G607">
        <v>1</v>
      </c>
      <c r="K607">
        <v>2500</v>
      </c>
      <c r="M607">
        <v>320</v>
      </c>
      <c r="O607">
        <v>60</v>
      </c>
      <c r="Q607">
        <v>0</v>
      </c>
      <c r="Y607">
        <v>0.05</v>
      </c>
      <c r="Z607">
        <v>1.4</v>
      </c>
      <c r="AA607">
        <v>1</v>
      </c>
      <c r="AB607">
        <v>1.4</v>
      </c>
      <c r="AE607">
        <v>0</v>
      </c>
      <c r="AF607">
        <v>1</v>
      </c>
      <c r="AG607" t="s">
        <v>2731</v>
      </c>
      <c r="AH607" t="s">
        <v>209</v>
      </c>
      <c r="AI607" t="s">
        <v>231</v>
      </c>
      <c r="AK607">
        <v>1</v>
      </c>
      <c r="AT607">
        <v>1</v>
      </c>
      <c r="AV607">
        <v>0.25</v>
      </c>
      <c r="BC607" t="str">
        <f t="shared" si="217"/>
        <v>enemy_1197_sfshu</v>
      </c>
      <c r="BI607" t="s">
        <v>2023</v>
      </c>
      <c r="BJ607" t="s">
        <v>2732</v>
      </c>
      <c r="BL607" t="s">
        <v>210</v>
      </c>
      <c r="BM607" t="s">
        <v>211</v>
      </c>
      <c r="BN607" t="s">
        <v>232</v>
      </c>
      <c r="BO607" t="s">
        <v>213</v>
      </c>
      <c r="BR607">
        <v>1</v>
      </c>
    </row>
    <row r="608" spans="1:70" ht="14.5" x14ac:dyDescent="0.25">
      <c r="A608" t="s">
        <v>2733</v>
      </c>
      <c r="B608" t="s">
        <v>206</v>
      </c>
      <c r="C608">
        <v>1</v>
      </c>
      <c r="D608" s="17" t="s">
        <v>2734</v>
      </c>
      <c r="E608" s="2">
        <v>1197</v>
      </c>
      <c r="F608" t="str">
        <f t="shared" si="216"/>
        <v>enemy_1197_sfshu_2</v>
      </c>
      <c r="G608">
        <v>1</v>
      </c>
      <c r="K608">
        <v>3350</v>
      </c>
      <c r="M608">
        <v>410</v>
      </c>
      <c r="O608">
        <v>70</v>
      </c>
      <c r="Q608">
        <v>0</v>
      </c>
      <c r="Y608">
        <v>0.05</v>
      </c>
      <c r="Z608">
        <v>2</v>
      </c>
      <c r="AA608">
        <v>1</v>
      </c>
      <c r="AB608">
        <v>1.4</v>
      </c>
      <c r="AE608">
        <v>0</v>
      </c>
      <c r="AF608">
        <v>1</v>
      </c>
      <c r="AG608" t="s">
        <v>2735</v>
      </c>
      <c r="AH608" t="s">
        <v>209</v>
      </c>
      <c r="AI608" t="s">
        <v>231</v>
      </c>
      <c r="AK608">
        <v>1</v>
      </c>
      <c r="AT608">
        <v>1</v>
      </c>
      <c r="AV608">
        <v>0.25</v>
      </c>
      <c r="BC608" t="str">
        <f t="shared" si="217"/>
        <v>enemy_1197_sfshu_2</v>
      </c>
      <c r="BI608" t="s">
        <v>2023</v>
      </c>
      <c r="BJ608" t="s">
        <v>2736</v>
      </c>
      <c r="BL608" t="s">
        <v>210</v>
      </c>
      <c r="BM608" t="s">
        <v>211</v>
      </c>
      <c r="BN608" t="s">
        <v>232</v>
      </c>
      <c r="BO608" t="s">
        <v>213</v>
      </c>
      <c r="BR608">
        <v>1</v>
      </c>
    </row>
    <row r="609" spans="1:70" ht="14.5" x14ac:dyDescent="0.25">
      <c r="A609" t="s">
        <v>2737</v>
      </c>
      <c r="B609" t="s">
        <v>206</v>
      </c>
      <c r="C609">
        <v>1</v>
      </c>
      <c r="D609" s="17" t="s">
        <v>2738</v>
      </c>
      <c r="E609" s="2">
        <v>1198</v>
      </c>
      <c r="F609" t="str">
        <f t="shared" si="216"/>
        <v>enemy_1198_msfshu</v>
      </c>
      <c r="G609">
        <v>1</v>
      </c>
      <c r="K609">
        <v>3</v>
      </c>
      <c r="M609">
        <v>0</v>
      </c>
      <c r="O609">
        <v>0</v>
      </c>
      <c r="Q609">
        <v>0</v>
      </c>
      <c r="Y609">
        <v>0.05</v>
      </c>
      <c r="Z609">
        <v>1</v>
      </c>
      <c r="AA609">
        <v>0</v>
      </c>
      <c r="AB609">
        <v>0.9</v>
      </c>
      <c r="AE609">
        <v>0</v>
      </c>
      <c r="AF609">
        <v>1</v>
      </c>
      <c r="AG609" t="s">
        <v>2739</v>
      </c>
      <c r="AH609" t="s">
        <v>209</v>
      </c>
      <c r="AI609" t="s">
        <v>231</v>
      </c>
      <c r="AK609">
        <v>1</v>
      </c>
      <c r="AT609">
        <v>1</v>
      </c>
      <c r="AV609">
        <v>0.25</v>
      </c>
      <c r="BC609" t="str">
        <f t="shared" si="217"/>
        <v>enemy_1198_msfshu</v>
      </c>
      <c r="BI609" t="s">
        <v>2723</v>
      </c>
      <c r="BJ609" t="s">
        <v>2728</v>
      </c>
      <c r="BL609" t="s">
        <v>210</v>
      </c>
      <c r="BM609" t="s">
        <v>211</v>
      </c>
      <c r="BN609" t="s">
        <v>232</v>
      </c>
      <c r="BO609" t="s">
        <v>213</v>
      </c>
      <c r="BR609">
        <v>1</v>
      </c>
    </row>
    <row r="610" spans="1:70" ht="14.5" x14ac:dyDescent="0.25">
      <c r="A610" t="s">
        <v>2740</v>
      </c>
      <c r="B610" t="s">
        <v>206</v>
      </c>
      <c r="C610">
        <v>1</v>
      </c>
      <c r="D610" s="17" t="s">
        <v>2741</v>
      </c>
      <c r="E610" s="2">
        <v>1198</v>
      </c>
      <c r="F610" t="str">
        <f t="shared" si="216"/>
        <v>enemy_1198_msfshu_2</v>
      </c>
      <c r="G610">
        <v>1</v>
      </c>
      <c r="K610">
        <v>4</v>
      </c>
      <c r="M610">
        <v>0</v>
      </c>
      <c r="O610">
        <v>0</v>
      </c>
      <c r="Q610">
        <v>0</v>
      </c>
      <c r="Y610">
        <v>0.05</v>
      </c>
      <c r="Z610">
        <v>1</v>
      </c>
      <c r="AA610">
        <v>0</v>
      </c>
      <c r="AB610">
        <v>0.9</v>
      </c>
      <c r="AE610">
        <v>0</v>
      </c>
      <c r="AF610">
        <v>1</v>
      </c>
      <c r="AG610" t="s">
        <v>2742</v>
      </c>
      <c r="AH610" t="s">
        <v>209</v>
      </c>
      <c r="AI610" t="s">
        <v>231</v>
      </c>
      <c r="AK610">
        <v>1</v>
      </c>
      <c r="AT610">
        <v>1</v>
      </c>
      <c r="AV610">
        <v>0.25</v>
      </c>
      <c r="BC610" t="str">
        <f t="shared" si="217"/>
        <v>enemy_1198_msfshu_2</v>
      </c>
      <c r="BI610" t="s">
        <v>2723</v>
      </c>
      <c r="BJ610" t="s">
        <v>2743</v>
      </c>
      <c r="BL610" t="s">
        <v>210</v>
      </c>
      <c r="BM610" t="s">
        <v>211</v>
      </c>
      <c r="BN610" t="s">
        <v>232</v>
      </c>
      <c r="BO610" t="s">
        <v>213</v>
      </c>
      <c r="BR610">
        <v>1</v>
      </c>
    </row>
    <row r="611" spans="1:70" ht="14.5" x14ac:dyDescent="0.25">
      <c r="A611" t="s">
        <v>2744</v>
      </c>
      <c r="B611" t="s">
        <v>206</v>
      </c>
      <c r="C611">
        <v>1</v>
      </c>
      <c r="D611" s="17" t="s">
        <v>2745</v>
      </c>
      <c r="E611" s="2">
        <v>1199</v>
      </c>
      <c r="F611" t="str">
        <f t="shared" si="216"/>
        <v>enemy_1199_sfjin</v>
      </c>
      <c r="G611">
        <v>1</v>
      </c>
      <c r="K611">
        <v>6500</v>
      </c>
      <c r="M611">
        <v>700</v>
      </c>
      <c r="O611">
        <v>750</v>
      </c>
      <c r="Q611">
        <v>0</v>
      </c>
      <c r="Y611">
        <v>0.05</v>
      </c>
      <c r="Z611">
        <v>4</v>
      </c>
      <c r="AA611">
        <v>3</v>
      </c>
      <c r="AB611">
        <v>0.8</v>
      </c>
      <c r="AE611">
        <v>1</v>
      </c>
      <c r="AF611">
        <v>1</v>
      </c>
      <c r="AG611" t="s">
        <v>2746</v>
      </c>
      <c r="AH611" t="s">
        <v>209</v>
      </c>
      <c r="AI611" t="s">
        <v>231</v>
      </c>
      <c r="AK611">
        <v>1</v>
      </c>
      <c r="AT611">
        <v>1</v>
      </c>
      <c r="AV611">
        <v>0.25</v>
      </c>
      <c r="BC611" t="str">
        <f t="shared" si="217"/>
        <v>enemy_1199_sfjin</v>
      </c>
      <c r="BI611" t="s">
        <v>2023</v>
      </c>
      <c r="BJ611" t="s">
        <v>2747</v>
      </c>
      <c r="BL611" t="s">
        <v>210</v>
      </c>
      <c r="BM611" t="s">
        <v>211</v>
      </c>
      <c r="BN611" t="s">
        <v>232</v>
      </c>
      <c r="BO611" t="s">
        <v>213</v>
      </c>
      <c r="BR611">
        <v>1</v>
      </c>
    </row>
    <row r="612" spans="1:70" ht="14.5" x14ac:dyDescent="0.25">
      <c r="A612" t="s">
        <v>2748</v>
      </c>
      <c r="B612" t="s">
        <v>206</v>
      </c>
      <c r="C612">
        <v>1</v>
      </c>
      <c r="D612" s="17" t="s">
        <v>2749</v>
      </c>
      <c r="E612" s="2">
        <v>1199</v>
      </c>
      <c r="F612" t="str">
        <f t="shared" si="216"/>
        <v>enemy_1199_sfjin_2</v>
      </c>
      <c r="G612">
        <v>1</v>
      </c>
      <c r="K612">
        <v>8000</v>
      </c>
      <c r="M612">
        <v>900</v>
      </c>
      <c r="O612">
        <v>900</v>
      </c>
      <c r="Q612">
        <v>0</v>
      </c>
      <c r="Y612">
        <v>0.05</v>
      </c>
      <c r="Z612">
        <v>4</v>
      </c>
      <c r="AA612">
        <v>3</v>
      </c>
      <c r="AB612">
        <v>0.8</v>
      </c>
      <c r="AE612">
        <v>1</v>
      </c>
      <c r="AF612">
        <v>1</v>
      </c>
      <c r="AG612" t="s">
        <v>2750</v>
      </c>
      <c r="AH612" t="s">
        <v>209</v>
      </c>
      <c r="AI612" t="s">
        <v>231</v>
      </c>
      <c r="AK612">
        <v>1</v>
      </c>
      <c r="AT612">
        <v>1</v>
      </c>
      <c r="AV612">
        <v>0.25</v>
      </c>
      <c r="BC612" t="str">
        <f t="shared" si="217"/>
        <v>enemy_1199_sfjin_2</v>
      </c>
      <c r="BI612" t="s">
        <v>2023</v>
      </c>
      <c r="BJ612" t="s">
        <v>2751</v>
      </c>
      <c r="BL612" t="s">
        <v>210</v>
      </c>
      <c r="BM612" t="s">
        <v>211</v>
      </c>
      <c r="BN612" t="s">
        <v>232</v>
      </c>
      <c r="BO612" t="s">
        <v>213</v>
      </c>
      <c r="BR612">
        <v>1</v>
      </c>
    </row>
    <row r="613" spans="1:70" ht="14.5" x14ac:dyDescent="0.25">
      <c r="A613" t="s">
        <v>2752</v>
      </c>
      <c r="B613" t="s">
        <v>206</v>
      </c>
      <c r="C613">
        <v>1</v>
      </c>
      <c r="D613" s="17" t="s">
        <v>2753</v>
      </c>
      <c r="E613" s="2">
        <v>1200</v>
      </c>
      <c r="F613" t="str">
        <f t="shared" si="216"/>
        <v>enemy_1200_msfjin</v>
      </c>
      <c r="G613">
        <v>1</v>
      </c>
      <c r="K613">
        <v>30</v>
      </c>
      <c r="M613">
        <v>0</v>
      </c>
      <c r="O613">
        <v>0</v>
      </c>
      <c r="Q613">
        <v>0</v>
      </c>
      <c r="Y613">
        <v>0.05</v>
      </c>
      <c r="Z613">
        <v>1</v>
      </c>
      <c r="AA613">
        <v>0</v>
      </c>
      <c r="AB613">
        <v>0.5</v>
      </c>
      <c r="AE613">
        <v>0</v>
      </c>
      <c r="AF613">
        <v>1</v>
      </c>
      <c r="AG613" t="s">
        <v>2754</v>
      </c>
      <c r="AH613" t="s">
        <v>209</v>
      </c>
      <c r="AI613" t="s">
        <v>231</v>
      </c>
      <c r="AK613">
        <v>1</v>
      </c>
      <c r="AT613">
        <v>1</v>
      </c>
      <c r="AV613">
        <v>0.25</v>
      </c>
      <c r="BC613" t="str">
        <f t="shared" si="217"/>
        <v>enemy_1200_msfjin</v>
      </c>
      <c r="BI613" t="s">
        <v>2723</v>
      </c>
      <c r="BJ613" t="s">
        <v>2755</v>
      </c>
      <c r="BL613" t="s">
        <v>210</v>
      </c>
      <c r="BM613" t="s">
        <v>211</v>
      </c>
      <c r="BN613" t="s">
        <v>232</v>
      </c>
      <c r="BO613" t="s">
        <v>213</v>
      </c>
      <c r="BR613">
        <v>1</v>
      </c>
    </row>
    <row r="614" spans="1:70" ht="14.5" x14ac:dyDescent="0.25">
      <c r="A614" t="s">
        <v>2756</v>
      </c>
      <c r="B614" t="s">
        <v>206</v>
      </c>
      <c r="C614">
        <v>1</v>
      </c>
      <c r="D614" s="17" t="s">
        <v>2757</v>
      </c>
      <c r="E614" s="2">
        <v>1200</v>
      </c>
      <c r="F614" t="str">
        <f t="shared" si="216"/>
        <v>enemy_1200_msfjin_2</v>
      </c>
      <c r="G614">
        <v>1</v>
      </c>
      <c r="K614">
        <v>35</v>
      </c>
      <c r="M614">
        <v>0</v>
      </c>
      <c r="O614">
        <v>0</v>
      </c>
      <c r="Q614">
        <v>0</v>
      </c>
      <c r="Y614">
        <v>0.05</v>
      </c>
      <c r="Z614">
        <v>1</v>
      </c>
      <c r="AA614">
        <v>0</v>
      </c>
      <c r="AB614">
        <v>0.5</v>
      </c>
      <c r="AE614">
        <v>0</v>
      </c>
      <c r="AF614">
        <v>1</v>
      </c>
      <c r="AG614" t="s">
        <v>2758</v>
      </c>
      <c r="AH614" t="s">
        <v>209</v>
      </c>
      <c r="AI614" t="s">
        <v>231</v>
      </c>
      <c r="AK614">
        <v>1</v>
      </c>
      <c r="AT614">
        <v>1</v>
      </c>
      <c r="AV614">
        <v>0.25</v>
      </c>
      <c r="BC614" t="str">
        <f t="shared" si="217"/>
        <v>enemy_1200_msfjin_2</v>
      </c>
      <c r="BI614" t="s">
        <v>2723</v>
      </c>
      <c r="BJ614" t="s">
        <v>2759</v>
      </c>
      <c r="BL614" t="s">
        <v>210</v>
      </c>
      <c r="BM614" t="s">
        <v>211</v>
      </c>
      <c r="BN614" t="s">
        <v>232</v>
      </c>
      <c r="BO614" t="s">
        <v>213</v>
      </c>
      <c r="BR614">
        <v>1</v>
      </c>
    </row>
    <row r="615" spans="1:70" ht="14.5" x14ac:dyDescent="0.25">
      <c r="A615" t="s">
        <v>2760</v>
      </c>
      <c r="B615" t="s">
        <v>206</v>
      </c>
      <c r="C615">
        <v>1</v>
      </c>
      <c r="D615" s="17" t="s">
        <v>2761</v>
      </c>
      <c r="E615" s="2">
        <v>1201</v>
      </c>
      <c r="F615" t="str">
        <f t="shared" si="216"/>
        <v>enemy_1201_sfzhi</v>
      </c>
      <c r="G615">
        <v>1</v>
      </c>
      <c r="K615">
        <v>6000</v>
      </c>
      <c r="M615">
        <v>400</v>
      </c>
      <c r="O615">
        <v>400</v>
      </c>
      <c r="Q615">
        <v>30</v>
      </c>
      <c r="Y615">
        <v>0.05</v>
      </c>
      <c r="Z615">
        <v>2.2000000000000002</v>
      </c>
      <c r="AA615">
        <v>2</v>
      </c>
      <c r="AB615">
        <v>0.8</v>
      </c>
      <c r="AE615">
        <v>0</v>
      </c>
      <c r="AF615">
        <v>1</v>
      </c>
      <c r="AG615" t="s">
        <v>2762</v>
      </c>
      <c r="AH615" t="s">
        <v>209</v>
      </c>
      <c r="AI615" t="s">
        <v>231</v>
      </c>
      <c r="AK615">
        <v>1</v>
      </c>
      <c r="AT615">
        <v>1</v>
      </c>
      <c r="AV615">
        <v>0.25</v>
      </c>
      <c r="BC615" t="str">
        <f t="shared" si="217"/>
        <v>enemy_1201_sfzhi</v>
      </c>
      <c r="BI615" t="s">
        <v>2038</v>
      </c>
      <c r="BJ615" t="s">
        <v>2763</v>
      </c>
      <c r="BL615" t="s">
        <v>210</v>
      </c>
      <c r="BM615" t="s">
        <v>211</v>
      </c>
      <c r="BN615" t="s">
        <v>232</v>
      </c>
      <c r="BO615" t="s">
        <v>213</v>
      </c>
      <c r="BR615">
        <v>1</v>
      </c>
    </row>
    <row r="616" spans="1:70" ht="14.5" x14ac:dyDescent="0.25">
      <c r="A616" t="s">
        <v>2764</v>
      </c>
      <c r="B616" t="s">
        <v>206</v>
      </c>
      <c r="C616">
        <v>1</v>
      </c>
      <c r="D616" s="17" t="s">
        <v>2765</v>
      </c>
      <c r="E616" s="2">
        <v>1201</v>
      </c>
      <c r="F616" t="str">
        <f t="shared" si="216"/>
        <v>enemy_1201_sfzhi_2</v>
      </c>
      <c r="G616">
        <v>1</v>
      </c>
      <c r="K616">
        <v>7600</v>
      </c>
      <c r="M616">
        <v>500</v>
      </c>
      <c r="O616">
        <v>500</v>
      </c>
      <c r="Q616">
        <v>30</v>
      </c>
      <c r="Y616">
        <v>0.05</v>
      </c>
      <c r="Z616">
        <v>2.2000000000000002</v>
      </c>
      <c r="AA616">
        <v>2</v>
      </c>
      <c r="AB616">
        <v>0.8</v>
      </c>
      <c r="AE616">
        <v>0</v>
      </c>
      <c r="AF616">
        <v>1</v>
      </c>
      <c r="AG616" t="s">
        <v>2766</v>
      </c>
      <c r="AH616" t="s">
        <v>209</v>
      </c>
      <c r="AI616" t="s">
        <v>231</v>
      </c>
      <c r="AK616">
        <v>1</v>
      </c>
      <c r="AT616">
        <v>1</v>
      </c>
      <c r="AV616">
        <v>0.25</v>
      </c>
      <c r="BC616" t="str">
        <f t="shared" si="217"/>
        <v>enemy_1201_sfzhi_2</v>
      </c>
      <c r="BI616" t="s">
        <v>2038</v>
      </c>
      <c r="BJ616" t="s">
        <v>2767</v>
      </c>
      <c r="BL616" t="s">
        <v>210</v>
      </c>
      <c r="BM616" t="s">
        <v>211</v>
      </c>
      <c r="BN616" t="s">
        <v>232</v>
      </c>
      <c r="BO616" t="s">
        <v>213</v>
      </c>
      <c r="BR616">
        <v>1</v>
      </c>
    </row>
    <row r="617" spans="1:70" ht="14.5" x14ac:dyDescent="0.25">
      <c r="A617" t="s">
        <v>2768</v>
      </c>
      <c r="B617" t="s">
        <v>206</v>
      </c>
      <c r="C617">
        <v>1</v>
      </c>
      <c r="D617" s="17" t="s">
        <v>2769</v>
      </c>
      <c r="E617" s="2">
        <v>1202</v>
      </c>
      <c r="F617" t="str">
        <f t="shared" si="216"/>
        <v>enemy_1202_msfzhi</v>
      </c>
      <c r="G617">
        <v>1</v>
      </c>
      <c r="K617">
        <v>3</v>
      </c>
      <c r="M617">
        <v>0</v>
      </c>
      <c r="O617">
        <v>0</v>
      </c>
      <c r="Q617">
        <v>0</v>
      </c>
      <c r="Y617">
        <v>0.05</v>
      </c>
      <c r="Z617">
        <v>1</v>
      </c>
      <c r="AA617">
        <v>0</v>
      </c>
      <c r="AB617">
        <v>0.9</v>
      </c>
      <c r="AE617">
        <v>0</v>
      </c>
      <c r="AF617">
        <v>1</v>
      </c>
      <c r="AG617" t="s">
        <v>2770</v>
      </c>
      <c r="AH617" t="s">
        <v>209</v>
      </c>
      <c r="AI617" t="s">
        <v>231</v>
      </c>
      <c r="AK617">
        <v>1</v>
      </c>
      <c r="AT617">
        <v>1</v>
      </c>
      <c r="AV617">
        <v>0.25</v>
      </c>
      <c r="BC617" t="str">
        <f t="shared" si="217"/>
        <v>enemy_1202_msfzhi</v>
      </c>
      <c r="BI617" t="s">
        <v>2723</v>
      </c>
      <c r="BJ617" t="s">
        <v>2728</v>
      </c>
      <c r="BL617" t="s">
        <v>210</v>
      </c>
      <c r="BM617" t="s">
        <v>211</v>
      </c>
      <c r="BN617" t="s">
        <v>232</v>
      </c>
      <c r="BO617" t="s">
        <v>213</v>
      </c>
      <c r="BR617">
        <v>1</v>
      </c>
    </row>
    <row r="618" spans="1:70" ht="14.5" x14ac:dyDescent="0.25">
      <c r="A618" t="s">
        <v>2771</v>
      </c>
      <c r="B618" t="s">
        <v>206</v>
      </c>
      <c r="C618">
        <v>1</v>
      </c>
      <c r="D618" s="17" t="s">
        <v>2772</v>
      </c>
      <c r="E618" s="2">
        <v>1202</v>
      </c>
      <c r="F618" t="str">
        <f t="shared" si="216"/>
        <v>enemy_1202_msfzhi_2</v>
      </c>
      <c r="G618">
        <v>1</v>
      </c>
      <c r="K618">
        <v>4</v>
      </c>
      <c r="M618">
        <v>0</v>
      </c>
      <c r="O618">
        <v>0</v>
      </c>
      <c r="Q618">
        <v>0</v>
      </c>
      <c r="Y618">
        <v>0.05</v>
      </c>
      <c r="Z618">
        <v>1</v>
      </c>
      <c r="AA618">
        <v>0</v>
      </c>
      <c r="AB618">
        <v>0.9</v>
      </c>
      <c r="AE618">
        <v>0</v>
      </c>
      <c r="AF618">
        <v>1</v>
      </c>
      <c r="AG618" t="s">
        <v>2773</v>
      </c>
      <c r="AH618" t="s">
        <v>209</v>
      </c>
      <c r="AI618" t="s">
        <v>231</v>
      </c>
      <c r="AK618">
        <v>1</v>
      </c>
      <c r="AT618">
        <v>1</v>
      </c>
      <c r="AV618">
        <v>0.25</v>
      </c>
      <c r="BC618" t="str">
        <f t="shared" si="217"/>
        <v>enemy_1202_msfzhi_2</v>
      </c>
      <c r="BI618" t="s">
        <v>2723</v>
      </c>
      <c r="BJ618" t="s">
        <v>2743</v>
      </c>
      <c r="BL618" t="s">
        <v>210</v>
      </c>
      <c r="BM618" t="s">
        <v>211</v>
      </c>
      <c r="BN618" t="s">
        <v>232</v>
      </c>
      <c r="BO618" t="s">
        <v>213</v>
      </c>
      <c r="BR618">
        <v>1</v>
      </c>
    </row>
    <row r="619" spans="1:70" ht="14.5" x14ac:dyDescent="0.25">
      <c r="A619" t="s">
        <v>2774</v>
      </c>
      <c r="B619" t="s">
        <v>206</v>
      </c>
      <c r="C619">
        <v>1</v>
      </c>
      <c r="D619" s="17" t="s">
        <v>2775</v>
      </c>
      <c r="E619" s="2">
        <v>1203</v>
      </c>
      <c r="F619" t="str">
        <f t="shared" si="216"/>
        <v>enemy_1203_sfhu</v>
      </c>
      <c r="G619">
        <v>1</v>
      </c>
      <c r="K619">
        <v>6500</v>
      </c>
      <c r="M619">
        <v>280</v>
      </c>
      <c r="O619">
        <v>290</v>
      </c>
      <c r="Q619">
        <v>50</v>
      </c>
      <c r="Y619">
        <v>0.05</v>
      </c>
      <c r="Z619">
        <v>3.5</v>
      </c>
      <c r="AA619">
        <v>2</v>
      </c>
      <c r="AB619">
        <v>0.8</v>
      </c>
      <c r="AE619">
        <v>0</v>
      </c>
      <c r="AF619">
        <v>1</v>
      </c>
      <c r="AG619" t="s">
        <v>2776</v>
      </c>
      <c r="AH619" t="s">
        <v>209</v>
      </c>
      <c r="AI619" t="s">
        <v>231</v>
      </c>
      <c r="AK619">
        <v>1</v>
      </c>
      <c r="AT619">
        <v>1</v>
      </c>
      <c r="AV619">
        <v>0.25</v>
      </c>
      <c r="BC619" t="str">
        <f t="shared" si="217"/>
        <v>enemy_1203_sfhu</v>
      </c>
      <c r="BI619" t="s">
        <v>2038</v>
      </c>
      <c r="BJ619" t="s">
        <v>2777</v>
      </c>
      <c r="BL619" t="s">
        <v>210</v>
      </c>
      <c r="BM619" t="s">
        <v>2156</v>
      </c>
      <c r="BN619" t="s">
        <v>2157</v>
      </c>
      <c r="BO619" t="s">
        <v>2158</v>
      </c>
      <c r="BR619">
        <v>1</v>
      </c>
    </row>
    <row r="620" spans="1:70" ht="14.5" x14ac:dyDescent="0.25">
      <c r="A620" t="s">
        <v>2778</v>
      </c>
      <c r="B620" t="s">
        <v>206</v>
      </c>
      <c r="C620">
        <v>1</v>
      </c>
      <c r="D620" s="17" t="s">
        <v>2779</v>
      </c>
      <c r="E620" s="2">
        <v>1203</v>
      </c>
      <c r="F620" t="str">
        <f t="shared" si="216"/>
        <v>enemy_1203_sfhu_2</v>
      </c>
      <c r="G620">
        <v>1</v>
      </c>
      <c r="K620">
        <v>8750</v>
      </c>
      <c r="M620">
        <v>360</v>
      </c>
      <c r="O620">
        <v>380</v>
      </c>
      <c r="Q620">
        <v>50</v>
      </c>
      <c r="Y620">
        <v>0.05</v>
      </c>
      <c r="Z620">
        <v>3.5</v>
      </c>
      <c r="AA620">
        <v>2</v>
      </c>
      <c r="AB620">
        <v>0.8</v>
      </c>
      <c r="AE620">
        <v>0</v>
      </c>
      <c r="AF620">
        <v>1</v>
      </c>
      <c r="AG620" t="s">
        <v>2780</v>
      </c>
      <c r="AH620" t="s">
        <v>209</v>
      </c>
      <c r="AI620" t="s">
        <v>231</v>
      </c>
      <c r="AK620">
        <v>1</v>
      </c>
      <c r="AT620">
        <v>1</v>
      </c>
      <c r="AV620">
        <v>0.25</v>
      </c>
      <c r="BC620" t="str">
        <f t="shared" si="217"/>
        <v>enemy_1203_sfhu_2</v>
      </c>
      <c r="BI620" t="s">
        <v>2038</v>
      </c>
      <c r="BJ620" t="s">
        <v>2781</v>
      </c>
      <c r="BL620" t="s">
        <v>210</v>
      </c>
      <c r="BM620" t="s">
        <v>2156</v>
      </c>
      <c r="BN620" t="s">
        <v>2157</v>
      </c>
      <c r="BO620" t="s">
        <v>2158</v>
      </c>
      <c r="BR620">
        <v>1</v>
      </c>
    </row>
    <row r="621" spans="1:70" ht="14.5" x14ac:dyDescent="0.25">
      <c r="A621" t="s">
        <v>2782</v>
      </c>
      <c r="B621" t="s">
        <v>206</v>
      </c>
      <c r="C621">
        <v>1</v>
      </c>
      <c r="D621" s="17" t="s">
        <v>2783</v>
      </c>
      <c r="E621" s="2">
        <v>1204</v>
      </c>
      <c r="F621" t="str">
        <f t="shared" si="216"/>
        <v>enemy_1204_msfhu</v>
      </c>
      <c r="G621">
        <v>1</v>
      </c>
      <c r="K621">
        <v>4</v>
      </c>
      <c r="M621">
        <v>0</v>
      </c>
      <c r="O621">
        <v>0</v>
      </c>
      <c r="Q621">
        <v>0</v>
      </c>
      <c r="Y621">
        <v>0.05</v>
      </c>
      <c r="Z621">
        <v>1</v>
      </c>
      <c r="AA621">
        <v>0</v>
      </c>
      <c r="AB621">
        <v>0.7</v>
      </c>
      <c r="AE621">
        <v>0</v>
      </c>
      <c r="AF621">
        <v>1</v>
      </c>
      <c r="AG621" t="s">
        <v>2784</v>
      </c>
      <c r="AH621" t="s">
        <v>209</v>
      </c>
      <c r="AI621" t="s">
        <v>231</v>
      </c>
      <c r="AK621">
        <v>1</v>
      </c>
      <c r="AT621">
        <v>1</v>
      </c>
      <c r="AV621">
        <v>0.25</v>
      </c>
      <c r="BC621" t="str">
        <f t="shared" si="217"/>
        <v>enemy_1204_msfhu</v>
      </c>
      <c r="BI621" t="s">
        <v>2723</v>
      </c>
      <c r="BJ621" t="s">
        <v>2785</v>
      </c>
      <c r="BL621" t="s">
        <v>210</v>
      </c>
      <c r="BM621" t="s">
        <v>211</v>
      </c>
      <c r="BN621" t="s">
        <v>232</v>
      </c>
      <c r="BO621" t="s">
        <v>213</v>
      </c>
      <c r="BR621">
        <v>1</v>
      </c>
    </row>
    <row r="622" spans="1:70" ht="14.5" x14ac:dyDescent="0.25">
      <c r="A622" t="s">
        <v>2786</v>
      </c>
      <c r="B622" t="s">
        <v>206</v>
      </c>
      <c r="C622">
        <v>1</v>
      </c>
      <c r="D622" s="17" t="s">
        <v>2787</v>
      </c>
      <c r="E622" s="2">
        <v>1204</v>
      </c>
      <c r="F622" t="str">
        <f t="shared" si="216"/>
        <v>enemy_1204_msfhu_2</v>
      </c>
      <c r="G622">
        <v>1</v>
      </c>
      <c r="K622">
        <v>6</v>
      </c>
      <c r="M622">
        <v>0</v>
      </c>
      <c r="O622">
        <v>0</v>
      </c>
      <c r="Q622">
        <v>0</v>
      </c>
      <c r="Y622">
        <v>0.05</v>
      </c>
      <c r="Z622">
        <v>1</v>
      </c>
      <c r="AA622">
        <v>0</v>
      </c>
      <c r="AB622">
        <v>0.7</v>
      </c>
      <c r="AE622">
        <v>0</v>
      </c>
      <c r="AF622">
        <v>1</v>
      </c>
      <c r="AG622" t="s">
        <v>2788</v>
      </c>
      <c r="AH622" t="s">
        <v>209</v>
      </c>
      <c r="AI622" t="s">
        <v>231</v>
      </c>
      <c r="AK622">
        <v>1</v>
      </c>
      <c r="AT622">
        <v>1</v>
      </c>
      <c r="AV622">
        <v>0.25</v>
      </c>
      <c r="BC622" t="str">
        <f t="shared" si="217"/>
        <v>enemy_1204_msfhu_2</v>
      </c>
      <c r="BI622" t="s">
        <v>2723</v>
      </c>
      <c r="BJ622" t="s">
        <v>2789</v>
      </c>
      <c r="BL622" t="s">
        <v>210</v>
      </c>
      <c r="BM622" t="s">
        <v>211</v>
      </c>
      <c r="BN622" t="s">
        <v>232</v>
      </c>
      <c r="BO622" t="s">
        <v>213</v>
      </c>
      <c r="BR622">
        <v>1</v>
      </c>
    </row>
    <row r="623" spans="1:70" ht="14.5" x14ac:dyDescent="0.25">
      <c r="A623" t="s">
        <v>2790</v>
      </c>
      <c r="B623" t="s">
        <v>206</v>
      </c>
      <c r="C623">
        <v>1</v>
      </c>
      <c r="D623" s="17" t="s">
        <v>2791</v>
      </c>
      <c r="E623" s="2">
        <v>1205</v>
      </c>
      <c r="F623" t="str">
        <f t="shared" si="216"/>
        <v>enemy_1205_sfpin</v>
      </c>
      <c r="G623">
        <v>1</v>
      </c>
      <c r="K623">
        <v>7000</v>
      </c>
      <c r="M623">
        <v>400</v>
      </c>
      <c r="O623">
        <v>350</v>
      </c>
      <c r="Q623">
        <v>50</v>
      </c>
      <c r="Y623">
        <v>0.05</v>
      </c>
      <c r="Z623">
        <v>3</v>
      </c>
      <c r="AA623">
        <v>1</v>
      </c>
      <c r="AB623">
        <v>0.9</v>
      </c>
      <c r="AE623">
        <v>0</v>
      </c>
      <c r="AF623">
        <v>1</v>
      </c>
      <c r="AG623" t="s">
        <v>2792</v>
      </c>
      <c r="AH623" t="s">
        <v>209</v>
      </c>
      <c r="AI623" t="s">
        <v>231</v>
      </c>
      <c r="AK623">
        <v>1</v>
      </c>
      <c r="AT623">
        <v>1</v>
      </c>
      <c r="AV623">
        <v>0.25</v>
      </c>
      <c r="BC623" t="str">
        <f t="shared" si="217"/>
        <v>enemy_1205_sfpin</v>
      </c>
      <c r="BI623" t="s">
        <v>2069</v>
      </c>
      <c r="BJ623" t="s">
        <v>2793</v>
      </c>
      <c r="BL623" t="s">
        <v>210</v>
      </c>
      <c r="BM623" t="s">
        <v>211</v>
      </c>
      <c r="BN623" t="s">
        <v>232</v>
      </c>
      <c r="BO623" t="s">
        <v>213</v>
      </c>
      <c r="BR623">
        <v>1</v>
      </c>
    </row>
    <row r="624" spans="1:70" ht="14.5" x14ac:dyDescent="0.25">
      <c r="A624" t="s">
        <v>2794</v>
      </c>
      <c r="B624" t="s">
        <v>206</v>
      </c>
      <c r="C624">
        <v>1</v>
      </c>
      <c r="D624" s="17" t="s">
        <v>2795</v>
      </c>
      <c r="E624" s="2">
        <v>1205</v>
      </c>
      <c r="F624" t="str">
        <f t="shared" si="216"/>
        <v>enemy_1205_sfpin_2</v>
      </c>
      <c r="G624">
        <v>1</v>
      </c>
      <c r="K624">
        <v>8000</v>
      </c>
      <c r="M624">
        <v>570</v>
      </c>
      <c r="O624">
        <v>450</v>
      </c>
      <c r="Q624">
        <v>65</v>
      </c>
      <c r="Y624">
        <v>0.05</v>
      </c>
      <c r="Z624">
        <v>3</v>
      </c>
      <c r="AA624">
        <v>1</v>
      </c>
      <c r="AB624">
        <v>0.9</v>
      </c>
      <c r="AE624">
        <v>0</v>
      </c>
      <c r="AF624">
        <v>1</v>
      </c>
      <c r="AG624" t="s">
        <v>2796</v>
      </c>
      <c r="AH624" t="s">
        <v>209</v>
      </c>
      <c r="AI624" t="s">
        <v>231</v>
      </c>
      <c r="AK624">
        <v>1</v>
      </c>
      <c r="AT624">
        <v>1</v>
      </c>
      <c r="AV624">
        <v>0.25</v>
      </c>
      <c r="BC624" t="str">
        <f t="shared" si="217"/>
        <v>enemy_1205_sfpin_2</v>
      </c>
      <c r="BI624" t="s">
        <v>2069</v>
      </c>
      <c r="BJ624" t="s">
        <v>2797</v>
      </c>
      <c r="BL624" t="s">
        <v>210</v>
      </c>
      <c r="BM624" t="s">
        <v>211</v>
      </c>
      <c r="BN624" t="s">
        <v>232</v>
      </c>
      <c r="BO624" t="s">
        <v>213</v>
      </c>
      <c r="BR624">
        <v>1</v>
      </c>
    </row>
    <row r="625" spans="1:70" ht="14.5" x14ac:dyDescent="0.25">
      <c r="A625" t="s">
        <v>2798</v>
      </c>
      <c r="B625" t="s">
        <v>206</v>
      </c>
      <c r="C625">
        <v>1</v>
      </c>
      <c r="D625" s="17" t="s">
        <v>2799</v>
      </c>
      <c r="E625" s="2">
        <v>1206</v>
      </c>
      <c r="F625" t="str">
        <f t="shared" ref="F625:F637" si="218">"enemy_"&amp;E625&amp;"_"&amp;D625</f>
        <v>enemy_1206_msfpin</v>
      </c>
      <c r="G625">
        <v>1</v>
      </c>
      <c r="K625">
        <v>12</v>
      </c>
      <c r="M625">
        <v>0</v>
      </c>
      <c r="O625">
        <v>0</v>
      </c>
      <c r="Q625">
        <v>0</v>
      </c>
      <c r="Y625">
        <v>0.05</v>
      </c>
      <c r="Z625">
        <v>1</v>
      </c>
      <c r="AA625">
        <v>0</v>
      </c>
      <c r="AB625">
        <v>0.7</v>
      </c>
      <c r="AE625">
        <v>0</v>
      </c>
      <c r="AF625">
        <v>1</v>
      </c>
      <c r="AG625" t="s">
        <v>2800</v>
      </c>
      <c r="AH625" t="s">
        <v>209</v>
      </c>
      <c r="AI625" t="s">
        <v>231</v>
      </c>
      <c r="AK625">
        <v>1</v>
      </c>
      <c r="AT625">
        <v>1</v>
      </c>
      <c r="AV625">
        <v>0.25</v>
      </c>
      <c r="BC625" t="str">
        <f t="shared" ref="BC625:BC637" si="219">"enemy_"&amp;E625&amp;"_"&amp;D625</f>
        <v>enemy_1206_msfpin</v>
      </c>
      <c r="BI625" t="s">
        <v>2723</v>
      </c>
      <c r="BJ625" t="s">
        <v>2801</v>
      </c>
      <c r="BL625" t="s">
        <v>210</v>
      </c>
      <c r="BM625" t="s">
        <v>211</v>
      </c>
      <c r="BN625" t="s">
        <v>232</v>
      </c>
      <c r="BO625" t="s">
        <v>213</v>
      </c>
      <c r="BR625">
        <v>1</v>
      </c>
    </row>
    <row r="626" spans="1:70" ht="14.5" x14ac:dyDescent="0.25">
      <c r="A626" t="s">
        <v>2802</v>
      </c>
      <c r="B626" t="s">
        <v>206</v>
      </c>
      <c r="C626">
        <v>1</v>
      </c>
      <c r="D626" s="17" t="s">
        <v>2803</v>
      </c>
      <c r="E626" s="2">
        <v>1206</v>
      </c>
      <c r="F626" t="str">
        <f t="shared" si="218"/>
        <v>enemy_1206_msfpin_2</v>
      </c>
      <c r="G626">
        <v>1</v>
      </c>
      <c r="K626">
        <v>15</v>
      </c>
      <c r="M626">
        <v>0</v>
      </c>
      <c r="O626">
        <v>0</v>
      </c>
      <c r="Q626">
        <v>0</v>
      </c>
      <c r="Y626">
        <v>0.05</v>
      </c>
      <c r="Z626">
        <v>1</v>
      </c>
      <c r="AA626">
        <v>0</v>
      </c>
      <c r="AB626">
        <v>0.7</v>
      </c>
      <c r="AE626">
        <v>0</v>
      </c>
      <c r="AF626">
        <v>1</v>
      </c>
      <c r="AG626" t="s">
        <v>2804</v>
      </c>
      <c r="AH626" t="s">
        <v>209</v>
      </c>
      <c r="AI626" t="s">
        <v>231</v>
      </c>
      <c r="AK626">
        <v>1</v>
      </c>
      <c r="AT626">
        <v>1</v>
      </c>
      <c r="AV626">
        <v>0.25</v>
      </c>
      <c r="BC626" t="str">
        <f t="shared" si="219"/>
        <v>enemy_1206_msfpin_2</v>
      </c>
      <c r="BI626" t="s">
        <v>2723</v>
      </c>
      <c r="BJ626" t="s">
        <v>2805</v>
      </c>
      <c r="BL626" t="s">
        <v>210</v>
      </c>
      <c r="BM626" t="s">
        <v>211</v>
      </c>
      <c r="BN626" t="s">
        <v>232</v>
      </c>
      <c r="BO626" t="s">
        <v>213</v>
      </c>
      <c r="BR626">
        <v>1</v>
      </c>
    </row>
    <row r="627" spans="1:70" ht="14.5" x14ac:dyDescent="0.25">
      <c r="A627" t="s">
        <v>2806</v>
      </c>
      <c r="B627" t="s">
        <v>206</v>
      </c>
      <c r="C627">
        <v>1</v>
      </c>
      <c r="D627" s="17" t="s">
        <v>2807</v>
      </c>
      <c r="E627" s="2">
        <v>1207</v>
      </c>
      <c r="F627" t="str">
        <f t="shared" si="218"/>
        <v>enemy_1207_sfji</v>
      </c>
      <c r="G627">
        <v>1</v>
      </c>
      <c r="K627">
        <v>11000</v>
      </c>
      <c r="M627">
        <v>1100</v>
      </c>
      <c r="O627">
        <v>600</v>
      </c>
      <c r="Q627">
        <v>30</v>
      </c>
      <c r="Y627">
        <v>0.05</v>
      </c>
      <c r="Z627">
        <v>2.2000000000000002</v>
      </c>
      <c r="AA627">
        <v>3</v>
      </c>
      <c r="AB627">
        <v>1.3</v>
      </c>
      <c r="AE627">
        <v>0</v>
      </c>
      <c r="AF627">
        <v>1</v>
      </c>
      <c r="AG627" t="s">
        <v>2808</v>
      </c>
      <c r="AH627" t="s">
        <v>209</v>
      </c>
      <c r="AI627" t="s">
        <v>231</v>
      </c>
      <c r="AK627">
        <v>1</v>
      </c>
      <c r="AT627">
        <v>1</v>
      </c>
      <c r="AV627">
        <v>0.25</v>
      </c>
      <c r="BC627" t="str">
        <f t="shared" si="219"/>
        <v>enemy_1207_sfji</v>
      </c>
      <c r="BI627" t="s">
        <v>2046</v>
      </c>
      <c r="BJ627" t="s">
        <v>2809</v>
      </c>
      <c r="BL627" t="s">
        <v>210</v>
      </c>
      <c r="BM627" t="s">
        <v>211</v>
      </c>
      <c r="BN627" t="s">
        <v>232</v>
      </c>
      <c r="BO627" t="s">
        <v>213</v>
      </c>
      <c r="BR627">
        <v>1</v>
      </c>
    </row>
    <row r="628" spans="1:70" ht="14.5" x14ac:dyDescent="0.25">
      <c r="A628" t="s">
        <v>2810</v>
      </c>
      <c r="B628" t="s">
        <v>206</v>
      </c>
      <c r="C628">
        <v>1</v>
      </c>
      <c r="D628" s="17" t="s">
        <v>2811</v>
      </c>
      <c r="E628" s="2">
        <v>1207</v>
      </c>
      <c r="F628" t="str">
        <f t="shared" si="218"/>
        <v>enemy_1207_sfji_2</v>
      </c>
      <c r="G628">
        <v>1</v>
      </c>
      <c r="K628">
        <v>14000</v>
      </c>
      <c r="M628">
        <v>1350</v>
      </c>
      <c r="O628">
        <v>750</v>
      </c>
      <c r="Q628">
        <v>30</v>
      </c>
      <c r="Y628">
        <v>0.05</v>
      </c>
      <c r="Z628">
        <v>2.2000000000000002</v>
      </c>
      <c r="AA628">
        <v>3</v>
      </c>
      <c r="AB628">
        <v>1.3</v>
      </c>
      <c r="AE628">
        <v>0</v>
      </c>
      <c r="AF628">
        <v>1</v>
      </c>
      <c r="AG628" t="s">
        <v>2812</v>
      </c>
      <c r="AH628" t="s">
        <v>209</v>
      </c>
      <c r="AI628" t="s">
        <v>231</v>
      </c>
      <c r="AK628">
        <v>1</v>
      </c>
      <c r="AT628">
        <v>1</v>
      </c>
      <c r="AV628">
        <v>0.25</v>
      </c>
      <c r="BC628" t="str">
        <f t="shared" si="219"/>
        <v>enemy_1207_sfji_2</v>
      </c>
      <c r="BI628" t="s">
        <v>2046</v>
      </c>
      <c r="BJ628" t="s">
        <v>2813</v>
      </c>
      <c r="BL628" t="s">
        <v>210</v>
      </c>
      <c r="BM628" t="s">
        <v>211</v>
      </c>
      <c r="BN628" t="s">
        <v>232</v>
      </c>
      <c r="BO628" t="s">
        <v>213</v>
      </c>
      <c r="BR628">
        <v>1</v>
      </c>
    </row>
    <row r="629" spans="1:70" ht="14.5" x14ac:dyDescent="0.25">
      <c r="A629" t="s">
        <v>2814</v>
      </c>
      <c r="B629" t="s">
        <v>206</v>
      </c>
      <c r="C629">
        <v>1</v>
      </c>
      <c r="D629" s="17" t="s">
        <v>2815</v>
      </c>
      <c r="E629" s="2">
        <v>1208</v>
      </c>
      <c r="F629" t="str">
        <f t="shared" si="218"/>
        <v>enemy_1208_msfji</v>
      </c>
      <c r="G629">
        <v>1</v>
      </c>
      <c r="K629">
        <v>25</v>
      </c>
      <c r="M629">
        <v>0</v>
      </c>
      <c r="O629">
        <v>0</v>
      </c>
      <c r="Q629">
        <v>0</v>
      </c>
      <c r="Y629">
        <v>0.05</v>
      </c>
      <c r="Z629">
        <v>1</v>
      </c>
      <c r="AA629">
        <v>0</v>
      </c>
      <c r="AB629">
        <v>0.7</v>
      </c>
      <c r="AE629">
        <v>0</v>
      </c>
      <c r="AF629">
        <v>1</v>
      </c>
      <c r="AG629" t="s">
        <v>2816</v>
      </c>
      <c r="AH629" t="s">
        <v>209</v>
      </c>
      <c r="AI629" t="s">
        <v>231</v>
      </c>
      <c r="AK629">
        <v>1</v>
      </c>
      <c r="AT629">
        <v>1</v>
      </c>
      <c r="AV629">
        <v>0.25</v>
      </c>
      <c r="BC629" t="str">
        <f t="shared" si="219"/>
        <v>enemy_1208_msfji</v>
      </c>
      <c r="BI629" t="s">
        <v>2723</v>
      </c>
      <c r="BJ629" t="s">
        <v>2817</v>
      </c>
      <c r="BL629" t="s">
        <v>210</v>
      </c>
      <c r="BM629" t="s">
        <v>211</v>
      </c>
      <c r="BN629" t="s">
        <v>232</v>
      </c>
      <c r="BO629" t="s">
        <v>213</v>
      </c>
      <c r="BR629">
        <v>1</v>
      </c>
    </row>
    <row r="630" spans="1:70" ht="14.5" x14ac:dyDescent="0.25">
      <c r="A630" t="s">
        <v>2818</v>
      </c>
      <c r="B630" t="s">
        <v>206</v>
      </c>
      <c r="C630">
        <v>1</v>
      </c>
      <c r="D630" s="17" t="s">
        <v>2819</v>
      </c>
      <c r="E630" s="2">
        <v>1208</v>
      </c>
      <c r="F630" t="str">
        <f t="shared" si="218"/>
        <v>enemy_1208_msfji_2</v>
      </c>
      <c r="G630">
        <v>1</v>
      </c>
      <c r="K630">
        <v>30</v>
      </c>
      <c r="M630">
        <v>0</v>
      </c>
      <c r="O630">
        <v>0</v>
      </c>
      <c r="Q630">
        <v>0</v>
      </c>
      <c r="Y630">
        <v>0.05</v>
      </c>
      <c r="Z630">
        <v>1</v>
      </c>
      <c r="AA630">
        <v>0</v>
      </c>
      <c r="AB630">
        <v>0.7</v>
      </c>
      <c r="AE630">
        <v>0</v>
      </c>
      <c r="AF630">
        <v>1</v>
      </c>
      <c r="AG630" t="s">
        <v>2820</v>
      </c>
      <c r="AH630" t="s">
        <v>209</v>
      </c>
      <c r="AI630" t="s">
        <v>231</v>
      </c>
      <c r="AK630">
        <v>1</v>
      </c>
      <c r="AT630">
        <v>1</v>
      </c>
      <c r="AV630">
        <v>0.25</v>
      </c>
      <c r="BC630" t="str">
        <f t="shared" si="219"/>
        <v>enemy_1208_msfji_2</v>
      </c>
      <c r="BI630" t="s">
        <v>2723</v>
      </c>
      <c r="BJ630" t="s">
        <v>2755</v>
      </c>
      <c r="BL630" t="s">
        <v>210</v>
      </c>
      <c r="BM630" t="s">
        <v>211</v>
      </c>
      <c r="BN630" t="s">
        <v>232</v>
      </c>
      <c r="BO630" t="s">
        <v>213</v>
      </c>
      <c r="BR630">
        <v>1</v>
      </c>
    </row>
    <row r="631" spans="1:70" ht="14.5" x14ac:dyDescent="0.25">
      <c r="A631" t="s">
        <v>2821</v>
      </c>
      <c r="B631" t="s">
        <v>206</v>
      </c>
      <c r="C631">
        <v>1</v>
      </c>
      <c r="D631" s="17" t="s">
        <v>2822</v>
      </c>
      <c r="E631" s="2">
        <v>1209</v>
      </c>
      <c r="F631" t="str">
        <f t="shared" si="218"/>
        <v>enemy_1209_sfden</v>
      </c>
      <c r="G631">
        <v>1</v>
      </c>
      <c r="K631">
        <v>14000</v>
      </c>
      <c r="M631">
        <v>550</v>
      </c>
      <c r="O631">
        <v>850</v>
      </c>
      <c r="Q631">
        <v>20</v>
      </c>
      <c r="Y631">
        <v>0.05</v>
      </c>
      <c r="Z631">
        <v>3</v>
      </c>
      <c r="AA631">
        <v>3</v>
      </c>
      <c r="AB631">
        <v>0.7</v>
      </c>
      <c r="AE631">
        <v>0</v>
      </c>
      <c r="AF631">
        <v>1</v>
      </c>
      <c r="AG631" t="s">
        <v>2823</v>
      </c>
      <c r="AH631" t="s">
        <v>209</v>
      </c>
      <c r="AI631" t="s">
        <v>231</v>
      </c>
      <c r="AK631">
        <v>1</v>
      </c>
      <c r="AT631">
        <v>1</v>
      </c>
      <c r="AV631">
        <v>0.25</v>
      </c>
      <c r="BC631" t="str">
        <f t="shared" si="219"/>
        <v>enemy_1209_sfden</v>
      </c>
      <c r="BI631" t="s">
        <v>2046</v>
      </c>
      <c r="BJ631" t="s">
        <v>2824</v>
      </c>
      <c r="BL631" t="s">
        <v>210</v>
      </c>
      <c r="BM631" t="s">
        <v>211</v>
      </c>
      <c r="BN631" t="s">
        <v>232</v>
      </c>
      <c r="BO631" t="s">
        <v>213</v>
      </c>
      <c r="BR631">
        <v>1</v>
      </c>
    </row>
    <row r="632" spans="1:70" ht="14.5" x14ac:dyDescent="0.25">
      <c r="A632" t="s">
        <v>2825</v>
      </c>
      <c r="B632" t="s">
        <v>206</v>
      </c>
      <c r="C632">
        <v>1</v>
      </c>
      <c r="D632" s="17" t="s">
        <v>2826</v>
      </c>
      <c r="E632" s="2">
        <v>1209</v>
      </c>
      <c r="F632" t="str">
        <f t="shared" si="218"/>
        <v>enemy_1209_sfden_2</v>
      </c>
      <c r="G632">
        <v>1</v>
      </c>
      <c r="K632">
        <v>18000</v>
      </c>
      <c r="M632">
        <v>700</v>
      </c>
      <c r="O632">
        <v>1050</v>
      </c>
      <c r="Q632">
        <v>20</v>
      </c>
      <c r="Y632">
        <v>0.05</v>
      </c>
      <c r="Z632">
        <v>3</v>
      </c>
      <c r="AA632">
        <v>3</v>
      </c>
      <c r="AB632">
        <v>0.7</v>
      </c>
      <c r="AE632">
        <v>0</v>
      </c>
      <c r="AF632">
        <v>1</v>
      </c>
      <c r="AG632" t="s">
        <v>2827</v>
      </c>
      <c r="AH632" t="s">
        <v>209</v>
      </c>
      <c r="AI632" t="s">
        <v>231</v>
      </c>
      <c r="AK632">
        <v>1</v>
      </c>
      <c r="AT632">
        <v>1</v>
      </c>
      <c r="AV632">
        <v>0.25</v>
      </c>
      <c r="BC632" t="str">
        <f t="shared" si="219"/>
        <v>enemy_1209_sfden_2</v>
      </c>
      <c r="BI632" t="s">
        <v>2046</v>
      </c>
      <c r="BJ632" t="s">
        <v>2828</v>
      </c>
      <c r="BL632" t="s">
        <v>210</v>
      </c>
      <c r="BM632" t="s">
        <v>211</v>
      </c>
      <c r="BN632" t="s">
        <v>232</v>
      </c>
      <c r="BO632" t="s">
        <v>213</v>
      </c>
      <c r="BR632">
        <v>1</v>
      </c>
    </row>
    <row r="633" spans="1:70" ht="14.5" x14ac:dyDescent="0.25">
      <c r="A633" t="s">
        <v>2829</v>
      </c>
      <c r="B633" t="s">
        <v>206</v>
      </c>
      <c r="C633">
        <v>1</v>
      </c>
      <c r="D633" s="17" t="s">
        <v>2830</v>
      </c>
      <c r="E633" s="2">
        <v>1210</v>
      </c>
      <c r="F633" t="str">
        <f t="shared" si="218"/>
        <v>enemy_1210_msfden</v>
      </c>
      <c r="G633">
        <v>1</v>
      </c>
      <c r="K633">
        <v>35</v>
      </c>
      <c r="M633">
        <v>0</v>
      </c>
      <c r="O633">
        <v>0</v>
      </c>
      <c r="Q633">
        <v>0</v>
      </c>
      <c r="Y633">
        <v>0.05</v>
      </c>
      <c r="Z633">
        <v>1</v>
      </c>
      <c r="AA633">
        <v>0</v>
      </c>
      <c r="AB633">
        <v>0.5</v>
      </c>
      <c r="AE633">
        <v>0</v>
      </c>
      <c r="AF633">
        <v>1</v>
      </c>
      <c r="AG633" t="s">
        <v>2831</v>
      </c>
      <c r="AH633" t="s">
        <v>209</v>
      </c>
      <c r="AI633" t="s">
        <v>231</v>
      </c>
      <c r="AK633">
        <v>1</v>
      </c>
      <c r="AT633">
        <v>1</v>
      </c>
      <c r="AV633">
        <v>0.25</v>
      </c>
      <c r="BC633" t="str">
        <f t="shared" si="219"/>
        <v>enemy_1210_msfden</v>
      </c>
      <c r="BI633" t="s">
        <v>2723</v>
      </c>
      <c r="BJ633" t="s">
        <v>2759</v>
      </c>
      <c r="BL633" t="s">
        <v>210</v>
      </c>
      <c r="BM633" t="s">
        <v>211</v>
      </c>
      <c r="BN633" t="s">
        <v>232</v>
      </c>
      <c r="BO633" t="s">
        <v>213</v>
      </c>
      <c r="BR633">
        <v>1</v>
      </c>
    </row>
    <row r="634" spans="1:70" ht="14.5" x14ac:dyDescent="0.25">
      <c r="A634" t="s">
        <v>2832</v>
      </c>
      <c r="B634" t="s">
        <v>206</v>
      </c>
      <c r="C634">
        <v>1</v>
      </c>
      <c r="D634" s="17" t="s">
        <v>2833</v>
      </c>
      <c r="E634" s="2">
        <v>1210</v>
      </c>
      <c r="F634" t="str">
        <f t="shared" si="218"/>
        <v>enemy_1210_msfden_2</v>
      </c>
      <c r="G634">
        <v>1</v>
      </c>
      <c r="K634">
        <v>45</v>
      </c>
      <c r="M634">
        <v>0</v>
      </c>
      <c r="O634">
        <v>0</v>
      </c>
      <c r="Q634">
        <v>0</v>
      </c>
      <c r="Y634">
        <v>0.05</v>
      </c>
      <c r="Z634">
        <v>1</v>
      </c>
      <c r="AA634">
        <v>0</v>
      </c>
      <c r="AB634">
        <v>0.5</v>
      </c>
      <c r="AE634">
        <v>0</v>
      </c>
      <c r="AF634">
        <v>1</v>
      </c>
      <c r="AG634" t="s">
        <v>2834</v>
      </c>
      <c r="AH634" t="s">
        <v>209</v>
      </c>
      <c r="AI634" t="s">
        <v>231</v>
      </c>
      <c r="AK634">
        <v>1</v>
      </c>
      <c r="AT634">
        <v>1</v>
      </c>
      <c r="AV634">
        <v>0.25</v>
      </c>
      <c r="BC634" t="str">
        <f t="shared" si="219"/>
        <v>enemy_1210_msfden_2</v>
      </c>
      <c r="BI634" t="s">
        <v>2723</v>
      </c>
      <c r="BJ634" t="s">
        <v>2835</v>
      </c>
      <c r="BL634" t="s">
        <v>210</v>
      </c>
      <c r="BM634" t="s">
        <v>211</v>
      </c>
      <c r="BN634" t="s">
        <v>232</v>
      </c>
      <c r="BO634" t="s">
        <v>213</v>
      </c>
      <c r="BR634">
        <v>1</v>
      </c>
    </row>
    <row r="635" spans="1:70" ht="14.5" x14ac:dyDescent="0.25">
      <c r="A635" t="s">
        <v>2836</v>
      </c>
      <c r="B635" t="s">
        <v>206</v>
      </c>
      <c r="C635">
        <v>1</v>
      </c>
      <c r="D635" s="17" t="s">
        <v>2837</v>
      </c>
      <c r="E635" s="2">
        <v>1211</v>
      </c>
      <c r="F635" t="str">
        <f t="shared" si="218"/>
        <v>enemy_1211_msfsui</v>
      </c>
      <c r="G635">
        <v>1</v>
      </c>
      <c r="K635">
        <v>10</v>
      </c>
      <c r="M635">
        <v>0</v>
      </c>
      <c r="O635">
        <v>0</v>
      </c>
      <c r="Q635">
        <v>0</v>
      </c>
      <c r="Y635">
        <v>0.05</v>
      </c>
      <c r="Z635">
        <v>1</v>
      </c>
      <c r="AA635">
        <v>0</v>
      </c>
      <c r="AB635">
        <v>0.6</v>
      </c>
      <c r="AE635">
        <v>0</v>
      </c>
      <c r="AF635">
        <v>1</v>
      </c>
      <c r="AG635" t="s">
        <v>2838</v>
      </c>
      <c r="AH635" t="s">
        <v>209</v>
      </c>
      <c r="AI635" t="s">
        <v>231</v>
      </c>
      <c r="AK635">
        <v>1</v>
      </c>
      <c r="AT635">
        <v>1</v>
      </c>
      <c r="AV635">
        <v>0.25</v>
      </c>
      <c r="BC635" t="str">
        <f t="shared" si="219"/>
        <v>enemy_1211_msfsui</v>
      </c>
      <c r="BI635" t="s">
        <v>2723</v>
      </c>
      <c r="BJ635" t="s">
        <v>2839</v>
      </c>
      <c r="BL635" t="s">
        <v>210</v>
      </c>
      <c r="BM635" t="s">
        <v>211</v>
      </c>
      <c r="BN635" t="s">
        <v>232</v>
      </c>
      <c r="BO635" t="s">
        <v>213</v>
      </c>
      <c r="BR635">
        <v>1</v>
      </c>
    </row>
    <row r="636" spans="1:70" ht="14.5" x14ac:dyDescent="0.25">
      <c r="A636" t="s">
        <v>2840</v>
      </c>
      <c r="B636" t="s">
        <v>206</v>
      </c>
      <c r="C636">
        <v>1</v>
      </c>
      <c r="D636" s="17" t="s">
        <v>2841</v>
      </c>
      <c r="E636" s="2">
        <v>1526</v>
      </c>
      <c r="F636" t="str">
        <f t="shared" si="218"/>
        <v>enemy_1526_sfsui</v>
      </c>
      <c r="G636">
        <v>1</v>
      </c>
      <c r="K636">
        <v>55000</v>
      </c>
      <c r="M636">
        <v>1400</v>
      </c>
      <c r="O636">
        <v>550</v>
      </c>
      <c r="Q636">
        <v>30</v>
      </c>
      <c r="Y636">
        <v>0.05</v>
      </c>
      <c r="Z636">
        <v>2.5</v>
      </c>
      <c r="AA636">
        <v>9</v>
      </c>
      <c r="AB636">
        <v>1</v>
      </c>
      <c r="AE636">
        <v>0</v>
      </c>
      <c r="AF636">
        <v>1</v>
      </c>
      <c r="AG636" t="s">
        <v>2842</v>
      </c>
      <c r="AH636" t="s">
        <v>209</v>
      </c>
      <c r="AI636" t="s">
        <v>231</v>
      </c>
      <c r="AK636">
        <v>1</v>
      </c>
      <c r="AT636">
        <v>1</v>
      </c>
      <c r="AV636">
        <v>0.25</v>
      </c>
      <c r="BC636" t="str">
        <f t="shared" si="219"/>
        <v>enemy_1526_sfsui</v>
      </c>
      <c r="BI636" t="s">
        <v>2084</v>
      </c>
      <c r="BJ636" t="s">
        <v>2843</v>
      </c>
      <c r="BL636" t="s">
        <v>210</v>
      </c>
      <c r="BM636" t="s">
        <v>211</v>
      </c>
      <c r="BN636" t="s">
        <v>232</v>
      </c>
      <c r="BO636" t="s">
        <v>213</v>
      </c>
      <c r="BR636">
        <v>1</v>
      </c>
    </row>
    <row r="637" spans="1:70" x14ac:dyDescent="0.25">
      <c r="A637" t="s">
        <v>2844</v>
      </c>
      <c r="B637" t="s">
        <v>206</v>
      </c>
      <c r="C637">
        <v>1</v>
      </c>
      <c r="D637" t="s">
        <v>2845</v>
      </c>
      <c r="E637">
        <v>1212</v>
      </c>
      <c r="F637" t="str">
        <f t="shared" si="218"/>
        <v>enemy_1212_mtrfol</v>
      </c>
      <c r="G637">
        <v>1</v>
      </c>
      <c r="K637">
        <v>3500</v>
      </c>
      <c r="M637">
        <v>380</v>
      </c>
      <c r="O637">
        <v>150</v>
      </c>
      <c r="Q637">
        <v>0</v>
      </c>
      <c r="Y637">
        <v>0.05</v>
      </c>
      <c r="Z637">
        <v>2.5</v>
      </c>
      <c r="AA637">
        <v>1</v>
      </c>
      <c r="AB637">
        <v>1.1000000000000001</v>
      </c>
      <c r="AE637">
        <v>0</v>
      </c>
      <c r="AF637">
        <v>1</v>
      </c>
      <c r="AG637" t="s">
        <v>2846</v>
      </c>
      <c r="AH637" t="s">
        <v>209</v>
      </c>
      <c r="AI637" t="s">
        <v>231</v>
      </c>
      <c r="AK637">
        <v>1</v>
      </c>
      <c r="AT637">
        <v>1</v>
      </c>
      <c r="AV637">
        <v>0.25</v>
      </c>
      <c r="BC637" t="str">
        <f t="shared" si="219"/>
        <v>enemy_1212_mtrfol</v>
      </c>
      <c r="BI637" t="s">
        <v>935</v>
      </c>
      <c r="BJ637" t="s">
        <v>2847</v>
      </c>
      <c r="BL637" t="s">
        <v>210</v>
      </c>
      <c r="BM637" t="s">
        <v>211</v>
      </c>
      <c r="BN637" t="s">
        <v>232</v>
      </c>
      <c r="BO637" t="s">
        <v>213</v>
      </c>
      <c r="BR637">
        <v>1</v>
      </c>
    </row>
    <row r="638" spans="1:70" x14ac:dyDescent="0.25">
      <c r="A638" t="s">
        <v>2848</v>
      </c>
      <c r="B638" t="s">
        <v>206</v>
      </c>
      <c r="C638">
        <v>1</v>
      </c>
      <c r="D638" t="s">
        <v>2849</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2850</v>
      </c>
      <c r="AH638" t="s">
        <v>209</v>
      </c>
      <c r="AI638" t="s">
        <v>231</v>
      </c>
      <c r="AK638">
        <v>1</v>
      </c>
      <c r="AT638">
        <v>1</v>
      </c>
      <c r="AV638">
        <v>0.25</v>
      </c>
      <c r="BC638" t="str">
        <f t="shared" ref="BC638:BC658" si="221">"enemy_"&amp;E638&amp;"_"&amp;D638</f>
        <v>enemy_1212_mtrfol_2</v>
      </c>
      <c r="BI638" t="s">
        <v>935</v>
      </c>
      <c r="BJ638" t="s">
        <v>2851</v>
      </c>
      <c r="BL638" t="s">
        <v>210</v>
      </c>
      <c r="BM638" t="s">
        <v>211</v>
      </c>
      <c r="BN638" t="s">
        <v>232</v>
      </c>
      <c r="BO638" t="s">
        <v>213</v>
      </c>
      <c r="BR638">
        <v>1</v>
      </c>
    </row>
    <row r="639" spans="1:70" x14ac:dyDescent="0.25">
      <c r="A639" t="s">
        <v>2852</v>
      </c>
      <c r="B639" t="s">
        <v>206</v>
      </c>
      <c r="C639">
        <v>1</v>
      </c>
      <c r="D639" t="s">
        <v>2853</v>
      </c>
      <c r="E639">
        <v>1213</v>
      </c>
      <c r="F639" t="str">
        <f t="shared" si="220"/>
        <v>enemy_1213_mtrsnp</v>
      </c>
      <c r="G639">
        <v>1</v>
      </c>
      <c r="K639">
        <v>3800</v>
      </c>
      <c r="M639">
        <v>300</v>
      </c>
      <c r="O639">
        <v>50</v>
      </c>
      <c r="Q639">
        <v>0</v>
      </c>
      <c r="Y639">
        <v>0.05</v>
      </c>
      <c r="Z639">
        <v>3</v>
      </c>
      <c r="AA639">
        <v>1</v>
      </c>
      <c r="AB639">
        <v>0.9</v>
      </c>
      <c r="AE639">
        <v>0</v>
      </c>
      <c r="AF639">
        <v>1</v>
      </c>
      <c r="AG639" t="s">
        <v>2854</v>
      </c>
      <c r="AH639" t="s">
        <v>209</v>
      </c>
      <c r="AI639" t="s">
        <v>231</v>
      </c>
      <c r="AK639">
        <v>1</v>
      </c>
      <c r="AT639">
        <v>1</v>
      </c>
      <c r="AV639">
        <v>0.25</v>
      </c>
      <c r="BC639" t="str">
        <f t="shared" si="221"/>
        <v>enemy_1213_mtrsnp</v>
      </c>
      <c r="BI639" t="s">
        <v>941</v>
      </c>
      <c r="BJ639" t="s">
        <v>2855</v>
      </c>
      <c r="BL639" t="s">
        <v>210</v>
      </c>
      <c r="BM639" t="s">
        <v>211</v>
      </c>
      <c r="BN639" t="s">
        <v>232</v>
      </c>
      <c r="BO639" t="s">
        <v>213</v>
      </c>
      <c r="BR639">
        <v>1</v>
      </c>
    </row>
    <row r="640" spans="1:70" x14ac:dyDescent="0.25">
      <c r="A640" t="s">
        <v>2856</v>
      </c>
      <c r="B640" t="s">
        <v>206</v>
      </c>
      <c r="C640">
        <v>1</v>
      </c>
      <c r="D640" t="s">
        <v>2857</v>
      </c>
      <c r="E640">
        <v>1213</v>
      </c>
      <c r="F640" t="str">
        <f t="shared" si="220"/>
        <v>enemy_1213_mtrsnp_2</v>
      </c>
      <c r="G640">
        <v>1</v>
      </c>
      <c r="K640">
        <v>5500</v>
      </c>
      <c r="M640">
        <v>350</v>
      </c>
      <c r="O640">
        <v>100</v>
      </c>
      <c r="Q640">
        <v>0</v>
      </c>
      <c r="Y640">
        <v>0.05</v>
      </c>
      <c r="Z640">
        <v>3</v>
      </c>
      <c r="AA640">
        <v>1</v>
      </c>
      <c r="AB640">
        <v>0.9</v>
      </c>
      <c r="AE640">
        <v>0</v>
      </c>
      <c r="AF640">
        <v>1</v>
      </c>
      <c r="AG640" t="s">
        <v>2858</v>
      </c>
      <c r="AH640" t="s">
        <v>209</v>
      </c>
      <c r="AI640" t="s">
        <v>231</v>
      </c>
      <c r="AK640">
        <v>1</v>
      </c>
      <c r="AT640">
        <v>1</v>
      </c>
      <c r="AV640">
        <v>0.25</v>
      </c>
      <c r="BC640" t="str">
        <f t="shared" si="221"/>
        <v>enemy_1213_mtrsnp_2</v>
      </c>
      <c r="BI640" t="s">
        <v>941</v>
      </c>
      <c r="BJ640" t="s">
        <v>2855</v>
      </c>
      <c r="BL640" t="s">
        <v>210</v>
      </c>
      <c r="BM640" t="s">
        <v>211</v>
      </c>
      <c r="BN640" t="s">
        <v>232</v>
      </c>
      <c r="BO640" t="s">
        <v>213</v>
      </c>
      <c r="BR640">
        <v>1</v>
      </c>
    </row>
    <row r="641" spans="1:70" x14ac:dyDescent="0.25">
      <c r="A641" t="s">
        <v>2859</v>
      </c>
      <c r="B641" t="s">
        <v>206</v>
      </c>
      <c r="C641">
        <v>1</v>
      </c>
      <c r="D641" t="s">
        <v>2860</v>
      </c>
      <c r="E641">
        <v>1214</v>
      </c>
      <c r="F641" t="str">
        <f t="shared" si="220"/>
        <v>enemy_1214_mtrmgc</v>
      </c>
      <c r="G641">
        <v>1</v>
      </c>
      <c r="K641">
        <v>6000</v>
      </c>
      <c r="M641">
        <v>320</v>
      </c>
      <c r="O641">
        <v>200</v>
      </c>
      <c r="Q641">
        <v>50</v>
      </c>
      <c r="Y641">
        <v>0.05</v>
      </c>
      <c r="Z641">
        <v>2.6</v>
      </c>
      <c r="AA641">
        <v>2</v>
      </c>
      <c r="AB641">
        <v>0.8</v>
      </c>
      <c r="AE641">
        <v>0</v>
      </c>
      <c r="AF641">
        <v>1</v>
      </c>
      <c r="AG641" t="s">
        <v>2861</v>
      </c>
      <c r="AH641" t="s">
        <v>209</v>
      </c>
      <c r="AI641" t="s">
        <v>231</v>
      </c>
      <c r="AK641">
        <v>1</v>
      </c>
      <c r="AT641">
        <v>1</v>
      </c>
      <c r="AV641">
        <v>0.25</v>
      </c>
      <c r="BC641" t="str">
        <f t="shared" si="221"/>
        <v>enemy_1214_mtrmgc</v>
      </c>
      <c r="BI641" t="s">
        <v>941</v>
      </c>
      <c r="BJ641" t="s">
        <v>2862</v>
      </c>
      <c r="BL641" t="s">
        <v>210</v>
      </c>
      <c r="BM641" t="s">
        <v>211</v>
      </c>
      <c r="BN641" t="s">
        <v>943</v>
      </c>
      <c r="BO641" t="s">
        <v>213</v>
      </c>
      <c r="BR641">
        <v>1</v>
      </c>
    </row>
    <row r="642" spans="1:70" x14ac:dyDescent="0.25">
      <c r="A642" t="s">
        <v>2863</v>
      </c>
      <c r="B642" t="s">
        <v>206</v>
      </c>
      <c r="C642">
        <v>1</v>
      </c>
      <c r="D642" t="s">
        <v>2864</v>
      </c>
      <c r="E642">
        <v>1214</v>
      </c>
      <c r="F642" t="str">
        <f t="shared" si="220"/>
        <v>enemy_1214_mtrmgc_2</v>
      </c>
      <c r="G642">
        <v>1</v>
      </c>
      <c r="K642">
        <v>7500</v>
      </c>
      <c r="M642">
        <v>385</v>
      </c>
      <c r="O642">
        <v>250</v>
      </c>
      <c r="Q642">
        <v>50</v>
      </c>
      <c r="Y642">
        <v>0.05</v>
      </c>
      <c r="Z642">
        <v>2.6</v>
      </c>
      <c r="AA642">
        <v>2</v>
      </c>
      <c r="AB642">
        <v>0.8</v>
      </c>
      <c r="AE642">
        <v>0</v>
      </c>
      <c r="AF642">
        <v>1</v>
      </c>
      <c r="AG642" t="s">
        <v>2865</v>
      </c>
      <c r="AH642" t="s">
        <v>209</v>
      </c>
      <c r="AI642" t="s">
        <v>231</v>
      </c>
      <c r="AK642">
        <v>1</v>
      </c>
      <c r="AT642">
        <v>1</v>
      </c>
      <c r="AV642">
        <v>0.25</v>
      </c>
      <c r="BC642" t="str">
        <f t="shared" si="221"/>
        <v>enemy_1214_mtrmgc_2</v>
      </c>
      <c r="BI642" t="s">
        <v>941</v>
      </c>
      <c r="BJ642" t="s">
        <v>2862</v>
      </c>
      <c r="BL642" t="s">
        <v>210</v>
      </c>
      <c r="BM642" t="s">
        <v>211</v>
      </c>
      <c r="BN642" t="s">
        <v>943</v>
      </c>
      <c r="BO642" t="s">
        <v>213</v>
      </c>
      <c r="BR642">
        <v>1</v>
      </c>
    </row>
    <row r="643" spans="1:70" x14ac:dyDescent="0.25">
      <c r="A643" t="s">
        <v>2866</v>
      </c>
      <c r="B643" t="s">
        <v>206</v>
      </c>
      <c r="C643">
        <v>1</v>
      </c>
      <c r="D643" t="s">
        <v>2867</v>
      </c>
      <c r="E643">
        <v>1215</v>
      </c>
      <c r="F643" t="str">
        <f t="shared" si="220"/>
        <v>enemy_1215_ptrarc</v>
      </c>
      <c r="G643">
        <v>1</v>
      </c>
      <c r="K643">
        <v>6000</v>
      </c>
      <c r="M643">
        <v>380</v>
      </c>
      <c r="O643">
        <v>200</v>
      </c>
      <c r="Q643">
        <v>0</v>
      </c>
      <c r="Y643">
        <v>0.05</v>
      </c>
      <c r="Z643">
        <v>2</v>
      </c>
      <c r="AA643">
        <v>2</v>
      </c>
      <c r="AB643">
        <v>0.8</v>
      </c>
      <c r="AE643">
        <v>0</v>
      </c>
      <c r="AF643">
        <v>1</v>
      </c>
      <c r="AG643" t="s">
        <v>2868</v>
      </c>
      <c r="AH643" t="s">
        <v>209</v>
      </c>
      <c r="AI643" t="s">
        <v>231</v>
      </c>
      <c r="AK643">
        <v>1</v>
      </c>
      <c r="AT643">
        <v>1</v>
      </c>
      <c r="AV643">
        <v>0.25</v>
      </c>
      <c r="BC643" t="str">
        <f t="shared" si="221"/>
        <v>enemy_1215_ptrarc</v>
      </c>
      <c r="BI643" t="s">
        <v>941</v>
      </c>
      <c r="BJ643" t="s">
        <v>2869</v>
      </c>
      <c r="BL643" t="s">
        <v>210</v>
      </c>
      <c r="BM643" t="s">
        <v>211</v>
      </c>
      <c r="BN643" t="s">
        <v>232</v>
      </c>
      <c r="BO643" t="s">
        <v>213</v>
      </c>
      <c r="BR643">
        <v>1</v>
      </c>
    </row>
    <row r="644" spans="1:70" x14ac:dyDescent="0.25">
      <c r="A644" t="s">
        <v>2870</v>
      </c>
      <c r="B644" t="s">
        <v>206</v>
      </c>
      <c r="C644">
        <v>1</v>
      </c>
      <c r="D644" t="s">
        <v>2871</v>
      </c>
      <c r="E644">
        <v>1215</v>
      </c>
      <c r="F644" t="str">
        <f t="shared" si="220"/>
        <v>enemy_1215_ptrarc_2</v>
      </c>
      <c r="G644">
        <v>1</v>
      </c>
      <c r="K644">
        <v>8000</v>
      </c>
      <c r="M644">
        <v>450</v>
      </c>
      <c r="O644">
        <v>250</v>
      </c>
      <c r="Q644">
        <v>0</v>
      </c>
      <c r="Y644">
        <v>0.05</v>
      </c>
      <c r="Z644">
        <v>2</v>
      </c>
      <c r="AA644">
        <v>2</v>
      </c>
      <c r="AB644">
        <v>0.8</v>
      </c>
      <c r="AE644">
        <v>0</v>
      </c>
      <c r="AF644">
        <v>1</v>
      </c>
      <c r="AG644" t="s">
        <v>2872</v>
      </c>
      <c r="AH644" t="s">
        <v>209</v>
      </c>
      <c r="AI644" t="s">
        <v>231</v>
      </c>
      <c r="AK644">
        <v>1</v>
      </c>
      <c r="AT644">
        <v>1</v>
      </c>
      <c r="AV644">
        <v>0.25</v>
      </c>
      <c r="BC644" t="str">
        <f t="shared" si="221"/>
        <v>enemy_1215_ptrarc_2</v>
      </c>
      <c r="BI644" t="s">
        <v>941</v>
      </c>
      <c r="BJ644" t="s">
        <v>2869</v>
      </c>
      <c r="BL644" t="s">
        <v>210</v>
      </c>
      <c r="BM644" t="s">
        <v>211</v>
      </c>
      <c r="BN644" t="s">
        <v>232</v>
      </c>
      <c r="BO644" t="s">
        <v>213</v>
      </c>
      <c r="BR644">
        <v>1</v>
      </c>
    </row>
    <row r="645" spans="1:70" x14ac:dyDescent="0.25">
      <c r="A645" t="s">
        <v>2873</v>
      </c>
      <c r="B645" t="s">
        <v>206</v>
      </c>
      <c r="C645">
        <v>1</v>
      </c>
      <c r="D645" t="s">
        <v>2874</v>
      </c>
      <c r="E645">
        <v>1216</v>
      </c>
      <c r="F645" t="str">
        <f t="shared" si="220"/>
        <v>enemy_1216_cansld</v>
      </c>
      <c r="G645">
        <v>1</v>
      </c>
      <c r="K645">
        <v>12000</v>
      </c>
      <c r="M645">
        <v>800</v>
      </c>
      <c r="O645">
        <v>1200</v>
      </c>
      <c r="Q645">
        <v>0</v>
      </c>
      <c r="Y645">
        <v>0.05</v>
      </c>
      <c r="Z645">
        <v>4.5</v>
      </c>
      <c r="AA645">
        <v>4</v>
      </c>
      <c r="AB645">
        <v>0.6</v>
      </c>
      <c r="AE645">
        <v>0</v>
      </c>
      <c r="AF645">
        <v>1</v>
      </c>
      <c r="AG645" t="s">
        <v>2875</v>
      </c>
      <c r="AH645" t="s">
        <v>209</v>
      </c>
      <c r="AI645" t="s">
        <v>231</v>
      </c>
      <c r="AK645">
        <v>1</v>
      </c>
      <c r="AT645">
        <v>1</v>
      </c>
      <c r="AV645">
        <v>0.25</v>
      </c>
      <c r="BC645" t="str">
        <f t="shared" si="221"/>
        <v>enemy_1216_cansld</v>
      </c>
      <c r="BI645" t="s">
        <v>1909</v>
      </c>
      <c r="BJ645" t="s">
        <v>2876</v>
      </c>
      <c r="BL645" t="s">
        <v>210</v>
      </c>
      <c r="BM645" t="s">
        <v>211</v>
      </c>
      <c r="BN645" t="s">
        <v>232</v>
      </c>
      <c r="BO645" t="s">
        <v>213</v>
      </c>
      <c r="BR645">
        <v>1</v>
      </c>
    </row>
    <row r="646" spans="1:70" x14ac:dyDescent="0.25">
      <c r="A646" t="s">
        <v>2877</v>
      </c>
      <c r="B646" t="s">
        <v>206</v>
      </c>
      <c r="C646">
        <v>1</v>
      </c>
      <c r="D646" t="s">
        <v>2878</v>
      </c>
      <c r="E646">
        <v>1216</v>
      </c>
      <c r="F646" t="str">
        <f t="shared" si="220"/>
        <v>enemy_1216_cansld_2</v>
      </c>
      <c r="G646">
        <v>1</v>
      </c>
      <c r="K646">
        <v>18000</v>
      </c>
      <c r="M646">
        <v>1000</v>
      </c>
      <c r="O646">
        <v>1500</v>
      </c>
      <c r="Q646">
        <v>0</v>
      </c>
      <c r="Y646">
        <v>0.05</v>
      </c>
      <c r="Z646">
        <v>4.5</v>
      </c>
      <c r="AA646">
        <v>4</v>
      </c>
      <c r="AB646">
        <v>0.6</v>
      </c>
      <c r="AE646">
        <v>0</v>
      </c>
      <c r="AF646">
        <v>1</v>
      </c>
      <c r="AG646" t="s">
        <v>2879</v>
      </c>
      <c r="AH646" t="s">
        <v>209</v>
      </c>
      <c r="AI646" t="s">
        <v>231</v>
      </c>
      <c r="AK646">
        <v>1</v>
      </c>
      <c r="AT646">
        <v>1</v>
      </c>
      <c r="AV646">
        <v>0.25</v>
      </c>
      <c r="BC646" t="str">
        <f t="shared" si="221"/>
        <v>enemy_1216_cansld_2</v>
      </c>
      <c r="BI646" t="s">
        <v>1909</v>
      </c>
      <c r="BJ646" t="s">
        <v>2876</v>
      </c>
      <c r="BL646" t="s">
        <v>210</v>
      </c>
      <c r="BM646" t="s">
        <v>211</v>
      </c>
      <c r="BN646" t="s">
        <v>232</v>
      </c>
      <c r="BO646" t="s">
        <v>213</v>
      </c>
      <c r="BR646">
        <v>1</v>
      </c>
    </row>
    <row r="647" spans="1:70" x14ac:dyDescent="0.25">
      <c r="A647" t="s">
        <v>2880</v>
      </c>
      <c r="B647" t="s">
        <v>206</v>
      </c>
      <c r="C647">
        <v>1</v>
      </c>
      <c r="D647" t="s">
        <v>2881</v>
      </c>
      <c r="E647">
        <v>1217</v>
      </c>
      <c r="F647" t="str">
        <f t="shared" si="220"/>
        <v>enemy_1217_rescar</v>
      </c>
      <c r="G647">
        <v>1</v>
      </c>
      <c r="K647">
        <v>17500</v>
      </c>
      <c r="M647">
        <v>500</v>
      </c>
      <c r="O647">
        <v>650</v>
      </c>
      <c r="Q647">
        <v>30</v>
      </c>
      <c r="Y647">
        <v>0.05</v>
      </c>
      <c r="Z647">
        <v>5</v>
      </c>
      <c r="AA647">
        <v>5</v>
      </c>
      <c r="AB647">
        <v>0.6</v>
      </c>
      <c r="AE647">
        <v>0</v>
      </c>
      <c r="AF647">
        <v>1</v>
      </c>
      <c r="AG647" t="s">
        <v>2882</v>
      </c>
      <c r="AH647" t="s">
        <v>209</v>
      </c>
      <c r="AI647" t="s">
        <v>231</v>
      </c>
      <c r="AK647">
        <v>1</v>
      </c>
      <c r="AT647">
        <v>1</v>
      </c>
      <c r="AV647">
        <v>0.25</v>
      </c>
      <c r="BC647" t="str">
        <f t="shared" si="221"/>
        <v>enemy_1217_rescar</v>
      </c>
      <c r="BI647" t="s">
        <v>2380</v>
      </c>
      <c r="BJ647" t="s">
        <v>2883</v>
      </c>
      <c r="BL647" t="s">
        <v>210</v>
      </c>
      <c r="BM647" t="s">
        <v>211</v>
      </c>
      <c r="BN647" t="s">
        <v>232</v>
      </c>
      <c r="BO647" t="s">
        <v>213</v>
      </c>
      <c r="BR647">
        <v>1</v>
      </c>
    </row>
    <row r="648" spans="1:70" x14ac:dyDescent="0.25">
      <c r="A648" t="s">
        <v>2884</v>
      </c>
      <c r="B648" t="s">
        <v>206</v>
      </c>
      <c r="C648">
        <v>1</v>
      </c>
      <c r="D648" t="s">
        <v>2885</v>
      </c>
      <c r="E648">
        <v>1217</v>
      </c>
      <c r="F648" t="str">
        <f t="shared" si="220"/>
        <v>enemy_1217_rescar_2</v>
      </c>
      <c r="G648">
        <v>1</v>
      </c>
      <c r="K648">
        <v>22500</v>
      </c>
      <c r="M648">
        <v>600</v>
      </c>
      <c r="O648">
        <v>650</v>
      </c>
      <c r="Q648">
        <v>30</v>
      </c>
      <c r="Y648">
        <v>0.05</v>
      </c>
      <c r="Z648">
        <v>5</v>
      </c>
      <c r="AA648">
        <v>5</v>
      </c>
      <c r="AB648">
        <v>0.6</v>
      </c>
      <c r="AE648">
        <v>0</v>
      </c>
      <c r="AF648">
        <v>1</v>
      </c>
      <c r="AG648" t="s">
        <v>2886</v>
      </c>
      <c r="AH648" t="s">
        <v>209</v>
      </c>
      <c r="AI648" t="s">
        <v>231</v>
      </c>
      <c r="AK648">
        <v>1</v>
      </c>
      <c r="AT648">
        <v>1</v>
      </c>
      <c r="AV648">
        <v>0.25</v>
      </c>
      <c r="BC648" t="str">
        <f t="shared" si="221"/>
        <v>enemy_1217_rescar_2</v>
      </c>
      <c r="BI648" t="s">
        <v>2380</v>
      </c>
      <c r="BJ648" t="s">
        <v>2887</v>
      </c>
      <c r="BL648" t="s">
        <v>210</v>
      </c>
      <c r="BM648" t="s">
        <v>211</v>
      </c>
      <c r="BN648" t="s">
        <v>232</v>
      </c>
      <c r="BO648" t="s">
        <v>213</v>
      </c>
      <c r="BR648">
        <v>1</v>
      </c>
    </row>
    <row r="649" spans="1:70" x14ac:dyDescent="0.25">
      <c r="A649" t="s">
        <v>2888</v>
      </c>
      <c r="B649" t="s">
        <v>206</v>
      </c>
      <c r="C649">
        <v>1</v>
      </c>
      <c r="D649" t="s">
        <v>2889</v>
      </c>
      <c r="E649">
        <v>1218</v>
      </c>
      <c r="F649" t="str">
        <f t="shared" si="220"/>
        <v>enemy_1218_bomscr</v>
      </c>
      <c r="G649">
        <v>1</v>
      </c>
      <c r="K649">
        <v>3500</v>
      </c>
      <c r="M649">
        <v>300</v>
      </c>
      <c r="O649">
        <v>100</v>
      </c>
      <c r="Q649">
        <v>20</v>
      </c>
      <c r="Y649">
        <v>0.05</v>
      </c>
      <c r="Z649">
        <v>1</v>
      </c>
      <c r="AA649">
        <v>1</v>
      </c>
      <c r="AB649">
        <v>1.6</v>
      </c>
      <c r="AE649">
        <v>0</v>
      </c>
      <c r="AF649">
        <v>1</v>
      </c>
      <c r="AG649" t="s">
        <v>2890</v>
      </c>
      <c r="AH649" t="s">
        <v>209</v>
      </c>
      <c r="AI649" t="s">
        <v>231</v>
      </c>
      <c r="AK649">
        <v>1</v>
      </c>
      <c r="AT649">
        <v>1</v>
      </c>
      <c r="AV649">
        <v>0.25</v>
      </c>
      <c r="BC649" t="str">
        <f t="shared" si="221"/>
        <v>enemy_1218_bomscr</v>
      </c>
      <c r="BI649" t="s">
        <v>2107</v>
      </c>
      <c r="BJ649" t="s">
        <v>2891</v>
      </c>
      <c r="BL649" t="s">
        <v>210</v>
      </c>
      <c r="BM649" t="s">
        <v>211</v>
      </c>
      <c r="BN649" t="s">
        <v>232</v>
      </c>
      <c r="BO649" t="s">
        <v>213</v>
      </c>
      <c r="BR649">
        <v>1</v>
      </c>
    </row>
    <row r="650" spans="1:70" x14ac:dyDescent="0.25">
      <c r="A650" t="s">
        <v>2892</v>
      </c>
      <c r="B650" t="s">
        <v>206</v>
      </c>
      <c r="C650">
        <v>1</v>
      </c>
      <c r="D650" t="s">
        <v>2893</v>
      </c>
      <c r="E650">
        <v>1218</v>
      </c>
      <c r="F650" t="str">
        <f t="shared" si="220"/>
        <v>enemy_1218_bomscr_2</v>
      </c>
      <c r="G650">
        <v>1</v>
      </c>
      <c r="K650">
        <v>3800</v>
      </c>
      <c r="M650">
        <v>300</v>
      </c>
      <c r="O650">
        <v>200</v>
      </c>
      <c r="Q650">
        <v>20</v>
      </c>
      <c r="Y650">
        <v>0.05</v>
      </c>
      <c r="Z650">
        <v>1</v>
      </c>
      <c r="AA650">
        <v>1</v>
      </c>
      <c r="AB650">
        <v>1.6</v>
      </c>
      <c r="AE650">
        <v>0</v>
      </c>
      <c r="AF650">
        <v>1</v>
      </c>
      <c r="AG650" t="s">
        <v>2894</v>
      </c>
      <c r="AH650" t="s">
        <v>209</v>
      </c>
      <c r="AI650" t="s">
        <v>231</v>
      </c>
      <c r="AK650">
        <v>1</v>
      </c>
      <c r="AT650">
        <v>1</v>
      </c>
      <c r="AV650">
        <v>0.25</v>
      </c>
      <c r="BC650" t="str">
        <f t="shared" si="221"/>
        <v>enemy_1218_bomscr_2</v>
      </c>
      <c r="BI650" t="s">
        <v>2107</v>
      </c>
      <c r="BJ650" t="s">
        <v>2891</v>
      </c>
      <c r="BL650" t="s">
        <v>210</v>
      </c>
      <c r="BM650" t="s">
        <v>211</v>
      </c>
      <c r="BN650" t="s">
        <v>232</v>
      </c>
      <c r="BO650" t="s">
        <v>213</v>
      </c>
      <c r="BR650">
        <v>1</v>
      </c>
    </row>
    <row r="651" spans="1:70" x14ac:dyDescent="0.25">
      <c r="A651" t="s">
        <v>2895</v>
      </c>
      <c r="B651" t="s">
        <v>206</v>
      </c>
      <c r="C651">
        <v>1</v>
      </c>
      <c r="D651" t="s">
        <v>2896</v>
      </c>
      <c r="E651">
        <v>1219</v>
      </c>
      <c r="F651" t="str">
        <f t="shared" si="220"/>
        <v>enemy_1219_mtrbty</v>
      </c>
      <c r="G651">
        <v>1</v>
      </c>
      <c r="K651">
        <v>17000</v>
      </c>
      <c r="M651">
        <v>600</v>
      </c>
      <c r="O651">
        <v>500</v>
      </c>
      <c r="Q651">
        <v>60</v>
      </c>
      <c r="Y651">
        <v>0.05</v>
      </c>
      <c r="Z651">
        <v>2.7</v>
      </c>
      <c r="AA651">
        <v>4</v>
      </c>
      <c r="AB651">
        <v>0.8</v>
      </c>
      <c r="AE651">
        <v>0</v>
      </c>
      <c r="AF651">
        <v>1</v>
      </c>
      <c r="AG651" t="s">
        <v>2897</v>
      </c>
      <c r="AH651" t="s">
        <v>209</v>
      </c>
      <c r="AI651" t="s">
        <v>231</v>
      </c>
      <c r="AK651">
        <v>1</v>
      </c>
      <c r="AT651">
        <v>1</v>
      </c>
      <c r="AV651">
        <v>0.25</v>
      </c>
      <c r="BC651" t="str">
        <f t="shared" si="221"/>
        <v>enemy_1219_mtrbty</v>
      </c>
      <c r="BI651" t="s">
        <v>1909</v>
      </c>
      <c r="BJ651" t="s">
        <v>2898</v>
      </c>
      <c r="BL651" t="s">
        <v>210</v>
      </c>
      <c r="BM651" t="s">
        <v>211</v>
      </c>
      <c r="BN651" t="s">
        <v>232</v>
      </c>
      <c r="BO651" t="s">
        <v>213</v>
      </c>
      <c r="BR651">
        <v>1</v>
      </c>
    </row>
    <row r="652" spans="1:70" x14ac:dyDescent="0.25">
      <c r="A652" t="s">
        <v>2899</v>
      </c>
      <c r="B652" t="s">
        <v>206</v>
      </c>
      <c r="C652">
        <v>1</v>
      </c>
      <c r="D652" t="s">
        <v>2900</v>
      </c>
      <c r="E652">
        <v>1219</v>
      </c>
      <c r="F652" t="str">
        <f t="shared" si="220"/>
        <v>enemy_1219_mtrbty_2</v>
      </c>
      <c r="G652">
        <v>1</v>
      </c>
      <c r="K652">
        <v>23000</v>
      </c>
      <c r="M652">
        <v>700</v>
      </c>
      <c r="O652">
        <v>550</v>
      </c>
      <c r="Q652">
        <v>60</v>
      </c>
      <c r="Y652">
        <v>0.05</v>
      </c>
      <c r="Z652">
        <v>2.7</v>
      </c>
      <c r="AA652">
        <v>4</v>
      </c>
      <c r="AB652">
        <v>0.8</v>
      </c>
      <c r="AE652">
        <v>0</v>
      </c>
      <c r="AF652">
        <v>1</v>
      </c>
      <c r="AG652" t="s">
        <v>2901</v>
      </c>
      <c r="AH652" t="s">
        <v>209</v>
      </c>
      <c r="AI652" t="s">
        <v>231</v>
      </c>
      <c r="AK652">
        <v>1</v>
      </c>
      <c r="AT652">
        <v>1</v>
      </c>
      <c r="AV652">
        <v>0.25</v>
      </c>
      <c r="BC652" t="str">
        <f t="shared" si="221"/>
        <v>enemy_1219_mtrbty_2</v>
      </c>
      <c r="BI652" t="s">
        <v>1909</v>
      </c>
      <c r="BJ652" t="s">
        <v>2898</v>
      </c>
      <c r="BL652" t="s">
        <v>210</v>
      </c>
      <c r="BM652" t="s">
        <v>211</v>
      </c>
      <c r="BN652" t="s">
        <v>232</v>
      </c>
      <c r="BO652" t="s">
        <v>213</v>
      </c>
      <c r="BR652">
        <v>1</v>
      </c>
    </row>
    <row r="653" spans="1:70" x14ac:dyDescent="0.25">
      <c r="A653" t="s">
        <v>2902</v>
      </c>
      <c r="B653" t="s">
        <v>206</v>
      </c>
      <c r="C653">
        <v>1</v>
      </c>
      <c r="D653" t="s">
        <v>2903</v>
      </c>
      <c r="E653">
        <v>1527</v>
      </c>
      <c r="F653" t="str">
        <f t="shared" si="220"/>
        <v>enemy_1527_martyr</v>
      </c>
      <c r="G653">
        <v>1</v>
      </c>
      <c r="K653">
        <v>27000</v>
      </c>
      <c r="M653">
        <v>750</v>
      </c>
      <c r="O653">
        <v>550</v>
      </c>
      <c r="Q653">
        <v>60</v>
      </c>
      <c r="Y653">
        <v>0.05</v>
      </c>
      <c r="Z653">
        <v>5</v>
      </c>
      <c r="AA653">
        <v>10</v>
      </c>
      <c r="AB653">
        <v>0.5</v>
      </c>
      <c r="AE653">
        <v>0</v>
      </c>
      <c r="AF653">
        <v>1</v>
      </c>
      <c r="AG653" t="s">
        <v>2904</v>
      </c>
      <c r="AH653" t="s">
        <v>209</v>
      </c>
      <c r="AI653" t="s">
        <v>231</v>
      </c>
      <c r="AK653">
        <v>1</v>
      </c>
      <c r="AT653">
        <v>1</v>
      </c>
      <c r="AV653">
        <v>0.25</v>
      </c>
      <c r="BC653" t="str">
        <f t="shared" si="221"/>
        <v>enemy_1527_martyr</v>
      </c>
      <c r="BI653" t="s">
        <v>1333</v>
      </c>
      <c r="BJ653" t="s">
        <v>2905</v>
      </c>
      <c r="BL653" t="s">
        <v>210</v>
      </c>
      <c r="BM653" t="s">
        <v>2906</v>
      </c>
      <c r="BN653" t="s">
        <v>2907</v>
      </c>
      <c r="BO653" t="s">
        <v>213</v>
      </c>
      <c r="BR653">
        <v>1</v>
      </c>
    </row>
    <row r="654" spans="1:70" x14ac:dyDescent="0.25">
      <c r="A654" t="s">
        <v>2908</v>
      </c>
      <c r="B654" t="s">
        <v>206</v>
      </c>
      <c r="C654">
        <v>1</v>
      </c>
      <c r="D654" t="s">
        <v>2909</v>
      </c>
      <c r="E654">
        <v>1220</v>
      </c>
      <c r="F654" t="str">
        <f t="shared" si="220"/>
        <v>enemy_1220_dzoms</v>
      </c>
      <c r="G654">
        <v>1</v>
      </c>
      <c r="K654">
        <v>1500</v>
      </c>
      <c r="M654">
        <v>280</v>
      </c>
      <c r="O654">
        <v>100</v>
      </c>
      <c r="Q654">
        <v>10</v>
      </c>
      <c r="Y654">
        <v>0.05</v>
      </c>
      <c r="Z654">
        <v>2.5</v>
      </c>
      <c r="AA654">
        <v>0</v>
      </c>
      <c r="AB654">
        <v>1</v>
      </c>
      <c r="AE654">
        <v>0</v>
      </c>
      <c r="AF654">
        <v>1</v>
      </c>
      <c r="AG654" t="s">
        <v>2910</v>
      </c>
      <c r="AH654" t="s">
        <v>209</v>
      </c>
      <c r="AI654" t="s">
        <v>231</v>
      </c>
      <c r="AK654">
        <v>1</v>
      </c>
      <c r="AT654">
        <v>1</v>
      </c>
      <c r="AV654">
        <v>0.25</v>
      </c>
      <c r="BC654" t="str">
        <f t="shared" si="221"/>
        <v>enemy_1220_dzoms</v>
      </c>
      <c r="BI654" t="s">
        <v>2911</v>
      </c>
      <c r="BJ654" t="s">
        <v>2912</v>
      </c>
      <c r="BL654" t="s">
        <v>210</v>
      </c>
      <c r="BM654" t="s">
        <v>211</v>
      </c>
      <c r="BN654" t="s">
        <v>232</v>
      </c>
      <c r="BO654" t="s">
        <v>213</v>
      </c>
      <c r="BR654">
        <v>1</v>
      </c>
    </row>
    <row r="655" spans="1:70" x14ac:dyDescent="0.25">
      <c r="A655" t="s">
        <v>2913</v>
      </c>
      <c r="B655" t="s">
        <v>206</v>
      </c>
      <c r="C655">
        <v>1</v>
      </c>
      <c r="D655" t="s">
        <v>2914</v>
      </c>
      <c r="E655">
        <v>1220</v>
      </c>
      <c r="F655" t="str">
        <f t="shared" si="220"/>
        <v>enemy_1220_dzoms_2</v>
      </c>
      <c r="G655">
        <v>1</v>
      </c>
      <c r="K655">
        <v>1500</v>
      </c>
      <c r="M655">
        <v>380</v>
      </c>
      <c r="O655">
        <v>100</v>
      </c>
      <c r="Q655">
        <v>10</v>
      </c>
      <c r="Y655">
        <v>0.05</v>
      </c>
      <c r="Z655">
        <v>2.5</v>
      </c>
      <c r="AA655">
        <v>0</v>
      </c>
      <c r="AB655">
        <v>1</v>
      </c>
      <c r="AE655">
        <v>0</v>
      </c>
      <c r="AF655">
        <v>1</v>
      </c>
      <c r="AG655" t="s">
        <v>2915</v>
      </c>
      <c r="AH655" t="s">
        <v>209</v>
      </c>
      <c r="AI655" t="s">
        <v>231</v>
      </c>
      <c r="AK655">
        <v>1</v>
      </c>
      <c r="AT655">
        <v>1</v>
      </c>
      <c r="AV655">
        <v>0.25</v>
      </c>
      <c r="BC655" t="str">
        <f t="shared" si="221"/>
        <v>enemy_1220_dzoms_2</v>
      </c>
      <c r="BI655" t="s">
        <v>2911</v>
      </c>
      <c r="BJ655" t="s">
        <v>2912</v>
      </c>
      <c r="BL655" t="s">
        <v>210</v>
      </c>
      <c r="BM655" t="s">
        <v>211</v>
      </c>
      <c r="BN655" t="s">
        <v>232</v>
      </c>
      <c r="BO655" t="s">
        <v>213</v>
      </c>
      <c r="BR655">
        <v>1</v>
      </c>
    </row>
    <row r="656" spans="1:70" x14ac:dyDescent="0.25">
      <c r="A656" t="s">
        <v>2916</v>
      </c>
      <c r="B656" t="s">
        <v>206</v>
      </c>
      <c r="C656">
        <v>1</v>
      </c>
      <c r="D656" t="s">
        <v>2917</v>
      </c>
      <c r="E656">
        <v>1221</v>
      </c>
      <c r="F656" t="str">
        <f t="shared" si="220"/>
        <v>enemy_1221_dzomg</v>
      </c>
      <c r="G656">
        <v>1</v>
      </c>
      <c r="K656">
        <v>3000</v>
      </c>
      <c r="M656">
        <v>680</v>
      </c>
      <c r="O656">
        <v>200</v>
      </c>
      <c r="Q656">
        <v>20</v>
      </c>
      <c r="Y656">
        <v>0.05</v>
      </c>
      <c r="Z656">
        <v>4</v>
      </c>
      <c r="AA656">
        <v>3</v>
      </c>
      <c r="AB656">
        <v>0.7</v>
      </c>
      <c r="AE656">
        <v>0</v>
      </c>
      <c r="AF656">
        <v>1</v>
      </c>
      <c r="AG656" t="s">
        <v>2918</v>
      </c>
      <c r="AH656" t="s">
        <v>209</v>
      </c>
      <c r="AI656" t="s">
        <v>231</v>
      </c>
      <c r="AK656">
        <v>1</v>
      </c>
      <c r="AT656">
        <v>1</v>
      </c>
      <c r="AV656">
        <v>0.25</v>
      </c>
      <c r="BC656" t="str">
        <f t="shared" si="221"/>
        <v>enemy_1221_dzomg</v>
      </c>
      <c r="BI656" t="s">
        <v>2911</v>
      </c>
      <c r="BJ656" t="s">
        <v>2912</v>
      </c>
      <c r="BL656" t="s">
        <v>210</v>
      </c>
      <c r="BM656" t="s">
        <v>211</v>
      </c>
      <c r="BN656" t="s">
        <v>232</v>
      </c>
      <c r="BO656" t="s">
        <v>213</v>
      </c>
      <c r="BR656">
        <v>1</v>
      </c>
    </row>
    <row r="657" spans="1:70" x14ac:dyDescent="0.25">
      <c r="A657" t="s">
        <v>2919</v>
      </c>
      <c r="B657" t="s">
        <v>206</v>
      </c>
      <c r="C657">
        <v>1</v>
      </c>
      <c r="D657" t="s">
        <v>2920</v>
      </c>
      <c r="E657">
        <v>1221</v>
      </c>
      <c r="F657" t="str">
        <f t="shared" si="220"/>
        <v>enemy_1221_dzomg_2</v>
      </c>
      <c r="G657">
        <v>1</v>
      </c>
      <c r="K657">
        <v>3000</v>
      </c>
      <c r="M657">
        <v>800</v>
      </c>
      <c r="O657">
        <v>200</v>
      </c>
      <c r="Q657">
        <v>20</v>
      </c>
      <c r="Y657">
        <v>0.05</v>
      </c>
      <c r="Z657">
        <v>4</v>
      </c>
      <c r="AA657">
        <v>3</v>
      </c>
      <c r="AB657">
        <v>0.7</v>
      </c>
      <c r="AE657">
        <v>0</v>
      </c>
      <c r="AF657">
        <v>1</v>
      </c>
      <c r="AG657" t="s">
        <v>2921</v>
      </c>
      <c r="AH657" t="s">
        <v>209</v>
      </c>
      <c r="AI657" t="s">
        <v>231</v>
      </c>
      <c r="AK657">
        <v>1</v>
      </c>
      <c r="AT657">
        <v>1</v>
      </c>
      <c r="AV657">
        <v>0.25</v>
      </c>
      <c r="BC657" t="str">
        <f t="shared" si="221"/>
        <v>enemy_1221_dzomg_2</v>
      </c>
      <c r="BI657" t="s">
        <v>2911</v>
      </c>
      <c r="BJ657" t="s">
        <v>2912</v>
      </c>
      <c r="BL657" t="s">
        <v>210</v>
      </c>
      <c r="BM657" t="s">
        <v>211</v>
      </c>
      <c r="BN657" t="s">
        <v>232</v>
      </c>
      <c r="BO657" t="s">
        <v>213</v>
      </c>
      <c r="BR657">
        <v>1</v>
      </c>
    </row>
    <row r="658" spans="1:70" x14ac:dyDescent="0.25">
      <c r="A658" t="s">
        <v>2922</v>
      </c>
      <c r="B658" t="s">
        <v>206</v>
      </c>
      <c r="C658">
        <v>1</v>
      </c>
      <c r="D658" t="s">
        <v>2923</v>
      </c>
      <c r="E658">
        <v>1222</v>
      </c>
      <c r="F658" t="str">
        <f t="shared" si="220"/>
        <v>enemy_1222_dpvt</v>
      </c>
      <c r="G658">
        <v>1</v>
      </c>
      <c r="K658">
        <v>3600</v>
      </c>
      <c r="M658">
        <v>340</v>
      </c>
      <c r="O658">
        <v>120</v>
      </c>
      <c r="Q658">
        <v>30</v>
      </c>
      <c r="Y658">
        <v>0.05</v>
      </c>
      <c r="Z658">
        <v>2</v>
      </c>
      <c r="AA658">
        <v>1</v>
      </c>
      <c r="AB658">
        <v>1</v>
      </c>
      <c r="AE658">
        <v>0</v>
      </c>
      <c r="AF658">
        <v>1</v>
      </c>
      <c r="AG658" t="s">
        <v>2924</v>
      </c>
      <c r="AH658" t="s">
        <v>209</v>
      </c>
      <c r="AI658" t="s">
        <v>231</v>
      </c>
      <c r="AK658">
        <v>1</v>
      </c>
      <c r="AT658">
        <v>1</v>
      </c>
      <c r="AV658">
        <v>0.25</v>
      </c>
      <c r="BC658" t="str">
        <f t="shared" si="221"/>
        <v>enemy_1222_dpvt</v>
      </c>
      <c r="BI658" t="s">
        <v>2925</v>
      </c>
      <c r="BJ658" t="s">
        <v>2926</v>
      </c>
      <c r="BL658" t="s">
        <v>210</v>
      </c>
      <c r="BM658" t="s">
        <v>211</v>
      </c>
      <c r="BN658" t="s">
        <v>232</v>
      </c>
      <c r="BO658" t="s">
        <v>213</v>
      </c>
      <c r="BR658">
        <v>1</v>
      </c>
    </row>
    <row r="659" spans="1:70" x14ac:dyDescent="0.25">
      <c r="A659" t="s">
        <v>2927</v>
      </c>
      <c r="B659" t="s">
        <v>206</v>
      </c>
      <c r="C659">
        <v>1</v>
      </c>
      <c r="D659" t="s">
        <v>2928</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2929</v>
      </c>
      <c r="AH659" t="s">
        <v>209</v>
      </c>
      <c r="AI659" t="s">
        <v>231</v>
      </c>
      <c r="AK659">
        <v>1</v>
      </c>
      <c r="AT659">
        <v>1</v>
      </c>
      <c r="AV659">
        <v>0.25</v>
      </c>
      <c r="BC659" t="str">
        <f t="shared" ref="BC659:BC703" si="223">"enemy_"&amp;E659&amp;"_"&amp;D659</f>
        <v>enemy_1222_dpvt_2</v>
      </c>
      <c r="BI659" t="s">
        <v>2925</v>
      </c>
      <c r="BJ659" t="s">
        <v>2930</v>
      </c>
      <c r="BL659" t="s">
        <v>210</v>
      </c>
      <c r="BM659" t="s">
        <v>211</v>
      </c>
      <c r="BN659" t="s">
        <v>232</v>
      </c>
      <c r="BO659" t="s">
        <v>213</v>
      </c>
      <c r="BR659">
        <v>1</v>
      </c>
    </row>
    <row r="660" spans="1:70" x14ac:dyDescent="0.25">
      <c r="A660" t="s">
        <v>2931</v>
      </c>
      <c r="B660" t="s">
        <v>206</v>
      </c>
      <c r="C660">
        <v>1</v>
      </c>
      <c r="D660" t="s">
        <v>2932</v>
      </c>
      <c r="E660">
        <v>1223</v>
      </c>
      <c r="F660" t="str">
        <f t="shared" si="222"/>
        <v>enemy_1223_dmech</v>
      </c>
      <c r="G660">
        <v>1</v>
      </c>
      <c r="K660">
        <v>6000</v>
      </c>
      <c r="M660">
        <v>300</v>
      </c>
      <c r="O660">
        <v>250</v>
      </c>
      <c r="Q660">
        <v>20</v>
      </c>
      <c r="Y660">
        <v>0.05</v>
      </c>
      <c r="Z660">
        <v>2</v>
      </c>
      <c r="AA660">
        <v>1</v>
      </c>
      <c r="AB660">
        <v>1</v>
      </c>
      <c r="AE660">
        <v>0</v>
      </c>
      <c r="AF660">
        <v>1</v>
      </c>
      <c r="AG660" t="s">
        <v>2933</v>
      </c>
      <c r="AH660" t="s">
        <v>209</v>
      </c>
      <c r="AI660" t="s">
        <v>231</v>
      </c>
      <c r="AK660">
        <v>1</v>
      </c>
      <c r="AT660">
        <v>1</v>
      </c>
      <c r="AV660">
        <v>0.25</v>
      </c>
      <c r="BC660" t="str">
        <f t="shared" si="223"/>
        <v>enemy_1223_dmech</v>
      </c>
      <c r="BI660" t="s">
        <v>2925</v>
      </c>
      <c r="BJ660" t="s">
        <v>2934</v>
      </c>
      <c r="BL660" t="s">
        <v>210</v>
      </c>
      <c r="BM660" t="s">
        <v>211</v>
      </c>
      <c r="BN660" t="s">
        <v>232</v>
      </c>
      <c r="BO660" t="s">
        <v>213</v>
      </c>
      <c r="BR660">
        <v>1</v>
      </c>
    </row>
    <row r="661" spans="1:70" x14ac:dyDescent="0.25">
      <c r="A661" t="s">
        <v>2935</v>
      </c>
      <c r="B661" t="s">
        <v>206</v>
      </c>
      <c r="C661">
        <v>1</v>
      </c>
      <c r="D661" t="s">
        <v>2936</v>
      </c>
      <c r="E661">
        <v>1223</v>
      </c>
      <c r="F661" t="str">
        <f t="shared" si="222"/>
        <v>enemy_1223_dmech_2</v>
      </c>
      <c r="G661">
        <v>1</v>
      </c>
      <c r="K661">
        <v>8000</v>
      </c>
      <c r="M661">
        <v>380</v>
      </c>
      <c r="O661">
        <v>350</v>
      </c>
      <c r="Q661">
        <v>20</v>
      </c>
      <c r="Y661">
        <v>0.05</v>
      </c>
      <c r="Z661">
        <v>2</v>
      </c>
      <c r="AA661">
        <v>1</v>
      </c>
      <c r="AB661">
        <v>1</v>
      </c>
      <c r="AE661">
        <v>0</v>
      </c>
      <c r="AF661">
        <v>1</v>
      </c>
      <c r="AG661" t="s">
        <v>2937</v>
      </c>
      <c r="AH661" t="s">
        <v>209</v>
      </c>
      <c r="AI661" t="s">
        <v>231</v>
      </c>
      <c r="AK661">
        <v>1</v>
      </c>
      <c r="AT661">
        <v>1</v>
      </c>
      <c r="AV661">
        <v>0.25</v>
      </c>
      <c r="BC661" t="str">
        <f t="shared" si="223"/>
        <v>enemy_1223_dmech_2</v>
      </c>
      <c r="BI661" t="s">
        <v>2925</v>
      </c>
      <c r="BJ661" t="s">
        <v>2938</v>
      </c>
      <c r="BL661" t="s">
        <v>210</v>
      </c>
      <c r="BM661" t="s">
        <v>211</v>
      </c>
      <c r="BN661" t="s">
        <v>232</v>
      </c>
      <c r="BO661" t="s">
        <v>213</v>
      </c>
      <c r="BR661">
        <v>1</v>
      </c>
    </row>
    <row r="662" spans="1:70" x14ac:dyDescent="0.25">
      <c r="A662" t="s">
        <v>2939</v>
      </c>
      <c r="B662" t="s">
        <v>206</v>
      </c>
      <c r="C662">
        <v>1</v>
      </c>
      <c r="D662" t="s">
        <v>2940</v>
      </c>
      <c r="E662">
        <v>1224</v>
      </c>
      <c r="F662" t="str">
        <f t="shared" si="222"/>
        <v>enemy_1224_dsuply</v>
      </c>
      <c r="G662">
        <v>1</v>
      </c>
      <c r="K662">
        <v>7000</v>
      </c>
      <c r="M662">
        <v>340</v>
      </c>
      <c r="O662">
        <v>550</v>
      </c>
      <c r="Q662">
        <v>10</v>
      </c>
      <c r="Y662">
        <v>0.05</v>
      </c>
      <c r="Z662">
        <v>1.7</v>
      </c>
      <c r="AA662">
        <v>4</v>
      </c>
      <c r="AB662">
        <v>0.7</v>
      </c>
      <c r="AE662">
        <v>0</v>
      </c>
      <c r="AF662">
        <v>1</v>
      </c>
      <c r="AG662" t="s">
        <v>2941</v>
      </c>
      <c r="AH662" t="s">
        <v>209</v>
      </c>
      <c r="AI662" t="s">
        <v>231</v>
      </c>
      <c r="AK662">
        <v>1</v>
      </c>
      <c r="AT662">
        <v>1</v>
      </c>
      <c r="AV662">
        <v>0.25</v>
      </c>
      <c r="BC662" t="str">
        <f t="shared" si="223"/>
        <v>enemy_1224_dsuply</v>
      </c>
      <c r="BI662" t="s">
        <v>2380</v>
      </c>
      <c r="BJ662" t="s">
        <v>2942</v>
      </c>
      <c r="BL662" t="s">
        <v>210</v>
      </c>
      <c r="BM662" t="s">
        <v>211</v>
      </c>
      <c r="BN662" t="s">
        <v>232</v>
      </c>
      <c r="BO662" t="s">
        <v>213</v>
      </c>
      <c r="BR662">
        <v>1</v>
      </c>
    </row>
    <row r="663" spans="1:70" x14ac:dyDescent="0.25">
      <c r="A663" t="s">
        <v>2943</v>
      </c>
      <c r="B663" t="s">
        <v>206</v>
      </c>
      <c r="C663">
        <v>1</v>
      </c>
      <c r="D663" t="s">
        <v>2944</v>
      </c>
      <c r="E663">
        <v>1224</v>
      </c>
      <c r="F663" t="str">
        <f t="shared" si="222"/>
        <v>enemy_1224_dsuply_2</v>
      </c>
      <c r="G663">
        <v>1</v>
      </c>
      <c r="K663">
        <v>9000</v>
      </c>
      <c r="M663">
        <v>420</v>
      </c>
      <c r="O663">
        <v>600</v>
      </c>
      <c r="Q663">
        <v>10</v>
      </c>
      <c r="Y663">
        <v>0.05</v>
      </c>
      <c r="Z663">
        <v>1.7</v>
      </c>
      <c r="AA663">
        <v>4</v>
      </c>
      <c r="AB663">
        <v>0.7</v>
      </c>
      <c r="AE663">
        <v>0</v>
      </c>
      <c r="AF663">
        <v>1</v>
      </c>
      <c r="AG663" t="s">
        <v>2945</v>
      </c>
      <c r="AH663" t="s">
        <v>209</v>
      </c>
      <c r="AI663" t="s">
        <v>231</v>
      </c>
      <c r="AK663">
        <v>1</v>
      </c>
      <c r="AT663">
        <v>1</v>
      </c>
      <c r="AV663">
        <v>0.25</v>
      </c>
      <c r="BC663" t="str">
        <f t="shared" si="223"/>
        <v>enemy_1224_dsuply_2</v>
      </c>
      <c r="BI663" t="s">
        <v>2380</v>
      </c>
      <c r="BJ663" t="s">
        <v>2942</v>
      </c>
      <c r="BL663" t="s">
        <v>210</v>
      </c>
      <c r="BM663" t="s">
        <v>211</v>
      </c>
      <c r="BN663" t="s">
        <v>232</v>
      </c>
      <c r="BO663" t="s">
        <v>213</v>
      </c>
      <c r="BR663">
        <v>1</v>
      </c>
    </row>
    <row r="664" spans="1:70" x14ac:dyDescent="0.25">
      <c r="A664" t="s">
        <v>2946</v>
      </c>
      <c r="B664" t="s">
        <v>206</v>
      </c>
      <c r="C664">
        <v>1</v>
      </c>
      <c r="D664" t="s">
        <v>2947</v>
      </c>
      <c r="E664">
        <v>1225</v>
      </c>
      <c r="F664" t="str">
        <f t="shared" si="222"/>
        <v>enemy_1225_dkmage</v>
      </c>
      <c r="G664">
        <v>1</v>
      </c>
      <c r="K664">
        <v>12000</v>
      </c>
      <c r="M664">
        <v>420</v>
      </c>
      <c r="O664">
        <v>450</v>
      </c>
      <c r="Q664">
        <v>50</v>
      </c>
      <c r="Y664">
        <v>0.05</v>
      </c>
      <c r="Z664">
        <v>4</v>
      </c>
      <c r="AA664">
        <v>3</v>
      </c>
      <c r="AB664">
        <v>0.7</v>
      </c>
      <c r="AE664">
        <v>0</v>
      </c>
      <c r="AF664">
        <v>1</v>
      </c>
      <c r="AG664" t="s">
        <v>2948</v>
      </c>
      <c r="AH664" t="s">
        <v>209</v>
      </c>
      <c r="AI664" t="s">
        <v>231</v>
      </c>
      <c r="AK664">
        <v>1</v>
      </c>
      <c r="AT664">
        <v>1</v>
      </c>
      <c r="AV664">
        <v>0.25</v>
      </c>
      <c r="BC664" t="str">
        <f t="shared" si="223"/>
        <v>enemy_1225_dkmage</v>
      </c>
      <c r="BI664" t="s">
        <v>2949</v>
      </c>
      <c r="BJ664" t="s">
        <v>2950</v>
      </c>
      <c r="BL664" t="s">
        <v>210</v>
      </c>
      <c r="BM664" t="s">
        <v>211</v>
      </c>
      <c r="BN664" t="s">
        <v>232</v>
      </c>
      <c r="BO664" t="s">
        <v>213</v>
      </c>
      <c r="BR664">
        <v>1</v>
      </c>
    </row>
    <row r="665" spans="1:70" x14ac:dyDescent="0.25">
      <c r="A665" t="s">
        <v>2951</v>
      </c>
      <c r="B665" t="s">
        <v>206</v>
      </c>
      <c r="C665">
        <v>1</v>
      </c>
      <c r="D665" t="s">
        <v>2952</v>
      </c>
      <c r="E665">
        <v>1225</v>
      </c>
      <c r="F665" t="str">
        <f t="shared" si="222"/>
        <v>enemy_1225_dkmage_2</v>
      </c>
      <c r="G665">
        <v>1</v>
      </c>
      <c r="K665">
        <v>16000</v>
      </c>
      <c r="M665">
        <v>550</v>
      </c>
      <c r="O665">
        <v>550</v>
      </c>
      <c r="Q665">
        <v>50</v>
      </c>
      <c r="Y665">
        <v>0.05</v>
      </c>
      <c r="Z665">
        <v>4</v>
      </c>
      <c r="AA665">
        <v>3</v>
      </c>
      <c r="AB665">
        <v>0.7</v>
      </c>
      <c r="AE665">
        <v>0</v>
      </c>
      <c r="AF665">
        <v>1</v>
      </c>
      <c r="AG665" t="s">
        <v>2953</v>
      </c>
      <c r="AH665" t="s">
        <v>209</v>
      </c>
      <c r="AI665" t="s">
        <v>231</v>
      </c>
      <c r="AK665">
        <v>1</v>
      </c>
      <c r="AT665">
        <v>1</v>
      </c>
      <c r="AV665">
        <v>0.25</v>
      </c>
      <c r="BC665" t="str">
        <f t="shared" si="223"/>
        <v>enemy_1225_dkmage_2</v>
      </c>
      <c r="BI665" t="s">
        <v>2949</v>
      </c>
      <c r="BJ665" t="s">
        <v>2954</v>
      </c>
      <c r="BL665" t="s">
        <v>210</v>
      </c>
      <c r="BM665" t="s">
        <v>211</v>
      </c>
      <c r="BN665" t="s">
        <v>232</v>
      </c>
      <c r="BO665" t="s">
        <v>213</v>
      </c>
      <c r="BR665">
        <v>1</v>
      </c>
    </row>
    <row r="666" spans="1:70" x14ac:dyDescent="0.25">
      <c r="A666" t="s">
        <v>2955</v>
      </c>
      <c r="B666" t="s">
        <v>206</v>
      </c>
      <c r="C666">
        <v>1</v>
      </c>
      <c r="D666" t="s">
        <v>2956</v>
      </c>
      <c r="E666">
        <v>1226</v>
      </c>
      <c r="F666" t="str">
        <f t="shared" si="222"/>
        <v>enemy_1226_dklord</v>
      </c>
      <c r="G666">
        <v>1</v>
      </c>
      <c r="K666">
        <v>14000</v>
      </c>
      <c r="M666">
        <v>1000</v>
      </c>
      <c r="O666">
        <v>800</v>
      </c>
      <c r="Q666">
        <v>20</v>
      </c>
      <c r="Y666">
        <v>0.05</v>
      </c>
      <c r="Z666">
        <v>5</v>
      </c>
      <c r="AA666">
        <v>4</v>
      </c>
      <c r="AB666">
        <v>0.5</v>
      </c>
      <c r="AE666">
        <v>0</v>
      </c>
      <c r="AF666">
        <v>1</v>
      </c>
      <c r="AG666" t="s">
        <v>2957</v>
      </c>
      <c r="AH666" t="s">
        <v>209</v>
      </c>
      <c r="AI666" t="s">
        <v>231</v>
      </c>
      <c r="AK666">
        <v>1</v>
      </c>
      <c r="AT666">
        <v>1</v>
      </c>
      <c r="AV666">
        <v>0.25</v>
      </c>
      <c r="BC666" t="str">
        <f t="shared" si="223"/>
        <v>enemy_1226_dklord</v>
      </c>
      <c r="BI666" t="s">
        <v>2958</v>
      </c>
      <c r="BJ666" t="s">
        <v>2959</v>
      </c>
      <c r="BL666" t="s">
        <v>210</v>
      </c>
      <c r="BM666" t="s">
        <v>211</v>
      </c>
      <c r="BN666" t="s">
        <v>232</v>
      </c>
      <c r="BO666" t="s">
        <v>213</v>
      </c>
      <c r="BR666">
        <v>1</v>
      </c>
    </row>
    <row r="667" spans="1:70" x14ac:dyDescent="0.25">
      <c r="A667" t="s">
        <v>2960</v>
      </c>
      <c r="B667" t="s">
        <v>206</v>
      </c>
      <c r="C667">
        <v>1</v>
      </c>
      <c r="D667" t="s">
        <v>2961</v>
      </c>
      <c r="E667">
        <v>1226</v>
      </c>
      <c r="F667" t="str">
        <f t="shared" si="222"/>
        <v>enemy_1226_dklord_2</v>
      </c>
      <c r="G667">
        <v>1</v>
      </c>
      <c r="K667">
        <v>20000</v>
      </c>
      <c r="M667">
        <v>1200</v>
      </c>
      <c r="O667">
        <v>800</v>
      </c>
      <c r="Q667">
        <v>20</v>
      </c>
      <c r="Y667">
        <v>0.05</v>
      </c>
      <c r="Z667">
        <v>5</v>
      </c>
      <c r="AA667">
        <v>4</v>
      </c>
      <c r="AB667">
        <v>0.5</v>
      </c>
      <c r="AE667">
        <v>0</v>
      </c>
      <c r="AF667">
        <v>1</v>
      </c>
      <c r="AG667" t="s">
        <v>2962</v>
      </c>
      <c r="AH667" t="s">
        <v>209</v>
      </c>
      <c r="AI667" t="s">
        <v>231</v>
      </c>
      <c r="AK667">
        <v>1</v>
      </c>
      <c r="AT667">
        <v>1</v>
      </c>
      <c r="AV667">
        <v>0.25</v>
      </c>
      <c r="BC667" t="str">
        <f t="shared" si="223"/>
        <v>enemy_1226_dklord_2</v>
      </c>
      <c r="BI667" t="s">
        <v>2958</v>
      </c>
      <c r="BJ667" t="s">
        <v>2963</v>
      </c>
      <c r="BL667" t="s">
        <v>210</v>
      </c>
      <c r="BM667" t="s">
        <v>211</v>
      </c>
      <c r="BN667" t="s">
        <v>232</v>
      </c>
      <c r="BO667" t="s">
        <v>213</v>
      </c>
      <c r="BR667">
        <v>1</v>
      </c>
    </row>
    <row r="668" spans="1:70" x14ac:dyDescent="0.25">
      <c r="A668" t="s">
        <v>2964</v>
      </c>
      <c r="B668" t="s">
        <v>206</v>
      </c>
      <c r="C668">
        <v>1</v>
      </c>
      <c r="D668" t="s">
        <v>2965</v>
      </c>
      <c r="E668">
        <v>1227</v>
      </c>
      <c r="F668" t="str">
        <f t="shared" si="222"/>
        <v>enemy_1227_dair</v>
      </c>
      <c r="G668">
        <v>1</v>
      </c>
      <c r="K668">
        <v>6000</v>
      </c>
      <c r="M668">
        <v>500</v>
      </c>
      <c r="O668">
        <v>150</v>
      </c>
      <c r="Q668">
        <v>10</v>
      </c>
      <c r="Y668">
        <v>0.05</v>
      </c>
      <c r="Z668">
        <v>4.5</v>
      </c>
      <c r="AA668">
        <v>1</v>
      </c>
      <c r="AB668">
        <v>0.5</v>
      </c>
      <c r="AE668">
        <v>0</v>
      </c>
      <c r="AF668">
        <v>1</v>
      </c>
      <c r="AG668" t="s">
        <v>2966</v>
      </c>
      <c r="AH668" t="s">
        <v>209</v>
      </c>
      <c r="AI668" t="s">
        <v>231</v>
      </c>
      <c r="AK668">
        <v>1</v>
      </c>
      <c r="AT668">
        <v>1</v>
      </c>
      <c r="AV668">
        <v>0.25</v>
      </c>
      <c r="BC668" t="str">
        <f t="shared" si="223"/>
        <v>enemy_1227_dair</v>
      </c>
      <c r="BI668" t="s">
        <v>1032</v>
      </c>
      <c r="BJ668" t="s">
        <v>2967</v>
      </c>
      <c r="BL668" t="s">
        <v>210</v>
      </c>
      <c r="BM668" t="s">
        <v>211</v>
      </c>
      <c r="BN668" t="s">
        <v>232</v>
      </c>
      <c r="BO668" t="s">
        <v>213</v>
      </c>
      <c r="BR668">
        <v>1</v>
      </c>
    </row>
    <row r="669" spans="1:70" x14ac:dyDescent="0.25">
      <c r="A669" t="s">
        <v>2968</v>
      </c>
      <c r="B669" t="s">
        <v>206</v>
      </c>
      <c r="C669">
        <v>1</v>
      </c>
      <c r="D669" t="s">
        <v>2969</v>
      </c>
      <c r="E669">
        <v>1227</v>
      </c>
      <c r="F669" t="str">
        <f t="shared" si="222"/>
        <v>enemy_1227_dair_2</v>
      </c>
      <c r="G669">
        <v>1</v>
      </c>
      <c r="K669">
        <v>9000</v>
      </c>
      <c r="M669">
        <v>650</v>
      </c>
      <c r="O669">
        <v>220</v>
      </c>
      <c r="Q669">
        <v>10</v>
      </c>
      <c r="Y669">
        <v>0.05</v>
      </c>
      <c r="Z669">
        <v>4.5</v>
      </c>
      <c r="AA669">
        <v>1</v>
      </c>
      <c r="AB669">
        <v>0.5</v>
      </c>
      <c r="AE669">
        <v>0</v>
      </c>
      <c r="AF669">
        <v>1</v>
      </c>
      <c r="AG669" t="s">
        <v>2970</v>
      </c>
      <c r="AH669" t="s">
        <v>209</v>
      </c>
      <c r="AI669" t="s">
        <v>231</v>
      </c>
      <c r="AK669">
        <v>1</v>
      </c>
      <c r="AT669">
        <v>1</v>
      </c>
      <c r="AV669">
        <v>0.25</v>
      </c>
      <c r="BC669" t="str">
        <f t="shared" si="223"/>
        <v>enemy_1227_dair_2</v>
      </c>
      <c r="BI669" t="s">
        <v>1032</v>
      </c>
      <c r="BJ669" t="s">
        <v>2967</v>
      </c>
      <c r="BL669" t="s">
        <v>210</v>
      </c>
      <c r="BM669" t="s">
        <v>211</v>
      </c>
      <c r="BN669" t="s">
        <v>232</v>
      </c>
      <c r="BO669" t="s">
        <v>213</v>
      </c>
      <c r="BR669">
        <v>1</v>
      </c>
    </row>
    <row r="670" spans="1:70" x14ac:dyDescent="0.25">
      <c r="A670" t="s">
        <v>2971</v>
      </c>
      <c r="B670" t="s">
        <v>206</v>
      </c>
      <c r="C670">
        <v>1</v>
      </c>
      <c r="D670" t="s">
        <v>2972</v>
      </c>
      <c r="E670">
        <v>1228</v>
      </c>
      <c r="F670" t="str">
        <f t="shared" si="222"/>
        <v>enemy_1228_dslime</v>
      </c>
      <c r="G670">
        <v>1</v>
      </c>
      <c r="K670">
        <v>4000</v>
      </c>
      <c r="M670">
        <v>90</v>
      </c>
      <c r="O670">
        <v>100</v>
      </c>
      <c r="Q670">
        <v>0</v>
      </c>
      <c r="Y670">
        <v>0.05</v>
      </c>
      <c r="Z670">
        <v>0.6</v>
      </c>
      <c r="AA670">
        <v>0</v>
      </c>
      <c r="AB670">
        <v>1.7</v>
      </c>
      <c r="AE670">
        <v>0</v>
      </c>
      <c r="AF670">
        <v>1</v>
      </c>
      <c r="AG670" t="s">
        <v>2973</v>
      </c>
      <c r="AH670" t="s">
        <v>209</v>
      </c>
      <c r="AI670" t="s">
        <v>231</v>
      </c>
      <c r="AK670">
        <v>1</v>
      </c>
      <c r="AT670">
        <v>1</v>
      </c>
      <c r="AV670">
        <v>0.25</v>
      </c>
      <c r="BC670" t="str">
        <f t="shared" si="223"/>
        <v>enemy_1228_dslime</v>
      </c>
      <c r="BI670" t="s">
        <v>935</v>
      </c>
      <c r="BJ670" t="s">
        <v>2974</v>
      </c>
      <c r="BL670" t="s">
        <v>210</v>
      </c>
      <c r="BM670" t="s">
        <v>211</v>
      </c>
      <c r="BN670" t="s">
        <v>232</v>
      </c>
      <c r="BO670" t="s">
        <v>213</v>
      </c>
      <c r="BR670">
        <v>1</v>
      </c>
    </row>
    <row r="671" spans="1:70" x14ac:dyDescent="0.25">
      <c r="A671" t="s">
        <v>2975</v>
      </c>
      <c r="B671" t="s">
        <v>206</v>
      </c>
      <c r="C671">
        <v>1</v>
      </c>
      <c r="D671" t="s">
        <v>2976</v>
      </c>
      <c r="E671">
        <v>1228</v>
      </c>
      <c r="F671" t="str">
        <f t="shared" si="222"/>
        <v>enemy_1228_dslime_2</v>
      </c>
      <c r="G671">
        <v>1</v>
      </c>
      <c r="K671">
        <v>6000</v>
      </c>
      <c r="M671">
        <v>120</v>
      </c>
      <c r="O671">
        <v>100</v>
      </c>
      <c r="Q671">
        <v>0</v>
      </c>
      <c r="Y671">
        <v>0.05</v>
      </c>
      <c r="Z671">
        <v>0.6</v>
      </c>
      <c r="AA671">
        <v>0</v>
      </c>
      <c r="AB671">
        <v>1.7</v>
      </c>
      <c r="AE671">
        <v>0</v>
      </c>
      <c r="AF671">
        <v>1</v>
      </c>
      <c r="AG671" t="s">
        <v>2977</v>
      </c>
      <c r="AH671" t="s">
        <v>209</v>
      </c>
      <c r="AI671" t="s">
        <v>231</v>
      </c>
      <c r="AK671">
        <v>1</v>
      </c>
      <c r="AT671">
        <v>1</v>
      </c>
      <c r="AV671">
        <v>0.25</v>
      </c>
      <c r="BC671" t="str">
        <f t="shared" si="223"/>
        <v>enemy_1228_dslime_2</v>
      </c>
      <c r="BI671" t="s">
        <v>935</v>
      </c>
      <c r="BJ671" t="s">
        <v>2974</v>
      </c>
      <c r="BL671" t="s">
        <v>210</v>
      </c>
      <c r="BM671" t="s">
        <v>211</v>
      </c>
      <c r="BN671" t="s">
        <v>232</v>
      </c>
      <c r="BO671" t="s">
        <v>213</v>
      </c>
      <c r="BR671">
        <v>1</v>
      </c>
    </row>
    <row r="672" spans="1:70" x14ac:dyDescent="0.25">
      <c r="A672" t="s">
        <v>2978</v>
      </c>
      <c r="B672" t="s">
        <v>206</v>
      </c>
      <c r="C672">
        <v>1</v>
      </c>
      <c r="D672" t="s">
        <v>2979</v>
      </c>
      <c r="E672">
        <v>1229</v>
      </c>
      <c r="F672" t="str">
        <f t="shared" si="222"/>
        <v>enemy_1229_darmy</v>
      </c>
      <c r="G672">
        <v>1</v>
      </c>
      <c r="K672">
        <v>4200</v>
      </c>
      <c r="M672">
        <v>240</v>
      </c>
      <c r="O672">
        <v>220</v>
      </c>
      <c r="Q672">
        <v>40</v>
      </c>
      <c r="Y672">
        <v>0.05</v>
      </c>
      <c r="Z672">
        <v>2.5</v>
      </c>
      <c r="AA672">
        <v>1</v>
      </c>
      <c r="AB672">
        <v>0.9</v>
      </c>
      <c r="AE672">
        <v>0</v>
      </c>
      <c r="AF672">
        <v>1</v>
      </c>
      <c r="AG672" t="s">
        <v>2980</v>
      </c>
      <c r="AH672" t="s">
        <v>209</v>
      </c>
      <c r="AI672" t="s">
        <v>231</v>
      </c>
      <c r="AK672">
        <v>1</v>
      </c>
      <c r="AT672">
        <v>1</v>
      </c>
      <c r="AV672">
        <v>0.25</v>
      </c>
      <c r="BC672" t="str">
        <f t="shared" si="223"/>
        <v>enemy_1229_darmy</v>
      </c>
      <c r="BI672" t="s">
        <v>1478</v>
      </c>
      <c r="BJ672" t="s">
        <v>2981</v>
      </c>
      <c r="BL672" t="s">
        <v>210</v>
      </c>
      <c r="BM672" t="s">
        <v>211</v>
      </c>
      <c r="BN672" t="s">
        <v>232</v>
      </c>
      <c r="BO672" t="s">
        <v>213</v>
      </c>
      <c r="BR672">
        <v>1</v>
      </c>
    </row>
    <row r="673" spans="1:70" x14ac:dyDescent="0.25">
      <c r="A673" t="s">
        <v>2982</v>
      </c>
      <c r="B673" t="s">
        <v>206</v>
      </c>
      <c r="C673">
        <v>1</v>
      </c>
      <c r="D673" t="s">
        <v>2983</v>
      </c>
      <c r="E673">
        <v>1229</v>
      </c>
      <c r="F673" t="str">
        <f t="shared" si="222"/>
        <v>enemy_1229_darmy_2</v>
      </c>
      <c r="G673">
        <v>1</v>
      </c>
      <c r="K673">
        <v>5500</v>
      </c>
      <c r="M673">
        <v>380</v>
      </c>
      <c r="O673">
        <v>280</v>
      </c>
      <c r="Q673">
        <v>40</v>
      </c>
      <c r="Y673">
        <v>0.05</v>
      </c>
      <c r="Z673">
        <v>2.5</v>
      </c>
      <c r="AA673">
        <v>1</v>
      </c>
      <c r="AB673">
        <v>0.9</v>
      </c>
      <c r="AE673">
        <v>0</v>
      </c>
      <c r="AF673">
        <v>1</v>
      </c>
      <c r="AG673" t="s">
        <v>2984</v>
      </c>
      <c r="AH673" t="s">
        <v>209</v>
      </c>
      <c r="AI673" t="s">
        <v>231</v>
      </c>
      <c r="AK673">
        <v>1</v>
      </c>
      <c r="AT673">
        <v>1</v>
      </c>
      <c r="AV673">
        <v>0.25</v>
      </c>
      <c r="BC673" t="str">
        <f t="shared" si="223"/>
        <v>enemy_1229_darmy_2</v>
      </c>
      <c r="BI673" t="s">
        <v>1478</v>
      </c>
      <c r="BJ673" t="s">
        <v>2981</v>
      </c>
      <c r="BL673" t="s">
        <v>210</v>
      </c>
      <c r="BM673" t="s">
        <v>211</v>
      </c>
      <c r="BN673" t="s">
        <v>232</v>
      </c>
      <c r="BO673" t="s">
        <v>213</v>
      </c>
      <c r="BR673">
        <v>1</v>
      </c>
    </row>
    <row r="674" spans="1:70" x14ac:dyDescent="0.25">
      <c r="A674" t="s">
        <v>2985</v>
      </c>
      <c r="B674" t="s">
        <v>206</v>
      </c>
      <c r="C674">
        <v>1</v>
      </c>
      <c r="D674" t="s">
        <v>2986</v>
      </c>
      <c r="E674">
        <v>1528</v>
      </c>
      <c r="F674" t="str">
        <f t="shared" si="222"/>
        <v>enemy_1528_manfri</v>
      </c>
      <c r="G674">
        <v>1</v>
      </c>
      <c r="K674">
        <v>40000</v>
      </c>
      <c r="M674">
        <v>1000</v>
      </c>
      <c r="O674">
        <v>600</v>
      </c>
      <c r="Q674">
        <v>40</v>
      </c>
      <c r="Y674">
        <v>0.05</v>
      </c>
      <c r="Z674">
        <v>5</v>
      </c>
      <c r="AA674">
        <v>8</v>
      </c>
      <c r="AB674">
        <v>0.5</v>
      </c>
      <c r="AE674">
        <v>0</v>
      </c>
      <c r="AF674">
        <v>1</v>
      </c>
      <c r="AG674" t="s">
        <v>2987</v>
      </c>
      <c r="AH674" t="s">
        <v>209</v>
      </c>
      <c r="AI674" t="s">
        <v>231</v>
      </c>
      <c r="AK674">
        <v>1</v>
      </c>
      <c r="AT674">
        <v>1</v>
      </c>
      <c r="AV674">
        <v>0.25</v>
      </c>
      <c r="BC674" t="str">
        <f t="shared" si="223"/>
        <v>enemy_1528_manfri</v>
      </c>
      <c r="BI674" t="s">
        <v>1096</v>
      </c>
      <c r="BJ674" t="s">
        <v>2988</v>
      </c>
      <c r="BL674" t="s">
        <v>210</v>
      </c>
      <c r="BM674" t="s">
        <v>211</v>
      </c>
      <c r="BN674" t="s">
        <v>232</v>
      </c>
      <c r="BO674" t="s">
        <v>213</v>
      </c>
      <c r="BR674">
        <v>1</v>
      </c>
    </row>
    <row r="675" spans="1:70" x14ac:dyDescent="0.25">
      <c r="A675" t="s">
        <v>2989</v>
      </c>
      <c r="B675" t="s">
        <v>206</v>
      </c>
      <c r="C675">
        <v>1</v>
      </c>
      <c r="D675" t="s">
        <v>2990</v>
      </c>
      <c r="E675">
        <v>1230</v>
      </c>
      <c r="F675" t="str">
        <f t="shared" si="222"/>
        <v>enemy_1230_dsbudr</v>
      </c>
      <c r="G675">
        <v>1</v>
      </c>
      <c r="K675">
        <v>7000</v>
      </c>
      <c r="M675">
        <v>450</v>
      </c>
      <c r="O675">
        <v>200</v>
      </c>
      <c r="Q675">
        <v>30</v>
      </c>
      <c r="Y675">
        <v>0.05</v>
      </c>
      <c r="Z675">
        <v>3</v>
      </c>
      <c r="AA675">
        <v>2</v>
      </c>
      <c r="AB675">
        <v>1</v>
      </c>
      <c r="AE675">
        <v>0</v>
      </c>
      <c r="AF675">
        <v>1</v>
      </c>
      <c r="AG675" t="s">
        <v>2991</v>
      </c>
      <c r="AH675" t="s">
        <v>209</v>
      </c>
      <c r="AI675" t="s">
        <v>231</v>
      </c>
      <c r="AK675">
        <v>1</v>
      </c>
      <c r="AT675">
        <v>1</v>
      </c>
      <c r="AV675">
        <v>0.25</v>
      </c>
      <c r="BC675" t="str">
        <f t="shared" si="223"/>
        <v>enemy_1230_dsbudr</v>
      </c>
      <c r="BI675" t="s">
        <v>2295</v>
      </c>
      <c r="BJ675" t="s">
        <v>2992</v>
      </c>
      <c r="BL675" t="s">
        <v>210</v>
      </c>
      <c r="BM675" t="s">
        <v>211</v>
      </c>
      <c r="BN675" t="s">
        <v>232</v>
      </c>
      <c r="BO675" t="s">
        <v>213</v>
      </c>
      <c r="BR675">
        <v>1</v>
      </c>
    </row>
    <row r="676" spans="1:70" x14ac:dyDescent="0.25">
      <c r="A676" t="s">
        <v>2993</v>
      </c>
      <c r="B676" t="s">
        <v>206</v>
      </c>
      <c r="C676">
        <v>1</v>
      </c>
      <c r="D676" t="s">
        <v>2994</v>
      </c>
      <c r="E676">
        <v>1230</v>
      </c>
      <c r="F676" t="str">
        <f t="shared" si="222"/>
        <v>enemy_1230_dsbudr_2</v>
      </c>
      <c r="G676">
        <v>1</v>
      </c>
      <c r="K676">
        <v>9000</v>
      </c>
      <c r="M676">
        <v>600</v>
      </c>
      <c r="O676">
        <v>250</v>
      </c>
      <c r="Q676">
        <v>30</v>
      </c>
      <c r="Y676">
        <v>0.05</v>
      </c>
      <c r="Z676">
        <v>3</v>
      </c>
      <c r="AA676">
        <v>2</v>
      </c>
      <c r="AB676">
        <v>1</v>
      </c>
      <c r="AE676">
        <v>0</v>
      </c>
      <c r="AF676">
        <v>1</v>
      </c>
      <c r="AG676" t="s">
        <v>2995</v>
      </c>
      <c r="AH676" t="s">
        <v>209</v>
      </c>
      <c r="AI676" t="s">
        <v>231</v>
      </c>
      <c r="AK676">
        <v>1</v>
      </c>
      <c r="AT676">
        <v>1</v>
      </c>
      <c r="AV676">
        <v>0.25</v>
      </c>
      <c r="BC676" t="str">
        <f t="shared" si="223"/>
        <v>enemy_1230_dsbudr_2</v>
      </c>
      <c r="BI676" t="s">
        <v>2295</v>
      </c>
      <c r="BJ676" t="s">
        <v>2992</v>
      </c>
      <c r="BL676" t="s">
        <v>210</v>
      </c>
      <c r="BM676" t="s">
        <v>211</v>
      </c>
      <c r="BN676" t="s">
        <v>232</v>
      </c>
      <c r="BO676" t="s">
        <v>213</v>
      </c>
      <c r="BR676">
        <v>1</v>
      </c>
    </row>
    <row r="677" spans="1:70" x14ac:dyDescent="0.25">
      <c r="A677" t="s">
        <v>2996</v>
      </c>
      <c r="B677" t="s">
        <v>206</v>
      </c>
      <c r="C677">
        <v>1</v>
      </c>
      <c r="D677" t="s">
        <v>2997</v>
      </c>
      <c r="E677">
        <v>1230</v>
      </c>
      <c r="F677" t="str">
        <f t="shared" si="222"/>
        <v>enemy_1230_dsbudr_3</v>
      </c>
      <c r="G677">
        <v>1</v>
      </c>
      <c r="K677">
        <v>100</v>
      </c>
      <c r="M677">
        <v>100</v>
      </c>
      <c r="O677">
        <v>0</v>
      </c>
      <c r="Q677">
        <v>0</v>
      </c>
      <c r="Y677">
        <v>0.05</v>
      </c>
      <c r="Z677">
        <v>1</v>
      </c>
      <c r="AA677">
        <v>0</v>
      </c>
      <c r="AB677">
        <v>1</v>
      </c>
      <c r="AE677">
        <v>0</v>
      </c>
      <c r="AF677">
        <v>1</v>
      </c>
      <c r="AG677" t="s">
        <v>2998</v>
      </c>
      <c r="AH677" t="s">
        <v>209</v>
      </c>
      <c r="AI677" t="s">
        <v>231</v>
      </c>
      <c r="AK677">
        <v>1</v>
      </c>
      <c r="AT677">
        <v>1</v>
      </c>
      <c r="AV677">
        <v>0.25</v>
      </c>
      <c r="BC677" t="str">
        <f t="shared" si="223"/>
        <v>enemy_1230_dsbudr_3</v>
      </c>
      <c r="BI677" t="s">
        <v>935</v>
      </c>
      <c r="BL677" t="s">
        <v>210</v>
      </c>
      <c r="BM677" t="s">
        <v>211</v>
      </c>
      <c r="BN677" t="s">
        <v>232</v>
      </c>
      <c r="BO677" t="s">
        <v>213</v>
      </c>
      <c r="BR677">
        <v>1</v>
      </c>
    </row>
    <row r="678" spans="1:70" x14ac:dyDescent="0.25">
      <c r="A678" t="s">
        <v>2999</v>
      </c>
      <c r="B678" t="s">
        <v>206</v>
      </c>
      <c r="C678">
        <v>1</v>
      </c>
      <c r="D678" t="s">
        <v>3000</v>
      </c>
      <c r="E678">
        <v>1230</v>
      </c>
      <c r="F678" t="s">
        <v>2989</v>
      </c>
      <c r="G678">
        <v>1</v>
      </c>
      <c r="K678">
        <v>7000</v>
      </c>
      <c r="M678">
        <v>450</v>
      </c>
      <c r="O678">
        <v>200</v>
      </c>
      <c r="Q678">
        <v>30</v>
      </c>
      <c r="Y678">
        <v>0.05</v>
      </c>
      <c r="Z678">
        <v>3</v>
      </c>
      <c r="AA678">
        <v>2</v>
      </c>
      <c r="AB678">
        <v>1</v>
      </c>
      <c r="AE678">
        <v>0</v>
      </c>
      <c r="AF678">
        <v>1</v>
      </c>
      <c r="AG678" t="s">
        <v>3001</v>
      </c>
      <c r="AH678" t="s">
        <v>209</v>
      </c>
      <c r="AI678" t="s">
        <v>231</v>
      </c>
      <c r="AK678">
        <v>1</v>
      </c>
      <c r="AT678">
        <v>1</v>
      </c>
      <c r="AV678">
        <v>0.25</v>
      </c>
      <c r="BC678" t="str">
        <f t="shared" si="223"/>
        <v>enemy_1230_dsbudr_4</v>
      </c>
      <c r="BI678" t="s">
        <v>2295</v>
      </c>
      <c r="BJ678" t="s">
        <v>3002</v>
      </c>
      <c r="BL678" t="s">
        <v>210</v>
      </c>
      <c r="BM678" t="s">
        <v>211</v>
      </c>
      <c r="BN678" t="s">
        <v>232</v>
      </c>
      <c r="BO678" t="s">
        <v>213</v>
      </c>
      <c r="BR678">
        <v>1</v>
      </c>
    </row>
    <row r="679" spans="1:70" x14ac:dyDescent="0.25">
      <c r="A679" t="s">
        <v>3003</v>
      </c>
      <c r="B679" t="s">
        <v>206</v>
      </c>
      <c r="C679">
        <v>1</v>
      </c>
      <c r="D679" t="s">
        <v>3004</v>
      </c>
      <c r="E679">
        <v>1231</v>
      </c>
      <c r="F679" t="str">
        <f t="shared" si="222"/>
        <v>enemy_1231_dsrunr</v>
      </c>
      <c r="G679">
        <v>1</v>
      </c>
      <c r="K679">
        <v>4000</v>
      </c>
      <c r="M679">
        <v>450</v>
      </c>
      <c r="O679">
        <v>50</v>
      </c>
      <c r="Q679">
        <v>0</v>
      </c>
      <c r="Y679">
        <v>0.05</v>
      </c>
      <c r="Z679">
        <v>3</v>
      </c>
      <c r="AA679">
        <v>1</v>
      </c>
      <c r="AB679">
        <v>1</v>
      </c>
      <c r="AE679">
        <v>0</v>
      </c>
      <c r="AF679">
        <v>1</v>
      </c>
      <c r="AG679" t="s">
        <v>3005</v>
      </c>
      <c r="AH679" t="s">
        <v>209</v>
      </c>
      <c r="AI679" t="s">
        <v>231</v>
      </c>
      <c r="AK679">
        <v>1</v>
      </c>
      <c r="AT679">
        <v>1</v>
      </c>
      <c r="AV679">
        <v>0.25</v>
      </c>
      <c r="BC679" t="str">
        <f t="shared" si="223"/>
        <v>enemy_1231_dsrunr</v>
      </c>
      <c r="BI679" t="s">
        <v>2257</v>
      </c>
      <c r="BJ679" t="s">
        <v>3006</v>
      </c>
      <c r="BL679" t="s">
        <v>210</v>
      </c>
      <c r="BM679" t="s">
        <v>211</v>
      </c>
      <c r="BN679" t="s">
        <v>232</v>
      </c>
      <c r="BO679" t="s">
        <v>213</v>
      </c>
      <c r="BR679">
        <v>1</v>
      </c>
    </row>
    <row r="680" spans="1:70" x14ac:dyDescent="0.25">
      <c r="A680" t="s">
        <v>3007</v>
      </c>
      <c r="B680" t="s">
        <v>206</v>
      </c>
      <c r="C680">
        <v>1</v>
      </c>
      <c r="D680" t="s">
        <v>3008</v>
      </c>
      <c r="E680">
        <v>1231</v>
      </c>
      <c r="F680" t="str">
        <f t="shared" si="222"/>
        <v>enemy_1231_dsrunr_2</v>
      </c>
      <c r="G680">
        <v>1</v>
      </c>
      <c r="K680">
        <v>5000</v>
      </c>
      <c r="M680">
        <v>550</v>
      </c>
      <c r="O680">
        <v>80</v>
      </c>
      <c r="Q680">
        <v>0</v>
      </c>
      <c r="Y680">
        <v>0.05</v>
      </c>
      <c r="Z680">
        <v>3</v>
      </c>
      <c r="AA680">
        <v>1</v>
      </c>
      <c r="AB680">
        <v>1</v>
      </c>
      <c r="AE680">
        <v>0</v>
      </c>
      <c r="AF680">
        <v>1</v>
      </c>
      <c r="AG680" t="s">
        <v>3009</v>
      </c>
      <c r="AH680" t="s">
        <v>209</v>
      </c>
      <c r="AI680" t="s">
        <v>231</v>
      </c>
      <c r="AK680">
        <v>1</v>
      </c>
      <c r="AT680">
        <v>1</v>
      </c>
      <c r="AV680">
        <v>0.25</v>
      </c>
      <c r="BC680" t="str">
        <f t="shared" si="223"/>
        <v>enemy_1231_dsrunr_2</v>
      </c>
      <c r="BI680" t="s">
        <v>2257</v>
      </c>
      <c r="BJ680" t="s">
        <v>3006</v>
      </c>
      <c r="BL680" t="s">
        <v>210</v>
      </c>
      <c r="BM680" t="s">
        <v>211</v>
      </c>
      <c r="BN680" t="s">
        <v>232</v>
      </c>
      <c r="BO680" t="s">
        <v>213</v>
      </c>
      <c r="BR680">
        <v>1</v>
      </c>
    </row>
    <row r="681" spans="1:70" x14ac:dyDescent="0.25">
      <c r="A681" t="s">
        <v>3010</v>
      </c>
      <c r="B681" t="s">
        <v>206</v>
      </c>
      <c r="C681">
        <v>1</v>
      </c>
      <c r="D681" t="s">
        <v>3008</v>
      </c>
      <c r="E681">
        <v>1231</v>
      </c>
      <c r="F681" t="str">
        <f t="shared" si="222"/>
        <v>enemy_1231_dsrunr_2</v>
      </c>
      <c r="G681">
        <v>1</v>
      </c>
      <c r="K681">
        <v>100</v>
      </c>
      <c r="M681">
        <v>100</v>
      </c>
      <c r="O681">
        <v>0</v>
      </c>
      <c r="Q681">
        <v>0</v>
      </c>
      <c r="Y681">
        <v>0.05</v>
      </c>
      <c r="Z681">
        <v>1</v>
      </c>
      <c r="AA681">
        <v>0</v>
      </c>
      <c r="AB681">
        <v>1</v>
      </c>
      <c r="AE681">
        <v>0</v>
      </c>
      <c r="AF681">
        <v>1</v>
      </c>
      <c r="AG681" t="s">
        <v>3011</v>
      </c>
      <c r="AH681" t="s">
        <v>209</v>
      </c>
      <c r="AI681" t="s">
        <v>231</v>
      </c>
      <c r="AK681">
        <v>1</v>
      </c>
      <c r="AT681">
        <v>1</v>
      </c>
      <c r="AV681">
        <v>0.25</v>
      </c>
      <c r="BC681" t="str">
        <f t="shared" si="223"/>
        <v>enemy_1231_dsrunr_2</v>
      </c>
      <c r="BI681" t="s">
        <v>935</v>
      </c>
      <c r="BL681" t="s">
        <v>210</v>
      </c>
      <c r="BM681" t="s">
        <v>211</v>
      </c>
      <c r="BN681" t="s">
        <v>232</v>
      </c>
      <c r="BO681" t="s">
        <v>213</v>
      </c>
      <c r="BR681">
        <v>1</v>
      </c>
    </row>
    <row r="682" spans="1:70" x14ac:dyDescent="0.25">
      <c r="A682" t="s">
        <v>3012</v>
      </c>
      <c r="B682" t="s">
        <v>206</v>
      </c>
      <c r="C682">
        <v>1</v>
      </c>
      <c r="D682" t="s">
        <v>3008</v>
      </c>
      <c r="E682">
        <v>1231</v>
      </c>
      <c r="F682" t="str">
        <f t="shared" si="222"/>
        <v>enemy_1231_dsrunr_2</v>
      </c>
      <c r="G682">
        <v>1</v>
      </c>
      <c r="K682">
        <v>4500</v>
      </c>
      <c r="M682">
        <v>450</v>
      </c>
      <c r="O682">
        <v>50</v>
      </c>
      <c r="Q682">
        <v>0</v>
      </c>
      <c r="Y682">
        <v>0.05</v>
      </c>
      <c r="Z682">
        <v>3</v>
      </c>
      <c r="AA682">
        <v>1</v>
      </c>
      <c r="AB682">
        <v>1</v>
      </c>
      <c r="AE682">
        <v>0</v>
      </c>
      <c r="AF682">
        <v>1</v>
      </c>
      <c r="AG682" t="s">
        <v>3013</v>
      </c>
      <c r="AH682" t="s">
        <v>209</v>
      </c>
      <c r="AI682" t="s">
        <v>231</v>
      </c>
      <c r="AK682">
        <v>1</v>
      </c>
      <c r="AT682">
        <v>1</v>
      </c>
      <c r="AV682">
        <v>0.25</v>
      </c>
      <c r="BC682" t="str">
        <f t="shared" si="223"/>
        <v>enemy_1231_dsrunr_2</v>
      </c>
      <c r="BI682" t="s">
        <v>2257</v>
      </c>
      <c r="BJ682" t="s">
        <v>3014</v>
      </c>
      <c r="BL682" t="s">
        <v>210</v>
      </c>
      <c r="BM682" t="s">
        <v>211</v>
      </c>
      <c r="BN682" t="s">
        <v>232</v>
      </c>
      <c r="BO682" t="s">
        <v>213</v>
      </c>
      <c r="BR682">
        <v>1</v>
      </c>
    </row>
    <row r="683" spans="1:70" x14ac:dyDescent="0.25">
      <c r="A683" t="s">
        <v>3015</v>
      </c>
      <c r="B683" t="s">
        <v>206</v>
      </c>
      <c r="C683">
        <v>1</v>
      </c>
      <c r="D683" t="s">
        <v>3016</v>
      </c>
      <c r="E683">
        <v>1232</v>
      </c>
      <c r="F683" t="str">
        <f t="shared" si="222"/>
        <v>enemy_1232_dssalr</v>
      </c>
      <c r="G683">
        <v>1</v>
      </c>
      <c r="K683">
        <v>19000</v>
      </c>
      <c r="M683">
        <v>800</v>
      </c>
      <c r="O683">
        <v>500</v>
      </c>
      <c r="Q683">
        <v>5</v>
      </c>
      <c r="Y683">
        <v>0.05</v>
      </c>
      <c r="Z683">
        <v>4</v>
      </c>
      <c r="AA683">
        <v>4</v>
      </c>
      <c r="AB683">
        <v>0.8</v>
      </c>
      <c r="AE683">
        <v>0</v>
      </c>
      <c r="AF683">
        <v>1</v>
      </c>
      <c r="AG683" t="s">
        <v>3017</v>
      </c>
      <c r="AH683" t="s">
        <v>209</v>
      </c>
      <c r="AI683" t="s">
        <v>231</v>
      </c>
      <c r="AK683">
        <v>1</v>
      </c>
      <c r="AT683">
        <v>1</v>
      </c>
      <c r="AV683">
        <v>0.25</v>
      </c>
      <c r="BC683" t="str">
        <f t="shared" si="223"/>
        <v>enemy_1232_dssalr</v>
      </c>
      <c r="BI683" t="s">
        <v>2295</v>
      </c>
      <c r="BJ683" t="s">
        <v>3018</v>
      </c>
      <c r="BL683" t="s">
        <v>210</v>
      </c>
      <c r="BM683" t="s">
        <v>211</v>
      </c>
      <c r="BN683" t="s">
        <v>232</v>
      </c>
      <c r="BO683" t="s">
        <v>213</v>
      </c>
      <c r="BR683">
        <v>1</v>
      </c>
    </row>
    <row r="684" spans="1:70" x14ac:dyDescent="0.25">
      <c r="A684" t="s">
        <v>3019</v>
      </c>
      <c r="B684" t="s">
        <v>206</v>
      </c>
      <c r="C684">
        <v>1</v>
      </c>
      <c r="D684" t="s">
        <v>3020</v>
      </c>
      <c r="E684">
        <v>1232</v>
      </c>
      <c r="F684" t="str">
        <f t="shared" si="222"/>
        <v>enemy_1232_dssalr_2</v>
      </c>
      <c r="G684">
        <v>1</v>
      </c>
      <c r="K684">
        <v>24000</v>
      </c>
      <c r="M684">
        <v>900</v>
      </c>
      <c r="O684">
        <v>500</v>
      </c>
      <c r="Q684">
        <v>5</v>
      </c>
      <c r="Y684">
        <v>0.05</v>
      </c>
      <c r="Z684">
        <v>4</v>
      </c>
      <c r="AA684">
        <v>4</v>
      </c>
      <c r="AB684">
        <v>0.8</v>
      </c>
      <c r="AE684">
        <v>0</v>
      </c>
      <c r="AF684">
        <v>1</v>
      </c>
      <c r="AG684" t="s">
        <v>3021</v>
      </c>
      <c r="AH684" t="s">
        <v>209</v>
      </c>
      <c r="AI684" t="s">
        <v>231</v>
      </c>
      <c r="AK684">
        <v>1</v>
      </c>
      <c r="AT684">
        <v>1</v>
      </c>
      <c r="AV684">
        <v>0.25</v>
      </c>
      <c r="BC684" t="str">
        <f t="shared" si="223"/>
        <v>enemy_1232_dssalr_2</v>
      </c>
      <c r="BI684" t="s">
        <v>2295</v>
      </c>
      <c r="BJ684" t="s">
        <v>3018</v>
      </c>
      <c r="BL684" t="s">
        <v>210</v>
      </c>
      <c r="BM684" t="s">
        <v>211</v>
      </c>
      <c r="BN684" t="s">
        <v>232</v>
      </c>
      <c r="BO684" t="s">
        <v>213</v>
      </c>
      <c r="BR684">
        <v>1</v>
      </c>
    </row>
    <row r="685" spans="1:70" x14ac:dyDescent="0.25">
      <c r="A685" t="s">
        <v>3022</v>
      </c>
      <c r="B685" t="s">
        <v>206</v>
      </c>
      <c r="C685">
        <v>1</v>
      </c>
      <c r="D685" t="s">
        <v>3020</v>
      </c>
      <c r="E685">
        <v>1232</v>
      </c>
      <c r="F685" t="str">
        <f t="shared" si="222"/>
        <v>enemy_1232_dssalr_2</v>
      </c>
      <c r="G685">
        <v>1</v>
      </c>
      <c r="K685">
        <v>100</v>
      </c>
      <c r="M685">
        <v>100</v>
      </c>
      <c r="O685">
        <v>0</v>
      </c>
      <c r="Q685">
        <v>0</v>
      </c>
      <c r="Y685">
        <v>0.05</v>
      </c>
      <c r="Z685">
        <v>1</v>
      </c>
      <c r="AA685">
        <v>0</v>
      </c>
      <c r="AB685">
        <v>1</v>
      </c>
      <c r="AE685">
        <v>0</v>
      </c>
      <c r="AF685">
        <v>1</v>
      </c>
      <c r="AG685" t="s">
        <v>3023</v>
      </c>
      <c r="AH685" t="s">
        <v>209</v>
      </c>
      <c r="AI685" t="s">
        <v>231</v>
      </c>
      <c r="AK685">
        <v>1</v>
      </c>
      <c r="AT685">
        <v>1</v>
      </c>
      <c r="AV685">
        <v>0.25</v>
      </c>
      <c r="BC685" t="str">
        <f t="shared" si="223"/>
        <v>enemy_1232_dssalr_2</v>
      </c>
      <c r="BI685" t="s">
        <v>935</v>
      </c>
      <c r="BL685" t="s">
        <v>210</v>
      </c>
      <c r="BM685" t="s">
        <v>211</v>
      </c>
      <c r="BN685" t="s">
        <v>232</v>
      </c>
      <c r="BO685" t="s">
        <v>213</v>
      </c>
      <c r="BR685">
        <v>1</v>
      </c>
    </row>
    <row r="686" spans="1:70" x14ac:dyDescent="0.25">
      <c r="A686" t="s">
        <v>3024</v>
      </c>
      <c r="B686" t="s">
        <v>206</v>
      </c>
      <c r="C686">
        <v>1</v>
      </c>
      <c r="D686" t="s">
        <v>3020</v>
      </c>
      <c r="E686">
        <v>1232</v>
      </c>
      <c r="F686" t="str">
        <f t="shared" si="222"/>
        <v>enemy_1232_dssalr_2</v>
      </c>
      <c r="G686">
        <v>1</v>
      </c>
      <c r="K686">
        <v>19000</v>
      </c>
      <c r="M686">
        <v>800</v>
      </c>
      <c r="O686">
        <v>500</v>
      </c>
      <c r="Q686">
        <v>5</v>
      </c>
      <c r="Y686">
        <v>0.05</v>
      </c>
      <c r="Z686">
        <v>4</v>
      </c>
      <c r="AA686">
        <v>4</v>
      </c>
      <c r="AB686">
        <v>0.8</v>
      </c>
      <c r="AE686">
        <v>0</v>
      </c>
      <c r="AF686">
        <v>1</v>
      </c>
      <c r="AG686" t="s">
        <v>3025</v>
      </c>
      <c r="AH686" t="s">
        <v>209</v>
      </c>
      <c r="AI686" t="s">
        <v>231</v>
      </c>
      <c r="AK686">
        <v>1</v>
      </c>
      <c r="AT686">
        <v>1</v>
      </c>
      <c r="AV686">
        <v>0.25</v>
      </c>
      <c r="BC686" t="str">
        <f t="shared" si="223"/>
        <v>enemy_1232_dssalr_2</v>
      </c>
      <c r="BI686" t="s">
        <v>2295</v>
      </c>
      <c r="BJ686" t="s">
        <v>3026</v>
      </c>
      <c r="BL686" t="s">
        <v>210</v>
      </c>
      <c r="BM686" t="s">
        <v>211</v>
      </c>
      <c r="BN686" t="s">
        <v>232</v>
      </c>
      <c r="BO686" t="s">
        <v>213</v>
      </c>
      <c r="BR686">
        <v>1</v>
      </c>
    </row>
    <row r="687" spans="1:70" x14ac:dyDescent="0.25">
      <c r="A687" t="s">
        <v>3027</v>
      </c>
      <c r="B687" t="s">
        <v>206</v>
      </c>
      <c r="C687">
        <v>1</v>
      </c>
      <c r="D687" t="s">
        <v>3028</v>
      </c>
      <c r="E687">
        <v>1233</v>
      </c>
      <c r="F687" t="str">
        <f t="shared" si="222"/>
        <v>enemy_1233_dsshtr</v>
      </c>
      <c r="G687">
        <v>1</v>
      </c>
      <c r="K687">
        <v>4000</v>
      </c>
      <c r="M687">
        <v>650</v>
      </c>
      <c r="O687">
        <v>100</v>
      </c>
      <c r="Q687">
        <v>50</v>
      </c>
      <c r="Y687">
        <v>0.05</v>
      </c>
      <c r="Z687">
        <v>2</v>
      </c>
      <c r="AA687">
        <v>1</v>
      </c>
      <c r="AB687">
        <v>0.3</v>
      </c>
      <c r="AE687">
        <v>0</v>
      </c>
      <c r="AF687">
        <v>1</v>
      </c>
      <c r="AG687" t="s">
        <v>3029</v>
      </c>
      <c r="AH687" t="s">
        <v>209</v>
      </c>
      <c r="AI687" t="s">
        <v>231</v>
      </c>
      <c r="AK687">
        <v>1</v>
      </c>
      <c r="AT687">
        <v>1</v>
      </c>
      <c r="AV687">
        <v>0.25</v>
      </c>
      <c r="BC687" t="str">
        <f t="shared" si="223"/>
        <v>enemy_1233_dsshtr</v>
      </c>
      <c r="BI687" t="s">
        <v>2276</v>
      </c>
      <c r="BJ687" t="s">
        <v>3030</v>
      </c>
      <c r="BL687" t="s">
        <v>210</v>
      </c>
      <c r="BM687" t="s">
        <v>211</v>
      </c>
      <c r="BN687" t="s">
        <v>232</v>
      </c>
      <c r="BO687" t="s">
        <v>213</v>
      </c>
      <c r="BR687">
        <v>1</v>
      </c>
    </row>
    <row r="688" spans="1:70" x14ac:dyDescent="0.25">
      <c r="A688" t="s">
        <v>3031</v>
      </c>
      <c r="B688" t="s">
        <v>206</v>
      </c>
      <c r="C688">
        <v>1</v>
      </c>
      <c r="D688" t="s">
        <v>3032</v>
      </c>
      <c r="E688">
        <v>1233</v>
      </c>
      <c r="F688" t="str">
        <f t="shared" si="222"/>
        <v>enemy_1233_dsshtr_2</v>
      </c>
      <c r="G688">
        <v>1</v>
      </c>
      <c r="K688">
        <v>5000</v>
      </c>
      <c r="M688">
        <v>800</v>
      </c>
      <c r="O688">
        <v>100</v>
      </c>
      <c r="Q688">
        <v>50</v>
      </c>
      <c r="Y688">
        <v>0.05</v>
      </c>
      <c r="Z688">
        <v>2</v>
      </c>
      <c r="AA688">
        <v>1</v>
      </c>
      <c r="AB688">
        <v>0.3</v>
      </c>
      <c r="AE688">
        <v>0</v>
      </c>
      <c r="AF688">
        <v>1</v>
      </c>
      <c r="AG688" t="s">
        <v>3033</v>
      </c>
      <c r="AH688" t="s">
        <v>209</v>
      </c>
      <c r="AI688" t="s">
        <v>231</v>
      </c>
      <c r="AK688">
        <v>1</v>
      </c>
      <c r="AT688">
        <v>1</v>
      </c>
      <c r="AV688">
        <v>0.25</v>
      </c>
      <c r="BC688" t="str">
        <f t="shared" si="223"/>
        <v>enemy_1233_dsshtr_2</v>
      </c>
      <c r="BI688" t="s">
        <v>2276</v>
      </c>
      <c r="BJ688" t="s">
        <v>3030</v>
      </c>
      <c r="BL688" t="s">
        <v>210</v>
      </c>
      <c r="BM688" t="s">
        <v>211</v>
      </c>
      <c r="BN688" t="s">
        <v>232</v>
      </c>
      <c r="BO688" t="s">
        <v>213</v>
      </c>
      <c r="BR688">
        <v>1</v>
      </c>
    </row>
    <row r="689" spans="1:70" x14ac:dyDescent="0.25">
      <c r="A689" t="s">
        <v>3034</v>
      </c>
      <c r="B689" t="s">
        <v>206</v>
      </c>
      <c r="C689">
        <v>1</v>
      </c>
      <c r="D689" t="s">
        <v>3032</v>
      </c>
      <c r="E689">
        <v>1233</v>
      </c>
      <c r="F689" t="str">
        <f t="shared" si="222"/>
        <v>enemy_1233_dsshtr_2</v>
      </c>
      <c r="G689">
        <v>1</v>
      </c>
      <c r="K689">
        <v>100</v>
      </c>
      <c r="M689">
        <v>100</v>
      </c>
      <c r="O689">
        <v>0</v>
      </c>
      <c r="Q689">
        <v>0</v>
      </c>
      <c r="Y689">
        <v>0.05</v>
      </c>
      <c r="Z689">
        <v>1</v>
      </c>
      <c r="AA689">
        <v>0</v>
      </c>
      <c r="AB689">
        <v>1</v>
      </c>
      <c r="AE689">
        <v>0</v>
      </c>
      <c r="AF689">
        <v>1</v>
      </c>
      <c r="AG689" t="s">
        <v>3035</v>
      </c>
      <c r="AH689" t="s">
        <v>209</v>
      </c>
      <c r="AI689" t="s">
        <v>231</v>
      </c>
      <c r="AK689">
        <v>1</v>
      </c>
      <c r="AT689">
        <v>1</v>
      </c>
      <c r="AV689">
        <v>0.25</v>
      </c>
      <c r="BC689" t="str">
        <f t="shared" si="223"/>
        <v>enemy_1233_dsshtr_2</v>
      </c>
      <c r="BI689" t="s">
        <v>935</v>
      </c>
      <c r="BL689" t="s">
        <v>210</v>
      </c>
      <c r="BM689" t="s">
        <v>211</v>
      </c>
      <c r="BN689" t="s">
        <v>232</v>
      </c>
      <c r="BO689" t="s">
        <v>213</v>
      </c>
      <c r="BR689">
        <v>1</v>
      </c>
    </row>
    <row r="690" spans="1:70" x14ac:dyDescent="0.25">
      <c r="A690" t="s">
        <v>3036</v>
      </c>
      <c r="B690" t="s">
        <v>206</v>
      </c>
      <c r="C690">
        <v>1</v>
      </c>
      <c r="D690" t="s">
        <v>3032</v>
      </c>
      <c r="E690">
        <v>1233</v>
      </c>
      <c r="F690" t="str">
        <f t="shared" si="222"/>
        <v>enemy_1233_dsshtr_2</v>
      </c>
      <c r="G690">
        <v>1</v>
      </c>
      <c r="K690">
        <v>4000</v>
      </c>
      <c r="M690">
        <v>650</v>
      </c>
      <c r="O690">
        <v>100</v>
      </c>
      <c r="Q690">
        <v>50</v>
      </c>
      <c r="Y690">
        <v>0.05</v>
      </c>
      <c r="Z690">
        <v>2</v>
      </c>
      <c r="AA690">
        <v>1</v>
      </c>
      <c r="AB690">
        <v>0.3</v>
      </c>
      <c r="AE690">
        <v>0</v>
      </c>
      <c r="AF690">
        <v>1</v>
      </c>
      <c r="AG690" t="s">
        <v>3037</v>
      </c>
      <c r="AH690" t="s">
        <v>209</v>
      </c>
      <c r="AI690" t="s">
        <v>231</v>
      </c>
      <c r="AK690">
        <v>1</v>
      </c>
      <c r="AT690">
        <v>1</v>
      </c>
      <c r="AV690">
        <v>0.25</v>
      </c>
      <c r="BC690" t="str">
        <f t="shared" si="223"/>
        <v>enemy_1233_dsshtr_2</v>
      </c>
      <c r="BI690" t="s">
        <v>2276</v>
      </c>
      <c r="BJ690" t="s">
        <v>3038</v>
      </c>
      <c r="BL690" t="s">
        <v>210</v>
      </c>
      <c r="BM690" t="s">
        <v>211</v>
      </c>
      <c r="BN690" t="s">
        <v>232</v>
      </c>
      <c r="BO690" t="s">
        <v>213</v>
      </c>
      <c r="BR690">
        <v>1</v>
      </c>
    </row>
    <row r="691" spans="1:70" x14ac:dyDescent="0.25">
      <c r="A691" t="s">
        <v>3039</v>
      </c>
      <c r="B691" t="s">
        <v>206</v>
      </c>
      <c r="C691">
        <v>1</v>
      </c>
      <c r="D691" t="s">
        <v>3040</v>
      </c>
      <c r="E691">
        <v>1234</v>
      </c>
      <c r="F691" t="str">
        <f t="shared" si="222"/>
        <v>enemy_1234_dsubrl</v>
      </c>
      <c r="G691">
        <v>1</v>
      </c>
      <c r="K691">
        <v>10000</v>
      </c>
      <c r="M691">
        <v>140</v>
      </c>
      <c r="O691">
        <v>550</v>
      </c>
      <c r="Q691">
        <v>60</v>
      </c>
      <c r="Y691">
        <v>0.05</v>
      </c>
      <c r="Z691">
        <v>1</v>
      </c>
      <c r="AA691">
        <v>3</v>
      </c>
      <c r="AB691">
        <v>0.8</v>
      </c>
      <c r="AE691">
        <v>0</v>
      </c>
      <c r="AF691">
        <v>1</v>
      </c>
      <c r="AG691" t="s">
        <v>3041</v>
      </c>
      <c r="AH691" t="s">
        <v>209</v>
      </c>
      <c r="AI691" t="s">
        <v>231</v>
      </c>
      <c r="AK691">
        <v>1</v>
      </c>
      <c r="AT691">
        <v>1</v>
      </c>
      <c r="AV691">
        <v>0.25</v>
      </c>
      <c r="BC691" t="str">
        <f t="shared" si="223"/>
        <v>enemy_1234_dsubrl</v>
      </c>
      <c r="BI691" t="s">
        <v>2314</v>
      </c>
      <c r="BJ691" t="s">
        <v>3042</v>
      </c>
      <c r="BL691" t="s">
        <v>210</v>
      </c>
      <c r="BM691" t="s">
        <v>211</v>
      </c>
      <c r="BN691" t="s">
        <v>232</v>
      </c>
      <c r="BO691" t="s">
        <v>213</v>
      </c>
      <c r="BR691">
        <v>1</v>
      </c>
    </row>
    <row r="692" spans="1:70" x14ac:dyDescent="0.25">
      <c r="A692" t="s">
        <v>3043</v>
      </c>
      <c r="B692" t="s">
        <v>206</v>
      </c>
      <c r="C692">
        <v>1</v>
      </c>
      <c r="D692" t="s">
        <v>3044</v>
      </c>
      <c r="E692">
        <v>1234</v>
      </c>
      <c r="F692" t="str">
        <f t="shared" si="222"/>
        <v>enemy_1234_dsubrl_2</v>
      </c>
      <c r="G692">
        <v>1</v>
      </c>
      <c r="K692">
        <v>14000</v>
      </c>
      <c r="M692">
        <v>160</v>
      </c>
      <c r="O692">
        <v>550</v>
      </c>
      <c r="Q692">
        <v>60</v>
      </c>
      <c r="Y692">
        <v>0.05</v>
      </c>
      <c r="Z692">
        <v>1</v>
      </c>
      <c r="AA692">
        <v>3</v>
      </c>
      <c r="AB692">
        <v>0.8</v>
      </c>
      <c r="AE692">
        <v>0</v>
      </c>
      <c r="AF692">
        <v>1</v>
      </c>
      <c r="AG692" t="s">
        <v>3045</v>
      </c>
      <c r="AH692" t="s">
        <v>209</v>
      </c>
      <c r="AI692" t="s">
        <v>231</v>
      </c>
      <c r="AK692">
        <v>1</v>
      </c>
      <c r="AT692">
        <v>1</v>
      </c>
      <c r="AV692">
        <v>0.25</v>
      </c>
      <c r="BC692" t="str">
        <f t="shared" si="223"/>
        <v>enemy_1234_dsubrl_2</v>
      </c>
      <c r="BI692" t="s">
        <v>2314</v>
      </c>
      <c r="BJ692" t="s">
        <v>3042</v>
      </c>
      <c r="BL692" t="s">
        <v>210</v>
      </c>
      <c r="BM692" t="s">
        <v>211</v>
      </c>
      <c r="BN692" t="s">
        <v>232</v>
      </c>
      <c r="BO692" t="s">
        <v>213</v>
      </c>
      <c r="BR692">
        <v>1</v>
      </c>
    </row>
    <row r="693" spans="1:70" x14ac:dyDescent="0.25">
      <c r="A693" t="s">
        <v>3046</v>
      </c>
      <c r="B693" t="s">
        <v>206</v>
      </c>
      <c r="C693">
        <v>1</v>
      </c>
      <c r="D693" t="s">
        <v>3044</v>
      </c>
      <c r="E693">
        <v>1234</v>
      </c>
      <c r="F693" t="str">
        <f t="shared" si="222"/>
        <v>enemy_1234_dsubrl_2</v>
      </c>
      <c r="G693">
        <v>1</v>
      </c>
      <c r="K693">
        <v>100</v>
      </c>
      <c r="M693">
        <v>100</v>
      </c>
      <c r="O693">
        <v>0</v>
      </c>
      <c r="Q693">
        <v>0</v>
      </c>
      <c r="Y693">
        <v>0.05</v>
      </c>
      <c r="Z693">
        <v>1</v>
      </c>
      <c r="AA693">
        <v>0</v>
      </c>
      <c r="AB693">
        <v>1</v>
      </c>
      <c r="AE693">
        <v>0</v>
      </c>
      <c r="AF693">
        <v>1</v>
      </c>
      <c r="AG693" t="s">
        <v>3047</v>
      </c>
      <c r="AH693" t="s">
        <v>209</v>
      </c>
      <c r="AI693" t="s">
        <v>231</v>
      </c>
      <c r="AK693">
        <v>1</v>
      </c>
      <c r="AT693">
        <v>1</v>
      </c>
      <c r="AV693">
        <v>0.25</v>
      </c>
      <c r="BC693" t="str">
        <f t="shared" si="223"/>
        <v>enemy_1234_dsubrl_2</v>
      </c>
      <c r="BI693" t="s">
        <v>935</v>
      </c>
      <c r="BL693" t="s">
        <v>210</v>
      </c>
      <c r="BM693" t="s">
        <v>211</v>
      </c>
      <c r="BN693" t="s">
        <v>232</v>
      </c>
      <c r="BO693" t="s">
        <v>213</v>
      </c>
      <c r="BR693">
        <v>1</v>
      </c>
    </row>
    <row r="694" spans="1:70" x14ac:dyDescent="0.25">
      <c r="A694" t="s">
        <v>3048</v>
      </c>
      <c r="B694" t="s">
        <v>206</v>
      </c>
      <c r="C694">
        <v>1</v>
      </c>
      <c r="D694" t="s">
        <v>3044</v>
      </c>
      <c r="E694">
        <v>1234</v>
      </c>
      <c r="F694" t="str">
        <f t="shared" si="222"/>
        <v>enemy_1234_dsubrl_2</v>
      </c>
      <c r="G694">
        <v>1</v>
      </c>
      <c r="K694">
        <v>10000</v>
      </c>
      <c r="M694">
        <v>140</v>
      </c>
      <c r="O694">
        <v>550</v>
      </c>
      <c r="Q694">
        <v>60</v>
      </c>
      <c r="Y694">
        <v>0.05</v>
      </c>
      <c r="Z694">
        <v>1</v>
      </c>
      <c r="AA694">
        <v>3</v>
      </c>
      <c r="AB694">
        <v>0.8</v>
      </c>
      <c r="AE694">
        <v>0</v>
      </c>
      <c r="AF694">
        <v>1</v>
      </c>
      <c r="AG694" t="s">
        <v>3049</v>
      </c>
      <c r="AH694" t="s">
        <v>209</v>
      </c>
      <c r="AI694" t="s">
        <v>231</v>
      </c>
      <c r="AK694">
        <v>1</v>
      </c>
      <c r="AT694">
        <v>1</v>
      </c>
      <c r="AV694">
        <v>0.25</v>
      </c>
      <c r="BC694" t="str">
        <f t="shared" si="223"/>
        <v>enemy_1234_dsubrl_2</v>
      </c>
      <c r="BI694" t="s">
        <v>2314</v>
      </c>
      <c r="BJ694" t="s">
        <v>3050</v>
      </c>
      <c r="BL694" t="s">
        <v>210</v>
      </c>
      <c r="BM694" t="s">
        <v>211</v>
      </c>
      <c r="BN694" t="s">
        <v>232</v>
      </c>
      <c r="BO694" t="s">
        <v>213</v>
      </c>
      <c r="BR694">
        <v>1</v>
      </c>
    </row>
    <row r="695" spans="1:70" x14ac:dyDescent="0.25">
      <c r="A695" t="s">
        <v>3051</v>
      </c>
      <c r="B695" t="s">
        <v>206</v>
      </c>
      <c r="C695">
        <v>1</v>
      </c>
      <c r="D695" t="s">
        <v>3052</v>
      </c>
      <c r="E695">
        <v>1235</v>
      </c>
      <c r="F695" t="str">
        <f t="shared" si="222"/>
        <v>enemy_1235_dsbskr</v>
      </c>
      <c r="G695">
        <v>1</v>
      </c>
      <c r="K695">
        <v>20000</v>
      </c>
      <c r="M695">
        <v>300</v>
      </c>
      <c r="O695">
        <v>750</v>
      </c>
      <c r="Q695">
        <v>40</v>
      </c>
      <c r="Y695">
        <v>0.05</v>
      </c>
      <c r="Z695">
        <v>1.5</v>
      </c>
      <c r="AA695">
        <v>4</v>
      </c>
      <c r="AB695">
        <v>1.2</v>
      </c>
      <c r="AE695">
        <v>0</v>
      </c>
      <c r="AF695">
        <v>1</v>
      </c>
      <c r="AG695" t="s">
        <v>3053</v>
      </c>
      <c r="AH695" t="s">
        <v>209</v>
      </c>
      <c r="AI695" t="s">
        <v>231</v>
      </c>
      <c r="AK695">
        <v>1</v>
      </c>
      <c r="AT695">
        <v>1</v>
      </c>
      <c r="AV695">
        <v>0.25</v>
      </c>
      <c r="BC695" t="str">
        <f t="shared" si="223"/>
        <v>enemy_1235_dsbskr</v>
      </c>
      <c r="BI695" t="s">
        <v>3054</v>
      </c>
      <c r="BJ695" t="s">
        <v>3055</v>
      </c>
      <c r="BL695" t="s">
        <v>210</v>
      </c>
      <c r="BM695" t="s">
        <v>211</v>
      </c>
      <c r="BN695" t="s">
        <v>232</v>
      </c>
      <c r="BO695" t="s">
        <v>213</v>
      </c>
      <c r="BR695">
        <v>1</v>
      </c>
    </row>
    <row r="696" spans="1:70" x14ac:dyDescent="0.25">
      <c r="A696" t="s">
        <v>3056</v>
      </c>
      <c r="B696" t="s">
        <v>206</v>
      </c>
      <c r="C696">
        <v>1</v>
      </c>
      <c r="D696" t="s">
        <v>3057</v>
      </c>
      <c r="E696">
        <v>1235</v>
      </c>
      <c r="F696" t="str">
        <f t="shared" si="222"/>
        <v>enemy_1235_dsbskr_2</v>
      </c>
      <c r="G696">
        <v>1</v>
      </c>
      <c r="K696">
        <v>25000</v>
      </c>
      <c r="M696">
        <v>400</v>
      </c>
      <c r="O696">
        <v>750</v>
      </c>
      <c r="Q696">
        <v>40</v>
      </c>
      <c r="Y696">
        <v>0.05</v>
      </c>
      <c r="Z696">
        <v>1.5</v>
      </c>
      <c r="AA696">
        <v>4</v>
      </c>
      <c r="AB696">
        <v>1.2</v>
      </c>
      <c r="AE696">
        <v>0</v>
      </c>
      <c r="AF696">
        <v>1</v>
      </c>
      <c r="AG696" t="s">
        <v>3058</v>
      </c>
      <c r="AH696" t="s">
        <v>209</v>
      </c>
      <c r="AI696" t="s">
        <v>231</v>
      </c>
      <c r="AK696">
        <v>1</v>
      </c>
      <c r="AT696">
        <v>1</v>
      </c>
      <c r="AV696">
        <v>0.25</v>
      </c>
      <c r="BC696" t="str">
        <f t="shared" si="223"/>
        <v>enemy_1235_dsbskr_2</v>
      </c>
      <c r="BI696" t="s">
        <v>3054</v>
      </c>
      <c r="BJ696" t="s">
        <v>3055</v>
      </c>
      <c r="BL696" t="s">
        <v>210</v>
      </c>
      <c r="BM696" t="s">
        <v>211</v>
      </c>
      <c r="BN696" t="s">
        <v>232</v>
      </c>
      <c r="BO696" t="s">
        <v>213</v>
      </c>
      <c r="BR696">
        <v>1</v>
      </c>
    </row>
    <row r="697" spans="1:70" x14ac:dyDescent="0.25">
      <c r="A697" t="s">
        <v>3059</v>
      </c>
      <c r="B697" t="s">
        <v>206</v>
      </c>
      <c r="C697">
        <v>1</v>
      </c>
      <c r="D697" t="s">
        <v>3057</v>
      </c>
      <c r="E697">
        <v>1235</v>
      </c>
      <c r="F697" t="str">
        <f t="shared" si="222"/>
        <v>enemy_1235_dsbskr_2</v>
      </c>
      <c r="G697">
        <v>1</v>
      </c>
      <c r="K697">
        <v>100</v>
      </c>
      <c r="M697">
        <v>100</v>
      </c>
      <c r="O697">
        <v>0</v>
      </c>
      <c r="Q697">
        <v>0</v>
      </c>
      <c r="Y697">
        <v>0.05</v>
      </c>
      <c r="Z697">
        <v>1</v>
      </c>
      <c r="AA697">
        <v>0</v>
      </c>
      <c r="AB697">
        <v>1</v>
      </c>
      <c r="AE697">
        <v>0</v>
      </c>
      <c r="AF697">
        <v>1</v>
      </c>
      <c r="AG697" t="s">
        <v>3060</v>
      </c>
      <c r="AH697" t="s">
        <v>209</v>
      </c>
      <c r="AI697" t="s">
        <v>231</v>
      </c>
      <c r="AK697">
        <v>1</v>
      </c>
      <c r="AT697">
        <v>1</v>
      </c>
      <c r="AV697">
        <v>0.25</v>
      </c>
      <c r="BC697" t="str">
        <f t="shared" si="223"/>
        <v>enemy_1235_dsbskr_2</v>
      </c>
      <c r="BI697" t="s">
        <v>935</v>
      </c>
      <c r="BL697" t="s">
        <v>210</v>
      </c>
      <c r="BM697" t="s">
        <v>211</v>
      </c>
      <c r="BO697" t="s">
        <v>213</v>
      </c>
      <c r="BR697">
        <v>1</v>
      </c>
    </row>
    <row r="698" spans="1:70" x14ac:dyDescent="0.25">
      <c r="A698" t="s">
        <v>3061</v>
      </c>
      <c r="B698" t="s">
        <v>206</v>
      </c>
      <c r="C698">
        <v>1</v>
      </c>
      <c r="D698" t="s">
        <v>3057</v>
      </c>
      <c r="E698">
        <v>1235</v>
      </c>
      <c r="F698" t="str">
        <f t="shared" si="222"/>
        <v>enemy_1235_dsbskr_2</v>
      </c>
      <c r="G698">
        <v>1</v>
      </c>
      <c r="K698">
        <v>20000</v>
      </c>
      <c r="M698">
        <v>300</v>
      </c>
      <c r="O698">
        <v>750</v>
      </c>
      <c r="Q698">
        <v>40</v>
      </c>
      <c r="Y698">
        <v>0.05</v>
      </c>
      <c r="Z698">
        <v>1.5</v>
      </c>
      <c r="AA698">
        <v>4</v>
      </c>
      <c r="AB698">
        <v>1.2</v>
      </c>
      <c r="AE698">
        <v>0</v>
      </c>
      <c r="AF698">
        <v>1</v>
      </c>
      <c r="AG698" t="s">
        <v>3062</v>
      </c>
      <c r="AH698" t="s">
        <v>209</v>
      </c>
      <c r="AI698" t="s">
        <v>231</v>
      </c>
      <c r="AK698">
        <v>1</v>
      </c>
      <c r="AT698">
        <v>1</v>
      </c>
      <c r="AV698">
        <v>0.25</v>
      </c>
      <c r="BC698" t="str">
        <f t="shared" si="223"/>
        <v>enemy_1235_dsbskr_2</v>
      </c>
      <c r="BI698" t="s">
        <v>3054</v>
      </c>
      <c r="BJ698" t="s">
        <v>3063</v>
      </c>
      <c r="BL698" t="s">
        <v>210</v>
      </c>
      <c r="BM698" t="s">
        <v>211</v>
      </c>
      <c r="BN698" t="s">
        <v>232</v>
      </c>
      <c r="BO698" t="s">
        <v>213</v>
      </c>
      <c r="BR698">
        <v>1</v>
      </c>
    </row>
    <row r="699" spans="1:70" x14ac:dyDescent="0.25">
      <c r="A699" t="s">
        <v>3064</v>
      </c>
      <c r="B699" t="s">
        <v>206</v>
      </c>
      <c r="C699">
        <v>1</v>
      </c>
      <c r="D699" t="s">
        <v>3065</v>
      </c>
      <c r="E699">
        <v>1236</v>
      </c>
      <c r="F699" t="str">
        <f t="shared" si="222"/>
        <v>enemy_1236_bouncy</v>
      </c>
      <c r="G699">
        <v>1</v>
      </c>
      <c r="K699">
        <v>80000</v>
      </c>
      <c r="M699">
        <v>2000</v>
      </c>
      <c r="O699">
        <v>600</v>
      </c>
      <c r="Q699">
        <v>30</v>
      </c>
      <c r="Y699">
        <v>0.05</v>
      </c>
      <c r="Z699">
        <v>1.5</v>
      </c>
      <c r="AA699">
        <v>-2</v>
      </c>
      <c r="AB699">
        <v>1.2</v>
      </c>
      <c r="AE699">
        <v>0</v>
      </c>
      <c r="AF699">
        <v>1</v>
      </c>
      <c r="AG699" t="s">
        <v>3066</v>
      </c>
      <c r="AH699" t="s">
        <v>209</v>
      </c>
      <c r="AI699" t="s">
        <v>231</v>
      </c>
      <c r="AK699">
        <v>1</v>
      </c>
      <c r="AT699">
        <v>1</v>
      </c>
      <c r="AV699">
        <v>0.25</v>
      </c>
      <c r="BC699" t="str">
        <f t="shared" si="223"/>
        <v>enemy_1236_bouncy</v>
      </c>
      <c r="BJ699" t="s">
        <v>3067</v>
      </c>
      <c r="BL699" t="s">
        <v>210</v>
      </c>
      <c r="BM699" t="s">
        <v>211</v>
      </c>
      <c r="BO699" t="s">
        <v>213</v>
      </c>
      <c r="BR699">
        <v>1</v>
      </c>
    </row>
    <row r="700" spans="1:70" x14ac:dyDescent="0.25">
      <c r="A700" t="s">
        <v>3068</v>
      </c>
      <c r="B700" t="s">
        <v>206</v>
      </c>
      <c r="C700">
        <v>1</v>
      </c>
      <c r="D700" t="s">
        <v>3069</v>
      </c>
      <c r="E700">
        <v>1236</v>
      </c>
      <c r="F700" t="str">
        <f t="shared" si="222"/>
        <v>enemy_1236_bouncy_2</v>
      </c>
      <c r="G700">
        <v>1</v>
      </c>
      <c r="K700">
        <v>80000</v>
      </c>
      <c r="M700">
        <v>2000</v>
      </c>
      <c r="O700">
        <v>600</v>
      </c>
      <c r="Q700">
        <v>30</v>
      </c>
      <c r="Y700">
        <v>0.05</v>
      </c>
      <c r="Z700">
        <v>1.5</v>
      </c>
      <c r="AA700">
        <v>-2</v>
      </c>
      <c r="AB700">
        <v>1.2</v>
      </c>
      <c r="AE700">
        <v>0</v>
      </c>
      <c r="AF700">
        <v>1</v>
      </c>
      <c r="AG700" t="s">
        <v>3070</v>
      </c>
      <c r="AH700" t="s">
        <v>209</v>
      </c>
      <c r="AI700" t="s">
        <v>231</v>
      </c>
      <c r="AK700">
        <v>1</v>
      </c>
      <c r="AT700">
        <v>1</v>
      </c>
      <c r="AV700">
        <v>0.25</v>
      </c>
      <c r="BC700" t="str">
        <f t="shared" si="223"/>
        <v>enemy_1236_bouncy_2</v>
      </c>
      <c r="BJ700" t="s">
        <v>3071</v>
      </c>
      <c r="BL700" t="s">
        <v>210</v>
      </c>
      <c r="BM700" t="s">
        <v>211</v>
      </c>
      <c r="BO700" t="s">
        <v>213</v>
      </c>
      <c r="BR700">
        <v>1</v>
      </c>
    </row>
    <row r="701" spans="1:70" x14ac:dyDescent="0.25">
      <c r="A701" t="s">
        <v>3072</v>
      </c>
      <c r="B701" t="s">
        <v>206</v>
      </c>
      <c r="C701">
        <v>1</v>
      </c>
      <c r="D701" t="s">
        <v>3073</v>
      </c>
      <c r="E701">
        <v>1236</v>
      </c>
      <c r="F701" t="str">
        <f t="shared" si="222"/>
        <v>enemy_1236_bouncy_3</v>
      </c>
      <c r="G701">
        <v>1</v>
      </c>
      <c r="K701">
        <v>80000</v>
      </c>
      <c r="M701">
        <v>2000</v>
      </c>
      <c r="O701">
        <v>600</v>
      </c>
      <c r="Q701">
        <v>30</v>
      </c>
      <c r="Y701">
        <v>0.05</v>
      </c>
      <c r="Z701">
        <v>1.5</v>
      </c>
      <c r="AA701">
        <v>-2</v>
      </c>
      <c r="AB701">
        <v>1.2</v>
      </c>
      <c r="AE701">
        <v>0</v>
      </c>
      <c r="AF701">
        <v>1</v>
      </c>
      <c r="AG701" t="s">
        <v>3074</v>
      </c>
      <c r="AH701" t="s">
        <v>209</v>
      </c>
      <c r="AI701" t="s">
        <v>231</v>
      </c>
      <c r="AK701">
        <v>1</v>
      </c>
      <c r="AT701">
        <v>1</v>
      </c>
      <c r="AV701">
        <v>0.25</v>
      </c>
      <c r="BC701" t="str">
        <f t="shared" si="223"/>
        <v>enemy_1236_bouncy_3</v>
      </c>
      <c r="BJ701" t="s">
        <v>3075</v>
      </c>
      <c r="BL701" t="s">
        <v>210</v>
      </c>
      <c r="BM701" t="s">
        <v>211</v>
      </c>
      <c r="BO701" t="s">
        <v>213</v>
      </c>
      <c r="BR701">
        <v>1</v>
      </c>
    </row>
    <row r="702" spans="1:70" x14ac:dyDescent="0.25">
      <c r="A702" t="s">
        <v>3076</v>
      </c>
      <c r="B702" t="s">
        <v>206</v>
      </c>
      <c r="C702">
        <v>1</v>
      </c>
      <c r="D702" t="s">
        <v>3077</v>
      </c>
      <c r="E702">
        <v>1529</v>
      </c>
      <c r="F702" t="str">
        <f t="shared" si="222"/>
        <v>enemy_1529_dsdevr</v>
      </c>
      <c r="G702">
        <v>1</v>
      </c>
      <c r="K702">
        <v>10000</v>
      </c>
      <c r="M702">
        <v>800</v>
      </c>
      <c r="O702">
        <v>700</v>
      </c>
      <c r="Q702">
        <v>0</v>
      </c>
      <c r="Y702">
        <v>0.05</v>
      </c>
      <c r="Z702">
        <v>2</v>
      </c>
      <c r="AA702">
        <v>5</v>
      </c>
      <c r="AB702">
        <v>0.8</v>
      </c>
      <c r="AE702">
        <v>0</v>
      </c>
      <c r="AF702">
        <v>1</v>
      </c>
      <c r="AG702" t="s">
        <v>3078</v>
      </c>
      <c r="AH702" t="s">
        <v>209</v>
      </c>
      <c r="AI702" t="s">
        <v>231</v>
      </c>
      <c r="AK702">
        <v>1</v>
      </c>
      <c r="AT702">
        <v>1</v>
      </c>
      <c r="AV702">
        <v>0.25</v>
      </c>
      <c r="BC702" t="str">
        <f t="shared" si="223"/>
        <v>enemy_1529_dsdevr</v>
      </c>
      <c r="BI702" t="s">
        <v>3079</v>
      </c>
      <c r="BJ702" t="s">
        <v>3080</v>
      </c>
      <c r="BL702" t="s">
        <v>210</v>
      </c>
      <c r="BM702" t="s">
        <v>211</v>
      </c>
      <c r="BN702" t="s">
        <v>1617</v>
      </c>
      <c r="BO702" t="s">
        <v>213</v>
      </c>
      <c r="BR702">
        <v>1</v>
      </c>
    </row>
    <row r="703" spans="1:70" x14ac:dyDescent="0.25">
      <c r="A703" t="s">
        <v>3081</v>
      </c>
      <c r="B703" t="s">
        <v>206</v>
      </c>
      <c r="C703">
        <v>1</v>
      </c>
      <c r="D703" t="s">
        <v>3082</v>
      </c>
      <c r="E703">
        <v>1529</v>
      </c>
      <c r="F703" t="str">
        <f t="shared" si="222"/>
        <v>enemy_1529_dsdevr_2</v>
      </c>
      <c r="G703">
        <v>1</v>
      </c>
      <c r="K703">
        <v>100</v>
      </c>
      <c r="M703">
        <v>100</v>
      </c>
      <c r="O703">
        <v>0</v>
      </c>
      <c r="Q703">
        <v>0</v>
      </c>
      <c r="Y703">
        <v>0.05</v>
      </c>
      <c r="Z703">
        <v>1</v>
      </c>
      <c r="AA703">
        <v>0</v>
      </c>
      <c r="AB703">
        <v>1</v>
      </c>
      <c r="AE703">
        <v>0</v>
      </c>
      <c r="AF703">
        <v>1</v>
      </c>
      <c r="AG703" t="s">
        <v>3078</v>
      </c>
      <c r="AH703" t="s">
        <v>209</v>
      </c>
      <c r="AI703" t="s">
        <v>231</v>
      </c>
      <c r="AK703">
        <v>1</v>
      </c>
      <c r="AT703">
        <v>1</v>
      </c>
      <c r="AV703">
        <v>0.25</v>
      </c>
      <c r="BC703" t="str">
        <f t="shared" si="223"/>
        <v>enemy_1529_dsdevr_2</v>
      </c>
      <c r="BL703" t="s">
        <v>210</v>
      </c>
      <c r="BM703" t="s">
        <v>211</v>
      </c>
      <c r="BN703" t="s">
        <v>1617</v>
      </c>
      <c r="BO703" t="s">
        <v>213</v>
      </c>
      <c r="BR703">
        <v>1</v>
      </c>
    </row>
    <row r="704" spans="1:70" ht="14.5" x14ac:dyDescent="0.25">
      <c r="D704" s="17"/>
      <c r="E704" s="2"/>
    </row>
    <row r="705" spans="4:5" ht="14.5" x14ac:dyDescent="0.25">
      <c r="D705" s="17"/>
      <c r="E705" s="2"/>
    </row>
    <row r="706" spans="4:5" ht="14.5" x14ac:dyDescent="0.25">
      <c r="D706" s="17"/>
      <c r="E706" s="2"/>
    </row>
    <row r="707" spans="4:5" ht="14.5" x14ac:dyDescent="0.25">
      <c r="D707" s="17"/>
      <c r="E707" s="2"/>
    </row>
    <row r="708" spans="4:5" ht="14.5" x14ac:dyDescent="0.25">
      <c r="D708" s="17"/>
      <c r="E708" s="2"/>
    </row>
    <row r="709" spans="4:5" ht="14.5" x14ac:dyDescent="0.25">
      <c r="D709" s="17"/>
      <c r="E709" s="2"/>
    </row>
    <row r="710" spans="4:5" ht="14.5" x14ac:dyDescent="0.25">
      <c r="D710" s="17"/>
      <c r="E710" s="2"/>
    </row>
    <row r="711" spans="4:5" ht="14.5" x14ac:dyDescent="0.25">
      <c r="D711" s="17"/>
      <c r="E711" s="2"/>
    </row>
    <row r="712" spans="4:5" ht="14.5" x14ac:dyDescent="0.25">
      <c r="D712" s="17"/>
      <c r="E712" s="2"/>
    </row>
    <row r="713" spans="4:5" ht="14.5" x14ac:dyDescent="0.25">
      <c r="D713" s="17"/>
      <c r="E713" s="2"/>
    </row>
    <row r="714" spans="4:5" ht="14.5" x14ac:dyDescent="0.25">
      <c r="D714" s="17"/>
      <c r="E714" s="2"/>
    </row>
    <row r="715" spans="4:5" ht="14.5" x14ac:dyDescent="0.25">
      <c r="D715" s="17"/>
      <c r="E715" s="2"/>
    </row>
    <row r="716" spans="4:5" ht="14.5" x14ac:dyDescent="0.25">
      <c r="D716" s="17"/>
      <c r="E716" s="2"/>
    </row>
    <row r="717" spans="4:5" ht="14.5" x14ac:dyDescent="0.25">
      <c r="D717" s="17"/>
      <c r="E717" s="2"/>
    </row>
    <row r="718" spans="4:5" ht="14.5" x14ac:dyDescent="0.25">
      <c r="D718" s="17"/>
      <c r="E718" s="2"/>
    </row>
    <row r="719" spans="4:5" ht="14.5" x14ac:dyDescent="0.25">
      <c r="D719" s="17"/>
      <c r="E719" s="2"/>
    </row>
    <row r="720" spans="4:5" ht="14.5" x14ac:dyDescent="0.25">
      <c r="D720" s="17"/>
      <c r="E720" s="2"/>
    </row>
    <row r="721" spans="4:39" ht="14.5" x14ac:dyDescent="0.25">
      <c r="D721" s="17"/>
      <c r="E721" s="2"/>
    </row>
    <row r="722" spans="4:39" ht="14.5" x14ac:dyDescent="0.25">
      <c r="D722" s="17"/>
      <c r="E722" s="2"/>
    </row>
    <row r="723" spans="4:39" ht="14.5" x14ac:dyDescent="0.25">
      <c r="D723" s="17"/>
      <c r="E723" s="2"/>
    </row>
    <row r="724" spans="4:39" ht="14.5" x14ac:dyDescent="0.25">
      <c r="D724" s="17"/>
      <c r="E724" s="2"/>
    </row>
    <row r="725" spans="4:39" ht="14.5" x14ac:dyDescent="0.25">
      <c r="D725" s="17"/>
      <c r="E725" s="2"/>
    </row>
    <row r="726" spans="4:39" ht="14.5" x14ac:dyDescent="0.25">
      <c r="D726" s="17"/>
      <c r="E726" s="2"/>
    </row>
    <row r="727" spans="4:39" ht="14.5" x14ac:dyDescent="0.25">
      <c r="D727" s="17"/>
      <c r="E727" s="2"/>
    </row>
    <row r="728" spans="4:39" ht="14.5" x14ac:dyDescent="0.25">
      <c r="D728" s="17"/>
      <c r="E728" s="2"/>
    </row>
    <row r="729" spans="4:39" x14ac:dyDescent="0.25">
      <c r="AM729" s="20"/>
    </row>
  </sheetData>
  <phoneticPr fontId="16" type="noConversion"/>
  <pageMargins left="0.7" right="0.7" top="0.75" bottom="0.75" header="0.3" footer="0.3"/>
  <pageSetup paperSize="9" orientation="portrait"/>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J908"/>
  <sheetViews>
    <sheetView workbookViewId="0">
      <pane xSplit="1" ySplit="3" topLeftCell="AG817" activePane="bottomRight" state="frozen"/>
      <selection pane="topRight"/>
      <selection pane="bottomLeft"/>
      <selection pane="bottomRight" activeCell="AV833" sqref="AV833"/>
    </sheetView>
  </sheetViews>
  <sheetFormatPr defaultColWidth="9" defaultRowHeight="14.05" x14ac:dyDescent="0.25"/>
  <cols>
    <col min="1" max="1" width="21.08203125" customWidth="1"/>
    <col min="2" max="2" width="15.4140625" customWidth="1"/>
    <col min="3" max="3" width="9.75" customWidth="1"/>
    <col min="4" max="4" width="16.4140625" customWidth="1"/>
    <col min="5" max="5" width="16.83203125" customWidth="1"/>
    <col min="6" max="6" width="31.33203125" customWidth="1"/>
    <col min="7" max="7" width="8.4140625" customWidth="1"/>
    <col min="8" max="8" width="17.83203125" customWidth="1"/>
    <col min="9" max="9" width="7.33203125" customWidth="1"/>
    <col min="10" max="10" width="7.75" customWidth="1"/>
    <col min="11" max="11" width="8.33203125" style="5" customWidth="1"/>
    <col min="12" max="12" width="11.9140625" style="5" customWidth="1"/>
    <col min="13" max="13" width="8.33203125" style="5" customWidth="1"/>
    <col min="14" max="14" width="11.75" style="5" customWidth="1"/>
    <col min="15" max="15" width="13.08203125" style="5" customWidth="1"/>
    <col min="16" max="16" width="11.4140625" style="5" customWidth="1"/>
    <col min="17" max="17" width="21.4140625" style="5" customWidth="1"/>
    <col min="18" max="18" width="19.83203125" style="5" customWidth="1"/>
    <col min="19" max="19" width="16.4140625" style="5" customWidth="1"/>
    <col min="20" max="20" width="12.75" style="5" customWidth="1"/>
    <col min="21" max="23" width="8.33203125" style="5" customWidth="1"/>
    <col min="24" max="24" width="18.4140625" style="5" customWidth="1"/>
    <col min="25" max="25" width="16.4140625" customWidth="1"/>
    <col min="26" max="26" width="10.25" customWidth="1"/>
    <col min="27" max="27" width="8.33203125" customWidth="1"/>
    <col min="28" max="28" width="10" customWidth="1"/>
    <col min="29" max="30" width="8.4140625" customWidth="1"/>
    <col min="31" max="31" width="15.1640625" customWidth="1"/>
    <col min="32" max="32" width="13.75" customWidth="1"/>
    <col min="33" max="33" width="8.4140625" customWidth="1"/>
    <col min="34" max="34" width="12.4140625" customWidth="1"/>
    <col min="35" max="37" width="8.4140625" customWidth="1"/>
    <col min="38" max="39" width="8.33203125" customWidth="1"/>
    <col min="40" max="40" width="15" customWidth="1"/>
    <col min="41" max="41" width="13.25" customWidth="1"/>
    <col min="42" max="45" width="11.83203125" customWidth="1"/>
    <col min="46" max="46" width="14.75" customWidth="1"/>
    <col min="47" max="47" width="14.6640625" customWidth="1"/>
    <col min="48" max="48" width="14.75" customWidth="1"/>
    <col min="49" max="49" width="7.25" style="6" customWidth="1"/>
    <col min="50" max="50" width="13.08203125" customWidth="1"/>
    <col min="52" max="52" width="14.4140625" customWidth="1"/>
    <col min="53" max="53" width="11.75" customWidth="1"/>
    <col min="54" max="54" width="9.75" customWidth="1"/>
    <col min="55" max="55" width="5.08203125" customWidth="1"/>
    <col min="56" max="56" width="8.4140625" customWidth="1"/>
    <col min="57" max="60" width="8.25" customWidth="1"/>
    <col min="61" max="66" width="8.33203125" customWidth="1"/>
    <col min="67" max="67" width="9.4140625" style="7" customWidth="1"/>
    <col min="68" max="68" width="12.4140625" style="7" customWidth="1"/>
    <col min="69" max="70" width="11.25" customWidth="1"/>
    <col min="71" max="71" width="6.4140625" customWidth="1"/>
    <col min="72" max="72" width="11.9140625" customWidth="1"/>
    <col min="73" max="73" width="8" customWidth="1"/>
    <col min="74" max="74" width="7.33203125" style="8" customWidth="1"/>
    <col min="75" max="76" width="8.4140625" style="8" customWidth="1"/>
    <col min="77" max="77" width="13.4140625" style="8" customWidth="1"/>
    <col min="78" max="78" width="7.83203125" style="8" customWidth="1"/>
    <col min="79" max="79" width="21.4140625" style="8" customWidth="1"/>
    <col min="80" max="80" width="13.4140625" customWidth="1"/>
    <col min="81" max="81" width="7.25" customWidth="1"/>
    <col min="82" max="82" width="9" customWidth="1"/>
    <col min="83" max="84" width="10" customWidth="1"/>
    <col min="85" max="85" width="9" customWidth="1"/>
    <col min="87" max="87" width="16" customWidth="1"/>
    <col min="88" max="89" width="12.83203125" customWidth="1"/>
    <col min="90" max="90" width="23.4140625" customWidth="1"/>
    <col min="91" max="91" width="12.83203125" customWidth="1"/>
    <col min="92" max="92" width="17.08203125" style="9" customWidth="1"/>
    <col min="99" max="99" width="54.4140625" customWidth="1"/>
    <col min="100" max="100" width="8" customWidth="1"/>
    <col min="102" max="102" width="11.08203125" customWidth="1"/>
    <col min="110" max="110" width="15.4140625" customWidth="1"/>
    <col min="114" max="114" width="9" hidden="1" customWidth="1"/>
  </cols>
  <sheetData>
    <row r="1" spans="1:113" x14ac:dyDescent="0.25">
      <c r="B1" t="s">
        <v>3083</v>
      </c>
      <c r="D1" t="s">
        <v>3084</v>
      </c>
      <c r="E1" t="s">
        <v>3085</v>
      </c>
      <c r="F1" t="s">
        <v>3086</v>
      </c>
      <c r="G1" t="s">
        <v>3087</v>
      </c>
      <c r="H1" t="s">
        <v>3088</v>
      </c>
      <c r="I1" t="s">
        <v>3089</v>
      </c>
      <c r="J1" t="s">
        <v>3090</v>
      </c>
      <c r="K1" s="5" t="s">
        <v>3091</v>
      </c>
      <c r="L1" s="5" t="s">
        <v>3092</v>
      </c>
      <c r="M1" s="5" t="s">
        <v>3093</v>
      </c>
      <c r="N1" s="5" t="s">
        <v>3094</v>
      </c>
      <c r="O1" s="5" t="s">
        <v>3095</v>
      </c>
      <c r="P1" s="5" t="s">
        <v>3096</v>
      </c>
      <c r="Q1" s="5" t="s">
        <v>3097</v>
      </c>
      <c r="R1" s="5" t="s">
        <v>3098</v>
      </c>
      <c r="S1" s="5" t="s">
        <v>3099</v>
      </c>
      <c r="T1" s="5" t="s">
        <v>3100</v>
      </c>
      <c r="U1" s="5" t="s">
        <v>3100</v>
      </c>
      <c r="V1" s="5" t="s">
        <v>3101</v>
      </c>
      <c r="W1" s="5" t="s">
        <v>3102</v>
      </c>
      <c r="X1" s="5" t="s">
        <v>3103</v>
      </c>
      <c r="Y1" t="s">
        <v>3104</v>
      </c>
      <c r="Z1" t="s">
        <v>3105</v>
      </c>
      <c r="AA1" s="5" t="s">
        <v>3106</v>
      </c>
      <c r="AB1" t="s">
        <v>3107</v>
      </c>
      <c r="AC1" t="s">
        <v>3108</v>
      </c>
      <c r="AD1" t="s">
        <v>3109</v>
      </c>
      <c r="AE1" t="s">
        <v>3110</v>
      </c>
      <c r="AF1" t="s">
        <v>3111</v>
      </c>
      <c r="AG1" t="s">
        <v>3112</v>
      </c>
      <c r="AH1" t="s">
        <v>3113</v>
      </c>
      <c r="AI1" t="s">
        <v>3114</v>
      </c>
      <c r="AJ1" t="s">
        <v>3115</v>
      </c>
      <c r="AK1" t="s">
        <v>3116</v>
      </c>
      <c r="AL1" t="s">
        <v>3117</v>
      </c>
      <c r="AM1" t="s">
        <v>3118</v>
      </c>
      <c r="AN1" t="s">
        <v>3119</v>
      </c>
      <c r="AO1" t="s">
        <v>3120</v>
      </c>
      <c r="AP1" t="s">
        <v>3121</v>
      </c>
      <c r="AQ1" t="s">
        <v>3122</v>
      </c>
      <c r="AR1" t="s">
        <v>3123</v>
      </c>
      <c r="AS1" t="s">
        <v>3124</v>
      </c>
      <c r="AT1" t="s">
        <v>3125</v>
      </c>
      <c r="AU1" t="s">
        <v>3126</v>
      </c>
      <c r="AV1" t="s">
        <v>3127</v>
      </c>
      <c r="AW1" s="6" t="s">
        <v>3128</v>
      </c>
      <c r="AX1" t="s">
        <v>3129</v>
      </c>
      <c r="AY1" t="s">
        <v>3130</v>
      </c>
      <c r="AZ1" t="s">
        <v>3131</v>
      </c>
      <c r="BA1" t="s">
        <v>3132</v>
      </c>
      <c r="BB1" t="s">
        <v>3133</v>
      </c>
      <c r="BC1" t="s">
        <v>3134</v>
      </c>
      <c r="BD1" t="s">
        <v>3135</v>
      </c>
      <c r="BE1" t="s">
        <v>3136</v>
      </c>
      <c r="BF1" t="s">
        <v>3137</v>
      </c>
      <c r="BG1" t="s">
        <v>3138</v>
      </c>
      <c r="BH1" t="s">
        <v>3139</v>
      </c>
      <c r="BJ1" t="s">
        <v>3139</v>
      </c>
      <c r="BK1" t="s">
        <v>3140</v>
      </c>
      <c r="BL1" t="s">
        <v>3141</v>
      </c>
      <c r="BM1" t="s">
        <v>3142</v>
      </c>
      <c r="BN1" t="s">
        <v>3143</v>
      </c>
      <c r="BO1" s="7" t="s">
        <v>3144</v>
      </c>
      <c r="BP1" s="7" t="s">
        <v>3145</v>
      </c>
      <c r="BQ1" t="s">
        <v>3146</v>
      </c>
      <c r="BR1" t="s">
        <v>3147</v>
      </c>
      <c r="BS1" t="s">
        <v>3148</v>
      </c>
      <c r="BT1" t="s">
        <v>3149</v>
      </c>
      <c r="BU1" t="s">
        <v>3150</v>
      </c>
      <c r="BV1" s="8" t="s">
        <v>3151</v>
      </c>
      <c r="BW1" s="8" t="s">
        <v>3152</v>
      </c>
      <c r="BX1" s="8" t="s">
        <v>3153</v>
      </c>
      <c r="BY1" s="8" t="s">
        <v>3154</v>
      </c>
      <c r="BZ1" s="8" t="s">
        <v>3155</v>
      </c>
      <c r="CA1" s="8" t="s">
        <v>3156</v>
      </c>
      <c r="CB1" t="s">
        <v>3157</v>
      </c>
      <c r="CC1" s="8" t="s">
        <v>3158</v>
      </c>
      <c r="CD1" t="s">
        <v>3159</v>
      </c>
      <c r="CE1" t="s">
        <v>3160</v>
      </c>
      <c r="CF1" t="s">
        <v>3161</v>
      </c>
      <c r="CG1" t="s">
        <v>3162</v>
      </c>
      <c r="CH1" t="s">
        <v>3163</v>
      </c>
      <c r="CI1" t="s">
        <v>3164</v>
      </c>
      <c r="CJ1" t="s">
        <v>3165</v>
      </c>
      <c r="CK1" t="s">
        <v>3166</v>
      </c>
      <c r="CL1" t="s">
        <v>3167</v>
      </c>
      <c r="CM1" t="s">
        <v>3168</v>
      </c>
      <c r="CN1" s="9" t="s">
        <v>3169</v>
      </c>
      <c r="CO1" t="s">
        <v>3170</v>
      </c>
      <c r="CP1" t="s">
        <v>3171</v>
      </c>
      <c r="CQ1" t="s">
        <v>3172</v>
      </c>
      <c r="CR1" t="s">
        <v>3149</v>
      </c>
      <c r="CS1" t="s">
        <v>3173</v>
      </c>
      <c r="CT1" t="s">
        <v>3174</v>
      </c>
      <c r="CU1" t="s">
        <v>3175</v>
      </c>
      <c r="CV1" t="s">
        <v>3176</v>
      </c>
      <c r="CW1" t="s">
        <v>3177</v>
      </c>
      <c r="CX1" t="s">
        <v>3178</v>
      </c>
      <c r="CY1" t="s">
        <v>3179</v>
      </c>
      <c r="CZ1" t="s">
        <v>3178</v>
      </c>
      <c r="DA1" t="s">
        <v>3180</v>
      </c>
      <c r="DB1" t="s">
        <v>3181</v>
      </c>
      <c r="DC1" t="s">
        <v>3182</v>
      </c>
      <c r="DD1" t="s">
        <v>3183</v>
      </c>
      <c r="DE1" t="s">
        <v>3184</v>
      </c>
      <c r="DF1" t="s">
        <v>3185</v>
      </c>
      <c r="DG1" t="s">
        <v>3186</v>
      </c>
      <c r="DH1" t="s">
        <v>3187</v>
      </c>
      <c r="DI1" t="s">
        <v>3188</v>
      </c>
    </row>
    <row r="2" spans="1:113" x14ac:dyDescent="0.25">
      <c r="A2" t="s">
        <v>0</v>
      </c>
      <c r="C2" t="s">
        <v>127</v>
      </c>
      <c r="D2" t="s">
        <v>156</v>
      </c>
      <c r="E2" t="s">
        <v>3189</v>
      </c>
      <c r="F2" t="s">
        <v>3190</v>
      </c>
      <c r="G2" t="s">
        <v>132</v>
      </c>
      <c r="H2" t="s">
        <v>3191</v>
      </c>
      <c r="I2" t="s">
        <v>3192</v>
      </c>
      <c r="J2" t="s">
        <v>3193</v>
      </c>
      <c r="K2" s="5" t="s">
        <v>3194</v>
      </c>
      <c r="L2" s="5" t="s">
        <v>3195</v>
      </c>
      <c r="M2" s="5" t="s">
        <v>3196</v>
      </c>
      <c r="N2" s="5" t="s">
        <v>3197</v>
      </c>
      <c r="O2" s="5" t="s">
        <v>3198</v>
      </c>
      <c r="P2" s="5" t="s">
        <v>3199</v>
      </c>
      <c r="Q2" s="5" t="s">
        <v>6186</v>
      </c>
      <c r="R2" s="5" t="s">
        <v>3200</v>
      </c>
      <c r="S2" s="5" t="s">
        <v>3201</v>
      </c>
      <c r="T2" s="5" t="s">
        <v>3202</v>
      </c>
      <c r="U2" s="5" t="s">
        <v>3203</v>
      </c>
      <c r="V2" s="5" t="s">
        <v>3204</v>
      </c>
      <c r="W2" s="5" t="s">
        <v>3205</v>
      </c>
      <c r="X2" s="5" t="s">
        <v>3206</v>
      </c>
      <c r="Y2" t="s">
        <v>3207</v>
      </c>
      <c r="Z2" t="s">
        <v>3208</v>
      </c>
      <c r="AA2" s="5" t="s">
        <v>3209</v>
      </c>
      <c r="AB2" t="s">
        <v>3210</v>
      </c>
      <c r="AC2" t="s">
        <v>3211</v>
      </c>
      <c r="AD2" t="s">
        <v>3212</v>
      </c>
      <c r="AE2" t="s">
        <v>3213</v>
      </c>
      <c r="AF2" t="s">
        <v>3214</v>
      </c>
      <c r="AG2" t="s">
        <v>3215</v>
      </c>
      <c r="AH2" t="s">
        <v>3216</v>
      </c>
      <c r="AI2" t="s">
        <v>3217</v>
      </c>
      <c r="AJ2" t="s">
        <v>3218</v>
      </c>
      <c r="AK2" t="s">
        <v>3219</v>
      </c>
      <c r="AL2" t="s">
        <v>3220</v>
      </c>
      <c r="AM2" t="s">
        <v>3221</v>
      </c>
      <c r="AN2" t="s">
        <v>3222</v>
      </c>
      <c r="AO2" t="s">
        <v>3223</v>
      </c>
      <c r="AP2" t="s">
        <v>3224</v>
      </c>
      <c r="AQ2" t="s">
        <v>3225</v>
      </c>
      <c r="AR2" t="s">
        <v>3226</v>
      </c>
      <c r="AS2" t="s">
        <v>3227</v>
      </c>
      <c r="AT2" t="s">
        <v>3228</v>
      </c>
      <c r="AU2" t="s">
        <v>3229</v>
      </c>
      <c r="AV2" t="s">
        <v>3230</v>
      </c>
      <c r="AW2" s="6" t="s">
        <v>3231</v>
      </c>
      <c r="AX2" t="s">
        <v>3232</v>
      </c>
      <c r="AY2" t="s">
        <v>3233</v>
      </c>
      <c r="AZ2" t="s">
        <v>3234</v>
      </c>
      <c r="BA2" t="s">
        <v>3235</v>
      </c>
      <c r="BB2" t="s">
        <v>3236</v>
      </c>
      <c r="BC2" t="s">
        <v>3237</v>
      </c>
      <c r="BD2" t="s">
        <v>3238</v>
      </c>
      <c r="BE2" t="s">
        <v>3239</v>
      </c>
      <c r="BF2" t="s">
        <v>3240</v>
      </c>
      <c r="BG2" t="s">
        <v>3241</v>
      </c>
      <c r="BH2" t="s">
        <v>3242</v>
      </c>
      <c r="BI2" t="s">
        <v>3243</v>
      </c>
      <c r="BJ2" t="s">
        <v>3244</v>
      </c>
      <c r="BK2" t="s">
        <v>3245</v>
      </c>
      <c r="BL2" t="s">
        <v>3246</v>
      </c>
      <c r="BM2" t="s">
        <v>3247</v>
      </c>
      <c r="BN2" t="s">
        <v>3248</v>
      </c>
      <c r="BO2" s="7" t="s">
        <v>158</v>
      </c>
      <c r="BP2" s="7" t="s">
        <v>3249</v>
      </c>
      <c r="BQ2" t="s">
        <v>3250</v>
      </c>
      <c r="BR2" t="s">
        <v>3251</v>
      </c>
      <c r="BS2" t="s">
        <v>3252</v>
      </c>
      <c r="BT2" t="s">
        <v>3253</v>
      </c>
      <c r="BU2" t="s">
        <v>172</v>
      </c>
      <c r="BV2" s="8" t="s">
        <v>3254</v>
      </c>
      <c r="BW2" s="8" t="s">
        <v>3255</v>
      </c>
      <c r="BX2" s="8" t="s">
        <v>3256</v>
      </c>
      <c r="BY2" s="8" t="s">
        <v>3257</v>
      </c>
      <c r="BZ2" s="8" t="s">
        <v>3258</v>
      </c>
      <c r="CA2" s="8" t="s">
        <v>3259</v>
      </c>
      <c r="CB2" t="s">
        <v>3260</v>
      </c>
      <c r="CC2" t="s">
        <v>3261</v>
      </c>
      <c r="CD2" t="s">
        <v>3262</v>
      </c>
      <c r="CE2" t="s">
        <v>3263</v>
      </c>
      <c r="CF2" t="s">
        <v>3264</v>
      </c>
      <c r="CG2" t="s">
        <v>3265</v>
      </c>
      <c r="CH2" t="s">
        <v>3266</v>
      </c>
      <c r="CI2" t="s">
        <v>3267</v>
      </c>
      <c r="CJ2" t="s">
        <v>3268</v>
      </c>
      <c r="CK2" t="s">
        <v>3269</v>
      </c>
      <c r="CL2" t="s">
        <v>3270</v>
      </c>
      <c r="CM2" t="s">
        <v>3271</v>
      </c>
      <c r="CN2" s="9" t="s">
        <v>3272</v>
      </c>
      <c r="CO2" t="s">
        <v>3273</v>
      </c>
      <c r="CP2" t="s">
        <v>3274</v>
      </c>
      <c r="CQ2" t="s">
        <v>3275</v>
      </c>
      <c r="CR2" t="s">
        <v>3276</v>
      </c>
      <c r="CS2" t="s">
        <v>3277</v>
      </c>
      <c r="CT2" t="s">
        <v>3278</v>
      </c>
      <c r="CU2" t="s">
        <v>3279</v>
      </c>
      <c r="CV2" t="s">
        <v>3280</v>
      </c>
      <c r="CW2" t="s">
        <v>3281</v>
      </c>
      <c r="CX2" t="s">
        <v>3282</v>
      </c>
      <c r="CY2" t="s">
        <v>3283</v>
      </c>
      <c r="CZ2" t="s">
        <v>3284</v>
      </c>
      <c r="DA2" t="s">
        <v>3285</v>
      </c>
      <c r="DB2" t="s">
        <v>3286</v>
      </c>
      <c r="DC2" t="s">
        <v>3287</v>
      </c>
      <c r="DD2" t="s">
        <v>3288</v>
      </c>
      <c r="DE2" t="s">
        <v>3289</v>
      </c>
      <c r="DF2" t="s">
        <v>3290</v>
      </c>
      <c r="DG2" t="s">
        <v>3291</v>
      </c>
      <c r="DH2" t="s">
        <v>3292</v>
      </c>
      <c r="DI2" t="s">
        <v>3293</v>
      </c>
    </row>
    <row r="3" spans="1:113" x14ac:dyDescent="0.25">
      <c r="A3" t="s">
        <v>2</v>
      </c>
      <c r="C3" t="s">
        <v>2</v>
      </c>
      <c r="D3" t="s">
        <v>2</v>
      </c>
      <c r="E3" t="s">
        <v>2</v>
      </c>
      <c r="F3" t="s">
        <v>2</v>
      </c>
      <c r="G3" t="s">
        <v>195</v>
      </c>
      <c r="H3" t="s">
        <v>2</v>
      </c>
      <c r="I3" t="s">
        <v>193</v>
      </c>
      <c r="J3" t="s">
        <v>3294</v>
      </c>
      <c r="K3" s="5" t="s">
        <v>3295</v>
      </c>
      <c r="L3" s="5" t="s">
        <v>3296</v>
      </c>
      <c r="M3" s="5" t="s">
        <v>195</v>
      </c>
      <c r="N3" s="5" t="s">
        <v>195</v>
      </c>
      <c r="O3" s="5" t="s">
        <v>197</v>
      </c>
      <c r="P3" s="5" t="s">
        <v>197</v>
      </c>
      <c r="Q3" s="5" t="s">
        <v>197</v>
      </c>
      <c r="R3" s="5" t="s">
        <v>197</v>
      </c>
      <c r="S3" s="5" t="s">
        <v>193</v>
      </c>
      <c r="T3" s="5" t="s">
        <v>194</v>
      </c>
      <c r="U3" s="5" t="s">
        <v>194</v>
      </c>
      <c r="V3" s="5" t="s">
        <v>194</v>
      </c>
      <c r="W3" s="5" t="s">
        <v>193</v>
      </c>
      <c r="X3" s="5" t="s">
        <v>193</v>
      </c>
      <c r="Y3" t="s">
        <v>193</v>
      </c>
      <c r="Z3" t="s">
        <v>193</v>
      </c>
      <c r="AA3" s="5" t="s">
        <v>194</v>
      </c>
      <c r="AB3" t="s">
        <v>193</v>
      </c>
      <c r="AC3" t="s">
        <v>195</v>
      </c>
      <c r="AD3" t="s">
        <v>193</v>
      </c>
      <c r="AE3" t="s">
        <v>193</v>
      </c>
      <c r="AF3" t="s">
        <v>193</v>
      </c>
      <c r="AG3" t="s">
        <v>3297</v>
      </c>
      <c r="AH3" t="s">
        <v>193</v>
      </c>
      <c r="AI3" t="s">
        <v>199</v>
      </c>
      <c r="AJ3" t="s">
        <v>3</v>
      </c>
      <c r="AK3" t="s">
        <v>195</v>
      </c>
      <c r="AL3" t="s">
        <v>195</v>
      </c>
      <c r="AM3" t="s">
        <v>195</v>
      </c>
      <c r="AN3" t="s">
        <v>193</v>
      </c>
      <c r="AO3" t="s">
        <v>3298</v>
      </c>
      <c r="AP3" t="s">
        <v>3299</v>
      </c>
      <c r="AQ3" t="s">
        <v>2</v>
      </c>
      <c r="AR3" t="s">
        <v>2</v>
      </c>
      <c r="AS3" t="s">
        <v>2</v>
      </c>
      <c r="AT3" t="s">
        <v>3300</v>
      </c>
      <c r="AU3" t="s">
        <v>193</v>
      </c>
      <c r="AV3" t="s">
        <v>194</v>
      </c>
      <c r="AW3" s="6" t="s">
        <v>193</v>
      </c>
      <c r="AX3" t="s">
        <v>3301</v>
      </c>
      <c r="AY3" t="s">
        <v>193</v>
      </c>
      <c r="AZ3" t="s">
        <v>194</v>
      </c>
      <c r="BA3" t="s">
        <v>193</v>
      </c>
      <c r="BB3" t="s">
        <v>195</v>
      </c>
      <c r="BC3" t="s">
        <v>194</v>
      </c>
      <c r="BD3" t="s">
        <v>195</v>
      </c>
      <c r="BE3" t="s">
        <v>195</v>
      </c>
      <c r="BF3" t="s">
        <v>194</v>
      </c>
      <c r="BG3" t="s">
        <v>193</v>
      </c>
      <c r="BH3" t="s">
        <v>3300</v>
      </c>
      <c r="BI3" t="s">
        <v>193</v>
      </c>
      <c r="BJ3" t="s">
        <v>194</v>
      </c>
      <c r="BK3" t="s">
        <v>194</v>
      </c>
      <c r="BL3" t="s">
        <v>194</v>
      </c>
      <c r="BM3" t="s">
        <v>195</v>
      </c>
      <c r="BN3" t="s">
        <v>195</v>
      </c>
      <c r="BO3" s="7" t="s">
        <v>196</v>
      </c>
      <c r="BP3" s="7" t="s">
        <v>196</v>
      </c>
      <c r="BQ3" t="s">
        <v>3302</v>
      </c>
      <c r="BR3" t="s">
        <v>3303</v>
      </c>
      <c r="BS3" t="s">
        <v>194</v>
      </c>
      <c r="BT3" t="s">
        <v>194</v>
      </c>
      <c r="BU3" t="s">
        <v>193</v>
      </c>
      <c r="BV3" s="8" t="s">
        <v>194</v>
      </c>
      <c r="BW3" s="8" t="s">
        <v>194</v>
      </c>
      <c r="BX3" s="8" t="s">
        <v>195</v>
      </c>
      <c r="BY3" s="8" t="s">
        <v>3304</v>
      </c>
      <c r="BZ3" s="8" t="s">
        <v>193</v>
      </c>
      <c r="CA3" s="8" t="s">
        <v>3304</v>
      </c>
      <c r="CB3" t="s">
        <v>201</v>
      </c>
      <c r="CC3" t="s">
        <v>3305</v>
      </c>
      <c r="CD3" t="s">
        <v>201</v>
      </c>
      <c r="CE3" t="s">
        <v>201</v>
      </c>
      <c r="CF3" t="s">
        <v>201</v>
      </c>
      <c r="CG3" t="s">
        <v>3306</v>
      </c>
      <c r="CH3" t="s">
        <v>3307</v>
      </c>
      <c r="CI3" t="s">
        <v>2</v>
      </c>
      <c r="CJ3" t="s">
        <v>3308</v>
      </c>
      <c r="CK3" t="s">
        <v>3308</v>
      </c>
      <c r="CL3" t="s">
        <v>202</v>
      </c>
      <c r="CM3" t="s">
        <v>197</v>
      </c>
      <c r="CN3" s="9" t="s">
        <v>197</v>
      </c>
      <c r="CO3" t="s">
        <v>200</v>
      </c>
      <c r="CP3" t="s">
        <v>200</v>
      </c>
      <c r="CQ3" t="s">
        <v>200</v>
      </c>
      <c r="CR3" t="s">
        <v>3305</v>
      </c>
      <c r="CS3" t="s">
        <v>200</v>
      </c>
      <c r="CT3" t="s">
        <v>193</v>
      </c>
      <c r="CU3" t="s">
        <v>202</v>
      </c>
      <c r="CV3" t="s">
        <v>3309</v>
      </c>
      <c r="CW3" t="s">
        <v>3310</v>
      </c>
      <c r="CX3" t="s">
        <v>3310</v>
      </c>
      <c r="CY3" t="s">
        <v>3309</v>
      </c>
      <c r="CZ3" t="s">
        <v>3309</v>
      </c>
      <c r="DA3" t="s">
        <v>3309</v>
      </c>
      <c r="DB3" t="s">
        <v>3309</v>
      </c>
      <c r="DC3" t="s">
        <v>3309</v>
      </c>
      <c r="DD3" t="s">
        <v>193</v>
      </c>
      <c r="DE3" t="s">
        <v>193</v>
      </c>
      <c r="DF3" t="s">
        <v>193</v>
      </c>
      <c r="DG3" t="s">
        <v>193</v>
      </c>
      <c r="DH3" t="s">
        <v>193</v>
      </c>
      <c r="DI3" t="s">
        <v>193</v>
      </c>
    </row>
    <row r="4" spans="1:113" s="3" customFormat="1" x14ac:dyDescent="0.25">
      <c r="A4" s="3" t="s">
        <v>3311</v>
      </c>
      <c r="AW4" s="6"/>
      <c r="BO4" s="7"/>
      <c r="BP4" s="7"/>
      <c r="CN4" s="9"/>
    </row>
    <row r="5" spans="1:113" s="3" customFormat="1" x14ac:dyDescent="0.25">
      <c r="A5" t="s">
        <v>3312</v>
      </c>
      <c r="B5"/>
      <c r="C5" t="s">
        <v>3313</v>
      </c>
      <c r="D5"/>
      <c r="E5"/>
      <c r="F5"/>
      <c r="G5"/>
      <c r="H5"/>
      <c r="I5"/>
      <c r="J5"/>
      <c r="K5" s="5" t="s">
        <v>3314</v>
      </c>
      <c r="L5" s="5" t="s">
        <v>3315</v>
      </c>
      <c r="M5"/>
      <c r="N5"/>
      <c r="O5"/>
      <c r="P5"/>
      <c r="Q5"/>
      <c r="R5"/>
      <c r="S5"/>
      <c r="T5"/>
      <c r="U5"/>
      <c r="V5"/>
      <c r="W5"/>
      <c r="X5"/>
      <c r="Y5"/>
      <c r="Z5"/>
      <c r="AA5"/>
      <c r="AB5"/>
      <c r="AC5">
        <v>1</v>
      </c>
      <c r="AD5"/>
      <c r="AE5"/>
      <c r="AF5">
        <v>1</v>
      </c>
      <c r="AG5" t="s">
        <v>3316</v>
      </c>
      <c r="AH5"/>
      <c r="AI5"/>
      <c r="AJ5"/>
      <c r="AK5"/>
      <c r="AL5"/>
      <c r="AM5"/>
      <c r="AN5"/>
      <c r="AO5"/>
      <c r="AP5"/>
      <c r="AQ5"/>
      <c r="AR5"/>
      <c r="AS5"/>
      <c r="AT5"/>
      <c r="AU5"/>
      <c r="AV5"/>
      <c r="AW5" s="6"/>
      <c r="AX5" t="s">
        <v>3317</v>
      </c>
      <c r="AY5"/>
      <c r="AZ5">
        <v>1000</v>
      </c>
      <c r="BA5"/>
      <c r="BB5">
        <v>2</v>
      </c>
      <c r="BC5"/>
      <c r="BD5">
        <v>1</v>
      </c>
      <c r="BE5"/>
      <c r="BF5"/>
      <c r="BG5"/>
      <c r="BH5"/>
      <c r="BI5"/>
      <c r="BJ5"/>
      <c r="BK5"/>
      <c r="BL5"/>
      <c r="BM5"/>
      <c r="BN5"/>
      <c r="BO5" s="7"/>
      <c r="BP5" s="7"/>
      <c r="BQ5"/>
      <c r="BR5"/>
      <c r="BS5">
        <v>10</v>
      </c>
      <c r="BT5"/>
      <c r="BU5"/>
      <c r="BV5"/>
      <c r="BW5"/>
      <c r="BX5"/>
      <c r="BY5" s="8"/>
      <c r="BZ5"/>
      <c r="CA5"/>
      <c r="CB5"/>
      <c r="CC5"/>
      <c r="CD5"/>
      <c r="CE5"/>
      <c r="CF5"/>
      <c r="CG5"/>
      <c r="CH5"/>
      <c r="CI5"/>
      <c r="CJ5"/>
      <c r="CK5"/>
      <c r="CL5"/>
      <c r="CM5"/>
      <c r="CN5" s="9" t="s">
        <v>3318</v>
      </c>
      <c r="CO5"/>
      <c r="CP5"/>
      <c r="CQ5"/>
      <c r="CR5">
        <v>10</v>
      </c>
      <c r="CS5"/>
      <c r="CT5"/>
      <c r="CU5" t="s">
        <v>3319</v>
      </c>
      <c r="CV5"/>
      <c r="CW5"/>
      <c r="CX5"/>
      <c r="CY5"/>
      <c r="CZ5"/>
      <c r="DA5"/>
      <c r="DB5"/>
      <c r="DC5"/>
      <c r="DD5"/>
      <c r="DE5"/>
      <c r="DF5"/>
      <c r="DG5"/>
      <c r="DH5"/>
      <c r="DI5"/>
    </row>
    <row r="6" spans="1:113" s="3" customFormat="1" x14ac:dyDescent="0.25">
      <c r="A6" t="s">
        <v>3320</v>
      </c>
      <c r="B6"/>
      <c r="C6" t="s">
        <v>3313</v>
      </c>
      <c r="D6"/>
      <c r="E6"/>
      <c r="F6"/>
      <c r="G6"/>
      <c r="H6"/>
      <c r="I6"/>
      <c r="J6"/>
      <c r="K6" s="5" t="s">
        <v>3314</v>
      </c>
      <c r="L6" s="5" t="s">
        <v>3315</v>
      </c>
      <c r="M6"/>
      <c r="N6"/>
      <c r="O6"/>
      <c r="P6"/>
      <c r="Q6"/>
      <c r="R6"/>
      <c r="S6"/>
      <c r="T6"/>
      <c r="U6"/>
      <c r="V6"/>
      <c r="W6"/>
      <c r="X6"/>
      <c r="Y6"/>
      <c r="Z6"/>
      <c r="AA6"/>
      <c r="AB6"/>
      <c r="AC6">
        <v>2</v>
      </c>
      <c r="AD6"/>
      <c r="AE6"/>
      <c r="AF6">
        <v>1</v>
      </c>
      <c r="AG6" t="s">
        <v>3316</v>
      </c>
      <c r="AH6"/>
      <c r="AI6"/>
      <c r="AJ6"/>
      <c r="AK6"/>
      <c r="AL6"/>
      <c r="AM6"/>
      <c r="AN6"/>
      <c r="AO6"/>
      <c r="AP6"/>
      <c r="AQ6"/>
      <c r="AR6"/>
      <c r="AS6"/>
      <c r="AT6"/>
      <c r="AU6"/>
      <c r="AV6"/>
      <c r="AW6" s="6"/>
      <c r="AX6" t="s">
        <v>3317</v>
      </c>
      <c r="AY6"/>
      <c r="AZ6">
        <v>6000</v>
      </c>
      <c r="BA6"/>
      <c r="BB6">
        <v>2</v>
      </c>
      <c r="BC6"/>
      <c r="BD6">
        <v>1</v>
      </c>
      <c r="BE6"/>
      <c r="BF6"/>
      <c r="BG6"/>
      <c r="BH6"/>
      <c r="BI6"/>
      <c r="BJ6"/>
      <c r="BK6"/>
      <c r="BL6"/>
      <c r="BM6"/>
      <c r="BN6"/>
      <c r="BO6" s="7"/>
      <c r="BP6" s="7"/>
      <c r="BQ6"/>
      <c r="BR6"/>
      <c r="BS6">
        <v>10</v>
      </c>
      <c r="BT6"/>
      <c r="BU6"/>
      <c r="BV6"/>
      <c r="BW6"/>
      <c r="BX6"/>
      <c r="BY6" s="8"/>
      <c r="BZ6"/>
      <c r="CA6"/>
      <c r="CB6"/>
      <c r="CC6"/>
      <c r="CD6"/>
      <c r="CE6"/>
      <c r="CF6"/>
      <c r="CG6"/>
      <c r="CH6"/>
      <c r="CI6"/>
      <c r="CJ6"/>
      <c r="CK6"/>
      <c r="CL6"/>
      <c r="CM6"/>
      <c r="CN6" s="9" t="s">
        <v>3321</v>
      </c>
      <c r="CO6"/>
      <c r="CP6"/>
      <c r="CQ6"/>
      <c r="CR6"/>
      <c r="CS6"/>
      <c r="CT6"/>
      <c r="CU6" t="s">
        <v>3319</v>
      </c>
      <c r="CV6"/>
      <c r="CW6"/>
      <c r="CX6"/>
      <c r="CY6"/>
      <c r="CZ6"/>
      <c r="DA6"/>
      <c r="DB6"/>
      <c r="DC6"/>
      <c r="DD6"/>
      <c r="DE6"/>
      <c r="DF6"/>
      <c r="DG6"/>
      <c r="DH6"/>
      <c r="DI6"/>
    </row>
    <row r="7" spans="1:113" s="3" customFormat="1" x14ac:dyDescent="0.25">
      <c r="A7" t="s">
        <v>3322</v>
      </c>
      <c r="B7"/>
      <c r="C7" t="s">
        <v>3313</v>
      </c>
      <c r="D7"/>
      <c r="E7"/>
      <c r="F7"/>
      <c r="G7"/>
      <c r="H7"/>
      <c r="I7"/>
      <c r="J7"/>
      <c r="K7" s="5" t="s">
        <v>3314</v>
      </c>
      <c r="L7" s="5" t="s">
        <v>3315</v>
      </c>
      <c r="M7"/>
      <c r="N7"/>
      <c r="O7"/>
      <c r="P7"/>
      <c r="Q7"/>
      <c r="R7"/>
      <c r="S7"/>
      <c r="T7"/>
      <c r="U7"/>
      <c r="V7"/>
      <c r="W7"/>
      <c r="X7"/>
      <c r="Y7"/>
      <c r="Z7"/>
      <c r="AA7"/>
      <c r="AB7"/>
      <c r="AC7">
        <v>2</v>
      </c>
      <c r="AD7"/>
      <c r="AE7"/>
      <c r="AF7">
        <v>1</v>
      </c>
      <c r="AG7" t="s">
        <v>3316</v>
      </c>
      <c r="AH7"/>
      <c r="AI7"/>
      <c r="AJ7"/>
      <c r="AK7"/>
      <c r="AL7"/>
      <c r="AM7"/>
      <c r="AN7"/>
      <c r="AO7"/>
      <c r="AP7"/>
      <c r="AQ7"/>
      <c r="AR7"/>
      <c r="AS7"/>
      <c r="AT7"/>
      <c r="AU7"/>
      <c r="AV7"/>
      <c r="AW7" s="6"/>
      <c r="AX7" t="s">
        <v>3317</v>
      </c>
      <c r="AY7"/>
      <c r="AZ7" s="11">
        <v>7000</v>
      </c>
      <c r="BA7"/>
      <c r="BB7">
        <v>2</v>
      </c>
      <c r="BC7"/>
      <c r="BD7">
        <v>1</v>
      </c>
      <c r="BE7"/>
      <c r="BF7"/>
      <c r="BG7"/>
      <c r="BH7"/>
      <c r="BI7"/>
      <c r="BJ7"/>
      <c r="BK7"/>
      <c r="BL7"/>
      <c r="BM7"/>
      <c r="BN7"/>
      <c r="BO7" s="7"/>
      <c r="BP7" s="7"/>
      <c r="BQ7"/>
      <c r="BR7"/>
      <c r="BS7">
        <v>10</v>
      </c>
      <c r="BT7"/>
      <c r="BU7"/>
      <c r="BV7"/>
      <c r="BW7"/>
      <c r="BX7"/>
      <c r="BY7" s="8"/>
      <c r="BZ7"/>
      <c r="CA7"/>
      <c r="CB7"/>
      <c r="CC7"/>
      <c r="CD7"/>
      <c r="CE7"/>
      <c r="CF7"/>
      <c r="CG7"/>
      <c r="CH7"/>
      <c r="CI7"/>
      <c r="CJ7"/>
      <c r="CK7"/>
      <c r="CL7"/>
      <c r="CM7"/>
      <c r="CN7" s="9" t="s">
        <v>3323</v>
      </c>
      <c r="CO7">
        <v>-20</v>
      </c>
      <c r="CP7"/>
      <c r="CQ7"/>
      <c r="CR7"/>
      <c r="CS7"/>
      <c r="CT7"/>
      <c r="CU7" t="s">
        <v>3324</v>
      </c>
      <c r="CV7"/>
      <c r="CW7"/>
      <c r="CX7"/>
      <c r="CY7"/>
      <c r="CZ7"/>
      <c r="DA7"/>
      <c r="DB7"/>
      <c r="DC7"/>
      <c r="DD7"/>
      <c r="DE7"/>
      <c r="DF7"/>
      <c r="DG7"/>
      <c r="DH7"/>
      <c r="DI7"/>
    </row>
    <row r="8" spans="1:113" s="29" customFormat="1" x14ac:dyDescent="0.25">
      <c r="A8" t="s">
        <v>6201</v>
      </c>
      <c r="B8"/>
      <c r="C8" t="s">
        <v>3313</v>
      </c>
      <c r="D8"/>
      <c r="E8"/>
      <c r="F8"/>
      <c r="G8"/>
      <c r="H8"/>
      <c r="I8"/>
      <c r="J8"/>
      <c r="K8" s="24" t="s">
        <v>3314</v>
      </c>
      <c r="L8" s="24" t="s">
        <v>3315</v>
      </c>
      <c r="M8"/>
      <c r="N8"/>
      <c r="O8"/>
      <c r="P8"/>
      <c r="Q8"/>
      <c r="R8"/>
      <c r="S8"/>
      <c r="T8"/>
      <c r="U8"/>
      <c r="V8"/>
      <c r="W8"/>
      <c r="X8"/>
      <c r="Y8"/>
      <c r="Z8"/>
      <c r="AA8"/>
      <c r="AB8"/>
      <c r="AC8">
        <v>2</v>
      </c>
      <c r="AD8">
        <v>1</v>
      </c>
      <c r="AE8"/>
      <c r="AF8">
        <v>1</v>
      </c>
      <c r="AG8" t="s">
        <v>3316</v>
      </c>
      <c r="AH8"/>
      <c r="AI8"/>
      <c r="AJ8"/>
      <c r="AK8"/>
      <c r="AL8"/>
      <c r="AM8"/>
      <c r="AN8"/>
      <c r="AO8"/>
      <c r="AP8"/>
      <c r="AQ8"/>
      <c r="AR8"/>
      <c r="AS8"/>
      <c r="AT8"/>
      <c r="AU8"/>
      <c r="AV8"/>
      <c r="AW8" s="25"/>
      <c r="AX8" t="s">
        <v>3317</v>
      </c>
      <c r="AY8"/>
      <c r="AZ8" s="26">
        <v>800</v>
      </c>
      <c r="BA8"/>
      <c r="BB8">
        <v>2</v>
      </c>
      <c r="BC8"/>
      <c r="BD8">
        <v>1</v>
      </c>
      <c r="BE8"/>
      <c r="BF8"/>
      <c r="BG8"/>
      <c r="BH8"/>
      <c r="BI8"/>
      <c r="BJ8"/>
      <c r="BK8"/>
      <c r="BL8"/>
      <c r="BM8"/>
      <c r="BN8"/>
      <c r="BO8" s="27"/>
      <c r="BP8" s="27"/>
      <c r="BQ8"/>
      <c r="BR8"/>
      <c r="BS8">
        <v>15</v>
      </c>
      <c r="BT8"/>
      <c r="BU8"/>
      <c r="BV8"/>
      <c r="BW8"/>
      <c r="BX8"/>
      <c r="BY8" s="28"/>
      <c r="BZ8"/>
      <c r="CA8"/>
      <c r="CB8"/>
      <c r="CC8"/>
      <c r="CD8"/>
      <c r="CE8"/>
      <c r="CF8"/>
      <c r="CG8"/>
      <c r="CH8"/>
      <c r="CI8"/>
      <c r="CJ8"/>
      <c r="CK8"/>
      <c r="CL8"/>
      <c r="CM8"/>
      <c r="CN8" t="s">
        <v>6202</v>
      </c>
      <c r="CO8">
        <v>800</v>
      </c>
      <c r="CP8">
        <v>-0.5</v>
      </c>
      <c r="CQ8"/>
      <c r="CR8">
        <v>15</v>
      </c>
      <c r="CS8"/>
      <c r="CT8"/>
      <c r="CU8" t="s">
        <v>6203</v>
      </c>
      <c r="CV8"/>
      <c r="CW8"/>
      <c r="CX8"/>
      <c r="CY8"/>
      <c r="CZ8"/>
      <c r="DA8"/>
      <c r="DB8"/>
      <c r="DC8"/>
      <c r="DD8"/>
      <c r="DE8"/>
      <c r="DF8"/>
      <c r="DG8"/>
      <c r="DH8"/>
      <c r="DI8"/>
    </row>
    <row r="9" spans="1:113" s="3" customFormat="1" x14ac:dyDescent="0.25">
      <c r="A9"/>
      <c r="B9"/>
      <c r="C9"/>
      <c r="D9"/>
      <c r="E9"/>
      <c r="F9"/>
      <c r="G9"/>
      <c r="H9"/>
      <c r="I9"/>
      <c r="J9"/>
      <c r="K9" s="5"/>
      <c r="L9"/>
      <c r="M9"/>
      <c r="N9"/>
      <c r="O9"/>
      <c r="P9"/>
      <c r="Q9"/>
      <c r="R9"/>
      <c r="S9"/>
      <c r="T9"/>
      <c r="U9"/>
      <c r="V9"/>
      <c r="W9"/>
      <c r="X9"/>
      <c r="Y9"/>
      <c r="Z9"/>
      <c r="AA9"/>
      <c r="AB9"/>
      <c r="AC9"/>
      <c r="AD9"/>
      <c r="AE9"/>
      <c r="AF9"/>
      <c r="AG9"/>
      <c r="AH9"/>
      <c r="AI9"/>
      <c r="AJ9"/>
      <c r="AK9"/>
      <c r="AL9"/>
      <c r="AM9"/>
      <c r="AN9"/>
      <c r="AO9"/>
      <c r="AP9"/>
      <c r="AQ9"/>
      <c r="AR9"/>
      <c r="AS9"/>
      <c r="AT9"/>
      <c r="AU9"/>
      <c r="AV9"/>
      <c r="AW9" s="6"/>
      <c r="AX9"/>
      <c r="AY9"/>
      <c r="AZ9"/>
      <c r="BA9"/>
      <c r="BB9"/>
      <c r="BC9"/>
      <c r="BD9"/>
      <c r="BE9"/>
      <c r="BF9"/>
      <c r="BG9"/>
      <c r="BH9"/>
      <c r="BI9"/>
      <c r="BJ9"/>
      <c r="BK9"/>
      <c r="BL9"/>
      <c r="BM9"/>
      <c r="BN9"/>
      <c r="BO9" s="7"/>
      <c r="BP9" s="7"/>
      <c r="BQ9"/>
      <c r="BR9"/>
      <c r="BS9"/>
      <c r="BT9"/>
      <c r="BU9"/>
      <c r="BV9"/>
      <c r="BW9"/>
      <c r="BX9"/>
      <c r="BY9"/>
      <c r="BZ9"/>
      <c r="CA9"/>
      <c r="CB9"/>
      <c r="CC9"/>
      <c r="CD9"/>
      <c r="CE9"/>
      <c r="CF9"/>
      <c r="CG9"/>
      <c r="CH9"/>
      <c r="CI9"/>
      <c r="CJ9"/>
      <c r="CK9"/>
      <c r="CL9"/>
      <c r="CM9"/>
      <c r="CN9" s="9"/>
      <c r="CO9"/>
      <c r="CP9"/>
      <c r="CQ9"/>
      <c r="CR9"/>
      <c r="CS9"/>
      <c r="CT9"/>
      <c r="CU9"/>
      <c r="CV9"/>
      <c r="CW9"/>
      <c r="CX9"/>
      <c r="CY9"/>
      <c r="CZ9"/>
      <c r="DA9"/>
      <c r="DB9"/>
      <c r="DC9"/>
      <c r="DD9"/>
      <c r="DE9"/>
      <c r="DF9"/>
      <c r="DG9"/>
      <c r="DH9"/>
      <c r="DI9"/>
    </row>
    <row r="10" spans="1:113" x14ac:dyDescent="0.25">
      <c r="A10" t="s">
        <v>3325</v>
      </c>
      <c r="C10" t="s">
        <v>3326</v>
      </c>
      <c r="K10" s="5" t="s">
        <v>3314</v>
      </c>
      <c r="L10" s="5" t="s">
        <v>3327</v>
      </c>
      <c r="AC10">
        <v>1</v>
      </c>
      <c r="AG10" t="s">
        <v>3316</v>
      </c>
      <c r="BD10">
        <v>1</v>
      </c>
      <c r="CN10" s="9" t="s">
        <v>3328</v>
      </c>
      <c r="CR10">
        <v>99999</v>
      </c>
    </row>
    <row r="11" spans="1:113" x14ac:dyDescent="0.25">
      <c r="AW11"/>
      <c r="BO11"/>
      <c r="BP11"/>
    </row>
    <row r="12" spans="1:113" x14ac:dyDescent="0.25">
      <c r="A12" t="s">
        <v>3329</v>
      </c>
      <c r="C12" t="s">
        <v>3326</v>
      </c>
      <c r="K12" s="5" t="s">
        <v>3314</v>
      </c>
      <c r="L12" s="5" t="s">
        <v>3330</v>
      </c>
      <c r="AC12">
        <v>1</v>
      </c>
      <c r="AG12" t="s">
        <v>3316</v>
      </c>
      <c r="AH12">
        <v>1</v>
      </c>
      <c r="AW12"/>
      <c r="AY12" s="5"/>
      <c r="BD12">
        <v>1</v>
      </c>
      <c r="BO12"/>
      <c r="BP12"/>
      <c r="BV12"/>
      <c r="BW12"/>
      <c r="BX12"/>
      <c r="BY12"/>
      <c r="BZ12"/>
      <c r="CA12"/>
      <c r="CB12" s="5"/>
      <c r="CC12" s="5"/>
      <c r="CD12" s="5"/>
      <c r="CE12" s="5"/>
      <c r="CF12" s="5"/>
      <c r="CH12" s="5"/>
      <c r="CI12" s="5"/>
      <c r="CJ12" s="5"/>
      <c r="CK12" s="5"/>
      <c r="CL12" s="5"/>
      <c r="CM12" s="5"/>
      <c r="CN12" t="s">
        <v>3331</v>
      </c>
      <c r="CO12">
        <v>0.08</v>
      </c>
      <c r="CR12">
        <v>99999</v>
      </c>
    </row>
    <row r="13" spans="1:113" x14ac:dyDescent="0.25">
      <c r="A13" t="s">
        <v>3332</v>
      </c>
      <c r="C13" t="s">
        <v>3326</v>
      </c>
      <c r="K13" s="5" t="s">
        <v>3314</v>
      </c>
      <c r="L13" s="5" t="s">
        <v>3330</v>
      </c>
      <c r="AC13">
        <v>1</v>
      </c>
      <c r="AG13" t="s">
        <v>3316</v>
      </c>
      <c r="AH13">
        <v>1</v>
      </c>
      <c r="AY13" s="5"/>
      <c r="BD13">
        <v>1</v>
      </c>
      <c r="BV13"/>
      <c r="BW13"/>
      <c r="BX13"/>
      <c r="BY13"/>
      <c r="BZ13"/>
      <c r="CA13"/>
      <c r="CB13" s="5"/>
      <c r="CC13" s="5"/>
      <c r="CD13" s="5"/>
      <c r="CE13" s="5"/>
      <c r="CF13" s="5"/>
      <c r="CH13" s="5"/>
      <c r="CI13" s="5"/>
      <c r="CJ13" s="5"/>
      <c r="CK13" s="5"/>
      <c r="CL13" s="5"/>
      <c r="CM13" s="5"/>
      <c r="CN13" s="9" t="s">
        <v>3333</v>
      </c>
      <c r="CO13">
        <v>0.12</v>
      </c>
      <c r="CR13">
        <v>99999</v>
      </c>
    </row>
    <row r="14" spans="1:113" x14ac:dyDescent="0.25">
      <c r="A14" t="s">
        <v>3334</v>
      </c>
      <c r="C14" t="s">
        <v>3326</v>
      </c>
      <c r="K14" s="5" t="s">
        <v>3314</v>
      </c>
      <c r="L14" s="5" t="s">
        <v>3330</v>
      </c>
      <c r="AC14">
        <v>1</v>
      </c>
      <c r="AG14" t="s">
        <v>3316</v>
      </c>
      <c r="AH14">
        <v>1</v>
      </c>
      <c r="AY14" s="5"/>
      <c r="BD14">
        <v>1</v>
      </c>
      <c r="BV14"/>
      <c r="BW14"/>
      <c r="BX14"/>
      <c r="BY14"/>
      <c r="BZ14"/>
      <c r="CA14"/>
      <c r="CB14" s="5"/>
      <c r="CC14" s="5"/>
      <c r="CD14" s="5"/>
      <c r="CE14" s="5"/>
      <c r="CF14" s="5"/>
      <c r="CH14" s="5"/>
      <c r="CI14" s="5"/>
      <c r="CJ14" s="5"/>
      <c r="CK14" s="5"/>
      <c r="CL14" s="5"/>
      <c r="CM14" s="5"/>
      <c r="CN14" s="9" t="s">
        <v>3335</v>
      </c>
      <c r="CO14">
        <v>0.1</v>
      </c>
      <c r="CR14">
        <v>99999</v>
      </c>
    </row>
    <row r="15" spans="1:113" x14ac:dyDescent="0.25">
      <c r="A15" s="20" t="s">
        <v>6215</v>
      </c>
      <c r="C15" t="s">
        <v>3326</v>
      </c>
      <c r="K15" s="5" t="s">
        <v>3314</v>
      </c>
      <c r="L15" s="5" t="s">
        <v>3330</v>
      </c>
      <c r="AC15">
        <v>1</v>
      </c>
      <c r="AG15" t="s">
        <v>3316</v>
      </c>
      <c r="AH15">
        <v>1</v>
      </c>
      <c r="AW15"/>
      <c r="AY15" s="5"/>
      <c r="BD15">
        <v>1</v>
      </c>
      <c r="BO15"/>
      <c r="BP15"/>
      <c r="BW15"/>
      <c r="BX15"/>
      <c r="BY15"/>
      <c r="BZ15"/>
      <c r="CA15"/>
      <c r="CB15" s="5"/>
      <c r="CC15" s="5"/>
      <c r="CD15" s="5"/>
      <c r="CE15" s="5"/>
      <c r="CF15" s="5"/>
      <c r="CH15" s="5"/>
      <c r="CI15" s="5"/>
      <c r="CJ15" s="5"/>
      <c r="CK15" s="5"/>
      <c r="CM15" s="5"/>
      <c r="CN15" t="s">
        <v>3336</v>
      </c>
      <c r="CO15">
        <v>-1</v>
      </c>
      <c r="CR15">
        <v>99999</v>
      </c>
    </row>
    <row r="16" spans="1:113" x14ac:dyDescent="0.25">
      <c r="A16" t="s">
        <v>3337</v>
      </c>
      <c r="C16" t="s">
        <v>3326</v>
      </c>
      <c r="K16" s="5" t="s">
        <v>3314</v>
      </c>
      <c r="L16" s="5" t="s">
        <v>3330</v>
      </c>
      <c r="AC16">
        <v>1</v>
      </c>
      <c r="AG16" t="s">
        <v>3316</v>
      </c>
      <c r="AH16">
        <v>1</v>
      </c>
      <c r="AY16" s="5"/>
      <c r="BD16">
        <v>1</v>
      </c>
      <c r="BV16"/>
      <c r="BW16"/>
      <c r="BX16"/>
      <c r="BY16"/>
      <c r="BZ16"/>
      <c r="CA16"/>
      <c r="CB16" s="5"/>
      <c r="CC16" s="5"/>
      <c r="CD16" s="5"/>
      <c r="CE16" s="5"/>
      <c r="CF16" s="5"/>
      <c r="CH16" s="5"/>
      <c r="CI16" s="5"/>
      <c r="CJ16" s="5"/>
      <c r="CK16" s="5"/>
      <c r="CL16" s="5"/>
      <c r="CM16" s="5"/>
      <c r="CN16" s="9" t="s">
        <v>3338</v>
      </c>
      <c r="CO16">
        <v>0.08</v>
      </c>
      <c r="CP16">
        <v>0.08</v>
      </c>
      <c r="CR16">
        <v>99999</v>
      </c>
    </row>
    <row r="18" spans="1:103" x14ac:dyDescent="0.25">
      <c r="A18" t="s">
        <v>374</v>
      </c>
      <c r="C18" t="s">
        <v>3326</v>
      </c>
      <c r="D18" t="s">
        <v>3339</v>
      </c>
      <c r="E18" t="s">
        <v>3340</v>
      </c>
      <c r="F18" t="s">
        <v>3341</v>
      </c>
      <c r="J18" t="s">
        <v>3342</v>
      </c>
      <c r="K18" s="5" t="s">
        <v>3343</v>
      </c>
      <c r="AC18">
        <v>1</v>
      </c>
      <c r="AY18" s="5"/>
      <c r="BD18">
        <v>1</v>
      </c>
      <c r="BT18">
        <v>20</v>
      </c>
      <c r="BV18" s="8">
        <v>0</v>
      </c>
      <c r="BW18" s="8">
        <v>40</v>
      </c>
      <c r="BX18" s="8">
        <v>1</v>
      </c>
      <c r="BY18" s="8" t="s">
        <v>3344</v>
      </c>
      <c r="CB18" s="5"/>
      <c r="CC18" s="5"/>
      <c r="CD18" s="5"/>
      <c r="CE18" s="5"/>
      <c r="CF18" s="5"/>
      <c r="CH18" s="5"/>
      <c r="CI18" s="5"/>
      <c r="CJ18" s="5"/>
      <c r="CK18" s="5"/>
      <c r="CL18" s="5"/>
      <c r="CM18" s="5"/>
      <c r="CN18" s="9" t="s">
        <v>3345</v>
      </c>
      <c r="CO18">
        <v>0.5</v>
      </c>
      <c r="CR18">
        <v>20</v>
      </c>
    </row>
    <row r="19" spans="1:103" x14ac:dyDescent="0.25">
      <c r="A19" t="s">
        <v>3346</v>
      </c>
      <c r="C19" t="s">
        <v>3326</v>
      </c>
      <c r="D19" t="s">
        <v>3347</v>
      </c>
      <c r="E19" t="s">
        <v>3348</v>
      </c>
      <c r="F19" t="s">
        <v>3349</v>
      </c>
      <c r="G19">
        <v>3</v>
      </c>
      <c r="J19" t="s">
        <v>3342</v>
      </c>
      <c r="K19" s="5" t="s">
        <v>3343</v>
      </c>
      <c r="AC19">
        <v>1</v>
      </c>
      <c r="AY19" s="5"/>
      <c r="BD19">
        <v>1</v>
      </c>
      <c r="BT19">
        <v>25</v>
      </c>
      <c r="BV19" s="8">
        <v>10</v>
      </c>
      <c r="BW19" s="8">
        <v>35</v>
      </c>
      <c r="BX19" s="8">
        <v>1</v>
      </c>
      <c r="BY19" s="8" t="s">
        <v>3344</v>
      </c>
      <c r="CB19" s="5"/>
      <c r="CC19" s="5"/>
      <c r="CD19" s="5"/>
      <c r="CE19" s="5"/>
      <c r="CF19" s="5"/>
      <c r="CH19" s="5"/>
      <c r="CI19" s="5"/>
      <c r="CJ19" s="5"/>
      <c r="CK19" s="5"/>
      <c r="CL19" s="5"/>
      <c r="CM19" s="5"/>
      <c r="CN19" s="9" t="s">
        <v>3345</v>
      </c>
      <c r="CO19">
        <v>0.8</v>
      </c>
      <c r="CR19">
        <v>25</v>
      </c>
    </row>
    <row r="20" spans="1:103" x14ac:dyDescent="0.25">
      <c r="A20" t="s">
        <v>3350</v>
      </c>
      <c r="C20" t="s">
        <v>3326</v>
      </c>
      <c r="D20" t="s">
        <v>3351</v>
      </c>
      <c r="E20" t="s">
        <v>3352</v>
      </c>
      <c r="F20" t="s">
        <v>3353</v>
      </c>
      <c r="G20">
        <v>3</v>
      </c>
      <c r="J20" t="s">
        <v>3342</v>
      </c>
      <c r="K20" s="5" t="s">
        <v>3343</v>
      </c>
      <c r="AC20">
        <v>1</v>
      </c>
      <c r="AY20" s="5"/>
      <c r="BD20">
        <v>1</v>
      </c>
      <c r="BT20">
        <v>30</v>
      </c>
      <c r="BV20" s="8">
        <v>15</v>
      </c>
      <c r="BW20" s="8">
        <v>30</v>
      </c>
      <c r="BX20" s="8">
        <v>1</v>
      </c>
      <c r="BY20" s="8" t="s">
        <v>3344</v>
      </c>
      <c r="CB20" s="5"/>
      <c r="CC20" s="5"/>
      <c r="CD20" s="5"/>
      <c r="CE20" s="5"/>
      <c r="CF20" s="5"/>
      <c r="CH20" s="5"/>
      <c r="CI20" s="5"/>
      <c r="CJ20" s="5"/>
      <c r="CK20" s="5"/>
      <c r="CL20" s="5"/>
      <c r="CM20" s="5"/>
      <c r="CN20" s="9" t="s">
        <v>3345</v>
      </c>
      <c r="CO20">
        <v>1</v>
      </c>
      <c r="CR20">
        <v>30</v>
      </c>
    </row>
    <row r="21" spans="1:103" x14ac:dyDescent="0.25">
      <c r="A21" t="s">
        <v>419</v>
      </c>
      <c r="C21" t="s">
        <v>3326</v>
      </c>
      <c r="D21" t="s">
        <v>3354</v>
      </c>
      <c r="E21" t="s">
        <v>3355</v>
      </c>
      <c r="F21" t="s">
        <v>3356</v>
      </c>
      <c r="J21" t="s">
        <v>3342</v>
      </c>
      <c r="K21" s="5" t="s">
        <v>3343</v>
      </c>
      <c r="AC21">
        <v>1</v>
      </c>
      <c r="AY21" s="5"/>
      <c r="BD21">
        <v>1</v>
      </c>
      <c r="BT21">
        <v>20</v>
      </c>
      <c r="BV21" s="8">
        <v>0</v>
      </c>
      <c r="BW21" s="8">
        <v>40</v>
      </c>
      <c r="BX21" s="8">
        <v>1</v>
      </c>
      <c r="BY21" s="8" t="s">
        <v>3344</v>
      </c>
      <c r="CB21" s="5"/>
      <c r="CC21" s="5"/>
      <c r="CD21" s="5"/>
      <c r="CE21" s="5"/>
      <c r="CF21" s="5"/>
      <c r="CH21" s="5"/>
      <c r="CI21" s="5"/>
      <c r="CJ21" s="5"/>
      <c r="CK21" s="5"/>
      <c r="CL21" s="5"/>
      <c r="CM21" s="5"/>
      <c r="CN21" s="9" t="s">
        <v>3357</v>
      </c>
      <c r="CO21">
        <v>50</v>
      </c>
      <c r="CR21">
        <v>20</v>
      </c>
    </row>
    <row r="22" spans="1:103" x14ac:dyDescent="0.25">
      <c r="A22" t="s">
        <v>3358</v>
      </c>
      <c r="C22" t="s">
        <v>3326</v>
      </c>
      <c r="D22" t="s">
        <v>3359</v>
      </c>
      <c r="E22" t="s">
        <v>3360</v>
      </c>
      <c r="F22" t="s">
        <v>3361</v>
      </c>
      <c r="G22">
        <v>3</v>
      </c>
      <c r="J22" t="s">
        <v>3342</v>
      </c>
      <c r="K22" s="5" t="s">
        <v>3343</v>
      </c>
      <c r="AC22">
        <v>1</v>
      </c>
      <c r="AY22" s="5"/>
      <c r="BD22">
        <v>1</v>
      </c>
      <c r="BT22">
        <v>25</v>
      </c>
      <c r="BV22" s="8">
        <v>10</v>
      </c>
      <c r="BW22" s="8">
        <v>35</v>
      </c>
      <c r="BX22" s="8">
        <v>1</v>
      </c>
      <c r="BY22" s="8" t="s">
        <v>3344</v>
      </c>
      <c r="CB22" s="5"/>
      <c r="CC22" s="5"/>
      <c r="CD22" s="5"/>
      <c r="CE22" s="5"/>
      <c r="CF22" s="5"/>
      <c r="CH22" s="5"/>
      <c r="CI22" s="5"/>
      <c r="CJ22" s="5"/>
      <c r="CK22" s="5"/>
      <c r="CL22" s="5"/>
      <c r="CM22" s="5"/>
      <c r="CN22" s="9" t="s">
        <v>3357</v>
      </c>
      <c r="CO22">
        <v>75</v>
      </c>
      <c r="CR22">
        <v>25</v>
      </c>
    </row>
    <row r="23" spans="1:103" x14ac:dyDescent="0.25">
      <c r="A23" t="s">
        <v>3362</v>
      </c>
      <c r="C23" t="s">
        <v>3326</v>
      </c>
      <c r="D23" t="s">
        <v>3363</v>
      </c>
      <c r="E23" t="s">
        <v>3364</v>
      </c>
      <c r="F23" t="s">
        <v>3365</v>
      </c>
      <c r="G23">
        <v>3</v>
      </c>
      <c r="J23" t="s">
        <v>3342</v>
      </c>
      <c r="K23" s="5" t="s">
        <v>3343</v>
      </c>
      <c r="AC23">
        <v>1</v>
      </c>
      <c r="AY23" s="5"/>
      <c r="BD23">
        <v>1</v>
      </c>
      <c r="BT23">
        <v>30</v>
      </c>
      <c r="BV23" s="8">
        <v>15</v>
      </c>
      <c r="BW23" s="8">
        <v>30</v>
      </c>
      <c r="BX23" s="8">
        <v>1</v>
      </c>
      <c r="BY23" s="8" t="s">
        <v>3344</v>
      </c>
      <c r="CB23" s="5"/>
      <c r="CC23" s="5"/>
      <c r="CD23" s="5"/>
      <c r="CE23" s="5"/>
      <c r="CF23" s="5"/>
      <c r="CH23" s="5"/>
      <c r="CI23" s="5"/>
      <c r="CJ23" s="5"/>
      <c r="CK23" s="5"/>
      <c r="CL23" s="5"/>
      <c r="CM23" s="5"/>
      <c r="CN23" s="9" t="s">
        <v>3366</v>
      </c>
      <c r="CO23">
        <v>90</v>
      </c>
      <c r="CR23">
        <v>30</v>
      </c>
    </row>
    <row r="24" spans="1:103" x14ac:dyDescent="0.25">
      <c r="A24" t="s">
        <v>395</v>
      </c>
      <c r="C24" t="s">
        <v>3326</v>
      </c>
      <c r="D24" t="s">
        <v>3367</v>
      </c>
      <c r="E24" t="s">
        <v>3368</v>
      </c>
      <c r="F24" t="s">
        <v>3369</v>
      </c>
      <c r="J24" t="s">
        <v>3342</v>
      </c>
      <c r="K24" s="5" t="s">
        <v>3343</v>
      </c>
      <c r="AC24">
        <v>1</v>
      </c>
      <c r="AW24"/>
      <c r="AY24" s="5"/>
      <c r="BD24">
        <v>1</v>
      </c>
      <c r="BO24"/>
      <c r="BP24"/>
      <c r="BT24">
        <v>25</v>
      </c>
      <c r="BV24" s="8">
        <v>0</v>
      </c>
      <c r="BW24" s="8">
        <v>45</v>
      </c>
      <c r="BX24" s="8">
        <v>1</v>
      </c>
      <c r="BY24" s="8" t="s">
        <v>3344</v>
      </c>
      <c r="CB24" s="5"/>
      <c r="CC24" s="5"/>
      <c r="CD24" s="5"/>
      <c r="CE24" s="5"/>
      <c r="CF24" s="5"/>
      <c r="CH24" s="5"/>
      <c r="CI24" s="5"/>
      <c r="CJ24" s="5"/>
      <c r="CK24" s="5"/>
      <c r="CM24" s="5"/>
      <c r="CN24" t="s">
        <v>3370</v>
      </c>
      <c r="CO24">
        <v>0.25</v>
      </c>
      <c r="CP24">
        <v>25</v>
      </c>
      <c r="CR24">
        <v>25</v>
      </c>
    </row>
    <row r="25" spans="1:103" x14ac:dyDescent="0.25">
      <c r="A25" t="s">
        <v>3371</v>
      </c>
      <c r="C25" t="s">
        <v>3326</v>
      </c>
      <c r="D25" t="s">
        <v>3372</v>
      </c>
      <c r="E25" t="s">
        <v>3373</v>
      </c>
      <c r="F25" t="s">
        <v>3374</v>
      </c>
      <c r="G25">
        <v>3</v>
      </c>
      <c r="J25" t="s">
        <v>3342</v>
      </c>
      <c r="K25" s="5" t="s">
        <v>3343</v>
      </c>
      <c r="AC25">
        <v>1</v>
      </c>
      <c r="AY25" s="5"/>
      <c r="BD25">
        <v>1</v>
      </c>
      <c r="BT25">
        <v>35</v>
      </c>
      <c r="BV25" s="8">
        <v>15</v>
      </c>
      <c r="BW25" s="8">
        <v>35</v>
      </c>
      <c r="BX25" s="8">
        <v>1</v>
      </c>
      <c r="BY25" s="8" t="s">
        <v>3344</v>
      </c>
      <c r="CB25" s="5"/>
      <c r="CC25" s="5"/>
      <c r="CD25" s="5"/>
      <c r="CE25" s="5"/>
      <c r="CF25" s="5"/>
      <c r="CH25" s="5"/>
      <c r="CI25" s="5"/>
      <c r="CJ25" s="5"/>
      <c r="CK25" s="5"/>
      <c r="CL25" s="5"/>
      <c r="CM25" s="5"/>
      <c r="CN25" s="9" t="s">
        <v>3375</v>
      </c>
      <c r="CO25" t="s">
        <v>3376</v>
      </c>
      <c r="CR25">
        <v>35</v>
      </c>
    </row>
    <row r="26" spans="1:103" x14ac:dyDescent="0.25">
      <c r="A26" t="s">
        <v>414</v>
      </c>
      <c r="C26" t="s">
        <v>3326</v>
      </c>
      <c r="D26" t="s">
        <v>3377</v>
      </c>
      <c r="E26" t="s">
        <v>3340</v>
      </c>
      <c r="F26" t="s">
        <v>3378</v>
      </c>
      <c r="J26" t="s">
        <v>3342</v>
      </c>
      <c r="K26" s="5" t="s">
        <v>3343</v>
      </c>
      <c r="AC26">
        <v>1</v>
      </c>
      <c r="AY26" s="5"/>
      <c r="BD26">
        <v>1</v>
      </c>
      <c r="BT26">
        <v>20</v>
      </c>
      <c r="BV26" s="8">
        <v>0</v>
      </c>
      <c r="BW26" s="8">
        <v>30</v>
      </c>
      <c r="BX26" s="8">
        <v>1</v>
      </c>
      <c r="BY26" s="8" t="s">
        <v>3344</v>
      </c>
      <c r="CB26" s="5"/>
      <c r="CC26" s="5"/>
      <c r="CD26" s="5"/>
      <c r="CE26" s="5"/>
      <c r="CF26" s="5"/>
      <c r="CH26" s="5"/>
      <c r="CI26" s="5"/>
      <c r="CJ26" s="5"/>
      <c r="CK26" s="5"/>
      <c r="CL26" s="5"/>
      <c r="CM26" s="5"/>
      <c r="CN26" s="9" t="s">
        <v>3379</v>
      </c>
      <c r="CO26">
        <v>0.5</v>
      </c>
      <c r="CR26">
        <v>20</v>
      </c>
    </row>
    <row r="27" spans="1:103" x14ac:dyDescent="0.25">
      <c r="A27" t="s">
        <v>3380</v>
      </c>
      <c r="C27" t="s">
        <v>3326</v>
      </c>
      <c r="D27" t="s">
        <v>3381</v>
      </c>
      <c r="E27" t="s">
        <v>3382</v>
      </c>
      <c r="F27" t="s">
        <v>3383</v>
      </c>
      <c r="G27">
        <v>3</v>
      </c>
      <c r="J27" t="s">
        <v>3342</v>
      </c>
      <c r="K27" s="5" t="s">
        <v>3343</v>
      </c>
      <c r="AC27">
        <v>1</v>
      </c>
      <c r="AY27" s="5"/>
      <c r="BD27">
        <v>1</v>
      </c>
      <c r="BT27">
        <v>25</v>
      </c>
      <c r="BV27" s="8">
        <v>10</v>
      </c>
      <c r="BW27" s="8">
        <v>30</v>
      </c>
      <c r="BX27" s="8">
        <v>1</v>
      </c>
      <c r="BY27" s="8" t="s">
        <v>3344</v>
      </c>
      <c r="CB27" s="5"/>
      <c r="CC27" s="5"/>
      <c r="CD27" s="5"/>
      <c r="CE27" s="5"/>
      <c r="CF27" s="5"/>
      <c r="CH27" s="5"/>
      <c r="CI27" s="5"/>
      <c r="CJ27" s="5"/>
      <c r="CK27" s="5"/>
      <c r="CL27" s="5"/>
      <c r="CM27" s="5"/>
      <c r="CN27" s="9" t="s">
        <v>3379</v>
      </c>
      <c r="CO27">
        <v>0.7</v>
      </c>
      <c r="CR27">
        <v>25</v>
      </c>
    </row>
    <row r="28" spans="1:103" x14ac:dyDescent="0.25">
      <c r="A28" t="s">
        <v>3384</v>
      </c>
      <c r="C28" t="s">
        <v>3326</v>
      </c>
      <c r="D28" t="s">
        <v>3385</v>
      </c>
      <c r="E28" t="s">
        <v>3386</v>
      </c>
      <c r="F28" t="s">
        <v>3387</v>
      </c>
      <c r="G28">
        <v>3</v>
      </c>
      <c r="J28" t="s">
        <v>3342</v>
      </c>
      <c r="K28" s="5" t="s">
        <v>3343</v>
      </c>
      <c r="AC28">
        <v>1</v>
      </c>
      <c r="AY28" s="5"/>
      <c r="BD28">
        <v>1</v>
      </c>
      <c r="BT28">
        <v>30</v>
      </c>
      <c r="BV28" s="8">
        <v>20</v>
      </c>
      <c r="BW28" s="8">
        <v>30</v>
      </c>
      <c r="BX28" s="8">
        <v>1</v>
      </c>
      <c r="BY28" s="8" t="s">
        <v>3344</v>
      </c>
      <c r="CB28" s="5"/>
      <c r="CC28" s="5"/>
      <c r="CD28" s="5"/>
      <c r="CE28" s="5"/>
      <c r="CF28" s="5"/>
      <c r="CH28" s="5"/>
      <c r="CI28" s="5"/>
      <c r="CJ28" s="5"/>
      <c r="CK28" s="5"/>
      <c r="CL28" s="5"/>
      <c r="CM28" s="5"/>
      <c r="CN28" s="9" t="s">
        <v>3379</v>
      </c>
      <c r="CO28">
        <v>0.9</v>
      </c>
      <c r="CR28">
        <v>30</v>
      </c>
    </row>
    <row r="29" spans="1:103" ht="14.5" x14ac:dyDescent="0.25">
      <c r="A29" t="s">
        <v>439</v>
      </c>
      <c r="C29" t="s">
        <v>3326</v>
      </c>
      <c r="D29" t="s">
        <v>3388</v>
      </c>
      <c r="E29" t="s">
        <v>3389</v>
      </c>
      <c r="F29" t="s">
        <v>3390</v>
      </c>
      <c r="J29" t="s">
        <v>3342</v>
      </c>
      <c r="K29" s="5" t="s">
        <v>3343</v>
      </c>
      <c r="AC29">
        <v>1</v>
      </c>
      <c r="AY29" s="5">
        <v>1</v>
      </c>
      <c r="AZ29">
        <v>0.4</v>
      </c>
      <c r="BB29">
        <v>1</v>
      </c>
      <c r="BD29">
        <v>1</v>
      </c>
      <c r="BT29">
        <v>0.3</v>
      </c>
      <c r="BV29" s="8">
        <v>10</v>
      </c>
      <c r="BW29" s="8">
        <v>20</v>
      </c>
      <c r="BX29" s="8">
        <v>1</v>
      </c>
      <c r="BY29" s="8" t="s">
        <v>3344</v>
      </c>
      <c r="CB29" s="5"/>
      <c r="CC29" s="5"/>
      <c r="CD29" s="5"/>
      <c r="CE29" s="5"/>
      <c r="CF29" s="5"/>
      <c r="CH29" s="5"/>
      <c r="CI29" s="5"/>
      <c r="CJ29" s="5"/>
      <c r="CK29" s="5"/>
      <c r="CL29" s="5"/>
      <c r="CM29" s="5"/>
      <c r="CY29" t="s">
        <v>3391</v>
      </c>
    </row>
    <row r="30" spans="1:103" x14ac:dyDescent="0.25">
      <c r="A30" t="s">
        <v>3392</v>
      </c>
      <c r="C30" t="s">
        <v>3326</v>
      </c>
      <c r="D30" t="s">
        <v>3393</v>
      </c>
      <c r="E30" t="s">
        <v>3394</v>
      </c>
      <c r="F30" t="s">
        <v>3395</v>
      </c>
      <c r="G30">
        <v>3</v>
      </c>
      <c r="J30" t="s">
        <v>3342</v>
      </c>
      <c r="K30" s="5" t="s">
        <v>3343</v>
      </c>
      <c r="AC30">
        <v>1</v>
      </c>
      <c r="AY30" s="5">
        <v>1</v>
      </c>
      <c r="AZ30">
        <v>0.5</v>
      </c>
      <c r="BB30">
        <v>1</v>
      </c>
      <c r="BD30">
        <v>1</v>
      </c>
      <c r="BT30">
        <v>0.3</v>
      </c>
      <c r="BV30" s="8">
        <v>10</v>
      </c>
      <c r="BW30" s="8">
        <v>20</v>
      </c>
      <c r="BX30" s="8">
        <v>1</v>
      </c>
      <c r="BY30" s="8" t="s">
        <v>3344</v>
      </c>
      <c r="CB30" s="5"/>
      <c r="CC30" s="5"/>
      <c r="CD30" s="5"/>
      <c r="CE30" s="5"/>
      <c r="CF30" s="5"/>
      <c r="CH30" s="5"/>
      <c r="CI30" s="5"/>
      <c r="CJ30" s="5"/>
      <c r="CK30" s="5"/>
      <c r="CL30" s="5"/>
      <c r="CM30" s="5"/>
      <c r="CY30" t="s">
        <v>3391</v>
      </c>
    </row>
    <row r="31" spans="1:103" x14ac:dyDescent="0.25">
      <c r="A31" t="s">
        <v>434</v>
      </c>
      <c r="C31" t="s">
        <v>3326</v>
      </c>
      <c r="D31" t="s">
        <v>3396</v>
      </c>
      <c r="E31" t="s">
        <v>3397</v>
      </c>
      <c r="F31" t="s">
        <v>3398</v>
      </c>
      <c r="J31" t="s">
        <v>3342</v>
      </c>
      <c r="K31" s="5" t="s">
        <v>3343</v>
      </c>
      <c r="AC31">
        <v>1</v>
      </c>
      <c r="AY31" s="5"/>
      <c r="BD31">
        <v>1</v>
      </c>
      <c r="BT31">
        <v>30</v>
      </c>
      <c r="BV31" s="8">
        <v>0</v>
      </c>
      <c r="BW31" s="8">
        <v>40</v>
      </c>
      <c r="BX31" s="8">
        <v>1</v>
      </c>
      <c r="BY31" s="8" t="s">
        <v>3344</v>
      </c>
      <c r="CB31" s="5"/>
      <c r="CC31" s="5"/>
      <c r="CD31" s="5"/>
      <c r="CE31" s="5"/>
      <c r="CF31" s="5"/>
      <c r="CH31" s="5"/>
      <c r="CI31" s="5"/>
      <c r="CJ31" s="5"/>
      <c r="CK31" s="5"/>
      <c r="CL31" s="5"/>
      <c r="CM31" s="5"/>
      <c r="CN31" s="9" t="s">
        <v>3399</v>
      </c>
      <c r="CO31">
        <v>0.5</v>
      </c>
      <c r="CR31">
        <v>30</v>
      </c>
    </row>
    <row r="32" spans="1:103" x14ac:dyDescent="0.25">
      <c r="A32" t="s">
        <v>3335</v>
      </c>
      <c r="C32" t="s">
        <v>3326</v>
      </c>
      <c r="D32" t="s">
        <v>3400</v>
      </c>
      <c r="E32" t="s">
        <v>3401</v>
      </c>
      <c r="F32" t="s">
        <v>3402</v>
      </c>
      <c r="G32">
        <v>3</v>
      </c>
      <c r="J32" t="s">
        <v>3342</v>
      </c>
      <c r="K32" s="5" t="s">
        <v>3343</v>
      </c>
      <c r="AC32">
        <v>1</v>
      </c>
      <c r="AY32" s="5"/>
      <c r="BD32">
        <v>1</v>
      </c>
      <c r="BT32">
        <v>35</v>
      </c>
      <c r="BV32" s="8">
        <v>10</v>
      </c>
      <c r="BW32" s="8">
        <v>35</v>
      </c>
      <c r="BX32" s="8">
        <v>1</v>
      </c>
      <c r="BY32" s="8" t="s">
        <v>3344</v>
      </c>
      <c r="CB32" s="5"/>
      <c r="CC32" s="5"/>
      <c r="CD32" s="5"/>
      <c r="CE32" s="5"/>
      <c r="CF32" s="5"/>
      <c r="CH32" s="5"/>
      <c r="CI32" s="5"/>
      <c r="CJ32" s="5"/>
      <c r="CK32" s="5"/>
      <c r="CL32" s="5"/>
      <c r="CM32" s="5"/>
      <c r="CN32" s="9" t="s">
        <v>3399</v>
      </c>
      <c r="CO32">
        <v>0.8</v>
      </c>
      <c r="CR32">
        <v>35</v>
      </c>
    </row>
    <row r="33" spans="1:103" x14ac:dyDescent="0.25">
      <c r="A33" t="s">
        <v>3403</v>
      </c>
      <c r="C33" t="s">
        <v>3326</v>
      </c>
      <c r="D33" t="s">
        <v>3404</v>
      </c>
      <c r="E33" t="s">
        <v>3405</v>
      </c>
      <c r="F33" t="s">
        <v>3406</v>
      </c>
      <c r="G33">
        <v>3</v>
      </c>
      <c r="J33" t="s">
        <v>3342</v>
      </c>
      <c r="K33" s="5" t="s">
        <v>3343</v>
      </c>
      <c r="AC33">
        <v>1</v>
      </c>
      <c r="AT33" s="10"/>
      <c r="AW33"/>
      <c r="AY33" s="5"/>
      <c r="BD33">
        <v>1</v>
      </c>
      <c r="BO33" s="12"/>
      <c r="BP33" s="12"/>
      <c r="BT33">
        <v>40</v>
      </c>
      <c r="BV33" s="8">
        <v>15</v>
      </c>
      <c r="BW33" s="8">
        <v>30</v>
      </c>
      <c r="BX33" s="8">
        <v>1</v>
      </c>
      <c r="BY33" s="8" t="s">
        <v>3344</v>
      </c>
      <c r="CB33" s="5"/>
      <c r="CC33" s="5"/>
      <c r="CD33" s="5"/>
      <c r="CE33" s="5"/>
      <c r="CF33" s="5"/>
      <c r="CH33" s="5"/>
      <c r="CI33" s="5"/>
      <c r="CJ33" s="5"/>
      <c r="CK33" s="5"/>
      <c r="CL33" s="5"/>
      <c r="CM33" s="13"/>
      <c r="CN33" s="9" t="s">
        <v>3399</v>
      </c>
      <c r="CO33">
        <v>1</v>
      </c>
      <c r="CR33">
        <v>40</v>
      </c>
    </row>
    <row r="34" spans="1:103" x14ac:dyDescent="0.25">
      <c r="AT34" s="21"/>
      <c r="AW34"/>
      <c r="AY34" s="5"/>
      <c r="BO34" s="22"/>
      <c r="BP34" s="22"/>
      <c r="CB34" s="5"/>
      <c r="CC34" s="5"/>
      <c r="CD34" s="5"/>
      <c r="CE34" s="5"/>
      <c r="CF34" s="5"/>
      <c r="CH34" s="5"/>
      <c r="CI34" s="5"/>
      <c r="CJ34" s="5"/>
      <c r="CK34" s="5"/>
      <c r="CL34" s="5"/>
      <c r="CM34" s="23"/>
    </row>
    <row r="35" spans="1:103" x14ac:dyDescent="0.25">
      <c r="A35" s="20" t="s">
        <v>6193</v>
      </c>
      <c r="C35" t="s">
        <v>3326</v>
      </c>
      <c r="J35" t="s">
        <v>5095</v>
      </c>
      <c r="K35" s="5" t="s">
        <v>3314</v>
      </c>
      <c r="O35"/>
      <c r="AC35">
        <v>1</v>
      </c>
      <c r="AO35" t="s">
        <v>4749</v>
      </c>
      <c r="AT35" t="s">
        <v>6192</v>
      </c>
      <c r="AW35"/>
      <c r="BO35"/>
      <c r="BP35"/>
      <c r="CN35"/>
    </row>
    <row r="36" spans="1:103" x14ac:dyDescent="0.25">
      <c r="AY36" s="5"/>
      <c r="CB36" s="5"/>
      <c r="CC36" s="5"/>
      <c r="CD36" s="5"/>
      <c r="CE36" s="5"/>
      <c r="CF36" s="5"/>
      <c r="CH36" s="5"/>
      <c r="CI36" s="5"/>
      <c r="CJ36" s="5"/>
      <c r="CK36" s="5"/>
      <c r="CL36" s="5"/>
      <c r="CM36" s="5"/>
    </row>
    <row r="37" spans="1:103" x14ac:dyDescent="0.25">
      <c r="A37" t="s">
        <v>3407</v>
      </c>
      <c r="C37" t="s">
        <v>3326</v>
      </c>
      <c r="K37" s="5" t="s">
        <v>3344</v>
      </c>
      <c r="AC37">
        <v>1</v>
      </c>
      <c r="AO37" t="s">
        <v>3408</v>
      </c>
      <c r="AT37" t="s">
        <v>3409</v>
      </c>
      <c r="AY37">
        <v>1</v>
      </c>
      <c r="AZ37">
        <v>1</v>
      </c>
      <c r="BD37">
        <v>1</v>
      </c>
      <c r="CB37" t="s">
        <v>136</v>
      </c>
      <c r="CG37" t="s">
        <v>3410</v>
      </c>
      <c r="CH37" t="s">
        <v>3411</v>
      </c>
      <c r="CI37" t="s">
        <v>3412</v>
      </c>
      <c r="CY37" t="s">
        <v>3391</v>
      </c>
    </row>
    <row r="38" spans="1:103" x14ac:dyDescent="0.25">
      <c r="A38" t="s">
        <v>3413</v>
      </c>
      <c r="C38" t="s">
        <v>3326</v>
      </c>
      <c r="K38" s="5" t="s">
        <v>3314</v>
      </c>
      <c r="L38" s="5" t="s">
        <v>3414</v>
      </c>
      <c r="AC38">
        <v>1</v>
      </c>
      <c r="AO38" t="s">
        <v>3408</v>
      </c>
      <c r="AV38">
        <v>99</v>
      </c>
      <c r="AY38">
        <v>1</v>
      </c>
      <c r="AZ38">
        <v>500</v>
      </c>
      <c r="BB38">
        <v>2</v>
      </c>
      <c r="BD38">
        <v>99</v>
      </c>
      <c r="CY38" t="s">
        <v>3391</v>
      </c>
    </row>
    <row r="40" spans="1:103" x14ac:dyDescent="0.25">
      <c r="A40" t="s">
        <v>3415</v>
      </c>
      <c r="C40" t="s">
        <v>3416</v>
      </c>
      <c r="AC40">
        <v>2</v>
      </c>
      <c r="AO40" t="s">
        <v>3417</v>
      </c>
      <c r="AT40" t="s">
        <v>3418</v>
      </c>
      <c r="AX40" t="s">
        <v>3419</v>
      </c>
      <c r="AZ40">
        <v>1</v>
      </c>
      <c r="BD40">
        <v>1</v>
      </c>
      <c r="CB40" t="s">
        <v>136</v>
      </c>
      <c r="CG40" t="s">
        <v>3410</v>
      </c>
      <c r="CY40" t="s">
        <v>3420</v>
      </c>
    </row>
    <row r="41" spans="1:103" x14ac:dyDescent="0.25">
      <c r="A41" t="s">
        <v>3421</v>
      </c>
      <c r="C41" t="s">
        <v>3326</v>
      </c>
      <c r="K41" s="5" t="s">
        <v>3314</v>
      </c>
      <c r="L41" s="5" t="s">
        <v>3414</v>
      </c>
      <c r="AC41">
        <v>1</v>
      </c>
      <c r="AL41">
        <v>1</v>
      </c>
      <c r="AV41">
        <v>99</v>
      </c>
      <c r="BD41">
        <v>99</v>
      </c>
      <c r="CN41" s="9" t="s">
        <v>3422</v>
      </c>
      <c r="CO41">
        <v>0.2</v>
      </c>
      <c r="CP41">
        <v>0.2</v>
      </c>
      <c r="CR41">
        <v>20</v>
      </c>
    </row>
    <row r="43" spans="1:103" x14ac:dyDescent="0.25">
      <c r="A43" t="s">
        <v>3423</v>
      </c>
      <c r="C43" t="s">
        <v>3326</v>
      </c>
      <c r="K43" s="5" t="s">
        <v>3314</v>
      </c>
      <c r="L43" s="5" t="s">
        <v>3330</v>
      </c>
      <c r="AC43">
        <v>1</v>
      </c>
      <c r="AG43" t="s">
        <v>3316</v>
      </c>
      <c r="AH43">
        <v>1</v>
      </c>
      <c r="AY43" s="5"/>
      <c r="BD43">
        <v>1</v>
      </c>
      <c r="BV43"/>
      <c r="BW43"/>
      <c r="BX43"/>
      <c r="BY43"/>
      <c r="BZ43"/>
      <c r="CA43"/>
      <c r="CB43" s="5"/>
      <c r="CC43" s="5"/>
      <c r="CD43" s="5"/>
      <c r="CE43" s="5"/>
      <c r="CF43" s="5"/>
      <c r="CH43" s="5"/>
      <c r="CI43" s="5"/>
      <c r="CJ43" s="5"/>
      <c r="CK43" s="5"/>
      <c r="CL43" s="5"/>
      <c r="CM43" s="5"/>
      <c r="CN43" s="9" t="s">
        <v>3424</v>
      </c>
      <c r="CO43">
        <v>0.12</v>
      </c>
      <c r="CP43">
        <v>0.12</v>
      </c>
      <c r="CR43">
        <v>99999</v>
      </c>
    </row>
    <row r="45" spans="1:103" x14ac:dyDescent="0.25">
      <c r="A45" t="s">
        <v>353</v>
      </c>
      <c r="C45" t="s">
        <v>3326</v>
      </c>
      <c r="AC45">
        <v>2</v>
      </c>
      <c r="AD45">
        <v>1</v>
      </c>
      <c r="AO45" t="s">
        <v>3417</v>
      </c>
      <c r="AP45" t="s">
        <v>3425</v>
      </c>
      <c r="AT45" t="s">
        <v>3409</v>
      </c>
      <c r="AX45" t="s">
        <v>3419</v>
      </c>
      <c r="AZ45">
        <v>1</v>
      </c>
      <c r="BD45">
        <v>1</v>
      </c>
      <c r="CB45" t="s">
        <v>136</v>
      </c>
      <c r="CG45" t="s">
        <v>3410</v>
      </c>
      <c r="CH45" t="s">
        <v>3426</v>
      </c>
      <c r="CI45" t="s">
        <v>3412</v>
      </c>
      <c r="CJ45" t="s">
        <v>3427</v>
      </c>
      <c r="CX45" t="s">
        <v>3428</v>
      </c>
      <c r="CY45" t="s">
        <v>3429</v>
      </c>
    </row>
    <row r="46" spans="1:103" x14ac:dyDescent="0.25">
      <c r="AY46" s="5"/>
      <c r="BV46"/>
      <c r="BW46"/>
      <c r="BX46"/>
      <c r="BY46"/>
      <c r="BZ46"/>
      <c r="CA46"/>
      <c r="CB46" s="5"/>
      <c r="CC46" s="5"/>
      <c r="CD46" s="5"/>
      <c r="CE46" s="5"/>
      <c r="CF46" s="5"/>
      <c r="CH46" s="5"/>
      <c r="CI46" s="5"/>
      <c r="CJ46" s="5"/>
      <c r="CK46" s="5"/>
      <c r="CL46" s="5"/>
      <c r="CM46" s="5"/>
    </row>
    <row r="47" spans="1:103" x14ac:dyDescent="0.25">
      <c r="A47" t="s">
        <v>3430</v>
      </c>
      <c r="C47" t="s">
        <v>3326</v>
      </c>
      <c r="AC47">
        <v>2</v>
      </c>
      <c r="AD47">
        <v>1</v>
      </c>
      <c r="AO47" t="s">
        <v>3417</v>
      </c>
      <c r="AT47" t="s">
        <v>3431</v>
      </c>
      <c r="AX47" t="s">
        <v>3432</v>
      </c>
      <c r="AZ47">
        <v>1</v>
      </c>
      <c r="BD47">
        <v>1</v>
      </c>
      <c r="CB47" t="s">
        <v>136</v>
      </c>
      <c r="CG47" t="s">
        <v>3410</v>
      </c>
      <c r="CH47" t="s">
        <v>3433</v>
      </c>
      <c r="CI47" t="s">
        <v>3412</v>
      </c>
      <c r="CY47" t="s">
        <v>3434</v>
      </c>
    </row>
    <row r="48" spans="1:103" x14ac:dyDescent="0.25">
      <c r="A48" t="s">
        <v>3435</v>
      </c>
      <c r="C48" t="s">
        <v>3326</v>
      </c>
      <c r="K48" s="5" t="s">
        <v>3314</v>
      </c>
      <c r="L48" s="5" t="s">
        <v>3330</v>
      </c>
      <c r="AC48">
        <v>1</v>
      </c>
      <c r="AH48">
        <v>1</v>
      </c>
      <c r="AY48" s="5"/>
      <c r="BD48">
        <v>1</v>
      </c>
      <c r="BV48"/>
      <c r="BW48"/>
      <c r="BX48"/>
      <c r="BY48"/>
      <c r="BZ48"/>
      <c r="CA48"/>
      <c r="CB48" s="5"/>
      <c r="CC48" s="5"/>
      <c r="CD48" s="5"/>
      <c r="CE48" s="5"/>
      <c r="CF48" s="5"/>
      <c r="CH48" s="5"/>
      <c r="CI48" s="5"/>
      <c r="CJ48" s="5"/>
      <c r="CK48" s="5"/>
      <c r="CL48" s="5"/>
      <c r="CM48" s="5"/>
      <c r="CN48" s="9" t="s">
        <v>3436</v>
      </c>
      <c r="CR48">
        <v>99999</v>
      </c>
    </row>
    <row r="49" spans="1:103" x14ac:dyDescent="0.25">
      <c r="A49" t="s">
        <v>3437</v>
      </c>
      <c r="C49" t="s">
        <v>3438</v>
      </c>
      <c r="AC49">
        <v>2</v>
      </c>
      <c r="AD49">
        <v>1</v>
      </c>
      <c r="AT49" t="s">
        <v>3439</v>
      </c>
      <c r="BD49">
        <v>99</v>
      </c>
      <c r="BS49">
        <v>0.1</v>
      </c>
    </row>
    <row r="50" spans="1:103" x14ac:dyDescent="0.25">
      <c r="A50" t="s">
        <v>3440</v>
      </c>
      <c r="C50" t="s">
        <v>3438</v>
      </c>
      <c r="AC50">
        <v>2</v>
      </c>
      <c r="AD50">
        <v>1</v>
      </c>
      <c r="AV50">
        <v>5</v>
      </c>
      <c r="BD50">
        <v>99</v>
      </c>
      <c r="BS50">
        <v>0.1</v>
      </c>
    </row>
    <row r="52" spans="1:103" x14ac:dyDescent="0.25">
      <c r="A52" t="s">
        <v>366</v>
      </c>
      <c r="C52" t="s">
        <v>3416</v>
      </c>
      <c r="AC52">
        <v>2</v>
      </c>
      <c r="AO52" t="s">
        <v>3417</v>
      </c>
      <c r="AT52" t="s">
        <v>3441</v>
      </c>
      <c r="AX52" t="s">
        <v>3419</v>
      </c>
      <c r="AZ52">
        <v>1</v>
      </c>
      <c r="BD52">
        <v>1</v>
      </c>
      <c r="CB52" t="s">
        <v>136</v>
      </c>
      <c r="CG52" t="s">
        <v>3410</v>
      </c>
    </row>
    <row r="53" spans="1:103" x14ac:dyDescent="0.25">
      <c r="A53" t="s">
        <v>367</v>
      </c>
      <c r="C53" t="s">
        <v>3326</v>
      </c>
      <c r="D53" t="s">
        <v>3442</v>
      </c>
      <c r="E53" t="s">
        <v>3443</v>
      </c>
      <c r="F53" t="s">
        <v>3444</v>
      </c>
      <c r="J53" t="s">
        <v>3445</v>
      </c>
      <c r="K53" s="5" t="s">
        <v>3343</v>
      </c>
      <c r="AB53">
        <v>1</v>
      </c>
      <c r="AC53">
        <v>1</v>
      </c>
      <c r="AO53" t="s">
        <v>3408</v>
      </c>
      <c r="AT53" t="s">
        <v>3446</v>
      </c>
      <c r="AY53">
        <v>1</v>
      </c>
      <c r="AZ53">
        <v>1</v>
      </c>
      <c r="BD53">
        <v>1</v>
      </c>
      <c r="BO53" s="7" t="s">
        <v>3447</v>
      </c>
      <c r="BS53">
        <v>2.5</v>
      </c>
      <c r="BT53">
        <v>25</v>
      </c>
      <c r="BV53" s="8">
        <v>25</v>
      </c>
      <c r="BW53" s="8">
        <v>40</v>
      </c>
      <c r="BX53" s="8">
        <v>1</v>
      </c>
      <c r="BY53" s="8" t="s">
        <v>3344</v>
      </c>
      <c r="CB53" t="s">
        <v>627</v>
      </c>
      <c r="CG53" t="s">
        <v>3410</v>
      </c>
      <c r="CH53" t="s">
        <v>3448</v>
      </c>
      <c r="CI53" t="s">
        <v>3412</v>
      </c>
      <c r="CN53" s="9" t="s">
        <v>3449</v>
      </c>
      <c r="CY53" t="s">
        <v>3450</v>
      </c>
    </row>
    <row r="54" spans="1:103" x14ac:dyDescent="0.25">
      <c r="A54" t="s">
        <v>3451</v>
      </c>
      <c r="C54" t="s">
        <v>3326</v>
      </c>
      <c r="K54" s="5" t="s">
        <v>3314</v>
      </c>
      <c r="L54" s="5" t="s">
        <v>3452</v>
      </c>
      <c r="AC54">
        <v>1</v>
      </c>
      <c r="AY54" s="5"/>
      <c r="BD54">
        <v>1</v>
      </c>
      <c r="BV54"/>
      <c r="BW54"/>
      <c r="BX54"/>
      <c r="BY54"/>
      <c r="BZ54"/>
      <c r="CA54"/>
      <c r="CB54" s="5"/>
      <c r="CC54" s="5"/>
      <c r="CD54" s="5"/>
      <c r="CE54" s="5"/>
      <c r="CF54" s="5"/>
      <c r="CH54" s="5"/>
      <c r="CI54" s="5"/>
      <c r="CJ54" s="5"/>
      <c r="CK54" s="5"/>
      <c r="CL54" s="5"/>
      <c r="CM54" s="5"/>
      <c r="CN54" s="9" t="s">
        <v>3379</v>
      </c>
      <c r="CO54">
        <v>0.45</v>
      </c>
      <c r="CR54">
        <v>25</v>
      </c>
    </row>
    <row r="55" spans="1:103" x14ac:dyDescent="0.25">
      <c r="A55" t="s">
        <v>3453</v>
      </c>
      <c r="C55" t="s">
        <v>3326</v>
      </c>
      <c r="K55" s="5" t="s">
        <v>3314</v>
      </c>
      <c r="L55" s="5" t="s">
        <v>3452</v>
      </c>
      <c r="AC55">
        <v>1</v>
      </c>
      <c r="AY55" s="5"/>
      <c r="BD55">
        <v>1</v>
      </c>
      <c r="BV55"/>
      <c r="BW55"/>
      <c r="BX55"/>
      <c r="BY55"/>
      <c r="BZ55"/>
      <c r="CA55"/>
      <c r="CB55" s="5"/>
      <c r="CC55" s="5"/>
      <c r="CD55" s="5"/>
      <c r="CE55" s="5"/>
      <c r="CF55" s="5"/>
      <c r="CH55" s="5"/>
      <c r="CI55" s="5"/>
      <c r="CJ55" s="5"/>
      <c r="CK55" s="5"/>
      <c r="CL55" s="5"/>
      <c r="CM55" s="5"/>
      <c r="CN55" s="9" t="s">
        <v>3454</v>
      </c>
      <c r="CR55">
        <v>25</v>
      </c>
    </row>
    <row r="56" spans="1:103" x14ac:dyDescent="0.25">
      <c r="AY56" s="5"/>
      <c r="BV56"/>
      <c r="BW56"/>
      <c r="BX56"/>
      <c r="BY56"/>
      <c r="BZ56"/>
      <c r="CA56"/>
      <c r="CB56" s="5"/>
      <c r="CC56" s="5"/>
      <c r="CD56" s="5"/>
      <c r="CE56" s="5"/>
      <c r="CF56" s="5"/>
      <c r="CH56" s="5"/>
      <c r="CI56" s="5"/>
      <c r="CJ56" s="5"/>
      <c r="CK56" s="5"/>
      <c r="CL56" s="5"/>
      <c r="CM56" s="5"/>
    </row>
    <row r="57" spans="1:103" x14ac:dyDescent="0.25">
      <c r="A57" t="s">
        <v>3455</v>
      </c>
      <c r="C57" t="s">
        <v>3456</v>
      </c>
      <c r="AC57">
        <v>2</v>
      </c>
      <c r="AO57" t="s">
        <v>3417</v>
      </c>
      <c r="AT57" t="s">
        <v>3418</v>
      </c>
      <c r="AX57" t="s">
        <v>3419</v>
      </c>
      <c r="AZ57">
        <v>1</v>
      </c>
      <c r="BD57">
        <v>1</v>
      </c>
      <c r="CB57" t="s">
        <v>136</v>
      </c>
      <c r="CG57" t="s">
        <v>3410</v>
      </c>
      <c r="CY57" t="s">
        <v>3457</v>
      </c>
    </row>
    <row r="58" spans="1:103" x14ac:dyDescent="0.25">
      <c r="AY58" s="5"/>
      <c r="BV58"/>
      <c r="BW58"/>
      <c r="BX58"/>
      <c r="BY58"/>
      <c r="BZ58"/>
      <c r="CA58"/>
      <c r="CB58" s="5"/>
      <c r="CC58" s="5"/>
      <c r="CD58" s="5"/>
      <c r="CE58" s="5"/>
      <c r="CF58" s="5"/>
      <c r="CH58" s="5"/>
      <c r="CI58" s="5"/>
      <c r="CJ58" s="5"/>
      <c r="CK58" s="5"/>
      <c r="CL58" s="5"/>
      <c r="CM58" s="5"/>
    </row>
    <row r="59" spans="1:103" x14ac:dyDescent="0.25">
      <c r="A59" t="s">
        <v>3458</v>
      </c>
      <c r="C59" t="s">
        <v>3416</v>
      </c>
      <c r="K59" s="5" t="s">
        <v>3344</v>
      </c>
      <c r="AC59">
        <v>2</v>
      </c>
      <c r="AO59" t="s">
        <v>3417</v>
      </c>
      <c r="AX59" t="s">
        <v>3419</v>
      </c>
      <c r="AZ59">
        <v>1</v>
      </c>
      <c r="BD59">
        <v>1</v>
      </c>
      <c r="CB59" t="s">
        <v>3459</v>
      </c>
      <c r="CG59" t="s">
        <v>3410</v>
      </c>
      <c r="CJ59" t="s">
        <v>3460</v>
      </c>
      <c r="CY59" t="s">
        <v>3461</v>
      </c>
    </row>
    <row r="60" spans="1:103" x14ac:dyDescent="0.25">
      <c r="A60" t="s">
        <v>3462</v>
      </c>
      <c r="C60" t="s">
        <v>3326</v>
      </c>
      <c r="K60" s="5" t="s">
        <v>3344</v>
      </c>
      <c r="Z60">
        <v>1</v>
      </c>
      <c r="AC60">
        <v>2</v>
      </c>
      <c r="AD60">
        <v>1</v>
      </c>
      <c r="AO60" t="s">
        <v>3417</v>
      </c>
      <c r="AT60" t="s">
        <v>3463</v>
      </c>
      <c r="AX60" t="s">
        <v>3419</v>
      </c>
      <c r="AZ60">
        <v>0.8</v>
      </c>
      <c r="BD60">
        <v>1</v>
      </c>
      <c r="CB60" t="s">
        <v>3464</v>
      </c>
      <c r="CG60" t="s">
        <v>3410</v>
      </c>
      <c r="CH60" t="s">
        <v>3465</v>
      </c>
      <c r="CI60" t="s">
        <v>3412</v>
      </c>
      <c r="CJ60" t="s">
        <v>3460</v>
      </c>
      <c r="CY60" t="s">
        <v>3461</v>
      </c>
    </row>
    <row r="61" spans="1:103" x14ac:dyDescent="0.25">
      <c r="A61" t="s">
        <v>3466</v>
      </c>
      <c r="C61" t="s">
        <v>3416</v>
      </c>
      <c r="J61" t="s">
        <v>3445</v>
      </c>
      <c r="K61" s="5" t="s">
        <v>3344</v>
      </c>
      <c r="AC61">
        <v>2</v>
      </c>
      <c r="AO61" t="s">
        <v>3417</v>
      </c>
      <c r="AX61" t="s">
        <v>3432</v>
      </c>
      <c r="AZ61">
        <v>1</v>
      </c>
      <c r="BD61">
        <v>1</v>
      </c>
      <c r="BV61"/>
      <c r="BW61"/>
      <c r="BX61"/>
      <c r="BY61"/>
      <c r="BZ61"/>
      <c r="CA61"/>
      <c r="CB61" t="s">
        <v>3459</v>
      </c>
      <c r="CG61" t="s">
        <v>3410</v>
      </c>
      <c r="CJ61" t="s">
        <v>3460</v>
      </c>
      <c r="CY61" t="s">
        <v>3467</v>
      </c>
    </row>
    <row r="62" spans="1:103" x14ac:dyDescent="0.25">
      <c r="A62" t="s">
        <v>381</v>
      </c>
      <c r="C62" t="s">
        <v>3326</v>
      </c>
      <c r="D62" t="s">
        <v>3468</v>
      </c>
      <c r="E62" t="s">
        <v>3469</v>
      </c>
      <c r="F62" t="s">
        <v>3470</v>
      </c>
      <c r="J62" t="s">
        <v>3445</v>
      </c>
      <c r="K62" s="5" t="s">
        <v>3343</v>
      </c>
      <c r="Z62">
        <v>1</v>
      </c>
      <c r="AC62">
        <v>2</v>
      </c>
      <c r="AD62">
        <v>1</v>
      </c>
      <c r="AO62" t="s">
        <v>3417</v>
      </c>
      <c r="AT62" t="s">
        <v>3463</v>
      </c>
      <c r="AX62" t="s">
        <v>3432</v>
      </c>
      <c r="AZ62">
        <v>0.8</v>
      </c>
      <c r="BD62">
        <v>1</v>
      </c>
      <c r="BO62" s="7" t="s">
        <v>3471</v>
      </c>
      <c r="BT62">
        <v>40</v>
      </c>
      <c r="BV62" s="8">
        <v>30</v>
      </c>
      <c r="BW62" s="8">
        <v>70</v>
      </c>
      <c r="BX62" s="8">
        <v>1</v>
      </c>
      <c r="BY62" s="8" t="s">
        <v>3344</v>
      </c>
      <c r="CB62" t="s">
        <v>3464</v>
      </c>
      <c r="CG62" t="s">
        <v>3410</v>
      </c>
      <c r="CH62" t="s">
        <v>3472</v>
      </c>
      <c r="CI62" t="s">
        <v>3412</v>
      </c>
      <c r="CJ62" t="s">
        <v>3460</v>
      </c>
      <c r="CY62" t="s">
        <v>3467</v>
      </c>
    </row>
    <row r="63" spans="1:103" x14ac:dyDescent="0.25">
      <c r="A63" t="s">
        <v>3473</v>
      </c>
      <c r="C63" t="s">
        <v>3326</v>
      </c>
      <c r="K63" s="5" t="s">
        <v>3314</v>
      </c>
      <c r="L63" s="5" t="s">
        <v>3452</v>
      </c>
      <c r="AC63">
        <v>1</v>
      </c>
      <c r="AY63" s="5"/>
      <c r="BD63">
        <v>1</v>
      </c>
      <c r="BV63"/>
      <c r="BW63"/>
      <c r="BX63"/>
      <c r="BY63"/>
      <c r="BZ63"/>
      <c r="CA63"/>
      <c r="CB63" s="5"/>
      <c r="CC63" s="5"/>
      <c r="CD63" s="5"/>
      <c r="CE63" s="5"/>
      <c r="CF63" s="5"/>
      <c r="CH63" s="5"/>
      <c r="CI63" s="5"/>
      <c r="CJ63" s="5"/>
      <c r="CK63" s="5"/>
      <c r="CL63" s="5"/>
      <c r="CM63" s="5"/>
      <c r="CN63" s="9" t="s">
        <v>3345</v>
      </c>
      <c r="CO63">
        <v>0.35</v>
      </c>
      <c r="CR63">
        <v>40</v>
      </c>
    </row>
    <row r="64" spans="1:103" x14ac:dyDescent="0.25">
      <c r="AY64" s="5"/>
      <c r="BV64"/>
      <c r="BW64"/>
      <c r="BX64"/>
      <c r="BY64"/>
      <c r="BZ64"/>
      <c r="CA64"/>
      <c r="CB64" s="5"/>
      <c r="CC64" s="5"/>
      <c r="CD64" s="5"/>
      <c r="CE64" s="5"/>
      <c r="CF64" s="5"/>
      <c r="CH64" s="5"/>
      <c r="CI64" s="5"/>
      <c r="CJ64" s="5"/>
      <c r="CK64" s="5"/>
      <c r="CL64" s="5"/>
      <c r="CM64" s="5"/>
    </row>
    <row r="65" spans="1:103" x14ac:dyDescent="0.25">
      <c r="A65" t="s">
        <v>3474</v>
      </c>
      <c r="C65" t="s">
        <v>3326</v>
      </c>
      <c r="AC65">
        <v>2</v>
      </c>
      <c r="AD65">
        <v>1</v>
      </c>
      <c r="AO65" t="s">
        <v>3417</v>
      </c>
      <c r="AT65" t="s">
        <v>3439</v>
      </c>
      <c r="AX65" t="s">
        <v>3419</v>
      </c>
      <c r="AZ65">
        <v>1</v>
      </c>
      <c r="BD65">
        <v>1</v>
      </c>
      <c r="BJ65">
        <v>1</v>
      </c>
      <c r="BK65">
        <v>1</v>
      </c>
      <c r="BL65">
        <v>1</v>
      </c>
      <c r="CB65" t="s">
        <v>136</v>
      </c>
      <c r="CG65" t="s">
        <v>3410</v>
      </c>
      <c r="CH65" t="s">
        <v>3475</v>
      </c>
      <c r="CI65" t="s">
        <v>3412</v>
      </c>
      <c r="CX65" t="s">
        <v>3476</v>
      </c>
      <c r="CY65" t="s">
        <v>3477</v>
      </c>
    </row>
    <row r="66" spans="1:103" x14ac:dyDescent="0.25">
      <c r="A66" t="s">
        <v>388</v>
      </c>
      <c r="C66" t="s">
        <v>3326</v>
      </c>
      <c r="D66" t="s">
        <v>3478</v>
      </c>
      <c r="E66" t="s">
        <v>3479</v>
      </c>
      <c r="F66" t="s">
        <v>3480</v>
      </c>
      <c r="J66" t="s">
        <v>3445</v>
      </c>
      <c r="K66" s="5" t="s">
        <v>3343</v>
      </c>
      <c r="AC66">
        <v>2</v>
      </c>
      <c r="AD66">
        <v>1</v>
      </c>
      <c r="AO66" t="s">
        <v>3417</v>
      </c>
      <c r="AT66" t="s">
        <v>3439</v>
      </c>
      <c r="AX66" t="s">
        <v>3419</v>
      </c>
      <c r="AZ66">
        <v>1</v>
      </c>
      <c r="BD66">
        <v>1</v>
      </c>
      <c r="BJ66">
        <v>2</v>
      </c>
      <c r="BK66">
        <v>1</v>
      </c>
      <c r="BL66">
        <v>1</v>
      </c>
      <c r="BO66" s="7" t="s">
        <v>3481</v>
      </c>
      <c r="BT66">
        <v>30</v>
      </c>
      <c r="BV66" s="8">
        <v>0</v>
      </c>
      <c r="BW66" s="8">
        <v>45</v>
      </c>
      <c r="BX66" s="8">
        <v>1</v>
      </c>
      <c r="BY66" s="8" t="s">
        <v>3344</v>
      </c>
      <c r="CB66" t="s">
        <v>136</v>
      </c>
      <c r="CG66" t="s">
        <v>3410</v>
      </c>
      <c r="CH66" t="s">
        <v>3475</v>
      </c>
      <c r="CI66" t="s">
        <v>3412</v>
      </c>
      <c r="CX66" t="s">
        <v>3476</v>
      </c>
      <c r="CY66" t="s">
        <v>3477</v>
      </c>
    </row>
    <row r="67" spans="1:103" x14ac:dyDescent="0.25">
      <c r="A67" t="s">
        <v>3481</v>
      </c>
      <c r="C67" t="s">
        <v>3326</v>
      </c>
      <c r="K67" s="5" t="s">
        <v>3314</v>
      </c>
      <c r="L67" s="5" t="s">
        <v>3452</v>
      </c>
      <c r="AC67">
        <v>1</v>
      </c>
      <c r="AY67" s="5"/>
      <c r="BD67">
        <v>1</v>
      </c>
      <c r="BV67"/>
      <c r="BW67"/>
      <c r="BX67"/>
      <c r="BY67"/>
      <c r="BZ67"/>
      <c r="CA67"/>
      <c r="CB67" s="5"/>
      <c r="CC67" s="5"/>
      <c r="CD67" s="5"/>
      <c r="CE67" s="5"/>
      <c r="CF67" s="5"/>
      <c r="CH67" s="5"/>
      <c r="CI67" s="5"/>
      <c r="CJ67" s="5"/>
      <c r="CK67" s="5"/>
      <c r="CL67" s="5"/>
      <c r="CM67" s="5"/>
      <c r="CN67" s="9" t="s">
        <v>3345</v>
      </c>
      <c r="CO67">
        <v>0</v>
      </c>
      <c r="CR67">
        <v>30</v>
      </c>
    </row>
    <row r="68" spans="1:103" x14ac:dyDescent="0.25">
      <c r="AY68" s="5"/>
      <c r="BV68"/>
      <c r="BW68"/>
      <c r="BX68"/>
      <c r="BY68"/>
      <c r="BZ68"/>
      <c r="CA68"/>
      <c r="CB68" s="5"/>
      <c r="CC68" s="5"/>
      <c r="CD68" s="5"/>
      <c r="CE68" s="5"/>
      <c r="CF68" s="5"/>
      <c r="CH68" s="5"/>
      <c r="CI68" s="5"/>
      <c r="CJ68" s="5"/>
      <c r="CK68" s="5"/>
      <c r="CL68" s="5"/>
      <c r="CM68" s="5"/>
    </row>
    <row r="69" spans="1:103" x14ac:dyDescent="0.25">
      <c r="A69" t="s">
        <v>3482</v>
      </c>
      <c r="C69" t="s">
        <v>3326</v>
      </c>
      <c r="K69" s="5" t="s">
        <v>3344</v>
      </c>
      <c r="AC69">
        <v>2</v>
      </c>
      <c r="AD69">
        <v>1</v>
      </c>
      <c r="AO69" t="s">
        <v>3417</v>
      </c>
      <c r="AT69" t="s">
        <v>3483</v>
      </c>
      <c r="AX69" t="s">
        <v>3432</v>
      </c>
      <c r="AZ69">
        <v>1</v>
      </c>
      <c r="BD69">
        <v>1</v>
      </c>
      <c r="CB69" t="s">
        <v>136</v>
      </c>
      <c r="CG69" t="s">
        <v>3410</v>
      </c>
      <c r="CH69" t="s">
        <v>3484</v>
      </c>
      <c r="CI69" t="s">
        <v>3485</v>
      </c>
      <c r="CN69" s="9" t="s">
        <v>3486</v>
      </c>
      <c r="CO69">
        <v>-0.8</v>
      </c>
      <c r="CR69">
        <v>0.8</v>
      </c>
      <c r="CY69" t="s">
        <v>3487</v>
      </c>
    </row>
    <row r="70" spans="1:103" x14ac:dyDescent="0.25">
      <c r="A70" t="s">
        <v>3488</v>
      </c>
      <c r="C70" t="s">
        <v>3326</v>
      </c>
      <c r="K70" s="5" t="s">
        <v>3314</v>
      </c>
      <c r="L70" s="5" t="s">
        <v>3330</v>
      </c>
      <c r="AC70">
        <v>1</v>
      </c>
      <c r="AG70" t="s">
        <v>3316</v>
      </c>
      <c r="AH70">
        <v>1</v>
      </c>
      <c r="AY70" s="5"/>
      <c r="BD70">
        <v>1</v>
      </c>
      <c r="BV70"/>
      <c r="BW70"/>
      <c r="BX70"/>
      <c r="BY70"/>
      <c r="BZ70"/>
      <c r="CA70"/>
      <c r="CB70" s="5"/>
      <c r="CC70" s="5"/>
      <c r="CD70" s="5"/>
      <c r="CE70" s="5"/>
      <c r="CF70" s="5"/>
      <c r="CH70" s="5"/>
      <c r="CI70" s="5"/>
      <c r="CJ70" s="5"/>
      <c r="CK70" s="5"/>
      <c r="CL70" s="5"/>
      <c r="CM70" s="5"/>
      <c r="CN70" s="9" t="s">
        <v>3489</v>
      </c>
      <c r="CO70">
        <v>9</v>
      </c>
      <c r="CR70">
        <v>99999</v>
      </c>
    </row>
    <row r="71" spans="1:103" x14ac:dyDescent="0.25">
      <c r="AY71" s="5"/>
      <c r="BV71"/>
      <c r="BW71"/>
      <c r="BX71"/>
      <c r="BY71"/>
      <c r="BZ71"/>
      <c r="CA71"/>
      <c r="CB71" s="5"/>
      <c r="CC71" s="5"/>
      <c r="CD71" s="5"/>
      <c r="CE71" s="5"/>
      <c r="CF71" s="5"/>
      <c r="CH71" s="5"/>
      <c r="CI71" s="5"/>
      <c r="CJ71" s="5"/>
      <c r="CK71" s="5"/>
      <c r="CL71" s="5"/>
      <c r="CM71" s="5"/>
    </row>
    <row r="72" spans="1:103" x14ac:dyDescent="0.25">
      <c r="A72" t="s">
        <v>3490</v>
      </c>
      <c r="C72" t="s">
        <v>3326</v>
      </c>
      <c r="AC72">
        <v>2</v>
      </c>
      <c r="AD72">
        <v>1</v>
      </c>
      <c r="AO72" t="s">
        <v>3491</v>
      </c>
      <c r="AT72" t="s">
        <v>3409</v>
      </c>
      <c r="AX72" t="s">
        <v>3432</v>
      </c>
      <c r="AZ72">
        <v>1</v>
      </c>
      <c r="BD72">
        <v>1</v>
      </c>
      <c r="CB72" t="s">
        <v>136</v>
      </c>
      <c r="CG72" t="s">
        <v>3410</v>
      </c>
      <c r="CH72" t="s">
        <v>3492</v>
      </c>
      <c r="CI72" t="s">
        <v>3412</v>
      </c>
      <c r="CY72" t="s">
        <v>3493</v>
      </c>
    </row>
    <row r="73" spans="1:103" x14ac:dyDescent="0.25">
      <c r="A73" t="s">
        <v>403</v>
      </c>
      <c r="C73" t="s">
        <v>3326</v>
      </c>
      <c r="D73" t="s">
        <v>3494</v>
      </c>
      <c r="E73" t="s">
        <v>3495</v>
      </c>
      <c r="F73" t="s">
        <v>3496</v>
      </c>
      <c r="J73" t="s">
        <v>3342</v>
      </c>
      <c r="K73" s="5" t="s">
        <v>3344</v>
      </c>
      <c r="AC73">
        <v>2</v>
      </c>
      <c r="AD73">
        <v>1</v>
      </c>
      <c r="AO73" t="s">
        <v>3491</v>
      </c>
      <c r="AT73" t="s">
        <v>3409</v>
      </c>
      <c r="AX73" t="s">
        <v>3432</v>
      </c>
      <c r="AZ73">
        <v>1.9</v>
      </c>
      <c r="BD73">
        <v>1</v>
      </c>
      <c r="BT73">
        <v>0.3</v>
      </c>
      <c r="BV73" s="8">
        <v>0</v>
      </c>
      <c r="BW73" s="8">
        <v>4</v>
      </c>
      <c r="BX73" s="8">
        <v>1</v>
      </c>
      <c r="BY73" s="8" t="s">
        <v>3497</v>
      </c>
      <c r="CB73" t="s">
        <v>136</v>
      </c>
      <c r="CG73" t="s">
        <v>3410</v>
      </c>
      <c r="CH73" t="s">
        <v>3492</v>
      </c>
      <c r="CI73" t="s">
        <v>3412</v>
      </c>
      <c r="CX73" t="s">
        <v>3498</v>
      </c>
      <c r="CY73" t="s">
        <v>3493</v>
      </c>
    </row>
    <row r="74" spans="1:103" x14ac:dyDescent="0.25">
      <c r="A74" t="s">
        <v>3499</v>
      </c>
      <c r="C74" t="s">
        <v>3326</v>
      </c>
      <c r="K74" s="5" t="s">
        <v>3314</v>
      </c>
      <c r="L74" s="5" t="s">
        <v>3330</v>
      </c>
      <c r="AC74">
        <v>1</v>
      </c>
      <c r="AG74" t="s">
        <v>3316</v>
      </c>
      <c r="AH74">
        <v>1</v>
      </c>
      <c r="AY74" s="5"/>
      <c r="BD74">
        <v>1</v>
      </c>
      <c r="BV74"/>
      <c r="BW74"/>
      <c r="BX74"/>
      <c r="BY74"/>
      <c r="BZ74"/>
      <c r="CA74"/>
      <c r="CB74" s="5"/>
      <c r="CC74" s="5"/>
      <c r="CD74" s="5"/>
      <c r="CE74" s="5"/>
      <c r="CF74" s="5"/>
      <c r="CH74" s="5"/>
      <c r="CI74" s="5"/>
      <c r="CJ74" s="5"/>
      <c r="CK74" s="5"/>
      <c r="CL74" s="5"/>
      <c r="CM74" s="5"/>
      <c r="CN74" s="9" t="s">
        <v>3331</v>
      </c>
      <c r="CO74">
        <v>0.06</v>
      </c>
      <c r="CR74">
        <v>99999</v>
      </c>
    </row>
    <row r="75" spans="1:103" x14ac:dyDescent="0.25">
      <c r="AY75" s="5"/>
      <c r="BV75"/>
      <c r="BW75"/>
      <c r="BX75"/>
      <c r="BY75"/>
      <c r="BZ75"/>
      <c r="CA75"/>
      <c r="CB75" s="5"/>
      <c r="CC75" s="5"/>
      <c r="CD75" s="5"/>
      <c r="CE75" s="5"/>
      <c r="CF75" s="5"/>
      <c r="CH75" s="5"/>
      <c r="CI75" s="5"/>
      <c r="CJ75" s="5"/>
      <c r="CK75" s="5"/>
      <c r="CL75" s="5"/>
      <c r="CM75" s="5"/>
    </row>
    <row r="76" spans="1:103" x14ac:dyDescent="0.25">
      <c r="A76" t="s">
        <v>407</v>
      </c>
      <c r="C76" t="s">
        <v>3326</v>
      </c>
      <c r="K76" s="5" t="s">
        <v>3344</v>
      </c>
      <c r="AC76">
        <v>1</v>
      </c>
      <c r="AO76" t="s">
        <v>3408</v>
      </c>
      <c r="AT76" t="s">
        <v>3500</v>
      </c>
      <c r="AY76">
        <v>1</v>
      </c>
      <c r="AZ76">
        <v>1</v>
      </c>
      <c r="BD76">
        <v>1</v>
      </c>
      <c r="CB76" t="s">
        <v>136</v>
      </c>
      <c r="CG76" t="s">
        <v>3410</v>
      </c>
      <c r="CH76" t="s">
        <v>3501</v>
      </c>
      <c r="CI76" t="s">
        <v>3412</v>
      </c>
      <c r="CJ76" t="s">
        <v>3502</v>
      </c>
      <c r="CY76" t="s">
        <v>3391</v>
      </c>
    </row>
    <row r="77" spans="1:103" x14ac:dyDescent="0.25">
      <c r="A77" t="s">
        <v>408</v>
      </c>
      <c r="C77" t="s">
        <v>3326</v>
      </c>
      <c r="D77" t="s">
        <v>3503</v>
      </c>
      <c r="E77" t="s">
        <v>3504</v>
      </c>
      <c r="F77" t="s">
        <v>3505</v>
      </c>
      <c r="J77" t="s">
        <v>3445</v>
      </c>
      <c r="K77" s="5" t="s">
        <v>3344</v>
      </c>
      <c r="AC77">
        <v>1</v>
      </c>
      <c r="AO77" t="s">
        <v>3408</v>
      </c>
      <c r="AT77" t="s">
        <v>3506</v>
      </c>
      <c r="AY77">
        <v>1</v>
      </c>
      <c r="AZ77">
        <v>1</v>
      </c>
      <c r="BD77">
        <v>1</v>
      </c>
      <c r="BP77" s="7" t="s">
        <v>3507</v>
      </c>
      <c r="BT77">
        <v>25</v>
      </c>
      <c r="BV77" s="8">
        <v>10</v>
      </c>
      <c r="BW77" s="8">
        <v>35</v>
      </c>
      <c r="BX77" s="8">
        <v>1</v>
      </c>
      <c r="BY77" s="8" t="s">
        <v>3344</v>
      </c>
      <c r="CB77" t="s">
        <v>136</v>
      </c>
      <c r="CG77" t="s">
        <v>3410</v>
      </c>
      <c r="CH77" t="s">
        <v>3501</v>
      </c>
      <c r="CI77" t="s">
        <v>3412</v>
      </c>
      <c r="CJ77" t="s">
        <v>3502</v>
      </c>
      <c r="CY77" t="s">
        <v>3391</v>
      </c>
    </row>
    <row r="78" spans="1:103" x14ac:dyDescent="0.25">
      <c r="A78" t="s">
        <v>3507</v>
      </c>
      <c r="C78" t="s">
        <v>3326</v>
      </c>
      <c r="K78" s="5" t="s">
        <v>3314</v>
      </c>
      <c r="L78" s="5" t="s">
        <v>3452</v>
      </c>
      <c r="AC78">
        <v>1</v>
      </c>
      <c r="AY78" s="5"/>
      <c r="BD78">
        <v>1</v>
      </c>
      <c r="BV78"/>
      <c r="BW78"/>
      <c r="BX78"/>
      <c r="BY78"/>
      <c r="BZ78"/>
      <c r="CA78"/>
      <c r="CB78" s="5"/>
      <c r="CC78" s="5"/>
      <c r="CD78" s="5"/>
      <c r="CE78" s="5"/>
      <c r="CF78" s="5"/>
      <c r="CH78" s="5"/>
      <c r="CI78" s="5"/>
      <c r="CJ78" s="5"/>
      <c r="CK78" s="5"/>
      <c r="CL78" s="5"/>
      <c r="CM78" s="5"/>
      <c r="CN78" s="9" t="s">
        <v>3379</v>
      </c>
      <c r="CO78">
        <v>0.4</v>
      </c>
      <c r="CR78">
        <v>25</v>
      </c>
    </row>
    <row r="79" spans="1:103" x14ac:dyDescent="0.25">
      <c r="AY79" s="5"/>
      <c r="BV79"/>
      <c r="BW79"/>
      <c r="BX79"/>
      <c r="BY79"/>
      <c r="BZ79"/>
      <c r="CA79"/>
      <c r="CB79" s="5"/>
      <c r="CC79" s="5"/>
      <c r="CD79" s="5"/>
      <c r="CE79" s="5"/>
      <c r="CF79" s="5"/>
      <c r="CH79" s="5"/>
      <c r="CI79" s="5"/>
      <c r="CJ79" s="5"/>
      <c r="CK79" s="5"/>
      <c r="CL79" s="5"/>
      <c r="CM79" s="5"/>
    </row>
    <row r="80" spans="1:103" x14ac:dyDescent="0.25">
      <c r="A80" t="s">
        <v>3508</v>
      </c>
      <c r="C80" t="s">
        <v>3326</v>
      </c>
      <c r="K80" s="5" t="s">
        <v>3344</v>
      </c>
      <c r="AC80">
        <v>1</v>
      </c>
      <c r="AO80" t="s">
        <v>3408</v>
      </c>
      <c r="AT80" t="s">
        <v>3500</v>
      </c>
      <c r="AY80">
        <v>1</v>
      </c>
      <c r="AZ80">
        <v>1</v>
      </c>
      <c r="BD80">
        <v>1</v>
      </c>
      <c r="CB80" t="s">
        <v>136</v>
      </c>
      <c r="CG80" t="s">
        <v>3410</v>
      </c>
      <c r="CY80" t="s">
        <v>3391</v>
      </c>
    </row>
    <row r="81" spans="1:108" x14ac:dyDescent="0.25">
      <c r="AY81" s="5"/>
      <c r="BV81"/>
      <c r="BW81"/>
      <c r="BX81"/>
      <c r="BY81"/>
      <c r="BZ81"/>
      <c r="CA81"/>
      <c r="CB81" s="5"/>
      <c r="CC81" s="5"/>
      <c r="CD81" s="5"/>
      <c r="CE81" s="5"/>
      <c r="CF81" s="5"/>
      <c r="CH81" s="5"/>
      <c r="CI81" s="5"/>
      <c r="CJ81" s="5"/>
      <c r="CK81" s="5"/>
      <c r="CL81" s="5"/>
      <c r="CM81" s="5"/>
    </row>
    <row r="82" spans="1:108" x14ac:dyDescent="0.25">
      <c r="A82" t="s">
        <v>3509</v>
      </c>
      <c r="C82" t="s">
        <v>3326</v>
      </c>
      <c r="AC82">
        <v>2</v>
      </c>
      <c r="AD82">
        <v>1</v>
      </c>
      <c r="AO82" t="s">
        <v>3417</v>
      </c>
      <c r="AT82" t="s">
        <v>3431</v>
      </c>
      <c r="AX82" t="s">
        <v>3432</v>
      </c>
      <c r="AZ82">
        <v>1</v>
      </c>
      <c r="BD82">
        <v>1</v>
      </c>
      <c r="BJ82">
        <v>1.1000000000000001</v>
      </c>
      <c r="BK82">
        <v>1</v>
      </c>
      <c r="BL82">
        <v>1</v>
      </c>
      <c r="CB82" t="s">
        <v>136</v>
      </c>
      <c r="CG82" t="s">
        <v>3410</v>
      </c>
      <c r="CY82" t="s">
        <v>3510</v>
      </c>
    </row>
    <row r="83" spans="1:108" x14ac:dyDescent="0.25">
      <c r="A83" t="s">
        <v>3511</v>
      </c>
      <c r="C83" t="s">
        <v>3512</v>
      </c>
      <c r="K83" s="5" t="s">
        <v>3314</v>
      </c>
      <c r="L83" s="5" t="s">
        <v>3513</v>
      </c>
      <c r="AC83">
        <v>1</v>
      </c>
      <c r="AG83" t="s">
        <v>3316</v>
      </c>
      <c r="AY83" s="5"/>
      <c r="BD83">
        <v>1</v>
      </c>
      <c r="BV83"/>
      <c r="BW83"/>
      <c r="BX83"/>
      <c r="BY83"/>
      <c r="BZ83"/>
      <c r="CA83"/>
      <c r="CB83" s="5"/>
      <c r="CC83" s="5"/>
      <c r="CD83" s="5"/>
      <c r="CE83" s="5"/>
      <c r="CF83" s="5"/>
      <c r="CH83" s="5"/>
      <c r="CI83" s="5"/>
      <c r="CJ83" s="5"/>
      <c r="CK83" s="5"/>
      <c r="CL83" s="5"/>
      <c r="CM83" s="5"/>
      <c r="CU83" t="s">
        <v>3514</v>
      </c>
      <c r="DD83">
        <v>1</v>
      </c>
    </row>
    <row r="84" spans="1:108" x14ac:dyDescent="0.25">
      <c r="AY84" s="5"/>
      <c r="BV84"/>
      <c r="BW84"/>
      <c r="BX84"/>
      <c r="BY84"/>
      <c r="BZ84"/>
      <c r="CA84"/>
      <c r="CB84" s="5"/>
      <c r="CC84" s="5"/>
      <c r="CD84" s="5"/>
      <c r="CE84" s="5"/>
      <c r="CF84" s="5"/>
      <c r="CH84" s="5"/>
      <c r="CI84" s="5"/>
      <c r="CJ84" s="5"/>
      <c r="CK84" s="5"/>
      <c r="CL84" s="5"/>
      <c r="CM84" s="5"/>
    </row>
    <row r="85" spans="1:108" x14ac:dyDescent="0.25">
      <c r="A85" t="s">
        <v>3515</v>
      </c>
      <c r="C85" t="s">
        <v>3326</v>
      </c>
      <c r="AC85">
        <v>2</v>
      </c>
      <c r="AD85">
        <v>1</v>
      </c>
      <c r="AO85" t="s">
        <v>3417</v>
      </c>
      <c r="AP85" t="s">
        <v>3516</v>
      </c>
      <c r="AT85" t="s">
        <v>3500</v>
      </c>
      <c r="AX85" t="s">
        <v>3419</v>
      </c>
      <c r="AZ85">
        <v>1</v>
      </c>
      <c r="BD85">
        <v>1</v>
      </c>
      <c r="CB85" t="s">
        <v>136</v>
      </c>
      <c r="CG85" t="s">
        <v>3410</v>
      </c>
      <c r="CH85" t="s">
        <v>3426</v>
      </c>
      <c r="CI85" t="s">
        <v>3412</v>
      </c>
    </row>
    <row r="86" spans="1:108" x14ac:dyDescent="0.25">
      <c r="A86" t="s">
        <v>3517</v>
      </c>
      <c r="C86" t="s">
        <v>3326</v>
      </c>
      <c r="K86" s="5" t="s">
        <v>3314</v>
      </c>
      <c r="L86" s="5" t="s">
        <v>3330</v>
      </c>
      <c r="AC86">
        <v>1</v>
      </c>
      <c r="AG86" t="s">
        <v>3316</v>
      </c>
      <c r="AH86">
        <v>1</v>
      </c>
      <c r="AY86" s="5"/>
      <c r="BD86">
        <v>1</v>
      </c>
      <c r="BV86"/>
      <c r="BW86"/>
      <c r="BX86"/>
      <c r="BY86"/>
      <c r="BZ86"/>
      <c r="CA86"/>
      <c r="CB86" s="5"/>
      <c r="CC86" s="5"/>
      <c r="CD86" s="5"/>
      <c r="CE86" s="5"/>
      <c r="CF86" s="5"/>
      <c r="CH86" s="5"/>
      <c r="CI86" s="5"/>
      <c r="CJ86" s="5"/>
      <c r="CK86" s="5"/>
      <c r="CL86" s="5"/>
      <c r="CM86" s="5"/>
      <c r="CN86" s="9" t="s">
        <v>3489</v>
      </c>
      <c r="CO86">
        <v>8</v>
      </c>
      <c r="CR86">
        <v>99999</v>
      </c>
    </row>
    <row r="87" spans="1:108" x14ac:dyDescent="0.25">
      <c r="AY87" s="5"/>
      <c r="BV87"/>
      <c r="BW87"/>
      <c r="BX87"/>
      <c r="BY87"/>
      <c r="BZ87"/>
      <c r="CA87"/>
      <c r="CB87" s="5"/>
      <c r="CC87" s="5"/>
      <c r="CD87" s="5"/>
      <c r="CE87" s="5"/>
      <c r="CF87" s="5"/>
      <c r="CH87" s="5"/>
      <c r="CI87" s="5"/>
      <c r="CJ87" s="5"/>
      <c r="CK87" s="5"/>
      <c r="CL87" s="5"/>
      <c r="CM87" s="5"/>
    </row>
    <row r="88" spans="1:108" x14ac:dyDescent="0.25">
      <c r="A88" t="s">
        <v>429</v>
      </c>
      <c r="C88" t="s">
        <v>3326</v>
      </c>
      <c r="AC88">
        <v>2</v>
      </c>
      <c r="AD88">
        <v>1</v>
      </c>
      <c r="AO88" t="s">
        <v>3417</v>
      </c>
      <c r="AP88" t="s">
        <v>3425</v>
      </c>
      <c r="AT88" t="s">
        <v>3500</v>
      </c>
      <c r="AX88" t="s">
        <v>3419</v>
      </c>
      <c r="AZ88">
        <v>1</v>
      </c>
      <c r="BD88">
        <v>1</v>
      </c>
      <c r="CB88" t="s">
        <v>136</v>
      </c>
      <c r="CG88" t="s">
        <v>3410</v>
      </c>
      <c r="CH88" t="s">
        <v>3426</v>
      </c>
      <c r="CI88" t="s">
        <v>3412</v>
      </c>
      <c r="CJ88" t="s">
        <v>3460</v>
      </c>
      <c r="CX88" t="s">
        <v>3428</v>
      </c>
      <c r="CY88" t="s">
        <v>3429</v>
      </c>
    </row>
    <row r="89" spans="1:108" x14ac:dyDescent="0.25">
      <c r="A89" t="s">
        <v>430</v>
      </c>
      <c r="C89" t="s">
        <v>3326</v>
      </c>
      <c r="D89" t="s">
        <v>3518</v>
      </c>
      <c r="E89" t="s">
        <v>3519</v>
      </c>
      <c r="F89" t="s">
        <v>3520</v>
      </c>
      <c r="J89" t="s">
        <v>3342</v>
      </c>
      <c r="K89" s="5" t="s">
        <v>3344</v>
      </c>
      <c r="AC89">
        <v>2</v>
      </c>
      <c r="AD89">
        <v>1</v>
      </c>
      <c r="AO89" t="s">
        <v>3417</v>
      </c>
      <c r="AP89" t="s">
        <v>3425</v>
      </c>
      <c r="AT89" t="s">
        <v>3500</v>
      </c>
      <c r="AX89" t="s">
        <v>3419</v>
      </c>
      <c r="AZ89">
        <v>1.4</v>
      </c>
      <c r="BD89">
        <v>1</v>
      </c>
      <c r="BE89">
        <v>1</v>
      </c>
      <c r="BF89">
        <v>0.1</v>
      </c>
      <c r="BT89">
        <v>0.3</v>
      </c>
      <c r="BV89" s="8">
        <v>0</v>
      </c>
      <c r="BW89" s="8">
        <v>4</v>
      </c>
      <c r="BX89" s="8">
        <v>1</v>
      </c>
      <c r="BY89" s="8" t="s">
        <v>3497</v>
      </c>
      <c r="CB89" t="s">
        <v>136</v>
      </c>
      <c r="CG89" t="s">
        <v>3410</v>
      </c>
      <c r="CH89" t="s">
        <v>3426</v>
      </c>
      <c r="CI89" t="s">
        <v>3412</v>
      </c>
      <c r="CJ89" t="s">
        <v>3460</v>
      </c>
      <c r="CX89" t="s">
        <v>3428</v>
      </c>
      <c r="CY89" t="s">
        <v>3429</v>
      </c>
    </row>
    <row r="91" spans="1:108" x14ac:dyDescent="0.25">
      <c r="A91" t="s">
        <v>3521</v>
      </c>
      <c r="C91" t="s">
        <v>3416</v>
      </c>
      <c r="AC91">
        <v>2</v>
      </c>
      <c r="AO91" t="s">
        <v>3417</v>
      </c>
      <c r="AT91" t="s">
        <v>3441</v>
      </c>
      <c r="AX91" t="s">
        <v>3419</v>
      </c>
      <c r="AZ91">
        <v>1</v>
      </c>
      <c r="BD91">
        <v>1</v>
      </c>
      <c r="CB91" t="s">
        <v>136</v>
      </c>
      <c r="CG91" t="s">
        <v>3410</v>
      </c>
    </row>
    <row r="92" spans="1:108" x14ac:dyDescent="0.25">
      <c r="AY92" s="5"/>
      <c r="BV92"/>
      <c r="BW92"/>
      <c r="BX92"/>
      <c r="BY92"/>
      <c r="BZ92"/>
      <c r="CA92"/>
      <c r="CB92" s="5"/>
      <c r="CC92" s="5"/>
      <c r="CD92" s="5"/>
      <c r="CE92" s="5"/>
      <c r="CF92" s="5"/>
      <c r="CH92" s="5"/>
      <c r="CI92" s="5"/>
      <c r="CJ92" s="5"/>
      <c r="CK92" s="5"/>
      <c r="CL92" s="5"/>
      <c r="CM92" s="5"/>
    </row>
    <row r="93" spans="1:108" x14ac:dyDescent="0.25">
      <c r="A93" t="s">
        <v>3522</v>
      </c>
      <c r="C93" t="s">
        <v>3416</v>
      </c>
      <c r="AC93">
        <v>2</v>
      </c>
      <c r="AO93" t="s">
        <v>3417</v>
      </c>
      <c r="AT93" t="s">
        <v>3441</v>
      </c>
      <c r="AX93" t="s">
        <v>3419</v>
      </c>
      <c r="AZ93">
        <v>1</v>
      </c>
      <c r="BD93">
        <v>1</v>
      </c>
      <c r="CB93" t="s">
        <v>136</v>
      </c>
      <c r="CG93" t="s">
        <v>3410</v>
      </c>
    </row>
    <row r="94" spans="1:108" x14ac:dyDescent="0.25">
      <c r="AY94" s="5"/>
      <c r="BV94"/>
      <c r="BW94"/>
      <c r="BX94"/>
      <c r="BY94"/>
      <c r="BZ94"/>
      <c r="CA94"/>
      <c r="CB94" s="5"/>
      <c r="CC94" s="5"/>
      <c r="CD94" s="5"/>
      <c r="CE94" s="5"/>
      <c r="CF94" s="5"/>
      <c r="CH94" s="5"/>
      <c r="CI94" s="5"/>
      <c r="CJ94" s="5"/>
      <c r="CK94" s="5"/>
      <c r="CL94" s="5"/>
      <c r="CM94" s="5"/>
    </row>
    <row r="95" spans="1:108" x14ac:dyDescent="0.25">
      <c r="A95" t="s">
        <v>3523</v>
      </c>
      <c r="C95" t="s">
        <v>3416</v>
      </c>
      <c r="AC95">
        <v>2</v>
      </c>
      <c r="AO95" t="s">
        <v>3417</v>
      </c>
      <c r="AT95" t="s">
        <v>3418</v>
      </c>
      <c r="AX95" t="s">
        <v>3419</v>
      </c>
      <c r="AZ95">
        <v>1</v>
      </c>
      <c r="BD95">
        <v>1</v>
      </c>
      <c r="CB95" t="s">
        <v>3464</v>
      </c>
      <c r="CG95" t="s">
        <v>3410</v>
      </c>
      <c r="CY95" t="s">
        <v>3420</v>
      </c>
    </row>
    <row r="96" spans="1:108" x14ac:dyDescent="0.25">
      <c r="AY96" s="5"/>
      <c r="BV96"/>
      <c r="BW96"/>
      <c r="BX96"/>
      <c r="BY96"/>
      <c r="BZ96"/>
      <c r="CA96"/>
      <c r="CB96" s="5"/>
      <c r="CC96" s="5"/>
      <c r="CD96" s="5"/>
      <c r="CE96" s="5"/>
      <c r="CF96" s="5"/>
      <c r="CH96" s="5"/>
      <c r="CI96" s="5"/>
      <c r="CJ96" s="5"/>
      <c r="CK96" s="5"/>
      <c r="CL96" s="5"/>
      <c r="CM96" s="5"/>
    </row>
    <row r="97" spans="1:107" x14ac:dyDescent="0.25">
      <c r="A97" t="s">
        <v>448</v>
      </c>
      <c r="C97" t="s">
        <v>3326</v>
      </c>
      <c r="AC97">
        <v>2</v>
      </c>
      <c r="AD97">
        <v>1</v>
      </c>
      <c r="AO97" t="s">
        <v>3417</v>
      </c>
      <c r="AT97" t="s">
        <v>3409</v>
      </c>
      <c r="AX97" t="s">
        <v>3432</v>
      </c>
      <c r="AZ97">
        <v>1</v>
      </c>
      <c r="BD97">
        <v>1</v>
      </c>
      <c r="CB97" t="s">
        <v>3524</v>
      </c>
      <c r="CG97" t="s">
        <v>3410</v>
      </c>
      <c r="CH97" t="s">
        <v>3525</v>
      </c>
      <c r="CI97" t="s">
        <v>3412</v>
      </c>
      <c r="CN97" s="9" t="s">
        <v>3526</v>
      </c>
      <c r="CO97">
        <v>-0.23</v>
      </c>
      <c r="CR97">
        <v>1</v>
      </c>
      <c r="CX97" t="s">
        <v>3527</v>
      </c>
      <c r="CY97" t="s">
        <v>3528</v>
      </c>
    </row>
    <row r="98" spans="1:107" x14ac:dyDescent="0.25">
      <c r="A98" t="s">
        <v>3529</v>
      </c>
      <c r="C98" t="s">
        <v>3326</v>
      </c>
      <c r="D98" t="s">
        <v>3530</v>
      </c>
      <c r="E98" t="s">
        <v>3531</v>
      </c>
      <c r="F98" t="s">
        <v>3532</v>
      </c>
      <c r="G98">
        <v>3</v>
      </c>
      <c r="J98" t="s">
        <v>3342</v>
      </c>
      <c r="K98" s="5" t="s">
        <v>3343</v>
      </c>
      <c r="AC98">
        <v>1</v>
      </c>
      <c r="AY98" s="5"/>
      <c r="BD98">
        <v>1</v>
      </c>
      <c r="BT98">
        <v>25</v>
      </c>
      <c r="BV98" s="8">
        <v>0</v>
      </c>
      <c r="BW98" s="8">
        <v>25</v>
      </c>
      <c r="BX98" s="8">
        <v>1</v>
      </c>
      <c r="BY98" s="8" t="s">
        <v>3344</v>
      </c>
      <c r="CB98" s="5"/>
      <c r="CC98" s="5"/>
      <c r="CD98" s="5"/>
      <c r="CE98" s="5"/>
      <c r="CF98" s="5"/>
      <c r="CH98" s="5"/>
      <c r="CI98" s="5"/>
      <c r="CJ98" s="5"/>
      <c r="CK98" s="5"/>
      <c r="CL98" s="5"/>
      <c r="CM98" s="5"/>
      <c r="CN98" s="9" t="s">
        <v>3533</v>
      </c>
      <c r="CO98" t="s">
        <v>3534</v>
      </c>
      <c r="CP98">
        <v>-0.75</v>
      </c>
      <c r="CR98">
        <v>25</v>
      </c>
    </row>
    <row r="99" spans="1:107" x14ac:dyDescent="0.25">
      <c r="AY99" s="5"/>
      <c r="CB99" s="5"/>
      <c r="CC99" s="5"/>
      <c r="CD99" s="5"/>
      <c r="CE99" s="5"/>
      <c r="CF99" s="5"/>
      <c r="CH99" s="5"/>
      <c r="CI99" s="5"/>
      <c r="CJ99" s="5"/>
      <c r="CK99" s="5"/>
      <c r="CL99" s="5"/>
      <c r="CM99" s="5"/>
    </row>
    <row r="100" spans="1:107" x14ac:dyDescent="0.25">
      <c r="A100" t="s">
        <v>3535</v>
      </c>
      <c r="C100" t="s">
        <v>3326</v>
      </c>
      <c r="J100" t="s">
        <v>3445</v>
      </c>
      <c r="K100" s="5" t="s">
        <v>3314</v>
      </c>
      <c r="L100" s="5" t="s">
        <v>3513</v>
      </c>
      <c r="AC100">
        <v>1</v>
      </c>
      <c r="AG100" t="s">
        <v>3316</v>
      </c>
      <c r="AH100">
        <v>1</v>
      </c>
      <c r="AY100" s="5"/>
      <c r="BD100">
        <v>1</v>
      </c>
      <c r="BP100" s="7" t="s">
        <v>3536</v>
      </c>
      <c r="BV100"/>
      <c r="BW100"/>
      <c r="BX100"/>
      <c r="BY100"/>
      <c r="BZ100"/>
      <c r="CA100"/>
      <c r="CB100" s="5"/>
      <c r="CC100" s="5"/>
      <c r="CD100" s="5"/>
      <c r="CE100" s="5"/>
      <c r="CF100" s="5"/>
      <c r="CH100" s="5"/>
      <c r="CI100" s="5"/>
      <c r="CJ100" s="5"/>
      <c r="CK100" s="5"/>
      <c r="CL100" s="5"/>
      <c r="CM100" s="5"/>
    </row>
    <row r="101" spans="1:107" x14ac:dyDescent="0.25">
      <c r="A101" t="s">
        <v>3537</v>
      </c>
      <c r="C101" t="s">
        <v>3326</v>
      </c>
      <c r="J101" t="s">
        <v>3445</v>
      </c>
      <c r="K101" s="5" t="s">
        <v>3314</v>
      </c>
      <c r="AC101">
        <v>1</v>
      </c>
      <c r="AG101" t="s">
        <v>3316</v>
      </c>
      <c r="AH101">
        <v>1</v>
      </c>
      <c r="AY101" s="5"/>
      <c r="BD101">
        <v>1</v>
      </c>
      <c r="BV101"/>
      <c r="BW101"/>
      <c r="BX101"/>
      <c r="BY101"/>
      <c r="BZ101"/>
      <c r="CA101"/>
      <c r="CB101" s="5"/>
      <c r="CC101" s="5"/>
      <c r="CD101" s="5"/>
      <c r="CE101" s="5"/>
      <c r="CF101" s="5"/>
      <c r="CH101" s="5"/>
      <c r="CI101" s="5"/>
      <c r="CJ101" s="5"/>
      <c r="CK101" s="5"/>
      <c r="CL101" s="5"/>
      <c r="CM101" s="5"/>
      <c r="CN101" s="9" t="s">
        <v>3538</v>
      </c>
      <c r="CO101">
        <v>0.15</v>
      </c>
      <c r="CR101">
        <v>99999</v>
      </c>
    </row>
    <row r="102" spans="1:107" x14ac:dyDescent="0.25">
      <c r="A102" t="s">
        <v>3539</v>
      </c>
      <c r="C102" t="s">
        <v>3326</v>
      </c>
      <c r="J102" t="s">
        <v>3445</v>
      </c>
      <c r="K102" s="5" t="s">
        <v>3314</v>
      </c>
      <c r="AC102">
        <v>1</v>
      </c>
      <c r="AG102" t="s">
        <v>3316</v>
      </c>
      <c r="AH102">
        <v>1</v>
      </c>
      <c r="AY102" s="5"/>
      <c r="BD102">
        <v>1</v>
      </c>
      <c r="BV102"/>
      <c r="BW102"/>
      <c r="BX102"/>
      <c r="BY102"/>
      <c r="BZ102"/>
      <c r="CA102"/>
      <c r="CB102" s="5"/>
      <c r="CC102" s="5"/>
      <c r="CD102" s="5"/>
      <c r="CE102" s="5"/>
      <c r="CF102" s="5"/>
      <c r="CH102" s="5"/>
      <c r="CI102" s="5"/>
      <c r="CJ102" s="5"/>
      <c r="CK102" s="5"/>
      <c r="CL102" s="5"/>
      <c r="CM102" s="5"/>
      <c r="CN102" s="9" t="s">
        <v>3540</v>
      </c>
      <c r="CO102">
        <v>0.15</v>
      </c>
      <c r="CR102">
        <v>99999</v>
      </c>
    </row>
    <row r="103" spans="1:107" x14ac:dyDescent="0.25">
      <c r="A103" t="s">
        <v>3541</v>
      </c>
      <c r="C103" t="s">
        <v>3326</v>
      </c>
      <c r="J103" t="s">
        <v>3445</v>
      </c>
      <c r="K103" s="5" t="s">
        <v>3314</v>
      </c>
      <c r="AC103">
        <v>1</v>
      </c>
      <c r="AG103" t="s">
        <v>3316</v>
      </c>
      <c r="AH103">
        <v>1</v>
      </c>
      <c r="AY103" s="5"/>
      <c r="BD103">
        <v>1</v>
      </c>
      <c r="BV103"/>
      <c r="BW103"/>
      <c r="BX103"/>
      <c r="BY103"/>
      <c r="BZ103"/>
      <c r="CA103"/>
      <c r="CB103" s="5"/>
      <c r="CC103" s="5"/>
      <c r="CD103" s="5"/>
      <c r="CE103" s="5"/>
      <c r="CF103" s="5"/>
      <c r="CH103" s="5"/>
      <c r="CI103" s="5"/>
      <c r="CJ103" s="5"/>
      <c r="CK103" s="5"/>
      <c r="CL103" s="5"/>
      <c r="CM103" s="5"/>
      <c r="CN103" s="9" t="s">
        <v>3542</v>
      </c>
      <c r="CO103">
        <v>0.22</v>
      </c>
      <c r="CR103">
        <v>99999</v>
      </c>
    </row>
    <row r="104" spans="1:107" x14ac:dyDescent="0.25">
      <c r="A104" t="s">
        <v>3543</v>
      </c>
      <c r="C104" t="s">
        <v>3326</v>
      </c>
      <c r="AC104">
        <v>2</v>
      </c>
      <c r="AD104">
        <v>1</v>
      </c>
      <c r="AO104" t="s">
        <v>3417</v>
      </c>
      <c r="AT104" t="s">
        <v>3431</v>
      </c>
      <c r="AX104" t="s">
        <v>3432</v>
      </c>
      <c r="AZ104">
        <v>1</v>
      </c>
      <c r="BD104">
        <v>1</v>
      </c>
      <c r="BJ104">
        <v>1.1000000000000001</v>
      </c>
      <c r="BK104">
        <v>1</v>
      </c>
      <c r="BL104">
        <v>1</v>
      </c>
      <c r="CB104" t="s">
        <v>136</v>
      </c>
      <c r="CG104" t="s">
        <v>3410</v>
      </c>
      <c r="CW104" t="s">
        <v>3544</v>
      </c>
      <c r="CY104" t="s">
        <v>3545</v>
      </c>
    </row>
    <row r="105" spans="1:107" x14ac:dyDescent="0.25">
      <c r="A105" t="s">
        <v>3546</v>
      </c>
      <c r="C105" t="s">
        <v>3326</v>
      </c>
      <c r="D105" t="s">
        <v>3547</v>
      </c>
      <c r="E105" t="s">
        <v>3548</v>
      </c>
      <c r="F105" t="s">
        <v>3549</v>
      </c>
      <c r="G105">
        <v>3</v>
      </c>
      <c r="J105" t="s">
        <v>3445</v>
      </c>
      <c r="K105" s="5" t="s">
        <v>3343</v>
      </c>
      <c r="AC105">
        <v>2</v>
      </c>
      <c r="AD105">
        <v>1</v>
      </c>
      <c r="AO105" t="s">
        <v>3417</v>
      </c>
      <c r="AT105" t="s">
        <v>3500</v>
      </c>
      <c r="AX105" t="s">
        <v>3432</v>
      </c>
      <c r="AZ105">
        <v>1</v>
      </c>
      <c r="BD105">
        <v>99</v>
      </c>
      <c r="BP105" s="7" t="s">
        <v>3550</v>
      </c>
      <c r="BT105">
        <v>30</v>
      </c>
      <c r="BV105" s="8">
        <v>50</v>
      </c>
      <c r="BW105" s="8">
        <v>85</v>
      </c>
      <c r="BX105" s="8">
        <v>1</v>
      </c>
      <c r="BY105" s="8" t="s">
        <v>3344</v>
      </c>
      <c r="CB105" t="s">
        <v>136</v>
      </c>
      <c r="CG105" t="s">
        <v>3410</v>
      </c>
      <c r="CW105" t="s">
        <v>3551</v>
      </c>
      <c r="CY105" t="s">
        <v>3552</v>
      </c>
      <c r="DC105" t="s">
        <v>3553</v>
      </c>
    </row>
    <row r="106" spans="1:107" x14ac:dyDescent="0.25">
      <c r="A106" t="s">
        <v>3554</v>
      </c>
      <c r="C106" t="s">
        <v>3326</v>
      </c>
      <c r="K106" s="5" t="s">
        <v>3314</v>
      </c>
      <c r="L106" s="5" t="s">
        <v>3452</v>
      </c>
      <c r="AC106">
        <v>1</v>
      </c>
      <c r="AY106" s="5"/>
      <c r="BD106">
        <v>1</v>
      </c>
      <c r="BV106"/>
      <c r="BW106"/>
      <c r="BX106"/>
      <c r="BY106"/>
      <c r="BZ106"/>
      <c r="CA106"/>
      <c r="CB106" s="5"/>
      <c r="CC106" s="5"/>
      <c r="CD106" s="5"/>
      <c r="CE106" s="5"/>
      <c r="CF106" s="5"/>
      <c r="CH106" s="5"/>
      <c r="CI106" s="5"/>
      <c r="CJ106" s="5"/>
      <c r="CK106" s="5"/>
      <c r="CL106" s="5"/>
      <c r="CM106" s="5"/>
      <c r="CN106" s="9" t="s">
        <v>3555</v>
      </c>
      <c r="CO106" s="5">
        <v>1</v>
      </c>
      <c r="CP106" s="5"/>
      <c r="CQ106" s="5"/>
      <c r="CR106" s="5">
        <v>30</v>
      </c>
      <c r="CS106" s="5"/>
      <c r="CT106" s="5"/>
      <c r="CU106" s="5"/>
      <c r="CV106" s="5"/>
      <c r="CW106" s="5"/>
      <c r="CX106" s="5"/>
      <c r="CY106" s="5"/>
      <c r="CZ106" s="5"/>
      <c r="DA106" s="5"/>
      <c r="DB106" s="5"/>
      <c r="DC106" s="5"/>
    </row>
    <row r="107" spans="1:107" x14ac:dyDescent="0.25">
      <c r="A107" t="s">
        <v>3556</v>
      </c>
      <c r="C107" t="s">
        <v>3326</v>
      </c>
      <c r="K107" s="5" t="s">
        <v>3314</v>
      </c>
      <c r="L107" s="5" t="s">
        <v>3557</v>
      </c>
      <c r="AC107">
        <v>1</v>
      </c>
      <c r="AY107" s="5"/>
      <c r="CB107" s="5"/>
      <c r="CC107" s="5"/>
      <c r="CD107" s="5"/>
      <c r="CE107" s="5"/>
      <c r="CF107" s="5"/>
      <c r="CH107" s="5"/>
      <c r="CI107" s="5"/>
      <c r="CJ107" s="5"/>
      <c r="CK107" s="5"/>
      <c r="CL107" s="5"/>
      <c r="CM107" s="5"/>
      <c r="CN107" s="9" t="s">
        <v>3454</v>
      </c>
      <c r="CR107">
        <v>10</v>
      </c>
    </row>
    <row r="108" spans="1:107" x14ac:dyDescent="0.25">
      <c r="AY108" s="5"/>
      <c r="CB108" s="5"/>
      <c r="CC108" s="5"/>
      <c r="CD108" s="5"/>
      <c r="CE108" s="5"/>
      <c r="CF108" s="5"/>
      <c r="CH108" s="5"/>
      <c r="CI108" s="5"/>
      <c r="CJ108" s="5"/>
      <c r="CK108" s="5"/>
      <c r="CL108" s="5"/>
      <c r="CM108" s="5"/>
    </row>
    <row r="109" spans="1:107" x14ac:dyDescent="0.25">
      <c r="A109" t="s">
        <v>458</v>
      </c>
      <c r="C109" t="s">
        <v>3326</v>
      </c>
      <c r="AC109">
        <v>2</v>
      </c>
      <c r="AD109">
        <v>1</v>
      </c>
      <c r="AO109" t="s">
        <v>3417</v>
      </c>
      <c r="AP109" t="s">
        <v>3425</v>
      </c>
      <c r="AT109" t="s">
        <v>3500</v>
      </c>
      <c r="AX109" t="s">
        <v>3419</v>
      </c>
      <c r="AZ109">
        <v>1</v>
      </c>
      <c r="BD109">
        <v>1</v>
      </c>
      <c r="CB109" t="s">
        <v>136</v>
      </c>
      <c r="CG109" t="s">
        <v>3410</v>
      </c>
      <c r="CX109" t="s">
        <v>3558</v>
      </c>
      <c r="CY109" t="s">
        <v>3559</v>
      </c>
    </row>
    <row r="110" spans="1:107" x14ac:dyDescent="0.25">
      <c r="A110" t="s">
        <v>3560</v>
      </c>
      <c r="C110" t="s">
        <v>3326</v>
      </c>
      <c r="D110" t="s">
        <v>3561</v>
      </c>
      <c r="E110" t="s">
        <v>3562</v>
      </c>
      <c r="F110" t="s">
        <v>3563</v>
      </c>
      <c r="G110">
        <v>3</v>
      </c>
      <c r="J110" t="s">
        <v>3342</v>
      </c>
      <c r="K110" s="5" t="s">
        <v>3344</v>
      </c>
      <c r="AC110">
        <v>2</v>
      </c>
      <c r="AD110">
        <v>1</v>
      </c>
      <c r="AO110" t="s">
        <v>3417</v>
      </c>
      <c r="AP110" t="s">
        <v>3425</v>
      </c>
      <c r="AT110" t="s">
        <v>3500</v>
      </c>
      <c r="AX110" t="s">
        <v>3419</v>
      </c>
      <c r="AZ110">
        <v>2.2999999999999998</v>
      </c>
      <c r="BD110">
        <v>1</v>
      </c>
      <c r="BT110">
        <v>0.2</v>
      </c>
      <c r="BV110" s="8">
        <v>0</v>
      </c>
      <c r="BW110" s="8">
        <v>3</v>
      </c>
      <c r="BX110" s="8">
        <v>1</v>
      </c>
      <c r="BY110" s="8" t="s">
        <v>3497</v>
      </c>
      <c r="CB110" t="s">
        <v>136</v>
      </c>
      <c r="CG110" t="s">
        <v>3410</v>
      </c>
      <c r="CX110" t="s">
        <v>3564</v>
      </c>
      <c r="CY110" t="s">
        <v>3565</v>
      </c>
    </row>
    <row r="111" spans="1:107" x14ac:dyDescent="0.25">
      <c r="A111" t="s">
        <v>3566</v>
      </c>
      <c r="C111" t="s">
        <v>3326</v>
      </c>
      <c r="D111" t="s">
        <v>3567</v>
      </c>
      <c r="E111" t="s">
        <v>3568</v>
      </c>
      <c r="F111" t="s">
        <v>3569</v>
      </c>
      <c r="G111">
        <v>3</v>
      </c>
      <c r="J111" t="s">
        <v>3342</v>
      </c>
      <c r="K111" s="5" t="s">
        <v>3343</v>
      </c>
      <c r="AC111">
        <v>1</v>
      </c>
      <c r="AY111" s="5"/>
      <c r="BD111">
        <v>1</v>
      </c>
      <c r="BT111">
        <v>25</v>
      </c>
      <c r="BV111" s="8">
        <v>20</v>
      </c>
      <c r="BW111" s="8">
        <v>40</v>
      </c>
      <c r="BX111" s="8">
        <v>1</v>
      </c>
      <c r="BY111" s="8" t="s">
        <v>3344</v>
      </c>
      <c r="CB111" s="5"/>
      <c r="CC111" s="5"/>
      <c r="CD111" s="5"/>
      <c r="CE111" s="5"/>
      <c r="CF111" s="5"/>
      <c r="CH111" s="5"/>
      <c r="CI111" s="5"/>
      <c r="CJ111" s="5"/>
      <c r="CK111" s="5"/>
      <c r="CL111" s="5"/>
      <c r="CM111" s="5"/>
      <c r="CN111" s="9" t="s">
        <v>3570</v>
      </c>
      <c r="CO111">
        <v>0.8</v>
      </c>
      <c r="CR111">
        <v>25</v>
      </c>
    </row>
    <row r="112" spans="1:107" x14ac:dyDescent="0.25">
      <c r="AY112" s="5"/>
      <c r="CB112" s="5"/>
      <c r="CC112" s="5"/>
      <c r="CD112" s="5"/>
      <c r="CE112" s="5"/>
      <c r="CF112" s="5"/>
      <c r="CH112" s="5"/>
      <c r="CI112" s="5"/>
      <c r="CJ112" s="5"/>
      <c r="CK112" s="5"/>
      <c r="CL112" s="5"/>
      <c r="CM112" s="5"/>
    </row>
    <row r="113" spans="1:103" x14ac:dyDescent="0.25">
      <c r="A113" t="s">
        <v>463</v>
      </c>
      <c r="C113" t="s">
        <v>3326</v>
      </c>
      <c r="AC113">
        <v>2</v>
      </c>
      <c r="AD113">
        <v>1</v>
      </c>
      <c r="AO113" t="s">
        <v>3417</v>
      </c>
      <c r="AP113" t="s">
        <v>3425</v>
      </c>
      <c r="AT113" t="s">
        <v>3500</v>
      </c>
      <c r="AX113" t="s">
        <v>3419</v>
      </c>
      <c r="AZ113">
        <v>1</v>
      </c>
      <c r="BD113">
        <v>1</v>
      </c>
      <c r="CB113" t="s">
        <v>136</v>
      </c>
      <c r="CG113" t="s">
        <v>3410</v>
      </c>
      <c r="CH113" t="s">
        <v>3426</v>
      </c>
      <c r="CI113" t="s">
        <v>3412</v>
      </c>
      <c r="CJ113" t="s">
        <v>3571</v>
      </c>
      <c r="CY113" t="s">
        <v>3429</v>
      </c>
    </row>
    <row r="114" spans="1:103" x14ac:dyDescent="0.25">
      <c r="A114" t="s">
        <v>3572</v>
      </c>
      <c r="C114" t="s">
        <v>3326</v>
      </c>
      <c r="D114" t="s">
        <v>3573</v>
      </c>
      <c r="E114" t="s">
        <v>3574</v>
      </c>
      <c r="F114" t="s">
        <v>3575</v>
      </c>
      <c r="G114">
        <v>3</v>
      </c>
      <c r="J114" t="s">
        <v>3342</v>
      </c>
      <c r="K114" s="5" t="s">
        <v>3344</v>
      </c>
      <c r="AC114">
        <v>2</v>
      </c>
      <c r="AD114">
        <v>1</v>
      </c>
      <c r="AO114" t="s">
        <v>3417</v>
      </c>
      <c r="AP114" t="s">
        <v>3425</v>
      </c>
      <c r="AT114" t="s">
        <v>3500</v>
      </c>
      <c r="AX114" t="s">
        <v>3419</v>
      </c>
      <c r="AZ114">
        <v>1.8</v>
      </c>
      <c r="BD114">
        <v>1</v>
      </c>
      <c r="BT114">
        <v>0.2</v>
      </c>
      <c r="BV114" s="8">
        <v>0</v>
      </c>
      <c r="BW114" s="8">
        <v>4</v>
      </c>
      <c r="BX114" s="8">
        <v>1</v>
      </c>
      <c r="BY114" s="8" t="s">
        <v>3497</v>
      </c>
      <c r="CB114" t="s">
        <v>136</v>
      </c>
      <c r="CG114" t="s">
        <v>3410</v>
      </c>
      <c r="CH114" t="s">
        <v>3576</v>
      </c>
      <c r="CI114" t="s">
        <v>3412</v>
      </c>
      <c r="CJ114" t="s">
        <v>3571</v>
      </c>
      <c r="CN114" s="9" t="s">
        <v>3577</v>
      </c>
      <c r="CO114">
        <v>-0.35</v>
      </c>
      <c r="CR114">
        <v>5</v>
      </c>
      <c r="CY114" t="s">
        <v>3578</v>
      </c>
    </row>
    <row r="115" spans="1:103" x14ac:dyDescent="0.25">
      <c r="A115" t="s">
        <v>3579</v>
      </c>
      <c r="C115" t="s">
        <v>3326</v>
      </c>
      <c r="D115" t="s">
        <v>3580</v>
      </c>
      <c r="E115" t="s">
        <v>3581</v>
      </c>
      <c r="F115" t="s">
        <v>3582</v>
      </c>
      <c r="G115">
        <v>3</v>
      </c>
      <c r="J115" t="s">
        <v>3342</v>
      </c>
      <c r="K115" s="5" t="s">
        <v>3343</v>
      </c>
      <c r="AC115">
        <v>2</v>
      </c>
      <c r="AD115">
        <v>1</v>
      </c>
      <c r="AO115" t="s">
        <v>3417</v>
      </c>
      <c r="AP115" t="s">
        <v>3425</v>
      </c>
      <c r="AT115" t="s">
        <v>3500</v>
      </c>
      <c r="AX115" t="s">
        <v>3419</v>
      </c>
      <c r="AZ115">
        <v>2</v>
      </c>
      <c r="BD115">
        <v>5</v>
      </c>
      <c r="BT115">
        <v>0.2</v>
      </c>
      <c r="BV115" s="8">
        <v>0</v>
      </c>
      <c r="BW115" s="8">
        <v>15</v>
      </c>
      <c r="BX115" s="8">
        <v>1</v>
      </c>
      <c r="BY115" s="8" t="s">
        <v>3344</v>
      </c>
      <c r="CB115" t="s">
        <v>136</v>
      </c>
      <c r="CG115" t="s">
        <v>3410</v>
      </c>
      <c r="CH115" t="s">
        <v>3583</v>
      </c>
      <c r="CI115" t="s">
        <v>3412</v>
      </c>
      <c r="CJ115" t="s">
        <v>3571</v>
      </c>
      <c r="CN115" s="9" t="s">
        <v>3577</v>
      </c>
      <c r="CO115">
        <v>-0.4</v>
      </c>
      <c r="CR115">
        <v>5</v>
      </c>
      <c r="CY115" t="s">
        <v>3578</v>
      </c>
    </row>
    <row r="117" spans="1:103" x14ac:dyDescent="0.25">
      <c r="A117" t="s">
        <v>3584</v>
      </c>
      <c r="C117" t="s">
        <v>3326</v>
      </c>
      <c r="K117" s="5" t="s">
        <v>3314</v>
      </c>
      <c r="L117" s="5" t="s">
        <v>3330</v>
      </c>
      <c r="AC117">
        <v>1</v>
      </c>
      <c r="AG117" t="s">
        <v>3316</v>
      </c>
      <c r="AH117">
        <v>1</v>
      </c>
      <c r="AY117" s="5"/>
      <c r="BD117">
        <v>1</v>
      </c>
      <c r="BV117"/>
      <c r="BW117"/>
      <c r="BX117"/>
      <c r="BY117"/>
      <c r="BZ117"/>
      <c r="CA117"/>
      <c r="CB117" s="5"/>
      <c r="CC117" s="5"/>
      <c r="CD117" s="5"/>
      <c r="CE117" s="5"/>
      <c r="CF117" s="5"/>
      <c r="CH117" s="5"/>
      <c r="CI117" s="5"/>
      <c r="CJ117" s="5"/>
      <c r="CK117" s="5"/>
      <c r="CL117" s="5"/>
      <c r="CM117" s="5"/>
      <c r="CN117" s="9" t="s">
        <v>3584</v>
      </c>
      <c r="CO117" t="s">
        <v>3585</v>
      </c>
      <c r="CR117">
        <v>99999</v>
      </c>
    </row>
    <row r="118" spans="1:103" x14ac:dyDescent="0.25">
      <c r="A118" t="s">
        <v>3586</v>
      </c>
      <c r="C118" t="s">
        <v>3326</v>
      </c>
      <c r="AC118">
        <v>2</v>
      </c>
      <c r="AD118">
        <v>1</v>
      </c>
      <c r="AO118" t="s">
        <v>3417</v>
      </c>
      <c r="AT118" t="s">
        <v>3587</v>
      </c>
      <c r="AX118" t="s">
        <v>3419</v>
      </c>
      <c r="AZ118">
        <v>1</v>
      </c>
      <c r="BD118">
        <v>1</v>
      </c>
      <c r="BJ118">
        <v>1</v>
      </c>
      <c r="BK118">
        <v>1</v>
      </c>
      <c r="BL118">
        <v>1</v>
      </c>
      <c r="CB118" t="s">
        <v>136</v>
      </c>
      <c r="CG118" t="s">
        <v>3410</v>
      </c>
      <c r="CH118" t="s">
        <v>3588</v>
      </c>
      <c r="CI118" t="s">
        <v>3412</v>
      </c>
      <c r="CY118" t="s">
        <v>3589</v>
      </c>
    </row>
    <row r="119" spans="1:103" x14ac:dyDescent="0.25">
      <c r="A119" t="s">
        <v>3590</v>
      </c>
      <c r="C119" t="s">
        <v>3326</v>
      </c>
      <c r="D119" t="s">
        <v>3591</v>
      </c>
      <c r="E119" t="s">
        <v>3592</v>
      </c>
      <c r="F119" t="s">
        <v>3593</v>
      </c>
      <c r="G119">
        <v>3</v>
      </c>
      <c r="J119" t="s">
        <v>3445</v>
      </c>
      <c r="K119" s="5" t="s">
        <v>3343</v>
      </c>
      <c r="AC119">
        <v>2</v>
      </c>
      <c r="AD119">
        <v>1</v>
      </c>
      <c r="AO119" t="s">
        <v>3417</v>
      </c>
      <c r="AT119" t="s">
        <v>3594</v>
      </c>
      <c r="AX119" t="s">
        <v>3419</v>
      </c>
      <c r="AZ119">
        <v>1</v>
      </c>
      <c r="BD119">
        <v>1</v>
      </c>
      <c r="BJ119">
        <v>1</v>
      </c>
      <c r="BK119">
        <v>1</v>
      </c>
      <c r="BL119">
        <v>1</v>
      </c>
      <c r="BT119">
        <v>25</v>
      </c>
      <c r="BV119" s="8">
        <v>10</v>
      </c>
      <c r="BW119" s="8">
        <v>15</v>
      </c>
      <c r="BX119" s="8">
        <v>1</v>
      </c>
      <c r="BY119" s="8" t="s">
        <v>3344</v>
      </c>
      <c r="CB119" t="s">
        <v>136</v>
      </c>
      <c r="CG119" t="s">
        <v>3410</v>
      </c>
      <c r="CH119" t="s">
        <v>3588</v>
      </c>
      <c r="CI119" t="s">
        <v>3412</v>
      </c>
      <c r="CY119" t="s">
        <v>3589</v>
      </c>
    </row>
    <row r="120" spans="1:103" x14ac:dyDescent="0.25">
      <c r="A120" t="s">
        <v>3595</v>
      </c>
      <c r="C120" t="s">
        <v>3326</v>
      </c>
      <c r="D120" t="s">
        <v>3596</v>
      </c>
      <c r="E120" t="s">
        <v>3597</v>
      </c>
      <c r="F120" t="s">
        <v>3598</v>
      </c>
      <c r="G120">
        <v>3</v>
      </c>
      <c r="J120" t="s">
        <v>3445</v>
      </c>
      <c r="K120" s="5" t="s">
        <v>3343</v>
      </c>
      <c r="AB120">
        <v>1</v>
      </c>
      <c r="AC120">
        <v>2</v>
      </c>
      <c r="AD120">
        <v>1</v>
      </c>
      <c r="AO120" t="s">
        <v>3417</v>
      </c>
      <c r="AT120" t="s">
        <v>3587</v>
      </c>
      <c r="AX120" t="s">
        <v>3432</v>
      </c>
      <c r="AZ120">
        <v>0.8</v>
      </c>
      <c r="BD120">
        <v>1</v>
      </c>
      <c r="BJ120">
        <v>1</v>
      </c>
      <c r="BK120">
        <v>1</v>
      </c>
      <c r="BL120">
        <v>1</v>
      </c>
      <c r="BT120">
        <v>25</v>
      </c>
      <c r="BV120" s="8">
        <v>0</v>
      </c>
      <c r="BW120" s="8">
        <v>25</v>
      </c>
      <c r="BX120" s="8">
        <v>1</v>
      </c>
      <c r="BY120" s="8" t="s">
        <v>3344</v>
      </c>
      <c r="CB120" t="s">
        <v>136</v>
      </c>
      <c r="CG120" t="s">
        <v>3410</v>
      </c>
      <c r="CH120" t="s">
        <v>3599</v>
      </c>
      <c r="CI120" t="s">
        <v>3412</v>
      </c>
      <c r="CN120" s="9" t="s">
        <v>3600</v>
      </c>
      <c r="CO120">
        <v>-0.35</v>
      </c>
      <c r="CR120">
        <v>1</v>
      </c>
    </row>
    <row r="122" spans="1:103" x14ac:dyDescent="0.25">
      <c r="A122" t="s">
        <v>3601</v>
      </c>
      <c r="C122" t="s">
        <v>3416</v>
      </c>
      <c r="AC122">
        <v>2</v>
      </c>
      <c r="AO122" t="s">
        <v>3417</v>
      </c>
      <c r="AT122" t="s">
        <v>3602</v>
      </c>
      <c r="AX122" t="s">
        <v>3419</v>
      </c>
      <c r="AZ122">
        <v>1</v>
      </c>
      <c r="BD122">
        <v>1</v>
      </c>
      <c r="CB122" t="s">
        <v>136</v>
      </c>
      <c r="CD122" t="s">
        <v>3603</v>
      </c>
      <c r="CG122" t="s">
        <v>3410</v>
      </c>
      <c r="CJ122" t="s">
        <v>3604</v>
      </c>
      <c r="CY122" t="s">
        <v>3605</v>
      </c>
    </row>
    <row r="123" spans="1:103" x14ac:dyDescent="0.25">
      <c r="A123" t="s">
        <v>3606</v>
      </c>
      <c r="C123" t="s">
        <v>3326</v>
      </c>
      <c r="K123" t="s">
        <v>3344</v>
      </c>
      <c r="L123"/>
      <c r="M123"/>
      <c r="N123"/>
      <c r="O123"/>
      <c r="P123"/>
      <c r="Q123"/>
      <c r="R123"/>
      <c r="S123"/>
      <c r="T123"/>
      <c r="U123"/>
      <c r="V123"/>
      <c r="W123"/>
      <c r="X123"/>
      <c r="AC123">
        <v>1</v>
      </c>
      <c r="AK123">
        <v>3</v>
      </c>
      <c r="AV123">
        <v>99</v>
      </c>
      <c r="BD123">
        <v>99</v>
      </c>
      <c r="BV123"/>
      <c r="BW123"/>
      <c r="BX123"/>
      <c r="BY123"/>
      <c r="BZ123"/>
      <c r="CA123"/>
      <c r="CN123" s="9" t="s">
        <v>3538</v>
      </c>
      <c r="CO123">
        <v>0.11</v>
      </c>
      <c r="CR123">
        <v>0.1</v>
      </c>
    </row>
    <row r="124" spans="1:103" x14ac:dyDescent="0.25">
      <c r="A124" t="s">
        <v>3607</v>
      </c>
      <c r="C124" t="s">
        <v>3326</v>
      </c>
      <c r="D124" t="s">
        <v>3561</v>
      </c>
      <c r="E124" t="s">
        <v>3562</v>
      </c>
      <c r="F124" t="s">
        <v>3563</v>
      </c>
      <c r="G124">
        <v>3</v>
      </c>
      <c r="J124" t="s">
        <v>3342</v>
      </c>
      <c r="K124" s="5" t="s">
        <v>3344</v>
      </c>
      <c r="AC124">
        <v>2</v>
      </c>
      <c r="AD124">
        <v>1</v>
      </c>
      <c r="AO124" t="s">
        <v>3417</v>
      </c>
      <c r="AT124" t="s">
        <v>3602</v>
      </c>
      <c r="AX124" t="s">
        <v>3419</v>
      </c>
      <c r="AZ124">
        <v>2.2999999999999998</v>
      </c>
      <c r="BD124">
        <v>1</v>
      </c>
      <c r="BT124">
        <v>0.2</v>
      </c>
      <c r="BV124" s="8">
        <v>0</v>
      </c>
      <c r="BW124" s="8">
        <v>3</v>
      </c>
      <c r="BX124" s="8">
        <v>1</v>
      </c>
      <c r="BY124" s="8" t="s">
        <v>3497</v>
      </c>
      <c r="CB124" t="s">
        <v>136</v>
      </c>
      <c r="CD124" t="s">
        <v>3603</v>
      </c>
      <c r="CG124" t="s">
        <v>3410</v>
      </c>
      <c r="CJ124" t="s">
        <v>3604</v>
      </c>
      <c r="CY124" t="s">
        <v>3608</v>
      </c>
    </row>
    <row r="125" spans="1:103" x14ac:dyDescent="0.25">
      <c r="A125" t="s">
        <v>3609</v>
      </c>
      <c r="C125" t="s">
        <v>3326</v>
      </c>
      <c r="D125" t="s">
        <v>3610</v>
      </c>
      <c r="E125" t="s">
        <v>3611</v>
      </c>
      <c r="F125" t="s">
        <v>3612</v>
      </c>
      <c r="G125">
        <v>3</v>
      </c>
      <c r="J125" t="s">
        <v>3342</v>
      </c>
      <c r="K125" s="5" t="s">
        <v>3343</v>
      </c>
      <c r="AC125">
        <v>1</v>
      </c>
      <c r="AY125" s="5"/>
      <c r="BD125">
        <v>1</v>
      </c>
      <c r="BO125" s="7" t="s">
        <v>3613</v>
      </c>
      <c r="BT125">
        <v>25</v>
      </c>
      <c r="BV125" s="8">
        <v>40</v>
      </c>
      <c r="BW125" s="8">
        <v>70</v>
      </c>
      <c r="BX125" s="8">
        <v>1</v>
      </c>
      <c r="BY125" s="8" t="s">
        <v>3344</v>
      </c>
      <c r="CB125" s="5"/>
      <c r="CC125" s="5"/>
      <c r="CD125" s="5"/>
      <c r="CE125" s="5"/>
      <c r="CF125" s="5"/>
      <c r="CH125" s="5"/>
      <c r="CI125" s="5"/>
      <c r="CJ125" s="5"/>
      <c r="CK125" s="5"/>
      <c r="CL125" s="5"/>
      <c r="CM125" s="5"/>
      <c r="CN125" s="9" t="s">
        <v>3345</v>
      </c>
      <c r="CO125">
        <v>0.8</v>
      </c>
      <c r="CR125">
        <v>25</v>
      </c>
    </row>
    <row r="126" spans="1:103" x14ac:dyDescent="0.25">
      <c r="A126" t="s">
        <v>3613</v>
      </c>
      <c r="C126" t="s">
        <v>3326</v>
      </c>
      <c r="J126" t="s">
        <v>3445</v>
      </c>
      <c r="K126" t="s">
        <v>3344</v>
      </c>
      <c r="L126"/>
      <c r="M126"/>
      <c r="N126"/>
      <c r="O126"/>
      <c r="P126"/>
      <c r="Q126"/>
      <c r="R126"/>
      <c r="S126"/>
      <c r="T126"/>
      <c r="U126"/>
      <c r="V126"/>
      <c r="W126"/>
      <c r="X126"/>
      <c r="AC126">
        <v>1</v>
      </c>
      <c r="AK126">
        <v>3</v>
      </c>
      <c r="AV126">
        <v>99</v>
      </c>
      <c r="BD126">
        <v>99</v>
      </c>
      <c r="BV126"/>
      <c r="BW126"/>
      <c r="BX126"/>
      <c r="BY126"/>
      <c r="BZ126"/>
      <c r="CA126"/>
      <c r="CN126" s="9" t="s">
        <v>3538</v>
      </c>
      <c r="CO126">
        <v>0.22</v>
      </c>
      <c r="CR126">
        <v>0.1</v>
      </c>
    </row>
    <row r="127" spans="1:103" x14ac:dyDescent="0.25">
      <c r="K127"/>
      <c r="L127"/>
      <c r="M127"/>
      <c r="N127"/>
      <c r="O127"/>
      <c r="P127"/>
      <c r="Q127"/>
      <c r="R127"/>
      <c r="S127"/>
      <c r="T127"/>
      <c r="U127"/>
      <c r="V127"/>
      <c r="W127"/>
      <c r="X127"/>
      <c r="BV127"/>
      <c r="BW127"/>
      <c r="BX127"/>
      <c r="BY127"/>
      <c r="BZ127"/>
      <c r="CA127"/>
    </row>
    <row r="128" spans="1:103" x14ac:dyDescent="0.25">
      <c r="A128" t="s">
        <v>3614</v>
      </c>
      <c r="C128" t="s">
        <v>3416</v>
      </c>
      <c r="AC128">
        <v>2</v>
      </c>
      <c r="AO128" t="s">
        <v>3417</v>
      </c>
      <c r="AT128" t="s">
        <v>3418</v>
      </c>
      <c r="AX128" t="s">
        <v>3419</v>
      </c>
      <c r="AZ128">
        <v>1</v>
      </c>
      <c r="BD128">
        <v>1</v>
      </c>
      <c r="CB128" t="s">
        <v>136</v>
      </c>
      <c r="CG128" t="s">
        <v>3410</v>
      </c>
      <c r="CW128" t="s">
        <v>3615</v>
      </c>
      <c r="CY128" t="s">
        <v>3616</v>
      </c>
    </row>
    <row r="129" spans="1:108" x14ac:dyDescent="0.25">
      <c r="A129" t="s">
        <v>3617</v>
      </c>
      <c r="C129" t="s">
        <v>3326</v>
      </c>
      <c r="K129" s="5" t="s">
        <v>3314</v>
      </c>
      <c r="L129" s="5" t="s">
        <v>3327</v>
      </c>
      <c r="AC129">
        <v>1</v>
      </c>
      <c r="AF129">
        <v>1</v>
      </c>
      <c r="AG129" t="s">
        <v>3316</v>
      </c>
      <c r="AH129">
        <v>1</v>
      </c>
      <c r="AY129" s="5"/>
      <c r="BD129">
        <v>1</v>
      </c>
      <c r="BV129"/>
      <c r="BW129"/>
      <c r="BX129"/>
      <c r="BY129"/>
      <c r="BZ129"/>
      <c r="CA129"/>
      <c r="CB129" s="5"/>
      <c r="CC129" s="5"/>
      <c r="CD129" s="5"/>
      <c r="CE129" s="5"/>
      <c r="CF129" s="5"/>
      <c r="CH129" s="5"/>
      <c r="CI129" s="5"/>
      <c r="CJ129" s="5"/>
      <c r="CK129" s="5"/>
      <c r="CL129" s="5"/>
      <c r="CM129" s="5"/>
      <c r="CN129" s="9" t="s">
        <v>3617</v>
      </c>
      <c r="CO129" t="s">
        <v>3618</v>
      </c>
      <c r="CR129">
        <v>99999</v>
      </c>
      <c r="DD129">
        <v>1</v>
      </c>
    </row>
    <row r="130" spans="1:108" x14ac:dyDescent="0.25">
      <c r="A130" t="s">
        <v>3619</v>
      </c>
      <c r="C130" t="s">
        <v>3326</v>
      </c>
      <c r="D130" t="s">
        <v>3620</v>
      </c>
      <c r="E130" t="s">
        <v>3621</v>
      </c>
      <c r="F130" t="s">
        <v>3622</v>
      </c>
      <c r="G130">
        <v>3</v>
      </c>
      <c r="J130" t="s">
        <v>3342</v>
      </c>
      <c r="K130" s="5" t="s">
        <v>3343</v>
      </c>
      <c r="AC130">
        <v>1</v>
      </c>
      <c r="AY130" s="5"/>
      <c r="BD130">
        <v>1</v>
      </c>
      <c r="BT130">
        <v>15</v>
      </c>
      <c r="BV130" s="8">
        <v>10</v>
      </c>
      <c r="BW130" s="8">
        <v>25</v>
      </c>
      <c r="BX130" s="8">
        <v>1</v>
      </c>
      <c r="BY130" s="8" t="s">
        <v>3344</v>
      </c>
      <c r="CB130" s="5"/>
      <c r="CC130" s="5"/>
      <c r="CD130" s="5"/>
      <c r="CE130" s="5"/>
      <c r="CF130" s="5"/>
      <c r="CH130" s="5"/>
      <c r="CI130" s="5"/>
      <c r="CJ130" s="5"/>
      <c r="CK130" s="5"/>
      <c r="CL130" s="5"/>
      <c r="CM130" s="5"/>
      <c r="CN130" s="9" t="s">
        <v>3623</v>
      </c>
      <c r="CO130" t="s">
        <v>3624</v>
      </c>
      <c r="CR130">
        <v>15</v>
      </c>
    </row>
    <row r="131" spans="1:108" x14ac:dyDescent="0.25">
      <c r="AY131" s="5"/>
      <c r="CB131" s="5"/>
      <c r="CC131" s="5"/>
      <c r="CD131" s="5"/>
      <c r="CE131" s="5"/>
      <c r="CF131" s="5"/>
      <c r="CH131" s="5"/>
      <c r="CI131" s="5"/>
      <c r="CJ131" s="5"/>
      <c r="CK131" s="5"/>
      <c r="CL131" s="5"/>
      <c r="CM131" s="5"/>
    </row>
    <row r="132" spans="1:108" x14ac:dyDescent="0.25">
      <c r="A132" t="s">
        <v>3625</v>
      </c>
      <c r="C132" t="s">
        <v>3416</v>
      </c>
      <c r="AC132">
        <v>2</v>
      </c>
      <c r="AO132" t="s">
        <v>3417</v>
      </c>
      <c r="AT132" t="s">
        <v>3418</v>
      </c>
      <c r="AX132" t="s">
        <v>3432</v>
      </c>
      <c r="AZ132">
        <v>1</v>
      </c>
      <c r="BD132">
        <v>1</v>
      </c>
      <c r="CB132" t="s">
        <v>136</v>
      </c>
      <c r="CG132" t="s">
        <v>3410</v>
      </c>
      <c r="CW132" t="s">
        <v>3626</v>
      </c>
      <c r="CY132" t="s">
        <v>3627</v>
      </c>
    </row>
    <row r="133" spans="1:108" x14ac:dyDescent="0.25">
      <c r="A133" t="s">
        <v>3628</v>
      </c>
      <c r="C133" t="s">
        <v>3416</v>
      </c>
      <c r="AA133">
        <v>0.23</v>
      </c>
      <c r="AC133">
        <v>2</v>
      </c>
      <c r="AO133" t="s">
        <v>3417</v>
      </c>
      <c r="AT133" t="s">
        <v>3418</v>
      </c>
      <c r="AX133" t="s">
        <v>3432</v>
      </c>
      <c r="AZ133">
        <v>1</v>
      </c>
      <c r="BD133">
        <v>1</v>
      </c>
      <c r="BE133">
        <v>1</v>
      </c>
      <c r="BF133">
        <v>0.3</v>
      </c>
      <c r="CB133" t="s">
        <v>3629</v>
      </c>
      <c r="CG133" t="s">
        <v>3410</v>
      </c>
      <c r="CW133" t="s">
        <v>3626</v>
      </c>
      <c r="CY133" t="s">
        <v>3627</v>
      </c>
    </row>
    <row r="134" spans="1:108" x14ac:dyDescent="0.25">
      <c r="A134" t="s">
        <v>3630</v>
      </c>
      <c r="C134" t="s">
        <v>3416</v>
      </c>
      <c r="D134" t="s">
        <v>3631</v>
      </c>
      <c r="E134" t="s">
        <v>3632</v>
      </c>
      <c r="F134" t="s">
        <v>3633</v>
      </c>
      <c r="G134">
        <v>3</v>
      </c>
      <c r="J134" t="s">
        <v>3342</v>
      </c>
      <c r="K134" s="5" t="s">
        <v>3344</v>
      </c>
      <c r="AC134">
        <v>2</v>
      </c>
      <c r="AD134">
        <v>1</v>
      </c>
      <c r="AO134" t="s">
        <v>3417</v>
      </c>
      <c r="AT134" t="s">
        <v>3418</v>
      </c>
      <c r="AX134" t="s">
        <v>3432</v>
      </c>
      <c r="AZ134">
        <v>1.75</v>
      </c>
      <c r="BD134">
        <v>1</v>
      </c>
      <c r="BT134">
        <v>0.2</v>
      </c>
      <c r="BV134" s="8">
        <v>0</v>
      </c>
      <c r="BW134" s="8">
        <v>4</v>
      </c>
      <c r="BX134" s="8">
        <v>1</v>
      </c>
      <c r="BY134" s="8" t="s">
        <v>3497</v>
      </c>
      <c r="CB134" t="s">
        <v>136</v>
      </c>
      <c r="CG134" t="s">
        <v>3410</v>
      </c>
      <c r="CN134" s="9" t="s">
        <v>3538</v>
      </c>
      <c r="CO134">
        <v>-0.4</v>
      </c>
      <c r="CR134">
        <v>5</v>
      </c>
      <c r="CW134" t="s">
        <v>3626</v>
      </c>
      <c r="CY134" t="s">
        <v>3627</v>
      </c>
    </row>
    <row r="135" spans="1:108" x14ac:dyDescent="0.25">
      <c r="A135" t="s">
        <v>3634</v>
      </c>
      <c r="C135" t="s">
        <v>3416</v>
      </c>
      <c r="J135" t="s">
        <v>3445</v>
      </c>
      <c r="K135" s="5" t="s">
        <v>3344</v>
      </c>
      <c r="AC135">
        <v>2</v>
      </c>
      <c r="AO135" t="s">
        <v>3417</v>
      </c>
      <c r="AT135" t="s">
        <v>3418</v>
      </c>
      <c r="AX135" t="s">
        <v>3432</v>
      </c>
      <c r="AZ135">
        <v>1</v>
      </c>
      <c r="BD135">
        <v>1</v>
      </c>
      <c r="CB135" t="s">
        <v>136</v>
      </c>
      <c r="CG135" t="s">
        <v>3410</v>
      </c>
      <c r="CW135" t="s">
        <v>3635</v>
      </c>
      <c r="CY135" t="s">
        <v>3636</v>
      </c>
    </row>
    <row r="136" spans="1:108" x14ac:dyDescent="0.25">
      <c r="A136" t="s">
        <v>3637</v>
      </c>
      <c r="C136" t="s">
        <v>3326</v>
      </c>
      <c r="D136" t="s">
        <v>3638</v>
      </c>
      <c r="E136" t="s">
        <v>3639</v>
      </c>
      <c r="F136" t="s">
        <v>3640</v>
      </c>
      <c r="G136">
        <v>3</v>
      </c>
      <c r="J136" t="s">
        <v>3342</v>
      </c>
      <c r="K136" s="5" t="s">
        <v>3343</v>
      </c>
      <c r="AC136">
        <v>1</v>
      </c>
      <c r="AY136" s="5"/>
      <c r="BD136">
        <v>1</v>
      </c>
      <c r="BO136" s="7" t="s">
        <v>3634</v>
      </c>
      <c r="BT136">
        <v>40</v>
      </c>
      <c r="BV136" s="8">
        <v>40</v>
      </c>
      <c r="BW136" s="8">
        <v>80</v>
      </c>
      <c r="BX136" s="8">
        <v>1</v>
      </c>
      <c r="BY136" s="8" t="s">
        <v>3344</v>
      </c>
      <c r="CB136" s="5"/>
      <c r="CC136" s="5"/>
      <c r="CD136" s="5"/>
      <c r="CE136" s="5"/>
      <c r="CF136" s="5"/>
      <c r="CH136" s="5"/>
      <c r="CI136" s="5"/>
      <c r="CJ136" s="5"/>
      <c r="CK136" s="5"/>
      <c r="CL136" s="5"/>
      <c r="CM136" s="5"/>
      <c r="CN136" s="9" t="s">
        <v>3641</v>
      </c>
      <c r="CO136" t="s">
        <v>3642</v>
      </c>
      <c r="CR136">
        <v>40</v>
      </c>
    </row>
    <row r="137" spans="1:108" x14ac:dyDescent="0.25">
      <c r="AY137" s="5"/>
      <c r="CB137" s="5"/>
      <c r="CC137" s="5"/>
      <c r="CD137" s="5"/>
      <c r="CE137" s="5"/>
      <c r="CF137" s="5"/>
      <c r="CH137" s="5"/>
      <c r="CI137" s="5"/>
      <c r="CJ137" s="5"/>
      <c r="CK137" s="5"/>
      <c r="CL137" s="5"/>
      <c r="CM137" s="5"/>
    </row>
    <row r="138" spans="1:108" x14ac:dyDescent="0.25">
      <c r="A138" t="s">
        <v>3643</v>
      </c>
      <c r="C138" t="s">
        <v>3416</v>
      </c>
      <c r="K138" s="5" t="s">
        <v>3344</v>
      </c>
      <c r="AC138">
        <v>2</v>
      </c>
      <c r="AO138" t="s">
        <v>3417</v>
      </c>
      <c r="AX138" t="s">
        <v>3419</v>
      </c>
      <c r="AZ138">
        <v>1</v>
      </c>
      <c r="BD138">
        <v>1</v>
      </c>
      <c r="CB138" t="s">
        <v>3459</v>
      </c>
      <c r="CD138" t="s">
        <v>3644</v>
      </c>
      <c r="CG138" t="s">
        <v>3410</v>
      </c>
    </row>
    <row r="139" spans="1:108" x14ac:dyDescent="0.25">
      <c r="A139" t="s">
        <v>3645</v>
      </c>
      <c r="C139" t="s">
        <v>3326</v>
      </c>
      <c r="K139" s="5" t="s">
        <v>3344</v>
      </c>
      <c r="P139"/>
      <c r="Q139"/>
      <c r="R139"/>
      <c r="S139"/>
      <c r="T139"/>
      <c r="Z139">
        <v>1</v>
      </c>
      <c r="AC139">
        <v>2</v>
      </c>
      <c r="AD139">
        <v>1</v>
      </c>
      <c r="AO139" t="s">
        <v>3417</v>
      </c>
      <c r="AT139" t="s">
        <v>3646</v>
      </c>
      <c r="AX139" t="s">
        <v>3419</v>
      </c>
      <c r="AZ139">
        <v>0.8</v>
      </c>
      <c r="BD139">
        <v>1</v>
      </c>
      <c r="CB139" t="s">
        <v>136</v>
      </c>
      <c r="CG139" t="s">
        <v>3410</v>
      </c>
      <c r="CH139" t="s">
        <v>3647</v>
      </c>
      <c r="CI139" t="s">
        <v>3412</v>
      </c>
      <c r="CW139" t="s">
        <v>3648</v>
      </c>
      <c r="CY139" t="s">
        <v>3649</v>
      </c>
    </row>
    <row r="140" spans="1:108" x14ac:dyDescent="0.25">
      <c r="A140" t="s">
        <v>3650</v>
      </c>
      <c r="C140" t="s">
        <v>3326</v>
      </c>
      <c r="D140" t="s">
        <v>3651</v>
      </c>
      <c r="E140" t="s">
        <v>3652</v>
      </c>
      <c r="F140" t="s">
        <v>3653</v>
      </c>
      <c r="G140">
        <v>3</v>
      </c>
      <c r="J140" t="s">
        <v>3342</v>
      </c>
      <c r="K140" s="5" t="s">
        <v>3344</v>
      </c>
      <c r="AC140">
        <v>2</v>
      </c>
      <c r="AD140">
        <v>1</v>
      </c>
      <c r="AO140" t="s">
        <v>3417</v>
      </c>
      <c r="AT140" t="s">
        <v>3646</v>
      </c>
      <c r="AX140" t="s">
        <v>3419</v>
      </c>
      <c r="AZ140">
        <v>1.5</v>
      </c>
      <c r="BD140">
        <v>1</v>
      </c>
      <c r="BT140">
        <v>0.2</v>
      </c>
      <c r="BV140" s="8">
        <v>0</v>
      </c>
      <c r="BW140" s="8">
        <v>3</v>
      </c>
      <c r="BX140" s="8">
        <v>1</v>
      </c>
      <c r="BY140" s="8" t="s">
        <v>3497</v>
      </c>
      <c r="CB140" t="s">
        <v>136</v>
      </c>
      <c r="CG140" t="s">
        <v>3410</v>
      </c>
      <c r="CH140" t="s">
        <v>3654</v>
      </c>
      <c r="CI140" t="s">
        <v>3412</v>
      </c>
      <c r="CN140" s="9" t="s">
        <v>3655</v>
      </c>
      <c r="CO140">
        <v>-0.5</v>
      </c>
      <c r="CR140">
        <v>3</v>
      </c>
      <c r="CW140" t="s">
        <v>3656</v>
      </c>
      <c r="CY140" t="s">
        <v>3657</v>
      </c>
    </row>
    <row r="141" spans="1:108" x14ac:dyDescent="0.25">
      <c r="A141" t="s">
        <v>3658</v>
      </c>
      <c r="C141" t="s">
        <v>3416</v>
      </c>
      <c r="K141" s="5" t="s">
        <v>3344</v>
      </c>
      <c r="AC141">
        <v>2</v>
      </c>
      <c r="AO141" t="s">
        <v>3417</v>
      </c>
      <c r="AX141" t="s">
        <v>3419</v>
      </c>
      <c r="AZ141">
        <v>1</v>
      </c>
      <c r="BD141">
        <v>1</v>
      </c>
      <c r="CB141" t="s">
        <v>3459</v>
      </c>
      <c r="CD141" t="s">
        <v>3644</v>
      </c>
      <c r="CG141" t="s">
        <v>3410</v>
      </c>
      <c r="CN141" s="9" t="s">
        <v>3659</v>
      </c>
      <c r="CO141" s="2" t="s">
        <v>3660</v>
      </c>
      <c r="CP141">
        <v>0.4</v>
      </c>
      <c r="CR141">
        <v>3</v>
      </c>
    </row>
    <row r="142" spans="1:108" x14ac:dyDescent="0.25">
      <c r="A142" t="s">
        <v>3661</v>
      </c>
      <c r="C142" t="s">
        <v>3326</v>
      </c>
      <c r="D142" t="s">
        <v>3662</v>
      </c>
      <c r="E142" t="s">
        <v>3663</v>
      </c>
      <c r="F142" t="s">
        <v>3664</v>
      </c>
      <c r="G142">
        <v>3</v>
      </c>
      <c r="J142" t="s">
        <v>3445</v>
      </c>
      <c r="K142" s="5" t="s">
        <v>3343</v>
      </c>
      <c r="P142"/>
      <c r="Q142"/>
      <c r="R142"/>
      <c r="S142"/>
      <c r="T142"/>
      <c r="Z142">
        <v>1</v>
      </c>
      <c r="AC142">
        <v>2</v>
      </c>
      <c r="AD142">
        <v>1</v>
      </c>
      <c r="AO142" t="s">
        <v>3417</v>
      </c>
      <c r="AT142" t="s">
        <v>3646</v>
      </c>
      <c r="AX142" t="s">
        <v>3419</v>
      </c>
      <c r="AZ142">
        <v>0.8</v>
      </c>
      <c r="BD142">
        <v>1</v>
      </c>
      <c r="BO142" s="7" t="s">
        <v>3665</v>
      </c>
      <c r="BT142">
        <v>25</v>
      </c>
      <c r="BV142" s="8">
        <v>0</v>
      </c>
      <c r="BW142" s="8">
        <v>50</v>
      </c>
      <c r="BX142" s="8">
        <v>1</v>
      </c>
      <c r="BY142" s="8" t="s">
        <v>3497</v>
      </c>
      <c r="CB142" t="s">
        <v>136</v>
      </c>
      <c r="CG142" t="s">
        <v>3410</v>
      </c>
      <c r="CH142" t="s">
        <v>3654</v>
      </c>
      <c r="CI142" t="s">
        <v>3412</v>
      </c>
      <c r="CN142" s="9" t="s">
        <v>3659</v>
      </c>
      <c r="CO142" s="2" t="s">
        <v>3660</v>
      </c>
      <c r="CP142">
        <v>0.4</v>
      </c>
      <c r="CR142">
        <v>2</v>
      </c>
      <c r="CW142" t="s">
        <v>3648</v>
      </c>
      <c r="CY142" t="s">
        <v>3649</v>
      </c>
    </row>
    <row r="143" spans="1:108" x14ac:dyDescent="0.25">
      <c r="A143" t="s">
        <v>3666</v>
      </c>
      <c r="C143" t="s">
        <v>3326</v>
      </c>
      <c r="K143" s="5" t="s">
        <v>3314</v>
      </c>
      <c r="L143" s="5" t="s">
        <v>3452</v>
      </c>
      <c r="AC143">
        <v>1</v>
      </c>
      <c r="AY143" s="5"/>
      <c r="BD143">
        <v>1</v>
      </c>
      <c r="CB143" s="5"/>
      <c r="CC143" s="5"/>
      <c r="CD143" s="5"/>
      <c r="CE143" s="5"/>
      <c r="CF143" s="5"/>
      <c r="CH143" s="5"/>
      <c r="CI143" s="5"/>
      <c r="CJ143" s="5"/>
      <c r="CK143" s="5"/>
      <c r="CL143" s="5"/>
      <c r="CM143" s="5"/>
      <c r="CN143" s="9" t="s">
        <v>3345</v>
      </c>
      <c r="CO143">
        <v>0.5</v>
      </c>
      <c r="CR143">
        <v>25</v>
      </c>
    </row>
    <row r="144" spans="1:108" x14ac:dyDescent="0.25">
      <c r="AY144" s="5"/>
      <c r="CB144" s="5"/>
      <c r="CC144" s="5"/>
      <c r="CD144" s="5"/>
      <c r="CE144" s="5"/>
      <c r="CF144" s="5"/>
      <c r="CH144" s="5"/>
      <c r="CI144" s="5"/>
      <c r="CJ144" s="5"/>
      <c r="CK144" s="5"/>
      <c r="CL144" s="5"/>
      <c r="CM144" s="5"/>
    </row>
    <row r="145" spans="1:108" x14ac:dyDescent="0.25">
      <c r="A145" t="s">
        <v>3667</v>
      </c>
      <c r="C145" t="s">
        <v>3456</v>
      </c>
      <c r="AC145">
        <v>2</v>
      </c>
      <c r="AO145" t="s">
        <v>3417</v>
      </c>
      <c r="AT145" t="s">
        <v>3418</v>
      </c>
      <c r="AX145" t="s">
        <v>3419</v>
      </c>
      <c r="AZ145">
        <v>1</v>
      </c>
      <c r="BD145">
        <v>1</v>
      </c>
      <c r="CB145" t="s">
        <v>136</v>
      </c>
      <c r="CG145" t="s">
        <v>3410</v>
      </c>
      <c r="CY145" t="s">
        <v>3668</v>
      </c>
    </row>
    <row r="146" spans="1:108" x14ac:dyDescent="0.25">
      <c r="A146" t="s">
        <v>3669</v>
      </c>
      <c r="C146" t="s">
        <v>3670</v>
      </c>
      <c r="K146" s="5" t="s">
        <v>3314</v>
      </c>
      <c r="L146" s="5" t="s">
        <v>3671</v>
      </c>
      <c r="AC146">
        <v>2</v>
      </c>
      <c r="AH146">
        <v>1</v>
      </c>
      <c r="AT146" t="s">
        <v>3446</v>
      </c>
      <c r="AY146" s="5"/>
      <c r="BD146">
        <v>99</v>
      </c>
      <c r="BP146" s="7" t="s">
        <v>3672</v>
      </c>
      <c r="CB146" s="5"/>
      <c r="CC146" s="5"/>
      <c r="CD146" s="5"/>
      <c r="CE146" s="5"/>
      <c r="CF146" s="5"/>
      <c r="CH146" s="5"/>
      <c r="CI146" s="5"/>
      <c r="CJ146" s="5"/>
      <c r="CK146" s="5"/>
      <c r="CL146" s="5"/>
      <c r="CM146" s="5"/>
    </row>
    <row r="147" spans="1:108" x14ac:dyDescent="0.25">
      <c r="A147" t="s">
        <v>3672</v>
      </c>
      <c r="C147" t="s">
        <v>3326</v>
      </c>
      <c r="K147" s="5" t="s">
        <v>3314</v>
      </c>
      <c r="AC147">
        <v>1</v>
      </c>
      <c r="AG147" t="s">
        <v>3316</v>
      </c>
      <c r="AT147" t="s">
        <v>3441</v>
      </c>
      <c r="AY147" s="5">
        <v>1</v>
      </c>
      <c r="AZ147">
        <v>0.16</v>
      </c>
      <c r="BB147">
        <v>1</v>
      </c>
      <c r="BD147">
        <v>1</v>
      </c>
      <c r="CB147" s="5"/>
      <c r="CC147" s="5"/>
      <c r="CD147" s="5"/>
      <c r="CE147" s="5"/>
      <c r="CF147" s="5"/>
      <c r="CH147" s="5"/>
      <c r="CI147" s="5"/>
      <c r="CJ147" s="5"/>
      <c r="CK147" s="5"/>
      <c r="CL147" s="5"/>
      <c r="CM147" s="5"/>
    </row>
    <row r="148" spans="1:108" x14ac:dyDescent="0.25">
      <c r="A148" t="s">
        <v>3673</v>
      </c>
      <c r="C148" t="s">
        <v>3326</v>
      </c>
      <c r="D148" t="s">
        <v>3674</v>
      </c>
      <c r="E148" t="s">
        <v>3675</v>
      </c>
      <c r="F148" t="s">
        <v>3676</v>
      </c>
      <c r="G148">
        <v>3</v>
      </c>
      <c r="J148" t="s">
        <v>3342</v>
      </c>
      <c r="K148" s="5" t="s">
        <v>3343</v>
      </c>
      <c r="AC148">
        <v>1</v>
      </c>
      <c r="AY148" s="5"/>
      <c r="BD148">
        <v>1</v>
      </c>
      <c r="BT148">
        <v>15</v>
      </c>
      <c r="BV148" s="8">
        <v>10</v>
      </c>
      <c r="BW148" s="8">
        <v>20</v>
      </c>
      <c r="BX148" s="8">
        <v>1</v>
      </c>
      <c r="BY148" s="8" t="s">
        <v>3677</v>
      </c>
      <c r="CB148" s="5"/>
      <c r="CC148" s="5"/>
      <c r="CD148" s="5"/>
      <c r="CE148" s="5"/>
      <c r="CF148" s="5"/>
      <c r="CH148" s="5"/>
      <c r="CI148" s="5"/>
      <c r="CJ148" s="5"/>
      <c r="CK148" s="5"/>
      <c r="CL148" s="5"/>
      <c r="CM148" s="5"/>
      <c r="CN148" s="9" t="s">
        <v>3678</v>
      </c>
      <c r="CO148">
        <v>1.5</v>
      </c>
      <c r="CR148">
        <v>15</v>
      </c>
    </row>
    <row r="149" spans="1:108" x14ac:dyDescent="0.25">
      <c r="AY149" s="5"/>
      <c r="CB149" s="5"/>
      <c r="CC149" s="5"/>
      <c r="CD149" s="5"/>
      <c r="CE149" s="5"/>
      <c r="CF149" s="5"/>
      <c r="CH149" s="5"/>
      <c r="CI149" s="5"/>
      <c r="CJ149" s="5"/>
      <c r="CK149" s="5"/>
      <c r="CL149" s="5"/>
      <c r="CM149" s="5"/>
    </row>
    <row r="150" spans="1:108" x14ac:dyDescent="0.25">
      <c r="A150" t="s">
        <v>3679</v>
      </c>
      <c r="C150" t="s">
        <v>3416</v>
      </c>
      <c r="AC150">
        <v>2</v>
      </c>
      <c r="AO150" t="s">
        <v>3417</v>
      </c>
      <c r="AT150" t="s">
        <v>3418</v>
      </c>
      <c r="AX150" t="s">
        <v>3419</v>
      </c>
      <c r="AZ150">
        <v>1</v>
      </c>
      <c r="BD150">
        <v>1</v>
      </c>
      <c r="CB150" t="s">
        <v>136</v>
      </c>
      <c r="CG150" t="s">
        <v>3410</v>
      </c>
      <c r="CX150" t="s">
        <v>3680</v>
      </c>
      <c r="CY150" t="s">
        <v>3681</v>
      </c>
    </row>
    <row r="151" spans="1:108" x14ac:dyDescent="0.25">
      <c r="A151" t="s">
        <v>3682</v>
      </c>
      <c r="C151" t="s">
        <v>3326</v>
      </c>
      <c r="K151" t="s">
        <v>3344</v>
      </c>
      <c r="L151"/>
      <c r="M151"/>
      <c r="N151"/>
      <c r="O151"/>
      <c r="P151"/>
      <c r="Q151"/>
      <c r="R151"/>
      <c r="S151"/>
      <c r="T151"/>
      <c r="U151"/>
      <c r="V151"/>
      <c r="W151"/>
      <c r="X151"/>
      <c r="AC151">
        <v>1</v>
      </c>
      <c r="AM151">
        <v>10</v>
      </c>
      <c r="AV151">
        <v>99</v>
      </c>
      <c r="BD151">
        <v>99</v>
      </c>
      <c r="BV151"/>
      <c r="BW151"/>
      <c r="BX151"/>
      <c r="BY151"/>
      <c r="BZ151"/>
      <c r="CA151"/>
      <c r="CN151" s="9" t="s">
        <v>3683</v>
      </c>
      <c r="CO151">
        <v>0.08</v>
      </c>
      <c r="CR151">
        <v>0.1</v>
      </c>
    </row>
    <row r="152" spans="1:108" x14ac:dyDescent="0.25">
      <c r="A152" t="s">
        <v>3684</v>
      </c>
      <c r="C152" t="s">
        <v>3326</v>
      </c>
      <c r="D152" t="s">
        <v>3685</v>
      </c>
      <c r="E152" t="s">
        <v>3686</v>
      </c>
      <c r="F152" t="s">
        <v>3687</v>
      </c>
      <c r="G152">
        <v>3</v>
      </c>
      <c r="K152" s="5" t="s">
        <v>3314</v>
      </c>
      <c r="L152" s="5" t="s">
        <v>3327</v>
      </c>
      <c r="AC152">
        <v>1</v>
      </c>
      <c r="AF152">
        <v>1</v>
      </c>
      <c r="AG152" t="s">
        <v>3316</v>
      </c>
      <c r="AH152">
        <v>1</v>
      </c>
      <c r="AY152" s="5"/>
      <c r="BD152">
        <v>1</v>
      </c>
      <c r="BT152">
        <v>12</v>
      </c>
      <c r="BV152"/>
      <c r="BW152"/>
      <c r="BX152"/>
      <c r="BY152"/>
      <c r="BZ152"/>
      <c r="CA152"/>
      <c r="CB152" s="5"/>
      <c r="CC152" s="5"/>
      <c r="CD152" s="5"/>
      <c r="CE152" s="5"/>
      <c r="CF152" s="5"/>
      <c r="CH152" s="5"/>
      <c r="CI152" s="5"/>
      <c r="CJ152" s="5"/>
      <c r="CK152" s="5"/>
      <c r="CL152" s="5"/>
      <c r="CM152" s="5"/>
      <c r="CN152" s="9" t="s">
        <v>3688</v>
      </c>
      <c r="CO152">
        <v>4</v>
      </c>
      <c r="CR152">
        <v>12</v>
      </c>
      <c r="DD152">
        <v>1</v>
      </c>
    </row>
    <row r="153" spans="1:108" x14ac:dyDescent="0.25">
      <c r="A153" t="s">
        <v>3689</v>
      </c>
      <c r="C153" t="s">
        <v>3326</v>
      </c>
      <c r="D153" t="s">
        <v>3690</v>
      </c>
      <c r="E153" t="s">
        <v>3691</v>
      </c>
      <c r="F153" t="s">
        <v>3692</v>
      </c>
      <c r="G153">
        <v>3</v>
      </c>
      <c r="K153" s="5" t="s">
        <v>3314</v>
      </c>
      <c r="L153" s="5" t="s">
        <v>3327</v>
      </c>
      <c r="AC153">
        <v>1</v>
      </c>
      <c r="AF153">
        <v>1</v>
      </c>
      <c r="AG153" t="s">
        <v>3316</v>
      </c>
      <c r="AH153">
        <v>1</v>
      </c>
      <c r="AY153" s="5"/>
      <c r="BD153">
        <v>1</v>
      </c>
      <c r="BT153">
        <v>10</v>
      </c>
      <c r="BV153"/>
      <c r="BW153"/>
      <c r="BX153"/>
      <c r="BY153"/>
      <c r="BZ153"/>
      <c r="CA153"/>
      <c r="CB153" s="5"/>
      <c r="CC153" s="5"/>
      <c r="CD153" s="5"/>
      <c r="CE153" s="5"/>
      <c r="CF153" s="5"/>
      <c r="CH153" s="5"/>
      <c r="CI153" s="5"/>
      <c r="CJ153" s="5"/>
      <c r="CK153" s="5"/>
      <c r="CL153" s="5"/>
      <c r="CM153" s="5"/>
      <c r="CN153" s="9" t="s">
        <v>3693</v>
      </c>
      <c r="CO153">
        <v>2.5</v>
      </c>
      <c r="CR153">
        <v>10</v>
      </c>
      <c r="DD153">
        <v>1</v>
      </c>
    </row>
    <row r="154" spans="1:108" x14ac:dyDescent="0.25">
      <c r="AY154" s="5"/>
      <c r="CB154" s="5"/>
      <c r="CC154" s="5"/>
      <c r="CD154" s="5"/>
      <c r="CE154" s="5"/>
      <c r="CF154" s="5"/>
      <c r="CH154" s="5"/>
      <c r="CI154" s="5"/>
      <c r="CJ154" s="5"/>
      <c r="CK154" s="5"/>
      <c r="CL154" s="5"/>
      <c r="CM154" s="5"/>
    </row>
    <row r="155" spans="1:108" x14ac:dyDescent="0.25">
      <c r="A155" t="s">
        <v>3694</v>
      </c>
      <c r="C155" t="s">
        <v>3416</v>
      </c>
      <c r="AC155">
        <v>2</v>
      </c>
      <c r="AD155">
        <v>1</v>
      </c>
      <c r="AO155" t="s">
        <v>3417</v>
      </c>
      <c r="AT155" t="s">
        <v>3695</v>
      </c>
      <c r="AX155" t="s">
        <v>3419</v>
      </c>
      <c r="AZ155">
        <v>1</v>
      </c>
      <c r="BD155">
        <v>1</v>
      </c>
      <c r="CB155" t="s">
        <v>136</v>
      </c>
      <c r="CG155" t="s">
        <v>3410</v>
      </c>
      <c r="CH155" t="s">
        <v>3696</v>
      </c>
      <c r="CI155" t="s">
        <v>3412</v>
      </c>
      <c r="CY155" t="s">
        <v>3697</v>
      </c>
    </row>
    <row r="156" spans="1:108" x14ac:dyDescent="0.25">
      <c r="A156" t="s">
        <v>3698</v>
      </c>
      <c r="C156" t="s">
        <v>3326</v>
      </c>
      <c r="K156" s="5" t="s">
        <v>3314</v>
      </c>
      <c r="L156" s="5" t="s">
        <v>3330</v>
      </c>
      <c r="AC156">
        <v>1</v>
      </c>
      <c r="AG156" t="s">
        <v>3316</v>
      </c>
      <c r="AH156">
        <v>1</v>
      </c>
      <c r="AW156" s="14"/>
      <c r="AY156" s="5"/>
      <c r="BD156">
        <v>1</v>
      </c>
      <c r="BV156"/>
      <c r="BW156"/>
      <c r="BX156"/>
      <c r="BY156"/>
      <c r="BZ156"/>
      <c r="CA156"/>
      <c r="CB156" s="5"/>
      <c r="CC156" s="5"/>
      <c r="CD156" s="5"/>
      <c r="CE156" s="5"/>
      <c r="CF156" s="5"/>
      <c r="CI156" s="5"/>
      <c r="CJ156" s="5"/>
      <c r="CK156" s="5"/>
      <c r="CL156" s="5"/>
      <c r="CM156" s="5"/>
      <c r="CN156" s="9" t="s">
        <v>3699</v>
      </c>
      <c r="CO156">
        <v>0.38</v>
      </c>
      <c r="CR156">
        <v>99999</v>
      </c>
    </row>
    <row r="157" spans="1:108" x14ac:dyDescent="0.25">
      <c r="A157" t="s">
        <v>3700</v>
      </c>
      <c r="C157" t="s">
        <v>3701</v>
      </c>
      <c r="D157" t="s">
        <v>3702</v>
      </c>
      <c r="E157" t="s">
        <v>3703</v>
      </c>
      <c r="F157" t="s">
        <v>3704</v>
      </c>
      <c r="G157">
        <v>3</v>
      </c>
      <c r="J157" t="s">
        <v>3342</v>
      </c>
      <c r="K157" s="5" t="s">
        <v>3344</v>
      </c>
      <c r="AC157">
        <v>2</v>
      </c>
      <c r="AD157">
        <v>1</v>
      </c>
      <c r="AO157" t="s">
        <v>3705</v>
      </c>
      <c r="AT157" t="s">
        <v>3695</v>
      </c>
      <c r="AX157" t="s">
        <v>3419</v>
      </c>
      <c r="AZ157">
        <v>1.9</v>
      </c>
      <c r="BD157">
        <v>1</v>
      </c>
      <c r="BM157">
        <v>2</v>
      </c>
      <c r="BT157">
        <v>0.2</v>
      </c>
      <c r="BV157" s="8">
        <v>0</v>
      </c>
      <c r="BW157" s="8">
        <v>5</v>
      </c>
      <c r="BX157" s="8">
        <v>1</v>
      </c>
      <c r="BY157" s="8" t="s">
        <v>3344</v>
      </c>
      <c r="CB157" t="s">
        <v>516</v>
      </c>
      <c r="CG157" t="s">
        <v>3410</v>
      </c>
      <c r="CH157" t="s">
        <v>3706</v>
      </c>
      <c r="CI157" t="s">
        <v>3412</v>
      </c>
      <c r="CU157" t="s">
        <v>3707</v>
      </c>
    </row>
    <row r="158" spans="1:108" x14ac:dyDescent="0.25">
      <c r="A158" t="s">
        <v>3708</v>
      </c>
      <c r="C158" t="s">
        <v>3701</v>
      </c>
      <c r="D158" t="s">
        <v>3709</v>
      </c>
      <c r="E158" t="s">
        <v>3710</v>
      </c>
      <c r="F158" t="s">
        <v>3711</v>
      </c>
      <c r="G158">
        <v>3</v>
      </c>
      <c r="J158" t="s">
        <v>3342</v>
      </c>
      <c r="K158" s="5" t="s">
        <v>3343</v>
      </c>
      <c r="AB158">
        <v>1</v>
      </c>
      <c r="AC158">
        <v>2</v>
      </c>
      <c r="AD158">
        <v>1</v>
      </c>
      <c r="AO158" t="s">
        <v>3705</v>
      </c>
      <c r="AT158" t="s">
        <v>3712</v>
      </c>
      <c r="AX158" t="s">
        <v>3419</v>
      </c>
      <c r="AZ158">
        <v>1.9</v>
      </c>
      <c r="BD158">
        <v>2</v>
      </c>
      <c r="BM158">
        <v>2</v>
      </c>
      <c r="BT158">
        <v>0.2</v>
      </c>
      <c r="BV158" s="8">
        <v>10</v>
      </c>
      <c r="BW158" s="8">
        <v>15</v>
      </c>
      <c r="BX158" s="8">
        <v>1</v>
      </c>
      <c r="BY158" s="8" t="s">
        <v>3344</v>
      </c>
      <c r="CB158" t="s">
        <v>516</v>
      </c>
      <c r="CG158" t="s">
        <v>3410</v>
      </c>
      <c r="CH158" t="s">
        <v>3713</v>
      </c>
      <c r="CI158" t="s">
        <v>3412</v>
      </c>
      <c r="CU158" t="s">
        <v>3707</v>
      </c>
    </row>
    <row r="160" spans="1:108" x14ac:dyDescent="0.25">
      <c r="A160" t="s">
        <v>3714</v>
      </c>
      <c r="C160" t="s">
        <v>3456</v>
      </c>
      <c r="AC160">
        <v>2</v>
      </c>
      <c r="AO160" t="s">
        <v>3417</v>
      </c>
      <c r="AT160" t="s">
        <v>3418</v>
      </c>
      <c r="AX160" t="s">
        <v>3419</v>
      </c>
      <c r="AZ160">
        <v>1</v>
      </c>
      <c r="BD160">
        <v>1</v>
      </c>
      <c r="CB160" t="s">
        <v>3524</v>
      </c>
      <c r="CG160" t="s">
        <v>3410</v>
      </c>
    </row>
    <row r="161" spans="1:108" x14ac:dyDescent="0.25">
      <c r="A161" t="s">
        <v>3715</v>
      </c>
      <c r="C161" t="s">
        <v>3326</v>
      </c>
      <c r="K161" s="5" t="s">
        <v>3314</v>
      </c>
      <c r="L161" s="5" t="s">
        <v>3330</v>
      </c>
      <c r="AC161">
        <v>1</v>
      </c>
      <c r="AG161" t="s">
        <v>3316</v>
      </c>
      <c r="AH161">
        <v>1</v>
      </c>
      <c r="AY161" s="5"/>
      <c r="BD161">
        <v>1</v>
      </c>
      <c r="BV161"/>
      <c r="BW161"/>
      <c r="BX161"/>
      <c r="BY161"/>
      <c r="BZ161"/>
      <c r="CA161"/>
      <c r="CB161" s="5"/>
      <c r="CC161" s="5"/>
      <c r="CD161" s="5"/>
      <c r="CE161" s="5"/>
      <c r="CF161" s="5"/>
      <c r="CH161" s="5"/>
      <c r="CI161" s="5"/>
      <c r="CJ161" s="5"/>
      <c r="CK161" s="5"/>
      <c r="CL161" s="5"/>
      <c r="CM161" s="5"/>
      <c r="CN161" s="9" t="s">
        <v>3526</v>
      </c>
      <c r="CO161">
        <v>15</v>
      </c>
      <c r="CR161">
        <v>99999</v>
      </c>
    </row>
    <row r="162" spans="1:108" x14ac:dyDescent="0.25">
      <c r="A162" t="s">
        <v>3716</v>
      </c>
      <c r="C162" t="s">
        <v>3717</v>
      </c>
      <c r="D162" t="s">
        <v>3718</v>
      </c>
      <c r="E162" t="s">
        <v>3719</v>
      </c>
      <c r="F162" t="s">
        <v>3720</v>
      </c>
      <c r="G162">
        <v>3</v>
      </c>
      <c r="J162" t="s">
        <v>3342</v>
      </c>
      <c r="K162" s="5" t="s">
        <v>3344</v>
      </c>
      <c r="AC162">
        <v>2</v>
      </c>
      <c r="AO162" t="s">
        <v>3417</v>
      </c>
      <c r="AT162" t="s">
        <v>3418</v>
      </c>
      <c r="AX162" t="s">
        <v>3419</v>
      </c>
      <c r="AZ162">
        <v>1.5</v>
      </c>
      <c r="BD162">
        <v>2</v>
      </c>
      <c r="BM162">
        <v>2</v>
      </c>
      <c r="BT162">
        <v>0.2</v>
      </c>
      <c r="BV162" s="8">
        <v>0</v>
      </c>
      <c r="BW162" s="8">
        <v>5</v>
      </c>
      <c r="BX162" s="8">
        <v>1</v>
      </c>
      <c r="BY162" s="8" t="s">
        <v>3344</v>
      </c>
      <c r="CB162" t="s">
        <v>3524</v>
      </c>
      <c r="CG162" t="s">
        <v>3410</v>
      </c>
    </row>
    <row r="163" spans="1:108" x14ac:dyDescent="0.25">
      <c r="A163" t="s">
        <v>3721</v>
      </c>
      <c r="C163" t="s">
        <v>3717</v>
      </c>
      <c r="D163" t="s">
        <v>3722</v>
      </c>
      <c r="E163" t="s">
        <v>3723</v>
      </c>
      <c r="F163" t="s">
        <v>3724</v>
      </c>
      <c r="G163">
        <v>3</v>
      </c>
      <c r="J163" t="s">
        <v>3342</v>
      </c>
      <c r="K163" s="5" t="s">
        <v>3343</v>
      </c>
      <c r="AB163">
        <v>1</v>
      </c>
      <c r="AC163">
        <v>2</v>
      </c>
      <c r="AO163" t="s">
        <v>3417</v>
      </c>
      <c r="AT163" t="s">
        <v>3602</v>
      </c>
      <c r="AX163" t="s">
        <v>3419</v>
      </c>
      <c r="AZ163">
        <v>3</v>
      </c>
      <c r="BD163">
        <v>99</v>
      </c>
      <c r="BM163">
        <v>2</v>
      </c>
      <c r="BT163">
        <v>0.2</v>
      </c>
      <c r="BV163" s="8">
        <v>14</v>
      </c>
      <c r="BW163" s="8">
        <v>20</v>
      </c>
      <c r="BX163" s="8">
        <v>1</v>
      </c>
      <c r="BY163" s="8" t="s">
        <v>3344</v>
      </c>
      <c r="CB163" t="s">
        <v>3725</v>
      </c>
      <c r="CG163" t="s">
        <v>3410</v>
      </c>
    </row>
    <row r="165" spans="1:108" x14ac:dyDescent="0.25">
      <c r="A165" t="s">
        <v>3726</v>
      </c>
      <c r="C165" t="s">
        <v>3326</v>
      </c>
      <c r="K165" s="5" t="s">
        <v>3344</v>
      </c>
      <c r="AC165">
        <v>1</v>
      </c>
      <c r="AO165" t="s">
        <v>3408</v>
      </c>
      <c r="AT165" t="s">
        <v>3500</v>
      </c>
      <c r="AY165">
        <v>1</v>
      </c>
      <c r="AZ165">
        <v>1</v>
      </c>
      <c r="BD165">
        <v>1</v>
      </c>
      <c r="CB165" t="s">
        <v>136</v>
      </c>
      <c r="CG165" t="s">
        <v>3410</v>
      </c>
      <c r="CH165" t="s">
        <v>3727</v>
      </c>
      <c r="CI165" t="s">
        <v>3412</v>
      </c>
      <c r="CY165" t="s">
        <v>3728</v>
      </c>
    </row>
    <row r="166" spans="1:108" x14ac:dyDescent="0.25">
      <c r="A166" t="s">
        <v>3729</v>
      </c>
      <c r="C166" t="s">
        <v>3326</v>
      </c>
      <c r="K166" s="5" t="s">
        <v>3314</v>
      </c>
      <c r="L166" s="5" t="s">
        <v>3513</v>
      </c>
      <c r="AC166">
        <v>1</v>
      </c>
      <c r="AO166" t="s">
        <v>3408</v>
      </c>
      <c r="AV166">
        <v>99</v>
      </c>
      <c r="AY166">
        <v>1</v>
      </c>
      <c r="AZ166">
        <v>1.6</v>
      </c>
      <c r="BD166">
        <v>99</v>
      </c>
      <c r="CY166" t="s">
        <v>3391</v>
      </c>
    </row>
    <row r="167" spans="1:108" x14ac:dyDescent="0.25">
      <c r="A167" t="s">
        <v>3730</v>
      </c>
      <c r="C167" t="s">
        <v>3326</v>
      </c>
      <c r="D167" t="s">
        <v>3731</v>
      </c>
      <c r="E167" t="s">
        <v>3732</v>
      </c>
      <c r="F167" t="s">
        <v>3733</v>
      </c>
      <c r="G167">
        <v>3</v>
      </c>
      <c r="J167" t="s">
        <v>3342</v>
      </c>
      <c r="K167" s="5" t="s">
        <v>3344</v>
      </c>
      <c r="AC167">
        <v>1</v>
      </c>
      <c r="AO167" t="s">
        <v>3408</v>
      </c>
      <c r="AT167" t="s">
        <v>3500</v>
      </c>
      <c r="AY167">
        <v>1</v>
      </c>
      <c r="AZ167">
        <v>1.25</v>
      </c>
      <c r="BD167">
        <v>2</v>
      </c>
      <c r="BT167">
        <v>0.2</v>
      </c>
      <c r="BV167" s="8">
        <v>0</v>
      </c>
      <c r="BW167" s="8">
        <v>8</v>
      </c>
      <c r="BX167" s="8">
        <v>3</v>
      </c>
      <c r="BY167" s="8" t="s">
        <v>3344</v>
      </c>
      <c r="CB167" t="s">
        <v>136</v>
      </c>
      <c r="CG167" t="s">
        <v>3410</v>
      </c>
      <c r="CH167" t="s">
        <v>3727</v>
      </c>
      <c r="CI167" t="s">
        <v>3412</v>
      </c>
      <c r="CY167" t="s">
        <v>3728</v>
      </c>
    </row>
    <row r="168" spans="1:108" x14ac:dyDescent="0.25">
      <c r="A168" t="s">
        <v>3734</v>
      </c>
      <c r="C168" t="s">
        <v>3326</v>
      </c>
      <c r="D168" t="s">
        <v>3735</v>
      </c>
      <c r="E168" t="s">
        <v>3736</v>
      </c>
      <c r="F168" t="s">
        <v>3737</v>
      </c>
      <c r="G168">
        <v>3</v>
      </c>
      <c r="J168" t="s">
        <v>3445</v>
      </c>
      <c r="K168" s="5" t="s">
        <v>3343</v>
      </c>
      <c r="AC168">
        <v>1</v>
      </c>
      <c r="AO168" t="s">
        <v>3408</v>
      </c>
      <c r="AT168" t="s">
        <v>3500</v>
      </c>
      <c r="AY168">
        <v>1</v>
      </c>
      <c r="AZ168">
        <v>1</v>
      </c>
      <c r="BD168">
        <v>2</v>
      </c>
      <c r="BO168" s="7" t="s">
        <v>3738</v>
      </c>
      <c r="BT168">
        <v>25</v>
      </c>
      <c r="BV168" s="8">
        <v>20</v>
      </c>
      <c r="BW168" s="8">
        <v>50</v>
      </c>
      <c r="BX168" s="8">
        <v>1</v>
      </c>
      <c r="BY168" s="8" t="s">
        <v>3344</v>
      </c>
      <c r="CB168" t="s">
        <v>136</v>
      </c>
      <c r="CG168" t="s">
        <v>3410</v>
      </c>
      <c r="CH168" t="s">
        <v>3727</v>
      </c>
      <c r="CI168" t="s">
        <v>3412</v>
      </c>
      <c r="CY168" t="s">
        <v>3728</v>
      </c>
    </row>
    <row r="169" spans="1:108" x14ac:dyDescent="0.25">
      <c r="A169" t="s">
        <v>3738</v>
      </c>
      <c r="C169" t="s">
        <v>3326</v>
      </c>
      <c r="K169" s="5" t="s">
        <v>3314</v>
      </c>
      <c r="L169" s="5" t="s">
        <v>3452</v>
      </c>
      <c r="AC169">
        <v>1</v>
      </c>
      <c r="AY169" s="5"/>
      <c r="BD169">
        <v>1</v>
      </c>
      <c r="CB169" s="5"/>
      <c r="CC169" s="5"/>
      <c r="CD169" s="5"/>
      <c r="CE169" s="5"/>
      <c r="CF169" s="5"/>
      <c r="CH169" s="5"/>
      <c r="CI169" s="5"/>
      <c r="CJ169" s="5"/>
      <c r="CK169" s="5"/>
      <c r="CL169" s="5"/>
      <c r="CM169" s="5"/>
      <c r="CN169" s="9" t="s">
        <v>3379</v>
      </c>
      <c r="CO169">
        <v>0.65</v>
      </c>
      <c r="CR169">
        <v>25</v>
      </c>
    </row>
    <row r="170" spans="1:108" x14ac:dyDescent="0.25">
      <c r="AY170" s="5"/>
      <c r="CB170" s="5"/>
      <c r="CC170" s="5"/>
      <c r="CD170" s="5"/>
      <c r="CE170" s="5"/>
      <c r="CF170" s="5"/>
      <c r="CH170" s="5"/>
      <c r="CI170" s="5"/>
      <c r="CJ170" s="5"/>
      <c r="CK170" s="5"/>
      <c r="CL170" s="5"/>
      <c r="CM170" s="5"/>
    </row>
    <row r="171" spans="1:108" x14ac:dyDescent="0.25">
      <c r="A171" t="s">
        <v>3739</v>
      </c>
      <c r="C171" t="s">
        <v>3326</v>
      </c>
      <c r="K171" s="5" t="s">
        <v>3344</v>
      </c>
      <c r="AC171">
        <v>1</v>
      </c>
      <c r="AO171" t="s">
        <v>3408</v>
      </c>
      <c r="AT171" t="s">
        <v>3500</v>
      </c>
      <c r="AY171">
        <v>1</v>
      </c>
      <c r="AZ171">
        <v>1</v>
      </c>
      <c r="BD171">
        <v>1</v>
      </c>
      <c r="CB171" t="s">
        <v>136</v>
      </c>
      <c r="CG171" t="s">
        <v>3410</v>
      </c>
      <c r="CY171" t="s">
        <v>3391</v>
      </c>
    </row>
    <row r="172" spans="1:108" x14ac:dyDescent="0.25">
      <c r="A172" t="s">
        <v>3740</v>
      </c>
      <c r="C172" t="s">
        <v>3326</v>
      </c>
      <c r="K172" t="s">
        <v>3314</v>
      </c>
      <c r="L172" t="s">
        <v>3513</v>
      </c>
      <c r="M172"/>
      <c r="N172"/>
      <c r="O172"/>
      <c r="P172"/>
      <c r="Q172"/>
      <c r="R172"/>
      <c r="S172"/>
      <c r="T172"/>
      <c r="U172"/>
      <c r="V172"/>
      <c r="W172"/>
      <c r="X172"/>
      <c r="AC172">
        <v>1</v>
      </c>
      <c r="AI172" t="s">
        <v>330</v>
      </c>
      <c r="AV172">
        <v>99</v>
      </c>
      <c r="BD172">
        <v>99</v>
      </c>
      <c r="BV172"/>
      <c r="BW172"/>
      <c r="BX172"/>
      <c r="BY172"/>
      <c r="BZ172"/>
      <c r="CA172"/>
      <c r="CN172" s="9" t="s">
        <v>3740</v>
      </c>
      <c r="CO172" t="s">
        <v>3741</v>
      </c>
      <c r="CR172">
        <v>17</v>
      </c>
    </row>
    <row r="173" spans="1:108" x14ac:dyDescent="0.25">
      <c r="A173" t="s">
        <v>3742</v>
      </c>
      <c r="C173" t="s">
        <v>3326</v>
      </c>
      <c r="D173" t="s">
        <v>3743</v>
      </c>
      <c r="E173" t="s">
        <v>3744</v>
      </c>
      <c r="F173" t="s">
        <v>3745</v>
      </c>
      <c r="G173">
        <v>3</v>
      </c>
      <c r="J173" t="s">
        <v>3342</v>
      </c>
      <c r="K173" s="5" t="s">
        <v>3344</v>
      </c>
      <c r="AC173">
        <v>1</v>
      </c>
      <c r="AO173" t="s">
        <v>3408</v>
      </c>
      <c r="AT173" t="s">
        <v>3500</v>
      </c>
      <c r="AY173">
        <v>1</v>
      </c>
      <c r="AZ173">
        <v>1</v>
      </c>
      <c r="BD173">
        <v>1</v>
      </c>
      <c r="BT173">
        <v>0.2</v>
      </c>
      <c r="BV173" s="8">
        <v>0</v>
      </c>
      <c r="BW173" s="8">
        <v>8</v>
      </c>
      <c r="BX173" s="8">
        <v>3</v>
      </c>
      <c r="BY173" s="8" t="s">
        <v>3344</v>
      </c>
      <c r="CB173" t="s">
        <v>136</v>
      </c>
      <c r="CG173" t="s">
        <v>3410</v>
      </c>
      <c r="CN173" s="9" t="s">
        <v>3746</v>
      </c>
      <c r="CO173">
        <v>0.35</v>
      </c>
      <c r="CR173">
        <v>5</v>
      </c>
      <c r="CY173" t="s">
        <v>3391</v>
      </c>
      <c r="DD173">
        <v>1</v>
      </c>
    </row>
    <row r="174" spans="1:108" x14ac:dyDescent="0.25">
      <c r="A174" t="s">
        <v>3747</v>
      </c>
      <c r="C174" t="s">
        <v>3326</v>
      </c>
      <c r="D174" t="s">
        <v>3748</v>
      </c>
      <c r="E174" t="s">
        <v>3749</v>
      </c>
      <c r="F174" t="s">
        <v>3750</v>
      </c>
      <c r="G174">
        <v>3</v>
      </c>
      <c r="J174" t="s">
        <v>3342</v>
      </c>
      <c r="K174" s="5" t="s">
        <v>3343</v>
      </c>
      <c r="AB174">
        <v>1</v>
      </c>
      <c r="AC174">
        <v>1</v>
      </c>
      <c r="AO174" t="s">
        <v>3408</v>
      </c>
      <c r="AT174" t="s">
        <v>3500</v>
      </c>
      <c r="AZ174">
        <v>0</v>
      </c>
      <c r="BD174">
        <v>99</v>
      </c>
      <c r="BT174">
        <v>0.2</v>
      </c>
      <c r="BV174" s="8">
        <v>50</v>
      </c>
      <c r="BW174" s="8">
        <v>60</v>
      </c>
      <c r="BX174" s="8">
        <v>1</v>
      </c>
      <c r="BY174" s="8" t="s">
        <v>3344</v>
      </c>
      <c r="CB174" t="s">
        <v>136</v>
      </c>
      <c r="CG174" t="s">
        <v>3410</v>
      </c>
      <c r="CN174" s="9" t="s">
        <v>3746</v>
      </c>
      <c r="CO174">
        <v>0.3</v>
      </c>
      <c r="CR174">
        <v>10</v>
      </c>
      <c r="CW174" t="s">
        <v>3751</v>
      </c>
      <c r="CY174" t="s">
        <v>3391</v>
      </c>
      <c r="DD174">
        <v>1</v>
      </c>
    </row>
    <row r="176" spans="1:108" x14ac:dyDescent="0.25">
      <c r="A176" t="s">
        <v>3752</v>
      </c>
      <c r="C176" t="s">
        <v>3326</v>
      </c>
      <c r="K176" s="5" t="s">
        <v>3344</v>
      </c>
      <c r="AC176">
        <v>1</v>
      </c>
      <c r="AO176" t="s">
        <v>3408</v>
      </c>
      <c r="AT176" t="s">
        <v>3483</v>
      </c>
      <c r="AY176">
        <v>1</v>
      </c>
      <c r="AZ176">
        <v>1</v>
      </c>
      <c r="BD176">
        <v>3</v>
      </c>
      <c r="CB176" t="s">
        <v>136</v>
      </c>
      <c r="CG176" t="s">
        <v>3410</v>
      </c>
      <c r="CW176" t="s">
        <v>3753</v>
      </c>
      <c r="CY176" t="s">
        <v>3391</v>
      </c>
    </row>
    <row r="177" spans="1:103" x14ac:dyDescent="0.25">
      <c r="A177" t="s">
        <v>3754</v>
      </c>
      <c r="C177" t="s">
        <v>3326</v>
      </c>
      <c r="K177" s="5" t="s">
        <v>3314</v>
      </c>
      <c r="L177" s="5" t="s">
        <v>3330</v>
      </c>
      <c r="AC177">
        <v>1</v>
      </c>
      <c r="AG177" t="s">
        <v>3316</v>
      </c>
      <c r="AH177">
        <v>1</v>
      </c>
      <c r="AY177" s="5"/>
      <c r="BD177">
        <v>1</v>
      </c>
      <c r="BV177"/>
      <c r="BW177"/>
      <c r="BX177"/>
      <c r="BY177"/>
      <c r="BZ177"/>
      <c r="CA177"/>
      <c r="CB177" s="5"/>
      <c r="CC177" s="5"/>
      <c r="CD177" s="5"/>
      <c r="CE177" s="5"/>
      <c r="CF177" s="5"/>
      <c r="CH177" s="5"/>
      <c r="CI177" s="5"/>
      <c r="CJ177" s="5"/>
      <c r="CK177" s="5"/>
      <c r="CL177" s="5"/>
      <c r="CM177" s="5"/>
      <c r="CN177" s="9" t="s">
        <v>3755</v>
      </c>
      <c r="CR177">
        <v>99999</v>
      </c>
    </row>
    <row r="178" spans="1:103" x14ac:dyDescent="0.25">
      <c r="A178" t="s">
        <v>3756</v>
      </c>
      <c r="C178" t="s">
        <v>3326</v>
      </c>
      <c r="K178" s="5" t="s">
        <v>3344</v>
      </c>
      <c r="AC178">
        <v>1</v>
      </c>
      <c r="AV178">
        <v>99</v>
      </c>
      <c r="AY178" s="5">
        <v>1</v>
      </c>
      <c r="AZ178">
        <v>5.5E-2</v>
      </c>
      <c r="BA178">
        <v>1</v>
      </c>
      <c r="BD178">
        <v>99</v>
      </c>
      <c r="BS178">
        <v>0.02</v>
      </c>
      <c r="BV178"/>
      <c r="BW178"/>
      <c r="BX178"/>
      <c r="BY178"/>
      <c r="BZ178"/>
      <c r="CA178"/>
      <c r="CB178" s="5"/>
      <c r="CC178" s="5"/>
      <c r="CD178" s="5"/>
      <c r="CE178" s="5"/>
      <c r="CF178" s="5"/>
      <c r="CH178" s="5"/>
      <c r="CI178" s="5"/>
      <c r="CJ178" s="5"/>
      <c r="CK178" s="5"/>
      <c r="CL178" s="5"/>
      <c r="CM178" s="5"/>
    </row>
    <row r="179" spans="1:103" x14ac:dyDescent="0.25">
      <c r="A179" t="s">
        <v>3757</v>
      </c>
      <c r="C179" t="s">
        <v>3326</v>
      </c>
      <c r="D179" t="s">
        <v>3758</v>
      </c>
      <c r="E179" t="s">
        <v>3759</v>
      </c>
      <c r="F179" t="s">
        <v>3760</v>
      </c>
      <c r="J179" t="s">
        <v>3342</v>
      </c>
      <c r="K179" s="5" t="s">
        <v>3343</v>
      </c>
      <c r="AC179">
        <v>1</v>
      </c>
      <c r="AY179" s="5"/>
      <c r="BD179">
        <v>1</v>
      </c>
      <c r="BT179">
        <v>30</v>
      </c>
      <c r="BV179" s="8">
        <v>20</v>
      </c>
      <c r="BW179" s="8">
        <v>60</v>
      </c>
      <c r="BX179" s="8">
        <v>1</v>
      </c>
      <c r="BY179" s="8" t="s">
        <v>3344</v>
      </c>
      <c r="CB179" s="5"/>
      <c r="CC179" s="5"/>
      <c r="CD179" s="5"/>
      <c r="CE179" s="5"/>
      <c r="CF179" s="5"/>
      <c r="CH179" s="5"/>
      <c r="CI179" s="5"/>
      <c r="CJ179" s="5"/>
      <c r="CK179" s="5"/>
      <c r="CL179" s="5"/>
      <c r="CM179" s="5"/>
      <c r="CN179" s="9" t="s">
        <v>3757</v>
      </c>
      <c r="CO179" t="s">
        <v>3761</v>
      </c>
      <c r="CR179">
        <v>30</v>
      </c>
    </row>
    <row r="180" spans="1:103" x14ac:dyDescent="0.25">
      <c r="AY180" s="5"/>
      <c r="CB180" s="5"/>
      <c r="CC180" s="5"/>
      <c r="CD180" s="5"/>
      <c r="CE180" s="5"/>
      <c r="CF180" s="5"/>
      <c r="CH180" s="5"/>
      <c r="CI180" s="5"/>
      <c r="CJ180" s="5"/>
      <c r="CK180" s="5"/>
      <c r="CL180" s="5"/>
      <c r="CM180" s="5"/>
    </row>
    <row r="181" spans="1:103" x14ac:dyDescent="0.25">
      <c r="A181" t="s">
        <v>3762</v>
      </c>
      <c r="C181" t="s">
        <v>3416</v>
      </c>
      <c r="AC181">
        <v>2</v>
      </c>
      <c r="AO181" t="s">
        <v>3417</v>
      </c>
      <c r="AT181" t="s">
        <v>3441</v>
      </c>
      <c r="AX181" t="s">
        <v>3419</v>
      </c>
      <c r="AZ181">
        <v>1</v>
      </c>
      <c r="BD181">
        <v>1</v>
      </c>
      <c r="CB181" t="s">
        <v>136</v>
      </c>
      <c r="CG181" t="s">
        <v>3410</v>
      </c>
      <c r="CW181" t="s">
        <v>3763</v>
      </c>
      <c r="CY181" t="s">
        <v>3764</v>
      </c>
    </row>
    <row r="182" spans="1:103" x14ac:dyDescent="0.25">
      <c r="A182" t="s">
        <v>3765</v>
      </c>
      <c r="C182" t="s">
        <v>3326</v>
      </c>
      <c r="K182" s="5" t="s">
        <v>3314</v>
      </c>
      <c r="L182" s="5" t="s">
        <v>3330</v>
      </c>
      <c r="AC182">
        <v>1</v>
      </c>
      <c r="AG182" t="s">
        <v>3316</v>
      </c>
      <c r="AH182">
        <v>1</v>
      </c>
      <c r="AY182" s="5"/>
      <c r="BD182">
        <v>1</v>
      </c>
      <c r="BV182"/>
      <c r="BW182"/>
      <c r="BX182"/>
      <c r="BY182"/>
      <c r="BZ182"/>
      <c r="CA182"/>
      <c r="CB182" s="5"/>
      <c r="CC182" s="5"/>
      <c r="CD182" s="5"/>
      <c r="CE182" s="5"/>
      <c r="CF182" s="5"/>
      <c r="CH182" s="5"/>
      <c r="CI182" s="5"/>
      <c r="CJ182" s="5"/>
      <c r="CK182" s="5"/>
      <c r="CL182" s="5"/>
      <c r="CM182" s="5"/>
      <c r="CN182" s="9" t="s">
        <v>3526</v>
      </c>
      <c r="CO182">
        <v>15</v>
      </c>
      <c r="CR182">
        <v>99999</v>
      </c>
    </row>
    <row r="183" spans="1:103" x14ac:dyDescent="0.25">
      <c r="A183" t="s">
        <v>3766</v>
      </c>
      <c r="C183" t="s">
        <v>3326</v>
      </c>
      <c r="D183" t="s">
        <v>3767</v>
      </c>
      <c r="E183" t="s">
        <v>3768</v>
      </c>
      <c r="F183" t="s">
        <v>3769</v>
      </c>
      <c r="G183">
        <v>3</v>
      </c>
      <c r="J183" t="s">
        <v>3342</v>
      </c>
      <c r="K183" s="5" t="s">
        <v>3343</v>
      </c>
      <c r="AC183">
        <v>1</v>
      </c>
      <c r="AY183" s="5"/>
      <c r="BD183">
        <v>1</v>
      </c>
      <c r="BT183">
        <v>30</v>
      </c>
      <c r="BV183" s="8">
        <v>10</v>
      </c>
      <c r="BW183" s="8">
        <v>35</v>
      </c>
      <c r="BX183" s="8">
        <v>1</v>
      </c>
      <c r="BY183" s="8" t="s">
        <v>3344</v>
      </c>
      <c r="CB183" s="5"/>
      <c r="CC183" s="5"/>
      <c r="CD183" s="5"/>
      <c r="CE183" s="5"/>
      <c r="CF183" s="5"/>
      <c r="CH183" s="5"/>
      <c r="CI183" s="5"/>
      <c r="CJ183" s="5"/>
      <c r="CK183" s="5"/>
      <c r="CL183" s="5"/>
      <c r="CM183" s="5"/>
      <c r="CN183" s="9" t="s">
        <v>3770</v>
      </c>
      <c r="CO183">
        <v>0.7</v>
      </c>
      <c r="CP183">
        <v>40</v>
      </c>
      <c r="CR183">
        <v>30</v>
      </c>
      <c r="CY183" t="s">
        <v>3391</v>
      </c>
    </row>
    <row r="184" spans="1:103" x14ac:dyDescent="0.25">
      <c r="A184" t="s">
        <v>3771</v>
      </c>
      <c r="C184" t="s">
        <v>3326</v>
      </c>
      <c r="D184" t="s">
        <v>3772</v>
      </c>
      <c r="E184" t="s">
        <v>3773</v>
      </c>
      <c r="F184" t="s">
        <v>3774</v>
      </c>
      <c r="G184">
        <v>3</v>
      </c>
      <c r="J184" t="s">
        <v>3342</v>
      </c>
      <c r="K184" s="5" t="s">
        <v>3343</v>
      </c>
      <c r="AC184">
        <v>1</v>
      </c>
      <c r="AY184" s="5"/>
      <c r="BD184">
        <v>1</v>
      </c>
      <c r="BT184">
        <v>30</v>
      </c>
      <c r="BV184" s="8">
        <v>10</v>
      </c>
      <c r="BW184" s="8">
        <v>32</v>
      </c>
      <c r="BX184" s="8">
        <v>1</v>
      </c>
      <c r="BY184" s="8" t="s">
        <v>3344</v>
      </c>
      <c r="CB184" s="5"/>
      <c r="CC184" s="5"/>
      <c r="CD184" s="5"/>
      <c r="CE184" s="5"/>
      <c r="CF184" s="5"/>
      <c r="CH184" s="5"/>
      <c r="CI184" s="5"/>
      <c r="CJ184" s="5"/>
      <c r="CK184" s="5"/>
      <c r="CL184" s="5"/>
      <c r="CM184" s="5"/>
      <c r="CN184" s="9" t="s">
        <v>3771</v>
      </c>
      <c r="CO184" t="s">
        <v>3775</v>
      </c>
      <c r="CR184">
        <v>30</v>
      </c>
    </row>
    <row r="185" spans="1:103" x14ac:dyDescent="0.25">
      <c r="AY185" s="5"/>
      <c r="CB185" s="5"/>
      <c r="CC185" s="5"/>
      <c r="CD185" s="5"/>
      <c r="CE185" s="5"/>
      <c r="CF185" s="5"/>
      <c r="CH185" s="5"/>
      <c r="CI185" s="5"/>
      <c r="CJ185" s="5"/>
      <c r="CK185" s="5"/>
      <c r="CL185" s="5"/>
      <c r="CM185" s="5"/>
    </row>
    <row r="186" spans="1:103" x14ac:dyDescent="0.25">
      <c r="A186" t="s">
        <v>3776</v>
      </c>
      <c r="C186" t="s">
        <v>3416</v>
      </c>
      <c r="AC186">
        <v>2</v>
      </c>
      <c r="AO186" t="s">
        <v>3417</v>
      </c>
      <c r="AT186" t="s">
        <v>3441</v>
      </c>
      <c r="AX186" t="s">
        <v>3419</v>
      </c>
      <c r="AZ186">
        <v>1</v>
      </c>
      <c r="BD186">
        <v>1</v>
      </c>
      <c r="CB186" t="s">
        <v>136</v>
      </c>
      <c r="CG186" t="s">
        <v>3410</v>
      </c>
      <c r="CY186" t="s">
        <v>3429</v>
      </c>
    </row>
    <row r="187" spans="1:103" x14ac:dyDescent="0.25">
      <c r="A187" t="s">
        <v>3777</v>
      </c>
      <c r="C187" t="s">
        <v>3326</v>
      </c>
      <c r="K187" s="5" t="s">
        <v>3314</v>
      </c>
      <c r="L187" s="5" t="s">
        <v>3330</v>
      </c>
      <c r="AC187">
        <v>1</v>
      </c>
      <c r="AG187" t="s">
        <v>3316</v>
      </c>
      <c r="AH187">
        <v>1</v>
      </c>
      <c r="AY187" s="5"/>
      <c r="BD187">
        <v>1</v>
      </c>
      <c r="BV187"/>
      <c r="BW187"/>
      <c r="BX187"/>
      <c r="BY187"/>
      <c r="BZ187"/>
      <c r="CA187"/>
      <c r="CB187" s="5"/>
      <c r="CC187" s="5"/>
      <c r="CD187" s="5"/>
      <c r="CE187" s="5"/>
      <c r="CF187" s="5"/>
      <c r="CH187" s="5"/>
      <c r="CI187" s="5"/>
      <c r="CJ187" s="5"/>
      <c r="CK187" s="5"/>
      <c r="CL187" s="5"/>
      <c r="CM187" s="5"/>
      <c r="CN187" s="9" t="s">
        <v>3683</v>
      </c>
      <c r="CO187">
        <v>0.12</v>
      </c>
      <c r="CR187">
        <v>99999</v>
      </c>
    </row>
    <row r="188" spans="1:103" x14ac:dyDescent="0.25">
      <c r="A188" t="s">
        <v>3778</v>
      </c>
      <c r="C188" t="s">
        <v>3326</v>
      </c>
      <c r="D188" t="s">
        <v>3779</v>
      </c>
      <c r="E188" t="s">
        <v>3780</v>
      </c>
      <c r="F188" t="s">
        <v>3781</v>
      </c>
      <c r="G188">
        <v>3</v>
      </c>
      <c r="J188" t="s">
        <v>3342</v>
      </c>
      <c r="K188" s="5" t="s">
        <v>3343</v>
      </c>
      <c r="AC188">
        <v>1</v>
      </c>
      <c r="AY188" s="5"/>
      <c r="BD188">
        <v>1</v>
      </c>
      <c r="BT188">
        <v>30</v>
      </c>
      <c r="BV188" s="8">
        <v>0</v>
      </c>
      <c r="BW188" s="8">
        <v>40</v>
      </c>
      <c r="BX188" s="8">
        <v>1</v>
      </c>
      <c r="BY188" s="8" t="s">
        <v>3344</v>
      </c>
      <c r="CD188" s="5"/>
      <c r="CE188" t="s">
        <v>801</v>
      </c>
      <c r="CF188" s="5"/>
      <c r="CH188" s="5"/>
      <c r="CI188" s="5"/>
      <c r="CJ188" s="5"/>
      <c r="CK188" s="5"/>
      <c r="CL188" s="5"/>
      <c r="CM188" s="5"/>
      <c r="CN188" s="9" t="s">
        <v>3782</v>
      </c>
      <c r="CO188" t="s">
        <v>3783</v>
      </c>
      <c r="CP188">
        <v>0.03</v>
      </c>
      <c r="CR188">
        <v>30</v>
      </c>
    </row>
    <row r="189" spans="1:103" x14ac:dyDescent="0.25">
      <c r="AY189" s="5"/>
      <c r="CB189" s="5"/>
      <c r="CC189" s="5"/>
      <c r="CD189" s="5"/>
      <c r="CE189" s="5"/>
      <c r="CF189" s="5"/>
      <c r="CH189" s="5"/>
      <c r="CI189" s="5"/>
      <c r="CJ189" s="5"/>
      <c r="CK189" s="5"/>
      <c r="CL189" s="5"/>
      <c r="CM189" s="5"/>
    </row>
    <row r="190" spans="1:103" x14ac:dyDescent="0.25">
      <c r="A190" t="s">
        <v>550</v>
      </c>
      <c r="C190" t="s">
        <v>3416</v>
      </c>
      <c r="AC190">
        <v>2</v>
      </c>
      <c r="AO190" t="s">
        <v>3417</v>
      </c>
      <c r="AT190" t="s">
        <v>3441</v>
      </c>
      <c r="AX190" t="s">
        <v>3419</v>
      </c>
      <c r="AZ190">
        <v>1</v>
      </c>
      <c r="BD190">
        <v>1</v>
      </c>
      <c r="BO190" s="7" t="s">
        <v>3784</v>
      </c>
      <c r="CB190" t="s">
        <v>136</v>
      </c>
      <c r="CG190" t="s">
        <v>3410</v>
      </c>
      <c r="CY190" t="s">
        <v>3429</v>
      </c>
    </row>
    <row r="191" spans="1:103" x14ac:dyDescent="0.25">
      <c r="A191" t="s">
        <v>3784</v>
      </c>
      <c r="C191" t="s">
        <v>3416</v>
      </c>
      <c r="AA191">
        <v>0.18</v>
      </c>
      <c r="AC191">
        <v>2</v>
      </c>
      <c r="AO191" t="s">
        <v>3417</v>
      </c>
      <c r="AT191" t="s">
        <v>3441</v>
      </c>
      <c r="AX191" t="s">
        <v>3419</v>
      </c>
      <c r="AZ191">
        <v>2</v>
      </c>
      <c r="BD191">
        <v>1</v>
      </c>
      <c r="CB191" t="s">
        <v>136</v>
      </c>
      <c r="CG191" t="s">
        <v>3410</v>
      </c>
      <c r="CY191" t="s">
        <v>3429</v>
      </c>
    </row>
    <row r="192" spans="1:103" x14ac:dyDescent="0.25">
      <c r="A192" t="s">
        <v>3785</v>
      </c>
      <c r="C192" t="s">
        <v>3326</v>
      </c>
      <c r="D192" t="s">
        <v>3786</v>
      </c>
      <c r="E192" t="s">
        <v>3787</v>
      </c>
      <c r="F192" t="s">
        <v>3788</v>
      </c>
      <c r="G192">
        <v>3</v>
      </c>
      <c r="J192" t="s">
        <v>3342</v>
      </c>
      <c r="K192" s="5" t="s">
        <v>3344</v>
      </c>
      <c r="AC192">
        <v>1</v>
      </c>
      <c r="AO192" t="s">
        <v>3408</v>
      </c>
      <c r="AT192" t="s">
        <v>3446</v>
      </c>
      <c r="AY192" s="5">
        <v>1</v>
      </c>
      <c r="AZ192">
        <v>1.6</v>
      </c>
      <c r="BD192">
        <v>1</v>
      </c>
      <c r="BT192">
        <v>0.2</v>
      </c>
      <c r="BV192" s="8">
        <v>0</v>
      </c>
      <c r="BW192" s="8">
        <v>4</v>
      </c>
      <c r="BX192" s="8">
        <v>3</v>
      </c>
      <c r="BY192" s="8" t="s">
        <v>3344</v>
      </c>
      <c r="CB192" t="s">
        <v>627</v>
      </c>
      <c r="CD192" s="5"/>
      <c r="CE192" s="5"/>
      <c r="CF192" s="5"/>
      <c r="CG192" t="s">
        <v>3410</v>
      </c>
      <c r="CH192" s="5" t="s">
        <v>3789</v>
      </c>
      <c r="CI192" t="s">
        <v>3412</v>
      </c>
      <c r="CJ192" s="5"/>
      <c r="CK192" s="5"/>
      <c r="CL192" s="5"/>
      <c r="CM192" s="5"/>
      <c r="CY192" t="s">
        <v>3790</v>
      </c>
    </row>
    <row r="193" spans="1:107" x14ac:dyDescent="0.25">
      <c r="A193" t="s">
        <v>3791</v>
      </c>
      <c r="C193" t="s">
        <v>3326</v>
      </c>
      <c r="D193" t="s">
        <v>3792</v>
      </c>
      <c r="E193" t="s">
        <v>3793</v>
      </c>
      <c r="F193" t="s">
        <v>3794</v>
      </c>
      <c r="G193">
        <v>3</v>
      </c>
      <c r="J193" t="s">
        <v>3445</v>
      </c>
      <c r="K193" s="5" t="s">
        <v>3343</v>
      </c>
      <c r="P193" t="s">
        <v>3795</v>
      </c>
      <c r="AC193">
        <v>1</v>
      </c>
      <c r="AO193" t="s">
        <v>3408</v>
      </c>
      <c r="AT193" t="s">
        <v>3446</v>
      </c>
      <c r="AY193" s="5">
        <v>1</v>
      </c>
      <c r="AZ193">
        <v>1</v>
      </c>
      <c r="BD193">
        <v>1</v>
      </c>
      <c r="BO193" s="7" t="s">
        <v>3796</v>
      </c>
      <c r="BT193">
        <v>30</v>
      </c>
      <c r="BV193" s="8">
        <v>20</v>
      </c>
      <c r="BW193" s="8">
        <v>30</v>
      </c>
      <c r="BX193" s="8">
        <v>1</v>
      </c>
      <c r="BY193" s="8" t="s">
        <v>3344</v>
      </c>
      <c r="CB193" t="s">
        <v>627</v>
      </c>
      <c r="CD193" s="5"/>
      <c r="CE193" s="5"/>
      <c r="CF193" s="5"/>
      <c r="CG193" t="s">
        <v>3410</v>
      </c>
      <c r="CH193" s="5" t="s">
        <v>3789</v>
      </c>
      <c r="CI193" t="s">
        <v>3412</v>
      </c>
      <c r="CJ193" s="5"/>
      <c r="CK193" s="5"/>
      <c r="CL193" s="5"/>
      <c r="CM193" s="5"/>
      <c r="CY193" t="s">
        <v>3790</v>
      </c>
    </row>
    <row r="194" spans="1:107" x14ac:dyDescent="0.25">
      <c r="A194" t="s">
        <v>3797</v>
      </c>
      <c r="C194" t="s">
        <v>3326</v>
      </c>
      <c r="K194" s="5" t="s">
        <v>3314</v>
      </c>
      <c r="L194" s="5" t="s">
        <v>3452</v>
      </c>
      <c r="AC194">
        <v>1</v>
      </c>
      <c r="AY194" s="5"/>
      <c r="BD194">
        <v>1</v>
      </c>
      <c r="CB194" s="5"/>
      <c r="CC194" s="5"/>
      <c r="CD194" s="5"/>
      <c r="CE194" s="5"/>
      <c r="CF194" s="5"/>
      <c r="CH194" s="5"/>
      <c r="CI194" s="5"/>
      <c r="CJ194" s="5"/>
      <c r="CK194" s="5"/>
      <c r="CL194" s="5"/>
      <c r="CM194" s="5"/>
      <c r="CN194" s="9" t="s">
        <v>3798</v>
      </c>
      <c r="CO194">
        <v>0.8</v>
      </c>
      <c r="CR194">
        <v>10</v>
      </c>
    </row>
    <row r="195" spans="1:107" x14ac:dyDescent="0.25">
      <c r="A195" t="s">
        <v>3799</v>
      </c>
      <c r="C195" t="s">
        <v>3326</v>
      </c>
      <c r="K195" s="5" t="s">
        <v>3314</v>
      </c>
      <c r="L195" s="5" t="s">
        <v>3452</v>
      </c>
      <c r="AC195">
        <v>1</v>
      </c>
      <c r="AY195" s="5"/>
      <c r="BD195">
        <v>1</v>
      </c>
      <c r="CB195" s="5"/>
      <c r="CC195" s="5"/>
      <c r="CD195" s="5"/>
      <c r="CE195" s="5"/>
      <c r="CF195" s="5"/>
      <c r="CH195" s="5"/>
      <c r="CI195" s="5"/>
      <c r="CJ195" s="5"/>
      <c r="CK195" s="5"/>
      <c r="CL195" s="5"/>
      <c r="CM195" s="5"/>
      <c r="CN195" s="9" t="s">
        <v>3800</v>
      </c>
      <c r="CO195" t="s">
        <v>3801</v>
      </c>
      <c r="CR195">
        <v>30</v>
      </c>
    </row>
    <row r="196" spans="1:107" x14ac:dyDescent="0.25">
      <c r="AY196" s="5"/>
      <c r="CB196" s="5"/>
      <c r="CC196" s="5"/>
      <c r="CD196" s="5"/>
      <c r="CE196" s="5"/>
      <c r="CF196" s="5"/>
      <c r="CH196" s="5"/>
      <c r="CI196" s="5"/>
      <c r="CJ196" s="5"/>
      <c r="CK196" s="5"/>
      <c r="CL196" s="5"/>
      <c r="CM196" s="5"/>
    </row>
    <row r="197" spans="1:107" x14ac:dyDescent="0.25">
      <c r="A197" t="s">
        <v>3802</v>
      </c>
      <c r="C197" t="s">
        <v>3326</v>
      </c>
      <c r="AC197">
        <v>2</v>
      </c>
      <c r="AD197">
        <v>1</v>
      </c>
      <c r="AO197" t="s">
        <v>3417</v>
      </c>
      <c r="AT197" t="s">
        <v>3409</v>
      </c>
      <c r="AX197" t="s">
        <v>3432</v>
      </c>
      <c r="AZ197">
        <v>1</v>
      </c>
      <c r="BD197">
        <v>1</v>
      </c>
      <c r="CB197" t="s">
        <v>136</v>
      </c>
      <c r="CG197" t="s">
        <v>3410</v>
      </c>
      <c r="CH197" t="s">
        <v>3433</v>
      </c>
      <c r="CI197" t="s">
        <v>3412</v>
      </c>
      <c r="CW197" t="s">
        <v>3803</v>
      </c>
      <c r="CY197" t="s">
        <v>3804</v>
      </c>
    </row>
    <row r="198" spans="1:107" x14ac:dyDescent="0.25">
      <c r="A198" t="s">
        <v>3805</v>
      </c>
      <c r="C198" t="s">
        <v>3806</v>
      </c>
      <c r="K198" s="5" t="s">
        <v>3314</v>
      </c>
      <c r="L198" s="5" t="s">
        <v>3327</v>
      </c>
      <c r="AC198">
        <v>1</v>
      </c>
      <c r="AF198">
        <v>1</v>
      </c>
      <c r="AG198" t="s">
        <v>3316</v>
      </c>
      <c r="BD198">
        <v>1</v>
      </c>
      <c r="CU198" t="s">
        <v>3807</v>
      </c>
    </row>
    <row r="199" spans="1:107" x14ac:dyDescent="0.25">
      <c r="A199" t="s">
        <v>3808</v>
      </c>
      <c r="C199" t="s">
        <v>3326</v>
      </c>
      <c r="J199" t="s">
        <v>3445</v>
      </c>
      <c r="K199" s="5" t="s">
        <v>3314</v>
      </c>
      <c r="L199" s="5" t="s">
        <v>3330</v>
      </c>
      <c r="AC199">
        <v>1</v>
      </c>
      <c r="AG199" t="s">
        <v>3316</v>
      </c>
      <c r="AH199">
        <v>1</v>
      </c>
      <c r="AY199" s="5"/>
      <c r="BD199">
        <v>1</v>
      </c>
      <c r="BV199"/>
      <c r="BW199"/>
      <c r="BX199"/>
      <c r="BY199"/>
      <c r="BZ199"/>
      <c r="CA199"/>
      <c r="CB199" s="5"/>
      <c r="CC199" s="5"/>
      <c r="CD199" s="5"/>
      <c r="CE199" s="5"/>
      <c r="CF199" s="5"/>
      <c r="CH199" s="5"/>
      <c r="CI199" s="5"/>
      <c r="CJ199" s="5"/>
      <c r="CK199" s="5"/>
      <c r="CL199" s="5"/>
      <c r="CM199" s="5"/>
      <c r="CN199" s="9" t="s">
        <v>3489</v>
      </c>
      <c r="CO199">
        <v>8</v>
      </c>
      <c r="CR199">
        <v>99999</v>
      </c>
    </row>
    <row r="200" spans="1:107" x14ac:dyDescent="0.25">
      <c r="A200" t="s">
        <v>3809</v>
      </c>
      <c r="C200" t="s">
        <v>3326</v>
      </c>
      <c r="D200" t="s">
        <v>3810</v>
      </c>
      <c r="E200" t="s">
        <v>3811</v>
      </c>
      <c r="F200" t="s">
        <v>3812</v>
      </c>
      <c r="G200">
        <v>3</v>
      </c>
      <c r="K200" s="5" t="s">
        <v>3343</v>
      </c>
      <c r="L200" s="5" t="s">
        <v>3452</v>
      </c>
      <c r="AC200">
        <v>1</v>
      </c>
      <c r="AG200" t="s">
        <v>3813</v>
      </c>
      <c r="AV200">
        <v>99</v>
      </c>
      <c r="AY200" s="5"/>
      <c r="BD200">
        <v>99</v>
      </c>
      <c r="BT200">
        <v>30</v>
      </c>
      <c r="BV200" s="8">
        <v>0</v>
      </c>
      <c r="BW200" s="8">
        <v>30</v>
      </c>
      <c r="BX200" s="8">
        <v>1</v>
      </c>
      <c r="BY200" s="8" t="s">
        <v>3344</v>
      </c>
      <c r="CB200" s="5"/>
      <c r="CC200" s="5"/>
      <c r="CD200" s="5"/>
      <c r="CE200" s="5"/>
      <c r="CF200" s="5"/>
      <c r="CH200" s="5"/>
      <c r="CI200" s="5"/>
      <c r="CJ200" s="5"/>
      <c r="CK200" s="5"/>
      <c r="CL200" s="5"/>
      <c r="CM200" s="5"/>
      <c r="CN200" s="9" t="s">
        <v>3814</v>
      </c>
      <c r="CO200" t="s">
        <v>3815</v>
      </c>
      <c r="CP200">
        <v>70</v>
      </c>
      <c r="CR200">
        <v>30</v>
      </c>
    </row>
    <row r="201" spans="1:107" x14ac:dyDescent="0.25">
      <c r="A201" t="s">
        <v>3816</v>
      </c>
      <c r="C201" t="s">
        <v>3326</v>
      </c>
      <c r="D201" t="s">
        <v>3817</v>
      </c>
      <c r="E201" t="s">
        <v>3818</v>
      </c>
      <c r="F201" t="s">
        <v>3819</v>
      </c>
      <c r="G201">
        <v>3</v>
      </c>
      <c r="J201" t="s">
        <v>3445</v>
      </c>
      <c r="K201" s="5" t="s">
        <v>3343</v>
      </c>
      <c r="P201"/>
      <c r="AC201">
        <v>2</v>
      </c>
      <c r="AO201" t="s">
        <v>3417</v>
      </c>
      <c r="AT201" t="s">
        <v>3820</v>
      </c>
      <c r="AY201" s="5"/>
      <c r="AZ201">
        <v>1</v>
      </c>
      <c r="BD201">
        <v>1</v>
      </c>
      <c r="BO201" s="7" t="s">
        <v>3821</v>
      </c>
      <c r="BT201">
        <v>55</v>
      </c>
      <c r="BV201" s="8">
        <v>60</v>
      </c>
      <c r="BW201" s="8">
        <v>80</v>
      </c>
      <c r="BX201" s="8">
        <v>1</v>
      </c>
      <c r="BY201" s="8" t="s">
        <v>3344</v>
      </c>
      <c r="CB201" t="s">
        <v>136</v>
      </c>
      <c r="CD201" s="5"/>
      <c r="CE201" s="5"/>
      <c r="CF201" s="5"/>
      <c r="CG201" t="s">
        <v>3410</v>
      </c>
      <c r="CH201" t="s">
        <v>3433</v>
      </c>
      <c r="CI201" t="s">
        <v>3412</v>
      </c>
      <c r="CJ201" s="5"/>
      <c r="CK201" s="5"/>
      <c r="CL201" s="5"/>
      <c r="CM201" s="5"/>
      <c r="CW201" t="s">
        <v>3803</v>
      </c>
      <c r="CY201" t="s">
        <v>3804</v>
      </c>
      <c r="DC201" t="s">
        <v>3822</v>
      </c>
    </row>
    <row r="202" spans="1:107" x14ac:dyDescent="0.25">
      <c r="A202" t="s">
        <v>3821</v>
      </c>
      <c r="C202" t="s">
        <v>3326</v>
      </c>
      <c r="J202" t="s">
        <v>3445</v>
      </c>
      <c r="K202" s="5" t="s">
        <v>3344</v>
      </c>
      <c r="AC202">
        <v>1</v>
      </c>
      <c r="AT202" t="s">
        <v>3820</v>
      </c>
      <c r="AY202" s="5"/>
      <c r="BD202">
        <v>99</v>
      </c>
      <c r="CB202" s="5"/>
      <c r="CC202" s="5"/>
      <c r="CD202" s="5"/>
      <c r="CE202" s="5"/>
      <c r="CF202" s="5"/>
      <c r="CH202" s="5"/>
      <c r="CI202" s="5"/>
      <c r="CJ202" s="5"/>
      <c r="CK202" s="5"/>
      <c r="CL202" s="5"/>
      <c r="CM202" s="5"/>
      <c r="CN202" s="9" t="s">
        <v>3823</v>
      </c>
      <c r="CO202">
        <v>0.5</v>
      </c>
      <c r="CR202">
        <v>0.1</v>
      </c>
    </row>
    <row r="204" spans="1:107" x14ac:dyDescent="0.25">
      <c r="A204" t="s">
        <v>568</v>
      </c>
      <c r="C204" t="s">
        <v>3326</v>
      </c>
      <c r="K204" s="5" t="s">
        <v>3344</v>
      </c>
      <c r="AC204">
        <v>2</v>
      </c>
      <c r="AD204">
        <v>1</v>
      </c>
      <c r="AO204" t="s">
        <v>3417</v>
      </c>
      <c r="AT204" t="s">
        <v>3483</v>
      </c>
      <c r="AX204" t="s">
        <v>3432</v>
      </c>
      <c r="AZ204">
        <v>1</v>
      </c>
      <c r="BD204">
        <v>1</v>
      </c>
      <c r="CB204" t="s">
        <v>136</v>
      </c>
      <c r="CG204" t="s">
        <v>3410</v>
      </c>
      <c r="CH204" t="s">
        <v>3824</v>
      </c>
      <c r="CI204" t="s">
        <v>3412</v>
      </c>
      <c r="CN204" s="9" t="s">
        <v>3486</v>
      </c>
      <c r="CO204">
        <v>-0.8</v>
      </c>
      <c r="CR204">
        <v>0.9</v>
      </c>
      <c r="CY204" t="s">
        <v>3825</v>
      </c>
    </row>
    <row r="205" spans="1:107" x14ac:dyDescent="0.25">
      <c r="A205" t="s">
        <v>3826</v>
      </c>
      <c r="C205" t="s">
        <v>3326</v>
      </c>
      <c r="D205" t="s">
        <v>3827</v>
      </c>
      <c r="E205" t="s">
        <v>3828</v>
      </c>
      <c r="F205" t="s">
        <v>3829</v>
      </c>
      <c r="G205">
        <v>3</v>
      </c>
      <c r="J205" t="s">
        <v>3445</v>
      </c>
      <c r="K205" s="5" t="s">
        <v>3343</v>
      </c>
      <c r="AC205">
        <v>2</v>
      </c>
      <c r="AD205">
        <v>1</v>
      </c>
      <c r="AO205" t="s">
        <v>3417</v>
      </c>
      <c r="AT205" t="s">
        <v>3483</v>
      </c>
      <c r="AX205" t="s">
        <v>3432</v>
      </c>
      <c r="BD205">
        <v>99</v>
      </c>
      <c r="BO205" s="7" t="s">
        <v>3830</v>
      </c>
      <c r="BS205">
        <v>1.4</v>
      </c>
      <c r="BT205">
        <v>25</v>
      </c>
      <c r="BV205" s="8">
        <v>15</v>
      </c>
      <c r="BW205" s="8">
        <v>40</v>
      </c>
      <c r="BX205" s="8">
        <v>1</v>
      </c>
      <c r="BY205" s="8" t="s">
        <v>3344</v>
      </c>
      <c r="CE205" t="s">
        <v>801</v>
      </c>
      <c r="CG205" t="s">
        <v>3831</v>
      </c>
      <c r="CN205" s="9" t="s">
        <v>3486</v>
      </c>
      <c r="CO205">
        <v>-0.8</v>
      </c>
      <c r="CR205">
        <v>0.9</v>
      </c>
      <c r="CY205" t="s">
        <v>3825</v>
      </c>
      <c r="DC205" t="s">
        <v>3832</v>
      </c>
    </row>
    <row r="206" spans="1:107" x14ac:dyDescent="0.25">
      <c r="A206" t="s">
        <v>3830</v>
      </c>
      <c r="C206" t="s">
        <v>3326</v>
      </c>
      <c r="K206" s="5" t="s">
        <v>3314</v>
      </c>
      <c r="L206" s="5" t="s">
        <v>3452</v>
      </c>
      <c r="AC206">
        <v>1</v>
      </c>
      <c r="AY206" s="5"/>
      <c r="BD206">
        <v>1</v>
      </c>
      <c r="CB206" s="5"/>
      <c r="CC206" s="5"/>
      <c r="CD206" s="5"/>
      <c r="CE206" s="5"/>
      <c r="CF206" s="5"/>
      <c r="CH206" s="5"/>
      <c r="CI206" s="5"/>
      <c r="CJ206" s="5"/>
      <c r="CK206" s="5"/>
      <c r="CL206" s="5"/>
      <c r="CM206" s="5"/>
      <c r="CN206" s="9" t="s">
        <v>3454</v>
      </c>
      <c r="CR206">
        <v>25</v>
      </c>
    </row>
    <row r="208" spans="1:107" x14ac:dyDescent="0.25">
      <c r="A208" t="s">
        <v>3833</v>
      </c>
      <c r="C208" t="s">
        <v>3326</v>
      </c>
      <c r="K208" s="5" t="s">
        <v>3344</v>
      </c>
      <c r="AC208">
        <v>1</v>
      </c>
      <c r="AO208" t="s">
        <v>3408</v>
      </c>
      <c r="AT208" t="s">
        <v>3483</v>
      </c>
      <c r="AY208">
        <v>1</v>
      </c>
      <c r="AZ208">
        <v>1</v>
      </c>
      <c r="BD208">
        <v>3</v>
      </c>
      <c r="CB208" t="s">
        <v>136</v>
      </c>
      <c r="CG208" t="s">
        <v>3410</v>
      </c>
      <c r="CY208" t="s">
        <v>3391</v>
      </c>
    </row>
    <row r="209" spans="1:108" x14ac:dyDescent="0.25">
      <c r="A209" t="s">
        <v>3834</v>
      </c>
      <c r="C209" t="s">
        <v>3326</v>
      </c>
      <c r="K209" s="5" t="s">
        <v>3314</v>
      </c>
      <c r="L209" s="5" t="s">
        <v>3327</v>
      </c>
      <c r="AC209">
        <v>1</v>
      </c>
      <c r="AY209" s="5"/>
      <c r="BD209">
        <v>99</v>
      </c>
      <c r="BO209" s="7" t="s">
        <v>3835</v>
      </c>
      <c r="BV209"/>
      <c r="BW209"/>
      <c r="BX209"/>
      <c r="BY209"/>
      <c r="BZ209"/>
      <c r="CA209"/>
      <c r="CB209" s="5"/>
      <c r="CC209" s="5"/>
      <c r="CD209" s="5"/>
      <c r="CE209" s="5"/>
      <c r="CF209" s="5"/>
      <c r="CH209" s="5"/>
      <c r="CI209" s="5"/>
      <c r="CJ209" s="5"/>
      <c r="CK209" s="5"/>
      <c r="CL209" s="5"/>
      <c r="CM209" s="5"/>
      <c r="CN209" s="9" t="s">
        <v>3836</v>
      </c>
      <c r="CO209">
        <v>0.3</v>
      </c>
      <c r="CR209">
        <v>99999</v>
      </c>
      <c r="CT209">
        <v>1</v>
      </c>
    </row>
    <row r="210" spans="1:108" x14ac:dyDescent="0.25">
      <c r="A210" t="s">
        <v>3835</v>
      </c>
      <c r="C210" t="s">
        <v>3326</v>
      </c>
      <c r="K210" s="5" t="s">
        <v>3314</v>
      </c>
      <c r="L210" s="5" t="s">
        <v>3327</v>
      </c>
      <c r="AC210">
        <v>1</v>
      </c>
      <c r="AF210">
        <v>1</v>
      </c>
      <c r="AG210" t="s">
        <v>3837</v>
      </c>
      <c r="AY210" s="5"/>
      <c r="BD210">
        <v>1</v>
      </c>
      <c r="BV210"/>
      <c r="BW210"/>
      <c r="BX210"/>
      <c r="BY210"/>
      <c r="BZ210"/>
      <c r="CA210"/>
      <c r="CB210" s="5"/>
      <c r="CC210" s="5"/>
      <c r="CD210" s="5"/>
      <c r="CE210" s="5"/>
      <c r="CF210" s="5"/>
      <c r="CH210" s="5"/>
      <c r="CI210" s="5"/>
      <c r="CJ210" s="5"/>
      <c r="CK210" s="5"/>
      <c r="CL210" s="5"/>
      <c r="CM210" s="5"/>
      <c r="CN210" s="9" t="s">
        <v>3836</v>
      </c>
      <c r="CO210">
        <v>0.3</v>
      </c>
      <c r="CR210">
        <v>99999</v>
      </c>
      <c r="CT210">
        <v>1</v>
      </c>
    </row>
    <row r="211" spans="1:108" x14ac:dyDescent="0.25">
      <c r="A211" t="s">
        <v>3838</v>
      </c>
      <c r="C211" t="s">
        <v>3326</v>
      </c>
      <c r="D211" t="s">
        <v>3839</v>
      </c>
      <c r="E211" t="s">
        <v>3840</v>
      </c>
      <c r="F211" t="s">
        <v>3841</v>
      </c>
      <c r="G211">
        <v>3</v>
      </c>
      <c r="J211" t="s">
        <v>3445</v>
      </c>
      <c r="K211" s="5" t="s">
        <v>3343</v>
      </c>
      <c r="AC211">
        <v>1</v>
      </c>
      <c r="AO211" t="s">
        <v>3408</v>
      </c>
      <c r="AT211" t="s">
        <v>3842</v>
      </c>
      <c r="AY211">
        <v>1</v>
      </c>
      <c r="AZ211">
        <v>1</v>
      </c>
      <c r="BD211">
        <v>3</v>
      </c>
      <c r="BO211" s="7" t="s">
        <v>3843</v>
      </c>
      <c r="BT211">
        <v>40</v>
      </c>
      <c r="BV211" s="8">
        <v>85</v>
      </c>
      <c r="BW211" s="8">
        <v>100</v>
      </c>
      <c r="BX211" s="8">
        <v>1</v>
      </c>
      <c r="BY211" s="8" t="s">
        <v>3344</v>
      </c>
      <c r="CB211" s="5" t="s">
        <v>211</v>
      </c>
      <c r="CC211" s="5"/>
      <c r="CD211" s="5"/>
      <c r="CE211" s="5" t="s">
        <v>516</v>
      </c>
      <c r="CF211" s="5"/>
      <c r="CG211" t="s">
        <v>3410</v>
      </c>
      <c r="CH211" s="5"/>
      <c r="CI211" s="5"/>
      <c r="CJ211" s="5"/>
      <c r="CK211" s="5"/>
      <c r="CL211" s="5"/>
      <c r="CM211" s="5"/>
    </row>
    <row r="212" spans="1:108" x14ac:dyDescent="0.25">
      <c r="A212" t="s">
        <v>3843</v>
      </c>
      <c r="C212" t="s">
        <v>3326</v>
      </c>
      <c r="K212" s="5" t="s">
        <v>3314</v>
      </c>
      <c r="L212" s="5" t="s">
        <v>3452</v>
      </c>
      <c r="AC212">
        <v>1</v>
      </c>
      <c r="AY212" s="5"/>
      <c r="BD212">
        <v>1</v>
      </c>
      <c r="CB212" s="5"/>
      <c r="CC212" s="5"/>
      <c r="CD212" s="5"/>
      <c r="CE212" s="5"/>
      <c r="CF212" s="5"/>
      <c r="CH212" s="5"/>
      <c r="CI212" s="5"/>
      <c r="CJ212" s="5"/>
      <c r="CK212" s="5"/>
      <c r="CL212" s="5"/>
      <c r="CM212" s="5"/>
      <c r="CN212" s="9" t="s">
        <v>3844</v>
      </c>
      <c r="CO212">
        <v>-2.1</v>
      </c>
      <c r="CR212">
        <v>40</v>
      </c>
    </row>
    <row r="214" spans="1:108" x14ac:dyDescent="0.25">
      <c r="A214" t="s">
        <v>3845</v>
      </c>
      <c r="C214" t="s">
        <v>3416</v>
      </c>
      <c r="K214" s="5" t="s">
        <v>3344</v>
      </c>
      <c r="AC214">
        <v>2</v>
      </c>
      <c r="AO214" t="s">
        <v>3417</v>
      </c>
      <c r="AT214" t="s">
        <v>3418</v>
      </c>
      <c r="AX214" t="s">
        <v>3419</v>
      </c>
      <c r="AZ214">
        <v>1</v>
      </c>
      <c r="BD214">
        <v>1</v>
      </c>
      <c r="CB214" t="s">
        <v>136</v>
      </c>
      <c r="CG214" t="s">
        <v>3410</v>
      </c>
      <c r="CX214" t="s">
        <v>3846</v>
      </c>
      <c r="CY214" t="s">
        <v>3847</v>
      </c>
    </row>
    <row r="215" spans="1:108" x14ac:dyDescent="0.25">
      <c r="A215" t="s">
        <v>3848</v>
      </c>
      <c r="C215" t="s">
        <v>3326</v>
      </c>
      <c r="K215" s="5" t="s">
        <v>3314</v>
      </c>
      <c r="L215" s="5" t="s">
        <v>3330</v>
      </c>
      <c r="AC215">
        <v>1</v>
      </c>
      <c r="AG215" t="s">
        <v>3316</v>
      </c>
      <c r="AH215">
        <v>1</v>
      </c>
      <c r="AY215" s="5"/>
      <c r="BD215">
        <v>1</v>
      </c>
      <c r="BV215"/>
      <c r="BW215"/>
      <c r="BX215"/>
      <c r="BY215"/>
      <c r="BZ215"/>
      <c r="CA215"/>
      <c r="CB215" s="5"/>
      <c r="CC215" s="5"/>
      <c r="CD215" s="5"/>
      <c r="CE215" s="5"/>
      <c r="CF215" s="5"/>
      <c r="CH215" s="5"/>
      <c r="CI215" s="5"/>
      <c r="CJ215" s="5"/>
      <c r="CK215" s="5"/>
      <c r="CL215" s="5"/>
      <c r="CM215" s="5"/>
      <c r="CN215" s="9" t="s">
        <v>3848</v>
      </c>
      <c r="CR215">
        <v>99999</v>
      </c>
    </row>
    <row r="216" spans="1:108" x14ac:dyDescent="0.25">
      <c r="A216" t="s">
        <v>3849</v>
      </c>
      <c r="C216" t="s">
        <v>3416</v>
      </c>
      <c r="D216" t="s">
        <v>3850</v>
      </c>
      <c r="E216" t="s">
        <v>3851</v>
      </c>
      <c r="F216" t="s">
        <v>3852</v>
      </c>
      <c r="G216">
        <v>3</v>
      </c>
      <c r="J216" t="s">
        <v>3445</v>
      </c>
      <c r="K216" s="5" t="s">
        <v>3343</v>
      </c>
      <c r="AC216">
        <v>2</v>
      </c>
      <c r="AO216" t="s">
        <v>3417</v>
      </c>
      <c r="AT216" t="s">
        <v>3418</v>
      </c>
      <c r="AX216" t="s">
        <v>3419</v>
      </c>
      <c r="AZ216">
        <v>1</v>
      </c>
      <c r="BD216">
        <v>1</v>
      </c>
      <c r="BO216" s="7" t="s">
        <v>3853</v>
      </c>
      <c r="BT216">
        <v>30</v>
      </c>
      <c r="BV216" s="8">
        <v>10</v>
      </c>
      <c r="BW216" s="8">
        <v>20</v>
      </c>
      <c r="BX216" s="8">
        <v>1</v>
      </c>
      <c r="BY216" s="8" t="s">
        <v>3344</v>
      </c>
      <c r="CB216" t="s">
        <v>627</v>
      </c>
      <c r="CD216" t="s">
        <v>3854</v>
      </c>
      <c r="CG216" t="s">
        <v>3410</v>
      </c>
      <c r="CX216" t="s">
        <v>3855</v>
      </c>
      <c r="CY216" t="s">
        <v>3856</v>
      </c>
    </row>
    <row r="217" spans="1:108" x14ac:dyDescent="0.25">
      <c r="A217" t="s">
        <v>3853</v>
      </c>
      <c r="C217" t="s">
        <v>3326</v>
      </c>
      <c r="K217" s="5" t="s">
        <v>3314</v>
      </c>
      <c r="L217" s="5" t="s">
        <v>3452</v>
      </c>
      <c r="AC217">
        <v>1</v>
      </c>
      <c r="AG217" t="s">
        <v>3316</v>
      </c>
      <c r="AY217" s="5"/>
      <c r="BD217">
        <v>1</v>
      </c>
      <c r="CB217" s="5"/>
      <c r="CC217" s="5"/>
      <c r="CD217" s="5"/>
      <c r="CE217" s="5"/>
      <c r="CF217" s="5"/>
      <c r="CH217" s="5"/>
      <c r="CI217" s="5"/>
      <c r="CJ217" s="5"/>
      <c r="CK217" s="5"/>
      <c r="CL217" s="5"/>
      <c r="CM217" s="5"/>
      <c r="CN217" s="9" t="s">
        <v>3857</v>
      </c>
      <c r="CP217" t="s">
        <v>3858</v>
      </c>
      <c r="CR217">
        <v>30</v>
      </c>
      <c r="DD217">
        <v>1</v>
      </c>
    </row>
    <row r="218" spans="1:108" x14ac:dyDescent="0.25">
      <c r="AY218" s="5"/>
      <c r="CB218" s="5"/>
      <c r="CC218" s="5"/>
      <c r="CD218" s="5"/>
      <c r="CE218" s="5"/>
      <c r="CF218" s="5"/>
      <c r="CH218" s="5"/>
      <c r="CI218" s="5"/>
      <c r="CJ218" s="5"/>
      <c r="CK218" s="5"/>
      <c r="CL218" s="5"/>
      <c r="CM218" s="5"/>
    </row>
    <row r="219" spans="1:108" x14ac:dyDescent="0.25">
      <c r="A219" t="s">
        <v>3859</v>
      </c>
      <c r="C219" t="s">
        <v>3416</v>
      </c>
      <c r="K219" s="5" t="s">
        <v>3344</v>
      </c>
      <c r="AC219">
        <v>2</v>
      </c>
      <c r="AO219" t="s">
        <v>3417</v>
      </c>
      <c r="AT219" t="s">
        <v>3418</v>
      </c>
      <c r="AX219" t="s">
        <v>3419</v>
      </c>
      <c r="AZ219">
        <v>1</v>
      </c>
      <c r="BD219">
        <v>1</v>
      </c>
      <c r="CB219" t="s">
        <v>136</v>
      </c>
      <c r="CG219" t="s">
        <v>3410</v>
      </c>
      <c r="CY219" t="s">
        <v>3860</v>
      </c>
    </row>
    <row r="220" spans="1:108" x14ac:dyDescent="0.25">
      <c r="A220" t="s">
        <v>3861</v>
      </c>
      <c r="C220" t="s">
        <v>3416</v>
      </c>
      <c r="J220" t="s">
        <v>3342</v>
      </c>
      <c r="K220" s="5" t="s">
        <v>3344</v>
      </c>
      <c r="AC220">
        <v>2</v>
      </c>
      <c r="AO220" t="s">
        <v>3417</v>
      </c>
      <c r="AT220" t="s">
        <v>3418</v>
      </c>
      <c r="AX220" t="s">
        <v>3419</v>
      </c>
      <c r="AZ220">
        <v>2</v>
      </c>
      <c r="BD220">
        <v>1</v>
      </c>
      <c r="BO220" s="7" t="s">
        <v>3862</v>
      </c>
      <c r="BT220">
        <v>0.2</v>
      </c>
      <c r="BV220" s="8">
        <v>0</v>
      </c>
      <c r="BW220" s="8">
        <v>1</v>
      </c>
      <c r="BX220" s="8">
        <v>999</v>
      </c>
      <c r="BY220" s="8" t="s">
        <v>3863</v>
      </c>
      <c r="CB220" t="s">
        <v>136</v>
      </c>
      <c r="CG220" t="s">
        <v>3410</v>
      </c>
      <c r="CY220" t="s">
        <v>3860</v>
      </c>
    </row>
    <row r="221" spans="1:108" x14ac:dyDescent="0.25">
      <c r="A221" t="s">
        <v>3862</v>
      </c>
      <c r="C221" t="s">
        <v>3326</v>
      </c>
      <c r="K221" s="5" t="s">
        <v>3314</v>
      </c>
      <c r="L221" s="5" t="s">
        <v>3330</v>
      </c>
      <c r="AC221">
        <v>1</v>
      </c>
      <c r="AG221" t="s">
        <v>3316</v>
      </c>
      <c r="AH221">
        <v>1</v>
      </c>
      <c r="AY221" s="5"/>
      <c r="BD221">
        <v>1</v>
      </c>
      <c r="BV221"/>
      <c r="BW221"/>
      <c r="BX221"/>
      <c r="BY221"/>
      <c r="BZ221"/>
      <c r="CA221"/>
      <c r="CB221" s="5"/>
      <c r="CC221" s="5"/>
      <c r="CD221" s="5"/>
      <c r="CE221" s="5"/>
      <c r="CF221" s="5"/>
      <c r="CH221" s="5"/>
      <c r="CI221" s="5"/>
      <c r="CJ221" s="5"/>
      <c r="CK221" s="5"/>
      <c r="CL221" s="5"/>
      <c r="CM221" s="5"/>
      <c r="CN221" s="9" t="s">
        <v>3823</v>
      </c>
      <c r="CO221">
        <v>0.33</v>
      </c>
      <c r="CR221">
        <v>99999</v>
      </c>
    </row>
    <row r="222" spans="1:108" x14ac:dyDescent="0.25">
      <c r="A222" t="s">
        <v>3864</v>
      </c>
      <c r="C222" t="s">
        <v>3326</v>
      </c>
      <c r="D222" t="s">
        <v>3865</v>
      </c>
      <c r="E222" t="s">
        <v>3866</v>
      </c>
      <c r="F222" t="s">
        <v>3867</v>
      </c>
      <c r="G222">
        <v>3</v>
      </c>
      <c r="J222" t="s">
        <v>3342</v>
      </c>
      <c r="K222" s="5" t="s">
        <v>3344</v>
      </c>
      <c r="AC222">
        <v>2</v>
      </c>
      <c r="AO222" t="s">
        <v>3417</v>
      </c>
      <c r="AT222" t="s">
        <v>3418</v>
      </c>
      <c r="AX222" t="s">
        <v>3419</v>
      </c>
      <c r="AZ222">
        <v>2.4</v>
      </c>
      <c r="BD222">
        <v>1</v>
      </c>
      <c r="BT222">
        <v>0.2</v>
      </c>
      <c r="BV222" s="8">
        <v>0</v>
      </c>
      <c r="BW222" s="8">
        <v>4</v>
      </c>
      <c r="BX222" s="8">
        <v>1</v>
      </c>
      <c r="BY222" s="8" t="s">
        <v>3497</v>
      </c>
      <c r="CB222" t="s">
        <v>136</v>
      </c>
      <c r="CG222" t="s">
        <v>3410</v>
      </c>
      <c r="CJ222" t="s">
        <v>3868</v>
      </c>
      <c r="CW222" t="s">
        <v>3869</v>
      </c>
      <c r="CY222" t="s">
        <v>3870</v>
      </c>
    </row>
    <row r="223" spans="1:108" x14ac:dyDescent="0.25">
      <c r="A223" t="s">
        <v>3871</v>
      </c>
      <c r="C223" t="s">
        <v>3416</v>
      </c>
      <c r="D223" t="s">
        <v>3872</v>
      </c>
      <c r="E223" t="s">
        <v>3873</v>
      </c>
      <c r="F223" t="s">
        <v>3874</v>
      </c>
      <c r="G223">
        <v>3</v>
      </c>
      <c r="J223" t="s">
        <v>3445</v>
      </c>
      <c r="K223" s="5" t="s">
        <v>3343</v>
      </c>
      <c r="AC223">
        <v>2</v>
      </c>
      <c r="AO223" t="s">
        <v>3417</v>
      </c>
      <c r="AT223" t="s">
        <v>3418</v>
      </c>
      <c r="AX223" t="s">
        <v>3432</v>
      </c>
      <c r="AZ223">
        <v>1</v>
      </c>
      <c r="BC223">
        <v>0.25</v>
      </c>
      <c r="BD223">
        <v>1</v>
      </c>
      <c r="BO223" s="7" t="s">
        <v>3875</v>
      </c>
      <c r="BT223">
        <v>25</v>
      </c>
      <c r="BV223" s="8">
        <v>25</v>
      </c>
      <c r="BW223" s="8">
        <v>50</v>
      </c>
      <c r="BX223" s="8">
        <v>1</v>
      </c>
      <c r="BY223" s="8" t="s">
        <v>3344</v>
      </c>
      <c r="CB223" t="s">
        <v>136</v>
      </c>
      <c r="CG223" t="s">
        <v>3410</v>
      </c>
      <c r="CX223" t="s">
        <v>3876</v>
      </c>
      <c r="CY223" t="s">
        <v>3877</v>
      </c>
    </row>
    <row r="224" spans="1:108" x14ac:dyDescent="0.25">
      <c r="A224" t="s">
        <v>3875</v>
      </c>
      <c r="C224" t="s">
        <v>3326</v>
      </c>
      <c r="K224" s="5" t="s">
        <v>3314</v>
      </c>
      <c r="L224" s="5" t="s">
        <v>3452</v>
      </c>
      <c r="AC224">
        <v>1</v>
      </c>
      <c r="AG224" t="s">
        <v>3316</v>
      </c>
      <c r="AY224" s="5"/>
      <c r="BD224">
        <v>1</v>
      </c>
      <c r="CB224" s="5"/>
      <c r="CC224" s="5"/>
      <c r="CD224" s="5"/>
      <c r="CE224" s="5"/>
      <c r="CF224" s="5"/>
      <c r="CH224" s="5"/>
      <c r="CI224" s="5"/>
      <c r="CJ224" s="5"/>
      <c r="CK224" s="5"/>
      <c r="CL224" s="5"/>
      <c r="CM224" s="5"/>
      <c r="CN224" s="9" t="s">
        <v>3878</v>
      </c>
      <c r="CO224">
        <v>1.2</v>
      </c>
      <c r="CR224">
        <v>25</v>
      </c>
      <c r="DD224">
        <v>1</v>
      </c>
    </row>
    <row r="225" spans="1:108" x14ac:dyDescent="0.25">
      <c r="AY225" s="5"/>
      <c r="CB225" s="5"/>
      <c r="CC225" s="5"/>
      <c r="CD225" s="5"/>
      <c r="CE225" s="5"/>
      <c r="CF225" s="5"/>
      <c r="CH225" s="5"/>
      <c r="CI225" s="5"/>
      <c r="CJ225" s="5"/>
      <c r="CK225" s="5"/>
      <c r="CL225" s="5"/>
      <c r="CM225" s="5"/>
    </row>
    <row r="226" spans="1:108" x14ac:dyDescent="0.25">
      <c r="A226" t="s">
        <v>3879</v>
      </c>
      <c r="C226" t="s">
        <v>3416</v>
      </c>
      <c r="K226" s="5" t="s">
        <v>3344</v>
      </c>
      <c r="AC226">
        <v>2</v>
      </c>
      <c r="AO226" t="s">
        <v>3417</v>
      </c>
      <c r="AX226" t="s">
        <v>3419</v>
      </c>
      <c r="AZ226">
        <v>1</v>
      </c>
      <c r="BD226">
        <v>1</v>
      </c>
      <c r="CB226" t="s">
        <v>3459</v>
      </c>
      <c r="CG226" t="s">
        <v>3410</v>
      </c>
      <c r="CN226" s="9" t="s">
        <v>3880</v>
      </c>
      <c r="CR226">
        <v>6</v>
      </c>
      <c r="CX226" t="s">
        <v>3881</v>
      </c>
      <c r="CY226" t="s">
        <v>3882</v>
      </c>
    </row>
    <row r="227" spans="1:108" x14ac:dyDescent="0.25">
      <c r="A227" t="s">
        <v>589</v>
      </c>
      <c r="C227" t="s">
        <v>3326</v>
      </c>
      <c r="K227" s="5" t="s">
        <v>3344</v>
      </c>
      <c r="P227"/>
      <c r="Q227"/>
      <c r="R227"/>
      <c r="S227"/>
      <c r="T227"/>
      <c r="Z227">
        <v>1</v>
      </c>
      <c r="AC227">
        <v>2</v>
      </c>
      <c r="AD227">
        <v>1</v>
      </c>
      <c r="AO227" t="s">
        <v>3417</v>
      </c>
      <c r="AT227" t="s">
        <v>3463</v>
      </c>
      <c r="AX227" t="s">
        <v>3419</v>
      </c>
      <c r="AZ227">
        <v>0.8</v>
      </c>
      <c r="BD227">
        <v>1</v>
      </c>
      <c r="BO227" s="7" t="s">
        <v>3879</v>
      </c>
      <c r="CB227" t="s">
        <v>136</v>
      </c>
      <c r="CG227" t="s">
        <v>3410</v>
      </c>
      <c r="CH227" t="s">
        <v>3465</v>
      </c>
      <c r="CI227" t="s">
        <v>3412</v>
      </c>
      <c r="CN227" s="9" t="s">
        <v>3880</v>
      </c>
      <c r="CR227">
        <v>6</v>
      </c>
      <c r="CX227" t="s">
        <v>3883</v>
      </c>
      <c r="CY227" t="s">
        <v>3884</v>
      </c>
    </row>
    <row r="228" spans="1:108" x14ac:dyDescent="0.25">
      <c r="A228" t="s">
        <v>3885</v>
      </c>
      <c r="C228" t="s">
        <v>3326</v>
      </c>
      <c r="D228" t="s">
        <v>3886</v>
      </c>
      <c r="E228" t="s">
        <v>3887</v>
      </c>
      <c r="F228" t="s">
        <v>3888</v>
      </c>
      <c r="G228">
        <v>3</v>
      </c>
      <c r="J228" t="s">
        <v>3342</v>
      </c>
      <c r="K228" s="5" t="s">
        <v>3344</v>
      </c>
      <c r="W228" s="5">
        <v>1</v>
      </c>
      <c r="AC228">
        <v>1</v>
      </c>
      <c r="AG228" t="s">
        <v>3316</v>
      </c>
      <c r="AY228" s="5"/>
      <c r="BD228">
        <v>1</v>
      </c>
      <c r="BT228">
        <v>99999</v>
      </c>
      <c r="BV228" s="8">
        <v>0</v>
      </c>
      <c r="BW228" s="8">
        <v>30</v>
      </c>
      <c r="BX228" s="8">
        <v>1</v>
      </c>
      <c r="BY228" s="8" t="s">
        <v>3497</v>
      </c>
      <c r="CB228" s="5"/>
      <c r="CC228" s="5"/>
      <c r="CD228" s="5"/>
      <c r="CE228" s="5"/>
      <c r="CF228" s="5"/>
      <c r="CH228" s="5"/>
      <c r="CI228" s="5"/>
      <c r="CJ228" s="5"/>
      <c r="CK228" s="5"/>
      <c r="CL228" s="5"/>
      <c r="CM228" s="5"/>
      <c r="CN228" s="9" t="s">
        <v>3889</v>
      </c>
      <c r="CO228">
        <v>0.7</v>
      </c>
      <c r="CP228">
        <v>0.4</v>
      </c>
      <c r="CR228">
        <v>99999</v>
      </c>
    </row>
    <row r="229" spans="1:108" x14ac:dyDescent="0.25">
      <c r="A229" t="s">
        <v>3890</v>
      </c>
      <c r="C229" t="s">
        <v>3326</v>
      </c>
      <c r="D229" t="s">
        <v>3891</v>
      </c>
      <c r="E229" t="s">
        <v>3892</v>
      </c>
      <c r="F229" t="s">
        <v>3893</v>
      </c>
      <c r="G229">
        <v>3</v>
      </c>
      <c r="J229" t="s">
        <v>3445</v>
      </c>
      <c r="K229" s="5" t="s">
        <v>3344</v>
      </c>
      <c r="P229"/>
      <c r="Q229"/>
      <c r="R229"/>
      <c r="S229"/>
      <c r="T229"/>
      <c r="W229" s="5">
        <v>1</v>
      </c>
      <c r="AC229">
        <v>2</v>
      </c>
      <c r="AD229">
        <v>1</v>
      </c>
      <c r="AO229" t="s">
        <v>3417</v>
      </c>
      <c r="AT229" t="s">
        <v>3463</v>
      </c>
      <c r="AX229" t="s">
        <v>3432</v>
      </c>
      <c r="AZ229">
        <v>1</v>
      </c>
      <c r="BD229">
        <v>2</v>
      </c>
      <c r="BO229" s="7" t="s">
        <v>3894</v>
      </c>
      <c r="BT229">
        <v>20</v>
      </c>
      <c r="BV229" s="8">
        <v>0</v>
      </c>
      <c r="BW229" s="8">
        <v>17</v>
      </c>
      <c r="BX229" s="8">
        <v>1</v>
      </c>
      <c r="BY229" s="8" t="s">
        <v>3497</v>
      </c>
      <c r="CB229" t="s">
        <v>627</v>
      </c>
      <c r="CG229" t="s">
        <v>3410</v>
      </c>
      <c r="CH229" t="s">
        <v>3895</v>
      </c>
      <c r="CI229" t="s">
        <v>3412</v>
      </c>
      <c r="CN229" s="9" t="s">
        <v>3880</v>
      </c>
      <c r="CR229">
        <v>6</v>
      </c>
      <c r="CX229" t="s">
        <v>3896</v>
      </c>
      <c r="CY229" t="s">
        <v>3897</v>
      </c>
    </row>
    <row r="230" spans="1:108" x14ac:dyDescent="0.25">
      <c r="A230" t="s">
        <v>3894</v>
      </c>
      <c r="C230" t="s">
        <v>3326</v>
      </c>
      <c r="K230" s="5" t="s">
        <v>3314</v>
      </c>
      <c r="L230" s="5" t="s">
        <v>3452</v>
      </c>
      <c r="AC230">
        <v>1</v>
      </c>
      <c r="AG230" t="s">
        <v>3316</v>
      </c>
      <c r="AY230" s="5"/>
      <c r="BD230">
        <v>1</v>
      </c>
      <c r="CB230" s="5"/>
      <c r="CC230" s="5"/>
      <c r="CD230" s="5"/>
      <c r="CE230" s="5"/>
      <c r="CF230" s="5"/>
      <c r="CH230" s="5"/>
      <c r="CI230" s="5"/>
      <c r="CJ230" s="5"/>
      <c r="CK230" s="5"/>
      <c r="CL230" s="5"/>
      <c r="CM230" s="5"/>
      <c r="CN230" s="9" t="s">
        <v>3898</v>
      </c>
      <c r="CO230">
        <v>1.2</v>
      </c>
      <c r="CR230">
        <v>20</v>
      </c>
      <c r="DD230">
        <v>1</v>
      </c>
    </row>
    <row r="232" spans="1:108" x14ac:dyDescent="0.25">
      <c r="A232" t="s">
        <v>3899</v>
      </c>
      <c r="C232" t="s">
        <v>3456</v>
      </c>
      <c r="AC232">
        <v>2</v>
      </c>
      <c r="AO232" t="s">
        <v>3417</v>
      </c>
      <c r="AT232" t="s">
        <v>3418</v>
      </c>
      <c r="AX232" t="s">
        <v>3419</v>
      </c>
      <c r="AZ232">
        <v>1</v>
      </c>
      <c r="BD232">
        <v>1</v>
      </c>
      <c r="CB232" t="s">
        <v>136</v>
      </c>
      <c r="CG232" t="s">
        <v>3410</v>
      </c>
      <c r="CX232" t="s">
        <v>3900</v>
      </c>
      <c r="CY232" t="s">
        <v>3901</v>
      </c>
    </row>
    <row r="233" spans="1:108" x14ac:dyDescent="0.25">
      <c r="A233" t="s">
        <v>3902</v>
      </c>
      <c r="C233" t="s">
        <v>3326</v>
      </c>
      <c r="K233" s="5" t="s">
        <v>3314</v>
      </c>
      <c r="L233" s="5" t="s">
        <v>3330</v>
      </c>
      <c r="AC233">
        <v>1</v>
      </c>
      <c r="AG233" t="s">
        <v>3316</v>
      </c>
      <c r="AH233">
        <v>1</v>
      </c>
      <c r="AY233" s="5"/>
      <c r="BD233">
        <v>1</v>
      </c>
      <c r="BV233"/>
      <c r="BW233"/>
      <c r="BX233"/>
      <c r="BY233"/>
      <c r="BZ233"/>
      <c r="CA233"/>
      <c r="CB233" s="5"/>
      <c r="CC233" s="5"/>
      <c r="CD233" s="5"/>
      <c r="CE233" s="5"/>
      <c r="CF233" s="5"/>
      <c r="CH233" s="5"/>
      <c r="CI233" s="5"/>
      <c r="CJ233" s="5"/>
      <c r="CK233" s="5"/>
      <c r="CL233" s="5"/>
      <c r="CM233" s="5"/>
      <c r="CN233" s="9" t="s">
        <v>3903</v>
      </c>
      <c r="CO233">
        <v>0.12</v>
      </c>
      <c r="CP233">
        <v>2.5000000000000001E-2</v>
      </c>
      <c r="CR233">
        <v>99999</v>
      </c>
    </row>
    <row r="234" spans="1:108" x14ac:dyDescent="0.25">
      <c r="A234" t="s">
        <v>3904</v>
      </c>
      <c r="C234" t="s">
        <v>3905</v>
      </c>
      <c r="K234" s="5" t="s">
        <v>3314</v>
      </c>
      <c r="L234" s="5" t="s">
        <v>3906</v>
      </c>
      <c r="O234" s="5" t="s">
        <v>3907</v>
      </c>
      <c r="AC234">
        <v>1</v>
      </c>
      <c r="AG234" t="s">
        <v>3316</v>
      </c>
      <c r="BD234">
        <v>1</v>
      </c>
      <c r="CU234" t="s">
        <v>3908</v>
      </c>
    </row>
    <row r="235" spans="1:108" x14ac:dyDescent="0.25">
      <c r="A235" t="s">
        <v>3909</v>
      </c>
      <c r="C235" t="s">
        <v>3326</v>
      </c>
      <c r="D235" t="s">
        <v>3910</v>
      </c>
      <c r="E235" t="s">
        <v>3911</v>
      </c>
      <c r="F235" t="s">
        <v>3912</v>
      </c>
      <c r="G235">
        <v>3</v>
      </c>
      <c r="J235" t="s">
        <v>3342</v>
      </c>
      <c r="K235" s="5" t="s">
        <v>3343</v>
      </c>
      <c r="AC235">
        <v>1</v>
      </c>
      <c r="AG235" t="s">
        <v>3316</v>
      </c>
      <c r="AY235" s="5"/>
      <c r="BD235">
        <v>1</v>
      </c>
      <c r="BO235" s="7" t="s">
        <v>3913</v>
      </c>
      <c r="BT235">
        <v>15</v>
      </c>
      <c r="BV235" s="8">
        <v>35</v>
      </c>
      <c r="BW235" s="8">
        <v>40</v>
      </c>
      <c r="BX235" s="8">
        <v>1</v>
      </c>
      <c r="BY235" s="8" t="s">
        <v>3344</v>
      </c>
      <c r="CB235" s="5"/>
      <c r="CC235" s="5"/>
      <c r="CD235" s="5"/>
      <c r="CE235" s="5"/>
      <c r="CF235" s="5"/>
      <c r="CH235" s="5"/>
      <c r="CI235" s="5"/>
      <c r="CJ235" s="5"/>
      <c r="CK235" s="5"/>
      <c r="CL235" s="5"/>
      <c r="CM235" s="5"/>
      <c r="CN235" s="9" t="s">
        <v>3914</v>
      </c>
      <c r="CO235">
        <v>1.6</v>
      </c>
      <c r="CR235">
        <v>15</v>
      </c>
      <c r="DD235">
        <v>1</v>
      </c>
    </row>
    <row r="236" spans="1:108" x14ac:dyDescent="0.25">
      <c r="A236" t="s">
        <v>3915</v>
      </c>
      <c r="C236" t="s">
        <v>3326</v>
      </c>
      <c r="K236" s="5" t="s">
        <v>3314</v>
      </c>
      <c r="L236" s="5" t="s">
        <v>3557</v>
      </c>
      <c r="AC236">
        <v>1</v>
      </c>
      <c r="AG236" t="s">
        <v>3316</v>
      </c>
      <c r="AY236" s="5"/>
      <c r="BD236">
        <v>1</v>
      </c>
      <c r="CB236" s="5"/>
      <c r="CC236" s="5"/>
      <c r="CD236" s="5"/>
      <c r="CE236" s="5"/>
      <c r="CF236" s="5"/>
      <c r="CH236" s="5"/>
      <c r="CI236" s="5"/>
      <c r="CJ236" s="5"/>
      <c r="CK236" s="5"/>
      <c r="CL236" s="5"/>
      <c r="CM236" s="5"/>
      <c r="CN236" s="9" t="s">
        <v>3318</v>
      </c>
      <c r="CR236">
        <v>10</v>
      </c>
      <c r="DD236">
        <v>1</v>
      </c>
    </row>
    <row r="237" spans="1:108" x14ac:dyDescent="0.25">
      <c r="AY237" s="5"/>
      <c r="CB237" s="5"/>
      <c r="CC237" s="5"/>
      <c r="CD237" s="5"/>
      <c r="CE237" s="5"/>
      <c r="CF237" s="5"/>
      <c r="CH237" s="5"/>
      <c r="CI237" s="5"/>
      <c r="CJ237" s="5"/>
      <c r="CK237" s="5"/>
      <c r="CL237" s="5"/>
      <c r="CM237" s="5"/>
    </row>
    <row r="238" spans="1:108" x14ac:dyDescent="0.25">
      <c r="A238" t="s">
        <v>598</v>
      </c>
      <c r="C238" t="s">
        <v>3326</v>
      </c>
      <c r="AC238">
        <v>2</v>
      </c>
      <c r="AD238">
        <v>1</v>
      </c>
      <c r="AO238" t="s">
        <v>3417</v>
      </c>
      <c r="AP238" t="s">
        <v>3425</v>
      </c>
      <c r="AT238" t="s">
        <v>3500</v>
      </c>
      <c r="AX238" t="s">
        <v>3419</v>
      </c>
      <c r="AZ238">
        <v>1</v>
      </c>
      <c r="BD238">
        <v>1</v>
      </c>
      <c r="CB238" t="s">
        <v>136</v>
      </c>
      <c r="CG238" t="s">
        <v>3410</v>
      </c>
      <c r="CH238" t="s">
        <v>3916</v>
      </c>
      <c r="CI238" t="s">
        <v>3412</v>
      </c>
      <c r="CN238" s="9" t="s">
        <v>3917</v>
      </c>
      <c r="CO238">
        <v>85</v>
      </c>
      <c r="CR238">
        <v>3</v>
      </c>
      <c r="CX238" t="s">
        <v>3918</v>
      </c>
      <c r="CY238" t="s">
        <v>3429</v>
      </c>
    </row>
    <row r="239" spans="1:108" x14ac:dyDescent="0.25">
      <c r="A239" t="s">
        <v>3919</v>
      </c>
      <c r="C239" t="s">
        <v>3326</v>
      </c>
      <c r="D239" t="s">
        <v>3920</v>
      </c>
      <c r="E239" t="s">
        <v>3921</v>
      </c>
      <c r="F239" t="s">
        <v>3922</v>
      </c>
      <c r="G239">
        <v>3</v>
      </c>
      <c r="J239" t="s">
        <v>3342</v>
      </c>
      <c r="K239" s="5" t="s">
        <v>3344</v>
      </c>
      <c r="AC239">
        <v>2</v>
      </c>
      <c r="AD239">
        <v>1</v>
      </c>
      <c r="AO239" t="s">
        <v>3417</v>
      </c>
      <c r="AP239" t="s">
        <v>3425</v>
      </c>
      <c r="AT239" t="s">
        <v>3500</v>
      </c>
      <c r="AX239" t="s">
        <v>3419</v>
      </c>
      <c r="AZ239">
        <v>2</v>
      </c>
      <c r="BD239">
        <v>2</v>
      </c>
      <c r="BT239">
        <v>0.2</v>
      </c>
      <c r="BV239" s="8">
        <v>0</v>
      </c>
      <c r="BW239" s="8">
        <v>2</v>
      </c>
      <c r="BX239" s="8">
        <v>1</v>
      </c>
      <c r="BY239" s="8" t="s">
        <v>3497</v>
      </c>
      <c r="CB239" t="s">
        <v>136</v>
      </c>
      <c r="CG239" t="s">
        <v>3410</v>
      </c>
      <c r="CH239" t="s">
        <v>3916</v>
      </c>
      <c r="CI239" t="s">
        <v>3412</v>
      </c>
      <c r="CN239" s="9" t="s">
        <v>3917</v>
      </c>
      <c r="CO239">
        <v>170</v>
      </c>
      <c r="CR239">
        <v>3</v>
      </c>
      <c r="CX239" t="s">
        <v>3918</v>
      </c>
      <c r="CY239" t="s">
        <v>3429</v>
      </c>
    </row>
    <row r="240" spans="1:108" x14ac:dyDescent="0.25">
      <c r="A240" t="s">
        <v>3923</v>
      </c>
      <c r="C240" t="s">
        <v>3326</v>
      </c>
      <c r="D240" t="s">
        <v>3924</v>
      </c>
      <c r="E240" t="s">
        <v>3925</v>
      </c>
      <c r="F240" t="s">
        <v>3926</v>
      </c>
      <c r="G240">
        <v>3</v>
      </c>
      <c r="J240" t="s">
        <v>3445</v>
      </c>
      <c r="K240" s="5" t="s">
        <v>3343</v>
      </c>
      <c r="AC240">
        <v>2</v>
      </c>
      <c r="AD240">
        <v>1</v>
      </c>
      <c r="AO240" t="s">
        <v>3417</v>
      </c>
      <c r="AP240" t="s">
        <v>3425</v>
      </c>
      <c r="AT240" t="s">
        <v>3500</v>
      </c>
      <c r="AX240" t="s">
        <v>3419</v>
      </c>
      <c r="AZ240">
        <v>1</v>
      </c>
      <c r="BD240">
        <v>3</v>
      </c>
      <c r="BO240" s="7" t="s">
        <v>3927</v>
      </c>
      <c r="BP240" s="7" t="s">
        <v>3928</v>
      </c>
      <c r="BT240">
        <v>30</v>
      </c>
      <c r="BV240" s="8">
        <v>25</v>
      </c>
      <c r="BW240" s="8">
        <v>40</v>
      </c>
      <c r="BX240" s="8">
        <v>1</v>
      </c>
      <c r="BY240" s="8" t="s">
        <v>3344</v>
      </c>
      <c r="CB240" t="s">
        <v>136</v>
      </c>
      <c r="CG240" t="s">
        <v>3410</v>
      </c>
      <c r="CH240" t="s">
        <v>3916</v>
      </c>
      <c r="CI240" t="s">
        <v>3412</v>
      </c>
      <c r="CN240" s="9" t="s">
        <v>3917</v>
      </c>
      <c r="CO240">
        <v>85</v>
      </c>
      <c r="CR240">
        <v>3</v>
      </c>
      <c r="CX240" t="s">
        <v>3918</v>
      </c>
      <c r="CY240" t="s">
        <v>3429</v>
      </c>
    </row>
    <row r="241" spans="1:108" x14ac:dyDescent="0.25">
      <c r="A241" t="s">
        <v>3928</v>
      </c>
      <c r="C241" t="s">
        <v>3326</v>
      </c>
      <c r="K241" s="5" t="s">
        <v>3314</v>
      </c>
      <c r="AC241">
        <v>2</v>
      </c>
      <c r="AD241">
        <v>1</v>
      </c>
      <c r="AO241" t="s">
        <v>3417</v>
      </c>
      <c r="AP241" t="s">
        <v>3425</v>
      </c>
      <c r="AT241" t="s">
        <v>3500</v>
      </c>
      <c r="AX241" t="s">
        <v>3419</v>
      </c>
      <c r="AZ241">
        <v>1</v>
      </c>
      <c r="BD241">
        <v>1</v>
      </c>
      <c r="CC241">
        <v>0.1</v>
      </c>
      <c r="CH241" t="s">
        <v>3916</v>
      </c>
      <c r="CI241" t="s">
        <v>3412</v>
      </c>
      <c r="CN241" s="9" t="s">
        <v>3917</v>
      </c>
      <c r="CO241">
        <v>85</v>
      </c>
      <c r="CR241">
        <v>3</v>
      </c>
      <c r="CY241" t="s">
        <v>3429</v>
      </c>
    </row>
    <row r="242" spans="1:108" x14ac:dyDescent="0.25">
      <c r="A242" t="s">
        <v>3927</v>
      </c>
      <c r="C242" t="s">
        <v>3326</v>
      </c>
      <c r="K242" s="5" t="s">
        <v>3314</v>
      </c>
      <c r="L242" s="5" t="s">
        <v>3452</v>
      </c>
      <c r="AC242">
        <v>1</v>
      </c>
      <c r="AG242" t="s">
        <v>3316</v>
      </c>
      <c r="AY242" s="5"/>
      <c r="BD242">
        <v>1</v>
      </c>
      <c r="CB242" s="5"/>
      <c r="CC242" s="5"/>
      <c r="CD242" s="5"/>
      <c r="CE242" s="5"/>
      <c r="CF242" s="5"/>
      <c r="CH242" s="5"/>
      <c r="CI242" s="5"/>
      <c r="CJ242" s="5"/>
      <c r="CK242" s="5"/>
      <c r="CL242" s="5"/>
      <c r="CM242" s="5"/>
      <c r="CN242" s="9" t="s">
        <v>3538</v>
      </c>
      <c r="CO242">
        <v>0.5</v>
      </c>
      <c r="CR242">
        <v>30</v>
      </c>
      <c r="DD242">
        <v>1</v>
      </c>
    </row>
    <row r="243" spans="1:108" x14ac:dyDescent="0.25">
      <c r="AY243" s="5"/>
      <c r="CB243" s="5"/>
      <c r="CC243" s="5"/>
      <c r="CD243" s="5"/>
      <c r="CE243" s="5"/>
      <c r="CF243" s="5"/>
      <c r="CH243" s="5"/>
      <c r="CI243" s="5"/>
      <c r="CJ243" s="5"/>
      <c r="CK243" s="5"/>
      <c r="CL243" s="5"/>
      <c r="CM243" s="5"/>
    </row>
    <row r="244" spans="1:108" x14ac:dyDescent="0.25">
      <c r="A244" t="s">
        <v>603</v>
      </c>
      <c r="C244" t="s">
        <v>3326</v>
      </c>
      <c r="AC244">
        <v>2</v>
      </c>
      <c r="AD244">
        <v>1</v>
      </c>
      <c r="AO244" t="s">
        <v>3417</v>
      </c>
      <c r="AP244" t="s">
        <v>3425</v>
      </c>
      <c r="AT244" t="s">
        <v>3500</v>
      </c>
      <c r="AX244" t="s">
        <v>3419</v>
      </c>
      <c r="AZ244">
        <v>1</v>
      </c>
      <c r="BD244">
        <v>1</v>
      </c>
      <c r="CB244" t="s">
        <v>136</v>
      </c>
      <c r="CG244" t="s">
        <v>3410</v>
      </c>
      <c r="CH244" t="s">
        <v>3929</v>
      </c>
      <c r="CI244" t="s">
        <v>3412</v>
      </c>
      <c r="CJ244" t="s">
        <v>3930</v>
      </c>
      <c r="CX244" t="s">
        <v>3931</v>
      </c>
      <c r="CY244" t="s">
        <v>3429</v>
      </c>
    </row>
    <row r="245" spans="1:108" x14ac:dyDescent="0.25">
      <c r="A245" t="s">
        <v>3932</v>
      </c>
      <c r="C245" t="s">
        <v>3326</v>
      </c>
      <c r="D245" t="s">
        <v>3933</v>
      </c>
      <c r="E245" t="s">
        <v>3934</v>
      </c>
      <c r="F245" t="s">
        <v>3935</v>
      </c>
      <c r="G245">
        <v>3</v>
      </c>
      <c r="J245" t="s">
        <v>3445</v>
      </c>
      <c r="K245" s="5" t="s">
        <v>3344</v>
      </c>
      <c r="W245" s="5">
        <v>1</v>
      </c>
      <c r="AC245">
        <v>2</v>
      </c>
      <c r="AD245">
        <v>1</v>
      </c>
      <c r="AO245" t="s">
        <v>3417</v>
      </c>
      <c r="AP245" t="s">
        <v>3425</v>
      </c>
      <c r="AT245" t="s">
        <v>3936</v>
      </c>
      <c r="AX245" t="s">
        <v>3419</v>
      </c>
      <c r="AZ245">
        <v>1</v>
      </c>
      <c r="BD245">
        <v>1</v>
      </c>
      <c r="BO245" s="7" t="s">
        <v>3937</v>
      </c>
      <c r="BT245">
        <v>99999</v>
      </c>
      <c r="BV245" s="8">
        <v>0</v>
      </c>
      <c r="BW245" s="8">
        <v>50</v>
      </c>
      <c r="BX245" s="8">
        <v>1</v>
      </c>
      <c r="BY245" s="8" t="s">
        <v>3344</v>
      </c>
      <c r="CB245" t="s">
        <v>627</v>
      </c>
      <c r="CG245" t="s">
        <v>3410</v>
      </c>
      <c r="CH245" t="s">
        <v>3938</v>
      </c>
      <c r="CI245" t="s">
        <v>3412</v>
      </c>
      <c r="CJ245" t="s">
        <v>3930</v>
      </c>
      <c r="CW245" t="s">
        <v>3939</v>
      </c>
      <c r="CY245" t="s">
        <v>3940</v>
      </c>
    </row>
    <row r="246" spans="1:108" x14ac:dyDescent="0.25">
      <c r="A246" t="s">
        <v>3937</v>
      </c>
      <c r="C246" t="s">
        <v>3326</v>
      </c>
      <c r="K246" s="5" t="s">
        <v>3314</v>
      </c>
      <c r="L246" s="5" t="s">
        <v>3452</v>
      </c>
      <c r="AC246">
        <v>1</v>
      </c>
      <c r="AG246" t="s">
        <v>3316</v>
      </c>
      <c r="AY246" s="5"/>
      <c r="BD246">
        <v>1</v>
      </c>
      <c r="CB246" s="5"/>
      <c r="CC246" s="5"/>
      <c r="CD246" s="5"/>
      <c r="CE246" s="5"/>
      <c r="CF246" s="5"/>
      <c r="CH246" s="5"/>
      <c r="CI246" s="5"/>
      <c r="CJ246" s="5"/>
      <c r="CK246" s="5"/>
      <c r="CL246" s="5"/>
      <c r="CM246" s="5"/>
      <c r="CN246" s="9" t="s">
        <v>3937</v>
      </c>
      <c r="CO246" t="s">
        <v>3941</v>
      </c>
      <c r="CR246">
        <v>99999</v>
      </c>
      <c r="DD246">
        <v>1</v>
      </c>
    </row>
    <row r="247" spans="1:108" x14ac:dyDescent="0.25">
      <c r="AY247" s="5"/>
      <c r="CB247" s="5"/>
      <c r="CC247" s="5"/>
      <c r="CD247" s="5"/>
      <c r="CE247" s="5"/>
      <c r="CF247" s="5"/>
      <c r="CH247" s="5"/>
      <c r="CI247" s="5"/>
      <c r="CJ247" s="5"/>
      <c r="CK247" s="5"/>
      <c r="CL247" s="5"/>
      <c r="CM247" s="5"/>
    </row>
    <row r="248" spans="1:108" x14ac:dyDescent="0.25">
      <c r="A248" t="s">
        <v>607</v>
      </c>
      <c r="C248" t="s">
        <v>3326</v>
      </c>
      <c r="AC248">
        <v>2</v>
      </c>
      <c r="AD248">
        <v>1</v>
      </c>
      <c r="AO248" t="s">
        <v>3417</v>
      </c>
      <c r="AT248" t="s">
        <v>3587</v>
      </c>
      <c r="AX248" t="s">
        <v>3419</v>
      </c>
      <c r="AZ248">
        <v>1</v>
      </c>
      <c r="BD248">
        <v>1</v>
      </c>
      <c r="BJ248">
        <v>1</v>
      </c>
      <c r="BK248">
        <v>1</v>
      </c>
      <c r="BL248">
        <v>1</v>
      </c>
      <c r="CB248" t="s">
        <v>136</v>
      </c>
      <c r="CG248" t="s">
        <v>3410</v>
      </c>
      <c r="CH248" t="s">
        <v>3942</v>
      </c>
      <c r="CI248" t="s">
        <v>3412</v>
      </c>
      <c r="CJ248" t="s">
        <v>3943</v>
      </c>
      <c r="CY248" t="s">
        <v>3944</v>
      </c>
    </row>
    <row r="249" spans="1:108" x14ac:dyDescent="0.25">
      <c r="A249" t="s">
        <v>3945</v>
      </c>
      <c r="C249" t="s">
        <v>3326</v>
      </c>
      <c r="D249" t="s">
        <v>3946</v>
      </c>
      <c r="E249" t="s">
        <v>3947</v>
      </c>
      <c r="F249" t="s">
        <v>3948</v>
      </c>
      <c r="G249">
        <v>3</v>
      </c>
      <c r="J249" t="s">
        <v>3342</v>
      </c>
      <c r="K249" s="5" t="s">
        <v>3344</v>
      </c>
      <c r="AC249">
        <v>2</v>
      </c>
      <c r="AD249">
        <v>1</v>
      </c>
      <c r="AO249" t="s">
        <v>3417</v>
      </c>
      <c r="AT249" t="s">
        <v>3587</v>
      </c>
      <c r="AX249" t="s">
        <v>3419</v>
      </c>
      <c r="AZ249">
        <v>2.15</v>
      </c>
      <c r="BD249">
        <v>1</v>
      </c>
      <c r="BJ249">
        <v>2</v>
      </c>
      <c r="BK249">
        <v>1</v>
      </c>
      <c r="BL249">
        <v>1</v>
      </c>
      <c r="BT249">
        <v>0.2</v>
      </c>
      <c r="BV249" s="8">
        <v>0</v>
      </c>
      <c r="BW249" s="8">
        <v>3</v>
      </c>
      <c r="BX249" s="8">
        <v>1</v>
      </c>
      <c r="BY249" s="8" t="s">
        <v>3497</v>
      </c>
      <c r="CB249" t="s">
        <v>627</v>
      </c>
      <c r="CG249" t="s">
        <v>3410</v>
      </c>
      <c r="CH249" t="s">
        <v>3949</v>
      </c>
      <c r="CI249" t="s">
        <v>3412</v>
      </c>
      <c r="CJ249" t="s">
        <v>3943</v>
      </c>
      <c r="CX249" t="s">
        <v>3950</v>
      </c>
      <c r="CY249" t="s">
        <v>3951</v>
      </c>
    </row>
    <row r="250" spans="1:108" x14ac:dyDescent="0.25">
      <c r="A250" t="s">
        <v>3952</v>
      </c>
      <c r="C250" t="s">
        <v>3326</v>
      </c>
      <c r="D250" t="s">
        <v>3953</v>
      </c>
      <c r="E250" t="s">
        <v>3954</v>
      </c>
      <c r="F250" t="s">
        <v>3955</v>
      </c>
      <c r="G250">
        <v>3</v>
      </c>
      <c r="J250" t="s">
        <v>3342</v>
      </c>
      <c r="K250" s="5" t="s">
        <v>3343</v>
      </c>
      <c r="AB250">
        <v>1</v>
      </c>
      <c r="AC250">
        <v>2</v>
      </c>
      <c r="AD250">
        <v>1</v>
      </c>
      <c r="AO250" t="s">
        <v>3417</v>
      </c>
      <c r="AT250" t="s">
        <v>3587</v>
      </c>
      <c r="AX250" t="s">
        <v>3419</v>
      </c>
      <c r="AZ250">
        <v>3</v>
      </c>
      <c r="BD250">
        <v>1</v>
      </c>
      <c r="BJ250">
        <v>1</v>
      </c>
      <c r="BK250">
        <v>1</v>
      </c>
      <c r="BL250">
        <v>1</v>
      </c>
      <c r="BT250">
        <v>0.2</v>
      </c>
      <c r="BV250" s="8">
        <v>0</v>
      </c>
      <c r="BW250" s="8">
        <v>20</v>
      </c>
      <c r="BX250" s="8">
        <v>1</v>
      </c>
      <c r="BY250" s="8" t="s">
        <v>3344</v>
      </c>
      <c r="CB250" t="s">
        <v>627</v>
      </c>
      <c r="CG250" t="s">
        <v>3410</v>
      </c>
      <c r="CH250" t="s">
        <v>3956</v>
      </c>
      <c r="CI250" t="s">
        <v>3412</v>
      </c>
      <c r="CJ250" t="s">
        <v>3943</v>
      </c>
      <c r="CN250" s="9" t="s">
        <v>3957</v>
      </c>
      <c r="CO250">
        <v>-330</v>
      </c>
      <c r="CR250">
        <v>10</v>
      </c>
      <c r="CX250" t="s">
        <v>3958</v>
      </c>
      <c r="CY250" t="s">
        <v>3959</v>
      </c>
    </row>
    <row r="251" spans="1:108" x14ac:dyDescent="0.25">
      <c r="AY251" s="5"/>
      <c r="CC251" s="5"/>
      <c r="CD251" s="5"/>
      <c r="CE251" s="5"/>
      <c r="CF251" s="5"/>
      <c r="CH251" s="5"/>
      <c r="CI251" s="5"/>
      <c r="CJ251" s="5"/>
      <c r="CK251" s="5"/>
      <c r="CL251" s="5"/>
      <c r="CM251" s="5"/>
    </row>
    <row r="252" spans="1:108" x14ac:dyDescent="0.25">
      <c r="A252" t="s">
        <v>3960</v>
      </c>
      <c r="C252" t="s">
        <v>3326</v>
      </c>
      <c r="AC252">
        <v>2</v>
      </c>
      <c r="AD252">
        <v>1</v>
      </c>
      <c r="AO252" t="s">
        <v>3491</v>
      </c>
      <c r="AT252" t="s">
        <v>3409</v>
      </c>
      <c r="AX252" t="s">
        <v>3432</v>
      </c>
      <c r="AZ252">
        <v>1</v>
      </c>
      <c r="BD252">
        <v>1</v>
      </c>
      <c r="CB252" t="s">
        <v>3961</v>
      </c>
      <c r="CG252" t="s">
        <v>3410</v>
      </c>
      <c r="CH252" t="s">
        <v>3962</v>
      </c>
      <c r="CI252" t="s">
        <v>3412</v>
      </c>
      <c r="CW252" t="s">
        <v>3963</v>
      </c>
      <c r="CY252" t="s">
        <v>3964</v>
      </c>
    </row>
    <row r="253" spans="1:108" x14ac:dyDescent="0.25">
      <c r="A253" t="s">
        <v>3965</v>
      </c>
      <c r="C253" t="s">
        <v>3512</v>
      </c>
      <c r="K253" s="5" t="s">
        <v>3314</v>
      </c>
      <c r="L253" s="5" t="s">
        <v>3966</v>
      </c>
      <c r="AC253">
        <v>1</v>
      </c>
      <c r="BD253">
        <v>1</v>
      </c>
      <c r="BO253" s="7" t="s">
        <v>3967</v>
      </c>
      <c r="CU253" t="s">
        <v>3968</v>
      </c>
    </row>
    <row r="254" spans="1:108" x14ac:dyDescent="0.25">
      <c r="A254" t="s">
        <v>3967</v>
      </c>
      <c r="C254" t="s">
        <v>3512</v>
      </c>
      <c r="K254" s="5" t="s">
        <v>3314</v>
      </c>
      <c r="L254" s="5" t="s">
        <v>3969</v>
      </c>
      <c r="AC254">
        <v>1</v>
      </c>
      <c r="BD254">
        <v>1</v>
      </c>
      <c r="CU254" t="s">
        <v>3970</v>
      </c>
    </row>
    <row r="255" spans="1:108" x14ac:dyDescent="0.25">
      <c r="A255" t="s">
        <v>3971</v>
      </c>
      <c r="C255" t="s">
        <v>3326</v>
      </c>
      <c r="D255" t="s">
        <v>3972</v>
      </c>
      <c r="E255" t="s">
        <v>3973</v>
      </c>
      <c r="F255" t="s">
        <v>3974</v>
      </c>
      <c r="G255">
        <v>3</v>
      </c>
      <c r="J255" t="s">
        <v>3445</v>
      </c>
      <c r="K255" s="5" t="s">
        <v>3344</v>
      </c>
      <c r="W255" s="5">
        <v>1</v>
      </c>
      <c r="AB255">
        <v>1</v>
      </c>
      <c r="AC255">
        <v>2</v>
      </c>
      <c r="AO255" t="s">
        <v>3975</v>
      </c>
      <c r="AT255" t="s">
        <v>3409</v>
      </c>
      <c r="AX255" t="s">
        <v>3432</v>
      </c>
      <c r="AZ255">
        <v>0.6</v>
      </c>
      <c r="BD255">
        <v>1</v>
      </c>
      <c r="BE255">
        <v>8</v>
      </c>
      <c r="BF255">
        <v>0.05</v>
      </c>
      <c r="BG255">
        <v>1</v>
      </c>
      <c r="BO255" s="7" t="s">
        <v>3976</v>
      </c>
      <c r="BT255">
        <v>25</v>
      </c>
      <c r="BV255" s="8">
        <v>0</v>
      </c>
      <c r="BW255" s="8">
        <v>100</v>
      </c>
      <c r="BX255" s="8">
        <v>1</v>
      </c>
      <c r="BY255" s="8" t="s">
        <v>3344</v>
      </c>
      <c r="CB255" t="s">
        <v>3977</v>
      </c>
      <c r="CE255" t="s">
        <v>3977</v>
      </c>
      <c r="CG255" t="s">
        <v>3410</v>
      </c>
      <c r="CH255" t="s">
        <v>3978</v>
      </c>
      <c r="CY255" t="s">
        <v>3979</v>
      </c>
    </row>
    <row r="256" spans="1:108" x14ac:dyDescent="0.25">
      <c r="A256" t="s">
        <v>3980</v>
      </c>
      <c r="C256" t="s">
        <v>3326</v>
      </c>
      <c r="K256" s="5" t="s">
        <v>3314</v>
      </c>
      <c r="L256" s="5" t="s">
        <v>3452</v>
      </c>
      <c r="AC256">
        <v>1</v>
      </c>
      <c r="AG256" t="s">
        <v>3316</v>
      </c>
      <c r="AY256" s="5"/>
      <c r="BD256">
        <v>1</v>
      </c>
      <c r="CB256" s="5"/>
      <c r="CC256" s="5"/>
      <c r="CD256" s="5"/>
      <c r="CE256" s="5"/>
      <c r="CF256" s="5"/>
      <c r="CH256" s="5"/>
      <c r="CI256" s="5"/>
      <c r="CJ256" s="5"/>
      <c r="CK256" s="5"/>
      <c r="CL256" s="5"/>
      <c r="CM256" s="5"/>
      <c r="CN256" s="9" t="s">
        <v>3981</v>
      </c>
      <c r="CR256">
        <v>25</v>
      </c>
      <c r="DD256">
        <v>1</v>
      </c>
    </row>
    <row r="257" spans="1:108" x14ac:dyDescent="0.25">
      <c r="A257" t="s">
        <v>3982</v>
      </c>
      <c r="C257" t="s">
        <v>3326</v>
      </c>
      <c r="K257" s="5" t="s">
        <v>3314</v>
      </c>
      <c r="L257" s="5" t="s">
        <v>3557</v>
      </c>
      <c r="AC257">
        <v>1</v>
      </c>
      <c r="AG257" t="s">
        <v>3316</v>
      </c>
      <c r="AY257" s="5"/>
      <c r="BD257">
        <v>1</v>
      </c>
      <c r="CB257" s="5"/>
      <c r="CC257" s="5"/>
      <c r="CD257" s="5"/>
      <c r="CE257" s="5"/>
      <c r="CF257" s="5"/>
      <c r="CH257" s="5"/>
      <c r="CI257" s="5"/>
      <c r="CJ257" s="5"/>
      <c r="CK257" s="5"/>
      <c r="CL257" s="5"/>
      <c r="CM257" s="5"/>
      <c r="CN257" s="9" t="s">
        <v>3318</v>
      </c>
      <c r="CR257">
        <v>10</v>
      </c>
      <c r="DD257">
        <v>1</v>
      </c>
    </row>
    <row r="258" spans="1:108" x14ac:dyDescent="0.25">
      <c r="A258" t="s">
        <v>3983</v>
      </c>
      <c r="C258" t="s">
        <v>3326</v>
      </c>
      <c r="D258" t="s">
        <v>3984</v>
      </c>
      <c r="E258" t="s">
        <v>3985</v>
      </c>
      <c r="F258" t="s">
        <v>3986</v>
      </c>
      <c r="G258">
        <v>3</v>
      </c>
      <c r="J258" t="s">
        <v>3445</v>
      </c>
      <c r="K258" s="5" t="s">
        <v>3343</v>
      </c>
      <c r="AB258">
        <v>1</v>
      </c>
      <c r="AC258">
        <v>2</v>
      </c>
      <c r="AO258" t="s">
        <v>3417</v>
      </c>
      <c r="AT258" t="s">
        <v>3820</v>
      </c>
      <c r="AX258" t="s">
        <v>3987</v>
      </c>
      <c r="AZ258">
        <v>1</v>
      </c>
      <c r="BD258">
        <v>1</v>
      </c>
      <c r="BO258" s="7" t="s">
        <v>3988</v>
      </c>
      <c r="BT258">
        <v>30</v>
      </c>
      <c r="BV258" s="8">
        <v>0</v>
      </c>
      <c r="BW258" s="8">
        <v>120</v>
      </c>
      <c r="BX258" s="8">
        <v>1</v>
      </c>
      <c r="BY258" s="8" t="s">
        <v>3344</v>
      </c>
      <c r="CB258" t="s">
        <v>3989</v>
      </c>
      <c r="CE258" t="s">
        <v>3989</v>
      </c>
      <c r="CG258" t="s">
        <v>3410</v>
      </c>
      <c r="CH258" t="s">
        <v>3990</v>
      </c>
      <c r="CI258" t="s">
        <v>3412</v>
      </c>
      <c r="CW258" t="s">
        <v>3991</v>
      </c>
      <c r="CY258" t="s">
        <v>3992</v>
      </c>
      <c r="DB258" t="s">
        <v>3993</v>
      </c>
      <c r="DC258" t="s">
        <v>3994</v>
      </c>
    </row>
    <row r="259" spans="1:108" x14ac:dyDescent="0.25">
      <c r="A259" t="s">
        <v>3995</v>
      </c>
      <c r="C259" t="s">
        <v>3326</v>
      </c>
      <c r="K259" s="5" t="s">
        <v>3314</v>
      </c>
      <c r="L259" s="5" t="s">
        <v>3452</v>
      </c>
      <c r="AC259">
        <v>1</v>
      </c>
      <c r="AG259" t="s">
        <v>3316</v>
      </c>
      <c r="AY259" s="5"/>
      <c r="BD259">
        <v>1</v>
      </c>
      <c r="CB259" s="5"/>
      <c r="CC259" s="5"/>
      <c r="CD259" s="5"/>
      <c r="CE259" s="5"/>
      <c r="CF259" s="5"/>
      <c r="CH259" s="5"/>
      <c r="CI259" s="5"/>
      <c r="CJ259" s="5"/>
      <c r="CK259" s="5"/>
      <c r="CL259" s="5"/>
      <c r="CM259" s="5"/>
      <c r="CN259" s="9" t="s">
        <v>3995</v>
      </c>
      <c r="CO259" t="s">
        <v>3996</v>
      </c>
      <c r="CR259">
        <v>30</v>
      </c>
      <c r="DD259">
        <v>1</v>
      </c>
    </row>
    <row r="260" spans="1:108" x14ac:dyDescent="0.25">
      <c r="A260" t="s">
        <v>3997</v>
      </c>
      <c r="C260" t="s">
        <v>3326</v>
      </c>
      <c r="K260" s="5" t="s">
        <v>3314</v>
      </c>
      <c r="L260" s="5" t="s">
        <v>3557</v>
      </c>
      <c r="AC260">
        <v>1</v>
      </c>
      <c r="AG260" t="s">
        <v>3316</v>
      </c>
      <c r="AX260" t="s">
        <v>3987</v>
      </c>
      <c r="AY260" s="5"/>
      <c r="AZ260">
        <v>99999</v>
      </c>
      <c r="BB260">
        <v>2</v>
      </c>
      <c r="BD260">
        <v>1</v>
      </c>
      <c r="CB260" s="5"/>
      <c r="CC260" s="5"/>
      <c r="CD260" s="5"/>
      <c r="CE260" s="5"/>
      <c r="CF260" s="5"/>
      <c r="CH260" s="5"/>
      <c r="CI260" s="5"/>
      <c r="CJ260" s="5"/>
      <c r="CK260" s="5"/>
      <c r="CL260" s="5"/>
      <c r="CM260" s="5"/>
      <c r="DD260">
        <v>1</v>
      </c>
    </row>
    <row r="262" spans="1:108" x14ac:dyDescent="0.25">
      <c r="A262" t="s">
        <v>3998</v>
      </c>
      <c r="C262" t="s">
        <v>3326</v>
      </c>
      <c r="AC262">
        <v>2</v>
      </c>
      <c r="AD262">
        <v>1</v>
      </c>
      <c r="AO262" t="s">
        <v>3417</v>
      </c>
      <c r="AT262" t="s">
        <v>3431</v>
      </c>
      <c r="AX262" t="s">
        <v>3432</v>
      </c>
      <c r="AZ262">
        <v>1</v>
      </c>
      <c r="BD262">
        <v>1</v>
      </c>
      <c r="BJ262">
        <v>1.1000000000000001</v>
      </c>
      <c r="BK262">
        <v>1</v>
      </c>
      <c r="BL262">
        <v>1</v>
      </c>
      <c r="CB262" t="s">
        <v>136</v>
      </c>
      <c r="CG262" t="s">
        <v>3410</v>
      </c>
      <c r="CY262" t="s">
        <v>3999</v>
      </c>
    </row>
    <row r="263" spans="1:108" x14ac:dyDescent="0.25">
      <c r="A263" t="s">
        <v>4000</v>
      </c>
      <c r="C263" t="s">
        <v>3326</v>
      </c>
      <c r="K263" s="5" t="s">
        <v>3314</v>
      </c>
      <c r="L263" s="5" t="s">
        <v>3327</v>
      </c>
      <c r="AC263">
        <v>2</v>
      </c>
      <c r="AY263" s="5"/>
      <c r="BD263">
        <v>99</v>
      </c>
      <c r="BO263" s="7" t="s">
        <v>4001</v>
      </c>
      <c r="BV263"/>
      <c r="BW263"/>
      <c r="BX263"/>
      <c r="BY263"/>
      <c r="BZ263"/>
      <c r="CA263"/>
      <c r="CB263" s="5"/>
      <c r="CC263" s="5"/>
      <c r="CD263" s="5"/>
      <c r="CE263" s="5"/>
      <c r="CF263" s="5"/>
      <c r="CH263" s="5"/>
      <c r="CI263" s="5"/>
      <c r="CJ263" s="5"/>
      <c r="CK263" s="5"/>
      <c r="CL263" s="5"/>
      <c r="CM263" s="5"/>
      <c r="CN263" s="9" t="s">
        <v>4002</v>
      </c>
      <c r="CO263">
        <v>0.18</v>
      </c>
      <c r="CR263">
        <v>99999</v>
      </c>
      <c r="CT263">
        <v>1</v>
      </c>
    </row>
    <row r="264" spans="1:108" x14ac:dyDescent="0.25">
      <c r="A264" t="s">
        <v>4001</v>
      </c>
      <c r="C264" t="s">
        <v>3326</v>
      </c>
      <c r="K264" s="5" t="s">
        <v>3314</v>
      </c>
      <c r="L264" s="5" t="s">
        <v>3327</v>
      </c>
      <c r="AC264">
        <v>2</v>
      </c>
      <c r="AF264">
        <v>1</v>
      </c>
      <c r="AY264" s="5"/>
      <c r="BD264">
        <v>1</v>
      </c>
      <c r="BV264"/>
      <c r="BW264"/>
      <c r="BX264"/>
      <c r="BY264"/>
      <c r="BZ264"/>
      <c r="CA264"/>
      <c r="CB264" s="5"/>
      <c r="CC264" s="5"/>
      <c r="CD264" s="5"/>
      <c r="CE264" s="5"/>
      <c r="CF264" s="5"/>
      <c r="CH264" s="5"/>
      <c r="CI264" s="5"/>
      <c r="CJ264" s="5"/>
      <c r="CK264" s="5"/>
      <c r="CL264" s="5"/>
      <c r="CM264" s="5"/>
      <c r="CN264" s="9" t="s">
        <v>4002</v>
      </c>
      <c r="CO264">
        <v>0.18</v>
      </c>
      <c r="CR264">
        <v>99999</v>
      </c>
      <c r="CT264">
        <v>1</v>
      </c>
    </row>
    <row r="265" spans="1:108" x14ac:dyDescent="0.25">
      <c r="A265" t="s">
        <v>4003</v>
      </c>
      <c r="C265" t="s">
        <v>3326</v>
      </c>
      <c r="D265" t="s">
        <v>4004</v>
      </c>
      <c r="E265" t="s">
        <v>4005</v>
      </c>
      <c r="F265" t="s">
        <v>4006</v>
      </c>
      <c r="G265">
        <v>3</v>
      </c>
      <c r="J265" t="s">
        <v>3445</v>
      </c>
      <c r="K265" s="5" t="s">
        <v>3343</v>
      </c>
      <c r="AB265">
        <v>1</v>
      </c>
      <c r="AC265">
        <v>2</v>
      </c>
      <c r="AO265" t="s">
        <v>3417</v>
      </c>
      <c r="AT265" t="s">
        <v>3431</v>
      </c>
      <c r="AX265" t="s">
        <v>3432</v>
      </c>
      <c r="AZ265">
        <v>2.4</v>
      </c>
      <c r="BD265">
        <v>1</v>
      </c>
      <c r="BJ265">
        <v>1.7</v>
      </c>
      <c r="BK265">
        <v>1</v>
      </c>
      <c r="BL265">
        <v>1</v>
      </c>
      <c r="BO265" s="7" t="s">
        <v>4007</v>
      </c>
      <c r="BT265">
        <v>25</v>
      </c>
      <c r="BV265" s="8">
        <v>0</v>
      </c>
      <c r="BW265" s="8">
        <v>100</v>
      </c>
      <c r="BX265" s="8">
        <v>1</v>
      </c>
      <c r="BY265" s="8" t="s">
        <v>3344</v>
      </c>
      <c r="CB265" t="s">
        <v>627</v>
      </c>
      <c r="CG265" t="s">
        <v>3410</v>
      </c>
      <c r="CH265" t="s">
        <v>4008</v>
      </c>
      <c r="CI265" t="s">
        <v>3412</v>
      </c>
      <c r="CN265" s="9" t="s">
        <v>3318</v>
      </c>
      <c r="CR265">
        <v>0.6</v>
      </c>
      <c r="CW265" t="s">
        <v>4009</v>
      </c>
      <c r="CY265" t="s">
        <v>4010</v>
      </c>
      <c r="DA265" t="s">
        <v>4011</v>
      </c>
    </row>
    <row r="266" spans="1:108" x14ac:dyDescent="0.25">
      <c r="A266" t="s">
        <v>4007</v>
      </c>
      <c r="C266" t="s">
        <v>3326</v>
      </c>
      <c r="K266" s="5" t="s">
        <v>3314</v>
      </c>
      <c r="L266" s="5" t="s">
        <v>3452</v>
      </c>
      <c r="AC266">
        <v>1</v>
      </c>
      <c r="AG266" t="s">
        <v>3316</v>
      </c>
      <c r="AY266" s="5"/>
      <c r="BD266">
        <v>1</v>
      </c>
      <c r="CB266" s="5"/>
      <c r="CC266" s="5"/>
      <c r="CD266" s="5"/>
      <c r="CE266" s="5"/>
      <c r="CF266" s="5"/>
      <c r="CH266" s="5"/>
      <c r="CI266" s="5"/>
      <c r="CJ266" s="5"/>
      <c r="CK266" s="5"/>
      <c r="CL266" s="5"/>
      <c r="CM266" s="5"/>
      <c r="CN266" s="9" t="s">
        <v>4007</v>
      </c>
      <c r="CO266">
        <v>0.7</v>
      </c>
      <c r="CR266">
        <v>40</v>
      </c>
      <c r="DD266">
        <v>1</v>
      </c>
    </row>
    <row r="268" spans="1:108" x14ac:dyDescent="0.25">
      <c r="A268" t="s">
        <v>4012</v>
      </c>
      <c r="C268" t="s">
        <v>3326</v>
      </c>
      <c r="AC268">
        <v>2</v>
      </c>
      <c r="AD268">
        <v>1</v>
      </c>
      <c r="AO268" t="s">
        <v>3417</v>
      </c>
      <c r="AT268" t="s">
        <v>3409</v>
      </c>
      <c r="AX268" t="s">
        <v>3432</v>
      </c>
      <c r="AZ268">
        <v>1</v>
      </c>
      <c r="BD268">
        <v>1</v>
      </c>
      <c r="CB268" t="s">
        <v>136</v>
      </c>
      <c r="CG268" t="s">
        <v>3410</v>
      </c>
      <c r="CH268" t="s">
        <v>4013</v>
      </c>
      <c r="CI268" t="s">
        <v>3412</v>
      </c>
      <c r="CW268" t="s">
        <v>4014</v>
      </c>
      <c r="CY268" t="s">
        <v>4015</v>
      </c>
    </row>
    <row r="269" spans="1:108" x14ac:dyDescent="0.25">
      <c r="A269" t="s">
        <v>4016</v>
      </c>
      <c r="C269" t="s">
        <v>3806</v>
      </c>
      <c r="K269" s="5" t="s">
        <v>3314</v>
      </c>
      <c r="L269" s="5" t="s">
        <v>3327</v>
      </c>
      <c r="AC269">
        <v>1</v>
      </c>
      <c r="AF269">
        <v>1</v>
      </c>
      <c r="AG269" t="s">
        <v>3316</v>
      </c>
      <c r="BD269">
        <v>1</v>
      </c>
      <c r="CU269" t="s">
        <v>4017</v>
      </c>
    </row>
    <row r="270" spans="1:108" x14ac:dyDescent="0.25">
      <c r="A270" t="s">
        <v>4018</v>
      </c>
      <c r="C270" t="s">
        <v>3326</v>
      </c>
      <c r="D270" t="s">
        <v>4019</v>
      </c>
      <c r="E270" t="s">
        <v>4020</v>
      </c>
      <c r="F270" t="s">
        <v>4021</v>
      </c>
      <c r="G270">
        <v>3</v>
      </c>
      <c r="K270" s="5" t="s">
        <v>3314</v>
      </c>
      <c r="L270" s="5" t="s">
        <v>3327</v>
      </c>
      <c r="AC270">
        <v>1</v>
      </c>
      <c r="AF270">
        <v>1</v>
      </c>
      <c r="AG270" t="s">
        <v>3813</v>
      </c>
      <c r="BD270">
        <v>1</v>
      </c>
      <c r="CN270" s="9" t="s">
        <v>4022</v>
      </c>
      <c r="CR270">
        <v>1</v>
      </c>
    </row>
    <row r="271" spans="1:108" x14ac:dyDescent="0.25">
      <c r="A271" t="s">
        <v>4023</v>
      </c>
      <c r="C271" t="s">
        <v>4024</v>
      </c>
      <c r="D271" t="s">
        <v>4025</v>
      </c>
      <c r="E271" t="s">
        <v>4026</v>
      </c>
      <c r="F271" t="s">
        <v>4027</v>
      </c>
      <c r="G271">
        <v>3</v>
      </c>
      <c r="J271" t="s">
        <v>3342</v>
      </c>
      <c r="K271" s="5" t="s">
        <v>3343</v>
      </c>
      <c r="X271" s="5">
        <v>1</v>
      </c>
      <c r="AC271">
        <v>2</v>
      </c>
      <c r="AT271" t="s">
        <v>3446</v>
      </c>
      <c r="AX271" t="s">
        <v>3432</v>
      </c>
      <c r="AZ271">
        <v>6</v>
      </c>
      <c r="BD271">
        <v>99</v>
      </c>
      <c r="BT271">
        <v>0.2</v>
      </c>
      <c r="BV271" s="8">
        <v>0</v>
      </c>
      <c r="BW271" s="8">
        <v>30</v>
      </c>
      <c r="BX271" s="8">
        <v>1</v>
      </c>
      <c r="BY271" s="8" t="s">
        <v>3344</v>
      </c>
      <c r="CB271" t="s">
        <v>627</v>
      </c>
      <c r="CG271" t="s">
        <v>3410</v>
      </c>
      <c r="CN271" s="9" t="s">
        <v>3318</v>
      </c>
      <c r="CR271">
        <v>1</v>
      </c>
      <c r="CW271" t="s">
        <v>4028</v>
      </c>
    </row>
    <row r="272" spans="1:108" x14ac:dyDescent="0.25">
      <c r="A272" t="s">
        <v>4029</v>
      </c>
      <c r="C272" t="s">
        <v>3416</v>
      </c>
      <c r="AC272">
        <v>2</v>
      </c>
      <c r="AO272" t="s">
        <v>3417</v>
      </c>
      <c r="AT272" t="s">
        <v>3441</v>
      </c>
      <c r="AX272" t="s">
        <v>3419</v>
      </c>
      <c r="AZ272">
        <v>1</v>
      </c>
      <c r="BD272">
        <v>1</v>
      </c>
      <c r="CB272" t="s">
        <v>136</v>
      </c>
      <c r="CG272" t="s">
        <v>3410</v>
      </c>
      <c r="CN272" s="9" t="s">
        <v>3540</v>
      </c>
      <c r="CO272">
        <v>-25</v>
      </c>
      <c r="CR272">
        <v>1</v>
      </c>
    </row>
    <row r="273" spans="1:103" x14ac:dyDescent="0.25">
      <c r="A273" t="s">
        <v>4030</v>
      </c>
      <c r="C273" t="s">
        <v>3326</v>
      </c>
      <c r="K273" s="5" t="s">
        <v>3344</v>
      </c>
      <c r="O273" t="s">
        <v>4022</v>
      </c>
      <c r="AC273">
        <v>1</v>
      </c>
      <c r="AT273" t="s">
        <v>4031</v>
      </c>
      <c r="BD273">
        <v>99</v>
      </c>
      <c r="BS273">
        <v>0.1</v>
      </c>
      <c r="CN273" s="9" t="s">
        <v>4022</v>
      </c>
      <c r="CR273">
        <v>0.1</v>
      </c>
    </row>
    <row r="275" spans="1:103" x14ac:dyDescent="0.25">
      <c r="A275" t="s">
        <v>4032</v>
      </c>
      <c r="C275" t="s">
        <v>3416</v>
      </c>
      <c r="AC275">
        <v>2</v>
      </c>
      <c r="AO275" t="s">
        <v>3417</v>
      </c>
      <c r="AT275" t="s">
        <v>3441</v>
      </c>
      <c r="AX275" t="s">
        <v>3419</v>
      </c>
      <c r="AZ275">
        <v>1</v>
      </c>
      <c r="BD275">
        <v>1</v>
      </c>
      <c r="CB275" t="s">
        <v>136</v>
      </c>
      <c r="CG275" t="s">
        <v>3410</v>
      </c>
      <c r="CY275" t="s">
        <v>4033</v>
      </c>
    </row>
    <row r="276" spans="1:103" x14ac:dyDescent="0.25">
      <c r="A276" t="s">
        <v>4034</v>
      </c>
      <c r="C276" t="s">
        <v>3326</v>
      </c>
      <c r="K276" s="5" t="s">
        <v>3314</v>
      </c>
      <c r="L276" s="5" t="s">
        <v>3327</v>
      </c>
      <c r="AC276">
        <v>1</v>
      </c>
      <c r="AY276" s="5"/>
      <c r="BD276">
        <v>99</v>
      </c>
      <c r="BO276" s="7" t="s">
        <v>4035</v>
      </c>
      <c r="BV276"/>
      <c r="BW276"/>
      <c r="BX276"/>
      <c r="BY276"/>
      <c r="BZ276"/>
      <c r="CA276"/>
      <c r="CB276" s="5"/>
      <c r="CC276" s="5"/>
      <c r="CD276" s="5"/>
      <c r="CE276" s="5"/>
      <c r="CF276" s="5"/>
      <c r="CH276" s="5"/>
      <c r="CI276" s="5"/>
      <c r="CJ276" s="5"/>
      <c r="CK276" s="5"/>
      <c r="CL276" s="5"/>
      <c r="CM276" s="5"/>
      <c r="CN276" s="9" t="s">
        <v>4036</v>
      </c>
      <c r="CO276">
        <v>0.12</v>
      </c>
      <c r="CR276">
        <v>99999</v>
      </c>
      <c r="CT276">
        <v>1</v>
      </c>
    </row>
    <row r="277" spans="1:103" x14ac:dyDescent="0.25">
      <c r="A277" t="s">
        <v>4035</v>
      </c>
      <c r="C277" t="s">
        <v>3326</v>
      </c>
      <c r="K277" s="5" t="s">
        <v>3314</v>
      </c>
      <c r="L277" s="5" t="s">
        <v>3327</v>
      </c>
      <c r="AC277">
        <v>1</v>
      </c>
      <c r="AF277">
        <v>1</v>
      </c>
      <c r="AG277" t="s">
        <v>3837</v>
      </c>
      <c r="AY277" s="5"/>
      <c r="BD277">
        <v>1</v>
      </c>
      <c r="BV277"/>
      <c r="BW277"/>
      <c r="BX277"/>
      <c r="BY277"/>
      <c r="BZ277"/>
      <c r="CA277"/>
      <c r="CB277" s="5"/>
      <c r="CC277" s="5"/>
      <c r="CD277" s="5"/>
      <c r="CE277" s="5"/>
      <c r="CF277" s="5"/>
      <c r="CH277" s="5"/>
      <c r="CI277" s="5"/>
      <c r="CJ277" s="5"/>
      <c r="CK277" s="5"/>
      <c r="CL277" s="5"/>
      <c r="CM277" s="5"/>
      <c r="CN277" s="9" t="s">
        <v>4036</v>
      </c>
      <c r="CO277">
        <v>0.12</v>
      </c>
      <c r="CR277">
        <v>99999</v>
      </c>
      <c r="CT277">
        <v>1</v>
      </c>
    </row>
    <row r="278" spans="1:103" x14ac:dyDescent="0.25">
      <c r="A278" t="s">
        <v>4037</v>
      </c>
      <c r="C278" t="s">
        <v>3326</v>
      </c>
      <c r="D278" t="s">
        <v>4038</v>
      </c>
      <c r="E278" t="s">
        <v>4039</v>
      </c>
      <c r="F278" t="s">
        <v>4040</v>
      </c>
      <c r="G278">
        <v>3</v>
      </c>
      <c r="J278" t="s">
        <v>3342</v>
      </c>
      <c r="K278" s="5" t="s">
        <v>3344</v>
      </c>
      <c r="U278" s="5">
        <v>0.5</v>
      </c>
      <c r="AC278">
        <v>1</v>
      </c>
      <c r="AO278" t="s">
        <v>3408</v>
      </c>
      <c r="AT278" t="s">
        <v>3446</v>
      </c>
      <c r="AY278" s="5">
        <v>1</v>
      </c>
      <c r="AZ278">
        <v>1.8</v>
      </c>
      <c r="BD278">
        <v>1</v>
      </c>
      <c r="BT278">
        <v>0.2</v>
      </c>
      <c r="BV278" s="8">
        <v>0</v>
      </c>
      <c r="BW278" s="8">
        <v>4</v>
      </c>
      <c r="BX278" s="8">
        <v>3</v>
      </c>
      <c r="BY278" s="8" t="s">
        <v>3344</v>
      </c>
      <c r="CB278" s="5" t="s">
        <v>136</v>
      </c>
      <c r="CC278" s="5"/>
      <c r="CD278" s="5"/>
      <c r="CE278" s="5"/>
      <c r="CF278" s="5"/>
      <c r="CG278" t="s">
        <v>3410</v>
      </c>
      <c r="CJ278" s="5"/>
      <c r="CK278" s="5"/>
      <c r="CL278" s="5"/>
      <c r="CM278" s="5"/>
      <c r="CX278" t="s">
        <v>4041</v>
      </c>
      <c r="CY278" t="s">
        <v>4042</v>
      </c>
    </row>
    <row r="279" spans="1:103" x14ac:dyDescent="0.25">
      <c r="A279" t="s">
        <v>4043</v>
      </c>
      <c r="C279" t="s">
        <v>3326</v>
      </c>
      <c r="D279" t="s">
        <v>4044</v>
      </c>
      <c r="E279" t="s">
        <v>4045</v>
      </c>
      <c r="F279" t="s">
        <v>4046</v>
      </c>
      <c r="G279">
        <v>3</v>
      </c>
      <c r="J279" t="s">
        <v>3445</v>
      </c>
      <c r="K279" s="5" t="s">
        <v>3343</v>
      </c>
      <c r="AB279">
        <v>1</v>
      </c>
      <c r="AC279">
        <v>1</v>
      </c>
      <c r="AO279" t="s">
        <v>3408</v>
      </c>
      <c r="AT279" t="s">
        <v>3446</v>
      </c>
      <c r="AY279">
        <v>1</v>
      </c>
      <c r="AZ279">
        <v>1</v>
      </c>
      <c r="BD279">
        <v>1</v>
      </c>
      <c r="BO279" s="7" t="s">
        <v>4047</v>
      </c>
      <c r="BT279">
        <v>40</v>
      </c>
      <c r="BV279" s="8">
        <v>30</v>
      </c>
      <c r="BW279" s="8">
        <v>40</v>
      </c>
      <c r="BX279" s="8">
        <v>1</v>
      </c>
      <c r="BY279" s="8" t="s">
        <v>3344</v>
      </c>
      <c r="CB279" t="s">
        <v>627</v>
      </c>
      <c r="CG279" t="s">
        <v>3410</v>
      </c>
      <c r="CY279" t="s">
        <v>4042</v>
      </c>
    </row>
    <row r="280" spans="1:103" x14ac:dyDescent="0.25">
      <c r="A280" t="s">
        <v>4048</v>
      </c>
      <c r="C280" t="s">
        <v>3326</v>
      </c>
      <c r="K280" s="5" t="s">
        <v>3314</v>
      </c>
      <c r="L280" s="5" t="s">
        <v>3452</v>
      </c>
      <c r="AC280">
        <v>1</v>
      </c>
      <c r="AY280" s="5"/>
      <c r="BD280">
        <v>1</v>
      </c>
      <c r="BV280"/>
      <c r="BW280"/>
      <c r="BX280"/>
      <c r="BY280"/>
      <c r="BZ280"/>
      <c r="CA280"/>
      <c r="CB280" s="5"/>
      <c r="CC280" s="5"/>
      <c r="CD280" s="5"/>
      <c r="CE280" s="5"/>
      <c r="CF280" s="5"/>
      <c r="CH280" s="5"/>
      <c r="CI280" s="5"/>
      <c r="CJ280" s="5"/>
      <c r="CK280" s="5"/>
      <c r="CL280" s="5"/>
      <c r="CM280" s="5"/>
      <c r="CN280" s="9" t="s">
        <v>4048</v>
      </c>
      <c r="CO280" t="s">
        <v>3801</v>
      </c>
      <c r="CR280">
        <v>40</v>
      </c>
    </row>
    <row r="281" spans="1:103" x14ac:dyDescent="0.25">
      <c r="A281" t="s">
        <v>4049</v>
      </c>
      <c r="C281" t="s">
        <v>3326</v>
      </c>
      <c r="K281" s="5" t="s">
        <v>3314</v>
      </c>
      <c r="L281" s="5" t="s">
        <v>3452</v>
      </c>
      <c r="AC281">
        <v>1</v>
      </c>
      <c r="AY281" s="5"/>
      <c r="BD281">
        <v>1</v>
      </c>
      <c r="BV281"/>
      <c r="BW281"/>
      <c r="BX281"/>
      <c r="BY281"/>
      <c r="BZ281"/>
      <c r="CA281"/>
      <c r="CB281" s="5"/>
      <c r="CC281" s="5"/>
      <c r="CD281" s="5"/>
      <c r="CE281" s="5"/>
      <c r="CF281" s="5"/>
      <c r="CH281" s="5"/>
      <c r="CI281" s="5"/>
      <c r="CJ281" s="5"/>
      <c r="CK281" s="5"/>
      <c r="CL281" s="5"/>
      <c r="CM281" s="5"/>
      <c r="CN281" s="9" t="s">
        <v>3454</v>
      </c>
      <c r="CR281">
        <v>40</v>
      </c>
    </row>
    <row r="283" spans="1:103" x14ac:dyDescent="0.25">
      <c r="A283" t="s">
        <v>4050</v>
      </c>
      <c r="C283" t="s">
        <v>3326</v>
      </c>
      <c r="K283" s="5" t="s">
        <v>3344</v>
      </c>
      <c r="AC283">
        <v>1</v>
      </c>
      <c r="AO283" t="s">
        <v>3408</v>
      </c>
      <c r="AT283" t="s">
        <v>3500</v>
      </c>
      <c r="AY283">
        <v>1</v>
      </c>
      <c r="AZ283">
        <v>1</v>
      </c>
      <c r="BD283">
        <v>1</v>
      </c>
      <c r="CB283" t="s">
        <v>136</v>
      </c>
      <c r="CG283" t="s">
        <v>3410</v>
      </c>
      <c r="CH283" t="s">
        <v>4051</v>
      </c>
      <c r="CI283" t="s">
        <v>3412</v>
      </c>
      <c r="CY283" t="s">
        <v>3391</v>
      </c>
    </row>
    <row r="284" spans="1:103" x14ac:dyDescent="0.25">
      <c r="A284" t="s">
        <v>4052</v>
      </c>
      <c r="C284" t="s">
        <v>3326</v>
      </c>
      <c r="K284" s="5" t="s">
        <v>3314</v>
      </c>
      <c r="L284" s="5" t="s">
        <v>3327</v>
      </c>
      <c r="AC284">
        <v>1</v>
      </c>
      <c r="AI284" t="s">
        <v>330</v>
      </c>
      <c r="AY284" s="5"/>
      <c r="BD284">
        <v>99</v>
      </c>
      <c r="BO284" s="7" t="s">
        <v>4053</v>
      </c>
      <c r="BV284"/>
      <c r="BW284"/>
      <c r="BX284"/>
      <c r="BY284"/>
      <c r="BZ284"/>
      <c r="CA284"/>
      <c r="CB284" s="5"/>
      <c r="CC284" s="5"/>
      <c r="CD284" s="5"/>
      <c r="CE284" s="5"/>
      <c r="CF284" s="5"/>
      <c r="CH284" s="5"/>
      <c r="CI284" s="5"/>
      <c r="CJ284" s="5"/>
      <c r="CK284" s="5"/>
      <c r="CL284" s="5"/>
      <c r="CM284" s="5"/>
      <c r="CN284" s="9" t="s">
        <v>3540</v>
      </c>
      <c r="CO284">
        <v>0.14000000000000001</v>
      </c>
      <c r="CR284">
        <v>99999</v>
      </c>
      <c r="CT284">
        <v>1</v>
      </c>
    </row>
    <row r="285" spans="1:103" x14ac:dyDescent="0.25">
      <c r="A285" t="s">
        <v>4053</v>
      </c>
      <c r="C285" t="s">
        <v>3326</v>
      </c>
      <c r="K285" s="5" t="s">
        <v>3314</v>
      </c>
      <c r="L285" s="5" t="s">
        <v>3327</v>
      </c>
      <c r="AC285">
        <v>1</v>
      </c>
      <c r="AF285">
        <v>1</v>
      </c>
      <c r="AG285" t="s">
        <v>3837</v>
      </c>
      <c r="AI285" t="s">
        <v>330</v>
      </c>
      <c r="AY285" s="5"/>
      <c r="BD285">
        <v>1</v>
      </c>
      <c r="BV285"/>
      <c r="BW285"/>
      <c r="BX285"/>
      <c r="BY285"/>
      <c r="BZ285"/>
      <c r="CA285"/>
      <c r="CB285" s="5"/>
      <c r="CC285" s="5"/>
      <c r="CD285" s="5"/>
      <c r="CE285" s="5"/>
      <c r="CF285" s="5"/>
      <c r="CH285" s="5"/>
      <c r="CI285" s="5"/>
      <c r="CJ285" s="5"/>
      <c r="CK285" s="5"/>
      <c r="CL285" s="5"/>
      <c r="CM285" s="5"/>
      <c r="CN285" s="9" t="s">
        <v>3540</v>
      </c>
      <c r="CO285">
        <v>0.14000000000000001</v>
      </c>
      <c r="CR285">
        <v>99999</v>
      </c>
      <c r="CT285">
        <v>1</v>
      </c>
    </row>
    <row r="286" spans="1:103" x14ac:dyDescent="0.25">
      <c r="A286" t="s">
        <v>4054</v>
      </c>
      <c r="C286" t="s">
        <v>3806</v>
      </c>
      <c r="D286" t="s">
        <v>4055</v>
      </c>
      <c r="E286" t="s">
        <v>4056</v>
      </c>
      <c r="F286" t="s">
        <v>4057</v>
      </c>
      <c r="G286">
        <v>3</v>
      </c>
      <c r="J286" t="s">
        <v>3342</v>
      </c>
      <c r="K286" s="5" t="s">
        <v>3314</v>
      </c>
      <c r="W286" s="5">
        <v>1</v>
      </c>
      <c r="AC286">
        <v>1</v>
      </c>
      <c r="AG286" t="s">
        <v>3316</v>
      </c>
      <c r="BD286">
        <v>1</v>
      </c>
      <c r="BT286">
        <v>0.2</v>
      </c>
      <c r="BV286" s="8">
        <v>0</v>
      </c>
      <c r="BW286" s="8">
        <v>18</v>
      </c>
      <c r="BX286" s="8">
        <v>1</v>
      </c>
      <c r="BY286" s="8" t="s">
        <v>3344</v>
      </c>
      <c r="CU286" t="s">
        <v>4058</v>
      </c>
    </row>
    <row r="287" spans="1:103" x14ac:dyDescent="0.25">
      <c r="A287" t="s">
        <v>4059</v>
      </c>
      <c r="C287" t="s">
        <v>3326</v>
      </c>
      <c r="K287" s="5" t="s">
        <v>3344</v>
      </c>
      <c r="AC287">
        <v>1</v>
      </c>
      <c r="AO287" t="s">
        <v>3408</v>
      </c>
      <c r="AT287" t="s">
        <v>3446</v>
      </c>
      <c r="AY287">
        <v>1</v>
      </c>
      <c r="AZ287">
        <v>1</v>
      </c>
      <c r="BA287">
        <v>1</v>
      </c>
      <c r="BD287">
        <v>99</v>
      </c>
      <c r="BS287">
        <v>0.5</v>
      </c>
      <c r="CY287" t="s">
        <v>3391</v>
      </c>
    </row>
    <row r="288" spans="1:103" x14ac:dyDescent="0.25">
      <c r="A288" t="s">
        <v>4060</v>
      </c>
      <c r="C288" t="s">
        <v>3326</v>
      </c>
      <c r="K288" s="5" t="s">
        <v>3314</v>
      </c>
      <c r="L288" s="5" t="s">
        <v>3330</v>
      </c>
      <c r="AC288">
        <v>1</v>
      </c>
      <c r="AG288" t="s">
        <v>3316</v>
      </c>
      <c r="AH288">
        <v>1</v>
      </c>
      <c r="AY288" s="5"/>
      <c r="BD288">
        <v>1</v>
      </c>
      <c r="BV288"/>
      <c r="BW288"/>
      <c r="BX288"/>
      <c r="BY288"/>
      <c r="BZ288"/>
      <c r="CA288"/>
      <c r="CB288" s="5"/>
      <c r="CC288" s="5"/>
      <c r="CD288" s="5"/>
      <c r="CE288" s="5"/>
      <c r="CF288" s="5"/>
      <c r="CH288" s="5"/>
      <c r="CI288" s="5"/>
      <c r="CJ288" s="5"/>
      <c r="CK288" s="5"/>
      <c r="CL288" s="5"/>
      <c r="CM288" s="5"/>
      <c r="CN288" s="9" t="s">
        <v>4061</v>
      </c>
      <c r="CR288">
        <v>99999</v>
      </c>
    </row>
    <row r="290" spans="1:108" x14ac:dyDescent="0.25">
      <c r="A290" t="s">
        <v>4062</v>
      </c>
      <c r="C290" t="s">
        <v>3326</v>
      </c>
      <c r="K290" s="5" t="s">
        <v>3344</v>
      </c>
      <c r="AC290">
        <v>1</v>
      </c>
      <c r="AO290" t="s">
        <v>3408</v>
      </c>
      <c r="AT290" t="s">
        <v>3500</v>
      </c>
      <c r="AY290">
        <v>1</v>
      </c>
      <c r="AZ290">
        <v>1</v>
      </c>
      <c r="BD290">
        <v>1</v>
      </c>
      <c r="CB290" t="s">
        <v>136</v>
      </c>
      <c r="CG290" t="s">
        <v>3410</v>
      </c>
      <c r="CX290" t="s">
        <v>4063</v>
      </c>
      <c r="CY290" t="s">
        <v>4064</v>
      </c>
    </row>
    <row r="291" spans="1:108" x14ac:dyDescent="0.25">
      <c r="A291" t="s">
        <v>4065</v>
      </c>
      <c r="C291" t="s">
        <v>4066</v>
      </c>
      <c r="K291" s="5" t="s">
        <v>3314</v>
      </c>
      <c r="L291" s="5" t="s">
        <v>3671</v>
      </c>
      <c r="AC291">
        <v>2</v>
      </c>
      <c r="AH291">
        <v>1</v>
      </c>
      <c r="AT291" t="s">
        <v>3500</v>
      </c>
      <c r="AY291" s="5"/>
      <c r="BP291" s="7" t="s">
        <v>4067</v>
      </c>
      <c r="CB291" s="5"/>
      <c r="CC291" s="5"/>
      <c r="CD291" s="5"/>
      <c r="CE291" s="5"/>
      <c r="CF291" s="5"/>
      <c r="CH291" s="5"/>
      <c r="CI291" s="5"/>
      <c r="CJ291" s="5"/>
      <c r="CK291" s="5"/>
      <c r="CL291" s="5"/>
      <c r="CM291" s="5"/>
      <c r="CU291" t="s">
        <v>4068</v>
      </c>
    </row>
    <row r="292" spans="1:108" x14ac:dyDescent="0.25">
      <c r="A292" t="s">
        <v>4067</v>
      </c>
      <c r="C292" t="s">
        <v>3512</v>
      </c>
      <c r="K292" s="5" t="s">
        <v>3314</v>
      </c>
      <c r="AC292">
        <v>1</v>
      </c>
      <c r="AG292" t="s">
        <v>3837</v>
      </c>
      <c r="AO292" t="s">
        <v>3975</v>
      </c>
      <c r="AT292" t="s">
        <v>3500</v>
      </c>
      <c r="BD292">
        <v>1</v>
      </c>
      <c r="CU292" t="s">
        <v>4069</v>
      </c>
    </row>
    <row r="293" spans="1:108" x14ac:dyDescent="0.25">
      <c r="A293" t="s">
        <v>4070</v>
      </c>
      <c r="C293" t="s">
        <v>3326</v>
      </c>
      <c r="D293" t="s">
        <v>4071</v>
      </c>
      <c r="E293" t="s">
        <v>4072</v>
      </c>
      <c r="F293" t="s">
        <v>4073</v>
      </c>
      <c r="G293">
        <v>3</v>
      </c>
      <c r="J293" t="s">
        <v>3342</v>
      </c>
      <c r="K293" s="5" t="s">
        <v>3344</v>
      </c>
      <c r="U293" s="5">
        <v>0.5</v>
      </c>
      <c r="AC293">
        <v>1</v>
      </c>
      <c r="AO293" t="s">
        <v>3408</v>
      </c>
      <c r="AT293" t="s">
        <v>3500</v>
      </c>
      <c r="AY293">
        <v>1</v>
      </c>
      <c r="AZ293">
        <v>1</v>
      </c>
      <c r="BD293">
        <v>1</v>
      </c>
      <c r="BT293">
        <v>0.2</v>
      </c>
      <c r="BV293" s="8">
        <v>0</v>
      </c>
      <c r="BW293" s="8">
        <v>4</v>
      </c>
      <c r="BX293" s="8">
        <v>4</v>
      </c>
      <c r="BY293" s="8" t="s">
        <v>3497</v>
      </c>
      <c r="CB293" t="s">
        <v>136</v>
      </c>
      <c r="CG293" t="s">
        <v>3410</v>
      </c>
      <c r="CJ293" t="s">
        <v>4074</v>
      </c>
      <c r="CX293" t="s">
        <v>4075</v>
      </c>
      <c r="CY293" t="s">
        <v>4076</v>
      </c>
    </row>
    <row r="294" spans="1:108" x14ac:dyDescent="0.25">
      <c r="A294" t="s">
        <v>4077</v>
      </c>
      <c r="C294" t="s">
        <v>3326</v>
      </c>
      <c r="D294" t="s">
        <v>4078</v>
      </c>
      <c r="E294" t="s">
        <v>4079</v>
      </c>
      <c r="F294" t="s">
        <v>4080</v>
      </c>
      <c r="G294">
        <v>3</v>
      </c>
      <c r="J294" t="s">
        <v>3342</v>
      </c>
      <c r="K294" s="5" t="s">
        <v>3343</v>
      </c>
      <c r="AB294">
        <v>1</v>
      </c>
      <c r="AC294">
        <v>1</v>
      </c>
      <c r="AY294" s="5"/>
      <c r="BD294">
        <v>1</v>
      </c>
      <c r="BP294" s="7" t="s">
        <v>4081</v>
      </c>
      <c r="BT294">
        <v>0.2</v>
      </c>
      <c r="BV294" s="8">
        <v>50</v>
      </c>
      <c r="BW294" s="8">
        <v>60</v>
      </c>
      <c r="BX294" s="8">
        <v>1</v>
      </c>
      <c r="BY294" s="8" t="s">
        <v>3344</v>
      </c>
      <c r="CB294" t="s">
        <v>136</v>
      </c>
      <c r="CC294" s="5"/>
      <c r="CD294" s="5"/>
      <c r="CE294" s="5"/>
      <c r="CF294" s="5"/>
      <c r="CG294" t="s">
        <v>3410</v>
      </c>
      <c r="CH294" s="5"/>
      <c r="CI294" s="5"/>
      <c r="CJ294" s="5"/>
      <c r="CM294" s="5"/>
      <c r="CN294" s="9" t="s">
        <v>4082</v>
      </c>
      <c r="CO294">
        <v>0.9</v>
      </c>
      <c r="CP294">
        <v>0.03</v>
      </c>
      <c r="CR294">
        <v>15</v>
      </c>
    </row>
    <row r="295" spans="1:108" x14ac:dyDescent="0.25">
      <c r="A295" t="s">
        <v>4081</v>
      </c>
      <c r="C295" t="s">
        <v>3326</v>
      </c>
      <c r="K295" s="5" t="s">
        <v>3314</v>
      </c>
      <c r="AC295">
        <v>1</v>
      </c>
      <c r="AG295" t="s">
        <v>3837</v>
      </c>
      <c r="AO295" t="s">
        <v>3975</v>
      </c>
      <c r="AT295" t="s">
        <v>3500</v>
      </c>
      <c r="AY295" s="5"/>
      <c r="BD295">
        <v>1</v>
      </c>
      <c r="CC295" s="5"/>
      <c r="CD295" s="5"/>
      <c r="CE295" s="5"/>
      <c r="CF295" s="5"/>
      <c r="CH295" s="5"/>
      <c r="CI295" s="5"/>
      <c r="CJ295" s="5"/>
      <c r="CK295" s="5"/>
      <c r="CL295" s="5"/>
      <c r="CM295" s="5"/>
      <c r="CN295" s="9" t="s">
        <v>4082</v>
      </c>
      <c r="CO295">
        <v>0.9</v>
      </c>
      <c r="CP295">
        <v>0.03</v>
      </c>
      <c r="CR295">
        <v>15</v>
      </c>
    </row>
    <row r="297" spans="1:108" x14ac:dyDescent="0.25">
      <c r="A297" t="s">
        <v>4083</v>
      </c>
      <c r="C297" t="s">
        <v>3416</v>
      </c>
      <c r="K297" s="5" t="s">
        <v>3344</v>
      </c>
      <c r="AC297">
        <v>2</v>
      </c>
      <c r="AO297" t="s">
        <v>3417</v>
      </c>
      <c r="AT297" t="s">
        <v>3418</v>
      </c>
      <c r="AX297" t="s">
        <v>3419</v>
      </c>
      <c r="AZ297">
        <v>1</v>
      </c>
      <c r="BD297">
        <v>1</v>
      </c>
      <c r="CB297" t="s">
        <v>136</v>
      </c>
      <c r="CG297" t="s">
        <v>3410</v>
      </c>
      <c r="CX297" t="s">
        <v>4084</v>
      </c>
      <c r="CY297" t="s">
        <v>4085</v>
      </c>
    </row>
    <row r="298" spans="1:108" x14ac:dyDescent="0.25">
      <c r="A298" t="s">
        <v>4086</v>
      </c>
      <c r="C298" t="s">
        <v>3326</v>
      </c>
      <c r="D298" t="s">
        <v>4087</v>
      </c>
      <c r="E298" t="s">
        <v>4088</v>
      </c>
      <c r="F298" t="s">
        <v>4089</v>
      </c>
      <c r="G298">
        <v>3</v>
      </c>
      <c r="K298" s="5" t="s">
        <v>3314</v>
      </c>
      <c r="L298" s="5" t="s">
        <v>3513</v>
      </c>
      <c r="AC298">
        <v>1</v>
      </c>
      <c r="AY298" s="5"/>
      <c r="BD298">
        <v>1</v>
      </c>
      <c r="BT298">
        <v>10</v>
      </c>
      <c r="BV298"/>
      <c r="BW298"/>
      <c r="BX298"/>
      <c r="BY298"/>
      <c r="BZ298"/>
      <c r="CA298"/>
      <c r="CB298" s="5"/>
      <c r="CC298" s="5"/>
      <c r="CD298" s="5"/>
      <c r="CE298" s="5"/>
      <c r="CF298" s="5"/>
      <c r="CH298" s="5"/>
      <c r="CI298" s="5"/>
      <c r="CJ298" s="5"/>
      <c r="CK298" s="5"/>
      <c r="CL298" s="5"/>
      <c r="CM298" s="5"/>
      <c r="CN298" s="9" t="s">
        <v>4090</v>
      </c>
      <c r="CO298">
        <v>0.8</v>
      </c>
      <c r="CR298">
        <v>10</v>
      </c>
      <c r="DD298">
        <v>1</v>
      </c>
    </row>
    <row r="299" spans="1:108" ht="15" customHeight="1" x14ac:dyDescent="0.25">
      <c r="A299" t="s">
        <v>4091</v>
      </c>
      <c r="C299" t="s">
        <v>3326</v>
      </c>
      <c r="D299" t="s">
        <v>4092</v>
      </c>
      <c r="E299" t="s">
        <v>4093</v>
      </c>
      <c r="F299" t="s">
        <v>4094</v>
      </c>
      <c r="G299">
        <v>3</v>
      </c>
      <c r="K299" s="5" t="s">
        <v>3314</v>
      </c>
      <c r="L299" s="5" t="s">
        <v>3513</v>
      </c>
      <c r="X299" s="5">
        <v>1</v>
      </c>
      <c r="AC299">
        <v>2</v>
      </c>
      <c r="AO299" t="s">
        <v>3417</v>
      </c>
      <c r="AT299" t="s">
        <v>4031</v>
      </c>
      <c r="AX299" t="s">
        <v>3419</v>
      </c>
      <c r="AZ299">
        <v>2.5</v>
      </c>
      <c r="BD299">
        <v>99</v>
      </c>
      <c r="CG299" t="s">
        <v>3831</v>
      </c>
      <c r="CN299" s="9" t="s">
        <v>3318</v>
      </c>
      <c r="CR299">
        <v>3</v>
      </c>
      <c r="CX299" t="s">
        <v>4095</v>
      </c>
    </row>
    <row r="301" spans="1:108" x14ac:dyDescent="0.25">
      <c r="A301" t="s">
        <v>4096</v>
      </c>
      <c r="C301" t="s">
        <v>3416</v>
      </c>
      <c r="AC301">
        <v>2</v>
      </c>
      <c r="AO301" t="s">
        <v>3417</v>
      </c>
      <c r="AT301" t="s">
        <v>3602</v>
      </c>
      <c r="AX301" t="s">
        <v>3419</v>
      </c>
      <c r="AZ301">
        <v>1</v>
      </c>
      <c r="BD301">
        <v>1</v>
      </c>
      <c r="CB301" t="s">
        <v>3524</v>
      </c>
      <c r="CG301" t="s">
        <v>3410</v>
      </c>
      <c r="CX301" t="s">
        <v>4097</v>
      </c>
      <c r="CY301" t="s">
        <v>3429</v>
      </c>
    </row>
    <row r="302" spans="1:108" x14ac:dyDescent="0.25">
      <c r="A302" t="s">
        <v>4098</v>
      </c>
      <c r="C302" t="s">
        <v>3512</v>
      </c>
      <c r="K302" s="5" t="s">
        <v>3314</v>
      </c>
      <c r="L302" s="5" t="s">
        <v>4099</v>
      </c>
      <c r="AC302">
        <v>1</v>
      </c>
      <c r="AG302" t="s">
        <v>3316</v>
      </c>
      <c r="AT302" t="s">
        <v>3441</v>
      </c>
      <c r="BD302">
        <v>1</v>
      </c>
      <c r="BP302" s="7" t="s">
        <v>4100</v>
      </c>
      <c r="CU302" t="s">
        <v>4069</v>
      </c>
    </row>
    <row r="303" spans="1:108" x14ac:dyDescent="0.25">
      <c r="A303" t="s">
        <v>4100</v>
      </c>
      <c r="C303" t="s">
        <v>3512</v>
      </c>
      <c r="K303" s="5" t="s">
        <v>3314</v>
      </c>
      <c r="AC303">
        <v>1</v>
      </c>
      <c r="AG303" t="s">
        <v>3837</v>
      </c>
      <c r="AO303" t="s">
        <v>3975</v>
      </c>
      <c r="AT303" t="s">
        <v>4031</v>
      </c>
      <c r="BD303">
        <v>1</v>
      </c>
      <c r="CU303" t="s">
        <v>4069</v>
      </c>
    </row>
    <row r="304" spans="1:108" x14ac:dyDescent="0.25">
      <c r="A304" t="s">
        <v>4101</v>
      </c>
      <c r="C304" t="s">
        <v>3326</v>
      </c>
      <c r="D304" t="s">
        <v>4102</v>
      </c>
      <c r="E304" t="s">
        <v>4103</v>
      </c>
      <c r="F304" t="s">
        <v>4104</v>
      </c>
      <c r="G304">
        <v>3</v>
      </c>
      <c r="J304" t="s">
        <v>3342</v>
      </c>
      <c r="K304" s="5" t="s">
        <v>3344</v>
      </c>
      <c r="W304" s="5">
        <v>1</v>
      </c>
      <c r="AC304">
        <v>1</v>
      </c>
      <c r="AG304" t="s">
        <v>3316</v>
      </c>
      <c r="BD304">
        <v>1</v>
      </c>
      <c r="BT304">
        <v>0.2</v>
      </c>
      <c r="BV304" s="8">
        <v>0</v>
      </c>
      <c r="BW304" s="8">
        <v>18</v>
      </c>
      <c r="BX304" s="8">
        <v>1</v>
      </c>
      <c r="BY304" s="8" t="s">
        <v>3677</v>
      </c>
      <c r="CN304" s="9" t="s">
        <v>4105</v>
      </c>
      <c r="CP304">
        <v>1</v>
      </c>
      <c r="CR304">
        <v>8</v>
      </c>
    </row>
    <row r="305" spans="1:108" x14ac:dyDescent="0.25">
      <c r="A305" t="s">
        <v>4106</v>
      </c>
      <c r="C305" t="s">
        <v>3326</v>
      </c>
      <c r="D305" t="s">
        <v>4107</v>
      </c>
      <c r="E305" t="s">
        <v>4108</v>
      </c>
      <c r="F305" t="s">
        <v>4109</v>
      </c>
      <c r="G305">
        <v>3</v>
      </c>
      <c r="J305" t="s">
        <v>3445</v>
      </c>
      <c r="K305" s="5" t="s">
        <v>3343</v>
      </c>
      <c r="AB305">
        <v>1</v>
      </c>
      <c r="AC305">
        <v>2</v>
      </c>
      <c r="AO305" t="s">
        <v>3417</v>
      </c>
      <c r="AT305" t="s">
        <v>3602</v>
      </c>
      <c r="AX305" t="s">
        <v>3432</v>
      </c>
      <c r="AZ305">
        <v>1</v>
      </c>
      <c r="BD305">
        <v>4</v>
      </c>
      <c r="BO305" s="7" t="s">
        <v>4110</v>
      </c>
      <c r="BT305">
        <v>20</v>
      </c>
      <c r="BV305" s="8">
        <v>0</v>
      </c>
      <c r="BW305" s="8">
        <v>34</v>
      </c>
      <c r="BX305" s="8">
        <v>1</v>
      </c>
      <c r="BY305" s="8" t="s">
        <v>3677</v>
      </c>
      <c r="CB305" t="s">
        <v>627</v>
      </c>
      <c r="CD305" t="s">
        <v>3854</v>
      </c>
      <c r="CG305" t="s">
        <v>3410</v>
      </c>
      <c r="CN305" s="9" t="s">
        <v>3318</v>
      </c>
      <c r="CR305">
        <v>1</v>
      </c>
      <c r="CS305">
        <v>0.25</v>
      </c>
      <c r="CX305" t="s">
        <v>4111</v>
      </c>
      <c r="CY305" t="s">
        <v>4112</v>
      </c>
    </row>
    <row r="306" spans="1:108" x14ac:dyDescent="0.25">
      <c r="A306" t="s">
        <v>4113</v>
      </c>
      <c r="C306" t="s">
        <v>3326</v>
      </c>
      <c r="K306" s="5" t="s">
        <v>3314</v>
      </c>
      <c r="L306" s="5" t="s">
        <v>3452</v>
      </c>
      <c r="AC306">
        <v>1</v>
      </c>
      <c r="AY306" s="5"/>
      <c r="BD306">
        <v>1</v>
      </c>
      <c r="BV306"/>
      <c r="BW306"/>
      <c r="BX306"/>
      <c r="BY306"/>
      <c r="BZ306"/>
      <c r="CA306"/>
      <c r="CB306" s="5"/>
      <c r="CC306" s="5"/>
      <c r="CD306" s="5"/>
      <c r="CE306" s="5"/>
      <c r="CF306" s="5"/>
      <c r="CH306" s="5"/>
      <c r="CI306" s="5"/>
      <c r="CJ306" s="5"/>
      <c r="CK306" s="5"/>
      <c r="CL306" s="5"/>
      <c r="CM306" s="5"/>
      <c r="CN306" s="9" t="s">
        <v>4113</v>
      </c>
      <c r="CO306" t="s">
        <v>4114</v>
      </c>
      <c r="CR306">
        <v>20</v>
      </c>
    </row>
    <row r="307" spans="1:108" x14ac:dyDescent="0.25">
      <c r="A307" t="s">
        <v>4115</v>
      </c>
      <c r="C307" t="s">
        <v>3326</v>
      </c>
      <c r="K307" s="5" t="s">
        <v>3314</v>
      </c>
      <c r="L307" s="5" t="s">
        <v>3557</v>
      </c>
      <c r="AC307">
        <v>1</v>
      </c>
      <c r="AG307" t="s">
        <v>3316</v>
      </c>
      <c r="AY307" s="5"/>
      <c r="BD307">
        <v>1</v>
      </c>
      <c r="CB307" s="5"/>
      <c r="CC307" s="5"/>
      <c r="CD307" s="5"/>
      <c r="CE307" s="5"/>
      <c r="CF307" s="5"/>
      <c r="CH307" s="5"/>
      <c r="CI307" s="5"/>
      <c r="CJ307" s="5"/>
      <c r="CK307" s="5"/>
      <c r="CL307" s="5"/>
      <c r="CM307" s="5"/>
      <c r="CN307" s="9" t="s">
        <v>3318</v>
      </c>
      <c r="CR307">
        <v>5</v>
      </c>
      <c r="DD307">
        <v>1</v>
      </c>
    </row>
    <row r="309" spans="1:108" x14ac:dyDescent="0.25">
      <c r="A309" t="s">
        <v>4116</v>
      </c>
      <c r="C309" t="s">
        <v>3416</v>
      </c>
      <c r="AC309">
        <v>2</v>
      </c>
      <c r="AO309" t="s">
        <v>3417</v>
      </c>
      <c r="AT309" t="s">
        <v>3441</v>
      </c>
      <c r="AX309" t="s">
        <v>3419</v>
      </c>
      <c r="AZ309">
        <v>1</v>
      </c>
      <c r="BD309">
        <v>1</v>
      </c>
      <c r="CB309" t="s">
        <v>136</v>
      </c>
      <c r="CG309" t="s">
        <v>3410</v>
      </c>
      <c r="CW309" t="s">
        <v>4117</v>
      </c>
      <c r="CY309" t="s">
        <v>4118</v>
      </c>
    </row>
    <row r="310" spans="1:108" x14ac:dyDescent="0.25">
      <c r="A310" t="s">
        <v>4119</v>
      </c>
      <c r="C310" t="s">
        <v>3326</v>
      </c>
      <c r="K310" s="5" t="s">
        <v>3314</v>
      </c>
      <c r="L310" s="5" t="s">
        <v>3330</v>
      </c>
      <c r="AC310">
        <v>1</v>
      </c>
      <c r="AG310" t="s">
        <v>3316</v>
      </c>
      <c r="AH310">
        <v>1</v>
      </c>
      <c r="AY310" s="5"/>
      <c r="BD310">
        <v>1</v>
      </c>
      <c r="BO310" s="7" t="s">
        <v>4120</v>
      </c>
      <c r="BV310"/>
      <c r="BW310"/>
      <c r="BX310"/>
      <c r="BY310"/>
      <c r="BZ310"/>
      <c r="CA310"/>
      <c r="CB310" s="5"/>
      <c r="CC310" s="5"/>
      <c r="CD310" s="5"/>
      <c r="CE310" s="5"/>
      <c r="CF310" s="5"/>
      <c r="CH310" s="5"/>
      <c r="CI310" s="5"/>
      <c r="CJ310" s="5"/>
      <c r="CK310" s="5"/>
      <c r="CL310" s="5"/>
      <c r="CM310" s="5"/>
      <c r="CN310" s="9" t="s">
        <v>4121</v>
      </c>
      <c r="CR310">
        <v>99999</v>
      </c>
    </row>
    <row r="311" spans="1:108" x14ac:dyDescent="0.25">
      <c r="A311" t="s">
        <v>4120</v>
      </c>
      <c r="C311" t="s">
        <v>3326</v>
      </c>
      <c r="K311" s="5" t="s">
        <v>3344</v>
      </c>
      <c r="AC311">
        <v>1</v>
      </c>
      <c r="AG311" t="s">
        <v>3837</v>
      </c>
      <c r="AT311" t="s">
        <v>4031</v>
      </c>
      <c r="AY311" s="5"/>
      <c r="BD311">
        <v>99</v>
      </c>
      <c r="BS311">
        <v>0.1</v>
      </c>
      <c r="BV311"/>
      <c r="BW311"/>
      <c r="BX311"/>
      <c r="BY311"/>
      <c r="BZ311"/>
      <c r="CA311"/>
      <c r="CB311" s="5"/>
      <c r="CC311" s="5"/>
      <c r="CD311" s="5"/>
      <c r="CE311" s="5"/>
      <c r="CF311" s="5"/>
      <c r="CH311" s="5"/>
      <c r="CI311" s="5"/>
      <c r="CJ311" s="5"/>
      <c r="CK311" s="5"/>
      <c r="CL311" s="5"/>
      <c r="CM311" s="5"/>
      <c r="CN311" s="9" t="s">
        <v>4122</v>
      </c>
      <c r="CR311">
        <v>0.1</v>
      </c>
    </row>
    <row r="312" spans="1:108" x14ac:dyDescent="0.25">
      <c r="A312" t="s">
        <v>4123</v>
      </c>
      <c r="C312" t="s">
        <v>3326</v>
      </c>
      <c r="D312" t="s">
        <v>4124</v>
      </c>
      <c r="E312" t="s">
        <v>4125</v>
      </c>
      <c r="F312" t="s">
        <v>4126</v>
      </c>
      <c r="G312">
        <v>3</v>
      </c>
      <c r="J312" t="s">
        <v>3342</v>
      </c>
      <c r="K312" s="5" t="s">
        <v>3344</v>
      </c>
      <c r="W312" s="5">
        <v>1</v>
      </c>
      <c r="AC312">
        <v>1</v>
      </c>
      <c r="AG312" t="s">
        <v>3316</v>
      </c>
      <c r="BD312">
        <v>1</v>
      </c>
      <c r="BT312">
        <v>30</v>
      </c>
      <c r="BV312" s="8">
        <v>12</v>
      </c>
      <c r="BW312" s="8">
        <v>20</v>
      </c>
      <c r="BX312" s="8">
        <v>1</v>
      </c>
      <c r="BY312" s="8" t="s">
        <v>3344</v>
      </c>
      <c r="CN312" s="9" t="s">
        <v>4123</v>
      </c>
      <c r="CO312">
        <v>0.7</v>
      </c>
      <c r="CR312">
        <v>30</v>
      </c>
    </row>
    <row r="313" spans="1:108" x14ac:dyDescent="0.25">
      <c r="A313" t="s">
        <v>4127</v>
      </c>
      <c r="C313" t="s">
        <v>3717</v>
      </c>
      <c r="D313" t="s">
        <v>4128</v>
      </c>
      <c r="E313" t="s">
        <v>4129</v>
      </c>
      <c r="F313" t="s">
        <v>4130</v>
      </c>
      <c r="G313">
        <v>3</v>
      </c>
      <c r="J313" t="s">
        <v>3342</v>
      </c>
      <c r="K313" s="5" t="s">
        <v>3343</v>
      </c>
      <c r="AB313">
        <v>1</v>
      </c>
      <c r="AC313">
        <v>2</v>
      </c>
      <c r="AO313" t="s">
        <v>3417</v>
      </c>
      <c r="AT313" t="s">
        <v>4031</v>
      </c>
      <c r="AX313" t="s">
        <v>3419</v>
      </c>
      <c r="AZ313">
        <v>4.8</v>
      </c>
      <c r="BD313">
        <v>99</v>
      </c>
      <c r="BM313">
        <v>3</v>
      </c>
      <c r="BT313">
        <v>0.2</v>
      </c>
      <c r="BV313" s="8">
        <v>0</v>
      </c>
      <c r="BW313" s="8">
        <v>17</v>
      </c>
      <c r="BX313" s="8">
        <v>1</v>
      </c>
      <c r="BY313" s="8" t="s">
        <v>3677</v>
      </c>
      <c r="CB313" t="s">
        <v>627</v>
      </c>
      <c r="CG313" t="s">
        <v>3410</v>
      </c>
      <c r="CW313" t="s">
        <v>4131</v>
      </c>
    </row>
    <row r="315" spans="1:108" x14ac:dyDescent="0.25">
      <c r="A315" t="s">
        <v>4132</v>
      </c>
      <c r="C315" t="s">
        <v>3416</v>
      </c>
      <c r="AC315">
        <v>2</v>
      </c>
      <c r="AO315" t="s">
        <v>3417</v>
      </c>
      <c r="AT315" t="s">
        <v>3441</v>
      </c>
      <c r="AX315" t="s">
        <v>3419</v>
      </c>
      <c r="AZ315">
        <v>1</v>
      </c>
      <c r="BD315">
        <v>1</v>
      </c>
      <c r="CB315" t="s">
        <v>136</v>
      </c>
      <c r="CG315" t="s">
        <v>3410</v>
      </c>
      <c r="CY315" t="s">
        <v>4133</v>
      </c>
    </row>
    <row r="316" spans="1:108" x14ac:dyDescent="0.25">
      <c r="A316" t="s">
        <v>4134</v>
      </c>
      <c r="C316" t="s">
        <v>3326</v>
      </c>
      <c r="D316" t="s">
        <v>4135</v>
      </c>
      <c r="E316" t="s">
        <v>4136</v>
      </c>
      <c r="F316" t="s">
        <v>4137</v>
      </c>
      <c r="G316">
        <v>3</v>
      </c>
      <c r="J316" t="s">
        <v>3342</v>
      </c>
      <c r="K316" s="5" t="s">
        <v>3343</v>
      </c>
      <c r="AC316">
        <v>1</v>
      </c>
      <c r="AG316" t="s">
        <v>3316</v>
      </c>
      <c r="BD316">
        <v>1</v>
      </c>
      <c r="BT316">
        <v>30</v>
      </c>
      <c r="BV316" s="8">
        <v>40</v>
      </c>
      <c r="BW316" s="8">
        <v>50</v>
      </c>
      <c r="BX316" s="8">
        <v>1</v>
      </c>
      <c r="BY316" s="8" t="s">
        <v>3344</v>
      </c>
      <c r="CN316" s="9" t="s">
        <v>4138</v>
      </c>
      <c r="CO316">
        <v>1</v>
      </c>
      <c r="CP316">
        <v>1.2</v>
      </c>
      <c r="CQ316">
        <v>0.1</v>
      </c>
      <c r="CR316">
        <v>30</v>
      </c>
    </row>
    <row r="317" spans="1:108" x14ac:dyDescent="0.25">
      <c r="A317" t="s">
        <v>4139</v>
      </c>
      <c r="C317" t="s">
        <v>3456</v>
      </c>
      <c r="D317" t="s">
        <v>4140</v>
      </c>
      <c r="E317" t="s">
        <v>4141</v>
      </c>
      <c r="F317" t="s">
        <v>4142</v>
      </c>
      <c r="G317">
        <v>3</v>
      </c>
      <c r="J317" t="s">
        <v>3445</v>
      </c>
      <c r="K317" s="5" t="s">
        <v>3343</v>
      </c>
      <c r="AB317">
        <v>1</v>
      </c>
      <c r="AC317">
        <v>2</v>
      </c>
      <c r="AO317" t="s">
        <v>3417</v>
      </c>
      <c r="AT317" t="s">
        <v>4031</v>
      </c>
      <c r="AX317" t="s">
        <v>3419</v>
      </c>
      <c r="AZ317">
        <v>1</v>
      </c>
      <c r="BD317">
        <v>1</v>
      </c>
      <c r="BO317" s="7" t="s">
        <v>4143</v>
      </c>
      <c r="BP317" s="7" t="s">
        <v>4144</v>
      </c>
      <c r="BT317">
        <v>30</v>
      </c>
      <c r="BV317" s="8">
        <v>40</v>
      </c>
      <c r="BW317" s="8">
        <v>50</v>
      </c>
      <c r="BX317" s="8">
        <v>1</v>
      </c>
      <c r="BY317" s="8" t="s">
        <v>3677</v>
      </c>
      <c r="CB317" t="s">
        <v>627</v>
      </c>
      <c r="CG317" t="s">
        <v>3410</v>
      </c>
      <c r="CW317" t="s">
        <v>4145</v>
      </c>
      <c r="CY317" t="s">
        <v>4133</v>
      </c>
    </row>
    <row r="318" spans="1:108" x14ac:dyDescent="0.25">
      <c r="A318" t="s">
        <v>4143</v>
      </c>
      <c r="C318" t="s">
        <v>3326</v>
      </c>
      <c r="K318" s="5" t="s">
        <v>3314</v>
      </c>
      <c r="L318" s="5" t="s">
        <v>3452</v>
      </c>
      <c r="AC318">
        <v>1</v>
      </c>
      <c r="AY318" s="5"/>
      <c r="BD318">
        <v>1</v>
      </c>
      <c r="BV318"/>
      <c r="BW318"/>
      <c r="BX318"/>
      <c r="BY318"/>
      <c r="BZ318"/>
      <c r="CA318"/>
      <c r="CB318" s="5"/>
      <c r="CC318" s="5"/>
      <c r="CD318" s="5"/>
      <c r="CE318" s="5"/>
      <c r="CF318" s="5"/>
      <c r="CH318" s="5"/>
      <c r="CI318" s="5"/>
      <c r="CJ318" s="5"/>
      <c r="CK318" s="5"/>
      <c r="CL318" s="5"/>
      <c r="CM318" s="5"/>
      <c r="CN318" s="9" t="s">
        <v>4146</v>
      </c>
      <c r="CO318">
        <v>-1</v>
      </c>
      <c r="CP318" t="s">
        <v>4147</v>
      </c>
      <c r="CQ318">
        <v>0.05</v>
      </c>
      <c r="CR318">
        <v>30</v>
      </c>
    </row>
    <row r="319" spans="1:108" x14ac:dyDescent="0.25">
      <c r="A319" t="s">
        <v>4144</v>
      </c>
      <c r="C319" t="s">
        <v>3326</v>
      </c>
      <c r="K319" s="5" t="s">
        <v>3314</v>
      </c>
      <c r="AC319">
        <v>1</v>
      </c>
      <c r="AG319" t="s">
        <v>3316</v>
      </c>
      <c r="AY319" s="5">
        <v>1</v>
      </c>
      <c r="AZ319">
        <v>0.1</v>
      </c>
      <c r="BB319">
        <v>1</v>
      </c>
      <c r="BD319">
        <v>1</v>
      </c>
      <c r="BV319"/>
      <c r="BW319"/>
      <c r="BX319"/>
      <c r="BY319"/>
      <c r="BZ319"/>
      <c r="CA319"/>
      <c r="CB319" s="5"/>
      <c r="CC319" s="5"/>
      <c r="CD319" s="5"/>
      <c r="CE319" s="5"/>
      <c r="CF319" s="5"/>
      <c r="CH319" s="5"/>
      <c r="CI319" s="5"/>
      <c r="CJ319" s="5"/>
      <c r="CK319" s="5"/>
      <c r="CL319" s="5"/>
      <c r="CM319" s="5"/>
    </row>
    <row r="320" spans="1:108" x14ac:dyDescent="0.25">
      <c r="AY320" s="5"/>
      <c r="BV320"/>
      <c r="BW320"/>
      <c r="BX320"/>
      <c r="BY320"/>
      <c r="BZ320"/>
      <c r="CA320"/>
      <c r="CB320" s="5"/>
      <c r="CC320" s="5"/>
      <c r="CD320" s="5"/>
      <c r="CE320" s="5"/>
      <c r="CF320" s="5"/>
      <c r="CH320" s="5"/>
      <c r="CI320" s="5"/>
      <c r="CJ320" s="5"/>
      <c r="CK320" s="5"/>
      <c r="CL320" s="5"/>
      <c r="CM320" s="5"/>
    </row>
    <row r="321" spans="1:110" x14ac:dyDescent="0.25">
      <c r="A321" t="s">
        <v>673</v>
      </c>
      <c r="C321" t="s">
        <v>3326</v>
      </c>
      <c r="P321" t="s">
        <v>4148</v>
      </c>
      <c r="AC321">
        <v>2</v>
      </c>
      <c r="AD321">
        <v>1</v>
      </c>
      <c r="AO321" t="s">
        <v>3417</v>
      </c>
      <c r="AT321" t="s">
        <v>3431</v>
      </c>
      <c r="AX321" t="s">
        <v>3419</v>
      </c>
      <c r="AZ321">
        <v>1</v>
      </c>
      <c r="BD321">
        <v>1</v>
      </c>
      <c r="BO321" s="7" t="s">
        <v>4149</v>
      </c>
      <c r="CB321" t="s">
        <v>136</v>
      </c>
      <c r="CG321" t="s">
        <v>3410</v>
      </c>
      <c r="CJ321" t="s">
        <v>4150</v>
      </c>
      <c r="CX321" t="s">
        <v>4151</v>
      </c>
      <c r="CY321" t="s">
        <v>4152</v>
      </c>
    </row>
    <row r="322" spans="1:110" x14ac:dyDescent="0.25">
      <c r="A322" t="s">
        <v>4149</v>
      </c>
      <c r="C322" t="s">
        <v>3326</v>
      </c>
      <c r="P322" t="s">
        <v>4148</v>
      </c>
      <c r="AC322">
        <v>2</v>
      </c>
      <c r="AD322">
        <v>1</v>
      </c>
      <c r="AO322" t="s">
        <v>3417</v>
      </c>
      <c r="AT322" t="s">
        <v>3418</v>
      </c>
      <c r="AX322" t="s">
        <v>3419</v>
      </c>
      <c r="AZ322">
        <v>1</v>
      </c>
      <c r="BD322">
        <v>1</v>
      </c>
      <c r="CB322" t="s">
        <v>136</v>
      </c>
      <c r="CG322" t="s">
        <v>3410</v>
      </c>
      <c r="CJ322" t="s">
        <v>4153</v>
      </c>
      <c r="CX322" t="s">
        <v>4151</v>
      </c>
      <c r="CY322" t="s">
        <v>4152</v>
      </c>
      <c r="DF322">
        <v>1</v>
      </c>
    </row>
    <row r="323" spans="1:110" x14ac:dyDescent="0.25">
      <c r="A323" t="s">
        <v>4154</v>
      </c>
      <c r="C323" t="s">
        <v>4155</v>
      </c>
      <c r="D323" t="s">
        <v>4156</v>
      </c>
      <c r="E323" t="s">
        <v>4157</v>
      </c>
      <c r="F323" t="s">
        <v>4158</v>
      </c>
      <c r="G323">
        <v>3</v>
      </c>
      <c r="K323" s="5" t="s">
        <v>3314</v>
      </c>
      <c r="L323" s="5" t="s">
        <v>3330</v>
      </c>
      <c r="AC323">
        <v>1</v>
      </c>
      <c r="AF323">
        <v>1</v>
      </c>
      <c r="AG323" t="s">
        <v>3316</v>
      </c>
      <c r="AH323">
        <v>1</v>
      </c>
      <c r="BD323">
        <v>1</v>
      </c>
      <c r="CK323" t="s">
        <v>4154</v>
      </c>
      <c r="CU323" t="s">
        <v>4159</v>
      </c>
      <c r="DD323">
        <v>1</v>
      </c>
    </row>
    <row r="324" spans="1:110" x14ac:dyDescent="0.25">
      <c r="A324" t="s">
        <v>4160</v>
      </c>
      <c r="C324" t="s">
        <v>3326</v>
      </c>
      <c r="D324" t="s">
        <v>4161</v>
      </c>
      <c r="E324" t="s">
        <v>4162</v>
      </c>
      <c r="F324" t="s">
        <v>4163</v>
      </c>
      <c r="G324">
        <v>3</v>
      </c>
      <c r="J324" t="s">
        <v>3445</v>
      </c>
      <c r="K324" s="5" t="s">
        <v>3343</v>
      </c>
      <c r="U324" s="5">
        <v>0.8</v>
      </c>
      <c r="AB324">
        <v>1</v>
      </c>
      <c r="AC324">
        <v>2</v>
      </c>
      <c r="AD324">
        <v>1</v>
      </c>
      <c r="AO324" t="s">
        <v>3417</v>
      </c>
      <c r="AT324" t="s">
        <v>3431</v>
      </c>
      <c r="AX324" t="s">
        <v>3419</v>
      </c>
      <c r="AZ324">
        <v>1</v>
      </c>
      <c r="BD324">
        <v>1</v>
      </c>
      <c r="BO324" s="7" t="s">
        <v>4164</v>
      </c>
      <c r="BT324">
        <v>35</v>
      </c>
      <c r="BV324" s="8">
        <v>0</v>
      </c>
      <c r="BW324" s="8">
        <v>30</v>
      </c>
      <c r="BX324" s="8">
        <v>1</v>
      </c>
      <c r="BY324" s="8" t="s">
        <v>3344</v>
      </c>
      <c r="CB324" t="s">
        <v>136</v>
      </c>
      <c r="CG324" t="s">
        <v>3410</v>
      </c>
      <c r="CJ324" t="s">
        <v>4150</v>
      </c>
      <c r="CX324" t="s">
        <v>4165</v>
      </c>
      <c r="CY324" t="s">
        <v>4152</v>
      </c>
    </row>
    <row r="325" spans="1:110" x14ac:dyDescent="0.25">
      <c r="A325" t="s">
        <v>4166</v>
      </c>
      <c r="C325" t="s">
        <v>3326</v>
      </c>
      <c r="J325" t="s">
        <v>3445</v>
      </c>
      <c r="K325" s="5" t="s">
        <v>3344</v>
      </c>
      <c r="U325" s="5">
        <v>0.8</v>
      </c>
      <c r="AC325">
        <v>2</v>
      </c>
      <c r="AD325">
        <v>1</v>
      </c>
      <c r="AO325" t="s">
        <v>3417</v>
      </c>
      <c r="AT325" t="s">
        <v>3418</v>
      </c>
      <c r="AX325" t="s">
        <v>3419</v>
      </c>
      <c r="AZ325">
        <v>1</v>
      </c>
      <c r="BD325">
        <v>1</v>
      </c>
      <c r="CB325" t="s">
        <v>136</v>
      </c>
      <c r="CG325" t="s">
        <v>3410</v>
      </c>
      <c r="CJ325" t="s">
        <v>4153</v>
      </c>
      <c r="CX325" t="s">
        <v>4165</v>
      </c>
      <c r="CY325" t="s">
        <v>4152</v>
      </c>
      <c r="DF325">
        <v>1</v>
      </c>
    </row>
    <row r="326" spans="1:110" x14ac:dyDescent="0.25">
      <c r="A326" t="s">
        <v>4167</v>
      </c>
      <c r="C326" t="s">
        <v>3326</v>
      </c>
      <c r="K326" s="5" t="s">
        <v>3314</v>
      </c>
      <c r="L326" s="5" t="s">
        <v>3452</v>
      </c>
      <c r="AC326">
        <v>1</v>
      </c>
      <c r="AY326" s="5"/>
      <c r="BD326">
        <v>1</v>
      </c>
      <c r="BV326"/>
      <c r="BW326"/>
      <c r="BX326"/>
      <c r="BY326"/>
      <c r="BZ326"/>
      <c r="CA326"/>
      <c r="CB326" s="5"/>
      <c r="CC326" s="5"/>
      <c r="CD326" s="5"/>
      <c r="CE326" s="5"/>
      <c r="CF326" s="5"/>
      <c r="CH326" s="5"/>
      <c r="CI326" s="5"/>
      <c r="CJ326" s="5"/>
      <c r="CM326" s="5"/>
      <c r="CN326" s="9" t="s">
        <v>4148</v>
      </c>
      <c r="CO326">
        <v>2.2000000000000002</v>
      </c>
      <c r="CR326">
        <v>35</v>
      </c>
    </row>
    <row r="327" spans="1:110" x14ac:dyDescent="0.25">
      <c r="AY327" s="5"/>
      <c r="BV327"/>
      <c r="BW327"/>
      <c r="BX327"/>
      <c r="BY327"/>
      <c r="BZ327"/>
      <c r="CA327"/>
      <c r="CB327" s="5"/>
      <c r="CC327" s="5"/>
      <c r="CD327" s="5"/>
      <c r="CE327" s="5"/>
      <c r="CF327" s="5"/>
      <c r="CH327" s="5"/>
      <c r="CI327" s="5"/>
      <c r="CJ327" s="5"/>
      <c r="CM327" s="5"/>
    </row>
    <row r="328" spans="1:110" x14ac:dyDescent="0.25">
      <c r="A328" t="s">
        <v>680</v>
      </c>
      <c r="C328" t="s">
        <v>3326</v>
      </c>
      <c r="AC328">
        <v>2</v>
      </c>
      <c r="AD328">
        <v>1</v>
      </c>
      <c r="AO328" t="s">
        <v>4168</v>
      </c>
      <c r="AT328" t="s">
        <v>4169</v>
      </c>
      <c r="AX328" t="s">
        <v>3419</v>
      </c>
      <c r="AZ328">
        <v>1</v>
      </c>
      <c r="BD328">
        <v>1</v>
      </c>
      <c r="CB328" t="s">
        <v>136</v>
      </c>
      <c r="CG328" t="s">
        <v>3410</v>
      </c>
      <c r="CH328" t="s">
        <v>4170</v>
      </c>
      <c r="CI328" t="s">
        <v>3412</v>
      </c>
      <c r="CJ328" t="s">
        <v>4171</v>
      </c>
      <c r="CW328" t="s">
        <v>4172</v>
      </c>
      <c r="CY328" t="s">
        <v>4173</v>
      </c>
    </row>
    <row r="329" spans="1:110" x14ac:dyDescent="0.25">
      <c r="A329" t="s">
        <v>4174</v>
      </c>
      <c r="C329" t="s">
        <v>3326</v>
      </c>
      <c r="D329" t="s">
        <v>4175</v>
      </c>
      <c r="E329" t="s">
        <v>4176</v>
      </c>
      <c r="F329" t="s">
        <v>4177</v>
      </c>
      <c r="G329">
        <v>3</v>
      </c>
      <c r="J329" t="s">
        <v>3342</v>
      </c>
      <c r="K329" s="5" t="s">
        <v>3343</v>
      </c>
      <c r="AC329">
        <v>1</v>
      </c>
      <c r="AG329" t="s">
        <v>3316</v>
      </c>
      <c r="BD329">
        <v>1</v>
      </c>
      <c r="BT329">
        <v>50</v>
      </c>
      <c r="BV329" s="8">
        <v>0</v>
      </c>
      <c r="BW329" s="8">
        <v>20</v>
      </c>
      <c r="BX329" s="8">
        <v>1</v>
      </c>
      <c r="BY329" s="8" t="s">
        <v>3344</v>
      </c>
      <c r="CN329" s="9" t="s">
        <v>4178</v>
      </c>
      <c r="CP329">
        <v>0.7</v>
      </c>
      <c r="CR329">
        <v>50</v>
      </c>
    </row>
    <row r="330" spans="1:110" x14ac:dyDescent="0.25">
      <c r="A330" t="s">
        <v>4179</v>
      </c>
      <c r="C330" t="s">
        <v>3326</v>
      </c>
      <c r="D330" t="s">
        <v>4180</v>
      </c>
      <c r="E330" t="s">
        <v>4181</v>
      </c>
      <c r="F330" t="s">
        <v>4182</v>
      </c>
      <c r="G330">
        <v>3</v>
      </c>
      <c r="J330" t="s">
        <v>3342</v>
      </c>
      <c r="K330" s="5" t="s">
        <v>3343</v>
      </c>
      <c r="AB330">
        <v>1</v>
      </c>
      <c r="AC330">
        <v>2</v>
      </c>
      <c r="AO330" t="s">
        <v>3417</v>
      </c>
      <c r="AT330" t="s">
        <v>4169</v>
      </c>
      <c r="AU330">
        <v>1</v>
      </c>
      <c r="AX330" t="s">
        <v>3419</v>
      </c>
      <c r="AZ330">
        <v>3</v>
      </c>
      <c r="BD330">
        <v>99</v>
      </c>
      <c r="BJ330">
        <v>1.2</v>
      </c>
      <c r="BK330">
        <v>1</v>
      </c>
      <c r="BL330">
        <v>1</v>
      </c>
      <c r="BT330">
        <v>0.2</v>
      </c>
      <c r="BV330" s="8">
        <v>30</v>
      </c>
      <c r="BW330" s="8">
        <v>50</v>
      </c>
      <c r="BX330" s="8">
        <v>1</v>
      </c>
      <c r="BY330" s="8" t="s">
        <v>3344</v>
      </c>
      <c r="CB330" t="s">
        <v>627</v>
      </c>
      <c r="CG330" t="s">
        <v>3410</v>
      </c>
      <c r="CH330" t="s">
        <v>4183</v>
      </c>
      <c r="CI330" t="s">
        <v>3412</v>
      </c>
      <c r="CU330" t="s">
        <v>4184</v>
      </c>
      <c r="CY330" t="s">
        <v>4185</v>
      </c>
      <c r="DA330" t="s">
        <v>4186</v>
      </c>
    </row>
    <row r="331" spans="1:110" x14ac:dyDescent="0.25">
      <c r="AY331" s="5"/>
      <c r="BV331"/>
      <c r="BW331"/>
      <c r="BX331"/>
      <c r="BY331"/>
      <c r="BZ331"/>
      <c r="CA331"/>
      <c r="CB331" s="5"/>
      <c r="CC331" s="5"/>
      <c r="CD331" s="5"/>
      <c r="CE331" s="5"/>
      <c r="CF331" s="5"/>
      <c r="CH331" s="5"/>
      <c r="CI331" s="5"/>
      <c r="CJ331" s="5"/>
      <c r="CK331" s="5"/>
      <c r="CL331" s="5"/>
      <c r="CM331" s="5"/>
    </row>
    <row r="332" spans="1:110" x14ac:dyDescent="0.25">
      <c r="A332" t="s">
        <v>4187</v>
      </c>
      <c r="C332" t="s">
        <v>3416</v>
      </c>
      <c r="AC332">
        <v>2</v>
      </c>
      <c r="AD332">
        <v>1</v>
      </c>
      <c r="AO332" t="s">
        <v>3417</v>
      </c>
      <c r="AT332" t="s">
        <v>3695</v>
      </c>
      <c r="AX332" t="s">
        <v>3419</v>
      </c>
      <c r="AZ332">
        <v>1</v>
      </c>
      <c r="BD332">
        <v>1</v>
      </c>
      <c r="CB332" t="s">
        <v>136</v>
      </c>
      <c r="CG332" t="s">
        <v>3410</v>
      </c>
      <c r="CH332" t="s">
        <v>4188</v>
      </c>
      <c r="CI332" t="s">
        <v>3412</v>
      </c>
      <c r="CY332" t="s">
        <v>4189</v>
      </c>
    </row>
    <row r="333" spans="1:110" x14ac:dyDescent="0.25">
      <c r="A333" t="s">
        <v>4190</v>
      </c>
      <c r="C333" t="s">
        <v>3326</v>
      </c>
      <c r="K333" s="5" t="s">
        <v>3314</v>
      </c>
      <c r="L333" s="5" t="s">
        <v>3330</v>
      </c>
      <c r="AC333">
        <v>1</v>
      </c>
      <c r="AG333" t="s">
        <v>3316</v>
      </c>
      <c r="AH333">
        <v>1</v>
      </c>
      <c r="AY333" s="5"/>
      <c r="BD333">
        <v>1</v>
      </c>
      <c r="BV333"/>
      <c r="BW333"/>
      <c r="BX333"/>
      <c r="BY333"/>
      <c r="BZ333"/>
      <c r="CA333"/>
      <c r="CB333" s="5"/>
      <c r="CC333" s="5"/>
      <c r="CD333" s="5"/>
      <c r="CE333" s="5"/>
      <c r="CF333" s="5"/>
      <c r="CH333" s="5"/>
      <c r="CI333" s="5"/>
      <c r="CJ333" s="5"/>
      <c r="CK333" s="5"/>
      <c r="CL333" s="5"/>
      <c r="CM333" s="5"/>
      <c r="CN333" s="9" t="s">
        <v>4190</v>
      </c>
      <c r="CO333" t="s">
        <v>4191</v>
      </c>
      <c r="CR333">
        <v>99999</v>
      </c>
    </row>
    <row r="334" spans="1:110" x14ac:dyDescent="0.25">
      <c r="A334" t="s">
        <v>4192</v>
      </c>
      <c r="C334" t="s">
        <v>3701</v>
      </c>
      <c r="D334" t="s">
        <v>4193</v>
      </c>
      <c r="E334" t="s">
        <v>4194</v>
      </c>
      <c r="F334" t="s">
        <v>4195</v>
      </c>
      <c r="G334">
        <v>3</v>
      </c>
      <c r="J334" t="s">
        <v>3342</v>
      </c>
      <c r="K334" s="5" t="s">
        <v>3344</v>
      </c>
      <c r="AC334">
        <v>2</v>
      </c>
      <c r="AD334">
        <v>1</v>
      </c>
      <c r="AO334" t="s">
        <v>3705</v>
      </c>
      <c r="AT334" t="s">
        <v>3695</v>
      </c>
      <c r="AX334" t="s">
        <v>3432</v>
      </c>
      <c r="AZ334">
        <v>1.8</v>
      </c>
      <c r="BD334">
        <v>1</v>
      </c>
      <c r="BM334">
        <v>2</v>
      </c>
      <c r="BT334">
        <v>0.2</v>
      </c>
      <c r="BV334" s="8">
        <v>0</v>
      </c>
      <c r="BW334" s="8">
        <v>5</v>
      </c>
      <c r="BX334" s="8">
        <v>1</v>
      </c>
      <c r="BY334" s="8" t="s">
        <v>3344</v>
      </c>
      <c r="CB334" t="s">
        <v>516</v>
      </c>
      <c r="CG334" t="s">
        <v>3410</v>
      </c>
      <c r="CH334" t="s">
        <v>4196</v>
      </c>
      <c r="CI334" t="s">
        <v>3412</v>
      </c>
      <c r="CU334" t="s">
        <v>4197</v>
      </c>
      <c r="CW334" t="s">
        <v>4198</v>
      </c>
      <c r="CY334" t="s">
        <v>4199</v>
      </c>
    </row>
    <row r="335" spans="1:110" x14ac:dyDescent="0.25">
      <c r="A335" t="s">
        <v>4200</v>
      </c>
      <c r="C335" t="s">
        <v>3701</v>
      </c>
      <c r="D335" t="s">
        <v>4201</v>
      </c>
      <c r="E335" t="s">
        <v>4202</v>
      </c>
      <c r="F335" t="s">
        <v>4203</v>
      </c>
      <c r="G335">
        <v>3</v>
      </c>
      <c r="J335" t="s">
        <v>3342</v>
      </c>
      <c r="K335" s="5" t="s">
        <v>3343</v>
      </c>
      <c r="AB335">
        <v>1</v>
      </c>
      <c r="AC335">
        <v>2</v>
      </c>
      <c r="AD335">
        <v>1</v>
      </c>
      <c r="AO335" t="s">
        <v>3705</v>
      </c>
      <c r="AT335" t="s">
        <v>4204</v>
      </c>
      <c r="AX335" t="s">
        <v>3987</v>
      </c>
      <c r="AZ335">
        <v>2</v>
      </c>
      <c r="BD335">
        <v>3</v>
      </c>
      <c r="BM335">
        <v>2</v>
      </c>
      <c r="BT335">
        <v>0.2</v>
      </c>
      <c r="BV335" s="8">
        <v>10</v>
      </c>
      <c r="BW335" s="8">
        <v>15</v>
      </c>
      <c r="BX335" s="8">
        <v>1</v>
      </c>
      <c r="BY335" s="8" t="s">
        <v>3344</v>
      </c>
      <c r="CB335" t="s">
        <v>516</v>
      </c>
      <c r="CG335" t="s">
        <v>3410</v>
      </c>
      <c r="CH335" t="s">
        <v>4205</v>
      </c>
      <c r="CI335" t="s">
        <v>3412</v>
      </c>
      <c r="CN335" s="9" t="s">
        <v>3318</v>
      </c>
      <c r="CR335">
        <v>3</v>
      </c>
      <c r="CU335" t="s">
        <v>4197</v>
      </c>
      <c r="CW335" t="s">
        <v>4198</v>
      </c>
      <c r="CY335" t="s">
        <v>4206</v>
      </c>
    </row>
    <row r="337" spans="1:111" x14ac:dyDescent="0.25">
      <c r="A337" t="s">
        <v>4207</v>
      </c>
      <c r="C337" t="s">
        <v>3326</v>
      </c>
      <c r="K337" s="5" t="s">
        <v>3344</v>
      </c>
      <c r="AC337">
        <v>2</v>
      </c>
      <c r="AD337">
        <v>1</v>
      </c>
      <c r="AO337" t="s">
        <v>3417</v>
      </c>
      <c r="AT337" t="s">
        <v>4208</v>
      </c>
      <c r="AX337" t="s">
        <v>3432</v>
      </c>
      <c r="AZ337">
        <v>1</v>
      </c>
      <c r="BD337">
        <v>2</v>
      </c>
      <c r="CB337" t="s">
        <v>136</v>
      </c>
      <c r="CG337" t="s">
        <v>3410</v>
      </c>
      <c r="CH337" t="s">
        <v>4209</v>
      </c>
      <c r="CI337" t="s">
        <v>3412</v>
      </c>
      <c r="CY337" t="s">
        <v>4210</v>
      </c>
    </row>
    <row r="338" spans="1:111" x14ac:dyDescent="0.25">
      <c r="A338" t="s">
        <v>4211</v>
      </c>
      <c r="C338" t="s">
        <v>3326</v>
      </c>
      <c r="K338" s="5" t="s">
        <v>3344</v>
      </c>
      <c r="U338" s="5">
        <v>0.4</v>
      </c>
      <c r="AC338">
        <v>2</v>
      </c>
      <c r="AD338">
        <v>1</v>
      </c>
      <c r="AO338" t="s">
        <v>3417</v>
      </c>
      <c r="AT338" t="s">
        <v>4208</v>
      </c>
      <c r="AX338" t="s">
        <v>3432</v>
      </c>
      <c r="AZ338">
        <v>0</v>
      </c>
      <c r="BD338">
        <v>99</v>
      </c>
      <c r="BS338">
        <v>0.1</v>
      </c>
      <c r="CN338" s="9" t="s">
        <v>4212</v>
      </c>
      <c r="CO338">
        <v>0.33</v>
      </c>
      <c r="CR338">
        <v>0.1</v>
      </c>
    </row>
    <row r="339" spans="1:111" x14ac:dyDescent="0.25">
      <c r="A339" t="s">
        <v>4213</v>
      </c>
      <c r="C339" t="s">
        <v>3326</v>
      </c>
      <c r="D339" t="s">
        <v>4214</v>
      </c>
      <c r="E339" t="s">
        <v>4215</v>
      </c>
      <c r="F339" t="s">
        <v>4216</v>
      </c>
      <c r="G339">
        <v>3</v>
      </c>
      <c r="J339" t="s">
        <v>3445</v>
      </c>
      <c r="K339" s="5" t="s">
        <v>3343</v>
      </c>
      <c r="AB339">
        <v>1</v>
      </c>
      <c r="AC339">
        <v>2</v>
      </c>
      <c r="AD339">
        <v>1</v>
      </c>
      <c r="AO339" t="s">
        <v>3417</v>
      </c>
      <c r="AT339" t="s">
        <v>4208</v>
      </c>
      <c r="AX339" t="s">
        <v>3432</v>
      </c>
      <c r="AZ339">
        <v>1</v>
      </c>
      <c r="BD339">
        <v>2</v>
      </c>
      <c r="BO339" s="7" t="s">
        <v>4217</v>
      </c>
      <c r="BT339">
        <v>20</v>
      </c>
      <c r="BV339" s="8">
        <v>25</v>
      </c>
      <c r="BW339" s="8">
        <v>40</v>
      </c>
      <c r="BX339" s="8">
        <v>1</v>
      </c>
      <c r="BY339" s="8" t="s">
        <v>3344</v>
      </c>
      <c r="CB339" t="s">
        <v>516</v>
      </c>
      <c r="CG339" t="s">
        <v>3410</v>
      </c>
      <c r="CH339" t="s">
        <v>4209</v>
      </c>
      <c r="CI339" t="s">
        <v>3412</v>
      </c>
      <c r="CX339" t="s">
        <v>4218</v>
      </c>
      <c r="CY339" t="s">
        <v>4210</v>
      </c>
      <c r="DC339" t="s">
        <v>4219</v>
      </c>
    </row>
    <row r="340" spans="1:111" x14ac:dyDescent="0.25">
      <c r="A340" t="s">
        <v>4217</v>
      </c>
      <c r="C340" t="s">
        <v>3326</v>
      </c>
      <c r="J340" t="s">
        <v>3445</v>
      </c>
      <c r="K340" s="5" t="s">
        <v>3344</v>
      </c>
      <c r="AC340">
        <v>2</v>
      </c>
      <c r="AD340">
        <v>1</v>
      </c>
      <c r="AO340" t="s">
        <v>3417</v>
      </c>
      <c r="AT340" t="s">
        <v>4208</v>
      </c>
      <c r="AX340" t="s">
        <v>3432</v>
      </c>
      <c r="AZ340">
        <v>0</v>
      </c>
      <c r="BD340">
        <v>99</v>
      </c>
      <c r="BS340">
        <v>0.1</v>
      </c>
      <c r="CN340" s="9" t="s">
        <v>3540</v>
      </c>
      <c r="CO340">
        <v>-60</v>
      </c>
      <c r="CR340">
        <v>0.1</v>
      </c>
    </row>
    <row r="341" spans="1:111" x14ac:dyDescent="0.25">
      <c r="A341" t="s">
        <v>4220</v>
      </c>
      <c r="C341" t="s">
        <v>3326</v>
      </c>
      <c r="D341" t="s">
        <v>4221</v>
      </c>
      <c r="E341" t="s">
        <v>4222</v>
      </c>
      <c r="F341" t="s">
        <v>4223</v>
      </c>
      <c r="G341">
        <v>3</v>
      </c>
      <c r="J341" t="s">
        <v>3445</v>
      </c>
      <c r="K341" s="5" t="s">
        <v>3343</v>
      </c>
      <c r="AC341">
        <v>2</v>
      </c>
      <c r="AD341">
        <v>1</v>
      </c>
      <c r="AO341" t="s">
        <v>3417</v>
      </c>
      <c r="AT341" t="s">
        <v>4208</v>
      </c>
      <c r="AX341" t="s">
        <v>3432</v>
      </c>
      <c r="AZ341">
        <v>0</v>
      </c>
      <c r="BD341">
        <v>99</v>
      </c>
      <c r="BS341">
        <v>0.1</v>
      </c>
      <c r="BT341">
        <v>25</v>
      </c>
      <c r="BV341" s="8">
        <v>20</v>
      </c>
      <c r="BW341" s="8">
        <v>40</v>
      </c>
      <c r="BX341" s="8">
        <v>1</v>
      </c>
      <c r="BY341" s="8" t="s">
        <v>3344</v>
      </c>
      <c r="CN341" s="9" t="s">
        <v>4224</v>
      </c>
      <c r="CO341" s="2" t="s">
        <v>4225</v>
      </c>
      <c r="CR341">
        <v>0.1</v>
      </c>
      <c r="DC341" t="s">
        <v>4226</v>
      </c>
    </row>
    <row r="343" spans="1:111" x14ac:dyDescent="0.25">
      <c r="A343" t="s">
        <v>4227</v>
      </c>
      <c r="C343" t="s">
        <v>3326</v>
      </c>
      <c r="K343" s="5" t="s">
        <v>3344</v>
      </c>
      <c r="AC343">
        <v>2</v>
      </c>
      <c r="AD343">
        <v>1</v>
      </c>
      <c r="AO343" t="s">
        <v>3417</v>
      </c>
      <c r="AT343" t="s">
        <v>3483</v>
      </c>
      <c r="AX343" t="s">
        <v>3432</v>
      </c>
      <c r="AZ343">
        <v>1</v>
      </c>
      <c r="BD343">
        <v>1</v>
      </c>
      <c r="CB343" t="s">
        <v>136</v>
      </c>
      <c r="CG343" t="s">
        <v>3410</v>
      </c>
      <c r="CH343" t="s">
        <v>3433</v>
      </c>
      <c r="CI343" t="s">
        <v>3412</v>
      </c>
      <c r="CN343" s="9" t="s">
        <v>3486</v>
      </c>
      <c r="CO343">
        <v>-0.8</v>
      </c>
      <c r="CR343">
        <v>0.8</v>
      </c>
      <c r="CW343" t="s">
        <v>4228</v>
      </c>
      <c r="CY343" t="s">
        <v>4229</v>
      </c>
    </row>
    <row r="344" spans="1:111" x14ac:dyDescent="0.25">
      <c r="A344" t="s">
        <v>4230</v>
      </c>
      <c r="C344" t="s">
        <v>3326</v>
      </c>
      <c r="K344" s="5" t="s">
        <v>3314</v>
      </c>
      <c r="L344" s="5" t="s">
        <v>3330</v>
      </c>
      <c r="AB344">
        <v>1</v>
      </c>
      <c r="AC344">
        <v>1</v>
      </c>
      <c r="AG344" t="s">
        <v>3316</v>
      </c>
      <c r="AH344">
        <v>1</v>
      </c>
      <c r="AY344" s="5"/>
      <c r="BD344">
        <v>1</v>
      </c>
      <c r="BV344"/>
      <c r="BW344"/>
      <c r="BX344"/>
      <c r="BY344"/>
      <c r="BZ344"/>
      <c r="CA344"/>
      <c r="CB344" s="5"/>
      <c r="CC344" s="5"/>
      <c r="CD344" s="5"/>
      <c r="CE344" s="5"/>
      <c r="CF344" s="5"/>
      <c r="CH344" s="5"/>
      <c r="CI344" s="5"/>
      <c r="CJ344" s="5"/>
      <c r="CK344" s="5"/>
      <c r="CL344" s="5"/>
      <c r="CM344" s="5"/>
      <c r="CN344" s="9" t="s">
        <v>4230</v>
      </c>
      <c r="CO344" t="s">
        <v>4231</v>
      </c>
      <c r="CR344">
        <v>99999</v>
      </c>
    </row>
    <row r="345" spans="1:111" x14ac:dyDescent="0.25">
      <c r="A345" t="s">
        <v>4232</v>
      </c>
      <c r="C345" t="s">
        <v>3326</v>
      </c>
      <c r="D345" t="s">
        <v>4233</v>
      </c>
      <c r="E345" t="s">
        <v>4234</v>
      </c>
      <c r="F345" t="s">
        <v>4235</v>
      </c>
      <c r="G345">
        <v>3</v>
      </c>
      <c r="J345" t="s">
        <v>3342</v>
      </c>
      <c r="K345" s="5" t="s">
        <v>3343</v>
      </c>
      <c r="AC345">
        <v>1</v>
      </c>
      <c r="AG345" t="s">
        <v>3316</v>
      </c>
      <c r="BD345">
        <v>1</v>
      </c>
      <c r="BT345">
        <v>30</v>
      </c>
      <c r="BV345" s="8">
        <v>20</v>
      </c>
      <c r="BW345" s="8">
        <v>40</v>
      </c>
      <c r="BX345" s="8">
        <v>1</v>
      </c>
      <c r="BY345" s="8" t="s">
        <v>3344</v>
      </c>
      <c r="CN345" s="9" t="s">
        <v>4232</v>
      </c>
      <c r="CO345">
        <v>-1.1000000000000001</v>
      </c>
      <c r="CR345">
        <v>30</v>
      </c>
    </row>
    <row r="346" spans="1:111" x14ac:dyDescent="0.25">
      <c r="A346" t="s">
        <v>4236</v>
      </c>
      <c r="C346" t="s">
        <v>3326</v>
      </c>
      <c r="D346" t="s">
        <v>4237</v>
      </c>
      <c r="E346" t="s">
        <v>4238</v>
      </c>
      <c r="F346" t="s">
        <v>4239</v>
      </c>
      <c r="G346">
        <v>3</v>
      </c>
      <c r="J346" t="s">
        <v>3445</v>
      </c>
      <c r="K346" s="5" t="s">
        <v>3343</v>
      </c>
      <c r="AB346">
        <v>1</v>
      </c>
      <c r="AC346">
        <v>2</v>
      </c>
      <c r="AD346">
        <v>1</v>
      </c>
      <c r="AO346" t="s">
        <v>3417</v>
      </c>
      <c r="AT346" t="s">
        <v>4240</v>
      </c>
      <c r="AX346" t="s">
        <v>3432</v>
      </c>
      <c r="AZ346">
        <v>1</v>
      </c>
      <c r="BD346">
        <v>3</v>
      </c>
      <c r="BO346" s="7" t="s">
        <v>4241</v>
      </c>
      <c r="BT346">
        <v>25</v>
      </c>
      <c r="BV346" s="8">
        <v>30</v>
      </c>
      <c r="BW346" s="8">
        <v>50</v>
      </c>
      <c r="BX346" s="8">
        <v>1</v>
      </c>
      <c r="BY346" s="8" t="s">
        <v>3344</v>
      </c>
      <c r="CB346" t="s">
        <v>516</v>
      </c>
      <c r="CG346" t="s">
        <v>3410</v>
      </c>
      <c r="CH346" t="s">
        <v>3433</v>
      </c>
      <c r="CI346" t="s">
        <v>3412</v>
      </c>
      <c r="CN346" s="9" t="s">
        <v>3486</v>
      </c>
      <c r="CO346">
        <v>-0.8</v>
      </c>
      <c r="CR346">
        <v>0.8</v>
      </c>
      <c r="CY346" t="s">
        <v>4229</v>
      </c>
      <c r="DC346" t="s">
        <v>4242</v>
      </c>
    </row>
    <row r="347" spans="1:111" x14ac:dyDescent="0.25">
      <c r="A347" t="s">
        <v>4241</v>
      </c>
      <c r="C347" t="s">
        <v>3326</v>
      </c>
      <c r="K347" s="5" t="s">
        <v>3314</v>
      </c>
      <c r="L347" s="5" t="s">
        <v>3452</v>
      </c>
      <c r="AC347">
        <v>1</v>
      </c>
      <c r="AY347" s="5"/>
      <c r="BD347">
        <v>1</v>
      </c>
      <c r="BV347"/>
      <c r="BW347"/>
      <c r="BX347"/>
      <c r="BY347"/>
      <c r="BZ347"/>
      <c r="CA347"/>
      <c r="CB347" s="5"/>
      <c r="CC347" s="5"/>
      <c r="CD347" s="5"/>
      <c r="CE347" s="5"/>
      <c r="CF347" s="5"/>
      <c r="CH347" s="5"/>
      <c r="CI347" s="5"/>
      <c r="CJ347" s="5"/>
      <c r="CK347" s="5"/>
      <c r="CL347" s="5"/>
      <c r="CM347" s="5"/>
      <c r="CN347" s="9" t="s">
        <v>3345</v>
      </c>
      <c r="CO347">
        <v>0.75</v>
      </c>
      <c r="CR347">
        <v>25</v>
      </c>
    </row>
    <row r="349" spans="1:111" x14ac:dyDescent="0.25">
      <c r="A349" t="s">
        <v>4243</v>
      </c>
      <c r="C349" t="s">
        <v>3326</v>
      </c>
      <c r="J349" t="s">
        <v>3445</v>
      </c>
      <c r="K349" s="5" t="s">
        <v>3344</v>
      </c>
      <c r="W349" s="5">
        <v>1</v>
      </c>
      <c r="X349" s="5">
        <v>1</v>
      </c>
      <c r="AC349">
        <v>1</v>
      </c>
      <c r="AD349">
        <v>1</v>
      </c>
      <c r="AT349" t="s">
        <v>4244</v>
      </c>
      <c r="AY349">
        <v>1</v>
      </c>
      <c r="AZ349">
        <v>0.1</v>
      </c>
      <c r="BA349">
        <v>1</v>
      </c>
      <c r="BD349">
        <v>99</v>
      </c>
      <c r="BT349">
        <v>9999</v>
      </c>
      <c r="BV349" s="8">
        <v>1</v>
      </c>
      <c r="BW349" s="8">
        <v>1</v>
      </c>
      <c r="BX349" s="8">
        <v>1</v>
      </c>
      <c r="BY349" s="8" t="s">
        <v>3344</v>
      </c>
      <c r="DC349" t="s">
        <v>4245</v>
      </c>
    </row>
    <row r="350" spans="1:111" x14ac:dyDescent="0.25">
      <c r="A350" t="s">
        <v>4246</v>
      </c>
      <c r="C350" t="s">
        <v>4247</v>
      </c>
      <c r="K350" s="5" t="s">
        <v>3314</v>
      </c>
      <c r="L350" s="5" t="s">
        <v>3557</v>
      </c>
      <c r="AA350">
        <v>0.5</v>
      </c>
      <c r="AC350">
        <v>1</v>
      </c>
      <c r="BD350">
        <v>1</v>
      </c>
      <c r="CU350" t="s">
        <v>4248</v>
      </c>
    </row>
    <row r="351" spans="1:111" x14ac:dyDescent="0.25">
      <c r="A351" t="s">
        <v>4249</v>
      </c>
      <c r="C351" t="s">
        <v>3326</v>
      </c>
      <c r="D351" t="s">
        <v>4250</v>
      </c>
      <c r="E351" t="s">
        <v>4251</v>
      </c>
      <c r="F351" t="s">
        <v>4252</v>
      </c>
      <c r="G351">
        <v>3</v>
      </c>
      <c r="J351" t="s">
        <v>3445</v>
      </c>
      <c r="K351" s="5" t="s">
        <v>3343</v>
      </c>
      <c r="AC351">
        <v>1</v>
      </c>
      <c r="AD351">
        <v>1</v>
      </c>
      <c r="AT351" t="s">
        <v>4240</v>
      </c>
      <c r="AY351">
        <v>1</v>
      </c>
      <c r="AZ351">
        <v>1</v>
      </c>
      <c r="BA351">
        <v>1</v>
      </c>
      <c r="BD351">
        <v>99</v>
      </c>
      <c r="BO351" s="7" t="s">
        <v>4253</v>
      </c>
      <c r="BT351">
        <v>7</v>
      </c>
      <c r="BV351" s="8">
        <v>45</v>
      </c>
      <c r="BW351" s="8">
        <v>60</v>
      </c>
      <c r="BX351" s="8">
        <v>1</v>
      </c>
      <c r="BY351" s="8" t="s">
        <v>3344</v>
      </c>
    </row>
    <row r="352" spans="1:111" x14ac:dyDescent="0.25">
      <c r="A352" t="s">
        <v>4253</v>
      </c>
      <c r="C352" t="s">
        <v>3326</v>
      </c>
      <c r="J352" t="s">
        <v>3445</v>
      </c>
      <c r="K352" s="5" t="s">
        <v>3344</v>
      </c>
      <c r="AC352">
        <v>2</v>
      </c>
      <c r="AD352">
        <v>1</v>
      </c>
      <c r="AT352" t="s">
        <v>4240</v>
      </c>
      <c r="AZ352">
        <v>0</v>
      </c>
      <c r="BD352">
        <v>99</v>
      </c>
      <c r="BS352">
        <v>0.05</v>
      </c>
      <c r="CN352" s="9" t="s">
        <v>4254</v>
      </c>
      <c r="CR352">
        <v>0.1</v>
      </c>
      <c r="DG352">
        <v>1</v>
      </c>
    </row>
    <row r="353" spans="1:103" x14ac:dyDescent="0.25">
      <c r="A353" t="s">
        <v>4255</v>
      </c>
      <c r="C353" t="s">
        <v>3326</v>
      </c>
      <c r="D353" t="s">
        <v>4256</v>
      </c>
      <c r="E353" t="s">
        <v>4257</v>
      </c>
      <c r="F353" t="s">
        <v>4258</v>
      </c>
      <c r="G353">
        <v>3</v>
      </c>
      <c r="J353" t="s">
        <v>3445</v>
      </c>
      <c r="K353" s="5" t="s">
        <v>3343</v>
      </c>
      <c r="AC353">
        <v>1</v>
      </c>
      <c r="AD353">
        <v>1</v>
      </c>
      <c r="AG353" t="s">
        <v>3837</v>
      </c>
      <c r="AT353" t="s">
        <v>4244</v>
      </c>
      <c r="AZ353">
        <v>0</v>
      </c>
      <c r="BD353">
        <v>99</v>
      </c>
      <c r="BT353">
        <v>30</v>
      </c>
      <c r="BV353" s="8">
        <v>25</v>
      </c>
      <c r="BW353" s="8">
        <v>45</v>
      </c>
      <c r="BX353" s="8">
        <v>1</v>
      </c>
      <c r="BY353" s="8" t="s">
        <v>3344</v>
      </c>
      <c r="CN353" s="9" t="s">
        <v>4259</v>
      </c>
      <c r="CO353">
        <v>1</v>
      </c>
      <c r="CR353">
        <v>0.1</v>
      </c>
    </row>
    <row r="355" spans="1:103" x14ac:dyDescent="0.25">
      <c r="A355" t="s">
        <v>4260</v>
      </c>
      <c r="C355" t="s">
        <v>3326</v>
      </c>
      <c r="K355" s="5" t="s">
        <v>3344</v>
      </c>
      <c r="AC355">
        <v>2</v>
      </c>
      <c r="AO355" t="s">
        <v>3417</v>
      </c>
      <c r="AT355" t="s">
        <v>4261</v>
      </c>
      <c r="AX355" t="s">
        <v>3419</v>
      </c>
      <c r="AZ355">
        <v>1</v>
      </c>
      <c r="BD355">
        <v>99</v>
      </c>
      <c r="BP355" s="7" t="s">
        <v>4262</v>
      </c>
      <c r="CB355" t="s">
        <v>136</v>
      </c>
      <c r="CG355" t="s">
        <v>3410</v>
      </c>
      <c r="CX355" t="s">
        <v>4263</v>
      </c>
      <c r="CY355" t="s">
        <v>4264</v>
      </c>
    </row>
    <row r="356" spans="1:103" x14ac:dyDescent="0.25">
      <c r="A356" t="s">
        <v>4265</v>
      </c>
      <c r="C356" t="s">
        <v>3326</v>
      </c>
      <c r="K356" s="5" t="s">
        <v>3314</v>
      </c>
      <c r="L356" s="5" t="s">
        <v>3330</v>
      </c>
      <c r="AC356">
        <v>1</v>
      </c>
      <c r="AG356" t="s">
        <v>3316</v>
      </c>
      <c r="AH356">
        <v>1</v>
      </c>
      <c r="AY356" s="5"/>
      <c r="BD356">
        <v>1</v>
      </c>
      <c r="BV356"/>
      <c r="BW356"/>
      <c r="BX356"/>
      <c r="BY356"/>
      <c r="BZ356"/>
      <c r="CA356"/>
      <c r="CB356" s="5"/>
      <c r="CC356" s="5"/>
      <c r="CD356" s="5"/>
      <c r="CE356" s="5"/>
      <c r="CF356" s="5"/>
      <c r="CH356" s="5"/>
      <c r="CI356" s="5"/>
      <c r="CJ356" s="5"/>
      <c r="CK356" s="5"/>
      <c r="CL356" s="5"/>
      <c r="CM356" s="5"/>
      <c r="CN356" s="9" t="s">
        <v>4266</v>
      </c>
      <c r="CR356">
        <v>99999</v>
      </c>
    </row>
    <row r="357" spans="1:103" x14ac:dyDescent="0.25">
      <c r="A357" t="s">
        <v>4262</v>
      </c>
      <c r="C357" t="s">
        <v>3326</v>
      </c>
      <c r="K357" s="5" t="s">
        <v>3314</v>
      </c>
      <c r="AC357">
        <v>1</v>
      </c>
      <c r="BD357">
        <v>1</v>
      </c>
      <c r="CM357" t="s">
        <v>4267</v>
      </c>
      <c r="CN357" s="9" t="s">
        <v>4268</v>
      </c>
      <c r="CR357">
        <v>5</v>
      </c>
    </row>
    <row r="358" spans="1:103" x14ac:dyDescent="0.25">
      <c r="A358" t="s">
        <v>4269</v>
      </c>
      <c r="C358" t="s">
        <v>3326</v>
      </c>
      <c r="K358" s="5" t="s">
        <v>3344</v>
      </c>
      <c r="P358" t="s">
        <v>4268</v>
      </c>
      <c r="AC358">
        <v>1</v>
      </c>
      <c r="BD358">
        <v>1</v>
      </c>
      <c r="CN358" s="9" t="s">
        <v>4267</v>
      </c>
      <c r="CP358">
        <v>0.54</v>
      </c>
      <c r="CR358">
        <v>9999</v>
      </c>
    </row>
    <row r="359" spans="1:103" x14ac:dyDescent="0.25">
      <c r="A359" t="s">
        <v>4270</v>
      </c>
      <c r="C359" t="s">
        <v>3326</v>
      </c>
      <c r="D359" t="s">
        <v>4271</v>
      </c>
      <c r="E359" t="s">
        <v>4272</v>
      </c>
      <c r="F359" t="s">
        <v>4273</v>
      </c>
      <c r="G359">
        <v>3</v>
      </c>
      <c r="K359" s="5" t="s">
        <v>3344</v>
      </c>
      <c r="AC359">
        <v>2</v>
      </c>
      <c r="AO359" t="s">
        <v>3417</v>
      </c>
      <c r="AT359" t="s">
        <v>4261</v>
      </c>
      <c r="AX359" t="s">
        <v>3419</v>
      </c>
      <c r="AZ359">
        <v>1</v>
      </c>
      <c r="BD359">
        <v>99</v>
      </c>
      <c r="BP359" s="7" t="s">
        <v>4262</v>
      </c>
      <c r="CB359" t="s">
        <v>136</v>
      </c>
      <c r="CG359" t="s">
        <v>3410</v>
      </c>
      <c r="CN359" s="9" t="s">
        <v>3486</v>
      </c>
      <c r="CO359">
        <v>-0.5</v>
      </c>
      <c r="CR359">
        <v>5</v>
      </c>
      <c r="CX359" t="s">
        <v>4274</v>
      </c>
      <c r="CY359" t="s">
        <v>4275</v>
      </c>
    </row>
    <row r="360" spans="1:103" x14ac:dyDescent="0.25">
      <c r="A360" t="s">
        <v>4276</v>
      </c>
      <c r="C360" t="s">
        <v>3326</v>
      </c>
      <c r="D360" t="s">
        <v>4277</v>
      </c>
      <c r="E360" t="s">
        <v>4278</v>
      </c>
      <c r="F360" t="s">
        <v>4279</v>
      </c>
      <c r="G360">
        <v>3</v>
      </c>
      <c r="J360" t="s">
        <v>3445</v>
      </c>
      <c r="K360" s="5" t="s">
        <v>3343</v>
      </c>
      <c r="AB360">
        <v>1</v>
      </c>
      <c r="AC360">
        <v>2</v>
      </c>
      <c r="AO360" t="s">
        <v>3417</v>
      </c>
      <c r="AT360" t="s">
        <v>4261</v>
      </c>
      <c r="AX360" t="s">
        <v>3419</v>
      </c>
      <c r="AZ360">
        <v>1</v>
      </c>
      <c r="BD360">
        <v>99</v>
      </c>
      <c r="BO360" s="7" t="s">
        <v>4280</v>
      </c>
      <c r="BP360" s="7" t="s">
        <v>4262</v>
      </c>
      <c r="BT360">
        <v>40</v>
      </c>
      <c r="BV360" s="8">
        <v>10</v>
      </c>
      <c r="BW360" s="8">
        <v>20</v>
      </c>
      <c r="BX360" s="8">
        <v>1</v>
      </c>
      <c r="BY360" s="8" t="s">
        <v>3344</v>
      </c>
      <c r="CB360" t="s">
        <v>627</v>
      </c>
      <c r="CG360" t="s">
        <v>3410</v>
      </c>
      <c r="CN360" s="9" t="s">
        <v>3318</v>
      </c>
      <c r="CR360">
        <v>1</v>
      </c>
      <c r="CW360" t="s">
        <v>4281</v>
      </c>
      <c r="CX360" t="s">
        <v>4282</v>
      </c>
      <c r="CY360" t="s">
        <v>4283</v>
      </c>
    </row>
    <row r="361" spans="1:103" x14ac:dyDescent="0.25">
      <c r="A361" t="s">
        <v>4280</v>
      </c>
      <c r="C361" t="s">
        <v>3326</v>
      </c>
      <c r="K361" s="5" t="s">
        <v>3314</v>
      </c>
      <c r="L361" s="5" t="s">
        <v>3452</v>
      </c>
      <c r="AC361">
        <v>1</v>
      </c>
      <c r="AY361" s="5"/>
      <c r="BD361">
        <v>1</v>
      </c>
      <c r="BV361"/>
      <c r="BW361"/>
      <c r="BX361"/>
      <c r="BY361"/>
      <c r="BZ361"/>
      <c r="CA361"/>
      <c r="CB361" s="5"/>
      <c r="CC361" s="5"/>
      <c r="CD361" s="5"/>
      <c r="CE361" s="5"/>
      <c r="CF361" s="5"/>
      <c r="CH361" s="5"/>
      <c r="CI361" s="5"/>
      <c r="CJ361" s="5"/>
      <c r="CK361" s="5"/>
      <c r="CL361" s="5"/>
      <c r="CM361" s="5"/>
      <c r="CN361" s="9" t="s">
        <v>4280</v>
      </c>
      <c r="CO361" t="s">
        <v>4284</v>
      </c>
      <c r="CR361">
        <v>40</v>
      </c>
    </row>
    <row r="363" spans="1:103" x14ac:dyDescent="0.25">
      <c r="A363" t="s">
        <v>4285</v>
      </c>
      <c r="C363" t="s">
        <v>3456</v>
      </c>
      <c r="AC363">
        <v>2</v>
      </c>
      <c r="AO363" t="s">
        <v>3417</v>
      </c>
      <c r="AT363" t="s">
        <v>3418</v>
      </c>
      <c r="AX363" t="s">
        <v>3419</v>
      </c>
      <c r="AZ363">
        <v>1</v>
      </c>
      <c r="BD363">
        <v>1</v>
      </c>
      <c r="CB363" t="s">
        <v>136</v>
      </c>
      <c r="CD363" t="s">
        <v>3603</v>
      </c>
      <c r="CG363" t="s">
        <v>3410</v>
      </c>
      <c r="CY363" t="s">
        <v>4286</v>
      </c>
    </row>
    <row r="364" spans="1:103" x14ac:dyDescent="0.25">
      <c r="A364" t="s">
        <v>4287</v>
      </c>
      <c r="C364" t="s">
        <v>3326</v>
      </c>
      <c r="K364" s="5" t="s">
        <v>3314</v>
      </c>
      <c r="L364" s="5" t="s">
        <v>3330</v>
      </c>
      <c r="AC364">
        <v>1</v>
      </c>
      <c r="AG364" t="s">
        <v>3316</v>
      </c>
      <c r="AH364">
        <v>1</v>
      </c>
      <c r="AY364" s="5"/>
      <c r="BD364">
        <v>1</v>
      </c>
      <c r="BV364"/>
      <c r="BW364"/>
      <c r="BX364"/>
      <c r="BY364"/>
      <c r="BZ364"/>
      <c r="CA364"/>
      <c r="CB364" s="5"/>
      <c r="CC364" s="5"/>
      <c r="CD364" s="5"/>
      <c r="CE364" s="5"/>
      <c r="CF364" s="5"/>
      <c r="CH364" s="5"/>
      <c r="CI364" s="5"/>
      <c r="CJ364" s="5"/>
      <c r="CK364" s="5"/>
      <c r="CL364" s="5"/>
      <c r="CM364" s="5"/>
      <c r="CN364" s="9" t="s">
        <v>3526</v>
      </c>
      <c r="CO364">
        <v>15</v>
      </c>
      <c r="CR364">
        <v>99999</v>
      </c>
    </row>
    <row r="365" spans="1:103" x14ac:dyDescent="0.25">
      <c r="A365" t="s">
        <v>4288</v>
      </c>
      <c r="C365" t="s">
        <v>3717</v>
      </c>
      <c r="D365" t="s">
        <v>4289</v>
      </c>
      <c r="E365" t="s">
        <v>4290</v>
      </c>
      <c r="F365" t="s">
        <v>4291</v>
      </c>
      <c r="G365">
        <v>3</v>
      </c>
      <c r="J365" t="s">
        <v>3342</v>
      </c>
      <c r="K365" s="5" t="s">
        <v>3344</v>
      </c>
      <c r="AC365">
        <v>2</v>
      </c>
      <c r="AO365" t="s">
        <v>3417</v>
      </c>
      <c r="AT365" t="s">
        <v>3418</v>
      </c>
      <c r="AX365" t="s">
        <v>3419</v>
      </c>
      <c r="AZ365">
        <v>1</v>
      </c>
      <c r="BD365">
        <v>2</v>
      </c>
      <c r="BM365">
        <v>2</v>
      </c>
      <c r="BT365">
        <v>0.2</v>
      </c>
      <c r="BV365" s="8">
        <v>0</v>
      </c>
      <c r="BW365" s="8">
        <v>5</v>
      </c>
      <c r="BX365" s="8">
        <v>1</v>
      </c>
      <c r="BY365" s="8" t="s">
        <v>3344</v>
      </c>
      <c r="CB365" t="s">
        <v>136</v>
      </c>
      <c r="CD365" t="s">
        <v>3603</v>
      </c>
      <c r="CG365" t="s">
        <v>3410</v>
      </c>
      <c r="CN365" s="9" t="s">
        <v>3486</v>
      </c>
      <c r="CO365">
        <v>-0.3</v>
      </c>
      <c r="CR365">
        <v>5</v>
      </c>
      <c r="CY365" t="s">
        <v>4292</v>
      </c>
    </row>
    <row r="366" spans="1:103" x14ac:dyDescent="0.25">
      <c r="A366" t="s">
        <v>4293</v>
      </c>
      <c r="C366" t="s">
        <v>3717</v>
      </c>
      <c r="D366" t="s">
        <v>4294</v>
      </c>
      <c r="E366" t="s">
        <v>4295</v>
      </c>
      <c r="F366" t="s">
        <v>4296</v>
      </c>
      <c r="G366">
        <v>3</v>
      </c>
      <c r="J366" t="s">
        <v>3342</v>
      </c>
      <c r="K366" s="5" t="s">
        <v>3343</v>
      </c>
      <c r="AB366">
        <v>1</v>
      </c>
      <c r="AC366">
        <v>2</v>
      </c>
      <c r="AO366" t="s">
        <v>3417</v>
      </c>
      <c r="AT366" t="s">
        <v>3712</v>
      </c>
      <c r="AX366" t="s">
        <v>3419</v>
      </c>
      <c r="AZ366">
        <v>2.5</v>
      </c>
      <c r="BD366">
        <v>1</v>
      </c>
      <c r="BJ366">
        <v>0.9</v>
      </c>
      <c r="BK366">
        <v>1</v>
      </c>
      <c r="BL366">
        <v>1</v>
      </c>
      <c r="BM366">
        <v>3</v>
      </c>
      <c r="BT366">
        <v>0.2</v>
      </c>
      <c r="BV366" s="8">
        <v>0</v>
      </c>
      <c r="BW366" s="8">
        <v>15</v>
      </c>
      <c r="BX366" s="8">
        <v>1</v>
      </c>
      <c r="BY366" s="8" t="s">
        <v>3344</v>
      </c>
      <c r="CB366" t="s">
        <v>4297</v>
      </c>
      <c r="CC366">
        <v>0</v>
      </c>
      <c r="CG366" t="s">
        <v>3410</v>
      </c>
      <c r="CN366" s="9" t="s">
        <v>3486</v>
      </c>
      <c r="CO366">
        <v>-0.3</v>
      </c>
      <c r="CR366">
        <v>5</v>
      </c>
      <c r="CX366" t="s">
        <v>4298</v>
      </c>
      <c r="CY366" t="s">
        <v>4299</v>
      </c>
    </row>
    <row r="372" spans="1:107" x14ac:dyDescent="0.25">
      <c r="A372" t="s">
        <v>4300</v>
      </c>
      <c r="C372" t="s">
        <v>3416</v>
      </c>
      <c r="K372" s="5" t="s">
        <v>3344</v>
      </c>
      <c r="AC372">
        <v>2</v>
      </c>
      <c r="AO372" t="s">
        <v>3417</v>
      </c>
      <c r="AX372" t="s">
        <v>3419</v>
      </c>
      <c r="AZ372">
        <v>1</v>
      </c>
      <c r="BD372">
        <v>1</v>
      </c>
      <c r="CB372" t="s">
        <v>3459</v>
      </c>
      <c r="CD372" t="s">
        <v>3644</v>
      </c>
      <c r="CG372" t="s">
        <v>3410</v>
      </c>
      <c r="CX372" t="s">
        <v>4301</v>
      </c>
    </row>
    <row r="373" spans="1:107" x14ac:dyDescent="0.25">
      <c r="A373" t="s">
        <v>4302</v>
      </c>
      <c r="C373" t="s">
        <v>3326</v>
      </c>
      <c r="K373" s="5" t="s">
        <v>3344</v>
      </c>
      <c r="P373" t="s">
        <v>4303</v>
      </c>
      <c r="Q373"/>
      <c r="R373"/>
      <c r="S373"/>
      <c r="T373"/>
      <c r="Z373">
        <v>1</v>
      </c>
      <c r="AC373">
        <v>2</v>
      </c>
      <c r="AD373">
        <v>1</v>
      </c>
      <c r="AO373" t="s">
        <v>3417</v>
      </c>
      <c r="AT373" t="s">
        <v>3463</v>
      </c>
      <c r="AX373" t="s">
        <v>3419</v>
      </c>
      <c r="AZ373">
        <v>0.8</v>
      </c>
      <c r="BD373">
        <v>1</v>
      </c>
      <c r="CB373" t="s">
        <v>136</v>
      </c>
      <c r="CG373" t="s">
        <v>3410</v>
      </c>
      <c r="CH373" t="s">
        <v>4304</v>
      </c>
      <c r="CI373" t="s">
        <v>3412</v>
      </c>
      <c r="CY373" t="s">
        <v>4305</v>
      </c>
    </row>
    <row r="374" spans="1:107" x14ac:dyDescent="0.25">
      <c r="A374" t="s">
        <v>4306</v>
      </c>
      <c r="C374" t="s">
        <v>3326</v>
      </c>
      <c r="D374" t="s">
        <v>4307</v>
      </c>
      <c r="E374" t="s">
        <v>4308</v>
      </c>
      <c r="F374" t="s">
        <v>4309</v>
      </c>
      <c r="G374">
        <v>3</v>
      </c>
      <c r="J374" t="s">
        <v>3342</v>
      </c>
      <c r="K374" s="5" t="s">
        <v>3344</v>
      </c>
      <c r="AC374">
        <v>2</v>
      </c>
      <c r="AO374" t="s">
        <v>3417</v>
      </c>
      <c r="AT374" t="s">
        <v>3463</v>
      </c>
      <c r="AX374" t="s">
        <v>3419</v>
      </c>
      <c r="AZ374">
        <v>2.9</v>
      </c>
      <c r="BD374">
        <v>1</v>
      </c>
      <c r="BT374">
        <v>0.3</v>
      </c>
      <c r="BV374" s="8">
        <v>0</v>
      </c>
      <c r="BW374" s="8">
        <v>2</v>
      </c>
      <c r="BX374" s="8">
        <v>1</v>
      </c>
      <c r="BY374" s="8" t="s">
        <v>3497</v>
      </c>
      <c r="CB374" t="s">
        <v>136</v>
      </c>
      <c r="CG374" t="s">
        <v>3410</v>
      </c>
      <c r="CH374" t="s">
        <v>4304</v>
      </c>
      <c r="CI374" t="s">
        <v>3412</v>
      </c>
      <c r="CY374" t="s">
        <v>4310</v>
      </c>
    </row>
    <row r="375" spans="1:107" x14ac:dyDescent="0.25">
      <c r="A375" t="s">
        <v>4311</v>
      </c>
      <c r="C375" t="s">
        <v>3326</v>
      </c>
      <c r="D375" t="s">
        <v>4307</v>
      </c>
      <c r="E375" t="s">
        <v>4308</v>
      </c>
      <c r="F375" t="s">
        <v>4309</v>
      </c>
      <c r="G375">
        <v>3</v>
      </c>
      <c r="J375" t="s">
        <v>3342</v>
      </c>
      <c r="K375" s="5" t="s">
        <v>3344</v>
      </c>
      <c r="AC375">
        <v>2</v>
      </c>
      <c r="AO375" t="s">
        <v>3417</v>
      </c>
      <c r="AT375" t="s">
        <v>3463</v>
      </c>
      <c r="AX375" t="s">
        <v>3419</v>
      </c>
      <c r="AZ375">
        <v>2.25</v>
      </c>
      <c r="BD375">
        <v>1</v>
      </c>
      <c r="BT375">
        <v>0.3</v>
      </c>
      <c r="BV375" s="8">
        <v>0</v>
      </c>
      <c r="BW375" s="8">
        <v>3</v>
      </c>
      <c r="BX375" s="8">
        <v>1</v>
      </c>
      <c r="BY375" s="8" t="s">
        <v>3497</v>
      </c>
      <c r="CB375" t="s">
        <v>136</v>
      </c>
      <c r="CG375" t="s">
        <v>3410</v>
      </c>
      <c r="CH375" t="s">
        <v>4304</v>
      </c>
      <c r="CI375" t="s">
        <v>3412</v>
      </c>
      <c r="CY375" t="s">
        <v>4310</v>
      </c>
    </row>
    <row r="376" spans="1:107" x14ac:dyDescent="0.25">
      <c r="A376" t="s">
        <v>4312</v>
      </c>
      <c r="C376" t="s">
        <v>3326</v>
      </c>
      <c r="D376" t="s">
        <v>4313</v>
      </c>
      <c r="E376" t="s">
        <v>4314</v>
      </c>
      <c r="F376" t="s">
        <v>4315</v>
      </c>
      <c r="G376">
        <v>3</v>
      </c>
      <c r="J376" t="s">
        <v>3342</v>
      </c>
      <c r="K376" s="5" t="s">
        <v>3343</v>
      </c>
      <c r="AB376">
        <v>1</v>
      </c>
      <c r="AC376">
        <v>1</v>
      </c>
      <c r="BD376">
        <v>1</v>
      </c>
      <c r="BP376" s="7" t="s">
        <v>4316</v>
      </c>
      <c r="BS376">
        <v>0</v>
      </c>
      <c r="BT376">
        <v>0.2</v>
      </c>
      <c r="BV376" s="8">
        <v>0</v>
      </c>
      <c r="BW376" s="8">
        <v>5</v>
      </c>
      <c r="BX376" s="8">
        <v>1</v>
      </c>
      <c r="BY376" s="8" t="s">
        <v>3344</v>
      </c>
      <c r="CN376" s="9" t="s">
        <v>4303</v>
      </c>
      <c r="CO376" t="s">
        <v>4317</v>
      </c>
      <c r="CR376">
        <v>99999</v>
      </c>
    </row>
    <row r="377" spans="1:107" x14ac:dyDescent="0.25">
      <c r="A377" t="s">
        <v>4318</v>
      </c>
      <c r="C377" t="s">
        <v>3326</v>
      </c>
      <c r="D377" t="s">
        <v>4313</v>
      </c>
      <c r="E377" t="s">
        <v>4314</v>
      </c>
      <c r="F377" t="s">
        <v>4315</v>
      </c>
      <c r="G377">
        <v>3</v>
      </c>
      <c r="J377" t="s">
        <v>3342</v>
      </c>
      <c r="K377" s="5" t="s">
        <v>3343</v>
      </c>
      <c r="AB377">
        <v>1</v>
      </c>
      <c r="AC377">
        <v>1</v>
      </c>
      <c r="BD377">
        <v>1</v>
      </c>
      <c r="BP377" s="7" t="s">
        <v>4316</v>
      </c>
      <c r="BS377">
        <v>0</v>
      </c>
      <c r="BT377">
        <v>0.2</v>
      </c>
      <c r="BV377" s="8">
        <v>0</v>
      </c>
      <c r="BW377" s="8">
        <v>5</v>
      </c>
      <c r="BX377" s="8">
        <v>1</v>
      </c>
      <c r="BY377" s="8" t="s">
        <v>3344</v>
      </c>
      <c r="CN377" s="9" t="s">
        <v>4303</v>
      </c>
      <c r="CO377" t="s">
        <v>4319</v>
      </c>
      <c r="CR377">
        <v>99999</v>
      </c>
    </row>
    <row r="378" spans="1:107" x14ac:dyDescent="0.25">
      <c r="A378" t="s">
        <v>4316</v>
      </c>
      <c r="C378" t="s">
        <v>3326</v>
      </c>
      <c r="K378" s="5" t="s">
        <v>3344</v>
      </c>
      <c r="O378" t="s">
        <v>4303</v>
      </c>
      <c r="P378"/>
      <c r="Q378"/>
      <c r="R378"/>
      <c r="S378"/>
      <c r="T378"/>
      <c r="Z378">
        <v>1</v>
      </c>
      <c r="AC378">
        <v>2</v>
      </c>
      <c r="AD378">
        <v>1</v>
      </c>
      <c r="AO378" t="s">
        <v>3417</v>
      </c>
      <c r="AT378" t="s">
        <v>4320</v>
      </c>
      <c r="AX378" t="s">
        <v>3419</v>
      </c>
      <c r="AZ378">
        <v>0.8</v>
      </c>
      <c r="BD378">
        <v>1</v>
      </c>
      <c r="CB378" t="s">
        <v>136</v>
      </c>
      <c r="CG378" t="s">
        <v>3410</v>
      </c>
      <c r="CH378" t="s">
        <v>4304</v>
      </c>
      <c r="CI378" t="s">
        <v>3412</v>
      </c>
      <c r="CY378" t="s">
        <v>4305</v>
      </c>
    </row>
    <row r="379" spans="1:107" x14ac:dyDescent="0.25">
      <c r="A379" t="s">
        <v>4321</v>
      </c>
      <c r="C379" t="s">
        <v>3416</v>
      </c>
      <c r="D379" t="s">
        <v>4321</v>
      </c>
      <c r="E379" t="s">
        <v>4322</v>
      </c>
      <c r="F379" t="s">
        <v>4323</v>
      </c>
      <c r="G379">
        <v>3</v>
      </c>
      <c r="J379" t="s">
        <v>3445</v>
      </c>
      <c r="K379" s="5" t="s">
        <v>3343</v>
      </c>
      <c r="AB379">
        <v>1</v>
      </c>
      <c r="AC379">
        <v>2</v>
      </c>
      <c r="AD379">
        <v>1</v>
      </c>
      <c r="AO379" t="s">
        <v>3417</v>
      </c>
      <c r="AT379" t="s">
        <v>4324</v>
      </c>
      <c r="AX379" t="s">
        <v>3419</v>
      </c>
      <c r="AZ379">
        <v>1</v>
      </c>
      <c r="BD379">
        <v>6</v>
      </c>
      <c r="BO379" s="7" t="s">
        <v>4325</v>
      </c>
      <c r="BT379">
        <v>30</v>
      </c>
      <c r="BV379" s="8">
        <v>75</v>
      </c>
      <c r="BW379" s="8">
        <v>90</v>
      </c>
      <c r="BX379" s="8">
        <v>1</v>
      </c>
      <c r="BY379" s="8" t="s">
        <v>3344</v>
      </c>
      <c r="CB379" t="s">
        <v>627</v>
      </c>
      <c r="CG379" t="s">
        <v>3410</v>
      </c>
      <c r="CW379" t="s">
        <v>4326</v>
      </c>
      <c r="CY379" t="s">
        <v>4327</v>
      </c>
    </row>
    <row r="380" spans="1:107" x14ac:dyDescent="0.25">
      <c r="A380" t="s">
        <v>4328</v>
      </c>
      <c r="C380" t="s">
        <v>3416</v>
      </c>
      <c r="D380" t="s">
        <v>4321</v>
      </c>
      <c r="E380" t="s">
        <v>4329</v>
      </c>
      <c r="F380" t="s">
        <v>4323</v>
      </c>
      <c r="G380">
        <v>3</v>
      </c>
      <c r="J380" t="s">
        <v>3445</v>
      </c>
      <c r="K380" s="5" t="s">
        <v>3343</v>
      </c>
      <c r="AB380">
        <v>1</v>
      </c>
      <c r="AC380">
        <v>2</v>
      </c>
      <c r="AD380">
        <v>1</v>
      </c>
      <c r="AO380" t="s">
        <v>3417</v>
      </c>
      <c r="AT380" t="s">
        <v>4324</v>
      </c>
      <c r="AX380" t="s">
        <v>3419</v>
      </c>
      <c r="AZ380">
        <v>1</v>
      </c>
      <c r="BD380">
        <v>5</v>
      </c>
      <c r="BO380" s="7" t="s">
        <v>4330</v>
      </c>
      <c r="BT380">
        <v>26</v>
      </c>
      <c r="BV380" s="8">
        <v>60</v>
      </c>
      <c r="BW380" s="8">
        <v>90</v>
      </c>
      <c r="BX380" s="8">
        <v>1</v>
      </c>
      <c r="BY380" s="8" t="s">
        <v>3344</v>
      </c>
      <c r="CB380" t="s">
        <v>627</v>
      </c>
      <c r="CG380" t="s">
        <v>3410</v>
      </c>
      <c r="CW380" t="s">
        <v>4326</v>
      </c>
      <c r="CY380" t="s">
        <v>4327</v>
      </c>
    </row>
    <row r="381" spans="1:107" x14ac:dyDescent="0.25">
      <c r="A381" t="s">
        <v>4331</v>
      </c>
      <c r="C381" t="s">
        <v>3326</v>
      </c>
      <c r="K381" s="5" t="s">
        <v>3314</v>
      </c>
      <c r="L381" s="5" t="s">
        <v>3452</v>
      </c>
      <c r="AC381">
        <v>1</v>
      </c>
      <c r="AY381" s="5"/>
      <c r="BD381">
        <v>1</v>
      </c>
      <c r="BV381"/>
      <c r="BW381"/>
      <c r="BX381"/>
      <c r="BY381"/>
      <c r="BZ381"/>
      <c r="CA381"/>
      <c r="CB381" s="5"/>
      <c r="CC381" s="5"/>
      <c r="CD381" s="5"/>
      <c r="CE381" s="5"/>
      <c r="CF381" s="5"/>
      <c r="CH381" s="5"/>
      <c r="CI381" s="5"/>
      <c r="CJ381" s="5"/>
      <c r="CK381" s="5"/>
      <c r="CL381" s="5"/>
      <c r="CM381" s="5"/>
      <c r="CN381" s="9" t="s">
        <v>4331</v>
      </c>
      <c r="CO381" s="5">
        <v>2</v>
      </c>
      <c r="CP381" s="5"/>
      <c r="CQ381" s="5"/>
      <c r="CR381" s="5">
        <v>30</v>
      </c>
      <c r="CS381" s="5"/>
      <c r="CT381" s="5"/>
      <c r="CU381" s="5"/>
      <c r="CV381" s="5"/>
      <c r="CW381" s="5"/>
      <c r="CX381" s="5"/>
      <c r="CY381" s="5"/>
      <c r="CZ381" s="5"/>
      <c r="DA381" s="5"/>
      <c r="DB381" s="5"/>
      <c r="DC381" s="5"/>
    </row>
    <row r="382" spans="1:107" x14ac:dyDescent="0.25">
      <c r="A382" t="s">
        <v>4332</v>
      </c>
      <c r="C382" t="s">
        <v>3326</v>
      </c>
      <c r="K382" s="5" t="s">
        <v>3314</v>
      </c>
      <c r="L382" s="5" t="s">
        <v>3452</v>
      </c>
      <c r="AC382">
        <v>1</v>
      </c>
      <c r="AY382" s="5"/>
      <c r="BD382">
        <v>1</v>
      </c>
      <c r="BV382"/>
      <c r="BW382"/>
      <c r="BX382"/>
      <c r="BY382"/>
      <c r="BZ382"/>
      <c r="CA382"/>
      <c r="CB382" s="5"/>
      <c r="CC382" s="5"/>
      <c r="CD382" s="5"/>
      <c r="CE382" s="5"/>
      <c r="CF382" s="5"/>
      <c r="CH382" s="5"/>
      <c r="CI382" s="5"/>
      <c r="CJ382" s="5"/>
      <c r="CK382" s="5"/>
      <c r="CL382" s="5"/>
      <c r="CM382" s="5"/>
      <c r="CN382" s="9" t="s">
        <v>4331</v>
      </c>
      <c r="CO382" s="5">
        <v>1.4</v>
      </c>
      <c r="CP382" s="5"/>
      <c r="CQ382" s="5"/>
      <c r="CR382" s="5">
        <v>30</v>
      </c>
      <c r="CS382" s="5"/>
      <c r="CT382" s="5"/>
      <c r="CU382" s="5"/>
      <c r="CV382" s="5"/>
      <c r="CW382" s="5"/>
      <c r="CX382" s="5"/>
      <c r="CY382" s="5"/>
      <c r="CZ382" s="5"/>
      <c r="DA382" s="5"/>
      <c r="DB382" s="5"/>
      <c r="DC382" s="5"/>
    </row>
    <row r="383" spans="1:107" x14ac:dyDescent="0.25">
      <c r="A383" t="s">
        <v>4333</v>
      </c>
      <c r="C383" t="s">
        <v>3326</v>
      </c>
      <c r="K383" s="5" t="s">
        <v>3314</v>
      </c>
      <c r="L383" s="5" t="s">
        <v>3452</v>
      </c>
      <c r="AC383">
        <v>1</v>
      </c>
      <c r="AY383" s="5"/>
      <c r="BD383">
        <v>1</v>
      </c>
      <c r="BV383"/>
      <c r="BW383"/>
      <c r="BX383"/>
      <c r="BY383"/>
      <c r="BZ383"/>
      <c r="CA383"/>
      <c r="CB383" s="5"/>
      <c r="CC383" s="5"/>
      <c r="CD383" s="5"/>
      <c r="CE383" s="5"/>
      <c r="CF383" s="5"/>
      <c r="CH383" s="5"/>
      <c r="CI383" s="5"/>
      <c r="CJ383" s="5"/>
      <c r="CK383" s="5"/>
      <c r="CL383" s="5"/>
      <c r="CM383" s="5"/>
      <c r="CN383" s="9" t="s">
        <v>3683</v>
      </c>
      <c r="CO383" s="5">
        <v>-0.7</v>
      </c>
      <c r="CP383" s="5"/>
      <c r="CQ383" s="5"/>
      <c r="CR383" s="5">
        <v>30</v>
      </c>
      <c r="CS383" s="5"/>
      <c r="CT383" s="5"/>
      <c r="CU383" s="5"/>
      <c r="CV383" s="5"/>
      <c r="CW383" s="5"/>
      <c r="CX383" s="5"/>
      <c r="CY383" s="5"/>
      <c r="CZ383" s="5"/>
      <c r="DA383" s="5"/>
      <c r="DB383" s="5"/>
      <c r="DC383" s="5"/>
    </row>
    <row r="384" spans="1:107" x14ac:dyDescent="0.25">
      <c r="A384" t="s">
        <v>4334</v>
      </c>
      <c r="C384" t="s">
        <v>3326</v>
      </c>
      <c r="K384" t="s">
        <v>3314</v>
      </c>
      <c r="L384" t="s">
        <v>3330</v>
      </c>
      <c r="M384"/>
      <c r="N384"/>
      <c r="O384"/>
      <c r="P384"/>
      <c r="Q384"/>
      <c r="R384"/>
      <c r="S384"/>
      <c r="T384"/>
      <c r="U384"/>
      <c r="V384"/>
      <c r="W384"/>
      <c r="X384"/>
      <c r="AC384">
        <v>1</v>
      </c>
      <c r="AF384">
        <v>1</v>
      </c>
      <c r="AH384">
        <v>1</v>
      </c>
      <c r="BO384" s="7" t="s">
        <v>4335</v>
      </c>
      <c r="BV384"/>
      <c r="BW384"/>
      <c r="BX384"/>
      <c r="BY384"/>
      <c r="BZ384"/>
      <c r="CA384"/>
      <c r="CN384" s="9" t="s">
        <v>4336</v>
      </c>
      <c r="CO384">
        <v>-0.12</v>
      </c>
    </row>
    <row r="385" spans="1:108" x14ac:dyDescent="0.25">
      <c r="A385" t="s">
        <v>4337</v>
      </c>
      <c r="C385" t="s">
        <v>3326</v>
      </c>
      <c r="K385" t="s">
        <v>3314</v>
      </c>
      <c r="L385" t="s">
        <v>3330</v>
      </c>
      <c r="M385"/>
      <c r="N385"/>
      <c r="O385"/>
      <c r="P385"/>
      <c r="Q385"/>
      <c r="R385"/>
      <c r="S385"/>
      <c r="T385"/>
      <c r="U385"/>
      <c r="V385"/>
      <c r="W385"/>
      <c r="X385"/>
      <c r="AC385">
        <v>1</v>
      </c>
      <c r="AF385">
        <v>1</v>
      </c>
      <c r="AH385">
        <v>1</v>
      </c>
      <c r="BO385" s="7" t="s">
        <v>4338</v>
      </c>
      <c r="BV385"/>
      <c r="BW385"/>
      <c r="BX385"/>
      <c r="BY385"/>
      <c r="BZ385"/>
      <c r="CA385"/>
      <c r="CN385" s="9" t="s">
        <v>4336</v>
      </c>
      <c r="CO385">
        <v>-7.0000000000000007E-2</v>
      </c>
    </row>
    <row r="386" spans="1:108" x14ac:dyDescent="0.25">
      <c r="A386" t="s">
        <v>4339</v>
      </c>
      <c r="C386" t="s">
        <v>3326</v>
      </c>
      <c r="K386" s="5" t="s">
        <v>3344</v>
      </c>
      <c r="P386" t="s">
        <v>3183</v>
      </c>
      <c r="Q386"/>
      <c r="R386"/>
      <c r="S386"/>
      <c r="T386"/>
      <c r="AC386">
        <v>2</v>
      </c>
      <c r="AD386">
        <v>1</v>
      </c>
      <c r="AO386" t="s">
        <v>3417</v>
      </c>
      <c r="AW386" s="6">
        <v>1</v>
      </c>
      <c r="BD386">
        <v>99</v>
      </c>
      <c r="BS386">
        <v>0.01</v>
      </c>
      <c r="CN386" s="9" t="s">
        <v>3183</v>
      </c>
      <c r="CR386">
        <v>99999</v>
      </c>
      <c r="CT386">
        <v>1</v>
      </c>
      <c r="DD386">
        <v>1</v>
      </c>
    </row>
    <row r="387" spans="1:108" x14ac:dyDescent="0.25">
      <c r="A387" t="s">
        <v>4335</v>
      </c>
      <c r="C387" t="s">
        <v>3326</v>
      </c>
      <c r="K387" s="5" t="s">
        <v>3314</v>
      </c>
      <c r="L387" s="5" t="s">
        <v>3330</v>
      </c>
      <c r="AC387">
        <v>1</v>
      </c>
      <c r="AG387" t="s">
        <v>3316</v>
      </c>
      <c r="AH387">
        <v>1</v>
      </c>
      <c r="AY387" s="5"/>
      <c r="BD387">
        <v>1</v>
      </c>
      <c r="BV387"/>
      <c r="BW387"/>
      <c r="BX387"/>
      <c r="BY387"/>
      <c r="BZ387"/>
      <c r="CA387"/>
      <c r="CB387" s="5"/>
      <c r="CC387" s="5"/>
      <c r="CD387" s="5"/>
      <c r="CE387" s="5"/>
      <c r="CF387" s="5"/>
      <c r="CH387" s="5"/>
      <c r="CI387" s="5"/>
      <c r="CJ387" s="5"/>
      <c r="CK387" s="5"/>
      <c r="CL387" s="5"/>
      <c r="CM387" s="5"/>
      <c r="CN387" s="9" t="s">
        <v>3331</v>
      </c>
      <c r="CO387">
        <v>0.12</v>
      </c>
      <c r="CR387">
        <v>99999</v>
      </c>
    </row>
    <row r="388" spans="1:108" x14ac:dyDescent="0.25">
      <c r="A388" t="s">
        <v>4338</v>
      </c>
      <c r="C388" t="s">
        <v>3326</v>
      </c>
      <c r="K388" s="5" t="s">
        <v>3314</v>
      </c>
      <c r="L388" s="5" t="s">
        <v>3330</v>
      </c>
      <c r="AC388">
        <v>1</v>
      </c>
      <c r="AG388" t="s">
        <v>3316</v>
      </c>
      <c r="AH388">
        <v>1</v>
      </c>
      <c r="AY388" s="5"/>
      <c r="BD388">
        <v>1</v>
      </c>
      <c r="BV388"/>
      <c r="BW388"/>
      <c r="BX388"/>
      <c r="BY388"/>
      <c r="BZ388"/>
      <c r="CA388"/>
      <c r="CB388" s="5"/>
      <c r="CC388" s="5"/>
      <c r="CD388" s="5"/>
      <c r="CE388" s="5"/>
      <c r="CF388" s="5"/>
      <c r="CH388" s="5"/>
      <c r="CI388" s="5"/>
      <c r="CJ388" s="5"/>
      <c r="CK388" s="5"/>
      <c r="CL388" s="5"/>
      <c r="CM388" s="5"/>
      <c r="CN388" s="9" t="s">
        <v>3331</v>
      </c>
      <c r="CO388">
        <v>7.0000000000000007E-2</v>
      </c>
      <c r="CR388">
        <v>99999</v>
      </c>
    </row>
    <row r="389" spans="1:108" x14ac:dyDescent="0.25">
      <c r="AY389" s="5"/>
      <c r="BV389"/>
      <c r="BW389"/>
      <c r="BX389"/>
      <c r="BY389"/>
      <c r="BZ389"/>
      <c r="CA389"/>
      <c r="CB389" s="5"/>
      <c r="CC389" s="5"/>
      <c r="CD389" s="5"/>
      <c r="CE389" s="5"/>
      <c r="CF389" s="5"/>
      <c r="CH389" s="5"/>
      <c r="CI389" s="5"/>
      <c r="CJ389" s="5"/>
      <c r="CK389" s="5"/>
      <c r="CL389" s="5"/>
      <c r="CM389" s="5"/>
    </row>
    <row r="390" spans="1:108" x14ac:dyDescent="0.25">
      <c r="A390" t="s">
        <v>4340</v>
      </c>
      <c r="C390" t="s">
        <v>3416</v>
      </c>
      <c r="AC390">
        <v>2</v>
      </c>
      <c r="AO390" t="s">
        <v>3417</v>
      </c>
      <c r="AT390" t="s">
        <v>3418</v>
      </c>
      <c r="AX390" t="s">
        <v>3432</v>
      </c>
      <c r="AZ390">
        <v>1</v>
      </c>
      <c r="BD390">
        <v>1</v>
      </c>
      <c r="CB390" t="s">
        <v>136</v>
      </c>
      <c r="CG390" t="s">
        <v>3410</v>
      </c>
      <c r="CJ390" t="s">
        <v>4341</v>
      </c>
      <c r="CX390" t="s">
        <v>4342</v>
      </c>
      <c r="CY390" t="s">
        <v>4343</v>
      </c>
    </row>
    <row r="391" spans="1:108" x14ac:dyDescent="0.25">
      <c r="A391" t="s">
        <v>4344</v>
      </c>
      <c r="C391" t="s">
        <v>3326</v>
      </c>
      <c r="D391" t="s">
        <v>4345</v>
      </c>
      <c r="E391" t="s">
        <v>4346</v>
      </c>
      <c r="F391" t="s">
        <v>4347</v>
      </c>
      <c r="G391">
        <v>3</v>
      </c>
      <c r="J391" t="s">
        <v>3342</v>
      </c>
      <c r="K391" s="5" t="s">
        <v>3344</v>
      </c>
      <c r="AC391">
        <v>2</v>
      </c>
      <c r="AO391" t="s">
        <v>3417</v>
      </c>
      <c r="AT391" t="s">
        <v>3418</v>
      </c>
      <c r="AX391" t="s">
        <v>3432</v>
      </c>
      <c r="AZ391">
        <v>3.1</v>
      </c>
      <c r="BD391">
        <v>1</v>
      </c>
      <c r="BO391" s="7" t="s">
        <v>4348</v>
      </c>
      <c r="BT391">
        <v>0.3</v>
      </c>
      <c r="BV391" s="8">
        <v>0</v>
      </c>
      <c r="BW391" s="8">
        <v>2</v>
      </c>
      <c r="BX391" s="8">
        <v>1</v>
      </c>
      <c r="BY391" s="8" t="s">
        <v>3497</v>
      </c>
      <c r="CB391" t="s">
        <v>136</v>
      </c>
      <c r="CG391" t="s">
        <v>3410</v>
      </c>
      <c r="CJ391" t="s">
        <v>4341</v>
      </c>
      <c r="CX391" t="s">
        <v>4349</v>
      </c>
      <c r="CY391" t="s">
        <v>4350</v>
      </c>
    </row>
    <row r="392" spans="1:108" x14ac:dyDescent="0.25">
      <c r="A392" t="s">
        <v>4348</v>
      </c>
      <c r="C392" t="s">
        <v>3512</v>
      </c>
      <c r="K392" s="5" t="s">
        <v>3314</v>
      </c>
      <c r="L392" s="5" t="s">
        <v>3969</v>
      </c>
      <c r="AC392">
        <v>1</v>
      </c>
      <c r="BD392">
        <v>1</v>
      </c>
      <c r="CU392" t="s">
        <v>4351</v>
      </c>
    </row>
    <row r="393" spans="1:108" x14ac:dyDescent="0.25">
      <c r="A393" t="s">
        <v>4352</v>
      </c>
      <c r="C393" t="s">
        <v>3416</v>
      </c>
      <c r="D393" t="s">
        <v>4353</v>
      </c>
      <c r="E393" t="s">
        <v>4354</v>
      </c>
      <c r="F393" t="s">
        <v>4355</v>
      </c>
      <c r="G393">
        <v>3</v>
      </c>
      <c r="J393" t="s">
        <v>3445</v>
      </c>
      <c r="K393" s="5" t="s">
        <v>3343</v>
      </c>
      <c r="AB393">
        <v>1</v>
      </c>
      <c r="AC393">
        <v>2</v>
      </c>
      <c r="AO393" t="s">
        <v>3417</v>
      </c>
      <c r="AT393" t="s">
        <v>3602</v>
      </c>
      <c r="AX393" t="s">
        <v>3432</v>
      </c>
      <c r="AZ393">
        <v>1</v>
      </c>
      <c r="BD393">
        <v>2</v>
      </c>
      <c r="BO393" s="7" t="s">
        <v>4356</v>
      </c>
      <c r="BT393">
        <v>18</v>
      </c>
      <c r="BV393" s="8">
        <v>12</v>
      </c>
      <c r="BW393" s="8">
        <v>18</v>
      </c>
      <c r="BX393" s="8">
        <v>1</v>
      </c>
      <c r="BY393" s="8" t="s">
        <v>3344</v>
      </c>
      <c r="CB393" t="s">
        <v>4357</v>
      </c>
      <c r="CD393" t="s">
        <v>4358</v>
      </c>
      <c r="CG393" t="s">
        <v>3410</v>
      </c>
      <c r="CJ393" t="s">
        <v>4359</v>
      </c>
      <c r="CW393" t="s">
        <v>4360</v>
      </c>
      <c r="CX393" t="s">
        <v>4361</v>
      </c>
    </row>
    <row r="394" spans="1:108" x14ac:dyDescent="0.25">
      <c r="A394" t="s">
        <v>4356</v>
      </c>
      <c r="C394" t="s">
        <v>3326</v>
      </c>
      <c r="K394" s="5" t="s">
        <v>3314</v>
      </c>
      <c r="L394" s="5" t="s">
        <v>3452</v>
      </c>
      <c r="AC394">
        <v>1</v>
      </c>
      <c r="AY394" s="5"/>
      <c r="BD394">
        <v>1</v>
      </c>
      <c r="BV394"/>
      <c r="BW394"/>
      <c r="BX394"/>
      <c r="BY394"/>
      <c r="BZ394"/>
      <c r="CA394"/>
      <c r="CB394" s="5"/>
      <c r="CC394" s="5"/>
      <c r="CD394" s="5"/>
      <c r="CE394" s="5"/>
      <c r="CF394" s="5"/>
      <c r="CH394" s="5"/>
      <c r="CI394" s="5"/>
      <c r="CJ394" s="5"/>
      <c r="CK394" s="5"/>
      <c r="CL394" s="5"/>
      <c r="CM394" s="5"/>
      <c r="CN394" s="9" t="s">
        <v>4362</v>
      </c>
      <c r="CO394" s="5">
        <v>1.2</v>
      </c>
      <c r="CP394" s="5"/>
      <c r="CQ394" s="5"/>
      <c r="CR394" s="5">
        <v>18</v>
      </c>
      <c r="CS394" s="5"/>
      <c r="CT394" s="5"/>
      <c r="CU394" s="5"/>
      <c r="CV394" s="5"/>
      <c r="CW394" s="5"/>
      <c r="CX394" s="5"/>
      <c r="CY394" s="5"/>
      <c r="CZ394" s="5"/>
      <c r="DA394" s="5"/>
      <c r="DB394" s="5"/>
      <c r="DC394" s="5"/>
    </row>
    <row r="395" spans="1:108" x14ac:dyDescent="0.25">
      <c r="A395" t="s">
        <v>4363</v>
      </c>
      <c r="C395" t="s">
        <v>3326</v>
      </c>
      <c r="D395" t="s">
        <v>4364</v>
      </c>
      <c r="E395" t="s">
        <v>4365</v>
      </c>
      <c r="F395" t="s">
        <v>4366</v>
      </c>
      <c r="G395">
        <v>3</v>
      </c>
      <c r="J395" t="s">
        <v>3342</v>
      </c>
      <c r="K395" s="5" t="s">
        <v>3343</v>
      </c>
      <c r="N395" s="5">
        <v>1</v>
      </c>
      <c r="X395" s="5">
        <v>1</v>
      </c>
      <c r="AB395">
        <v>1</v>
      </c>
      <c r="AC395">
        <v>1</v>
      </c>
      <c r="AY395" s="5"/>
      <c r="BD395">
        <v>1</v>
      </c>
      <c r="BO395" s="7" t="s">
        <v>6195</v>
      </c>
      <c r="BS395">
        <v>0.6</v>
      </c>
      <c r="BT395">
        <v>99999</v>
      </c>
      <c r="BV395" s="8">
        <v>0</v>
      </c>
      <c r="BW395" s="8">
        <v>5</v>
      </c>
      <c r="BX395" s="8">
        <v>1</v>
      </c>
      <c r="BY395" s="8" t="s">
        <v>3344</v>
      </c>
      <c r="CB395" s="5" t="s">
        <v>4367</v>
      </c>
      <c r="CC395" s="5">
        <v>0</v>
      </c>
      <c r="CD395" s="5"/>
      <c r="CE395" s="5"/>
      <c r="CF395" s="5"/>
      <c r="CG395" t="s">
        <v>3831</v>
      </c>
      <c r="CH395" s="5"/>
      <c r="CI395" s="5"/>
      <c r="CN395" s="9" t="s">
        <v>4368</v>
      </c>
      <c r="CO395" s="5"/>
      <c r="CP395" s="5"/>
      <c r="CQ395" s="5"/>
      <c r="CR395" s="5">
        <v>99999</v>
      </c>
      <c r="CS395" s="5"/>
      <c r="CT395" s="5"/>
      <c r="CU395" s="5"/>
      <c r="CV395" s="5"/>
      <c r="CW395" s="5"/>
      <c r="CX395" s="5"/>
      <c r="CY395" s="5"/>
      <c r="CZ395" s="5"/>
      <c r="DA395" s="5"/>
      <c r="DB395" s="5"/>
      <c r="DC395" s="5"/>
    </row>
    <row r="396" spans="1:108" x14ac:dyDescent="0.25">
      <c r="A396" t="s">
        <v>4369</v>
      </c>
      <c r="C396" t="s">
        <v>3416</v>
      </c>
      <c r="J396" t="s">
        <v>3445</v>
      </c>
      <c r="K396" s="5" t="s">
        <v>3344</v>
      </c>
      <c r="AC396">
        <v>2</v>
      </c>
      <c r="AO396" t="s">
        <v>3417</v>
      </c>
      <c r="AT396" t="s">
        <v>3695</v>
      </c>
      <c r="AX396" t="s">
        <v>3432</v>
      </c>
      <c r="AZ396">
        <v>1</v>
      </c>
      <c r="BD396">
        <v>4</v>
      </c>
      <c r="CB396" t="s">
        <v>4370</v>
      </c>
      <c r="CG396" t="s">
        <v>3410</v>
      </c>
      <c r="CJ396" t="s">
        <v>4341</v>
      </c>
      <c r="CX396" t="s">
        <v>4363</v>
      </c>
      <c r="CY396" t="s">
        <v>4371</v>
      </c>
    </row>
    <row r="397" spans="1:108" x14ac:dyDescent="0.25">
      <c r="A397" t="s">
        <v>4372</v>
      </c>
      <c r="C397" t="s">
        <v>3326</v>
      </c>
      <c r="K397" s="5" t="s">
        <v>3314</v>
      </c>
      <c r="L397" s="5" t="s">
        <v>3452</v>
      </c>
      <c r="AC397">
        <v>1</v>
      </c>
      <c r="AG397" t="s">
        <v>3316</v>
      </c>
      <c r="AY397" s="5"/>
      <c r="BD397">
        <v>1</v>
      </c>
      <c r="BV397"/>
      <c r="BW397"/>
      <c r="BX397"/>
      <c r="BY397"/>
      <c r="BZ397"/>
      <c r="CA397"/>
      <c r="CB397" s="5"/>
      <c r="CC397" s="5"/>
      <c r="CD397" s="5"/>
      <c r="CE397" s="5"/>
      <c r="CF397" s="5"/>
      <c r="CH397" s="5"/>
      <c r="CI397" s="5"/>
      <c r="CJ397" s="5"/>
      <c r="CK397" s="5"/>
      <c r="CL397" s="5"/>
      <c r="CM397" s="5"/>
      <c r="CN397" s="9" t="s">
        <v>4373</v>
      </c>
      <c r="CO397" s="5" t="s">
        <v>4374</v>
      </c>
      <c r="CP397" s="5"/>
      <c r="CQ397" s="5"/>
      <c r="CR397" s="5">
        <v>99999</v>
      </c>
      <c r="CS397" s="5"/>
      <c r="CT397" s="5"/>
      <c r="CU397" s="5"/>
      <c r="CV397" s="5"/>
      <c r="CW397" s="5"/>
      <c r="CX397" s="5"/>
      <c r="CY397" s="5"/>
      <c r="CZ397" s="5"/>
      <c r="DA397" s="5"/>
      <c r="DB397" s="5"/>
      <c r="DC397" s="5"/>
    </row>
    <row r="398" spans="1:108" x14ac:dyDescent="0.25">
      <c r="A398" t="s">
        <v>4375</v>
      </c>
      <c r="C398" t="s">
        <v>3326</v>
      </c>
      <c r="K398" s="5" t="s">
        <v>3314</v>
      </c>
      <c r="L398" s="5" t="s">
        <v>3452</v>
      </c>
      <c r="AC398">
        <v>1</v>
      </c>
      <c r="AG398" t="s">
        <v>3316</v>
      </c>
      <c r="AY398" s="5">
        <v>1</v>
      </c>
      <c r="AZ398">
        <v>99999</v>
      </c>
      <c r="BB398">
        <v>2</v>
      </c>
      <c r="BD398">
        <v>1</v>
      </c>
      <c r="BV398"/>
      <c r="BW398"/>
      <c r="BX398"/>
      <c r="BY398"/>
      <c r="BZ398"/>
      <c r="CA398"/>
      <c r="CB398" s="5"/>
      <c r="CC398" s="5"/>
      <c r="CD398" s="5"/>
      <c r="CE398" s="5"/>
      <c r="CF398" s="5"/>
      <c r="CH398" s="5"/>
      <c r="CI398" s="5"/>
      <c r="CJ398" s="5"/>
      <c r="CK398" s="5"/>
      <c r="CL398" s="5"/>
      <c r="CM398" s="5"/>
      <c r="CO398" s="5"/>
      <c r="CP398" s="5"/>
      <c r="CQ398" s="5"/>
      <c r="CR398" s="5"/>
      <c r="CS398" s="5"/>
      <c r="CT398" s="5"/>
      <c r="CU398" s="5"/>
      <c r="CV398" s="5"/>
      <c r="CW398" s="5"/>
      <c r="CX398" s="5"/>
      <c r="CY398" s="5"/>
      <c r="CZ398" s="5"/>
      <c r="DA398" s="5"/>
      <c r="DB398" s="5"/>
      <c r="DC398" s="5"/>
    </row>
    <row r="399" spans="1:108" x14ac:dyDescent="0.25">
      <c r="A399" t="s">
        <v>4376</v>
      </c>
      <c r="C399" t="s">
        <v>3326</v>
      </c>
      <c r="K399" s="5" t="s">
        <v>3314</v>
      </c>
      <c r="L399" s="5" t="s">
        <v>3452</v>
      </c>
      <c r="AC399">
        <v>1</v>
      </c>
      <c r="AG399" t="s">
        <v>3316</v>
      </c>
      <c r="AY399" s="5"/>
      <c r="BD399">
        <v>1</v>
      </c>
      <c r="BV399"/>
      <c r="BW399"/>
      <c r="BX399"/>
      <c r="BY399"/>
      <c r="BZ399"/>
      <c r="CA399"/>
      <c r="CB399" s="5"/>
      <c r="CC399" s="5"/>
      <c r="CD399" s="5"/>
      <c r="CE399" s="5"/>
      <c r="CF399" s="5"/>
      <c r="CH399" s="5"/>
      <c r="CI399" s="5"/>
      <c r="CJ399" s="5"/>
      <c r="CK399" s="5"/>
      <c r="CL399" s="5"/>
      <c r="CM399" s="5"/>
      <c r="CN399" s="9" t="s">
        <v>6196</v>
      </c>
      <c r="CO399" s="5"/>
      <c r="CP399" s="5"/>
      <c r="CQ399" s="5"/>
      <c r="CR399" s="5">
        <v>99999</v>
      </c>
      <c r="CS399" s="5"/>
      <c r="CT399" s="5"/>
      <c r="CU399" s="5"/>
      <c r="CV399" s="5"/>
      <c r="CW399" s="5"/>
      <c r="CX399" s="5"/>
      <c r="CY399" s="5"/>
      <c r="CZ399" s="5"/>
      <c r="DA399" s="5"/>
      <c r="DB399" s="5"/>
      <c r="DC399" s="5"/>
    </row>
    <row r="400" spans="1:108" x14ac:dyDescent="0.25">
      <c r="A400" t="s">
        <v>4378</v>
      </c>
      <c r="C400" t="s">
        <v>3905</v>
      </c>
      <c r="K400" s="5" t="s">
        <v>3314</v>
      </c>
      <c r="L400" s="5" t="s">
        <v>3906</v>
      </c>
      <c r="AC400">
        <v>1</v>
      </c>
      <c r="AF400">
        <v>1</v>
      </c>
      <c r="AG400" t="s">
        <v>3316</v>
      </c>
      <c r="BD400">
        <v>1</v>
      </c>
      <c r="BP400" s="7" t="s">
        <v>4379</v>
      </c>
      <c r="CN400" s="9" t="s">
        <v>4380</v>
      </c>
      <c r="CR400">
        <v>99999</v>
      </c>
      <c r="CU400" t="s">
        <v>3908</v>
      </c>
    </row>
    <row r="401" spans="1:103" x14ac:dyDescent="0.25">
      <c r="A401" t="s">
        <v>4379</v>
      </c>
      <c r="C401" t="s">
        <v>4381</v>
      </c>
      <c r="K401" s="5" t="s">
        <v>3314</v>
      </c>
      <c r="AC401">
        <v>1</v>
      </c>
      <c r="AG401" t="s">
        <v>3316</v>
      </c>
      <c r="BD401">
        <v>1</v>
      </c>
      <c r="CU401" t="s">
        <v>4382</v>
      </c>
    </row>
    <row r="403" spans="1:103" x14ac:dyDescent="0.25">
      <c r="A403" t="s">
        <v>4383</v>
      </c>
      <c r="C403" t="s">
        <v>3326</v>
      </c>
      <c r="K403" s="5" t="s">
        <v>3344</v>
      </c>
      <c r="AC403">
        <v>1</v>
      </c>
      <c r="AO403" t="s">
        <v>3408</v>
      </c>
      <c r="AP403" t="s">
        <v>4384</v>
      </c>
      <c r="AT403" t="s">
        <v>3936</v>
      </c>
      <c r="AY403">
        <v>1</v>
      </c>
      <c r="AZ403">
        <v>1</v>
      </c>
      <c r="BD403">
        <v>1</v>
      </c>
      <c r="CB403" t="s">
        <v>136</v>
      </c>
      <c r="CG403" t="s">
        <v>3410</v>
      </c>
      <c r="CH403" t="s">
        <v>3411</v>
      </c>
      <c r="CI403" t="s">
        <v>3412</v>
      </c>
      <c r="CX403" t="s">
        <v>4385</v>
      </c>
      <c r="CY403" t="s">
        <v>4386</v>
      </c>
    </row>
    <row r="404" spans="1:103" x14ac:dyDescent="0.25">
      <c r="A404" t="s">
        <v>4387</v>
      </c>
      <c r="C404" t="s">
        <v>3806</v>
      </c>
      <c r="K404" s="5" t="s">
        <v>3314</v>
      </c>
      <c r="L404" s="5" t="s">
        <v>3414</v>
      </c>
      <c r="AC404">
        <v>1</v>
      </c>
      <c r="AF404">
        <v>1</v>
      </c>
      <c r="AG404" t="s">
        <v>3316</v>
      </c>
      <c r="BD404">
        <v>1</v>
      </c>
      <c r="CU404" t="s">
        <v>4388</v>
      </c>
    </row>
    <row r="405" spans="1:103" x14ac:dyDescent="0.25">
      <c r="A405" t="s">
        <v>4389</v>
      </c>
      <c r="C405" t="s">
        <v>3326</v>
      </c>
      <c r="K405" s="5" t="s">
        <v>3314</v>
      </c>
      <c r="L405" s="5" t="s">
        <v>3327</v>
      </c>
      <c r="AC405">
        <v>1</v>
      </c>
      <c r="AG405" t="s">
        <v>4384</v>
      </c>
      <c r="AT405" t="s">
        <v>3936</v>
      </c>
      <c r="BD405">
        <v>2</v>
      </c>
      <c r="CN405" s="9" t="s">
        <v>4390</v>
      </c>
      <c r="CR405">
        <v>1</v>
      </c>
    </row>
    <row r="406" spans="1:103" x14ac:dyDescent="0.25">
      <c r="A406" t="s">
        <v>4391</v>
      </c>
      <c r="C406" t="s">
        <v>3326</v>
      </c>
      <c r="D406" t="s">
        <v>4392</v>
      </c>
      <c r="E406" t="s">
        <v>4393</v>
      </c>
      <c r="F406" t="s">
        <v>4394</v>
      </c>
      <c r="G406">
        <v>3</v>
      </c>
      <c r="J406" t="s">
        <v>3342</v>
      </c>
      <c r="K406" s="5" t="s">
        <v>3343</v>
      </c>
      <c r="AC406">
        <v>1</v>
      </c>
      <c r="AG406" t="s">
        <v>4384</v>
      </c>
      <c r="AV406">
        <v>99</v>
      </c>
      <c r="BD406">
        <v>2</v>
      </c>
      <c r="BO406" s="7" t="s">
        <v>4395</v>
      </c>
      <c r="BT406">
        <v>40</v>
      </c>
      <c r="BV406" s="8">
        <v>10</v>
      </c>
      <c r="BW406" s="8">
        <v>20</v>
      </c>
      <c r="BX406" s="8">
        <v>1</v>
      </c>
      <c r="BY406" s="8" t="s">
        <v>3344</v>
      </c>
      <c r="CN406" s="9" t="s">
        <v>4396</v>
      </c>
      <c r="CO406">
        <v>1.5</v>
      </c>
      <c r="CR406">
        <v>40</v>
      </c>
    </row>
    <row r="407" spans="1:103" x14ac:dyDescent="0.25">
      <c r="A407" t="s">
        <v>4395</v>
      </c>
      <c r="C407" t="s">
        <v>3326</v>
      </c>
      <c r="J407" t="s">
        <v>3445</v>
      </c>
      <c r="AC407">
        <v>1</v>
      </c>
      <c r="AG407" t="s">
        <v>3316</v>
      </c>
      <c r="BD407">
        <v>1</v>
      </c>
      <c r="CN407" s="9" t="s">
        <v>3699</v>
      </c>
      <c r="CO407">
        <v>0.5</v>
      </c>
      <c r="CR407">
        <v>40</v>
      </c>
    </row>
    <row r="408" spans="1:103" x14ac:dyDescent="0.25">
      <c r="A408" t="s">
        <v>4397</v>
      </c>
      <c r="C408" t="s">
        <v>4398</v>
      </c>
      <c r="D408" t="s">
        <v>4399</v>
      </c>
      <c r="E408" t="s">
        <v>4400</v>
      </c>
      <c r="F408" t="s">
        <v>4401</v>
      </c>
      <c r="G408">
        <v>3</v>
      </c>
      <c r="J408" t="s">
        <v>3445</v>
      </c>
      <c r="K408" s="5" t="s">
        <v>3343</v>
      </c>
      <c r="AC408">
        <v>1</v>
      </c>
      <c r="AG408" t="s">
        <v>3316</v>
      </c>
      <c r="BD408">
        <v>1</v>
      </c>
      <c r="BO408" s="7" t="s">
        <v>4402</v>
      </c>
      <c r="BT408">
        <v>20</v>
      </c>
      <c r="BV408" s="8">
        <v>0</v>
      </c>
      <c r="BW408" s="8">
        <v>8</v>
      </c>
      <c r="BX408" s="8">
        <v>1</v>
      </c>
      <c r="BY408" s="8" t="s">
        <v>3344</v>
      </c>
      <c r="CN408" s="9" t="s">
        <v>4403</v>
      </c>
      <c r="CO408">
        <v>100</v>
      </c>
      <c r="CR408">
        <v>0.1</v>
      </c>
    </row>
    <row r="409" spans="1:103" x14ac:dyDescent="0.25">
      <c r="A409" t="s">
        <v>4402</v>
      </c>
      <c r="C409" t="s">
        <v>4398</v>
      </c>
      <c r="J409" t="s">
        <v>3445</v>
      </c>
      <c r="K409" s="5" t="s">
        <v>3344</v>
      </c>
      <c r="AC409">
        <v>1</v>
      </c>
      <c r="AG409" t="s">
        <v>3813</v>
      </c>
      <c r="AV409">
        <v>99</v>
      </c>
      <c r="BD409">
        <v>1</v>
      </c>
      <c r="CN409" s="9" t="s">
        <v>4404</v>
      </c>
      <c r="CO409">
        <v>0.9</v>
      </c>
      <c r="CR409">
        <v>0.1</v>
      </c>
    </row>
    <row r="410" spans="1:103" x14ac:dyDescent="0.25">
      <c r="A410" t="s">
        <v>4405</v>
      </c>
      <c r="C410" t="s">
        <v>4398</v>
      </c>
      <c r="D410" t="s">
        <v>4406</v>
      </c>
      <c r="E410" t="s">
        <v>4407</v>
      </c>
      <c r="F410" t="s">
        <v>4408</v>
      </c>
      <c r="G410">
        <v>3</v>
      </c>
      <c r="J410" t="s">
        <v>3445</v>
      </c>
      <c r="K410" s="5" t="s">
        <v>3343</v>
      </c>
      <c r="AC410">
        <v>1</v>
      </c>
      <c r="AG410" t="s">
        <v>3813</v>
      </c>
      <c r="AV410">
        <v>99</v>
      </c>
      <c r="BD410">
        <v>1</v>
      </c>
      <c r="BO410" s="7" t="s">
        <v>4409</v>
      </c>
      <c r="BT410">
        <v>20</v>
      </c>
      <c r="BV410" s="8">
        <v>0</v>
      </c>
      <c r="BW410" s="8">
        <v>15</v>
      </c>
      <c r="BX410" s="8">
        <v>1</v>
      </c>
      <c r="BY410" s="8" t="s">
        <v>3344</v>
      </c>
      <c r="CN410" s="9" t="s">
        <v>4410</v>
      </c>
      <c r="CO410">
        <v>2.6</v>
      </c>
      <c r="CR410">
        <v>0.1</v>
      </c>
    </row>
    <row r="411" spans="1:103" x14ac:dyDescent="0.25">
      <c r="A411" t="s">
        <v>4411</v>
      </c>
      <c r="C411" t="s">
        <v>4398</v>
      </c>
      <c r="J411" t="s">
        <v>3445</v>
      </c>
      <c r="K411" s="5" t="s">
        <v>3344</v>
      </c>
      <c r="AC411">
        <v>1</v>
      </c>
      <c r="AG411" t="s">
        <v>3813</v>
      </c>
      <c r="AV411">
        <v>99</v>
      </c>
      <c r="BD411">
        <v>1</v>
      </c>
      <c r="CN411" s="9" t="s">
        <v>4396</v>
      </c>
      <c r="CO411">
        <v>2</v>
      </c>
      <c r="CR411">
        <v>0.1</v>
      </c>
    </row>
    <row r="412" spans="1:103" x14ac:dyDescent="0.25">
      <c r="A412" t="s">
        <v>4412</v>
      </c>
      <c r="C412" t="s">
        <v>3326</v>
      </c>
      <c r="K412" s="5" t="s">
        <v>3314</v>
      </c>
      <c r="L412" s="5" t="s">
        <v>3452</v>
      </c>
      <c r="AC412">
        <v>1</v>
      </c>
      <c r="AG412" t="s">
        <v>3316</v>
      </c>
      <c r="BD412">
        <v>1</v>
      </c>
      <c r="CN412" s="9" t="s">
        <v>4413</v>
      </c>
      <c r="CR412">
        <v>99999</v>
      </c>
    </row>
    <row r="413" spans="1:103" x14ac:dyDescent="0.25">
      <c r="A413" t="s">
        <v>4414</v>
      </c>
      <c r="C413" t="s">
        <v>3326</v>
      </c>
      <c r="K413" s="5" t="s">
        <v>3314</v>
      </c>
      <c r="L413" s="5" t="s">
        <v>3969</v>
      </c>
      <c r="AC413">
        <v>1</v>
      </c>
      <c r="AG413" t="s">
        <v>3316</v>
      </c>
      <c r="BD413">
        <v>1</v>
      </c>
      <c r="CM413" t="s">
        <v>4413</v>
      </c>
    </row>
    <row r="414" spans="1:103" x14ac:dyDescent="0.25">
      <c r="A414" t="s">
        <v>4415</v>
      </c>
      <c r="C414" t="s">
        <v>3326</v>
      </c>
      <c r="K414" s="5" t="s">
        <v>3314</v>
      </c>
      <c r="L414" s="5" t="s">
        <v>3557</v>
      </c>
      <c r="O414" t="s">
        <v>4413</v>
      </c>
      <c r="AC414">
        <v>1</v>
      </c>
      <c r="AG414" t="s">
        <v>3813</v>
      </c>
      <c r="AV414">
        <v>99</v>
      </c>
      <c r="AX414" t="s">
        <v>3987</v>
      </c>
      <c r="AZ414">
        <v>0.5</v>
      </c>
      <c r="BB414">
        <v>1</v>
      </c>
      <c r="BD414">
        <v>1</v>
      </c>
    </row>
    <row r="415" spans="1:103" x14ac:dyDescent="0.25">
      <c r="A415" t="s">
        <v>4416</v>
      </c>
      <c r="C415" t="s">
        <v>3416</v>
      </c>
      <c r="K415" s="5" t="s">
        <v>3344</v>
      </c>
      <c r="AC415">
        <v>2</v>
      </c>
      <c r="AO415" t="s">
        <v>3417</v>
      </c>
      <c r="AT415" t="s">
        <v>3418</v>
      </c>
      <c r="AX415" t="s">
        <v>3419</v>
      </c>
      <c r="AZ415">
        <v>1</v>
      </c>
      <c r="BD415">
        <v>1</v>
      </c>
      <c r="CB415" t="s">
        <v>136</v>
      </c>
      <c r="CG415" t="s">
        <v>3410</v>
      </c>
    </row>
    <row r="416" spans="1:103" x14ac:dyDescent="0.25">
      <c r="A416" t="s">
        <v>4417</v>
      </c>
      <c r="C416" t="s">
        <v>3326</v>
      </c>
      <c r="K416" s="5" t="s">
        <v>3314</v>
      </c>
      <c r="L416" s="5" t="s">
        <v>3414</v>
      </c>
      <c r="AC416">
        <v>1</v>
      </c>
      <c r="AG416" t="s">
        <v>3316</v>
      </c>
      <c r="AY416" s="5"/>
      <c r="BD416">
        <v>1</v>
      </c>
      <c r="BV416"/>
      <c r="BW416"/>
      <c r="BX416"/>
      <c r="BY416"/>
      <c r="BZ416"/>
      <c r="CA416"/>
      <c r="CB416" s="5"/>
      <c r="CC416" s="5"/>
      <c r="CD416" s="5"/>
      <c r="CE416" s="5"/>
      <c r="CF416" s="5"/>
      <c r="CH416" s="5"/>
      <c r="CI416" s="5"/>
      <c r="CJ416" s="5"/>
      <c r="CK416" s="5"/>
      <c r="CL416" s="5"/>
      <c r="CM416" s="5"/>
      <c r="CN416" s="9" t="s">
        <v>4417</v>
      </c>
      <c r="CR416">
        <v>99999</v>
      </c>
    </row>
    <row r="417" spans="1:103" x14ac:dyDescent="0.25">
      <c r="A417" t="s">
        <v>4418</v>
      </c>
      <c r="C417" t="s">
        <v>3456</v>
      </c>
      <c r="K417" s="5" t="s">
        <v>3344</v>
      </c>
      <c r="O417" t="s">
        <v>4419</v>
      </c>
      <c r="AC417">
        <v>2</v>
      </c>
      <c r="AO417" t="s">
        <v>3417</v>
      </c>
      <c r="AT417" t="s">
        <v>3418</v>
      </c>
      <c r="AX417" t="s">
        <v>3419</v>
      </c>
      <c r="AZ417">
        <v>1</v>
      </c>
      <c r="BD417">
        <v>1</v>
      </c>
      <c r="CB417" t="s">
        <v>627</v>
      </c>
      <c r="CG417" t="s">
        <v>3410</v>
      </c>
    </row>
    <row r="418" spans="1:103" x14ac:dyDescent="0.25">
      <c r="A418" t="s">
        <v>4420</v>
      </c>
      <c r="C418" t="s">
        <v>3416</v>
      </c>
      <c r="K418" s="5" t="s">
        <v>3344</v>
      </c>
      <c r="O418" t="s">
        <v>4410</v>
      </c>
      <c r="AC418">
        <v>2</v>
      </c>
      <c r="AO418" t="s">
        <v>3417</v>
      </c>
      <c r="AT418" t="s">
        <v>3418</v>
      </c>
      <c r="AX418" t="s">
        <v>3987</v>
      </c>
      <c r="AZ418">
        <v>1</v>
      </c>
      <c r="BD418">
        <v>1</v>
      </c>
      <c r="CB418" t="s">
        <v>4357</v>
      </c>
      <c r="CG418" t="s">
        <v>3410</v>
      </c>
    </row>
    <row r="419" spans="1:103" x14ac:dyDescent="0.25">
      <c r="A419" t="s">
        <v>4421</v>
      </c>
      <c r="C419" t="s">
        <v>3326</v>
      </c>
      <c r="K419" s="5" t="s">
        <v>3314</v>
      </c>
      <c r="L419" s="5" t="s">
        <v>3414</v>
      </c>
      <c r="P419" t="s">
        <v>4390</v>
      </c>
      <c r="Q419"/>
      <c r="R419"/>
      <c r="S419"/>
      <c r="T419"/>
      <c r="AC419">
        <v>1</v>
      </c>
      <c r="AF419">
        <v>1</v>
      </c>
      <c r="AG419" t="s">
        <v>3316</v>
      </c>
      <c r="BD419">
        <v>1</v>
      </c>
      <c r="CN419" s="9" t="s">
        <v>4421</v>
      </c>
      <c r="CO419">
        <v>-1</v>
      </c>
      <c r="CR419">
        <v>99999</v>
      </c>
    </row>
    <row r="420" spans="1:103" x14ac:dyDescent="0.25">
      <c r="A420" t="s">
        <v>4422</v>
      </c>
      <c r="C420" t="s">
        <v>3326</v>
      </c>
      <c r="K420" s="5" t="s">
        <v>3314</v>
      </c>
      <c r="L420" s="5" t="s">
        <v>4423</v>
      </c>
      <c r="X420" s="5">
        <v>1</v>
      </c>
      <c r="AB420">
        <v>1</v>
      </c>
      <c r="AC420">
        <v>2</v>
      </c>
      <c r="AO420" t="s">
        <v>4424</v>
      </c>
      <c r="AT420" t="s">
        <v>3446</v>
      </c>
      <c r="AX420" t="s">
        <v>3987</v>
      </c>
      <c r="AZ420">
        <v>1400</v>
      </c>
      <c r="BB420">
        <v>2</v>
      </c>
      <c r="BD420">
        <v>99</v>
      </c>
      <c r="BS420">
        <v>0.2</v>
      </c>
      <c r="CN420" s="9" t="s">
        <v>3318</v>
      </c>
      <c r="CR420">
        <v>3.5</v>
      </c>
    </row>
    <row r="422" spans="1:103" x14ac:dyDescent="0.25">
      <c r="A422" t="s">
        <v>4425</v>
      </c>
      <c r="C422" t="s">
        <v>3416</v>
      </c>
      <c r="K422" s="5" t="s">
        <v>3344</v>
      </c>
      <c r="AC422">
        <v>2</v>
      </c>
      <c r="AO422" t="s">
        <v>3417</v>
      </c>
      <c r="AX422" t="s">
        <v>3419</v>
      </c>
      <c r="AZ422">
        <v>1</v>
      </c>
      <c r="BD422">
        <v>1</v>
      </c>
      <c r="BP422" s="7" t="s">
        <v>4426</v>
      </c>
      <c r="CB422" t="s">
        <v>4427</v>
      </c>
      <c r="CG422" t="s">
        <v>3410</v>
      </c>
      <c r="CN422" s="9" t="s">
        <v>4428</v>
      </c>
      <c r="CO422">
        <v>155</v>
      </c>
      <c r="CR422">
        <v>3</v>
      </c>
      <c r="CX422" t="s">
        <v>4429</v>
      </c>
      <c r="CY422" t="s">
        <v>4430</v>
      </c>
    </row>
    <row r="423" spans="1:103" x14ac:dyDescent="0.25">
      <c r="A423" t="s">
        <v>4431</v>
      </c>
      <c r="C423" t="s">
        <v>3326</v>
      </c>
      <c r="K423" s="5" t="s">
        <v>3344</v>
      </c>
      <c r="P423"/>
      <c r="Q423"/>
      <c r="R423"/>
      <c r="S423"/>
      <c r="T423"/>
      <c r="Z423">
        <v>1</v>
      </c>
      <c r="AC423">
        <v>2</v>
      </c>
      <c r="AD423">
        <v>1</v>
      </c>
      <c r="AO423" t="s">
        <v>3417</v>
      </c>
      <c r="AT423" t="s">
        <v>3463</v>
      </c>
      <c r="AX423" t="s">
        <v>3419</v>
      </c>
      <c r="AZ423">
        <v>0.8</v>
      </c>
      <c r="BD423">
        <v>1</v>
      </c>
      <c r="BO423" s="7" t="s">
        <v>4425</v>
      </c>
      <c r="BP423" s="7" t="s">
        <v>4426</v>
      </c>
      <c r="CB423" t="s">
        <v>3629</v>
      </c>
      <c r="CG423" t="s">
        <v>3410</v>
      </c>
      <c r="CH423" t="s">
        <v>4432</v>
      </c>
      <c r="CI423" t="s">
        <v>3412</v>
      </c>
      <c r="CN423" s="9" t="s">
        <v>4428</v>
      </c>
      <c r="CO423">
        <v>155</v>
      </c>
      <c r="CR423">
        <v>3</v>
      </c>
      <c r="CX423" t="s">
        <v>4433</v>
      </c>
      <c r="CY423" t="s">
        <v>4434</v>
      </c>
    </row>
    <row r="424" spans="1:103" x14ac:dyDescent="0.25">
      <c r="A424" t="s">
        <v>4435</v>
      </c>
      <c r="C424" t="s">
        <v>3326</v>
      </c>
      <c r="K424" s="5" t="s">
        <v>3344</v>
      </c>
      <c r="P424" t="s">
        <v>4426</v>
      </c>
      <c r="Q424"/>
      <c r="R424"/>
      <c r="S424"/>
      <c r="T424"/>
      <c r="AC424">
        <v>1</v>
      </c>
      <c r="AX424" t="s">
        <v>3987</v>
      </c>
      <c r="AY424" s="5">
        <v>1</v>
      </c>
      <c r="AZ424">
        <v>0.04</v>
      </c>
      <c r="BA424">
        <v>1</v>
      </c>
      <c r="BB424">
        <v>1</v>
      </c>
      <c r="BD424">
        <v>1</v>
      </c>
      <c r="BO424" s="7" t="s">
        <v>4426</v>
      </c>
      <c r="BS424">
        <v>0.01</v>
      </c>
      <c r="CB424" s="5"/>
      <c r="CC424" s="5"/>
      <c r="CD424" s="5"/>
      <c r="CE424" s="5"/>
      <c r="CF424" s="5"/>
      <c r="CH424" s="5"/>
      <c r="CI424" s="5"/>
      <c r="CJ424" s="5"/>
      <c r="CK424" s="5"/>
      <c r="CL424" s="5"/>
      <c r="CM424" s="5"/>
    </row>
    <row r="425" spans="1:103" x14ac:dyDescent="0.25">
      <c r="A425" t="s">
        <v>4426</v>
      </c>
      <c r="C425" t="s">
        <v>3326</v>
      </c>
      <c r="K425" s="5" t="s">
        <v>3314</v>
      </c>
      <c r="L425" s="5" t="s">
        <v>3414</v>
      </c>
      <c r="AC425">
        <v>1</v>
      </c>
      <c r="AY425" s="5"/>
      <c r="CB425" s="5"/>
      <c r="CC425" s="5"/>
      <c r="CD425" s="5"/>
      <c r="CE425" s="5"/>
      <c r="CF425" s="5"/>
      <c r="CH425" s="5"/>
      <c r="CI425" s="5"/>
      <c r="CJ425" s="5"/>
      <c r="CK425" s="5"/>
      <c r="CL425" s="5"/>
      <c r="CM425" s="5"/>
      <c r="CN425" s="9" t="s">
        <v>4426</v>
      </c>
      <c r="CR425">
        <v>2</v>
      </c>
    </row>
    <row r="426" spans="1:103" x14ac:dyDescent="0.25">
      <c r="A426" t="s">
        <v>4436</v>
      </c>
      <c r="C426" t="s">
        <v>3326</v>
      </c>
      <c r="D426" t="s">
        <v>4437</v>
      </c>
      <c r="E426" t="s">
        <v>4438</v>
      </c>
      <c r="F426" t="s">
        <v>4439</v>
      </c>
      <c r="G426">
        <v>3</v>
      </c>
      <c r="J426" t="s">
        <v>3445</v>
      </c>
      <c r="K426" s="5" t="s">
        <v>3343</v>
      </c>
      <c r="L426" s="5" t="s">
        <v>3452</v>
      </c>
      <c r="AC426">
        <v>1</v>
      </c>
      <c r="AY426" s="5"/>
      <c r="BD426">
        <v>1</v>
      </c>
      <c r="BO426" s="7" t="s">
        <v>4440</v>
      </c>
      <c r="BT426">
        <v>40</v>
      </c>
      <c r="BV426" s="8">
        <v>10</v>
      </c>
      <c r="BW426" s="8">
        <v>25</v>
      </c>
      <c r="BX426" s="8">
        <v>1</v>
      </c>
      <c r="BY426" s="8" t="s">
        <v>3344</v>
      </c>
      <c r="CB426" s="5"/>
      <c r="CC426" s="5"/>
      <c r="CD426" s="5"/>
      <c r="CE426" s="5" t="s">
        <v>4441</v>
      </c>
      <c r="CF426" s="5"/>
      <c r="CH426" s="5"/>
      <c r="CI426" s="5"/>
      <c r="CJ426" s="5"/>
      <c r="CK426" s="5"/>
      <c r="CL426" s="5"/>
      <c r="CM426" s="5"/>
      <c r="CN426" s="9" t="s">
        <v>4442</v>
      </c>
      <c r="CR426">
        <v>40</v>
      </c>
    </row>
    <row r="427" spans="1:103" x14ac:dyDescent="0.25">
      <c r="A427" t="s">
        <v>4443</v>
      </c>
      <c r="C427" t="s">
        <v>3326</v>
      </c>
      <c r="K427" s="5" t="s">
        <v>3314</v>
      </c>
      <c r="L427" s="5" t="s">
        <v>3452</v>
      </c>
      <c r="AC427">
        <v>1</v>
      </c>
      <c r="AY427" s="5"/>
      <c r="BD427">
        <v>1</v>
      </c>
      <c r="CB427" s="5"/>
      <c r="CC427" s="5"/>
      <c r="CD427" s="5"/>
      <c r="CE427" s="5"/>
      <c r="CF427" s="5"/>
      <c r="CH427" s="5"/>
      <c r="CI427" s="5"/>
      <c r="CJ427" s="5"/>
      <c r="CK427" s="5"/>
      <c r="CL427" s="5"/>
      <c r="CM427" s="5"/>
      <c r="CN427" s="9" t="s">
        <v>4444</v>
      </c>
      <c r="CO427" t="s">
        <v>4445</v>
      </c>
      <c r="CR427">
        <v>40</v>
      </c>
    </row>
    <row r="428" spans="1:103" x14ac:dyDescent="0.25">
      <c r="A428" t="s">
        <v>4446</v>
      </c>
      <c r="C428" t="s">
        <v>3326</v>
      </c>
      <c r="K428" s="5" t="s">
        <v>3314</v>
      </c>
      <c r="L428" s="5" t="s">
        <v>4099</v>
      </c>
      <c r="O428" t="s">
        <v>4442</v>
      </c>
      <c r="P428"/>
      <c r="Q428"/>
      <c r="R428"/>
      <c r="S428"/>
      <c r="T428"/>
      <c r="AC428">
        <v>2</v>
      </c>
      <c r="AD428">
        <v>1</v>
      </c>
      <c r="AO428" t="s">
        <v>3417</v>
      </c>
      <c r="AT428" t="s">
        <v>4447</v>
      </c>
      <c r="AX428" t="s">
        <v>3419</v>
      </c>
      <c r="AZ428">
        <v>0.8</v>
      </c>
      <c r="BD428">
        <v>4</v>
      </c>
      <c r="BS428">
        <v>0.6</v>
      </c>
      <c r="CN428" s="9" t="s">
        <v>4428</v>
      </c>
      <c r="CO428">
        <v>155</v>
      </c>
      <c r="CR428">
        <v>3</v>
      </c>
      <c r="CX428" t="s">
        <v>4448</v>
      </c>
      <c r="CY428" t="s">
        <v>4449</v>
      </c>
    </row>
    <row r="429" spans="1:103" x14ac:dyDescent="0.25">
      <c r="A429" t="s">
        <v>4450</v>
      </c>
      <c r="C429" t="s">
        <v>3416</v>
      </c>
      <c r="J429" t="s">
        <v>3445</v>
      </c>
      <c r="K429" s="5" t="s">
        <v>3344</v>
      </c>
      <c r="O429" t="s">
        <v>4451</v>
      </c>
      <c r="AC429">
        <v>2</v>
      </c>
      <c r="AD429">
        <v>1</v>
      </c>
      <c r="AO429" t="s">
        <v>3417</v>
      </c>
      <c r="AT429" t="s">
        <v>3500</v>
      </c>
      <c r="AX429" t="s">
        <v>3419</v>
      </c>
      <c r="AZ429">
        <v>1</v>
      </c>
      <c r="BD429">
        <v>1</v>
      </c>
      <c r="BP429" s="7" t="s">
        <v>4426</v>
      </c>
      <c r="CB429" t="s">
        <v>747</v>
      </c>
      <c r="CG429" t="s">
        <v>3410</v>
      </c>
      <c r="CH429" t="s">
        <v>4452</v>
      </c>
      <c r="CI429" t="s">
        <v>3412</v>
      </c>
      <c r="CN429" s="9" t="s">
        <v>4428</v>
      </c>
      <c r="CO429">
        <v>155</v>
      </c>
      <c r="CR429">
        <v>3</v>
      </c>
      <c r="CX429" t="s">
        <v>4453</v>
      </c>
      <c r="CY429" t="s">
        <v>4454</v>
      </c>
    </row>
    <row r="430" spans="1:103" x14ac:dyDescent="0.25">
      <c r="A430" t="s">
        <v>4455</v>
      </c>
      <c r="C430" t="s">
        <v>3326</v>
      </c>
      <c r="D430" t="s">
        <v>4456</v>
      </c>
      <c r="E430" t="s">
        <v>4457</v>
      </c>
      <c r="F430" t="s">
        <v>4458</v>
      </c>
      <c r="G430">
        <v>3</v>
      </c>
      <c r="J430" t="s">
        <v>3342</v>
      </c>
      <c r="K430" s="5" t="s">
        <v>3343</v>
      </c>
      <c r="AB430">
        <v>1</v>
      </c>
      <c r="AC430">
        <v>1</v>
      </c>
      <c r="AY430" s="5"/>
      <c r="BD430">
        <v>1</v>
      </c>
      <c r="BO430" s="7" t="s">
        <v>4459</v>
      </c>
      <c r="BR430" t="s">
        <v>4460</v>
      </c>
      <c r="BT430">
        <v>30</v>
      </c>
      <c r="BV430">
        <v>0</v>
      </c>
      <c r="BW430">
        <v>15</v>
      </c>
      <c r="BX430">
        <v>1</v>
      </c>
      <c r="BY430" t="s">
        <v>3497</v>
      </c>
      <c r="BZ430"/>
      <c r="CA430"/>
      <c r="CB430" s="5"/>
      <c r="CC430" s="5"/>
      <c r="CD430" s="5"/>
      <c r="CE430" s="5"/>
      <c r="CF430" s="5"/>
      <c r="CH430" s="5"/>
      <c r="CI430" s="5"/>
      <c r="CJ430" s="5"/>
      <c r="CK430" s="5"/>
      <c r="CL430" s="5"/>
      <c r="CM430" s="5"/>
      <c r="CN430" s="9" t="s">
        <v>4461</v>
      </c>
      <c r="CO430" t="s">
        <v>4462</v>
      </c>
      <c r="CR430">
        <v>30</v>
      </c>
    </row>
    <row r="431" spans="1:103" x14ac:dyDescent="0.25">
      <c r="A431" t="s">
        <v>4463</v>
      </c>
      <c r="C431" t="s">
        <v>3416</v>
      </c>
      <c r="J431" t="s">
        <v>3445</v>
      </c>
      <c r="K431" s="5" t="s">
        <v>3344</v>
      </c>
      <c r="O431" t="s">
        <v>4464</v>
      </c>
      <c r="AC431">
        <v>2</v>
      </c>
      <c r="AD431">
        <v>1</v>
      </c>
      <c r="AO431" t="s">
        <v>3417</v>
      </c>
      <c r="AT431" t="s">
        <v>3500</v>
      </c>
      <c r="AX431" t="s">
        <v>3419</v>
      </c>
      <c r="AZ431">
        <v>1</v>
      </c>
      <c r="BD431">
        <v>1</v>
      </c>
      <c r="BP431" s="7" t="s">
        <v>4426</v>
      </c>
      <c r="CB431" t="s">
        <v>747</v>
      </c>
      <c r="CG431" t="s">
        <v>3410</v>
      </c>
      <c r="CH431" t="s">
        <v>4452</v>
      </c>
      <c r="CI431" t="s">
        <v>3412</v>
      </c>
      <c r="CN431" s="9" t="s">
        <v>4428</v>
      </c>
      <c r="CO431">
        <v>155</v>
      </c>
      <c r="CR431">
        <v>3</v>
      </c>
      <c r="CX431" t="s">
        <v>4453</v>
      </c>
      <c r="CY431" t="s">
        <v>4454</v>
      </c>
    </row>
    <row r="432" spans="1:103" x14ac:dyDescent="0.25">
      <c r="A432" t="s">
        <v>4460</v>
      </c>
      <c r="C432" t="s">
        <v>3326</v>
      </c>
      <c r="J432" t="s">
        <v>3342</v>
      </c>
      <c r="K432" s="5" t="s">
        <v>3343</v>
      </c>
      <c r="AB432">
        <v>1</v>
      </c>
      <c r="AC432">
        <v>1</v>
      </c>
      <c r="AY432" s="5"/>
      <c r="BD432">
        <v>1</v>
      </c>
      <c r="BO432" s="7" t="s">
        <v>4463</v>
      </c>
      <c r="BT432">
        <v>9999</v>
      </c>
      <c r="BV432">
        <v>0</v>
      </c>
      <c r="BW432">
        <v>15</v>
      </c>
      <c r="BX432">
        <v>1</v>
      </c>
      <c r="BY432" t="s">
        <v>3497</v>
      </c>
      <c r="BZ432"/>
      <c r="CA432"/>
      <c r="CB432" s="5"/>
      <c r="CC432" s="5"/>
      <c r="CD432" s="5"/>
      <c r="CE432" s="5"/>
      <c r="CF432" s="5"/>
      <c r="CH432" s="5"/>
      <c r="CI432" s="5"/>
      <c r="CJ432" s="5"/>
      <c r="CK432" s="5"/>
      <c r="CL432" s="5"/>
      <c r="CM432" s="5"/>
      <c r="CN432" s="9" t="s">
        <v>4465</v>
      </c>
      <c r="CO432" t="s">
        <v>4466</v>
      </c>
      <c r="CR432">
        <v>9999</v>
      </c>
    </row>
    <row r="433" spans="1:108" x14ac:dyDescent="0.25">
      <c r="AY433" s="5"/>
      <c r="BV433"/>
      <c r="BW433"/>
      <c r="BX433"/>
      <c r="BY433"/>
      <c r="BZ433"/>
      <c r="CA433"/>
      <c r="CB433" s="5"/>
      <c r="CC433" s="5"/>
      <c r="CD433" s="5"/>
      <c r="CE433" s="5"/>
      <c r="CF433" s="5"/>
      <c r="CH433" s="5"/>
      <c r="CI433" s="5"/>
      <c r="CJ433" s="5"/>
      <c r="CK433" s="5"/>
      <c r="CL433" s="5"/>
      <c r="CM433" s="5"/>
    </row>
    <row r="434" spans="1:108" x14ac:dyDescent="0.25">
      <c r="A434" t="s">
        <v>4467</v>
      </c>
      <c r="C434" t="s">
        <v>3326</v>
      </c>
      <c r="AC434">
        <v>2</v>
      </c>
      <c r="AD434">
        <v>1</v>
      </c>
      <c r="AO434" t="s">
        <v>3417</v>
      </c>
      <c r="AP434" t="s">
        <v>3425</v>
      </c>
      <c r="AT434" t="s">
        <v>3500</v>
      </c>
      <c r="AX434" t="s">
        <v>3419</v>
      </c>
      <c r="AZ434">
        <v>1</v>
      </c>
      <c r="BD434">
        <v>1</v>
      </c>
      <c r="CB434" t="s">
        <v>136</v>
      </c>
      <c r="CG434" t="s">
        <v>3410</v>
      </c>
      <c r="CH434" t="s">
        <v>4468</v>
      </c>
      <c r="CI434" t="s">
        <v>3412</v>
      </c>
      <c r="CX434" t="s">
        <v>4469</v>
      </c>
      <c r="CY434" t="s">
        <v>4470</v>
      </c>
    </row>
    <row r="435" spans="1:108" x14ac:dyDescent="0.25">
      <c r="A435" t="s">
        <v>4471</v>
      </c>
      <c r="C435" t="s">
        <v>3326</v>
      </c>
      <c r="D435" t="s">
        <v>4472</v>
      </c>
      <c r="E435" t="s">
        <v>4473</v>
      </c>
      <c r="F435" t="s">
        <v>4474</v>
      </c>
      <c r="G435">
        <v>3</v>
      </c>
      <c r="J435" t="s">
        <v>3342</v>
      </c>
      <c r="K435" s="5" t="s">
        <v>3344</v>
      </c>
      <c r="AC435">
        <v>2</v>
      </c>
      <c r="AD435">
        <v>1</v>
      </c>
      <c r="AO435" t="s">
        <v>3417</v>
      </c>
      <c r="AP435" t="s">
        <v>3425</v>
      </c>
      <c r="AT435" t="s">
        <v>3500</v>
      </c>
      <c r="AX435" t="s">
        <v>3419</v>
      </c>
      <c r="AZ435">
        <v>1.45</v>
      </c>
      <c r="BD435">
        <v>1</v>
      </c>
      <c r="BE435">
        <v>2</v>
      </c>
      <c r="BF435">
        <v>0.01</v>
      </c>
      <c r="BT435">
        <v>0.3</v>
      </c>
      <c r="BV435" s="8">
        <v>0</v>
      </c>
      <c r="BW435" s="8">
        <v>4</v>
      </c>
      <c r="BX435" s="8">
        <v>1</v>
      </c>
      <c r="BY435" s="8" t="s">
        <v>3497</v>
      </c>
      <c r="CB435" t="s">
        <v>136</v>
      </c>
      <c r="CG435" t="s">
        <v>3410</v>
      </c>
      <c r="CH435" t="s">
        <v>4468</v>
      </c>
      <c r="CI435" t="s">
        <v>3412</v>
      </c>
      <c r="CX435" t="s">
        <v>4475</v>
      </c>
      <c r="CY435" t="s">
        <v>4476</v>
      </c>
    </row>
    <row r="436" spans="1:108" x14ac:dyDescent="0.25">
      <c r="A436" t="s">
        <v>4477</v>
      </c>
      <c r="C436" t="s">
        <v>3326</v>
      </c>
      <c r="K436" s="5" t="s">
        <v>3314</v>
      </c>
      <c r="L436" s="5" t="s">
        <v>3330</v>
      </c>
      <c r="AC436">
        <v>1</v>
      </c>
      <c r="AG436" t="s">
        <v>3316</v>
      </c>
      <c r="AH436">
        <v>1</v>
      </c>
      <c r="AY436" s="5"/>
      <c r="BD436">
        <v>1</v>
      </c>
      <c r="BV436"/>
      <c r="BW436"/>
      <c r="BX436"/>
      <c r="BY436"/>
      <c r="BZ436"/>
      <c r="CA436"/>
      <c r="CB436" s="5"/>
      <c r="CC436" s="5"/>
      <c r="CD436" s="5"/>
      <c r="CE436" s="5"/>
      <c r="CF436" s="5"/>
      <c r="CH436" s="5"/>
      <c r="CI436" s="5"/>
      <c r="CJ436" s="5"/>
      <c r="CK436" s="5"/>
      <c r="CL436" s="5"/>
      <c r="CM436" s="5"/>
      <c r="CN436" s="9" t="s">
        <v>3489</v>
      </c>
      <c r="CO436">
        <v>18</v>
      </c>
      <c r="CR436">
        <v>99999</v>
      </c>
    </row>
    <row r="437" spans="1:108" x14ac:dyDescent="0.25">
      <c r="A437" t="s">
        <v>4478</v>
      </c>
      <c r="C437" t="s">
        <v>3326</v>
      </c>
      <c r="K437" s="5" t="s">
        <v>3314</v>
      </c>
      <c r="L437" s="5" t="s">
        <v>3414</v>
      </c>
      <c r="AC437">
        <v>1</v>
      </c>
      <c r="AG437" t="s">
        <v>3316</v>
      </c>
      <c r="AY437" s="5"/>
      <c r="BD437">
        <v>1</v>
      </c>
      <c r="BV437"/>
      <c r="BW437"/>
      <c r="BX437"/>
      <c r="BY437"/>
      <c r="BZ437"/>
      <c r="CA437"/>
      <c r="CB437" s="5"/>
      <c r="CC437" s="5"/>
      <c r="CD437" s="5"/>
      <c r="CE437" s="5"/>
      <c r="CF437" s="5"/>
      <c r="CH437" s="5"/>
      <c r="CI437" s="5"/>
      <c r="CJ437" s="5"/>
      <c r="CK437" s="5"/>
      <c r="CL437" s="5"/>
      <c r="CM437" s="5"/>
      <c r="CN437" s="9" t="s">
        <v>4479</v>
      </c>
      <c r="CO437" t="s">
        <v>4480</v>
      </c>
      <c r="CR437">
        <v>99999</v>
      </c>
    </row>
    <row r="438" spans="1:108" x14ac:dyDescent="0.25">
      <c r="A438" t="s">
        <v>4481</v>
      </c>
      <c r="C438" t="s">
        <v>3326</v>
      </c>
      <c r="K438" s="5" t="s">
        <v>3344</v>
      </c>
      <c r="N438" s="5">
        <v>1</v>
      </c>
      <c r="AC438">
        <v>1</v>
      </c>
      <c r="AG438" t="s">
        <v>3837</v>
      </c>
      <c r="AO438" t="s">
        <v>3975</v>
      </c>
      <c r="AV438">
        <v>99</v>
      </c>
      <c r="AY438" s="5"/>
      <c r="BD438">
        <v>1</v>
      </c>
      <c r="BV438"/>
      <c r="BW438"/>
      <c r="BX438"/>
      <c r="BY438"/>
      <c r="BZ438"/>
      <c r="CA438"/>
      <c r="CB438" s="5"/>
      <c r="CC438" s="5"/>
      <c r="CD438" s="5"/>
      <c r="CE438" s="5"/>
      <c r="CF438" s="5"/>
      <c r="CH438" s="5"/>
      <c r="CI438" s="5"/>
      <c r="CJ438" s="5"/>
      <c r="CK438" s="5"/>
      <c r="CL438" s="5"/>
      <c r="CM438" s="5"/>
      <c r="CN438" s="9" t="s">
        <v>4479</v>
      </c>
      <c r="CO438" t="s">
        <v>4480</v>
      </c>
      <c r="CR438">
        <v>99999</v>
      </c>
    </row>
    <row r="439" spans="1:108" x14ac:dyDescent="0.25">
      <c r="A439" t="s">
        <v>4482</v>
      </c>
      <c r="C439" t="s">
        <v>3326</v>
      </c>
      <c r="D439" t="s">
        <v>4483</v>
      </c>
      <c r="E439" t="s">
        <v>4484</v>
      </c>
      <c r="F439" t="s">
        <v>4485</v>
      </c>
      <c r="G439">
        <v>3</v>
      </c>
      <c r="J439" t="s">
        <v>3445</v>
      </c>
      <c r="K439" s="5" t="s">
        <v>3343</v>
      </c>
      <c r="AC439">
        <v>2</v>
      </c>
      <c r="AD439">
        <v>1</v>
      </c>
      <c r="AO439" t="s">
        <v>3417</v>
      </c>
      <c r="AP439" t="s">
        <v>3425</v>
      </c>
      <c r="AT439" t="s">
        <v>3500</v>
      </c>
      <c r="AX439" t="s">
        <v>3419</v>
      </c>
      <c r="AZ439">
        <v>1.25</v>
      </c>
      <c r="BD439">
        <v>1</v>
      </c>
      <c r="BE439">
        <v>3</v>
      </c>
      <c r="BF439">
        <v>0.01</v>
      </c>
      <c r="BO439" s="7" t="s">
        <v>4486</v>
      </c>
      <c r="BT439">
        <v>15</v>
      </c>
      <c r="BV439" s="8">
        <v>25</v>
      </c>
      <c r="BW439" s="8">
        <v>35</v>
      </c>
      <c r="BX439" s="8">
        <v>1</v>
      </c>
      <c r="BY439" s="8" t="s">
        <v>3344</v>
      </c>
      <c r="CB439" t="s">
        <v>136</v>
      </c>
      <c r="CG439" t="s">
        <v>3410</v>
      </c>
      <c r="CH439" t="s">
        <v>4468</v>
      </c>
      <c r="CI439" t="s">
        <v>3412</v>
      </c>
      <c r="CX439" t="s">
        <v>4469</v>
      </c>
      <c r="CY439" t="s">
        <v>4470</v>
      </c>
    </row>
    <row r="440" spans="1:108" x14ac:dyDescent="0.25">
      <c r="A440" t="s">
        <v>4486</v>
      </c>
      <c r="C440" t="s">
        <v>3326</v>
      </c>
      <c r="K440" s="5" t="s">
        <v>3314</v>
      </c>
      <c r="L440" s="5" t="s">
        <v>3452</v>
      </c>
      <c r="AC440">
        <v>1</v>
      </c>
      <c r="AY440" s="5"/>
      <c r="BD440">
        <v>1</v>
      </c>
      <c r="CB440" s="5"/>
      <c r="CC440" s="5"/>
      <c r="CD440" s="5"/>
      <c r="CE440" s="5"/>
      <c r="CF440" s="5"/>
      <c r="CH440" s="5"/>
      <c r="CI440" s="5"/>
      <c r="CJ440" s="5"/>
      <c r="CK440" s="5"/>
      <c r="CL440" s="5"/>
      <c r="CM440" s="5"/>
      <c r="CN440" s="9" t="s">
        <v>4487</v>
      </c>
      <c r="CR440">
        <v>15</v>
      </c>
      <c r="DD440">
        <v>1</v>
      </c>
    </row>
    <row r="441" spans="1:108" x14ac:dyDescent="0.25">
      <c r="A441" t="s">
        <v>4488</v>
      </c>
      <c r="C441" t="s">
        <v>3326</v>
      </c>
      <c r="D441" t="s">
        <v>4489</v>
      </c>
      <c r="E441" t="s">
        <v>4490</v>
      </c>
      <c r="F441" t="s">
        <v>4491</v>
      </c>
      <c r="G441">
        <v>3</v>
      </c>
      <c r="J441" t="s">
        <v>3445</v>
      </c>
      <c r="K441" s="5" t="s">
        <v>3344</v>
      </c>
      <c r="W441" s="5">
        <v>1</v>
      </c>
      <c r="AC441">
        <v>2</v>
      </c>
      <c r="AD441">
        <v>1</v>
      </c>
      <c r="AO441" t="s">
        <v>3417</v>
      </c>
      <c r="AP441" t="s">
        <v>3425</v>
      </c>
      <c r="AT441" t="s">
        <v>3500</v>
      </c>
      <c r="AX441" t="s">
        <v>3419</v>
      </c>
      <c r="AZ441">
        <v>1.1000000000000001</v>
      </c>
      <c r="BD441">
        <v>1</v>
      </c>
      <c r="BE441">
        <v>4</v>
      </c>
      <c r="BF441">
        <v>0.01</v>
      </c>
      <c r="BO441" s="7" t="s">
        <v>4492</v>
      </c>
      <c r="BT441">
        <v>15</v>
      </c>
      <c r="BV441" s="8">
        <v>20</v>
      </c>
      <c r="BW441" s="8">
        <v>30</v>
      </c>
      <c r="BX441" s="8">
        <v>1</v>
      </c>
      <c r="BY441" s="8" t="s">
        <v>3344</v>
      </c>
      <c r="CB441" t="s">
        <v>136</v>
      </c>
      <c r="CG441" t="s">
        <v>3410</v>
      </c>
      <c r="CH441" t="s">
        <v>4468</v>
      </c>
      <c r="CI441" t="s">
        <v>3412</v>
      </c>
      <c r="CX441" t="s">
        <v>4469</v>
      </c>
      <c r="CY441" t="s">
        <v>4470</v>
      </c>
    </row>
    <row r="442" spans="1:108" x14ac:dyDescent="0.25">
      <c r="A442" t="s">
        <v>4492</v>
      </c>
      <c r="C442" t="s">
        <v>3326</v>
      </c>
      <c r="K442" s="5" t="s">
        <v>3314</v>
      </c>
      <c r="L442" s="5" t="s">
        <v>3452</v>
      </c>
      <c r="AC442">
        <v>1</v>
      </c>
      <c r="AY442" s="5"/>
      <c r="BD442">
        <v>1</v>
      </c>
      <c r="CB442" s="5"/>
      <c r="CC442" s="5"/>
      <c r="CD442" s="5"/>
      <c r="CE442" s="5"/>
      <c r="CF442" s="5"/>
      <c r="CH442" s="5"/>
      <c r="CI442" s="5"/>
      <c r="CJ442" s="5"/>
      <c r="CK442" s="5"/>
      <c r="CL442" s="5"/>
      <c r="CM442" s="5"/>
      <c r="CN442" s="9" t="s">
        <v>4493</v>
      </c>
      <c r="CO442">
        <v>-0.22</v>
      </c>
      <c r="CR442">
        <v>15</v>
      </c>
      <c r="DD442">
        <v>1</v>
      </c>
    </row>
    <row r="444" spans="1:108" x14ac:dyDescent="0.25">
      <c r="A444" t="s">
        <v>4494</v>
      </c>
      <c r="C444" t="s">
        <v>3326</v>
      </c>
      <c r="K444" s="5" t="s">
        <v>3344</v>
      </c>
      <c r="Y444">
        <v>1</v>
      </c>
      <c r="AC444">
        <v>2</v>
      </c>
      <c r="AD444">
        <v>1</v>
      </c>
      <c r="AT444" t="s">
        <v>4495</v>
      </c>
      <c r="AX444" t="s">
        <v>3432</v>
      </c>
      <c r="AY444" s="5"/>
      <c r="AZ444">
        <v>1</v>
      </c>
      <c r="BD444">
        <v>99</v>
      </c>
      <c r="CB444" s="5" t="s">
        <v>136</v>
      </c>
      <c r="CC444" s="5"/>
      <c r="CD444" s="5" t="s">
        <v>3603</v>
      </c>
      <c r="CE444" s="5"/>
      <c r="CF444" s="5"/>
      <c r="CG444" t="s">
        <v>3410</v>
      </c>
      <c r="CH444" s="5"/>
      <c r="CI444" s="5"/>
      <c r="CJ444" s="5"/>
      <c r="CK444" s="5"/>
      <c r="CL444" s="5"/>
      <c r="CM444" s="5"/>
      <c r="CX444" t="s">
        <v>4496</v>
      </c>
    </row>
    <row r="445" spans="1:108" x14ac:dyDescent="0.25">
      <c r="A445" t="s">
        <v>4497</v>
      </c>
      <c r="C445" t="s">
        <v>3326</v>
      </c>
      <c r="D445" t="s">
        <v>4498</v>
      </c>
      <c r="K445" s="5" t="s">
        <v>3344</v>
      </c>
      <c r="P445"/>
      <c r="Q445"/>
      <c r="R445"/>
      <c r="S445"/>
      <c r="T445"/>
      <c r="AC445">
        <v>2</v>
      </c>
      <c r="AD445">
        <v>1</v>
      </c>
      <c r="AO445" t="s">
        <v>3417</v>
      </c>
      <c r="AW445" s="6">
        <v>1</v>
      </c>
      <c r="BD445">
        <v>99</v>
      </c>
      <c r="BS445">
        <v>0.01</v>
      </c>
      <c r="CN445" s="9" t="s">
        <v>3526</v>
      </c>
      <c r="CO445">
        <v>-44</v>
      </c>
      <c r="CR445">
        <v>99999</v>
      </c>
      <c r="CT445">
        <v>1</v>
      </c>
    </row>
    <row r="446" spans="1:108" x14ac:dyDescent="0.25">
      <c r="A446" t="s">
        <v>4499</v>
      </c>
      <c r="C446" t="s">
        <v>3512</v>
      </c>
      <c r="D446" t="s">
        <v>4500</v>
      </c>
      <c r="K446" s="5" t="s">
        <v>3344</v>
      </c>
      <c r="AC446">
        <v>1</v>
      </c>
      <c r="AG446" t="s">
        <v>3316</v>
      </c>
      <c r="BD446">
        <v>1</v>
      </c>
      <c r="BS446">
        <v>5.5</v>
      </c>
      <c r="CU446" t="s">
        <v>4351</v>
      </c>
    </row>
    <row r="447" spans="1:108" x14ac:dyDescent="0.25">
      <c r="A447" t="s">
        <v>4501</v>
      </c>
      <c r="C447" t="s">
        <v>3326</v>
      </c>
      <c r="D447" t="s">
        <v>4502</v>
      </c>
      <c r="E447" t="s">
        <v>4503</v>
      </c>
      <c r="F447" t="s">
        <v>4504</v>
      </c>
      <c r="G447">
        <v>3</v>
      </c>
      <c r="J447" t="s">
        <v>3342</v>
      </c>
      <c r="K447" s="5" t="s">
        <v>3343</v>
      </c>
      <c r="AC447">
        <v>1</v>
      </c>
      <c r="AY447" s="5"/>
      <c r="BD447">
        <v>1</v>
      </c>
      <c r="BT447">
        <v>20</v>
      </c>
      <c r="BV447" s="8">
        <v>20</v>
      </c>
      <c r="BW447" s="8">
        <v>40</v>
      </c>
      <c r="BX447" s="8">
        <v>1</v>
      </c>
      <c r="BY447" s="8" t="s">
        <v>3344</v>
      </c>
      <c r="CB447" s="5"/>
      <c r="CC447" s="5"/>
      <c r="CD447" s="5"/>
      <c r="CE447" s="5"/>
      <c r="CF447" s="5"/>
      <c r="CH447" s="5"/>
      <c r="CI447" s="5"/>
      <c r="CJ447" s="5"/>
      <c r="CK447" s="5"/>
      <c r="CL447" s="5"/>
      <c r="CM447" s="5"/>
      <c r="CN447" s="9" t="s">
        <v>4501</v>
      </c>
      <c r="CO447" t="s">
        <v>4505</v>
      </c>
      <c r="CR447">
        <v>20</v>
      </c>
    </row>
    <row r="448" spans="1:108" x14ac:dyDescent="0.25">
      <c r="A448" t="s">
        <v>4506</v>
      </c>
      <c r="C448" t="s">
        <v>3326</v>
      </c>
      <c r="D448" t="s">
        <v>4507</v>
      </c>
      <c r="E448" t="s">
        <v>4508</v>
      </c>
      <c r="F448" t="s">
        <v>4509</v>
      </c>
      <c r="G448">
        <v>3</v>
      </c>
      <c r="J448" t="s">
        <v>3342</v>
      </c>
      <c r="K448" s="5" t="s">
        <v>3344</v>
      </c>
      <c r="AC448">
        <v>2</v>
      </c>
      <c r="AD448">
        <v>1</v>
      </c>
      <c r="AT448" t="s">
        <v>4495</v>
      </c>
      <c r="AX448" t="s">
        <v>3432</v>
      </c>
      <c r="AY448" s="5"/>
      <c r="AZ448">
        <v>2.5</v>
      </c>
      <c r="BD448">
        <v>99</v>
      </c>
      <c r="BT448">
        <v>0.2</v>
      </c>
      <c r="BV448" s="8">
        <v>0</v>
      </c>
      <c r="BW448" s="8">
        <v>7</v>
      </c>
      <c r="BX448" s="8">
        <v>3</v>
      </c>
      <c r="BY448" s="8" t="s">
        <v>3344</v>
      </c>
      <c r="CB448" s="5" t="s">
        <v>136</v>
      </c>
      <c r="CC448" s="5">
        <v>1.3</v>
      </c>
      <c r="CD448" s="5"/>
      <c r="CE448" s="5"/>
      <c r="CF448" s="5"/>
      <c r="CG448" t="s">
        <v>3410</v>
      </c>
      <c r="CH448" s="5"/>
      <c r="CI448" s="5"/>
      <c r="CJ448" s="5"/>
      <c r="CK448" s="5"/>
      <c r="CL448" s="5"/>
      <c r="CM448" s="5"/>
      <c r="CN448" s="9" t="s">
        <v>4510</v>
      </c>
      <c r="CO448">
        <v>-300</v>
      </c>
      <c r="CP448">
        <v>0.3</v>
      </c>
      <c r="CR448">
        <v>3</v>
      </c>
      <c r="CW448" t="s">
        <v>4511</v>
      </c>
      <c r="CX448" t="s">
        <v>4512</v>
      </c>
    </row>
    <row r="449" spans="1:108" x14ac:dyDescent="0.25">
      <c r="A449" t="s">
        <v>4513</v>
      </c>
      <c r="C449" t="s">
        <v>3326</v>
      </c>
      <c r="D449" t="s">
        <v>4514</v>
      </c>
      <c r="E449" t="s">
        <v>4515</v>
      </c>
      <c r="F449" t="s">
        <v>4516</v>
      </c>
      <c r="G449">
        <v>3</v>
      </c>
      <c r="J449" t="s">
        <v>3445</v>
      </c>
      <c r="K449" s="5" t="s">
        <v>3343</v>
      </c>
      <c r="AB449">
        <v>1</v>
      </c>
      <c r="AC449">
        <v>2</v>
      </c>
      <c r="AT449" t="s">
        <v>4495</v>
      </c>
      <c r="AX449" t="s">
        <v>3432</v>
      </c>
      <c r="AY449" s="5"/>
      <c r="AZ449">
        <v>1.4</v>
      </c>
      <c r="BD449">
        <v>99</v>
      </c>
      <c r="BO449" s="7" t="s">
        <v>4517</v>
      </c>
      <c r="BS449">
        <v>1</v>
      </c>
      <c r="BT449">
        <v>20</v>
      </c>
      <c r="BV449" s="8">
        <v>0</v>
      </c>
      <c r="BW449" s="8">
        <v>28</v>
      </c>
      <c r="BX449" s="8">
        <v>1</v>
      </c>
      <c r="BY449" s="8" t="s">
        <v>3344</v>
      </c>
      <c r="CB449" t="s">
        <v>4518</v>
      </c>
      <c r="CD449" t="s">
        <v>4519</v>
      </c>
      <c r="CE449" t="s">
        <v>4518</v>
      </c>
      <c r="CF449" t="s">
        <v>4519</v>
      </c>
      <c r="CG449" t="s">
        <v>3410</v>
      </c>
      <c r="CH449" s="5"/>
      <c r="CI449" s="5"/>
      <c r="CJ449" s="5"/>
      <c r="CK449" s="5"/>
      <c r="CL449" s="5"/>
      <c r="CM449" s="5"/>
      <c r="CN449" s="9" t="s">
        <v>3526</v>
      </c>
      <c r="CO449">
        <v>-20</v>
      </c>
      <c r="CR449">
        <v>1</v>
      </c>
      <c r="DB449" t="s">
        <v>4520</v>
      </c>
      <c r="DC449" t="s">
        <v>4521</v>
      </c>
    </row>
    <row r="450" spans="1:108" x14ac:dyDescent="0.25">
      <c r="A450" t="s">
        <v>4522</v>
      </c>
      <c r="C450" t="s">
        <v>3326</v>
      </c>
      <c r="J450" t="s">
        <v>3445</v>
      </c>
      <c r="K450" s="5" t="s">
        <v>3344</v>
      </c>
      <c r="P450"/>
      <c r="Q450"/>
      <c r="R450"/>
      <c r="S450"/>
      <c r="T450"/>
      <c r="AC450">
        <v>1</v>
      </c>
      <c r="AX450" t="s">
        <v>3987</v>
      </c>
      <c r="AY450" s="5"/>
      <c r="AZ450">
        <v>0.02</v>
      </c>
      <c r="BA450">
        <v>1</v>
      </c>
      <c r="BB450">
        <v>1</v>
      </c>
      <c r="BD450">
        <v>1</v>
      </c>
      <c r="BS450">
        <v>0.01</v>
      </c>
      <c r="CB450" s="5"/>
      <c r="CC450" s="5"/>
      <c r="CD450" s="5"/>
      <c r="CE450" s="5"/>
      <c r="CF450" s="5"/>
      <c r="CH450" s="5"/>
      <c r="CI450" s="5"/>
      <c r="CJ450" s="5"/>
      <c r="CK450" s="5"/>
      <c r="CL450" s="5"/>
      <c r="CM450" s="5"/>
    </row>
    <row r="451" spans="1:108" x14ac:dyDescent="0.25">
      <c r="A451" t="s">
        <v>4523</v>
      </c>
      <c r="C451" t="s">
        <v>3326</v>
      </c>
      <c r="K451" s="5" t="s">
        <v>3314</v>
      </c>
      <c r="L451" s="5" t="s">
        <v>3452</v>
      </c>
      <c r="AC451">
        <v>1</v>
      </c>
      <c r="AY451" s="5"/>
      <c r="BD451">
        <v>1</v>
      </c>
      <c r="CB451" s="5"/>
      <c r="CC451" s="5"/>
      <c r="CD451" s="5"/>
      <c r="CE451" s="5"/>
      <c r="CF451" s="5"/>
      <c r="CH451" s="5"/>
      <c r="CI451" s="5"/>
      <c r="CJ451" s="5"/>
      <c r="CK451" s="5"/>
      <c r="CL451" s="5"/>
      <c r="CM451" s="5"/>
      <c r="CN451" s="9" t="s">
        <v>4524</v>
      </c>
      <c r="CR451">
        <v>20</v>
      </c>
      <c r="DD451">
        <v>1</v>
      </c>
    </row>
    <row r="452" spans="1:108" x14ac:dyDescent="0.25">
      <c r="P452"/>
      <c r="Q452"/>
      <c r="R452"/>
      <c r="S452"/>
      <c r="T452"/>
      <c r="AY452" s="5"/>
      <c r="CB452" s="5"/>
      <c r="CC452" s="5"/>
      <c r="CD452" s="5"/>
      <c r="CE452" s="5"/>
      <c r="CF452" s="5"/>
      <c r="CH452" s="5"/>
      <c r="CI452" s="5"/>
      <c r="CJ452" s="5"/>
      <c r="CK452" s="5"/>
      <c r="CL452" s="5"/>
      <c r="CM452" s="5"/>
    </row>
    <row r="453" spans="1:108" x14ac:dyDescent="0.25">
      <c r="A453" t="s">
        <v>4525</v>
      </c>
      <c r="C453" t="s">
        <v>3326</v>
      </c>
      <c r="K453" s="5" t="s">
        <v>3344</v>
      </c>
      <c r="AC453">
        <v>2</v>
      </c>
      <c r="AD453">
        <v>1</v>
      </c>
      <c r="AO453" t="s">
        <v>3417</v>
      </c>
      <c r="AT453" t="s">
        <v>3409</v>
      </c>
      <c r="AX453" t="s">
        <v>3432</v>
      </c>
      <c r="AZ453">
        <v>1</v>
      </c>
      <c r="BD453">
        <v>1</v>
      </c>
      <c r="CB453" t="s">
        <v>136</v>
      </c>
      <c r="CG453" t="s">
        <v>3410</v>
      </c>
      <c r="CH453" t="s">
        <v>4526</v>
      </c>
      <c r="CI453" t="s">
        <v>3412</v>
      </c>
      <c r="CX453" t="s">
        <v>4527</v>
      </c>
      <c r="CY453" t="s">
        <v>4528</v>
      </c>
    </row>
    <row r="454" spans="1:108" x14ac:dyDescent="0.25">
      <c r="A454" t="s">
        <v>4529</v>
      </c>
      <c r="C454" t="s">
        <v>3326</v>
      </c>
      <c r="K454" s="5" t="s">
        <v>3314</v>
      </c>
      <c r="L454" s="5" t="s">
        <v>3414</v>
      </c>
      <c r="AC454">
        <v>1</v>
      </c>
      <c r="AI454" t="s">
        <v>361</v>
      </c>
      <c r="AY454" s="5"/>
      <c r="BD454">
        <v>99</v>
      </c>
      <c r="BO454" s="7" t="s">
        <v>4530</v>
      </c>
      <c r="BV454"/>
      <c r="BW454"/>
      <c r="BX454"/>
      <c r="BY454"/>
      <c r="BZ454"/>
      <c r="CA454"/>
      <c r="CB454" s="5"/>
      <c r="CC454" s="5"/>
      <c r="CD454" s="5"/>
      <c r="CE454" s="5"/>
      <c r="CF454" s="5"/>
      <c r="CH454" s="5"/>
      <c r="CI454" s="5"/>
      <c r="CJ454" s="5"/>
      <c r="CK454" s="5"/>
      <c r="CL454" s="5"/>
      <c r="CM454" s="5"/>
      <c r="CN454" s="9" t="s">
        <v>3538</v>
      </c>
      <c r="CO454">
        <v>0.16</v>
      </c>
      <c r="CR454">
        <v>99999</v>
      </c>
      <c r="CT454">
        <v>1</v>
      </c>
    </row>
    <row r="455" spans="1:108" x14ac:dyDescent="0.25">
      <c r="A455" t="s">
        <v>4530</v>
      </c>
      <c r="C455" t="s">
        <v>3326</v>
      </c>
      <c r="K455" s="5" t="s">
        <v>3314</v>
      </c>
      <c r="L455" s="5" t="s">
        <v>3327</v>
      </c>
      <c r="AC455">
        <v>1</v>
      </c>
      <c r="AF455">
        <v>1</v>
      </c>
      <c r="AG455" t="s">
        <v>3837</v>
      </c>
      <c r="AI455" t="s">
        <v>361</v>
      </c>
      <c r="AY455" s="5"/>
      <c r="BD455">
        <v>1</v>
      </c>
      <c r="BV455"/>
      <c r="BW455"/>
      <c r="BX455"/>
      <c r="BY455"/>
      <c r="BZ455"/>
      <c r="CA455"/>
      <c r="CB455" s="5"/>
      <c r="CC455" s="5"/>
      <c r="CD455" s="5"/>
      <c r="CE455" s="5"/>
      <c r="CF455" s="5"/>
      <c r="CH455" s="5"/>
      <c r="CI455" s="5"/>
      <c r="CJ455" s="5"/>
      <c r="CK455" s="5"/>
      <c r="CL455" s="5"/>
      <c r="CM455" s="5"/>
      <c r="CN455" s="9" t="s">
        <v>3538</v>
      </c>
      <c r="CO455">
        <v>0.16</v>
      </c>
      <c r="CR455">
        <v>99999</v>
      </c>
      <c r="CT455">
        <v>1</v>
      </c>
    </row>
    <row r="456" spans="1:108" x14ac:dyDescent="0.25">
      <c r="A456" t="s">
        <v>4531</v>
      </c>
      <c r="C456" t="s">
        <v>3512</v>
      </c>
      <c r="K456" s="5" t="s">
        <v>3314</v>
      </c>
      <c r="L456" s="5" t="s">
        <v>3513</v>
      </c>
      <c r="AC456">
        <v>1</v>
      </c>
      <c r="AG456" t="s">
        <v>3316</v>
      </c>
      <c r="AY456" s="5"/>
      <c r="BD456">
        <v>1</v>
      </c>
      <c r="BV456"/>
      <c r="BW456"/>
      <c r="BX456"/>
      <c r="BY456"/>
      <c r="BZ456"/>
      <c r="CA456"/>
      <c r="CB456" s="5"/>
      <c r="CC456" s="5"/>
      <c r="CD456" s="5"/>
      <c r="CE456" s="5"/>
      <c r="CF456" s="5"/>
      <c r="CH456" s="5"/>
      <c r="CI456" s="5"/>
      <c r="CJ456" s="5"/>
      <c r="CK456" s="5"/>
      <c r="CL456" s="5"/>
      <c r="CM456" s="5"/>
      <c r="CU456" t="s">
        <v>4532</v>
      </c>
      <c r="DD456">
        <v>1</v>
      </c>
    </row>
    <row r="457" spans="1:108" x14ac:dyDescent="0.25">
      <c r="A457" t="s">
        <v>4533</v>
      </c>
      <c r="C457" t="s">
        <v>3326</v>
      </c>
      <c r="D457" t="s">
        <v>4534</v>
      </c>
      <c r="E457" t="s">
        <v>4535</v>
      </c>
      <c r="F457" t="s">
        <v>4536</v>
      </c>
      <c r="G457">
        <v>3</v>
      </c>
      <c r="J457" t="s">
        <v>3445</v>
      </c>
      <c r="K457" s="5" t="s">
        <v>3343</v>
      </c>
      <c r="L457" s="5" t="s">
        <v>3452</v>
      </c>
      <c r="AC457">
        <v>1</v>
      </c>
      <c r="AY457" s="5"/>
      <c r="BD457">
        <v>1</v>
      </c>
      <c r="BR457" t="s">
        <v>4537</v>
      </c>
      <c r="BT457">
        <v>25</v>
      </c>
      <c r="BV457" s="8">
        <v>25</v>
      </c>
      <c r="BW457" s="8">
        <v>35</v>
      </c>
      <c r="BX457" s="8">
        <v>1</v>
      </c>
      <c r="BY457" s="8" t="s">
        <v>3344</v>
      </c>
      <c r="CB457" s="5"/>
      <c r="CC457" s="5"/>
      <c r="CD457" s="5"/>
      <c r="CE457" s="5"/>
      <c r="CF457" s="5"/>
      <c r="CH457" s="5"/>
      <c r="CI457" s="5"/>
      <c r="CJ457" s="5"/>
      <c r="CK457" s="5"/>
      <c r="CL457" s="5"/>
      <c r="CM457" s="5"/>
      <c r="CN457" s="9" t="s">
        <v>3540</v>
      </c>
      <c r="CO457">
        <v>60</v>
      </c>
      <c r="CR457">
        <v>25</v>
      </c>
    </row>
    <row r="458" spans="1:108" x14ac:dyDescent="0.25">
      <c r="A458" t="s">
        <v>4537</v>
      </c>
      <c r="C458" t="s">
        <v>3326</v>
      </c>
      <c r="J458" t="s">
        <v>3445</v>
      </c>
      <c r="K458" s="5" t="s">
        <v>3343</v>
      </c>
      <c r="L458" s="5" t="s">
        <v>3452</v>
      </c>
      <c r="AC458">
        <v>1</v>
      </c>
      <c r="AY458" s="5"/>
      <c r="BD458">
        <v>1</v>
      </c>
      <c r="BT458">
        <v>25</v>
      </c>
      <c r="BV458" s="8">
        <v>0</v>
      </c>
      <c r="BW458" s="8">
        <v>35</v>
      </c>
      <c r="BX458" s="8">
        <v>1</v>
      </c>
      <c r="BY458" s="8" t="s">
        <v>3344</v>
      </c>
      <c r="CB458" s="5"/>
      <c r="CC458" s="5"/>
      <c r="CD458" s="5"/>
      <c r="CE458" s="5"/>
      <c r="CF458" s="5"/>
      <c r="CH458" s="5"/>
      <c r="CI458" s="5"/>
      <c r="CJ458" s="5"/>
      <c r="CK458" s="5"/>
      <c r="CL458" s="5"/>
      <c r="CM458" s="5"/>
      <c r="CN458" s="9" t="s">
        <v>4533</v>
      </c>
      <c r="CO458" t="s">
        <v>3534</v>
      </c>
      <c r="CR458">
        <v>25</v>
      </c>
    </row>
    <row r="459" spans="1:108" x14ac:dyDescent="0.25">
      <c r="A459" t="s">
        <v>4538</v>
      </c>
      <c r="C459" t="s">
        <v>3326</v>
      </c>
      <c r="D459" t="s">
        <v>4539</v>
      </c>
      <c r="E459" t="s">
        <v>4540</v>
      </c>
      <c r="F459" t="s">
        <v>4541</v>
      </c>
      <c r="G459">
        <v>3</v>
      </c>
      <c r="J459" t="s">
        <v>3342</v>
      </c>
      <c r="K459" s="5" t="s">
        <v>3344</v>
      </c>
      <c r="AC459">
        <v>2</v>
      </c>
      <c r="AD459">
        <v>1</v>
      </c>
      <c r="AT459" t="s">
        <v>3409</v>
      </c>
      <c r="AX459" t="s">
        <v>3432</v>
      </c>
      <c r="AY459" s="5"/>
      <c r="AZ459">
        <v>3.7</v>
      </c>
      <c r="BD459">
        <v>1</v>
      </c>
      <c r="BJ459">
        <v>1.5</v>
      </c>
      <c r="BK459">
        <v>1</v>
      </c>
      <c r="BL459">
        <v>0.5</v>
      </c>
      <c r="BT459">
        <v>0.5</v>
      </c>
      <c r="BV459" s="8">
        <v>0</v>
      </c>
      <c r="BW459" s="8">
        <v>5</v>
      </c>
      <c r="BX459" s="8">
        <v>3</v>
      </c>
      <c r="BY459" s="8" t="s">
        <v>3344</v>
      </c>
      <c r="CB459" s="5" t="s">
        <v>136</v>
      </c>
      <c r="CC459" s="5"/>
      <c r="CD459" s="5"/>
      <c r="CE459" s="5"/>
      <c r="CF459" s="5"/>
      <c r="CG459" t="s">
        <v>3410</v>
      </c>
      <c r="CH459" t="s">
        <v>4542</v>
      </c>
      <c r="CI459" t="s">
        <v>3412</v>
      </c>
      <c r="CJ459" s="5"/>
      <c r="CK459" s="5"/>
      <c r="CL459" s="5"/>
      <c r="CM459" s="5"/>
      <c r="CN459" s="9" t="s">
        <v>3526</v>
      </c>
      <c r="CO459">
        <v>-25</v>
      </c>
      <c r="CR459">
        <v>6</v>
      </c>
      <c r="CY459" t="s">
        <v>4543</v>
      </c>
      <c r="CZ459" t="s">
        <v>4544</v>
      </c>
    </row>
    <row r="460" spans="1:108" ht="15" customHeight="1" x14ac:dyDescent="0.25">
      <c r="A460" t="s">
        <v>4545</v>
      </c>
      <c r="C460" t="s">
        <v>3326</v>
      </c>
      <c r="D460" t="s">
        <v>4546</v>
      </c>
      <c r="E460" t="s">
        <v>4547</v>
      </c>
      <c r="F460" t="s">
        <v>4548</v>
      </c>
      <c r="G460">
        <v>3</v>
      </c>
      <c r="J460" t="s">
        <v>3445</v>
      </c>
      <c r="K460" s="5" t="s">
        <v>3343</v>
      </c>
      <c r="AB460">
        <v>1</v>
      </c>
      <c r="AC460">
        <v>2</v>
      </c>
      <c r="AD460">
        <v>1</v>
      </c>
      <c r="AO460" t="s">
        <v>3975</v>
      </c>
      <c r="AT460" t="s">
        <v>4549</v>
      </c>
      <c r="AX460" t="s">
        <v>3432</v>
      </c>
      <c r="AZ460">
        <v>1</v>
      </c>
      <c r="BD460">
        <v>6</v>
      </c>
      <c r="BO460" s="7" t="s">
        <v>4550</v>
      </c>
      <c r="BT460">
        <v>15</v>
      </c>
      <c r="BV460" s="8">
        <v>55</v>
      </c>
      <c r="BW460" s="8">
        <v>80</v>
      </c>
      <c r="BX460" s="8">
        <v>1</v>
      </c>
      <c r="BY460" s="8" t="s">
        <v>3344</v>
      </c>
      <c r="CB460" t="s">
        <v>211</v>
      </c>
      <c r="CE460" t="s">
        <v>516</v>
      </c>
      <c r="CG460" t="s">
        <v>3410</v>
      </c>
      <c r="CH460" t="s">
        <v>4551</v>
      </c>
      <c r="CI460" t="s">
        <v>3412</v>
      </c>
    </row>
    <row r="461" spans="1:108" x14ac:dyDescent="0.25">
      <c r="A461" t="s">
        <v>4550</v>
      </c>
      <c r="C461" t="s">
        <v>3326</v>
      </c>
      <c r="K461" s="5" t="s">
        <v>3314</v>
      </c>
      <c r="L461" s="5" t="s">
        <v>3452</v>
      </c>
      <c r="AC461">
        <v>1</v>
      </c>
      <c r="AY461" s="5"/>
      <c r="BD461">
        <v>1</v>
      </c>
      <c r="CB461" s="5"/>
      <c r="CC461" s="5"/>
      <c r="CD461" s="5"/>
      <c r="CE461" s="5"/>
      <c r="CF461" s="5"/>
      <c r="CH461" s="5"/>
      <c r="CI461" s="5"/>
      <c r="CJ461" s="5"/>
      <c r="CK461" s="5"/>
      <c r="CL461" s="5"/>
      <c r="CM461" s="5"/>
      <c r="CN461" s="9" t="s">
        <v>4550</v>
      </c>
      <c r="CO461" t="s">
        <v>4552</v>
      </c>
      <c r="CR461">
        <v>15</v>
      </c>
      <c r="DD461">
        <v>1</v>
      </c>
    </row>
    <row r="462" spans="1:108" x14ac:dyDescent="0.25">
      <c r="AY462" s="5"/>
      <c r="CB462" s="5"/>
      <c r="CC462" s="5"/>
      <c r="CD462" s="5"/>
      <c r="CE462" s="5"/>
      <c r="CF462" s="5"/>
      <c r="CH462" s="5"/>
      <c r="CI462" s="5"/>
      <c r="CJ462" s="5"/>
      <c r="CK462" s="5"/>
      <c r="CL462" s="5"/>
      <c r="CM462" s="5"/>
    </row>
    <row r="463" spans="1:108" x14ac:dyDescent="0.25">
      <c r="A463" t="s">
        <v>4553</v>
      </c>
      <c r="C463" t="s">
        <v>3326</v>
      </c>
      <c r="K463" s="5" t="s">
        <v>3344</v>
      </c>
      <c r="AC463">
        <v>2</v>
      </c>
      <c r="AD463">
        <v>1</v>
      </c>
      <c r="AO463" t="s">
        <v>3417</v>
      </c>
      <c r="AT463" t="s">
        <v>3483</v>
      </c>
      <c r="AX463" t="s">
        <v>3432</v>
      </c>
      <c r="AZ463">
        <v>1</v>
      </c>
      <c r="BD463">
        <v>1</v>
      </c>
      <c r="CB463" t="s">
        <v>136</v>
      </c>
      <c r="CG463" t="s">
        <v>3410</v>
      </c>
      <c r="CH463" t="s">
        <v>4554</v>
      </c>
      <c r="CI463" t="s">
        <v>3412</v>
      </c>
      <c r="CN463" s="9" t="s">
        <v>3486</v>
      </c>
      <c r="CO463">
        <v>-0.8</v>
      </c>
      <c r="CR463">
        <v>0.8</v>
      </c>
      <c r="CX463" t="s">
        <v>4555</v>
      </c>
      <c r="CY463" t="s">
        <v>4556</v>
      </c>
    </row>
    <row r="464" spans="1:108" x14ac:dyDescent="0.25">
      <c r="A464" t="s">
        <v>4557</v>
      </c>
      <c r="C464" t="s">
        <v>3326</v>
      </c>
      <c r="K464" s="5" t="s">
        <v>3314</v>
      </c>
      <c r="L464" s="5" t="s">
        <v>3513</v>
      </c>
      <c r="AC464">
        <v>1</v>
      </c>
      <c r="AY464" s="5"/>
      <c r="BD464">
        <v>99</v>
      </c>
      <c r="BO464" s="7" t="s">
        <v>4558</v>
      </c>
      <c r="BV464"/>
      <c r="BW464"/>
      <c r="BX464"/>
      <c r="BY464"/>
      <c r="BZ464"/>
      <c r="CA464"/>
      <c r="CB464" s="5"/>
      <c r="CC464" s="5"/>
      <c r="CD464" s="5"/>
      <c r="CE464" s="5"/>
      <c r="CF464" s="5"/>
      <c r="CH464" s="5"/>
      <c r="CI464" s="5"/>
      <c r="CJ464" s="5"/>
      <c r="CK464" s="5"/>
      <c r="CL464" s="5"/>
      <c r="CM464" s="5"/>
      <c r="CN464" s="9" t="s">
        <v>3540</v>
      </c>
      <c r="CO464">
        <v>8</v>
      </c>
      <c r="CR464">
        <v>99999</v>
      </c>
      <c r="CT464">
        <v>1</v>
      </c>
    </row>
    <row r="465" spans="1:107" x14ac:dyDescent="0.25">
      <c r="A465" t="s">
        <v>4558</v>
      </c>
      <c r="C465" t="s">
        <v>3326</v>
      </c>
      <c r="K465" s="5" t="s">
        <v>3314</v>
      </c>
      <c r="L465" s="5" t="s">
        <v>3513</v>
      </c>
      <c r="AC465">
        <v>1</v>
      </c>
      <c r="AF465">
        <v>1</v>
      </c>
      <c r="AG465" t="s">
        <v>3837</v>
      </c>
      <c r="AY465" s="5"/>
      <c r="BD465">
        <v>1</v>
      </c>
      <c r="BV465"/>
      <c r="BW465"/>
      <c r="BX465"/>
      <c r="BY465"/>
      <c r="BZ465"/>
      <c r="CA465"/>
      <c r="CB465" s="5"/>
      <c r="CC465" s="5"/>
      <c r="CD465" s="5"/>
      <c r="CE465" s="5"/>
      <c r="CF465" s="5"/>
      <c r="CH465" s="5"/>
      <c r="CI465" s="5"/>
      <c r="CJ465" s="5"/>
      <c r="CK465" s="5"/>
      <c r="CL465" s="5"/>
      <c r="CM465" s="5"/>
      <c r="CN465" s="9" t="s">
        <v>3540</v>
      </c>
      <c r="CO465">
        <v>8</v>
      </c>
      <c r="CR465">
        <v>99999</v>
      </c>
      <c r="CT465">
        <v>1</v>
      </c>
    </row>
    <row r="466" spans="1:107" x14ac:dyDescent="0.25">
      <c r="A466" t="s">
        <v>4559</v>
      </c>
      <c r="C466" t="s">
        <v>3326</v>
      </c>
      <c r="K466" s="5" t="s">
        <v>3344</v>
      </c>
      <c r="S466" s="5">
        <v>1</v>
      </c>
      <c r="AC466">
        <v>1</v>
      </c>
      <c r="AV466">
        <v>99</v>
      </c>
      <c r="AY466" s="5">
        <v>1</v>
      </c>
      <c r="AZ466">
        <v>25</v>
      </c>
      <c r="BA466">
        <v>1</v>
      </c>
      <c r="BB466">
        <v>2</v>
      </c>
      <c r="BD466">
        <v>99</v>
      </c>
      <c r="BS466">
        <v>1</v>
      </c>
      <c r="BV466"/>
      <c r="BW466"/>
      <c r="BX466"/>
      <c r="BY466"/>
      <c r="BZ466"/>
      <c r="CA466"/>
      <c r="CB466" s="5"/>
      <c r="CC466" s="5"/>
      <c r="CD466" s="5"/>
      <c r="CE466" s="5"/>
      <c r="CF466" s="5"/>
      <c r="CH466" s="5"/>
      <c r="CI466" s="5"/>
      <c r="CJ466" s="5"/>
      <c r="CK466" s="5"/>
      <c r="CL466" s="5"/>
      <c r="CM466" s="5"/>
    </row>
    <row r="467" spans="1:107" x14ac:dyDescent="0.25">
      <c r="A467" t="s">
        <v>4560</v>
      </c>
      <c r="C467" t="s">
        <v>3326</v>
      </c>
      <c r="D467" t="s">
        <v>4561</v>
      </c>
      <c r="E467" t="s">
        <v>4562</v>
      </c>
      <c r="F467" t="s">
        <v>4563</v>
      </c>
      <c r="G467">
        <v>3</v>
      </c>
      <c r="J467" t="s">
        <v>3342</v>
      </c>
      <c r="K467" s="5" t="s">
        <v>3343</v>
      </c>
      <c r="W467" s="5">
        <v>1</v>
      </c>
      <c r="AC467">
        <v>1</v>
      </c>
      <c r="AY467" s="5"/>
      <c r="BD467">
        <v>1</v>
      </c>
      <c r="BT467">
        <v>35</v>
      </c>
      <c r="BV467" s="8">
        <v>0</v>
      </c>
      <c r="BW467" s="8">
        <v>10</v>
      </c>
      <c r="BX467" s="8">
        <v>1</v>
      </c>
      <c r="BY467" s="8" t="s">
        <v>3497</v>
      </c>
      <c r="CB467" s="5"/>
      <c r="CC467" s="5"/>
      <c r="CD467" s="5"/>
      <c r="CE467" s="5"/>
      <c r="CF467" s="5"/>
      <c r="CH467" s="5"/>
      <c r="CI467" s="5"/>
      <c r="CJ467" s="5"/>
      <c r="CK467" s="5"/>
      <c r="CL467" s="5"/>
      <c r="CM467" s="5"/>
      <c r="CN467" s="9" t="s">
        <v>3345</v>
      </c>
      <c r="CO467">
        <v>1.1000000000000001</v>
      </c>
      <c r="CR467">
        <v>35</v>
      </c>
    </row>
    <row r="468" spans="1:107" x14ac:dyDescent="0.25">
      <c r="A468" t="s">
        <v>4564</v>
      </c>
      <c r="C468" t="s">
        <v>3326</v>
      </c>
      <c r="D468" t="s">
        <v>4565</v>
      </c>
      <c r="E468" t="s">
        <v>4566</v>
      </c>
      <c r="F468" t="s">
        <v>4567</v>
      </c>
      <c r="G468">
        <v>3</v>
      </c>
      <c r="J468" t="s">
        <v>3445</v>
      </c>
      <c r="K468" s="5" t="s">
        <v>3343</v>
      </c>
      <c r="AC468">
        <v>2</v>
      </c>
      <c r="AD468">
        <v>1</v>
      </c>
      <c r="AO468" t="s">
        <v>3417</v>
      </c>
      <c r="AT468" t="s">
        <v>3483</v>
      </c>
      <c r="AX468" t="s">
        <v>3432</v>
      </c>
      <c r="AZ468">
        <v>0.45</v>
      </c>
      <c r="BD468">
        <v>1</v>
      </c>
      <c r="BO468" s="7" t="s">
        <v>4568</v>
      </c>
      <c r="BT468">
        <v>30</v>
      </c>
      <c r="BV468" s="8">
        <v>10</v>
      </c>
      <c r="BW468" s="8">
        <v>15</v>
      </c>
      <c r="BX468" s="8">
        <v>1</v>
      </c>
      <c r="BY468" s="8" t="s">
        <v>3344</v>
      </c>
      <c r="CB468" t="s">
        <v>211</v>
      </c>
      <c r="CE468" t="s">
        <v>4569</v>
      </c>
      <c r="CG468" t="s">
        <v>3410</v>
      </c>
      <c r="CH468" t="s">
        <v>4570</v>
      </c>
      <c r="CI468" t="s">
        <v>3412</v>
      </c>
      <c r="CN468" s="9" t="s">
        <v>3486</v>
      </c>
      <c r="CO468">
        <v>-0.8</v>
      </c>
      <c r="CR468">
        <v>0.8</v>
      </c>
      <c r="CY468" t="s">
        <v>4571</v>
      </c>
      <c r="DC468" t="s">
        <v>4572</v>
      </c>
    </row>
    <row r="469" spans="1:107" x14ac:dyDescent="0.25">
      <c r="A469" t="s">
        <v>4573</v>
      </c>
      <c r="C469" t="s">
        <v>3326</v>
      </c>
      <c r="K469" s="5" t="s">
        <v>3314</v>
      </c>
      <c r="L469" s="5" t="s">
        <v>3452</v>
      </c>
      <c r="AC469">
        <v>1</v>
      </c>
      <c r="AY469" s="5"/>
      <c r="BD469">
        <v>1</v>
      </c>
      <c r="CB469" s="5"/>
      <c r="CC469" s="5"/>
      <c r="CD469" s="5"/>
      <c r="CE469" s="5"/>
      <c r="CF469" s="5"/>
      <c r="CH469" s="5"/>
      <c r="CI469" s="5"/>
      <c r="CJ469" s="5"/>
      <c r="CK469" s="5"/>
      <c r="CL469" s="5"/>
      <c r="CM469" s="5"/>
      <c r="CN469" s="9" t="s">
        <v>4574</v>
      </c>
      <c r="CO469">
        <v>-0.85</v>
      </c>
      <c r="CR469">
        <v>30</v>
      </c>
    </row>
    <row r="470" spans="1:107" x14ac:dyDescent="0.25">
      <c r="A470" t="s">
        <v>4575</v>
      </c>
      <c r="C470" t="s">
        <v>3326</v>
      </c>
      <c r="D470" t="s">
        <v>4576</v>
      </c>
      <c r="E470" t="s">
        <v>4577</v>
      </c>
      <c r="F470" t="s">
        <v>4578</v>
      </c>
      <c r="G470">
        <v>3</v>
      </c>
      <c r="J470" t="s">
        <v>3445</v>
      </c>
      <c r="K470" s="5" t="s">
        <v>3343</v>
      </c>
      <c r="Y470">
        <v>1</v>
      </c>
      <c r="AC470">
        <v>2</v>
      </c>
      <c r="AD470">
        <v>1</v>
      </c>
      <c r="AO470" t="s">
        <v>3417</v>
      </c>
      <c r="AT470" t="s">
        <v>4579</v>
      </c>
      <c r="AX470" t="s">
        <v>3432</v>
      </c>
      <c r="AY470" s="5"/>
      <c r="AZ470">
        <v>1</v>
      </c>
      <c r="BD470">
        <v>5</v>
      </c>
      <c r="BO470" s="7" t="s">
        <v>4580</v>
      </c>
      <c r="BT470">
        <v>25</v>
      </c>
      <c r="BV470" s="8">
        <v>15</v>
      </c>
      <c r="BW470" s="8">
        <v>25</v>
      </c>
      <c r="BX470" s="8">
        <v>1</v>
      </c>
      <c r="BY470" s="8" t="s">
        <v>3344</v>
      </c>
      <c r="CB470" s="5" t="s">
        <v>211</v>
      </c>
      <c r="CC470" s="5"/>
      <c r="CD470" s="5"/>
      <c r="CE470" t="s">
        <v>4581</v>
      </c>
      <c r="CG470" t="s">
        <v>3410</v>
      </c>
      <c r="CH470" t="s">
        <v>4582</v>
      </c>
      <c r="CI470" t="s">
        <v>3412</v>
      </c>
      <c r="CJ470" s="5"/>
      <c r="CK470" s="5"/>
      <c r="CL470" s="5"/>
      <c r="CM470" s="5"/>
      <c r="CN470" s="9" t="s">
        <v>3486</v>
      </c>
      <c r="CO470">
        <v>-0.8</v>
      </c>
      <c r="CR470">
        <v>0.8</v>
      </c>
      <c r="CY470" t="s">
        <v>4556</v>
      </c>
      <c r="DC470" t="s">
        <v>4583</v>
      </c>
    </row>
    <row r="471" spans="1:107" x14ac:dyDescent="0.25">
      <c r="A471" t="s">
        <v>4584</v>
      </c>
      <c r="C471" t="s">
        <v>3326</v>
      </c>
      <c r="K471" s="5" t="s">
        <v>3314</v>
      </c>
      <c r="L471" s="5" t="s">
        <v>3452</v>
      </c>
      <c r="AC471">
        <v>1</v>
      </c>
      <c r="AY471" s="5"/>
      <c r="BD471">
        <v>1</v>
      </c>
      <c r="CB471" s="5"/>
      <c r="CC471" s="5"/>
      <c r="CD471" s="5"/>
      <c r="CE471" s="5"/>
      <c r="CF471" s="5"/>
      <c r="CH471" s="5"/>
      <c r="CI471" s="5"/>
      <c r="CJ471" s="5"/>
      <c r="CK471" s="5"/>
      <c r="CL471" s="5"/>
      <c r="CM471" s="5"/>
      <c r="CN471" s="9" t="s">
        <v>4585</v>
      </c>
      <c r="CO471">
        <v>1.5</v>
      </c>
      <c r="CR471">
        <v>25</v>
      </c>
    </row>
    <row r="472" spans="1:107" x14ac:dyDescent="0.25">
      <c r="A472" t="s">
        <v>4586</v>
      </c>
      <c r="C472" t="s">
        <v>3326</v>
      </c>
      <c r="K472" s="5" t="s">
        <v>3314</v>
      </c>
      <c r="L472" s="5" t="s">
        <v>3452</v>
      </c>
      <c r="O472" s="5" t="s">
        <v>4587</v>
      </c>
      <c r="AC472">
        <v>2</v>
      </c>
      <c r="AD472">
        <v>1</v>
      </c>
      <c r="AV472">
        <v>99</v>
      </c>
      <c r="AY472" s="5"/>
      <c r="BD472">
        <v>99</v>
      </c>
      <c r="BV472"/>
      <c r="BW472"/>
      <c r="BX472"/>
      <c r="BY472"/>
      <c r="BZ472"/>
      <c r="CA472"/>
      <c r="CB472" s="5"/>
      <c r="CC472" s="5"/>
      <c r="CD472" s="5"/>
      <c r="CE472" s="5"/>
      <c r="CF472" s="5"/>
      <c r="CH472" s="5"/>
      <c r="CI472" s="5"/>
      <c r="CJ472" s="5"/>
      <c r="CK472" s="5"/>
      <c r="CL472" s="5"/>
      <c r="CM472" s="5"/>
      <c r="CN472" s="9" t="s">
        <v>4588</v>
      </c>
      <c r="CO472">
        <v>-1</v>
      </c>
      <c r="CR472">
        <v>99999</v>
      </c>
      <c r="CT472">
        <v>1</v>
      </c>
    </row>
    <row r="473" spans="1:107" x14ac:dyDescent="0.25">
      <c r="A473" t="s">
        <v>4589</v>
      </c>
      <c r="C473" t="s">
        <v>3326</v>
      </c>
      <c r="K473" s="5" t="s">
        <v>3314</v>
      </c>
      <c r="L473" s="5" t="s">
        <v>3327</v>
      </c>
      <c r="O473" s="5" t="s">
        <v>4587</v>
      </c>
      <c r="AC473">
        <v>2</v>
      </c>
      <c r="AD473">
        <v>1</v>
      </c>
      <c r="AF473">
        <v>1</v>
      </c>
      <c r="AY473" s="5"/>
      <c r="BD473">
        <v>1</v>
      </c>
      <c r="BV473"/>
      <c r="BW473"/>
      <c r="BX473"/>
      <c r="BY473"/>
      <c r="BZ473"/>
      <c r="CA473"/>
      <c r="CB473" s="5"/>
      <c r="CC473" s="5"/>
      <c r="CD473" s="5"/>
      <c r="CE473" s="5"/>
      <c r="CF473" s="5"/>
      <c r="CH473" s="5"/>
      <c r="CI473" s="5"/>
      <c r="CJ473" s="5"/>
      <c r="CK473" s="5"/>
      <c r="CL473" s="5"/>
      <c r="CM473" s="5"/>
      <c r="CN473" s="9" t="s">
        <v>4588</v>
      </c>
      <c r="CO473">
        <v>-1</v>
      </c>
      <c r="CR473">
        <v>99999</v>
      </c>
      <c r="CT473">
        <v>1</v>
      </c>
    </row>
    <row r="474" spans="1:107" x14ac:dyDescent="0.25">
      <c r="A474" t="s">
        <v>4590</v>
      </c>
      <c r="C474" t="s">
        <v>3326</v>
      </c>
      <c r="K474" s="5" t="s">
        <v>3314</v>
      </c>
      <c r="L474" s="5" t="s">
        <v>3414</v>
      </c>
      <c r="AC474">
        <v>1</v>
      </c>
      <c r="AY474" s="5"/>
      <c r="CB474" s="5"/>
      <c r="CC474" s="5"/>
      <c r="CD474" s="5"/>
      <c r="CE474" s="5"/>
      <c r="CF474" s="5"/>
      <c r="CH474" s="5"/>
      <c r="CI474" s="5"/>
      <c r="CJ474" s="5"/>
      <c r="CK474" s="5"/>
      <c r="CL474" s="5"/>
      <c r="CM474" s="5"/>
      <c r="CN474" s="9" t="s">
        <v>4591</v>
      </c>
      <c r="CR474">
        <v>99999</v>
      </c>
    </row>
    <row r="475" spans="1:107" x14ac:dyDescent="0.25">
      <c r="AY475" s="5"/>
      <c r="CB475" s="5"/>
      <c r="CC475" s="5"/>
      <c r="CD475" s="5"/>
      <c r="CE475" s="5"/>
      <c r="CF475" s="5"/>
      <c r="CH475" s="5"/>
      <c r="CI475" s="5"/>
      <c r="CJ475" s="5"/>
      <c r="CK475" s="5"/>
      <c r="CL475" s="5"/>
      <c r="CM475" s="5"/>
    </row>
    <row r="476" spans="1:107" x14ac:dyDescent="0.25">
      <c r="A476" t="s">
        <v>4592</v>
      </c>
      <c r="C476" t="s">
        <v>3326</v>
      </c>
      <c r="K476" s="5" t="s">
        <v>3344</v>
      </c>
      <c r="AC476">
        <v>1</v>
      </c>
      <c r="AO476" t="s">
        <v>3408</v>
      </c>
      <c r="AT476" t="s">
        <v>3500</v>
      </c>
      <c r="AY476">
        <v>1</v>
      </c>
      <c r="AZ476">
        <v>1</v>
      </c>
      <c r="BD476">
        <v>1</v>
      </c>
      <c r="CB476" t="s">
        <v>136</v>
      </c>
      <c r="CG476" t="s">
        <v>3410</v>
      </c>
    </row>
    <row r="477" spans="1:107" x14ac:dyDescent="0.25">
      <c r="A477" t="s">
        <v>4593</v>
      </c>
      <c r="C477" t="s">
        <v>3326</v>
      </c>
      <c r="K477" s="5" t="s">
        <v>3344</v>
      </c>
      <c r="AC477">
        <v>1</v>
      </c>
      <c r="AT477" t="s">
        <v>3500</v>
      </c>
      <c r="AY477" s="5"/>
      <c r="BD477">
        <v>99</v>
      </c>
      <c r="CB477" s="5"/>
      <c r="CC477" s="5"/>
      <c r="CD477" s="5"/>
      <c r="CE477" s="5"/>
      <c r="CF477" s="5"/>
      <c r="CH477" s="5"/>
      <c r="CI477" s="5"/>
      <c r="CJ477" s="5"/>
      <c r="CK477" s="5"/>
      <c r="CL477" s="5"/>
      <c r="CM477" s="5"/>
      <c r="CN477" s="9" t="s">
        <v>3957</v>
      </c>
      <c r="CO477">
        <v>65</v>
      </c>
      <c r="CR477">
        <v>0.2</v>
      </c>
    </row>
    <row r="478" spans="1:107" x14ac:dyDescent="0.25">
      <c r="A478" t="s">
        <v>4594</v>
      </c>
      <c r="C478" t="s">
        <v>3326</v>
      </c>
      <c r="K478" s="5" t="s">
        <v>3314</v>
      </c>
      <c r="L478" s="5" t="s">
        <v>3414</v>
      </c>
      <c r="AC478">
        <v>1</v>
      </c>
      <c r="AG478" t="s">
        <v>3316</v>
      </c>
      <c r="AH478">
        <v>1</v>
      </c>
      <c r="AY478" s="5"/>
      <c r="BD478">
        <v>1</v>
      </c>
      <c r="BV478"/>
      <c r="BW478"/>
      <c r="BX478"/>
      <c r="BY478"/>
      <c r="BZ478"/>
      <c r="CA478"/>
      <c r="CB478" s="5"/>
      <c r="CC478" s="5"/>
      <c r="CD478" s="5"/>
      <c r="CE478" s="5"/>
      <c r="CF478" s="5"/>
      <c r="CH478" s="5"/>
      <c r="CI478" s="5"/>
      <c r="CJ478" s="5"/>
      <c r="CK478" s="5"/>
      <c r="CL478" s="5"/>
      <c r="CM478" s="5"/>
      <c r="CN478" s="9" t="s">
        <v>3489</v>
      </c>
      <c r="CO478">
        <v>13</v>
      </c>
      <c r="CR478">
        <v>99999</v>
      </c>
    </row>
    <row r="479" spans="1:107" x14ac:dyDescent="0.25">
      <c r="A479" t="s">
        <v>4595</v>
      </c>
      <c r="C479" t="s">
        <v>3326</v>
      </c>
      <c r="D479" t="s">
        <v>4596</v>
      </c>
      <c r="E479" t="s">
        <v>4597</v>
      </c>
      <c r="F479" t="s">
        <v>4598</v>
      </c>
      <c r="G479">
        <v>3</v>
      </c>
      <c r="J479" t="s">
        <v>3342</v>
      </c>
      <c r="K479" s="5" t="s">
        <v>3343</v>
      </c>
      <c r="AC479">
        <v>1</v>
      </c>
      <c r="AG479" t="s">
        <v>3316</v>
      </c>
      <c r="AY479" s="5"/>
      <c r="BD479">
        <v>1</v>
      </c>
      <c r="BT479">
        <v>20</v>
      </c>
      <c r="BV479" s="8">
        <v>20</v>
      </c>
      <c r="BW479" s="8">
        <v>40</v>
      </c>
      <c r="BX479" s="8">
        <v>1</v>
      </c>
      <c r="BY479" s="8" t="s">
        <v>3344</v>
      </c>
      <c r="CB479" s="5"/>
      <c r="CC479" s="5"/>
      <c r="CD479" s="5"/>
      <c r="CE479" s="5"/>
      <c r="CF479" s="5"/>
      <c r="CH479" s="5"/>
      <c r="CI479" s="5"/>
      <c r="CJ479" s="5"/>
      <c r="CK479" s="5"/>
      <c r="CL479" s="5"/>
      <c r="CM479" s="5"/>
      <c r="CN479" s="9" t="s">
        <v>4599</v>
      </c>
      <c r="CO479" t="s">
        <v>4600</v>
      </c>
      <c r="CR479">
        <v>20</v>
      </c>
    </row>
    <row r="480" spans="1:107" x14ac:dyDescent="0.25">
      <c r="A480" t="s">
        <v>4601</v>
      </c>
      <c r="C480" t="s">
        <v>3326</v>
      </c>
      <c r="D480" t="s">
        <v>4602</v>
      </c>
      <c r="E480" t="s">
        <v>4603</v>
      </c>
      <c r="F480" t="s">
        <v>4604</v>
      </c>
      <c r="G480">
        <v>3</v>
      </c>
      <c r="J480" t="s">
        <v>3342</v>
      </c>
      <c r="K480" s="5" t="s">
        <v>3344</v>
      </c>
      <c r="AC480">
        <v>1</v>
      </c>
      <c r="AO480" t="s">
        <v>3408</v>
      </c>
      <c r="AT480" t="s">
        <v>3500</v>
      </c>
      <c r="AY480">
        <v>1</v>
      </c>
      <c r="AZ480">
        <v>1</v>
      </c>
      <c r="BD480">
        <v>1</v>
      </c>
      <c r="BT480">
        <v>0.2</v>
      </c>
      <c r="BV480" s="8">
        <v>0</v>
      </c>
      <c r="BW480" s="8">
        <v>5</v>
      </c>
      <c r="BX480" s="8">
        <v>3</v>
      </c>
      <c r="BY480" s="8" t="s">
        <v>3344</v>
      </c>
      <c r="CB480" t="s">
        <v>136</v>
      </c>
      <c r="CG480" t="s">
        <v>3410</v>
      </c>
      <c r="CN480" s="9" t="s">
        <v>4605</v>
      </c>
      <c r="CO480">
        <v>0.5</v>
      </c>
      <c r="CP480">
        <v>0.5</v>
      </c>
      <c r="CR480">
        <v>3</v>
      </c>
    </row>
    <row r="481" spans="1:103" x14ac:dyDescent="0.25">
      <c r="A481" t="s">
        <v>4606</v>
      </c>
      <c r="C481" t="s">
        <v>3326</v>
      </c>
      <c r="D481" t="s">
        <v>4607</v>
      </c>
      <c r="E481" t="s">
        <v>4608</v>
      </c>
      <c r="F481" t="s">
        <v>4609</v>
      </c>
      <c r="G481">
        <v>3</v>
      </c>
      <c r="J481" t="s">
        <v>3445</v>
      </c>
      <c r="K481" s="5" t="s">
        <v>3343</v>
      </c>
      <c r="AC481">
        <v>1</v>
      </c>
      <c r="AT481" t="s">
        <v>3500</v>
      </c>
      <c r="AY481" s="5"/>
      <c r="BD481">
        <v>99</v>
      </c>
      <c r="BO481" s="7" t="s">
        <v>4610</v>
      </c>
      <c r="BT481">
        <v>60</v>
      </c>
      <c r="BV481" s="8">
        <v>115</v>
      </c>
      <c r="BW481" s="8">
        <v>120</v>
      </c>
      <c r="BX481" s="8">
        <v>1</v>
      </c>
      <c r="BY481" s="8" t="s">
        <v>3344</v>
      </c>
      <c r="CB481" s="5"/>
      <c r="CC481" s="5"/>
      <c r="CD481" s="5"/>
      <c r="CE481" s="5"/>
      <c r="CF481" s="5"/>
      <c r="CH481" s="5"/>
      <c r="CI481" s="5"/>
      <c r="CJ481" s="5"/>
      <c r="CK481" s="5"/>
      <c r="CL481" s="5"/>
      <c r="CM481" s="5"/>
      <c r="CN481" s="9" t="s">
        <v>3683</v>
      </c>
      <c r="CO481">
        <v>1</v>
      </c>
      <c r="CR481">
        <v>0.2</v>
      </c>
    </row>
    <row r="482" spans="1:103" x14ac:dyDescent="0.25">
      <c r="A482" t="s">
        <v>4610</v>
      </c>
      <c r="C482" t="s">
        <v>3326</v>
      </c>
      <c r="K482" s="5" t="s">
        <v>3314</v>
      </c>
      <c r="L482" s="5" t="s">
        <v>3452</v>
      </c>
      <c r="AC482">
        <v>1</v>
      </c>
      <c r="AG482" t="s">
        <v>3316</v>
      </c>
      <c r="AH482">
        <v>1</v>
      </c>
      <c r="AY482" s="5"/>
      <c r="BD482">
        <v>1</v>
      </c>
      <c r="BV482"/>
      <c r="BW482"/>
      <c r="BX482"/>
      <c r="BY482"/>
      <c r="BZ482"/>
      <c r="CA482"/>
      <c r="CB482" s="5"/>
      <c r="CC482" s="5"/>
      <c r="CD482" s="5"/>
      <c r="CE482" s="5"/>
      <c r="CF482" s="5"/>
      <c r="CH482" s="5"/>
      <c r="CI482" s="5"/>
      <c r="CJ482" s="5"/>
      <c r="CK482" s="5"/>
      <c r="CL482" s="5"/>
      <c r="CM482" s="5"/>
      <c r="CN482" s="9" t="s">
        <v>4611</v>
      </c>
      <c r="CO482">
        <v>0.5</v>
      </c>
      <c r="CR482">
        <v>60</v>
      </c>
    </row>
    <row r="483" spans="1:103" x14ac:dyDescent="0.25">
      <c r="AY483" s="5"/>
      <c r="BV483"/>
      <c r="BW483"/>
      <c r="BX483"/>
      <c r="BY483"/>
      <c r="BZ483"/>
      <c r="CA483"/>
      <c r="CB483" s="5"/>
      <c r="CC483" s="5"/>
      <c r="CD483" s="5"/>
      <c r="CE483" s="5"/>
      <c r="CF483" s="5"/>
      <c r="CH483" s="5"/>
      <c r="CI483" s="5"/>
      <c r="CJ483" s="5"/>
      <c r="CK483" s="5"/>
      <c r="CL483" s="5"/>
      <c r="CM483" s="5"/>
    </row>
    <row r="484" spans="1:103" x14ac:dyDescent="0.25">
      <c r="A484" t="s">
        <v>4612</v>
      </c>
      <c r="C484" t="s">
        <v>3326</v>
      </c>
      <c r="K484" s="5" t="s">
        <v>3344</v>
      </c>
      <c r="AC484">
        <v>1</v>
      </c>
      <c r="AO484" t="s">
        <v>3408</v>
      </c>
      <c r="AT484" t="s">
        <v>3483</v>
      </c>
      <c r="AY484">
        <v>1</v>
      </c>
      <c r="AZ484">
        <v>1</v>
      </c>
      <c r="BD484">
        <v>3</v>
      </c>
      <c r="CB484" t="s">
        <v>136</v>
      </c>
      <c r="CG484" t="s">
        <v>3410</v>
      </c>
      <c r="CW484" t="s">
        <v>4613</v>
      </c>
      <c r="CY484" t="s">
        <v>4614</v>
      </c>
    </row>
    <row r="485" spans="1:103" x14ac:dyDescent="0.25">
      <c r="A485" t="s">
        <v>4615</v>
      </c>
      <c r="C485" t="s">
        <v>3326</v>
      </c>
      <c r="K485" s="5" t="s">
        <v>3344</v>
      </c>
      <c r="AC485">
        <v>1</v>
      </c>
      <c r="AT485" t="s">
        <v>3483</v>
      </c>
      <c r="AY485" s="5"/>
      <c r="BD485">
        <v>99</v>
      </c>
      <c r="CB485" s="5"/>
      <c r="CC485" s="5"/>
      <c r="CD485" s="5"/>
      <c r="CE485" s="5"/>
      <c r="CF485" s="5"/>
      <c r="CH485" s="5"/>
      <c r="CI485" s="5"/>
      <c r="CJ485" s="5"/>
      <c r="CK485" s="5"/>
      <c r="CL485" s="5"/>
      <c r="CM485" s="5"/>
      <c r="CN485" s="9" t="s">
        <v>3526</v>
      </c>
      <c r="CO485">
        <v>17</v>
      </c>
      <c r="CR485">
        <v>0.2</v>
      </c>
    </row>
    <row r="486" spans="1:103" x14ac:dyDescent="0.25">
      <c r="A486" t="s">
        <v>4616</v>
      </c>
      <c r="C486" t="s">
        <v>3806</v>
      </c>
      <c r="K486" s="5" t="s">
        <v>3314</v>
      </c>
      <c r="L486" s="5" t="s">
        <v>3414</v>
      </c>
      <c r="AC486">
        <v>1</v>
      </c>
      <c r="AF486">
        <v>1</v>
      </c>
      <c r="AG486" t="s">
        <v>3316</v>
      </c>
      <c r="BD486">
        <v>1</v>
      </c>
      <c r="CU486" t="s">
        <v>4617</v>
      </c>
    </row>
    <row r="487" spans="1:103" x14ac:dyDescent="0.25">
      <c r="A487" t="s">
        <v>4618</v>
      </c>
      <c r="C487" t="s">
        <v>3326</v>
      </c>
      <c r="D487" t="s">
        <v>4619</v>
      </c>
      <c r="E487" t="s">
        <v>4620</v>
      </c>
      <c r="F487" t="s">
        <v>4621</v>
      </c>
      <c r="G487">
        <v>3</v>
      </c>
      <c r="J487" t="s">
        <v>3342</v>
      </c>
      <c r="K487" s="5" t="s">
        <v>3344</v>
      </c>
      <c r="AC487">
        <v>1</v>
      </c>
      <c r="AO487" t="s">
        <v>3408</v>
      </c>
      <c r="AT487" t="s">
        <v>3483</v>
      </c>
      <c r="AY487">
        <v>1</v>
      </c>
      <c r="AZ487">
        <v>1</v>
      </c>
      <c r="BD487">
        <v>3</v>
      </c>
      <c r="BT487">
        <v>0.2</v>
      </c>
      <c r="BV487" s="8">
        <v>0</v>
      </c>
      <c r="BW487" s="8">
        <v>8</v>
      </c>
      <c r="BX487" s="8">
        <v>3</v>
      </c>
      <c r="BY487" s="8" t="s">
        <v>3344</v>
      </c>
      <c r="CB487" t="s">
        <v>136</v>
      </c>
      <c r="CG487" t="s">
        <v>3410</v>
      </c>
      <c r="CN487" s="9" t="s">
        <v>4622</v>
      </c>
      <c r="CO487">
        <v>0.9</v>
      </c>
      <c r="CP487">
        <v>20</v>
      </c>
      <c r="CR487">
        <v>5</v>
      </c>
    </row>
    <row r="488" spans="1:103" x14ac:dyDescent="0.25">
      <c r="A488" t="s">
        <v>4623</v>
      </c>
      <c r="C488" t="s">
        <v>3326</v>
      </c>
      <c r="D488" t="s">
        <v>4624</v>
      </c>
      <c r="E488" t="s">
        <v>4625</v>
      </c>
      <c r="F488" t="s">
        <v>4626</v>
      </c>
      <c r="G488">
        <v>3</v>
      </c>
      <c r="J488" t="s">
        <v>3445</v>
      </c>
      <c r="K488" s="5" t="s">
        <v>3343</v>
      </c>
      <c r="AC488">
        <v>1</v>
      </c>
      <c r="AO488" t="s">
        <v>3408</v>
      </c>
      <c r="AT488" t="s">
        <v>4579</v>
      </c>
      <c r="AY488">
        <v>1</v>
      </c>
      <c r="AZ488">
        <v>1</v>
      </c>
      <c r="BD488">
        <v>3</v>
      </c>
      <c r="BO488" s="7" t="s">
        <v>4627</v>
      </c>
      <c r="BT488">
        <v>60</v>
      </c>
      <c r="BV488" s="8">
        <v>115</v>
      </c>
      <c r="BW488" s="8">
        <v>120</v>
      </c>
      <c r="BX488" s="8">
        <v>1</v>
      </c>
      <c r="BY488" s="8" t="s">
        <v>3344</v>
      </c>
      <c r="CB488" t="s">
        <v>136</v>
      </c>
      <c r="CG488" t="s">
        <v>3410</v>
      </c>
    </row>
    <row r="489" spans="1:103" x14ac:dyDescent="0.25">
      <c r="A489" t="s">
        <v>4628</v>
      </c>
      <c r="C489" t="s">
        <v>3326</v>
      </c>
      <c r="J489" t="s">
        <v>3445</v>
      </c>
      <c r="K489" s="5" t="s">
        <v>3344</v>
      </c>
      <c r="AC489">
        <v>1</v>
      </c>
      <c r="AT489" t="s">
        <v>4579</v>
      </c>
      <c r="AY489" s="5"/>
      <c r="BD489">
        <v>99</v>
      </c>
      <c r="BS489">
        <v>0.2</v>
      </c>
      <c r="CB489" s="5"/>
      <c r="CC489" s="5"/>
      <c r="CD489" s="5"/>
      <c r="CE489" s="5"/>
      <c r="CF489" s="5"/>
      <c r="CH489" s="5"/>
      <c r="CI489" s="5"/>
      <c r="CJ489" s="5"/>
      <c r="CK489" s="5"/>
      <c r="CL489" s="5"/>
      <c r="CM489" s="5"/>
      <c r="CN489" s="9" t="s">
        <v>4629</v>
      </c>
      <c r="CO489" t="s">
        <v>4630</v>
      </c>
      <c r="CR489">
        <v>0.2</v>
      </c>
    </row>
    <row r="490" spans="1:103" x14ac:dyDescent="0.25">
      <c r="A490" t="s">
        <v>4631</v>
      </c>
      <c r="C490" t="s">
        <v>3326</v>
      </c>
      <c r="K490" s="5" t="s">
        <v>3314</v>
      </c>
      <c r="L490" s="5" t="s">
        <v>3452</v>
      </c>
      <c r="AC490">
        <v>1</v>
      </c>
      <c r="AY490" s="5"/>
      <c r="BD490">
        <v>1</v>
      </c>
      <c r="CB490" s="5"/>
      <c r="CC490" s="5"/>
      <c r="CD490" s="5"/>
      <c r="CE490" s="5"/>
      <c r="CF490" s="5"/>
      <c r="CH490" s="5"/>
      <c r="CI490" s="5"/>
      <c r="CJ490" s="5"/>
      <c r="CK490" s="5"/>
      <c r="CL490" s="5"/>
      <c r="CM490" s="5"/>
      <c r="CN490" s="9" t="s">
        <v>4632</v>
      </c>
      <c r="CO490">
        <v>0.8</v>
      </c>
      <c r="CR490">
        <v>60</v>
      </c>
    </row>
    <row r="491" spans="1:103" x14ac:dyDescent="0.25">
      <c r="A491" t="s">
        <v>4633</v>
      </c>
      <c r="C491" t="s">
        <v>3326</v>
      </c>
      <c r="K491" s="5" t="s">
        <v>3344</v>
      </c>
      <c r="AC491">
        <v>1</v>
      </c>
      <c r="AT491" t="s">
        <v>3441</v>
      </c>
      <c r="AZ491">
        <v>0.03</v>
      </c>
      <c r="BA491">
        <v>1</v>
      </c>
      <c r="BB491">
        <v>1</v>
      </c>
      <c r="BD491">
        <v>1</v>
      </c>
    </row>
    <row r="492" spans="1:103" x14ac:dyDescent="0.25">
      <c r="A492" t="s">
        <v>4634</v>
      </c>
      <c r="C492" t="s">
        <v>3326</v>
      </c>
      <c r="K492" s="5" t="s">
        <v>3314</v>
      </c>
      <c r="L492" s="5" t="s">
        <v>3414</v>
      </c>
      <c r="AC492">
        <v>1</v>
      </c>
      <c r="AG492" t="s">
        <v>3316</v>
      </c>
      <c r="BD492">
        <v>1</v>
      </c>
      <c r="CN492" s="9" t="s">
        <v>4635</v>
      </c>
      <c r="CP492">
        <v>0.3</v>
      </c>
      <c r="CR492">
        <v>99999</v>
      </c>
    </row>
    <row r="494" spans="1:103" x14ac:dyDescent="0.25">
      <c r="A494" t="s">
        <v>4636</v>
      </c>
      <c r="C494" t="s">
        <v>3416</v>
      </c>
      <c r="AC494">
        <v>2</v>
      </c>
      <c r="AO494" t="s">
        <v>3417</v>
      </c>
      <c r="AT494" t="s">
        <v>3418</v>
      </c>
      <c r="AX494" t="s">
        <v>3419</v>
      </c>
      <c r="AZ494">
        <v>1</v>
      </c>
      <c r="BD494">
        <v>1</v>
      </c>
      <c r="CB494" t="s">
        <v>136</v>
      </c>
      <c r="CG494" t="s">
        <v>3410</v>
      </c>
      <c r="CW494" t="s">
        <v>4637</v>
      </c>
      <c r="CY494" t="s">
        <v>4638</v>
      </c>
    </row>
    <row r="495" spans="1:103" x14ac:dyDescent="0.25">
      <c r="A495" t="s">
        <v>4639</v>
      </c>
      <c r="C495" t="s">
        <v>3326</v>
      </c>
      <c r="K495" s="5" t="s">
        <v>3314</v>
      </c>
      <c r="L495" s="5" t="s">
        <v>3330</v>
      </c>
      <c r="AC495">
        <v>1</v>
      </c>
      <c r="AG495" t="s">
        <v>3316</v>
      </c>
      <c r="AH495">
        <v>1</v>
      </c>
      <c r="AY495" s="5"/>
      <c r="BD495">
        <v>1</v>
      </c>
      <c r="BV495"/>
      <c r="BW495"/>
      <c r="BX495"/>
      <c r="BY495"/>
      <c r="BZ495"/>
      <c r="CA495"/>
      <c r="CB495" s="5"/>
      <c r="CC495" s="5"/>
      <c r="CD495" s="5"/>
      <c r="CE495" s="5"/>
      <c r="CF495" s="5"/>
      <c r="CH495" s="5"/>
      <c r="CI495" s="5"/>
      <c r="CJ495" s="5"/>
      <c r="CK495" s="5"/>
      <c r="CL495" s="5"/>
      <c r="CM495" s="5"/>
      <c r="CN495" s="9" t="s">
        <v>4640</v>
      </c>
      <c r="CO495">
        <v>0.28000000000000003</v>
      </c>
      <c r="CR495">
        <v>99999</v>
      </c>
    </row>
    <row r="496" spans="1:103" x14ac:dyDescent="0.25">
      <c r="A496" t="s">
        <v>4641</v>
      </c>
      <c r="C496" t="s">
        <v>3326</v>
      </c>
      <c r="K496" s="5" t="s">
        <v>3314</v>
      </c>
      <c r="L496" s="5" t="s">
        <v>3414</v>
      </c>
      <c r="AC496">
        <v>1</v>
      </c>
      <c r="AI496" t="s">
        <v>347</v>
      </c>
      <c r="AY496" s="5"/>
      <c r="BD496">
        <v>99</v>
      </c>
      <c r="BO496" s="7" t="s">
        <v>4642</v>
      </c>
      <c r="BV496"/>
      <c r="BW496"/>
      <c r="BX496"/>
      <c r="BY496"/>
      <c r="BZ496"/>
      <c r="CA496"/>
      <c r="CB496" s="5"/>
      <c r="CC496" s="5"/>
      <c r="CD496" s="5"/>
      <c r="CE496" s="5"/>
      <c r="CF496" s="5"/>
      <c r="CH496" s="5"/>
      <c r="CI496" s="5"/>
      <c r="CJ496" s="5"/>
      <c r="CK496" s="5"/>
      <c r="CL496" s="5"/>
      <c r="CM496" s="5"/>
      <c r="CN496" s="9" t="s">
        <v>3683</v>
      </c>
      <c r="CO496">
        <v>0.08</v>
      </c>
      <c r="CR496">
        <v>99999</v>
      </c>
      <c r="CT496">
        <v>1</v>
      </c>
    </row>
    <row r="497" spans="1:108" x14ac:dyDescent="0.25">
      <c r="A497" t="s">
        <v>4642</v>
      </c>
      <c r="C497" t="s">
        <v>3326</v>
      </c>
      <c r="K497" s="5" t="s">
        <v>3314</v>
      </c>
      <c r="L497" s="5" t="s">
        <v>3327</v>
      </c>
      <c r="AC497">
        <v>1</v>
      </c>
      <c r="AF497">
        <v>1</v>
      </c>
      <c r="AG497" t="s">
        <v>3837</v>
      </c>
      <c r="AI497" t="s">
        <v>347</v>
      </c>
      <c r="AY497" s="5"/>
      <c r="BD497">
        <v>1</v>
      </c>
      <c r="BV497"/>
      <c r="BW497"/>
      <c r="BX497"/>
      <c r="BY497"/>
      <c r="BZ497"/>
      <c r="CA497"/>
      <c r="CB497" s="5"/>
      <c r="CC497" s="5"/>
      <c r="CD497" s="5"/>
      <c r="CE497" s="5"/>
      <c r="CF497" s="5"/>
      <c r="CH497" s="5"/>
      <c r="CI497" s="5"/>
      <c r="CJ497" s="5"/>
      <c r="CK497" s="5"/>
      <c r="CL497" s="5"/>
      <c r="CM497" s="5"/>
      <c r="CN497" s="9" t="s">
        <v>3683</v>
      </c>
      <c r="CO497">
        <v>0.08</v>
      </c>
      <c r="CR497">
        <v>99999</v>
      </c>
      <c r="CT497">
        <v>1</v>
      </c>
    </row>
    <row r="498" spans="1:108" x14ac:dyDescent="0.25">
      <c r="A498" t="s">
        <v>4643</v>
      </c>
      <c r="C498" t="s">
        <v>3326</v>
      </c>
      <c r="D498" t="s">
        <v>4644</v>
      </c>
      <c r="E498" t="s">
        <v>4645</v>
      </c>
      <c r="F498" t="s">
        <v>4646</v>
      </c>
      <c r="G498">
        <v>3</v>
      </c>
      <c r="J498" t="s">
        <v>3342</v>
      </c>
      <c r="K498" s="5" t="s">
        <v>3343</v>
      </c>
      <c r="AC498">
        <v>1</v>
      </c>
      <c r="AG498" t="s">
        <v>3316</v>
      </c>
      <c r="AY498" s="5"/>
      <c r="BD498">
        <v>1</v>
      </c>
      <c r="BT498">
        <v>30</v>
      </c>
      <c r="BV498" s="8">
        <v>20</v>
      </c>
      <c r="BW498" s="8">
        <v>40</v>
      </c>
      <c r="BX498" s="8">
        <v>1</v>
      </c>
      <c r="BY498" s="8" t="s">
        <v>3344</v>
      </c>
      <c r="CB498" s="5"/>
      <c r="CC498" s="5"/>
      <c r="CD498" s="5"/>
      <c r="CE498" s="5"/>
      <c r="CF498" s="5"/>
      <c r="CH498" s="5"/>
      <c r="CI498" s="5"/>
      <c r="CJ498" s="5"/>
      <c r="CK498" s="5"/>
      <c r="CL498" s="5"/>
      <c r="CM498" s="5"/>
      <c r="CN498" s="9" t="s">
        <v>4647</v>
      </c>
      <c r="CO498" t="s">
        <v>4648</v>
      </c>
      <c r="CR498">
        <v>30</v>
      </c>
    </row>
    <row r="499" spans="1:108" x14ac:dyDescent="0.25">
      <c r="A499" t="s">
        <v>4649</v>
      </c>
      <c r="C499" t="s">
        <v>3326</v>
      </c>
      <c r="D499" t="s">
        <v>4650</v>
      </c>
      <c r="E499" t="s">
        <v>4651</v>
      </c>
      <c r="F499" t="s">
        <v>4652</v>
      </c>
      <c r="G499">
        <v>3</v>
      </c>
      <c r="K499" s="5" t="s">
        <v>3314</v>
      </c>
      <c r="L499" s="5" t="s">
        <v>4099</v>
      </c>
      <c r="AC499">
        <v>2</v>
      </c>
      <c r="AD499">
        <v>1</v>
      </c>
      <c r="AE499">
        <v>1</v>
      </c>
      <c r="AX499" t="s">
        <v>3419</v>
      </c>
      <c r="AZ499">
        <v>1</v>
      </c>
      <c r="BD499">
        <v>1</v>
      </c>
      <c r="BO499" s="7" t="s">
        <v>4653</v>
      </c>
    </row>
    <row r="500" spans="1:108" x14ac:dyDescent="0.25">
      <c r="A500" t="s">
        <v>4653</v>
      </c>
      <c r="C500" t="s">
        <v>3326</v>
      </c>
      <c r="K500" s="5" t="s">
        <v>3314</v>
      </c>
      <c r="L500" s="5" t="s">
        <v>3330</v>
      </c>
      <c r="AC500">
        <v>1</v>
      </c>
      <c r="AG500" t="s">
        <v>3316</v>
      </c>
      <c r="AH500">
        <v>1</v>
      </c>
      <c r="AY500" s="5"/>
      <c r="BD500">
        <v>1</v>
      </c>
      <c r="BV500"/>
      <c r="BW500"/>
      <c r="BX500"/>
      <c r="BY500"/>
      <c r="BZ500"/>
      <c r="CA500"/>
      <c r="CB500" s="5"/>
      <c r="CC500" s="5"/>
      <c r="CD500" s="5"/>
      <c r="CE500" s="5"/>
      <c r="CF500" s="5"/>
      <c r="CH500" s="5"/>
      <c r="CI500" s="5"/>
      <c r="CJ500" s="5"/>
      <c r="CK500" s="5"/>
      <c r="CL500" s="5"/>
      <c r="CM500" s="5"/>
      <c r="CN500" s="9" t="s">
        <v>4654</v>
      </c>
      <c r="CO500">
        <v>0.3</v>
      </c>
      <c r="CR500">
        <v>99999</v>
      </c>
    </row>
    <row r="501" spans="1:108" x14ac:dyDescent="0.25">
      <c r="A501" t="s">
        <v>4655</v>
      </c>
      <c r="C501" t="s">
        <v>3326</v>
      </c>
      <c r="D501" t="s">
        <v>4656</v>
      </c>
      <c r="E501" t="s">
        <v>4657</v>
      </c>
      <c r="F501" t="s">
        <v>4658</v>
      </c>
      <c r="G501">
        <v>3</v>
      </c>
      <c r="J501" t="s">
        <v>3445</v>
      </c>
      <c r="K501" s="5" t="s">
        <v>3343</v>
      </c>
      <c r="AB501">
        <v>1</v>
      </c>
      <c r="AC501">
        <v>2</v>
      </c>
      <c r="AT501" t="s">
        <v>3418</v>
      </c>
      <c r="AZ501">
        <v>1</v>
      </c>
      <c r="BD501">
        <v>99</v>
      </c>
      <c r="BO501" s="7" t="s">
        <v>4659</v>
      </c>
      <c r="BS501">
        <v>0.99</v>
      </c>
      <c r="BT501">
        <v>25</v>
      </c>
      <c r="BV501" s="8">
        <v>30</v>
      </c>
      <c r="BW501" s="8">
        <v>50</v>
      </c>
      <c r="BX501" s="8">
        <v>1</v>
      </c>
      <c r="BY501" s="8" t="s">
        <v>3344</v>
      </c>
      <c r="CB501" t="s">
        <v>3977</v>
      </c>
      <c r="CE501" t="s">
        <v>3977</v>
      </c>
      <c r="CG501" t="s">
        <v>3831</v>
      </c>
      <c r="CY501" t="s">
        <v>4660</v>
      </c>
      <c r="DC501" t="s">
        <v>4661</v>
      </c>
    </row>
    <row r="502" spans="1:108" x14ac:dyDescent="0.25">
      <c r="A502" t="s">
        <v>4659</v>
      </c>
      <c r="C502" t="s">
        <v>3326</v>
      </c>
      <c r="K502" s="5" t="s">
        <v>3314</v>
      </c>
      <c r="L502" s="5" t="s">
        <v>3452</v>
      </c>
      <c r="AC502">
        <v>1</v>
      </c>
      <c r="AG502" t="s">
        <v>3316</v>
      </c>
      <c r="AY502" s="5"/>
      <c r="BD502">
        <v>1</v>
      </c>
      <c r="CB502" s="5"/>
      <c r="CC502" s="5"/>
      <c r="CD502" s="5"/>
      <c r="CE502" s="5"/>
      <c r="CF502" s="5"/>
      <c r="CH502" s="5"/>
      <c r="CI502" s="5"/>
      <c r="CJ502" s="5"/>
      <c r="CK502" s="5"/>
      <c r="CL502" s="5"/>
      <c r="CM502" s="5"/>
      <c r="CN502" s="9" t="s">
        <v>4662</v>
      </c>
      <c r="CO502" t="s">
        <v>4663</v>
      </c>
      <c r="CR502">
        <v>30</v>
      </c>
    </row>
    <row r="503" spans="1:108" x14ac:dyDescent="0.25">
      <c r="AY503" s="5"/>
      <c r="CB503" s="5"/>
      <c r="CC503" s="5"/>
      <c r="CD503" s="5"/>
      <c r="CE503" s="5"/>
      <c r="CF503" s="5"/>
      <c r="CH503" s="5"/>
      <c r="CI503" s="5"/>
      <c r="CJ503" s="5"/>
      <c r="CK503" s="5"/>
      <c r="CL503" s="5"/>
      <c r="CM503" s="5"/>
    </row>
    <row r="504" spans="1:108" x14ac:dyDescent="0.25">
      <c r="A504" t="s">
        <v>4664</v>
      </c>
      <c r="C504" t="s">
        <v>3416</v>
      </c>
      <c r="AC504">
        <v>2</v>
      </c>
      <c r="AO504" t="s">
        <v>3417</v>
      </c>
      <c r="AT504" t="s">
        <v>3441</v>
      </c>
      <c r="AX504" t="s">
        <v>3419</v>
      </c>
      <c r="AZ504">
        <v>1</v>
      </c>
      <c r="BD504">
        <v>1</v>
      </c>
      <c r="CB504" t="s">
        <v>136</v>
      </c>
      <c r="CG504" t="s">
        <v>3410</v>
      </c>
      <c r="CY504" t="s">
        <v>4665</v>
      </c>
    </row>
    <row r="505" spans="1:108" x14ac:dyDescent="0.25">
      <c r="A505" t="s">
        <v>4666</v>
      </c>
      <c r="C505" t="s">
        <v>3326</v>
      </c>
      <c r="K505" s="5" t="s">
        <v>3344</v>
      </c>
      <c r="N505" s="5">
        <v>5</v>
      </c>
      <c r="AC505">
        <v>1</v>
      </c>
      <c r="AG505" t="s">
        <v>3316</v>
      </c>
      <c r="AY505" s="5"/>
      <c r="BD505">
        <v>1</v>
      </c>
      <c r="BS505">
        <v>20</v>
      </c>
      <c r="CB505" s="5"/>
      <c r="CC505" s="5"/>
      <c r="CD505" s="5"/>
      <c r="CE505" s="5"/>
      <c r="CF505" s="5"/>
      <c r="CH505" s="5"/>
      <c r="CI505" s="5"/>
      <c r="CJ505" s="5"/>
      <c r="CK505" s="5"/>
      <c r="CL505" s="5"/>
      <c r="CM505" s="5"/>
      <c r="CN505" s="9" t="s">
        <v>4667</v>
      </c>
      <c r="CO505" t="s">
        <v>4668</v>
      </c>
      <c r="CR505">
        <v>99999</v>
      </c>
    </row>
    <row r="506" spans="1:108" x14ac:dyDescent="0.25">
      <c r="A506" t="s">
        <v>4669</v>
      </c>
      <c r="C506" t="s">
        <v>3512</v>
      </c>
      <c r="D506" t="s">
        <v>4038</v>
      </c>
      <c r="E506" t="s">
        <v>4039</v>
      </c>
      <c r="F506" t="s">
        <v>4670</v>
      </c>
      <c r="G506">
        <v>3</v>
      </c>
      <c r="J506" t="s">
        <v>3342</v>
      </c>
      <c r="K506" s="5" t="s">
        <v>3344</v>
      </c>
      <c r="U506" s="5">
        <v>0.5</v>
      </c>
      <c r="AC506">
        <v>1</v>
      </c>
      <c r="AO506" t="s">
        <v>3408</v>
      </c>
      <c r="AT506" t="s">
        <v>3446</v>
      </c>
      <c r="AY506" s="5">
        <v>1</v>
      </c>
      <c r="AZ506">
        <v>1.8</v>
      </c>
      <c r="BD506">
        <v>1</v>
      </c>
      <c r="BT506">
        <v>0.2</v>
      </c>
      <c r="BV506" s="8">
        <v>0</v>
      </c>
      <c r="BW506" s="8">
        <v>4</v>
      </c>
      <c r="BX506" s="8">
        <v>3</v>
      </c>
      <c r="BY506" s="8" t="s">
        <v>3344</v>
      </c>
      <c r="CB506" s="5" t="s">
        <v>136</v>
      </c>
      <c r="CC506" s="5"/>
      <c r="CD506" s="5"/>
      <c r="CE506" s="5"/>
      <c r="CF506" s="5"/>
      <c r="CG506" t="s">
        <v>3410</v>
      </c>
      <c r="CJ506" s="5"/>
      <c r="CK506" s="5"/>
      <c r="CL506" s="5"/>
      <c r="CM506" s="5"/>
      <c r="CU506" t="s">
        <v>4069</v>
      </c>
      <c r="CX506" t="s">
        <v>4671</v>
      </c>
      <c r="CY506" t="s">
        <v>4672</v>
      </c>
    </row>
    <row r="507" spans="1:108" ht="14.5" x14ac:dyDescent="0.25">
      <c r="A507" t="s">
        <v>4673</v>
      </c>
      <c r="C507" t="s">
        <v>3512</v>
      </c>
      <c r="D507" t="s">
        <v>4674</v>
      </c>
      <c r="E507" t="s">
        <v>4675</v>
      </c>
      <c r="F507" t="s">
        <v>4676</v>
      </c>
      <c r="G507">
        <v>3</v>
      </c>
      <c r="J507" t="s">
        <v>3342</v>
      </c>
      <c r="K507" s="5" t="s">
        <v>3344</v>
      </c>
      <c r="AC507">
        <v>1</v>
      </c>
      <c r="AT507" t="s">
        <v>4240</v>
      </c>
      <c r="AY507" s="5">
        <v>1</v>
      </c>
      <c r="AZ507">
        <v>1.4</v>
      </c>
      <c r="BD507">
        <v>99</v>
      </c>
      <c r="BT507">
        <v>0.2</v>
      </c>
      <c r="BV507" s="8">
        <v>0</v>
      </c>
      <c r="BW507" s="8">
        <v>7</v>
      </c>
      <c r="BX507" s="8">
        <v>1</v>
      </c>
      <c r="BY507" s="8" t="s">
        <v>3344</v>
      </c>
      <c r="CB507" s="5" t="s">
        <v>3629</v>
      </c>
      <c r="CC507" s="5"/>
      <c r="CD507" s="5"/>
      <c r="CE507" s="5"/>
      <c r="CF507" s="5"/>
      <c r="CG507" t="s">
        <v>3410</v>
      </c>
      <c r="CH507" s="5"/>
      <c r="CI507" s="5"/>
      <c r="CJ507" s="5"/>
      <c r="CK507" s="5"/>
      <c r="CL507" s="5"/>
      <c r="CM507" s="5"/>
      <c r="CU507" t="s">
        <v>4069</v>
      </c>
      <c r="CX507" t="s">
        <v>4677</v>
      </c>
    </row>
    <row r="508" spans="1:108" x14ac:dyDescent="0.25">
      <c r="A508" t="s">
        <v>4678</v>
      </c>
      <c r="C508" t="s">
        <v>3512</v>
      </c>
      <c r="D508" t="s">
        <v>4679</v>
      </c>
      <c r="E508" t="s">
        <v>4680</v>
      </c>
      <c r="F508" t="s">
        <v>4681</v>
      </c>
      <c r="G508">
        <v>3</v>
      </c>
      <c r="J508" t="s">
        <v>3445</v>
      </c>
      <c r="K508" s="5" t="s">
        <v>3343</v>
      </c>
      <c r="AC508">
        <v>1</v>
      </c>
      <c r="AT508" t="s">
        <v>4549</v>
      </c>
      <c r="AY508" s="5">
        <v>1</v>
      </c>
      <c r="AZ508">
        <v>0.35</v>
      </c>
      <c r="BD508">
        <v>99</v>
      </c>
      <c r="BO508" s="7" t="s">
        <v>4682</v>
      </c>
      <c r="BS508">
        <v>1</v>
      </c>
      <c r="BT508">
        <v>30</v>
      </c>
      <c r="BV508" s="8">
        <v>70</v>
      </c>
      <c r="BW508" s="8">
        <v>80</v>
      </c>
      <c r="BX508" s="8">
        <v>1</v>
      </c>
      <c r="BY508" s="8" t="s">
        <v>3344</v>
      </c>
      <c r="CB508" t="s">
        <v>801</v>
      </c>
      <c r="CE508" t="s">
        <v>801</v>
      </c>
      <c r="CG508" t="s">
        <v>3831</v>
      </c>
      <c r="CH508" s="5"/>
      <c r="CI508" s="5"/>
      <c r="CJ508" s="5"/>
      <c r="CK508" s="5"/>
      <c r="CL508" s="5"/>
      <c r="CM508" s="5"/>
      <c r="CU508" t="s">
        <v>4069</v>
      </c>
      <c r="DC508" t="s">
        <v>4683</v>
      </c>
    </row>
    <row r="509" spans="1:108" x14ac:dyDescent="0.25">
      <c r="A509" t="s">
        <v>4684</v>
      </c>
      <c r="C509" t="s">
        <v>3326</v>
      </c>
      <c r="J509" t="s">
        <v>3445</v>
      </c>
      <c r="K509" s="5" t="s">
        <v>3344</v>
      </c>
      <c r="AC509">
        <v>2</v>
      </c>
      <c r="AT509" t="s">
        <v>4549</v>
      </c>
      <c r="AY509" s="5"/>
      <c r="BD509">
        <v>99</v>
      </c>
      <c r="BS509">
        <v>0.1</v>
      </c>
      <c r="CB509" s="5"/>
      <c r="CC509" s="5"/>
      <c r="CD509" s="5"/>
      <c r="CE509" s="5"/>
      <c r="CF509" s="5"/>
      <c r="CG509" t="s">
        <v>3831</v>
      </c>
      <c r="CH509" s="5"/>
      <c r="CI509" s="5"/>
      <c r="CJ509" s="5"/>
      <c r="CK509" s="5"/>
      <c r="CL509" s="5"/>
      <c r="CM509" s="5"/>
      <c r="CN509" s="9" t="s">
        <v>4685</v>
      </c>
      <c r="CO509" t="s">
        <v>4686</v>
      </c>
      <c r="CR509">
        <v>0.1</v>
      </c>
    </row>
    <row r="510" spans="1:108" x14ac:dyDescent="0.25">
      <c r="A510" t="s">
        <v>4685</v>
      </c>
      <c r="C510" t="s">
        <v>3326</v>
      </c>
      <c r="K510" s="5" t="s">
        <v>3314</v>
      </c>
      <c r="L510" s="5" t="s">
        <v>3452</v>
      </c>
      <c r="AC510">
        <v>1</v>
      </c>
      <c r="AY510" s="5"/>
      <c r="BD510">
        <v>1</v>
      </c>
      <c r="CB510" s="5"/>
      <c r="CC510" s="5"/>
      <c r="CD510" s="5"/>
      <c r="CE510" s="5"/>
      <c r="CF510" s="5"/>
      <c r="CH510" s="5"/>
      <c r="CI510" s="5"/>
      <c r="CJ510" s="5"/>
      <c r="CK510" s="5"/>
      <c r="CL510" s="5"/>
      <c r="CM510" s="5"/>
      <c r="CN510" s="9" t="s">
        <v>4687</v>
      </c>
      <c r="CR510">
        <v>30</v>
      </c>
      <c r="DD510">
        <v>1</v>
      </c>
    </row>
    <row r="511" spans="1:108" x14ac:dyDescent="0.25">
      <c r="AY511" s="5"/>
      <c r="CB511" s="5"/>
      <c r="CC511" s="5"/>
      <c r="CD511" s="5"/>
      <c r="CE511" s="5"/>
      <c r="CF511" s="5"/>
      <c r="CH511" s="5"/>
      <c r="CI511" s="5"/>
      <c r="CJ511" s="5"/>
      <c r="CK511" s="5"/>
      <c r="CL511" s="5"/>
      <c r="CM511" s="5"/>
    </row>
    <row r="512" spans="1:108" x14ac:dyDescent="0.25">
      <c r="A512" t="s">
        <v>4688</v>
      </c>
      <c r="C512" t="s">
        <v>3416</v>
      </c>
      <c r="AC512">
        <v>2</v>
      </c>
      <c r="AO512" t="s">
        <v>3417</v>
      </c>
      <c r="AT512" t="s">
        <v>3418</v>
      </c>
      <c r="AX512" t="s">
        <v>3419</v>
      </c>
      <c r="AZ512">
        <v>1</v>
      </c>
      <c r="BD512">
        <v>1</v>
      </c>
      <c r="CB512" t="s">
        <v>4689</v>
      </c>
      <c r="CG512" t="s">
        <v>3410</v>
      </c>
    </row>
    <row r="513" spans="1:98" x14ac:dyDescent="0.25">
      <c r="A513" t="s">
        <v>4690</v>
      </c>
      <c r="C513" t="s">
        <v>3416</v>
      </c>
      <c r="AA513">
        <v>0.2</v>
      </c>
      <c r="AC513">
        <v>2</v>
      </c>
      <c r="AO513" t="s">
        <v>3417</v>
      </c>
      <c r="AT513" t="s">
        <v>3418</v>
      </c>
      <c r="AX513" t="s">
        <v>3419</v>
      </c>
      <c r="AZ513">
        <v>1.65</v>
      </c>
      <c r="BD513">
        <v>1</v>
      </c>
      <c r="CB513" t="s">
        <v>4691</v>
      </c>
      <c r="CG513" t="s">
        <v>3410</v>
      </c>
      <c r="CN513" s="9" t="s">
        <v>3538</v>
      </c>
      <c r="CO513">
        <v>-0.15</v>
      </c>
      <c r="CR513">
        <v>3</v>
      </c>
    </row>
    <row r="514" spans="1:98" x14ac:dyDescent="0.25">
      <c r="A514" t="s">
        <v>4692</v>
      </c>
      <c r="C514" t="s">
        <v>3326</v>
      </c>
      <c r="K514" s="5" t="s">
        <v>3314</v>
      </c>
      <c r="L514" s="5" t="s">
        <v>3414</v>
      </c>
      <c r="AC514">
        <v>1</v>
      </c>
      <c r="AY514" s="5"/>
      <c r="BD514">
        <v>99</v>
      </c>
      <c r="BV514"/>
      <c r="BW514"/>
      <c r="BX514"/>
      <c r="BY514"/>
      <c r="BZ514"/>
      <c r="CA514"/>
      <c r="CB514" s="5"/>
      <c r="CC514" s="5"/>
      <c r="CD514" s="5"/>
      <c r="CE514" s="5"/>
      <c r="CF514" s="5"/>
      <c r="CH514" s="5"/>
      <c r="CI514" s="5"/>
      <c r="CJ514" s="5"/>
      <c r="CK514" s="5"/>
      <c r="CL514" s="5"/>
      <c r="CM514" s="5"/>
      <c r="CN514" s="9" t="s">
        <v>4693</v>
      </c>
      <c r="CO514">
        <v>0.1</v>
      </c>
      <c r="CP514">
        <v>0.15</v>
      </c>
      <c r="CR514">
        <v>99999</v>
      </c>
      <c r="CT514">
        <v>1</v>
      </c>
    </row>
    <row r="515" spans="1:98" x14ac:dyDescent="0.25">
      <c r="A515" t="s">
        <v>4694</v>
      </c>
      <c r="C515" t="s">
        <v>3326</v>
      </c>
      <c r="D515" t="s">
        <v>4695</v>
      </c>
      <c r="E515" t="s">
        <v>4696</v>
      </c>
      <c r="F515" t="s">
        <v>4697</v>
      </c>
      <c r="J515" t="s">
        <v>3342</v>
      </c>
      <c r="K515" s="5" t="s">
        <v>3344</v>
      </c>
      <c r="AC515">
        <v>2</v>
      </c>
      <c r="AT515" t="s">
        <v>3418</v>
      </c>
      <c r="AX515" t="s">
        <v>3419</v>
      </c>
      <c r="AY515" s="5"/>
      <c r="AZ515">
        <v>2.2999999999999998</v>
      </c>
      <c r="BD515">
        <v>2</v>
      </c>
      <c r="BT515">
        <v>0.2</v>
      </c>
      <c r="BV515" s="8">
        <v>0</v>
      </c>
      <c r="BW515" s="8">
        <v>3</v>
      </c>
      <c r="BX515" s="8">
        <v>1</v>
      </c>
      <c r="BY515" s="8" t="s">
        <v>3497</v>
      </c>
      <c r="CB515" t="s">
        <v>627</v>
      </c>
      <c r="CC515" s="5"/>
      <c r="CD515" s="5"/>
      <c r="CE515" s="5"/>
      <c r="CF515" s="5"/>
      <c r="CG515" t="s">
        <v>3410</v>
      </c>
      <c r="CH515" s="5"/>
      <c r="CI515" s="5"/>
      <c r="CK515" s="5"/>
      <c r="CL515" s="5"/>
      <c r="CM515" s="5"/>
    </row>
    <row r="516" spans="1:98" x14ac:dyDescent="0.25">
      <c r="A516" t="s">
        <v>4698</v>
      </c>
      <c r="C516" t="s">
        <v>3326</v>
      </c>
      <c r="D516" t="s">
        <v>4699</v>
      </c>
      <c r="E516" t="s">
        <v>4700</v>
      </c>
      <c r="F516" t="s">
        <v>4701</v>
      </c>
      <c r="J516" t="s">
        <v>3342</v>
      </c>
      <c r="K516" s="5" t="s">
        <v>3343</v>
      </c>
      <c r="AB516">
        <v>1</v>
      </c>
      <c r="AC516">
        <v>1</v>
      </c>
      <c r="AG516" s="20" t="s">
        <v>6197</v>
      </c>
      <c r="BD516">
        <v>1</v>
      </c>
      <c r="BO516" s="7" t="s">
        <v>4702</v>
      </c>
      <c r="BS516">
        <v>0</v>
      </c>
      <c r="BT516">
        <v>0.2</v>
      </c>
      <c r="BV516" s="8">
        <v>0</v>
      </c>
      <c r="BW516" s="8">
        <v>5</v>
      </c>
      <c r="BX516" s="8">
        <v>1</v>
      </c>
      <c r="BY516" s="8" t="s">
        <v>3344</v>
      </c>
      <c r="CN516" s="9" t="s">
        <v>4703</v>
      </c>
      <c r="CO516" s="2" t="s">
        <v>4704</v>
      </c>
      <c r="CR516">
        <v>99999</v>
      </c>
    </row>
    <row r="517" spans="1:98" x14ac:dyDescent="0.25">
      <c r="A517" t="s">
        <v>4705</v>
      </c>
      <c r="C517" t="s">
        <v>3456</v>
      </c>
      <c r="O517" t="s">
        <v>4706</v>
      </c>
      <c r="AC517">
        <v>2</v>
      </c>
      <c r="AO517" t="s">
        <v>3417</v>
      </c>
      <c r="AT517" t="s">
        <v>3441</v>
      </c>
      <c r="AX517" t="s">
        <v>3419</v>
      </c>
      <c r="AZ517">
        <v>1</v>
      </c>
      <c r="BD517">
        <v>2</v>
      </c>
      <c r="CB517" t="s">
        <v>4518</v>
      </c>
      <c r="CG517" t="s">
        <v>3410</v>
      </c>
    </row>
    <row r="518" spans="1:98" x14ac:dyDescent="0.25">
      <c r="A518" t="s">
        <v>4707</v>
      </c>
      <c r="C518" t="s">
        <v>3456</v>
      </c>
      <c r="O518" t="s">
        <v>4706</v>
      </c>
      <c r="AA518">
        <v>0.2</v>
      </c>
      <c r="AC518">
        <v>2</v>
      </c>
      <c r="AO518" t="s">
        <v>3417</v>
      </c>
      <c r="AT518" t="s">
        <v>3441</v>
      </c>
      <c r="AX518" t="s">
        <v>3419</v>
      </c>
      <c r="AZ518">
        <v>1.65</v>
      </c>
      <c r="BD518">
        <v>2</v>
      </c>
      <c r="CB518" t="s">
        <v>4518</v>
      </c>
      <c r="CG518" t="s">
        <v>3410</v>
      </c>
      <c r="CN518" s="9" t="s">
        <v>3538</v>
      </c>
      <c r="CO518">
        <v>-0.15</v>
      </c>
      <c r="CR518">
        <v>3</v>
      </c>
    </row>
    <row r="519" spans="1:98" x14ac:dyDescent="0.25">
      <c r="A519" t="s">
        <v>4708</v>
      </c>
      <c r="C519" t="s">
        <v>3717</v>
      </c>
      <c r="D519" t="s">
        <v>4709</v>
      </c>
      <c r="E519" t="s">
        <v>4710</v>
      </c>
      <c r="F519" t="s">
        <v>4711</v>
      </c>
      <c r="J519" t="s">
        <v>3445</v>
      </c>
      <c r="K519" s="5" t="s">
        <v>3343</v>
      </c>
      <c r="AB519">
        <v>1</v>
      </c>
      <c r="AC519">
        <v>2</v>
      </c>
      <c r="AO519" t="s">
        <v>3417</v>
      </c>
      <c r="AT519" t="s">
        <v>4712</v>
      </c>
      <c r="AX519" t="s">
        <v>3419</v>
      </c>
      <c r="AZ519">
        <v>1</v>
      </c>
      <c r="BD519">
        <v>4</v>
      </c>
      <c r="BE519">
        <v>1</v>
      </c>
      <c r="BM519">
        <v>1</v>
      </c>
      <c r="BO519" s="7" t="s">
        <v>4713</v>
      </c>
      <c r="BT519">
        <v>30</v>
      </c>
      <c r="BV519" s="8">
        <v>25</v>
      </c>
      <c r="BW519" s="8">
        <v>40</v>
      </c>
      <c r="BX519" s="8">
        <v>1</v>
      </c>
      <c r="BY519" s="8" t="s">
        <v>3344</v>
      </c>
      <c r="CB519" t="s">
        <v>4714</v>
      </c>
      <c r="CG519" t="s">
        <v>3410</v>
      </c>
    </row>
    <row r="520" spans="1:98" x14ac:dyDescent="0.25">
      <c r="A520" t="s">
        <v>4715</v>
      </c>
      <c r="C520" t="s">
        <v>3717</v>
      </c>
      <c r="J520" t="s">
        <v>3445</v>
      </c>
      <c r="K520" s="5" t="s">
        <v>3344</v>
      </c>
      <c r="AA520">
        <v>0.75</v>
      </c>
      <c r="AC520">
        <v>2</v>
      </c>
      <c r="AO520" t="s">
        <v>3417</v>
      </c>
      <c r="AT520" t="s">
        <v>4712</v>
      </c>
      <c r="AX520" t="s">
        <v>3419</v>
      </c>
      <c r="AZ520">
        <v>1.65</v>
      </c>
      <c r="BD520">
        <v>4</v>
      </c>
      <c r="BE520">
        <v>1</v>
      </c>
      <c r="BM520">
        <v>1</v>
      </c>
      <c r="CB520" t="s">
        <v>4714</v>
      </c>
      <c r="CG520" t="s">
        <v>3410</v>
      </c>
      <c r="CN520" s="9" t="s">
        <v>3538</v>
      </c>
      <c r="CO520">
        <v>-0.15</v>
      </c>
      <c r="CR520">
        <v>3</v>
      </c>
    </row>
    <row r="521" spans="1:98" x14ac:dyDescent="0.25">
      <c r="A521" t="s">
        <v>4716</v>
      </c>
      <c r="C521" t="s">
        <v>3326</v>
      </c>
      <c r="K521" s="5" t="s">
        <v>3314</v>
      </c>
      <c r="L521" s="5" t="s">
        <v>3452</v>
      </c>
      <c r="AC521">
        <v>1</v>
      </c>
      <c r="CN521" s="9" t="s">
        <v>4717</v>
      </c>
      <c r="CO521" t="s">
        <v>4718</v>
      </c>
      <c r="CR521">
        <v>30</v>
      </c>
    </row>
    <row r="523" spans="1:98" x14ac:dyDescent="0.25">
      <c r="A523" t="s">
        <v>4719</v>
      </c>
    </row>
    <row r="530" spans="1:103" x14ac:dyDescent="0.25">
      <c r="A530" t="s">
        <v>4720</v>
      </c>
      <c r="C530" t="s">
        <v>3326</v>
      </c>
      <c r="E530" t="s">
        <v>4721</v>
      </c>
      <c r="F530" t="s">
        <v>4722</v>
      </c>
      <c r="AC530">
        <v>2</v>
      </c>
      <c r="AO530" t="s">
        <v>3417</v>
      </c>
      <c r="AT530" t="s">
        <v>3409</v>
      </c>
      <c r="AX530" t="s">
        <v>3432</v>
      </c>
      <c r="AZ530">
        <v>1</v>
      </c>
      <c r="BD530">
        <v>1</v>
      </c>
      <c r="BS530">
        <v>2</v>
      </c>
      <c r="CB530" t="s">
        <v>136</v>
      </c>
      <c r="CG530" t="s">
        <v>3410</v>
      </c>
      <c r="CH530" t="s">
        <v>4723</v>
      </c>
      <c r="CN530" s="9" t="s">
        <v>3486</v>
      </c>
      <c r="CO530">
        <v>-0.8</v>
      </c>
      <c r="CW530" t="s">
        <v>4724</v>
      </c>
      <c r="CY530" t="s">
        <v>4725</v>
      </c>
    </row>
    <row r="532" spans="1:103" x14ac:dyDescent="0.25">
      <c r="A532" t="s">
        <v>4726</v>
      </c>
      <c r="C532" t="s">
        <v>3326</v>
      </c>
      <c r="E532" t="s">
        <v>4727</v>
      </c>
      <c r="F532" t="s">
        <v>4728</v>
      </c>
      <c r="J532" t="s">
        <v>3445</v>
      </c>
      <c r="K532" s="5" t="s">
        <v>3343</v>
      </c>
      <c r="AC532">
        <v>2</v>
      </c>
      <c r="AO532" t="s">
        <v>3417</v>
      </c>
      <c r="AT532" t="s">
        <v>4712</v>
      </c>
      <c r="BD532">
        <v>100</v>
      </c>
      <c r="BR532" t="s">
        <v>4729</v>
      </c>
      <c r="BS532">
        <v>0.2</v>
      </c>
      <c r="BT532">
        <v>10</v>
      </c>
      <c r="BV532" s="8">
        <v>48</v>
      </c>
      <c r="BW532" s="8">
        <v>50</v>
      </c>
      <c r="BX532" s="8">
        <v>1</v>
      </c>
      <c r="BY532" s="8" t="s">
        <v>3344</v>
      </c>
      <c r="CN532" s="9" t="s">
        <v>3486</v>
      </c>
      <c r="CO532">
        <v>-0.8</v>
      </c>
      <c r="CR532">
        <v>99999</v>
      </c>
      <c r="CT532">
        <v>1</v>
      </c>
    </row>
    <row r="533" spans="1:103" x14ac:dyDescent="0.25">
      <c r="A533" t="s">
        <v>4729</v>
      </c>
      <c r="C533" t="s">
        <v>3326</v>
      </c>
      <c r="E533" t="s">
        <v>4727</v>
      </c>
      <c r="F533" t="s">
        <v>4728</v>
      </c>
      <c r="J533" t="s">
        <v>3445</v>
      </c>
      <c r="K533" s="5" t="s">
        <v>3343</v>
      </c>
      <c r="AC533">
        <v>2</v>
      </c>
      <c r="AO533" t="s">
        <v>3417</v>
      </c>
      <c r="AT533" t="s">
        <v>4549</v>
      </c>
      <c r="BD533">
        <v>100</v>
      </c>
      <c r="BS533">
        <v>0.2</v>
      </c>
      <c r="BT533">
        <v>9999</v>
      </c>
      <c r="BV533" s="8">
        <v>0</v>
      </c>
      <c r="BW533" s="8">
        <v>10</v>
      </c>
      <c r="BX533" s="8">
        <v>1</v>
      </c>
      <c r="BY533" s="8" t="s">
        <v>3344</v>
      </c>
      <c r="CN533" s="9" t="s">
        <v>3486</v>
      </c>
      <c r="CO533">
        <v>-0.8</v>
      </c>
      <c r="CR533">
        <v>99999</v>
      </c>
      <c r="CT533">
        <v>1</v>
      </c>
    </row>
    <row r="534" spans="1:103" x14ac:dyDescent="0.25">
      <c r="A534" t="s">
        <v>4730</v>
      </c>
      <c r="C534" t="s">
        <v>3326</v>
      </c>
      <c r="K534" s="5" t="s">
        <v>3344</v>
      </c>
      <c r="AC534">
        <v>1</v>
      </c>
      <c r="AO534" t="s">
        <v>3417</v>
      </c>
      <c r="AT534" t="s">
        <v>4549</v>
      </c>
      <c r="AY534">
        <v>1</v>
      </c>
      <c r="AZ534">
        <v>0.05</v>
      </c>
      <c r="BD534">
        <v>100</v>
      </c>
      <c r="BS534">
        <v>0.2</v>
      </c>
    </row>
    <row r="536" spans="1:103" x14ac:dyDescent="0.25">
      <c r="A536" t="s">
        <v>4731</v>
      </c>
      <c r="C536" t="s">
        <v>3326</v>
      </c>
      <c r="D536" t="s">
        <v>4732</v>
      </c>
      <c r="K536" s="5" t="s">
        <v>3344</v>
      </c>
      <c r="AC536">
        <v>2</v>
      </c>
      <c r="AO536" t="s">
        <v>3417</v>
      </c>
      <c r="AT536" t="s">
        <v>3409</v>
      </c>
      <c r="AX536" t="s">
        <v>3432</v>
      </c>
      <c r="AZ536">
        <v>2</v>
      </c>
      <c r="BD536">
        <v>1</v>
      </c>
      <c r="BE536">
        <v>3</v>
      </c>
      <c r="BS536">
        <v>0.2</v>
      </c>
      <c r="BT536">
        <v>0.2</v>
      </c>
      <c r="BV536" s="8">
        <v>0</v>
      </c>
      <c r="BW536" s="8">
        <v>3</v>
      </c>
      <c r="BX536" s="8">
        <v>2</v>
      </c>
      <c r="BY536" s="8" t="s">
        <v>3344</v>
      </c>
      <c r="CB536" t="s">
        <v>136</v>
      </c>
      <c r="CG536" t="s">
        <v>3410</v>
      </c>
      <c r="CH536" t="s">
        <v>4733</v>
      </c>
    </row>
    <row r="537" spans="1:103" x14ac:dyDescent="0.25">
      <c r="A537" t="s">
        <v>4734</v>
      </c>
      <c r="C537" t="s">
        <v>3326</v>
      </c>
      <c r="D537" t="s">
        <v>4732</v>
      </c>
      <c r="K537" s="5" t="s">
        <v>3343</v>
      </c>
      <c r="AC537">
        <v>2</v>
      </c>
      <c r="AO537" t="s">
        <v>3417</v>
      </c>
      <c r="AT537" t="s">
        <v>3409</v>
      </c>
      <c r="AX537" t="s">
        <v>3432</v>
      </c>
      <c r="AZ537">
        <v>2</v>
      </c>
      <c r="BD537">
        <v>1</v>
      </c>
      <c r="BE537">
        <v>3</v>
      </c>
      <c r="BS537">
        <v>2</v>
      </c>
      <c r="BT537">
        <v>10</v>
      </c>
      <c r="BV537" s="8">
        <v>0</v>
      </c>
      <c r="BW537" s="8">
        <v>3</v>
      </c>
      <c r="BX537" s="8">
        <v>1</v>
      </c>
      <c r="BY537" s="8" t="s">
        <v>3344</v>
      </c>
      <c r="CB537" t="s">
        <v>136</v>
      </c>
      <c r="CG537" t="s">
        <v>3410</v>
      </c>
      <c r="CH537" t="s">
        <v>4733</v>
      </c>
    </row>
    <row r="539" spans="1:103" x14ac:dyDescent="0.25">
      <c r="A539" t="s">
        <v>4735</v>
      </c>
      <c r="C539" t="s">
        <v>3717</v>
      </c>
      <c r="E539" t="s">
        <v>4736</v>
      </c>
      <c r="F539" t="s">
        <v>4722</v>
      </c>
      <c r="J539" t="s">
        <v>3342</v>
      </c>
      <c r="K539" s="5" t="s">
        <v>3343</v>
      </c>
      <c r="AB539">
        <v>1</v>
      </c>
      <c r="AC539">
        <v>2</v>
      </c>
      <c r="AO539" t="s">
        <v>3417</v>
      </c>
      <c r="AT539" t="s">
        <v>3418</v>
      </c>
      <c r="AX539" t="s">
        <v>3419</v>
      </c>
      <c r="AZ539">
        <v>1.5</v>
      </c>
      <c r="BD539">
        <v>99</v>
      </c>
      <c r="BS539">
        <v>1</v>
      </c>
      <c r="BT539">
        <v>0.3</v>
      </c>
      <c r="BV539" s="8">
        <v>1</v>
      </c>
      <c r="BW539" s="8">
        <v>1</v>
      </c>
      <c r="BX539" s="8">
        <v>1</v>
      </c>
      <c r="BY539" s="8" t="s">
        <v>3344</v>
      </c>
      <c r="CB539" t="s">
        <v>136</v>
      </c>
      <c r="CG539" t="s">
        <v>3410</v>
      </c>
    </row>
    <row r="540" spans="1:103" x14ac:dyDescent="0.25">
      <c r="A540" t="s">
        <v>4737</v>
      </c>
      <c r="C540" t="s">
        <v>3701</v>
      </c>
      <c r="E540" t="s">
        <v>4738</v>
      </c>
      <c r="K540" s="5" t="s">
        <v>3343</v>
      </c>
    </row>
    <row r="542" spans="1:103" x14ac:dyDescent="0.25">
      <c r="A542" t="s">
        <v>4739</v>
      </c>
      <c r="C542" t="s">
        <v>3326</v>
      </c>
      <c r="K542" s="5" t="s">
        <v>3314</v>
      </c>
      <c r="L542" s="5" t="s">
        <v>3330</v>
      </c>
      <c r="AC542">
        <v>1</v>
      </c>
      <c r="AG542" t="s">
        <v>3316</v>
      </c>
      <c r="CN542" s="9" t="s">
        <v>4740</v>
      </c>
      <c r="CO542">
        <v>-10</v>
      </c>
    </row>
    <row r="544" spans="1:103" x14ac:dyDescent="0.25">
      <c r="A544" t="s">
        <v>4741</v>
      </c>
      <c r="C544" t="s">
        <v>4742</v>
      </c>
      <c r="J544" t="s">
        <v>3342</v>
      </c>
      <c r="K544" s="5" t="s">
        <v>3344</v>
      </c>
      <c r="W544" s="5">
        <v>1</v>
      </c>
      <c r="BN544">
        <v>10</v>
      </c>
      <c r="BT544">
        <v>0.2</v>
      </c>
      <c r="BV544" s="8">
        <v>0</v>
      </c>
      <c r="BW544" s="8">
        <v>5</v>
      </c>
      <c r="BX544" s="8">
        <v>1</v>
      </c>
      <c r="BY544" s="8" t="s">
        <v>3344</v>
      </c>
    </row>
    <row r="545" spans="1:109" x14ac:dyDescent="0.25">
      <c r="A545" t="s">
        <v>4743</v>
      </c>
      <c r="C545" t="s">
        <v>4744</v>
      </c>
      <c r="J545" t="s">
        <v>3445</v>
      </c>
      <c r="K545" s="5" t="s">
        <v>3343</v>
      </c>
      <c r="BN545">
        <v>10</v>
      </c>
      <c r="BT545">
        <v>5</v>
      </c>
      <c r="BV545" s="8">
        <v>5</v>
      </c>
      <c r="BW545" s="8">
        <v>5</v>
      </c>
      <c r="BX545" s="8">
        <v>1</v>
      </c>
      <c r="BY545" s="8" t="s">
        <v>3344</v>
      </c>
    </row>
    <row r="546" spans="1:109" x14ac:dyDescent="0.25">
      <c r="A546" t="s">
        <v>4745</v>
      </c>
      <c r="C546" t="s">
        <v>4742</v>
      </c>
      <c r="J546" t="s">
        <v>3342</v>
      </c>
      <c r="K546" s="5" t="s">
        <v>3344</v>
      </c>
      <c r="L546" s="5" t="s">
        <v>3969</v>
      </c>
      <c r="W546" s="5">
        <v>1</v>
      </c>
      <c r="BN546">
        <v>10</v>
      </c>
      <c r="BT546">
        <v>0.2</v>
      </c>
      <c r="BV546" s="8">
        <v>0</v>
      </c>
      <c r="BW546" s="8">
        <v>5</v>
      </c>
      <c r="BX546" s="8">
        <v>1</v>
      </c>
      <c r="BY546" s="8" t="s">
        <v>3344</v>
      </c>
    </row>
    <row r="547" spans="1:109" x14ac:dyDescent="0.25">
      <c r="A547" t="s">
        <v>4746</v>
      </c>
      <c r="C547" t="s">
        <v>4155</v>
      </c>
      <c r="K547" s="5" t="s">
        <v>3314</v>
      </c>
      <c r="L547" s="5" t="s">
        <v>3330</v>
      </c>
      <c r="CK547" t="s">
        <v>4747</v>
      </c>
    </row>
    <row r="549" spans="1:109" s="4" customFormat="1" x14ac:dyDescent="0.25">
      <c r="A549" s="4" t="s">
        <v>4748</v>
      </c>
      <c r="K549" s="15"/>
      <c r="L549" s="15"/>
      <c r="M549" s="15"/>
      <c r="N549" s="15"/>
      <c r="O549" s="15"/>
      <c r="P549" s="15"/>
      <c r="Q549" s="15"/>
      <c r="R549" s="15"/>
      <c r="S549" s="15"/>
      <c r="T549" s="15"/>
      <c r="U549" s="15"/>
      <c r="V549" s="15"/>
      <c r="W549" s="15"/>
      <c r="X549" s="15"/>
      <c r="AR549"/>
      <c r="AS549"/>
      <c r="AW549" s="6"/>
      <c r="BO549" s="7"/>
      <c r="BP549" s="7"/>
      <c r="BV549" s="16"/>
      <c r="BW549" s="16"/>
      <c r="BX549" s="16"/>
      <c r="BY549" s="16"/>
      <c r="BZ549" s="16"/>
      <c r="CA549" s="16"/>
      <c r="CN549" s="9"/>
    </row>
    <row r="550" spans="1:109" x14ac:dyDescent="0.25">
      <c r="A550" t="s">
        <v>231</v>
      </c>
      <c r="C550" t="s">
        <v>3416</v>
      </c>
      <c r="AC550">
        <v>1</v>
      </c>
      <c r="AN550">
        <v>1</v>
      </c>
      <c r="AO550" t="s">
        <v>4749</v>
      </c>
      <c r="AV550">
        <v>0</v>
      </c>
      <c r="AX550" t="s">
        <v>3419</v>
      </c>
      <c r="AZ550">
        <v>1</v>
      </c>
      <c r="BD550">
        <v>1</v>
      </c>
      <c r="CB550" t="s">
        <v>136</v>
      </c>
      <c r="CG550" t="s">
        <v>3410</v>
      </c>
    </row>
    <row r="551" spans="1:109" x14ac:dyDescent="0.25">
      <c r="A551" t="s">
        <v>1137</v>
      </c>
      <c r="C551" t="s">
        <v>3416</v>
      </c>
      <c r="AC551">
        <v>1</v>
      </c>
      <c r="AN551">
        <v>1</v>
      </c>
      <c r="AO551" t="s">
        <v>4749</v>
      </c>
      <c r="AV551">
        <v>0</v>
      </c>
      <c r="AX551" t="s">
        <v>3432</v>
      </c>
      <c r="AZ551">
        <v>1</v>
      </c>
      <c r="BD551">
        <v>1</v>
      </c>
      <c r="CB551" t="s">
        <v>136</v>
      </c>
      <c r="CG551" t="s">
        <v>3410</v>
      </c>
    </row>
    <row r="552" spans="1:109" x14ac:dyDescent="0.25">
      <c r="AN552">
        <v>1</v>
      </c>
    </row>
    <row r="553" spans="1:109" x14ac:dyDescent="0.25">
      <c r="A553" t="s">
        <v>281</v>
      </c>
      <c r="C553" t="s">
        <v>3326</v>
      </c>
      <c r="AC553">
        <v>1</v>
      </c>
      <c r="AN553">
        <v>1</v>
      </c>
      <c r="AO553" t="s">
        <v>4749</v>
      </c>
      <c r="AP553" t="s">
        <v>4750</v>
      </c>
      <c r="AV553">
        <v>2</v>
      </c>
      <c r="AX553" t="s">
        <v>3419</v>
      </c>
      <c r="AZ553">
        <v>1</v>
      </c>
      <c r="BD553">
        <v>1</v>
      </c>
      <c r="BS553">
        <v>2</v>
      </c>
      <c r="CB553" t="s">
        <v>136</v>
      </c>
      <c r="CG553" t="s">
        <v>3410</v>
      </c>
      <c r="CH553" t="s">
        <v>4723</v>
      </c>
    </row>
    <row r="554" spans="1:109" x14ac:dyDescent="0.25">
      <c r="A554" t="s">
        <v>4751</v>
      </c>
      <c r="C554" t="s">
        <v>3416</v>
      </c>
      <c r="AC554">
        <v>1</v>
      </c>
      <c r="AN554">
        <v>1</v>
      </c>
      <c r="AO554" t="s">
        <v>4749</v>
      </c>
      <c r="AV554">
        <v>0</v>
      </c>
      <c r="AX554" t="s">
        <v>3419</v>
      </c>
      <c r="AZ554">
        <v>1</v>
      </c>
      <c r="BD554">
        <v>1</v>
      </c>
      <c r="BS554">
        <v>1</v>
      </c>
      <c r="CB554" t="s">
        <v>136</v>
      </c>
      <c r="CG554" t="s">
        <v>3410</v>
      </c>
    </row>
    <row r="555" spans="1:109" x14ac:dyDescent="0.25">
      <c r="A555" t="s">
        <v>219</v>
      </c>
      <c r="C555" t="s">
        <v>3416</v>
      </c>
      <c r="AC555">
        <v>1</v>
      </c>
      <c r="AN555">
        <v>1</v>
      </c>
      <c r="AO555" t="s">
        <v>4749</v>
      </c>
      <c r="AV555">
        <v>0</v>
      </c>
      <c r="AX555" t="s">
        <v>3419</v>
      </c>
      <c r="AZ555">
        <v>1</v>
      </c>
      <c r="BD555">
        <v>1</v>
      </c>
      <c r="BS555">
        <v>1</v>
      </c>
      <c r="CB555" t="s">
        <v>136</v>
      </c>
      <c r="CG555" t="s">
        <v>3410</v>
      </c>
    </row>
    <row r="556" spans="1:109" x14ac:dyDescent="0.25">
      <c r="A556" t="s">
        <v>4752</v>
      </c>
      <c r="C556" t="s">
        <v>3326</v>
      </c>
      <c r="K556" s="5" t="s">
        <v>3314</v>
      </c>
      <c r="L556" s="5" t="s">
        <v>3414</v>
      </c>
      <c r="AC556">
        <v>2</v>
      </c>
      <c r="AG556" t="s">
        <v>3316</v>
      </c>
      <c r="AN556">
        <v>1</v>
      </c>
      <c r="AY556" s="5"/>
      <c r="BD556">
        <v>1</v>
      </c>
      <c r="BV556"/>
      <c r="BW556"/>
      <c r="BX556"/>
      <c r="BY556"/>
      <c r="BZ556"/>
      <c r="CA556"/>
      <c r="CB556" s="5"/>
      <c r="CC556" s="5"/>
      <c r="CD556" s="5"/>
      <c r="CE556" s="5"/>
      <c r="CF556" s="5"/>
      <c r="CH556" s="5"/>
      <c r="CI556" s="5"/>
      <c r="CJ556" s="5"/>
      <c r="CK556" s="5"/>
      <c r="CL556" s="5"/>
      <c r="CM556" s="5"/>
      <c r="CN556" s="9" t="s">
        <v>4061</v>
      </c>
      <c r="CR556">
        <v>99999</v>
      </c>
    </row>
    <row r="557" spans="1:109" x14ac:dyDescent="0.25">
      <c r="A557" t="s">
        <v>312</v>
      </c>
      <c r="C557" t="s">
        <v>3326</v>
      </c>
      <c r="K557" s="5" t="s">
        <v>3314</v>
      </c>
      <c r="L557" s="5" t="s">
        <v>3414</v>
      </c>
      <c r="AC557">
        <v>2</v>
      </c>
      <c r="AG557" t="s">
        <v>3316</v>
      </c>
      <c r="AN557">
        <v>1</v>
      </c>
      <c r="AY557" s="5"/>
      <c r="BD557">
        <v>1</v>
      </c>
      <c r="BV557"/>
      <c r="BW557"/>
      <c r="BX557"/>
      <c r="BY557"/>
      <c r="BZ557"/>
      <c r="CA557"/>
      <c r="CB557" s="5"/>
      <c r="CC557" s="5"/>
      <c r="CD557" s="5"/>
      <c r="CE557" s="5"/>
      <c r="CF557" s="5"/>
      <c r="CH557" s="5"/>
      <c r="CI557" s="5"/>
      <c r="CJ557" s="5"/>
      <c r="CK557" s="5"/>
      <c r="CL557" s="5"/>
      <c r="CM557" s="5"/>
      <c r="CN557" s="9" t="s">
        <v>4753</v>
      </c>
      <c r="CR557">
        <v>99999</v>
      </c>
    </row>
    <row r="558" spans="1:109" x14ac:dyDescent="0.25">
      <c r="A558" t="s">
        <v>4754</v>
      </c>
      <c r="C558" t="s">
        <v>3326</v>
      </c>
      <c r="K558" s="5" t="s">
        <v>3314</v>
      </c>
      <c r="L558" s="5" t="s">
        <v>3414</v>
      </c>
      <c r="AC558">
        <v>1</v>
      </c>
      <c r="AG558" t="s">
        <v>3316</v>
      </c>
      <c r="AN558">
        <v>1</v>
      </c>
      <c r="AY558" s="5"/>
      <c r="BD558">
        <v>1</v>
      </c>
      <c r="BV558"/>
      <c r="BW558"/>
      <c r="BX558"/>
      <c r="BY558"/>
      <c r="BZ558"/>
      <c r="CA558"/>
      <c r="CB558" s="5"/>
      <c r="CC558" s="5"/>
      <c r="CD558" s="5"/>
      <c r="CE558" s="5"/>
      <c r="CF558" s="5"/>
      <c r="CH558" s="5"/>
      <c r="CI558" s="5"/>
      <c r="CJ558" s="5"/>
      <c r="CK558" s="5"/>
      <c r="CL558" s="5"/>
      <c r="CM558" s="5"/>
      <c r="CN558" s="9" t="s">
        <v>4755</v>
      </c>
      <c r="CR558">
        <v>99999</v>
      </c>
    </row>
    <row r="559" spans="1:109" x14ac:dyDescent="0.25">
      <c r="A559" t="s">
        <v>4756</v>
      </c>
      <c r="C559" t="s">
        <v>3326</v>
      </c>
      <c r="K559" s="5" t="s">
        <v>3314</v>
      </c>
      <c r="L559" s="5" t="s">
        <v>4423</v>
      </c>
      <c r="X559" s="5">
        <v>1</v>
      </c>
      <c r="AB559">
        <v>1</v>
      </c>
      <c r="AC559">
        <v>1</v>
      </c>
      <c r="AN559">
        <v>1</v>
      </c>
      <c r="AO559" t="s">
        <v>4749</v>
      </c>
      <c r="AV559">
        <v>1.65</v>
      </c>
      <c r="AX559" t="s">
        <v>3419</v>
      </c>
      <c r="AZ559">
        <v>2</v>
      </c>
      <c r="BD559">
        <v>99</v>
      </c>
      <c r="BS559">
        <v>0.2</v>
      </c>
      <c r="DE559">
        <v>1</v>
      </c>
    </row>
    <row r="560" spans="1:109" x14ac:dyDescent="0.25">
      <c r="AN560">
        <v>1</v>
      </c>
    </row>
    <row r="561" spans="1:103" x14ac:dyDescent="0.25">
      <c r="A561" t="s">
        <v>273</v>
      </c>
      <c r="C561" t="s">
        <v>3326</v>
      </c>
      <c r="AC561">
        <v>1</v>
      </c>
      <c r="AN561">
        <v>1</v>
      </c>
      <c r="AO561" t="s">
        <v>4749</v>
      </c>
      <c r="AP561" t="s">
        <v>4750</v>
      </c>
      <c r="AV561">
        <v>7</v>
      </c>
      <c r="AX561" t="s">
        <v>3419</v>
      </c>
      <c r="AZ561">
        <v>1</v>
      </c>
      <c r="BD561">
        <v>1</v>
      </c>
      <c r="BJ561">
        <v>1.4</v>
      </c>
      <c r="BK561">
        <v>1</v>
      </c>
      <c r="BL561">
        <v>1</v>
      </c>
      <c r="BS561">
        <v>4.5</v>
      </c>
      <c r="CB561" t="s">
        <v>136</v>
      </c>
      <c r="CG561" t="s">
        <v>3410</v>
      </c>
      <c r="CH561" t="s">
        <v>4757</v>
      </c>
      <c r="CI561" t="s">
        <v>4758</v>
      </c>
    </row>
    <row r="562" spans="1:103" x14ac:dyDescent="0.25">
      <c r="AN562">
        <v>1</v>
      </c>
    </row>
    <row r="563" spans="1:103" x14ac:dyDescent="0.25">
      <c r="AN563">
        <v>1</v>
      </c>
    </row>
    <row r="564" spans="1:103" x14ac:dyDescent="0.25">
      <c r="AN564">
        <v>1</v>
      </c>
    </row>
    <row r="565" spans="1:103" x14ac:dyDescent="0.25">
      <c r="A565" t="s">
        <v>4759</v>
      </c>
      <c r="C565" t="s">
        <v>3326</v>
      </c>
      <c r="Z565">
        <v>1</v>
      </c>
      <c r="AC565">
        <v>1</v>
      </c>
      <c r="AN565">
        <v>1</v>
      </c>
      <c r="AO565" t="s">
        <v>4749</v>
      </c>
      <c r="AP565" t="s">
        <v>4750</v>
      </c>
      <c r="AV565">
        <v>2</v>
      </c>
      <c r="AX565" t="s">
        <v>3419</v>
      </c>
      <c r="AZ565">
        <v>1</v>
      </c>
      <c r="BD565">
        <v>1</v>
      </c>
      <c r="BS565">
        <v>3.7</v>
      </c>
      <c r="CB565" t="s">
        <v>136</v>
      </c>
      <c r="CG565" t="s">
        <v>3410</v>
      </c>
      <c r="CH565" t="s">
        <v>4723</v>
      </c>
      <c r="CI565" t="s">
        <v>4760</v>
      </c>
      <c r="CJ565" t="s">
        <v>4747</v>
      </c>
      <c r="CN565" s="9" t="s">
        <v>4761</v>
      </c>
      <c r="CO565">
        <v>-30</v>
      </c>
      <c r="CR565">
        <v>5</v>
      </c>
    </row>
    <row r="566" spans="1:103" x14ac:dyDescent="0.25">
      <c r="A566" t="s">
        <v>4762</v>
      </c>
      <c r="C566" t="s">
        <v>3416</v>
      </c>
      <c r="AC566">
        <v>1</v>
      </c>
      <c r="AN566">
        <v>1</v>
      </c>
      <c r="AO566" t="s">
        <v>4749</v>
      </c>
      <c r="AV566">
        <v>0</v>
      </c>
      <c r="AX566" t="s">
        <v>3419</v>
      </c>
      <c r="AZ566">
        <v>1</v>
      </c>
      <c r="BD566">
        <v>1</v>
      </c>
      <c r="BS566">
        <v>3.7</v>
      </c>
      <c r="CB566" t="s">
        <v>136</v>
      </c>
      <c r="CG566" t="s">
        <v>3410</v>
      </c>
      <c r="CH566" t="s">
        <v>4723</v>
      </c>
      <c r="CJ566" t="s">
        <v>4747</v>
      </c>
      <c r="CN566" s="9" t="s">
        <v>4761</v>
      </c>
      <c r="CO566">
        <v>-30</v>
      </c>
      <c r="CR566">
        <v>5</v>
      </c>
    </row>
    <row r="567" spans="1:103" x14ac:dyDescent="0.25">
      <c r="A567" t="s">
        <v>4763</v>
      </c>
      <c r="C567" t="s">
        <v>3326</v>
      </c>
      <c r="J567" t="s">
        <v>3342</v>
      </c>
      <c r="P567" s="5" t="s">
        <v>4764</v>
      </c>
      <c r="Y567">
        <v>1</v>
      </c>
      <c r="AC567">
        <v>1</v>
      </c>
      <c r="AN567">
        <v>1</v>
      </c>
      <c r="AO567" t="s">
        <v>4749</v>
      </c>
      <c r="AV567">
        <v>2</v>
      </c>
      <c r="AX567" t="s">
        <v>3419</v>
      </c>
      <c r="AZ567">
        <v>1</v>
      </c>
      <c r="BD567">
        <v>99</v>
      </c>
      <c r="BS567">
        <v>3.7</v>
      </c>
      <c r="BT567">
        <v>0.2</v>
      </c>
      <c r="BV567" s="8">
        <v>0</v>
      </c>
      <c r="BW567" s="8">
        <v>10.5</v>
      </c>
      <c r="BX567" s="8">
        <v>1</v>
      </c>
      <c r="BY567" s="8" t="s">
        <v>3344</v>
      </c>
      <c r="CB567" t="s">
        <v>136</v>
      </c>
      <c r="CG567" t="s">
        <v>3410</v>
      </c>
      <c r="CJ567" t="s">
        <v>4747</v>
      </c>
      <c r="CN567" s="9" t="s">
        <v>4761</v>
      </c>
      <c r="CO567">
        <v>-30</v>
      </c>
      <c r="CR567">
        <v>10</v>
      </c>
      <c r="CW567" t="s">
        <v>4724</v>
      </c>
    </row>
    <row r="568" spans="1:103" x14ac:dyDescent="0.25">
      <c r="A568" t="s">
        <v>4765</v>
      </c>
      <c r="C568" t="s">
        <v>4766</v>
      </c>
      <c r="J568" t="s">
        <v>3342</v>
      </c>
      <c r="P568" s="5" t="s">
        <v>4764</v>
      </c>
      <c r="AN568">
        <v>1</v>
      </c>
      <c r="BD568">
        <v>2</v>
      </c>
      <c r="BS568">
        <v>3.7</v>
      </c>
      <c r="BT568">
        <v>0.2</v>
      </c>
      <c r="BV568" s="8">
        <v>0</v>
      </c>
      <c r="BW568" s="8">
        <v>21</v>
      </c>
      <c r="BX568" s="8">
        <v>1</v>
      </c>
      <c r="BY568" s="8" t="s">
        <v>3344</v>
      </c>
      <c r="CB568" t="s">
        <v>4767</v>
      </c>
      <c r="CG568" t="s">
        <v>3410</v>
      </c>
      <c r="CW568" t="s">
        <v>4724</v>
      </c>
      <c r="CY568" t="s">
        <v>4768</v>
      </c>
    </row>
    <row r="569" spans="1:103" x14ac:dyDescent="0.25">
      <c r="A569" t="s">
        <v>4769</v>
      </c>
      <c r="C569" t="s">
        <v>3905</v>
      </c>
      <c r="K569" s="5" t="s">
        <v>3314</v>
      </c>
      <c r="L569" s="5" t="s">
        <v>3906</v>
      </c>
      <c r="N569" s="5">
        <v>1</v>
      </c>
      <c r="AC569">
        <v>2</v>
      </c>
      <c r="AG569" t="s">
        <v>3316</v>
      </c>
      <c r="AH569">
        <v>1</v>
      </c>
      <c r="AN569">
        <v>1</v>
      </c>
      <c r="AY569">
        <v>1</v>
      </c>
      <c r="BD569">
        <v>1</v>
      </c>
      <c r="BP569" s="7" t="s">
        <v>4770</v>
      </c>
      <c r="BS569">
        <v>10</v>
      </c>
      <c r="CU569" t="s">
        <v>4771</v>
      </c>
    </row>
    <row r="570" spans="1:103" x14ac:dyDescent="0.25">
      <c r="A570" t="s">
        <v>4772</v>
      </c>
      <c r="C570" t="s">
        <v>3905</v>
      </c>
      <c r="K570" s="5" t="s">
        <v>3314</v>
      </c>
      <c r="L570" s="5" t="s">
        <v>3906</v>
      </c>
      <c r="N570" s="5">
        <v>1</v>
      </c>
      <c r="AC570">
        <v>2</v>
      </c>
      <c r="AG570" t="s">
        <v>3316</v>
      </c>
      <c r="AH570">
        <v>1</v>
      </c>
      <c r="AN570">
        <v>1</v>
      </c>
      <c r="AY570">
        <v>1</v>
      </c>
      <c r="BD570">
        <v>1</v>
      </c>
      <c r="BP570" s="7" t="s">
        <v>4773</v>
      </c>
      <c r="BS570">
        <v>10</v>
      </c>
      <c r="CU570" t="s">
        <v>4771</v>
      </c>
    </row>
    <row r="571" spans="1:103" x14ac:dyDescent="0.25">
      <c r="A571" t="s">
        <v>4774</v>
      </c>
      <c r="C571" t="s">
        <v>3326</v>
      </c>
      <c r="K571" s="5" t="s">
        <v>3314</v>
      </c>
      <c r="Y571">
        <v>1</v>
      </c>
      <c r="AB571">
        <v>1</v>
      </c>
      <c r="AC571">
        <v>2</v>
      </c>
      <c r="AG571" t="s">
        <v>3316</v>
      </c>
      <c r="AN571">
        <v>1</v>
      </c>
      <c r="BD571">
        <v>1</v>
      </c>
      <c r="BS571">
        <v>10</v>
      </c>
      <c r="CB571" t="s">
        <v>4357</v>
      </c>
      <c r="CG571" t="s">
        <v>3831</v>
      </c>
    </row>
    <row r="572" spans="1:103" x14ac:dyDescent="0.25">
      <c r="A572" t="s">
        <v>4775</v>
      </c>
      <c r="C572" t="s">
        <v>3326</v>
      </c>
      <c r="K572" s="5" t="s">
        <v>3314</v>
      </c>
      <c r="AC572">
        <v>2</v>
      </c>
      <c r="AG572" t="s">
        <v>3316</v>
      </c>
      <c r="AN572">
        <v>1</v>
      </c>
      <c r="AO572" t="s">
        <v>4749</v>
      </c>
      <c r="BD572">
        <v>1</v>
      </c>
      <c r="CN572" s="9" t="s">
        <v>4764</v>
      </c>
      <c r="CR572">
        <v>99999</v>
      </c>
    </row>
    <row r="573" spans="1:103" x14ac:dyDescent="0.25">
      <c r="A573" t="s">
        <v>4776</v>
      </c>
      <c r="C573" t="s">
        <v>3326</v>
      </c>
      <c r="K573" s="5" t="s">
        <v>3314</v>
      </c>
      <c r="AC573">
        <v>2</v>
      </c>
      <c r="AG573" t="s">
        <v>3316</v>
      </c>
      <c r="AN573">
        <v>1</v>
      </c>
      <c r="AO573" t="s">
        <v>4749</v>
      </c>
      <c r="BD573">
        <v>1</v>
      </c>
      <c r="CN573" s="9" t="s">
        <v>4777</v>
      </c>
      <c r="CR573">
        <v>10</v>
      </c>
    </row>
    <row r="574" spans="1:103" x14ac:dyDescent="0.25">
      <c r="A574" t="s">
        <v>4778</v>
      </c>
      <c r="C574" t="s">
        <v>3326</v>
      </c>
      <c r="K574" s="5" t="s">
        <v>3314</v>
      </c>
      <c r="AC574">
        <v>2</v>
      </c>
      <c r="AG574" t="s">
        <v>3316</v>
      </c>
      <c r="AN574">
        <v>1</v>
      </c>
      <c r="AO574" t="s">
        <v>4749</v>
      </c>
      <c r="BD574">
        <v>1</v>
      </c>
      <c r="CN574" s="9" t="s">
        <v>3538</v>
      </c>
      <c r="CO574">
        <v>0.5</v>
      </c>
      <c r="CR574">
        <v>99999</v>
      </c>
    </row>
    <row r="575" spans="1:103" x14ac:dyDescent="0.25">
      <c r="A575" t="s">
        <v>4779</v>
      </c>
      <c r="C575" t="s">
        <v>3326</v>
      </c>
      <c r="K575" s="5" t="s">
        <v>3314</v>
      </c>
      <c r="AC575">
        <v>2</v>
      </c>
      <c r="AG575" t="s">
        <v>3316</v>
      </c>
      <c r="AN575">
        <v>1</v>
      </c>
      <c r="AO575" t="s">
        <v>4749</v>
      </c>
      <c r="BD575">
        <v>1</v>
      </c>
      <c r="CN575" s="9" t="s">
        <v>4780</v>
      </c>
      <c r="CR575">
        <v>15</v>
      </c>
    </row>
    <row r="576" spans="1:103" x14ac:dyDescent="0.25">
      <c r="A576" t="s">
        <v>4781</v>
      </c>
      <c r="C576" t="s">
        <v>4782</v>
      </c>
      <c r="K576" s="5" t="s">
        <v>3314</v>
      </c>
      <c r="AC576">
        <v>2</v>
      </c>
      <c r="AG576" t="s">
        <v>3316</v>
      </c>
      <c r="AN576">
        <v>1</v>
      </c>
      <c r="AY576" s="5"/>
      <c r="BD576">
        <v>1</v>
      </c>
      <c r="BV576"/>
      <c r="BW576"/>
      <c r="BX576"/>
      <c r="BY576"/>
      <c r="BZ576"/>
      <c r="CA576"/>
      <c r="CB576" s="5"/>
      <c r="CC576" s="5"/>
      <c r="CD576" s="5"/>
      <c r="CE576" s="5"/>
      <c r="CF576" s="5"/>
      <c r="CH576" s="5"/>
      <c r="CI576" s="5"/>
      <c r="CJ576" s="5"/>
      <c r="CK576" s="5"/>
      <c r="CL576" s="5"/>
      <c r="CM576" s="5"/>
      <c r="CU576" t="s">
        <v>4783</v>
      </c>
    </row>
    <row r="577" spans="1:109" x14ac:dyDescent="0.25">
      <c r="A577" t="s">
        <v>4784</v>
      </c>
      <c r="C577" t="s">
        <v>3326</v>
      </c>
      <c r="J577" t="s">
        <v>3342</v>
      </c>
      <c r="O577" s="5" t="s">
        <v>4764</v>
      </c>
      <c r="Y577">
        <v>1</v>
      </c>
      <c r="AC577">
        <v>1</v>
      </c>
      <c r="AN577">
        <v>1</v>
      </c>
      <c r="AO577" t="s">
        <v>4749</v>
      </c>
      <c r="AV577">
        <v>3.3</v>
      </c>
      <c r="AX577" t="s">
        <v>3419</v>
      </c>
      <c r="AZ577">
        <v>1</v>
      </c>
      <c r="BD577">
        <v>99</v>
      </c>
      <c r="BS577">
        <v>3.7</v>
      </c>
      <c r="BT577">
        <v>0.2</v>
      </c>
      <c r="BV577" s="8">
        <v>0</v>
      </c>
      <c r="BW577" s="8">
        <v>10.5</v>
      </c>
      <c r="BX577" s="8">
        <v>1</v>
      </c>
      <c r="BY577" s="8" t="s">
        <v>3344</v>
      </c>
      <c r="CB577" t="s">
        <v>4785</v>
      </c>
      <c r="CG577" t="s">
        <v>3410</v>
      </c>
      <c r="CJ577" t="s">
        <v>4747</v>
      </c>
      <c r="CN577" s="9" t="s">
        <v>4761</v>
      </c>
      <c r="CO577">
        <v>-30</v>
      </c>
      <c r="CR577">
        <v>10</v>
      </c>
    </row>
    <row r="578" spans="1:109" x14ac:dyDescent="0.25">
      <c r="A578" t="s">
        <v>4786</v>
      </c>
      <c r="C578" t="s">
        <v>4766</v>
      </c>
      <c r="J578" t="s">
        <v>3342</v>
      </c>
      <c r="O578" s="5" t="s">
        <v>4764</v>
      </c>
      <c r="AN578">
        <v>1</v>
      </c>
      <c r="BD578">
        <v>3</v>
      </c>
      <c r="BS578">
        <v>3.7</v>
      </c>
      <c r="BT578">
        <v>0.2</v>
      </c>
      <c r="BV578" s="8">
        <v>0</v>
      </c>
      <c r="BW578" s="8">
        <v>21</v>
      </c>
      <c r="BX578" s="8">
        <v>1</v>
      </c>
      <c r="BY578" s="8" t="s">
        <v>3344</v>
      </c>
      <c r="CB578" t="s">
        <v>4767</v>
      </c>
      <c r="CG578" t="s">
        <v>3410</v>
      </c>
      <c r="CW578" t="s">
        <v>4724</v>
      </c>
      <c r="CY578" t="s">
        <v>4768</v>
      </c>
    </row>
    <row r="579" spans="1:109" x14ac:dyDescent="0.25">
      <c r="AN579">
        <v>1</v>
      </c>
    </row>
    <row r="580" spans="1:109" x14ac:dyDescent="0.25">
      <c r="A580" t="s">
        <v>4787</v>
      </c>
      <c r="C580" t="s">
        <v>4788</v>
      </c>
      <c r="J580" t="s">
        <v>3342</v>
      </c>
      <c r="K580" s="5" t="s">
        <v>3344</v>
      </c>
      <c r="AB580">
        <v>1</v>
      </c>
      <c r="AC580">
        <v>2</v>
      </c>
      <c r="AG580" t="s">
        <v>3316</v>
      </c>
      <c r="AN580">
        <v>1</v>
      </c>
      <c r="BD580">
        <v>1</v>
      </c>
      <c r="BS580">
        <v>0.5</v>
      </c>
      <c r="BT580">
        <v>0.1</v>
      </c>
      <c r="BV580" s="8">
        <v>0</v>
      </c>
      <c r="BW580" s="8">
        <v>15</v>
      </c>
      <c r="BX580" s="8">
        <v>1</v>
      </c>
      <c r="BY580" s="8" t="s">
        <v>3344</v>
      </c>
      <c r="CB580" t="s">
        <v>4789</v>
      </c>
      <c r="CG580" t="s">
        <v>3831</v>
      </c>
      <c r="CN580" s="9" t="s">
        <v>4790</v>
      </c>
      <c r="CR580">
        <v>0.4</v>
      </c>
      <c r="CU580" t="s">
        <v>4791</v>
      </c>
    </row>
    <row r="581" spans="1:109" x14ac:dyDescent="0.25">
      <c r="A581" t="s">
        <v>4792</v>
      </c>
      <c r="C581" t="s">
        <v>3326</v>
      </c>
      <c r="AC581">
        <v>1</v>
      </c>
      <c r="AN581">
        <v>1</v>
      </c>
      <c r="AO581" t="s">
        <v>4749</v>
      </c>
      <c r="AP581" t="s">
        <v>4750</v>
      </c>
      <c r="AV581">
        <v>3.5</v>
      </c>
      <c r="AX581" t="s">
        <v>3419</v>
      </c>
      <c r="AZ581">
        <v>1</v>
      </c>
      <c r="BD581">
        <v>1</v>
      </c>
      <c r="BS581">
        <v>4</v>
      </c>
      <c r="CB581" t="s">
        <v>136</v>
      </c>
      <c r="CG581" t="s">
        <v>3410</v>
      </c>
      <c r="CH581" t="s">
        <v>3426</v>
      </c>
      <c r="CI581" t="s">
        <v>4793</v>
      </c>
    </row>
    <row r="582" spans="1:109" x14ac:dyDescent="0.25">
      <c r="A582" t="s">
        <v>4794</v>
      </c>
      <c r="C582" t="s">
        <v>3326</v>
      </c>
      <c r="J582" t="s">
        <v>3342</v>
      </c>
      <c r="AC582">
        <v>1</v>
      </c>
      <c r="AN582">
        <v>1</v>
      </c>
      <c r="AO582" t="s">
        <v>4749</v>
      </c>
      <c r="AV582">
        <v>3.5</v>
      </c>
      <c r="AX582" t="s">
        <v>3419</v>
      </c>
      <c r="AZ582">
        <v>1</v>
      </c>
      <c r="BD582">
        <v>1</v>
      </c>
      <c r="BS582">
        <v>4</v>
      </c>
      <c r="BT582">
        <v>0.1</v>
      </c>
      <c r="BV582" s="8">
        <v>0</v>
      </c>
      <c r="BW582" s="8">
        <v>2</v>
      </c>
      <c r="BX582" s="8">
        <v>1</v>
      </c>
      <c r="BY582" s="8" t="s">
        <v>3497</v>
      </c>
      <c r="CB582" t="s">
        <v>136</v>
      </c>
      <c r="CG582" t="s">
        <v>3410</v>
      </c>
      <c r="CH582" t="s">
        <v>3426</v>
      </c>
      <c r="CN582" s="9" t="s">
        <v>3318</v>
      </c>
      <c r="CR582">
        <v>5</v>
      </c>
    </row>
    <row r="583" spans="1:109" x14ac:dyDescent="0.25">
      <c r="A583" t="s">
        <v>4795</v>
      </c>
      <c r="C583" t="s">
        <v>3416</v>
      </c>
      <c r="J583" t="s">
        <v>3342</v>
      </c>
      <c r="AC583">
        <v>1</v>
      </c>
      <c r="AN583">
        <v>1</v>
      </c>
      <c r="AO583" t="s">
        <v>4749</v>
      </c>
      <c r="AX583" t="s">
        <v>3419</v>
      </c>
      <c r="AZ583">
        <v>1</v>
      </c>
      <c r="BD583">
        <v>1</v>
      </c>
      <c r="BT583">
        <v>0.1</v>
      </c>
      <c r="BV583" s="8">
        <v>0</v>
      </c>
      <c r="BW583" s="8">
        <v>2</v>
      </c>
      <c r="BX583" s="8">
        <v>1</v>
      </c>
      <c r="BY583" s="8" t="s">
        <v>3497</v>
      </c>
      <c r="CB583" t="s">
        <v>136</v>
      </c>
      <c r="CG583" t="s">
        <v>3410</v>
      </c>
      <c r="CN583" s="9" t="s">
        <v>3318</v>
      </c>
      <c r="CR583">
        <v>7</v>
      </c>
    </row>
    <row r="584" spans="1:109" x14ac:dyDescent="0.25">
      <c r="A584" t="s">
        <v>4796</v>
      </c>
      <c r="C584" t="s">
        <v>3326</v>
      </c>
      <c r="U584" s="5">
        <v>0.5</v>
      </c>
      <c r="AC584">
        <v>2</v>
      </c>
      <c r="AG584" t="s">
        <v>3316</v>
      </c>
      <c r="AN584">
        <v>1</v>
      </c>
      <c r="BD584">
        <v>1</v>
      </c>
      <c r="CN584" s="9" t="s">
        <v>3345</v>
      </c>
      <c r="CO584">
        <v>1</v>
      </c>
      <c r="CR584">
        <v>9999</v>
      </c>
    </row>
    <row r="585" spans="1:109" x14ac:dyDescent="0.25">
      <c r="A585" t="s">
        <v>4797</v>
      </c>
      <c r="C585" t="s">
        <v>3326</v>
      </c>
      <c r="U585" s="5">
        <v>0.5</v>
      </c>
      <c r="AC585">
        <v>2</v>
      </c>
      <c r="AG585" t="s">
        <v>3316</v>
      </c>
      <c r="AN585">
        <v>1</v>
      </c>
      <c r="BD585">
        <v>1</v>
      </c>
      <c r="CN585" s="9" t="s">
        <v>3345</v>
      </c>
      <c r="CO585">
        <v>1.8</v>
      </c>
      <c r="CR585">
        <v>9999</v>
      </c>
    </row>
    <row r="586" spans="1:109" x14ac:dyDescent="0.25">
      <c r="A586" t="s">
        <v>324</v>
      </c>
      <c r="C586" t="s">
        <v>3326</v>
      </c>
      <c r="AC586">
        <v>1</v>
      </c>
      <c r="AN586">
        <v>1</v>
      </c>
      <c r="AO586" t="s">
        <v>4749</v>
      </c>
      <c r="AP586" t="s">
        <v>4750</v>
      </c>
      <c r="AV586">
        <v>1.7</v>
      </c>
      <c r="AX586" t="s">
        <v>3419</v>
      </c>
      <c r="AZ586">
        <v>1</v>
      </c>
      <c r="BD586">
        <v>1</v>
      </c>
      <c r="BE586">
        <v>2</v>
      </c>
      <c r="BF586">
        <v>0.01</v>
      </c>
      <c r="BS586">
        <v>3</v>
      </c>
      <c r="CB586" t="s">
        <v>136</v>
      </c>
      <c r="CG586" t="s">
        <v>3410</v>
      </c>
      <c r="CH586" t="s">
        <v>3426</v>
      </c>
      <c r="CI586" t="s">
        <v>4793</v>
      </c>
    </row>
    <row r="587" spans="1:109" x14ac:dyDescent="0.25">
      <c r="AN587">
        <v>1</v>
      </c>
    </row>
    <row r="588" spans="1:109" x14ac:dyDescent="0.25">
      <c r="A588" t="s">
        <v>905</v>
      </c>
      <c r="C588" t="s">
        <v>3326</v>
      </c>
      <c r="AC588">
        <v>1</v>
      </c>
      <c r="AN588">
        <v>1</v>
      </c>
      <c r="AO588" t="s">
        <v>4749</v>
      </c>
      <c r="AP588" t="s">
        <v>4750</v>
      </c>
      <c r="AV588">
        <v>1.8</v>
      </c>
      <c r="AX588" t="s">
        <v>3419</v>
      </c>
      <c r="AZ588">
        <v>1</v>
      </c>
      <c r="BD588">
        <v>1</v>
      </c>
      <c r="BS588">
        <v>3</v>
      </c>
      <c r="CB588" t="s">
        <v>136</v>
      </c>
      <c r="CG588" t="s">
        <v>3410</v>
      </c>
      <c r="CH588" t="s">
        <v>3426</v>
      </c>
      <c r="CN588" s="9" t="s">
        <v>4798</v>
      </c>
      <c r="CO588">
        <v>-10</v>
      </c>
      <c r="CR588">
        <v>99999</v>
      </c>
    </row>
    <row r="589" spans="1:109" x14ac:dyDescent="0.25">
      <c r="A589" t="s">
        <v>911</v>
      </c>
      <c r="C589" t="s">
        <v>3326</v>
      </c>
      <c r="AC589">
        <v>1</v>
      </c>
      <c r="AN589">
        <v>1</v>
      </c>
      <c r="AO589" t="s">
        <v>4749</v>
      </c>
      <c r="AP589" t="s">
        <v>4750</v>
      </c>
      <c r="AV589">
        <v>1.8</v>
      </c>
      <c r="AX589" t="s">
        <v>3419</v>
      </c>
      <c r="AZ589">
        <v>1</v>
      </c>
      <c r="BD589">
        <v>1</v>
      </c>
      <c r="BS589">
        <v>3</v>
      </c>
      <c r="CB589" t="s">
        <v>136</v>
      </c>
      <c r="CG589" t="s">
        <v>3410</v>
      </c>
      <c r="CH589" t="s">
        <v>3426</v>
      </c>
      <c r="CN589" s="9" t="s">
        <v>4798</v>
      </c>
      <c r="CO589">
        <v>-15</v>
      </c>
      <c r="CR589">
        <v>99999</v>
      </c>
    </row>
    <row r="590" spans="1:109" x14ac:dyDescent="0.25">
      <c r="A590" t="s">
        <v>4799</v>
      </c>
      <c r="C590" t="s">
        <v>3326</v>
      </c>
      <c r="K590" s="5" t="s">
        <v>3314</v>
      </c>
      <c r="L590" s="5" t="s">
        <v>4423</v>
      </c>
      <c r="X590" s="5">
        <v>1</v>
      </c>
      <c r="AB590">
        <v>1</v>
      </c>
      <c r="AC590">
        <v>1</v>
      </c>
      <c r="AN590">
        <v>1</v>
      </c>
      <c r="AO590" t="s">
        <v>4749</v>
      </c>
      <c r="AV590">
        <v>1.25</v>
      </c>
      <c r="AX590" t="s">
        <v>3419</v>
      </c>
      <c r="AZ590">
        <v>4</v>
      </c>
      <c r="BD590">
        <v>99</v>
      </c>
      <c r="BS590">
        <v>0.2</v>
      </c>
      <c r="DE590">
        <v>1</v>
      </c>
    </row>
    <row r="591" spans="1:109" x14ac:dyDescent="0.25">
      <c r="A591" t="s">
        <v>4800</v>
      </c>
      <c r="C591" t="s">
        <v>3326</v>
      </c>
      <c r="AC591">
        <v>1</v>
      </c>
      <c r="AN591">
        <v>1</v>
      </c>
      <c r="AO591" t="s">
        <v>4749</v>
      </c>
      <c r="AV591">
        <v>1.9</v>
      </c>
      <c r="AX591" t="s">
        <v>3419</v>
      </c>
      <c r="AZ591">
        <v>1</v>
      </c>
      <c r="BD591">
        <v>1</v>
      </c>
      <c r="CB591" t="s">
        <v>136</v>
      </c>
      <c r="CG591" t="s">
        <v>3410</v>
      </c>
      <c r="CH591" t="s">
        <v>3426</v>
      </c>
    </row>
    <row r="592" spans="1:109" x14ac:dyDescent="0.25">
      <c r="A592" t="s">
        <v>951</v>
      </c>
      <c r="C592" t="s">
        <v>3326</v>
      </c>
      <c r="AC592">
        <v>1</v>
      </c>
      <c r="AN592">
        <v>1</v>
      </c>
      <c r="AO592" t="s">
        <v>4749</v>
      </c>
      <c r="AP592" t="s">
        <v>4750</v>
      </c>
      <c r="AV592">
        <v>1.8</v>
      </c>
      <c r="AX592" t="s">
        <v>3432</v>
      </c>
      <c r="AZ592">
        <v>1</v>
      </c>
      <c r="BD592">
        <v>1</v>
      </c>
      <c r="CB592" t="s">
        <v>136</v>
      </c>
      <c r="CG592" t="s">
        <v>3410</v>
      </c>
      <c r="CH592" t="s">
        <v>3433</v>
      </c>
      <c r="CI592" t="s">
        <v>3412</v>
      </c>
    </row>
    <row r="593" spans="1:109" x14ac:dyDescent="0.25">
      <c r="A593" t="s">
        <v>956</v>
      </c>
      <c r="C593" t="s">
        <v>3326</v>
      </c>
      <c r="AC593">
        <v>1</v>
      </c>
      <c r="AN593">
        <v>1</v>
      </c>
      <c r="AO593" t="s">
        <v>4749</v>
      </c>
      <c r="AP593" t="s">
        <v>4750</v>
      </c>
      <c r="AV593">
        <v>2</v>
      </c>
      <c r="AX593" t="s">
        <v>3432</v>
      </c>
      <c r="AZ593">
        <v>1</v>
      </c>
      <c r="BD593">
        <v>1</v>
      </c>
      <c r="CB593" t="s">
        <v>136</v>
      </c>
      <c r="CG593" t="s">
        <v>3410</v>
      </c>
      <c r="CH593" t="s">
        <v>3433</v>
      </c>
      <c r="CI593" t="s">
        <v>3412</v>
      </c>
    </row>
    <row r="594" spans="1:109" x14ac:dyDescent="0.25">
      <c r="A594" t="s">
        <v>961</v>
      </c>
      <c r="C594" t="s">
        <v>3326</v>
      </c>
      <c r="AC594">
        <v>1</v>
      </c>
      <c r="AN594">
        <v>1</v>
      </c>
      <c r="AO594" t="s">
        <v>4749</v>
      </c>
      <c r="AP594" t="s">
        <v>4750</v>
      </c>
      <c r="AV594">
        <v>2.2000000000000002</v>
      </c>
      <c r="AX594" t="s">
        <v>3432</v>
      </c>
      <c r="AZ594">
        <v>1</v>
      </c>
      <c r="BD594">
        <v>1</v>
      </c>
      <c r="BJ594">
        <v>1</v>
      </c>
      <c r="BK594">
        <v>1</v>
      </c>
      <c r="BL594">
        <v>1</v>
      </c>
      <c r="CB594" t="s">
        <v>136</v>
      </c>
      <c r="CG594" t="s">
        <v>3410</v>
      </c>
      <c r="CY594" t="s">
        <v>3477</v>
      </c>
    </row>
    <row r="595" spans="1:109" x14ac:dyDescent="0.25">
      <c r="A595" t="s">
        <v>1031</v>
      </c>
      <c r="C595" t="s">
        <v>3326</v>
      </c>
      <c r="AC595">
        <v>1</v>
      </c>
      <c r="AN595">
        <v>1</v>
      </c>
      <c r="AO595" t="s">
        <v>4749</v>
      </c>
      <c r="AV595">
        <v>1.9</v>
      </c>
      <c r="AX595" t="s">
        <v>3419</v>
      </c>
      <c r="AZ595">
        <v>1</v>
      </c>
      <c r="BD595">
        <v>2</v>
      </c>
      <c r="CB595" t="s">
        <v>136</v>
      </c>
      <c r="CG595" t="s">
        <v>3410</v>
      </c>
    </row>
    <row r="596" spans="1:109" x14ac:dyDescent="0.25">
      <c r="A596" t="s">
        <v>1042</v>
      </c>
      <c r="C596" t="s">
        <v>3326</v>
      </c>
      <c r="AC596">
        <v>2</v>
      </c>
      <c r="AD596">
        <v>1</v>
      </c>
      <c r="AG596" t="s">
        <v>3837</v>
      </c>
      <c r="AN596">
        <v>1</v>
      </c>
      <c r="AV596">
        <v>2.5</v>
      </c>
      <c r="BD596">
        <v>99</v>
      </c>
      <c r="BS596">
        <v>0.1</v>
      </c>
      <c r="CN596" s="9" t="s">
        <v>1042</v>
      </c>
      <c r="CO596">
        <v>300</v>
      </c>
      <c r="CR596">
        <v>0.1</v>
      </c>
      <c r="DE596">
        <v>1</v>
      </c>
    </row>
    <row r="597" spans="1:109" x14ac:dyDescent="0.25">
      <c r="A597" t="s">
        <v>4801</v>
      </c>
      <c r="C597" t="s">
        <v>3326</v>
      </c>
      <c r="AC597">
        <v>1</v>
      </c>
      <c r="AN597">
        <v>1</v>
      </c>
      <c r="AV597">
        <v>3.3</v>
      </c>
      <c r="BD597">
        <v>99</v>
      </c>
      <c r="BS597">
        <v>0.1</v>
      </c>
      <c r="CN597" s="9" t="s">
        <v>3183</v>
      </c>
      <c r="CR597">
        <v>0.1</v>
      </c>
    </row>
    <row r="598" spans="1:109" x14ac:dyDescent="0.25">
      <c r="A598" t="s">
        <v>1077</v>
      </c>
      <c r="C598" t="s">
        <v>3326</v>
      </c>
      <c r="AC598">
        <v>1</v>
      </c>
      <c r="AN598">
        <v>1</v>
      </c>
      <c r="AO598" t="s">
        <v>4749</v>
      </c>
      <c r="AP598" t="s">
        <v>4750</v>
      </c>
      <c r="AV598">
        <v>2.2000000000000002</v>
      </c>
      <c r="AX598" t="s">
        <v>3419</v>
      </c>
      <c r="AZ598">
        <v>1</v>
      </c>
      <c r="BD598">
        <v>1</v>
      </c>
      <c r="CB598" t="s">
        <v>136</v>
      </c>
      <c r="CG598" t="s">
        <v>3410</v>
      </c>
      <c r="CH598" t="s">
        <v>3426</v>
      </c>
    </row>
    <row r="599" spans="1:109" x14ac:dyDescent="0.25">
      <c r="A599" t="s">
        <v>4802</v>
      </c>
      <c r="C599" t="s">
        <v>3326</v>
      </c>
      <c r="AC599">
        <v>1</v>
      </c>
      <c r="AN599">
        <v>1</v>
      </c>
      <c r="AO599" t="s">
        <v>4749</v>
      </c>
      <c r="AP599" t="s">
        <v>4750</v>
      </c>
      <c r="AV599">
        <v>2.5</v>
      </c>
      <c r="AX599" t="s">
        <v>3432</v>
      </c>
      <c r="AZ599">
        <v>1</v>
      </c>
      <c r="BD599">
        <v>1</v>
      </c>
      <c r="CB599" t="s">
        <v>136</v>
      </c>
      <c r="CG599" t="s">
        <v>3410</v>
      </c>
      <c r="CH599" t="s">
        <v>3433</v>
      </c>
      <c r="CI599" t="s">
        <v>4803</v>
      </c>
    </row>
    <row r="600" spans="1:109" x14ac:dyDescent="0.25">
      <c r="A600" t="s">
        <v>4804</v>
      </c>
      <c r="C600" t="s">
        <v>3326</v>
      </c>
      <c r="N600" s="5">
        <v>1</v>
      </c>
      <c r="AC600">
        <v>1</v>
      </c>
      <c r="AN600">
        <v>1</v>
      </c>
      <c r="AO600" t="s">
        <v>4749</v>
      </c>
      <c r="AP600" t="s">
        <v>4750</v>
      </c>
      <c r="AV600">
        <v>3</v>
      </c>
      <c r="AX600" t="s">
        <v>3432</v>
      </c>
      <c r="AZ600">
        <v>0.35</v>
      </c>
      <c r="BD600">
        <v>1</v>
      </c>
      <c r="BS600">
        <v>1</v>
      </c>
      <c r="CB600" t="s">
        <v>801</v>
      </c>
      <c r="CE600" t="s">
        <v>801</v>
      </c>
      <c r="CG600" t="s">
        <v>3410</v>
      </c>
      <c r="CH600" t="s">
        <v>4805</v>
      </c>
      <c r="CI600" t="s">
        <v>4803</v>
      </c>
      <c r="CN600" s="9" t="s">
        <v>3318</v>
      </c>
      <c r="CR600">
        <v>1.1000000000000001</v>
      </c>
    </row>
    <row r="601" spans="1:109" x14ac:dyDescent="0.25">
      <c r="A601" t="s">
        <v>1095</v>
      </c>
      <c r="C601" t="s">
        <v>3326</v>
      </c>
      <c r="AC601">
        <v>1</v>
      </c>
      <c r="AN601">
        <v>1</v>
      </c>
      <c r="AO601" t="s">
        <v>4749</v>
      </c>
      <c r="AV601">
        <v>2.35</v>
      </c>
      <c r="AX601" t="s">
        <v>3419</v>
      </c>
      <c r="AZ601">
        <v>1</v>
      </c>
      <c r="BD601">
        <v>2</v>
      </c>
      <c r="CB601" t="s">
        <v>136</v>
      </c>
      <c r="CG601" t="s">
        <v>3410</v>
      </c>
      <c r="CH601" t="s">
        <v>3426</v>
      </c>
    </row>
    <row r="602" spans="1:109" x14ac:dyDescent="0.25">
      <c r="A602" t="s">
        <v>1112</v>
      </c>
      <c r="C602" t="s">
        <v>3326</v>
      </c>
      <c r="AC602">
        <v>1</v>
      </c>
      <c r="AN602">
        <v>1</v>
      </c>
      <c r="AO602" t="s">
        <v>4749</v>
      </c>
      <c r="AP602" t="s">
        <v>4750</v>
      </c>
      <c r="AV602">
        <v>1.75</v>
      </c>
      <c r="AX602" t="s">
        <v>3419</v>
      </c>
      <c r="AZ602">
        <v>1</v>
      </c>
      <c r="BD602">
        <v>1</v>
      </c>
      <c r="CB602" t="s">
        <v>136</v>
      </c>
      <c r="CG602" t="s">
        <v>3410</v>
      </c>
      <c r="CH602" t="s">
        <v>4551</v>
      </c>
    </row>
    <row r="603" spans="1:109" x14ac:dyDescent="0.25">
      <c r="A603" t="s">
        <v>1189</v>
      </c>
      <c r="C603" t="s">
        <v>3326</v>
      </c>
      <c r="AC603">
        <v>1</v>
      </c>
      <c r="AN603">
        <v>1</v>
      </c>
      <c r="AO603" t="s">
        <v>4749</v>
      </c>
      <c r="AP603" t="s">
        <v>4750</v>
      </c>
      <c r="AV603">
        <v>2.4</v>
      </c>
      <c r="AX603" t="s">
        <v>3432</v>
      </c>
      <c r="AZ603">
        <v>1</v>
      </c>
      <c r="BD603">
        <v>2</v>
      </c>
      <c r="CB603" t="s">
        <v>136</v>
      </c>
      <c r="CG603" t="s">
        <v>3410</v>
      </c>
      <c r="CH603" t="s">
        <v>3433</v>
      </c>
      <c r="CI603" t="s">
        <v>3412</v>
      </c>
    </row>
    <row r="604" spans="1:109" x14ac:dyDescent="0.25">
      <c r="A604" t="s">
        <v>1201</v>
      </c>
      <c r="C604" t="s">
        <v>3326</v>
      </c>
      <c r="N604" s="5">
        <v>1</v>
      </c>
      <c r="AC604">
        <v>1</v>
      </c>
      <c r="AN604">
        <v>1</v>
      </c>
      <c r="AV604">
        <v>2</v>
      </c>
      <c r="AX604" t="s">
        <v>3419</v>
      </c>
      <c r="AZ604">
        <v>1</v>
      </c>
      <c r="BD604">
        <v>1</v>
      </c>
      <c r="BJ604">
        <v>1.4</v>
      </c>
      <c r="BK604">
        <v>1</v>
      </c>
      <c r="BL604">
        <v>1</v>
      </c>
      <c r="BP604" s="7" t="s">
        <v>4806</v>
      </c>
      <c r="CB604" t="s">
        <v>136</v>
      </c>
      <c r="CG604" t="s">
        <v>3410</v>
      </c>
      <c r="CH604" t="s">
        <v>4807</v>
      </c>
      <c r="CI604" t="s">
        <v>3412</v>
      </c>
      <c r="CY604" t="s">
        <v>3959</v>
      </c>
    </row>
    <row r="605" spans="1:109" x14ac:dyDescent="0.25">
      <c r="A605" t="s">
        <v>4806</v>
      </c>
      <c r="C605" t="s">
        <v>3326</v>
      </c>
      <c r="K605" s="5" t="s">
        <v>3314</v>
      </c>
      <c r="AC605">
        <v>2</v>
      </c>
      <c r="AD605">
        <v>1</v>
      </c>
      <c r="AG605" t="s">
        <v>3316</v>
      </c>
      <c r="AN605">
        <v>1</v>
      </c>
      <c r="BD605">
        <v>1</v>
      </c>
      <c r="CN605" s="9" t="s">
        <v>4808</v>
      </c>
      <c r="CO605">
        <v>1</v>
      </c>
      <c r="CR605">
        <v>99999</v>
      </c>
    </row>
    <row r="606" spans="1:109" x14ac:dyDescent="0.25">
      <c r="A606" t="s">
        <v>1210</v>
      </c>
      <c r="C606" t="s">
        <v>3326</v>
      </c>
      <c r="AC606">
        <v>1</v>
      </c>
      <c r="AN606">
        <v>1</v>
      </c>
      <c r="AO606" t="s">
        <v>4749</v>
      </c>
      <c r="AP606" t="s">
        <v>4750</v>
      </c>
      <c r="AV606">
        <v>1.8</v>
      </c>
      <c r="AX606" t="s">
        <v>3432</v>
      </c>
      <c r="AZ606">
        <v>1</v>
      </c>
      <c r="BD606">
        <v>1</v>
      </c>
      <c r="CB606" t="s">
        <v>136</v>
      </c>
      <c r="CG606" t="s">
        <v>3410</v>
      </c>
      <c r="CH606" t="s">
        <v>3433</v>
      </c>
      <c r="CI606" t="s">
        <v>3412</v>
      </c>
    </row>
    <row r="607" spans="1:109" x14ac:dyDescent="0.25">
      <c r="A607" t="s">
        <v>1215</v>
      </c>
      <c r="C607" t="s">
        <v>3326</v>
      </c>
      <c r="AC607">
        <v>1</v>
      </c>
      <c r="AN607">
        <v>1</v>
      </c>
      <c r="AO607" t="s">
        <v>4749</v>
      </c>
      <c r="AP607" t="s">
        <v>4750</v>
      </c>
      <c r="AV607">
        <v>3</v>
      </c>
      <c r="AX607" t="s">
        <v>3432</v>
      </c>
      <c r="AZ607">
        <v>1</v>
      </c>
      <c r="BD607">
        <v>1</v>
      </c>
      <c r="CB607" t="s">
        <v>136</v>
      </c>
      <c r="CG607" t="s">
        <v>3410</v>
      </c>
      <c r="CH607" t="s">
        <v>3433</v>
      </c>
      <c r="CI607" t="s">
        <v>3412</v>
      </c>
    </row>
    <row r="608" spans="1:109" x14ac:dyDescent="0.25">
      <c r="A608" t="s">
        <v>1220</v>
      </c>
      <c r="C608" t="s">
        <v>3326</v>
      </c>
      <c r="AC608">
        <v>1</v>
      </c>
      <c r="AN608">
        <v>1</v>
      </c>
      <c r="AV608">
        <v>2.5</v>
      </c>
      <c r="BD608">
        <v>99</v>
      </c>
      <c r="BS608">
        <v>0.1</v>
      </c>
      <c r="CN608" s="9" t="s">
        <v>1220</v>
      </c>
      <c r="CO608">
        <v>-50</v>
      </c>
      <c r="CR608">
        <v>0.15</v>
      </c>
      <c r="DE608">
        <v>1</v>
      </c>
    </row>
    <row r="609" spans="1:103" x14ac:dyDescent="0.25">
      <c r="A609" t="s">
        <v>4809</v>
      </c>
      <c r="C609" t="s">
        <v>3326</v>
      </c>
      <c r="K609" s="5" t="s">
        <v>3314</v>
      </c>
      <c r="L609" s="5" t="s">
        <v>3414</v>
      </c>
      <c r="AC609">
        <v>2</v>
      </c>
      <c r="AG609" t="s">
        <v>3316</v>
      </c>
      <c r="AN609">
        <v>1</v>
      </c>
      <c r="AY609" s="5"/>
      <c r="BD609">
        <v>1</v>
      </c>
      <c r="BV609"/>
      <c r="BW609"/>
      <c r="BX609"/>
      <c r="BY609"/>
      <c r="BZ609"/>
      <c r="CA609"/>
      <c r="CB609" s="5"/>
      <c r="CC609" s="5"/>
      <c r="CD609" s="5"/>
      <c r="CE609" s="5"/>
      <c r="CF609" s="5"/>
      <c r="CH609" s="5"/>
      <c r="CI609" s="5"/>
      <c r="CJ609" s="5"/>
      <c r="CK609" s="5"/>
      <c r="CL609" s="5"/>
      <c r="CM609" s="5"/>
      <c r="CN609" s="9" t="s">
        <v>4810</v>
      </c>
      <c r="CO609">
        <v>40</v>
      </c>
      <c r="CR609">
        <v>99999</v>
      </c>
    </row>
    <row r="610" spans="1:103" x14ac:dyDescent="0.25">
      <c r="A610" t="s">
        <v>4811</v>
      </c>
      <c r="C610" t="s">
        <v>3326</v>
      </c>
      <c r="K610" s="5" t="s">
        <v>3314</v>
      </c>
      <c r="L610" s="5" t="s">
        <v>3414</v>
      </c>
      <c r="AC610">
        <v>2</v>
      </c>
      <c r="AG610" t="s">
        <v>3316</v>
      </c>
      <c r="AN610">
        <v>1</v>
      </c>
      <c r="AY610" s="5"/>
      <c r="BD610">
        <v>1</v>
      </c>
      <c r="BV610"/>
      <c r="BW610"/>
      <c r="BX610"/>
      <c r="BY610"/>
      <c r="BZ610"/>
      <c r="CA610"/>
      <c r="CB610" s="5"/>
      <c r="CC610" s="5"/>
      <c r="CD610" s="5"/>
      <c r="CE610" s="5"/>
      <c r="CF610" s="5"/>
      <c r="CH610" s="5"/>
      <c r="CI610" s="5"/>
      <c r="CJ610" s="5"/>
      <c r="CK610" s="5"/>
      <c r="CL610" s="5"/>
      <c r="CM610" s="5"/>
      <c r="CN610" s="9" t="s">
        <v>4810</v>
      </c>
      <c r="CO610">
        <v>50</v>
      </c>
      <c r="CR610">
        <v>99999</v>
      </c>
    </row>
    <row r="611" spans="1:103" x14ac:dyDescent="0.25">
      <c r="A611" t="s">
        <v>4812</v>
      </c>
      <c r="C611" t="s">
        <v>3416</v>
      </c>
      <c r="AC611">
        <v>1</v>
      </c>
      <c r="AN611">
        <v>1</v>
      </c>
      <c r="AO611" t="s">
        <v>4749</v>
      </c>
      <c r="AV611">
        <v>0</v>
      </c>
      <c r="AX611" t="s">
        <v>3419</v>
      </c>
      <c r="AZ611">
        <v>1</v>
      </c>
      <c r="BD611">
        <v>1</v>
      </c>
      <c r="CB611" t="s">
        <v>136</v>
      </c>
      <c r="CG611" t="s">
        <v>3410</v>
      </c>
      <c r="CN611" s="9" t="s">
        <v>4813</v>
      </c>
      <c r="CO611">
        <v>-1</v>
      </c>
      <c r="CR611">
        <v>5</v>
      </c>
    </row>
    <row r="612" spans="1:103" x14ac:dyDescent="0.25">
      <c r="A612" t="s">
        <v>4814</v>
      </c>
      <c r="C612" t="s">
        <v>3416</v>
      </c>
      <c r="AC612">
        <v>1</v>
      </c>
      <c r="AN612">
        <v>1</v>
      </c>
      <c r="AO612" t="s">
        <v>4749</v>
      </c>
      <c r="AV612">
        <v>0</v>
      </c>
      <c r="AX612" t="s">
        <v>3419</v>
      </c>
      <c r="AZ612">
        <v>1</v>
      </c>
      <c r="BD612">
        <v>1</v>
      </c>
      <c r="CB612" t="s">
        <v>136</v>
      </c>
      <c r="CG612" t="s">
        <v>3410</v>
      </c>
      <c r="CN612" s="9" t="s">
        <v>4813</v>
      </c>
      <c r="CO612">
        <v>-1</v>
      </c>
      <c r="CR612">
        <v>10</v>
      </c>
    </row>
    <row r="613" spans="1:103" x14ac:dyDescent="0.25">
      <c r="A613" t="s">
        <v>1292</v>
      </c>
      <c r="C613" t="s">
        <v>3326</v>
      </c>
      <c r="AC613">
        <v>1</v>
      </c>
      <c r="AN613">
        <v>1</v>
      </c>
      <c r="AO613" t="s">
        <v>4749</v>
      </c>
      <c r="AP613" t="s">
        <v>4750</v>
      </c>
      <c r="AV613">
        <v>1.8</v>
      </c>
      <c r="AX613" t="s">
        <v>3432</v>
      </c>
      <c r="AZ613">
        <v>1</v>
      </c>
      <c r="BD613">
        <v>1</v>
      </c>
      <c r="CB613" t="s">
        <v>136</v>
      </c>
      <c r="CG613" t="s">
        <v>3410</v>
      </c>
      <c r="CH613" t="s">
        <v>3433</v>
      </c>
      <c r="CI613" t="s">
        <v>3412</v>
      </c>
    </row>
    <row r="614" spans="1:103" x14ac:dyDescent="0.25">
      <c r="AN614">
        <v>1</v>
      </c>
    </row>
    <row r="615" spans="1:103" x14ac:dyDescent="0.25">
      <c r="A615" t="s">
        <v>4815</v>
      </c>
      <c r="C615" t="s">
        <v>3326</v>
      </c>
      <c r="AC615">
        <v>1</v>
      </c>
      <c r="AN615">
        <v>1</v>
      </c>
      <c r="AO615" t="s">
        <v>4749</v>
      </c>
      <c r="AP615" t="s">
        <v>4750</v>
      </c>
      <c r="AV615">
        <v>3.5</v>
      </c>
      <c r="AX615" t="s">
        <v>3432</v>
      </c>
      <c r="AZ615">
        <v>1</v>
      </c>
      <c r="BD615">
        <v>4</v>
      </c>
      <c r="CB615" t="s">
        <v>136</v>
      </c>
      <c r="CG615" t="s">
        <v>3410</v>
      </c>
      <c r="CH615" t="s">
        <v>4551</v>
      </c>
      <c r="CI615" t="s">
        <v>3412</v>
      </c>
      <c r="CN615" s="9" t="s">
        <v>4816</v>
      </c>
      <c r="CO615">
        <v>60</v>
      </c>
      <c r="CR615">
        <v>10</v>
      </c>
    </row>
    <row r="616" spans="1:103" x14ac:dyDescent="0.25">
      <c r="A616" t="s">
        <v>4817</v>
      </c>
      <c r="C616" t="s">
        <v>3326</v>
      </c>
      <c r="J616" t="s">
        <v>3342</v>
      </c>
      <c r="AC616">
        <v>1</v>
      </c>
      <c r="AN616">
        <v>1</v>
      </c>
      <c r="AO616" t="s">
        <v>4749</v>
      </c>
      <c r="AP616" t="s">
        <v>4750</v>
      </c>
      <c r="AV616">
        <v>1.4</v>
      </c>
      <c r="AX616" t="s">
        <v>3432</v>
      </c>
      <c r="AZ616">
        <v>1000</v>
      </c>
      <c r="BB616">
        <v>2</v>
      </c>
      <c r="BD616">
        <v>99</v>
      </c>
      <c r="BV616" s="8">
        <v>0</v>
      </c>
      <c r="BW616" s="8">
        <v>10</v>
      </c>
      <c r="BX616" s="8">
        <v>1</v>
      </c>
      <c r="BY616" s="8" t="s">
        <v>3344</v>
      </c>
      <c r="BZ616" s="8">
        <v>1</v>
      </c>
      <c r="CB616" t="s">
        <v>627</v>
      </c>
      <c r="CG616" t="s">
        <v>3410</v>
      </c>
      <c r="CX616" t="s">
        <v>3959</v>
      </c>
    </row>
    <row r="617" spans="1:103" x14ac:dyDescent="0.25">
      <c r="A617" t="s">
        <v>4818</v>
      </c>
      <c r="C617" t="s">
        <v>3326</v>
      </c>
      <c r="U617" s="5">
        <v>0.5</v>
      </c>
      <c r="AC617">
        <v>2</v>
      </c>
      <c r="AG617" t="s">
        <v>3316</v>
      </c>
      <c r="AN617">
        <v>1</v>
      </c>
      <c r="BD617">
        <v>1</v>
      </c>
      <c r="CN617" s="9" t="s">
        <v>3366</v>
      </c>
      <c r="CO617">
        <v>40</v>
      </c>
      <c r="CR617">
        <v>9999</v>
      </c>
    </row>
    <row r="618" spans="1:103" x14ac:dyDescent="0.25">
      <c r="A618" t="s">
        <v>4819</v>
      </c>
      <c r="C618" t="s">
        <v>3326</v>
      </c>
      <c r="AC618">
        <v>1</v>
      </c>
      <c r="AN618">
        <v>1</v>
      </c>
      <c r="AO618" t="s">
        <v>4749</v>
      </c>
      <c r="AP618" t="s">
        <v>4750</v>
      </c>
      <c r="AV618">
        <v>2.6</v>
      </c>
      <c r="AX618" t="s">
        <v>3419</v>
      </c>
      <c r="AZ618">
        <v>1</v>
      </c>
      <c r="BD618">
        <v>1</v>
      </c>
      <c r="BJ618">
        <v>1.4</v>
      </c>
      <c r="BK618">
        <v>0.26</v>
      </c>
      <c r="BL618">
        <v>0.26</v>
      </c>
      <c r="CB618" t="s">
        <v>136</v>
      </c>
      <c r="CG618" t="s">
        <v>3410</v>
      </c>
      <c r="CH618" t="s">
        <v>3949</v>
      </c>
      <c r="CI618" t="s">
        <v>3412</v>
      </c>
      <c r="CN618" s="9" t="s">
        <v>4820</v>
      </c>
      <c r="CO618">
        <v>-0.5</v>
      </c>
      <c r="CR618">
        <v>5</v>
      </c>
      <c r="CY618" t="s">
        <v>3944</v>
      </c>
    </row>
    <row r="619" spans="1:103" x14ac:dyDescent="0.25">
      <c r="A619" t="s">
        <v>4821</v>
      </c>
      <c r="C619" t="s">
        <v>3416</v>
      </c>
      <c r="AC619">
        <v>1</v>
      </c>
      <c r="AN619">
        <v>1</v>
      </c>
      <c r="AO619" t="s">
        <v>4749</v>
      </c>
      <c r="AV619">
        <v>0</v>
      </c>
      <c r="AX619" t="s">
        <v>3419</v>
      </c>
      <c r="AZ619">
        <v>1</v>
      </c>
      <c r="BD619">
        <v>1</v>
      </c>
      <c r="CB619" t="s">
        <v>4822</v>
      </c>
      <c r="CG619" t="s">
        <v>3410</v>
      </c>
    </row>
    <row r="620" spans="1:103" x14ac:dyDescent="0.25">
      <c r="A620" t="s">
        <v>4823</v>
      </c>
      <c r="C620" t="s">
        <v>3326</v>
      </c>
      <c r="U620" s="5">
        <v>0.5</v>
      </c>
      <c r="AC620">
        <v>2</v>
      </c>
      <c r="AG620" t="s">
        <v>3316</v>
      </c>
      <c r="AN620">
        <v>1</v>
      </c>
      <c r="BD620">
        <v>1</v>
      </c>
      <c r="CN620" s="9" t="s">
        <v>3345</v>
      </c>
      <c r="CO620">
        <v>0.5</v>
      </c>
      <c r="CR620">
        <v>9999</v>
      </c>
    </row>
    <row r="621" spans="1:103" x14ac:dyDescent="0.25">
      <c r="A621" t="s">
        <v>4824</v>
      </c>
      <c r="C621" t="s">
        <v>3326</v>
      </c>
      <c r="AC621">
        <v>1</v>
      </c>
      <c r="AN621">
        <v>1</v>
      </c>
      <c r="AO621" t="s">
        <v>4749</v>
      </c>
      <c r="AP621" t="s">
        <v>4750</v>
      </c>
      <c r="AV621">
        <v>2.5</v>
      </c>
      <c r="AX621" t="s">
        <v>3419</v>
      </c>
      <c r="AZ621">
        <v>1</v>
      </c>
      <c r="BD621">
        <v>1</v>
      </c>
      <c r="CB621" t="s">
        <v>136</v>
      </c>
      <c r="CG621" t="s">
        <v>3410</v>
      </c>
      <c r="CH621" t="s">
        <v>3949</v>
      </c>
      <c r="CI621" t="s">
        <v>3412</v>
      </c>
    </row>
    <row r="622" spans="1:103" x14ac:dyDescent="0.25">
      <c r="A622" t="s">
        <v>4825</v>
      </c>
      <c r="C622" t="s">
        <v>4826</v>
      </c>
      <c r="J622" t="s">
        <v>3342</v>
      </c>
      <c r="AC622">
        <v>1</v>
      </c>
      <c r="AN622">
        <v>1</v>
      </c>
      <c r="AO622" t="s">
        <v>4749</v>
      </c>
      <c r="AV622">
        <v>2.5</v>
      </c>
      <c r="AX622" t="s">
        <v>3419</v>
      </c>
      <c r="AZ622">
        <v>1.8</v>
      </c>
      <c r="BD622">
        <v>1</v>
      </c>
      <c r="BV622" s="8">
        <v>12</v>
      </c>
      <c r="BW622" s="8">
        <v>21</v>
      </c>
      <c r="BX622" s="8">
        <v>1</v>
      </c>
      <c r="BY622" s="8" t="s">
        <v>3344</v>
      </c>
      <c r="CB622" t="s">
        <v>627</v>
      </c>
      <c r="CG622" t="s">
        <v>3410</v>
      </c>
      <c r="CY622" t="s">
        <v>3565</v>
      </c>
    </row>
    <row r="623" spans="1:103" x14ac:dyDescent="0.25">
      <c r="A623" t="s">
        <v>4827</v>
      </c>
      <c r="C623" t="s">
        <v>4155</v>
      </c>
      <c r="N623" s="5">
        <v>1</v>
      </c>
      <c r="U623" s="5">
        <v>0.5</v>
      </c>
      <c r="AC623">
        <v>2</v>
      </c>
      <c r="AG623" t="s">
        <v>3316</v>
      </c>
      <c r="AN623">
        <v>1</v>
      </c>
      <c r="BP623" s="7" t="s">
        <v>4828</v>
      </c>
      <c r="CG623" t="s">
        <v>3410</v>
      </c>
      <c r="CK623" t="s">
        <v>4829</v>
      </c>
      <c r="CU623" t="s">
        <v>4830</v>
      </c>
    </row>
    <row r="624" spans="1:103" x14ac:dyDescent="0.25">
      <c r="A624" t="s">
        <v>4828</v>
      </c>
      <c r="C624" t="s">
        <v>3512</v>
      </c>
      <c r="N624" s="5">
        <v>1</v>
      </c>
      <c r="U624" s="5">
        <v>0.5</v>
      </c>
      <c r="AC624">
        <v>2</v>
      </c>
      <c r="AG624" t="s">
        <v>3316</v>
      </c>
      <c r="AN624">
        <v>1</v>
      </c>
      <c r="CU624" t="s">
        <v>4831</v>
      </c>
    </row>
    <row r="625" spans="1:108" x14ac:dyDescent="0.25">
      <c r="AN625">
        <v>1</v>
      </c>
    </row>
    <row r="626" spans="1:108" x14ac:dyDescent="0.25">
      <c r="A626" t="s">
        <v>4832</v>
      </c>
      <c r="C626" t="s">
        <v>3326</v>
      </c>
      <c r="K626" s="5" t="s">
        <v>3344</v>
      </c>
      <c r="AC626">
        <v>2</v>
      </c>
      <c r="AN626">
        <v>1</v>
      </c>
      <c r="AO626" t="s">
        <v>3408</v>
      </c>
      <c r="AV626">
        <v>20</v>
      </c>
      <c r="AY626">
        <v>1</v>
      </c>
      <c r="AZ626">
        <v>1</v>
      </c>
      <c r="BD626">
        <v>3</v>
      </c>
      <c r="CB626" t="s">
        <v>136</v>
      </c>
      <c r="CG626" t="s">
        <v>3410</v>
      </c>
      <c r="CY626" t="s">
        <v>4614</v>
      </c>
      <c r="DD626">
        <v>1</v>
      </c>
    </row>
    <row r="627" spans="1:108" x14ac:dyDescent="0.25">
      <c r="A627" t="s">
        <v>4833</v>
      </c>
      <c r="C627" t="s">
        <v>3326</v>
      </c>
      <c r="K627" s="5" t="s">
        <v>3314</v>
      </c>
      <c r="L627" s="5" t="s">
        <v>3414</v>
      </c>
      <c r="AC627">
        <v>2</v>
      </c>
      <c r="AN627">
        <v>1</v>
      </c>
      <c r="AY627" s="5"/>
      <c r="BD627">
        <v>99</v>
      </c>
      <c r="BV627"/>
      <c r="BW627"/>
      <c r="BX627"/>
      <c r="BY627"/>
      <c r="BZ627"/>
      <c r="CA627"/>
      <c r="CB627" s="5"/>
      <c r="CC627" s="5"/>
      <c r="CD627" s="5"/>
      <c r="CE627" s="5"/>
      <c r="CF627" s="5"/>
      <c r="CH627" s="5"/>
      <c r="CI627" s="5"/>
      <c r="CJ627" s="5"/>
      <c r="CK627" s="5"/>
      <c r="CL627" s="5"/>
      <c r="CM627" s="5"/>
      <c r="CN627" s="9" t="s">
        <v>4834</v>
      </c>
      <c r="CO627">
        <v>1</v>
      </c>
      <c r="CR627">
        <v>9999</v>
      </c>
      <c r="CT627">
        <v>1</v>
      </c>
    </row>
    <row r="628" spans="1:108" x14ac:dyDescent="0.25">
      <c r="A628" t="s">
        <v>4834</v>
      </c>
      <c r="C628" t="s">
        <v>3326</v>
      </c>
      <c r="K628" s="5" t="s">
        <v>3314</v>
      </c>
      <c r="L628" s="5" t="s">
        <v>3330</v>
      </c>
      <c r="AC628">
        <v>2</v>
      </c>
      <c r="AD628">
        <v>1</v>
      </c>
      <c r="AF628">
        <v>1</v>
      </c>
      <c r="AH628">
        <v>1</v>
      </c>
      <c r="AN628">
        <v>1</v>
      </c>
      <c r="BD628">
        <v>1</v>
      </c>
      <c r="CN628" s="9" t="s">
        <v>4834</v>
      </c>
      <c r="CO628">
        <v>1</v>
      </c>
      <c r="CR628">
        <v>9999</v>
      </c>
    </row>
    <row r="629" spans="1:108" x14ac:dyDescent="0.25">
      <c r="A629" t="s">
        <v>4835</v>
      </c>
      <c r="C629" t="s">
        <v>3326</v>
      </c>
      <c r="K629" s="5" t="s">
        <v>3314</v>
      </c>
      <c r="L629" s="5" t="s">
        <v>3671</v>
      </c>
      <c r="AC629">
        <v>2</v>
      </c>
      <c r="AF629">
        <v>1</v>
      </c>
      <c r="AG629" t="s">
        <v>3316</v>
      </c>
      <c r="AH629">
        <v>1</v>
      </c>
      <c r="AN629">
        <v>1</v>
      </c>
      <c r="BP629" s="7" t="s">
        <v>4836</v>
      </c>
    </row>
    <row r="630" spans="1:108" x14ac:dyDescent="0.25">
      <c r="A630" t="s">
        <v>4836</v>
      </c>
      <c r="C630" t="s">
        <v>3326</v>
      </c>
      <c r="K630" s="5" t="s">
        <v>3314</v>
      </c>
      <c r="AC630">
        <v>2</v>
      </c>
      <c r="AD630">
        <v>1</v>
      </c>
      <c r="AN630">
        <v>1</v>
      </c>
      <c r="AV630">
        <v>99</v>
      </c>
      <c r="CM630" t="s">
        <v>4834</v>
      </c>
    </row>
    <row r="631" spans="1:108" x14ac:dyDescent="0.25">
      <c r="AN631">
        <v>1</v>
      </c>
    </row>
    <row r="632" spans="1:108" x14ac:dyDescent="0.25">
      <c r="A632" t="s">
        <v>4837</v>
      </c>
      <c r="C632" t="s">
        <v>3326</v>
      </c>
      <c r="AC632">
        <v>1</v>
      </c>
      <c r="AN632">
        <v>1</v>
      </c>
      <c r="AO632" t="s">
        <v>4749</v>
      </c>
      <c r="AP632" t="s">
        <v>4750</v>
      </c>
      <c r="AV632">
        <v>20</v>
      </c>
      <c r="AX632" t="s">
        <v>3419</v>
      </c>
      <c r="AZ632">
        <v>1</v>
      </c>
      <c r="BD632">
        <v>1</v>
      </c>
      <c r="CB632" t="s">
        <v>136</v>
      </c>
      <c r="CG632" t="s">
        <v>3410</v>
      </c>
      <c r="CH632" t="s">
        <v>4838</v>
      </c>
      <c r="CI632" t="s">
        <v>3412</v>
      </c>
    </row>
    <row r="633" spans="1:108" x14ac:dyDescent="0.25">
      <c r="A633" t="s">
        <v>4839</v>
      </c>
      <c r="C633" t="s">
        <v>3326</v>
      </c>
      <c r="J633" t="s">
        <v>3342</v>
      </c>
      <c r="AC633">
        <v>1</v>
      </c>
      <c r="AN633">
        <v>1</v>
      </c>
      <c r="AO633" t="s">
        <v>4749</v>
      </c>
      <c r="AP633" t="s">
        <v>4750</v>
      </c>
      <c r="AV633">
        <v>20</v>
      </c>
      <c r="AX633" t="s">
        <v>3419</v>
      </c>
      <c r="AZ633">
        <v>2</v>
      </c>
      <c r="BD633">
        <v>1</v>
      </c>
      <c r="BV633" s="8">
        <v>0</v>
      </c>
      <c r="BW633" s="8">
        <v>17</v>
      </c>
      <c r="BX633" s="8">
        <v>1</v>
      </c>
      <c r="BY633" s="8" t="s">
        <v>3344</v>
      </c>
      <c r="CB633" t="s">
        <v>4767</v>
      </c>
      <c r="CG633" t="s">
        <v>3410</v>
      </c>
      <c r="CH633" t="s">
        <v>4840</v>
      </c>
      <c r="CI633" t="s">
        <v>3412</v>
      </c>
    </row>
    <row r="634" spans="1:108" x14ac:dyDescent="0.25">
      <c r="A634" t="s">
        <v>4841</v>
      </c>
      <c r="C634" t="s">
        <v>3326</v>
      </c>
      <c r="K634" s="5" t="s">
        <v>3314</v>
      </c>
      <c r="L634" s="5" t="s">
        <v>3414</v>
      </c>
      <c r="AC634">
        <v>2</v>
      </c>
      <c r="AF634">
        <v>1</v>
      </c>
      <c r="AG634" t="s">
        <v>3316</v>
      </c>
      <c r="AN634">
        <v>1</v>
      </c>
      <c r="AY634" s="5"/>
      <c r="BD634">
        <v>1</v>
      </c>
      <c r="BV634"/>
      <c r="BW634"/>
      <c r="BX634"/>
      <c r="BY634"/>
      <c r="BZ634"/>
      <c r="CA634"/>
      <c r="CB634" s="5"/>
      <c r="CC634" s="5"/>
      <c r="CD634" s="5"/>
      <c r="CE634" s="5"/>
      <c r="CF634" s="5"/>
      <c r="CH634" s="5"/>
      <c r="CI634" s="5"/>
      <c r="CJ634" s="5"/>
      <c r="CK634" s="5"/>
      <c r="CL634" s="5"/>
      <c r="CM634" s="5"/>
      <c r="CN634" s="9" t="s">
        <v>4780</v>
      </c>
      <c r="CR634">
        <v>150</v>
      </c>
    </row>
    <row r="635" spans="1:108" x14ac:dyDescent="0.25">
      <c r="A635" t="s">
        <v>4842</v>
      </c>
      <c r="C635" t="s">
        <v>4782</v>
      </c>
      <c r="J635" t="s">
        <v>3342</v>
      </c>
      <c r="AC635">
        <v>2</v>
      </c>
      <c r="AG635" t="s">
        <v>3316</v>
      </c>
      <c r="AN635">
        <v>1</v>
      </c>
      <c r="AY635" s="5"/>
      <c r="BD635">
        <v>1</v>
      </c>
      <c r="BV635">
        <v>15</v>
      </c>
      <c r="BW635">
        <v>30</v>
      </c>
      <c r="BX635">
        <v>1</v>
      </c>
      <c r="BY635" t="s">
        <v>3344</v>
      </c>
      <c r="BZ635"/>
      <c r="CA635"/>
      <c r="CB635" s="5" t="s">
        <v>4357</v>
      </c>
      <c r="CC635" s="5"/>
      <c r="CD635" s="5"/>
      <c r="CE635" s="5"/>
      <c r="CF635" s="5"/>
      <c r="CG635" t="s">
        <v>3410</v>
      </c>
      <c r="CH635" s="5"/>
      <c r="CI635" s="5"/>
      <c r="CJ635" s="5"/>
      <c r="CK635" s="5"/>
      <c r="CL635" s="5"/>
      <c r="CM635" s="5"/>
    </row>
    <row r="636" spans="1:108" x14ac:dyDescent="0.25">
      <c r="AN636">
        <v>1</v>
      </c>
    </row>
    <row r="637" spans="1:108" x14ac:dyDescent="0.25">
      <c r="A637" t="s">
        <v>4843</v>
      </c>
      <c r="C637" t="s">
        <v>3326</v>
      </c>
      <c r="AC637">
        <v>1</v>
      </c>
      <c r="AN637">
        <v>1</v>
      </c>
      <c r="AO637" t="s">
        <v>4749</v>
      </c>
      <c r="AP637" t="s">
        <v>4750</v>
      </c>
      <c r="AV637">
        <v>1.7</v>
      </c>
      <c r="AX637" t="s">
        <v>3419</v>
      </c>
      <c r="AZ637">
        <v>1</v>
      </c>
      <c r="BD637">
        <v>1</v>
      </c>
      <c r="CB637" t="s">
        <v>136</v>
      </c>
      <c r="CG637" t="s">
        <v>3410</v>
      </c>
      <c r="CH637" t="s">
        <v>3426</v>
      </c>
      <c r="CI637" t="s">
        <v>3412</v>
      </c>
    </row>
    <row r="638" spans="1:108" x14ac:dyDescent="0.25">
      <c r="A638" t="s">
        <v>4844</v>
      </c>
      <c r="C638" t="s">
        <v>3326</v>
      </c>
      <c r="Z638">
        <v>1</v>
      </c>
      <c r="AC638">
        <v>1</v>
      </c>
      <c r="AJ638" t="s">
        <v>860</v>
      </c>
      <c r="AN638">
        <v>1</v>
      </c>
      <c r="AO638" t="s">
        <v>4749</v>
      </c>
      <c r="AP638" t="s">
        <v>4750</v>
      </c>
      <c r="AV638">
        <v>1.7</v>
      </c>
      <c r="AX638" t="s">
        <v>3419</v>
      </c>
      <c r="AZ638">
        <v>1</v>
      </c>
      <c r="BD638">
        <v>1</v>
      </c>
      <c r="CB638" t="s">
        <v>136</v>
      </c>
      <c r="CG638" t="s">
        <v>3410</v>
      </c>
      <c r="CH638" t="s">
        <v>3426</v>
      </c>
      <c r="CI638" t="s">
        <v>3412</v>
      </c>
    </row>
    <row r="639" spans="1:108" x14ac:dyDescent="0.25">
      <c r="A639" t="s">
        <v>4845</v>
      </c>
      <c r="C639" t="s">
        <v>3326</v>
      </c>
      <c r="AC639">
        <v>1</v>
      </c>
      <c r="AN639">
        <v>1</v>
      </c>
      <c r="AO639" t="s">
        <v>4749</v>
      </c>
      <c r="AP639" t="s">
        <v>4750</v>
      </c>
      <c r="AV639">
        <v>1.3</v>
      </c>
      <c r="AX639" t="s">
        <v>3419</v>
      </c>
      <c r="AZ639">
        <v>1</v>
      </c>
      <c r="BD639">
        <v>1</v>
      </c>
      <c r="CB639" t="s">
        <v>136</v>
      </c>
      <c r="CG639" t="s">
        <v>3410</v>
      </c>
    </row>
    <row r="640" spans="1:108" x14ac:dyDescent="0.25">
      <c r="A640" t="s">
        <v>4846</v>
      </c>
      <c r="C640" t="s">
        <v>3326</v>
      </c>
      <c r="Z640">
        <v>1</v>
      </c>
      <c r="AC640">
        <v>1</v>
      </c>
      <c r="AJ640" t="s">
        <v>860</v>
      </c>
      <c r="AN640">
        <v>1</v>
      </c>
      <c r="AO640" t="s">
        <v>4749</v>
      </c>
      <c r="AP640" t="s">
        <v>4750</v>
      </c>
      <c r="AV640">
        <v>1.3</v>
      </c>
      <c r="AX640" t="s">
        <v>3419</v>
      </c>
      <c r="AZ640">
        <v>1</v>
      </c>
      <c r="BD640">
        <v>1</v>
      </c>
      <c r="CB640" t="s">
        <v>136</v>
      </c>
      <c r="CG640" t="s">
        <v>3410</v>
      </c>
    </row>
    <row r="641" spans="1:103" x14ac:dyDescent="0.25">
      <c r="A641" t="s">
        <v>4847</v>
      </c>
      <c r="C641" t="s">
        <v>3326</v>
      </c>
      <c r="K641" s="5" t="s">
        <v>3314</v>
      </c>
      <c r="L641" s="5" t="s">
        <v>3414</v>
      </c>
      <c r="AC641">
        <v>2</v>
      </c>
      <c r="AF641">
        <v>1</v>
      </c>
      <c r="AG641" t="s">
        <v>3316</v>
      </c>
      <c r="AN641">
        <v>1</v>
      </c>
      <c r="AY641" s="5"/>
      <c r="BD641">
        <v>1</v>
      </c>
      <c r="BV641"/>
      <c r="BW641"/>
      <c r="BX641"/>
      <c r="BY641"/>
      <c r="BZ641"/>
      <c r="CA641"/>
      <c r="CB641" s="5"/>
      <c r="CC641" s="5"/>
      <c r="CD641" s="5"/>
      <c r="CE641" s="5"/>
      <c r="CF641" s="5"/>
      <c r="CH641" s="5"/>
      <c r="CI641" s="5"/>
      <c r="CJ641" s="5"/>
      <c r="CK641" s="5"/>
      <c r="CL641" s="5"/>
      <c r="CM641" s="5"/>
      <c r="CN641" s="9" t="s">
        <v>4847</v>
      </c>
      <c r="CO641">
        <v>1250</v>
      </c>
      <c r="CR641">
        <v>9999</v>
      </c>
    </row>
    <row r="642" spans="1:103" x14ac:dyDescent="0.25">
      <c r="A642" t="s">
        <v>4848</v>
      </c>
      <c r="C642" t="s">
        <v>3326</v>
      </c>
      <c r="K642" s="5" t="s">
        <v>3314</v>
      </c>
      <c r="L642" s="5" t="s">
        <v>3414</v>
      </c>
      <c r="AC642">
        <v>2</v>
      </c>
      <c r="AF642">
        <v>1</v>
      </c>
      <c r="AG642" t="s">
        <v>3316</v>
      </c>
      <c r="AN642">
        <v>1</v>
      </c>
      <c r="AY642" s="5"/>
      <c r="BD642">
        <v>1</v>
      </c>
      <c r="BV642"/>
      <c r="BW642"/>
      <c r="BX642"/>
      <c r="BY642"/>
      <c r="BZ642"/>
      <c r="CA642"/>
      <c r="CB642" s="5"/>
      <c r="CC642" s="5"/>
      <c r="CD642" s="5"/>
      <c r="CE642" s="5"/>
      <c r="CF642" s="5"/>
      <c r="CH642" s="5"/>
      <c r="CI642" s="5"/>
      <c r="CJ642" s="5"/>
      <c r="CK642" s="5"/>
      <c r="CL642" s="5"/>
      <c r="CM642" s="5"/>
      <c r="CN642" s="9" t="s">
        <v>4849</v>
      </c>
      <c r="CO642">
        <v>6000</v>
      </c>
      <c r="CR642">
        <v>9999</v>
      </c>
    </row>
    <row r="643" spans="1:103" x14ac:dyDescent="0.25">
      <c r="A643" t="s">
        <v>4850</v>
      </c>
      <c r="C643" t="s">
        <v>3326</v>
      </c>
      <c r="P643" s="5" t="s">
        <v>4849</v>
      </c>
      <c r="AC643">
        <v>2</v>
      </c>
      <c r="AG643" t="s">
        <v>3316</v>
      </c>
      <c r="AN643">
        <v>1</v>
      </c>
      <c r="AY643" s="5"/>
      <c r="BD643">
        <v>1</v>
      </c>
      <c r="BV643"/>
      <c r="BW643"/>
      <c r="BX643"/>
      <c r="BY643"/>
      <c r="BZ643"/>
      <c r="CA643"/>
      <c r="CB643" s="5"/>
      <c r="CC643" s="5"/>
      <c r="CD643" s="5"/>
      <c r="CE643" s="5"/>
      <c r="CF643" s="5"/>
      <c r="CH643" s="5"/>
      <c r="CI643" s="5"/>
      <c r="CJ643" s="5"/>
      <c r="CK643" s="5"/>
      <c r="CL643" s="5"/>
      <c r="CM643" s="5"/>
      <c r="CN643" s="9" t="s">
        <v>3600</v>
      </c>
      <c r="CO643">
        <v>1</v>
      </c>
      <c r="CR643">
        <v>9999</v>
      </c>
    </row>
    <row r="644" spans="1:103" x14ac:dyDescent="0.25">
      <c r="A644" t="s">
        <v>4851</v>
      </c>
      <c r="C644" t="s">
        <v>3326</v>
      </c>
      <c r="K644" s="5" t="s">
        <v>3314</v>
      </c>
      <c r="L644" s="5" t="s">
        <v>3414</v>
      </c>
      <c r="AC644">
        <v>2</v>
      </c>
      <c r="AF644">
        <v>1</v>
      </c>
      <c r="AG644" t="s">
        <v>3316</v>
      </c>
      <c r="AN644">
        <v>1</v>
      </c>
      <c r="AY644" s="5"/>
      <c r="BD644">
        <v>1</v>
      </c>
      <c r="BV644"/>
      <c r="BW644"/>
      <c r="BX644"/>
      <c r="BY644"/>
      <c r="BZ644"/>
      <c r="CA644"/>
      <c r="CB644" s="5"/>
      <c r="CC644" s="5"/>
      <c r="CD644" s="5"/>
      <c r="CE644" s="5"/>
      <c r="CF644" s="5"/>
      <c r="CH644" s="5"/>
      <c r="CI644" s="5"/>
      <c r="CJ644" s="5"/>
      <c r="CK644" s="5"/>
      <c r="CL644" s="5"/>
      <c r="CM644" s="5"/>
      <c r="CN644" s="9" t="s">
        <v>4847</v>
      </c>
      <c r="CO644">
        <v>1750</v>
      </c>
      <c r="CR644">
        <v>9999</v>
      </c>
    </row>
    <row r="645" spans="1:103" x14ac:dyDescent="0.25">
      <c r="A645" t="s">
        <v>4852</v>
      </c>
      <c r="C645" t="s">
        <v>3326</v>
      </c>
      <c r="K645" s="5" t="s">
        <v>3314</v>
      </c>
      <c r="L645" s="5" t="s">
        <v>3414</v>
      </c>
      <c r="AC645">
        <v>2</v>
      </c>
      <c r="AF645">
        <v>1</v>
      </c>
      <c r="AG645" t="s">
        <v>3316</v>
      </c>
      <c r="AN645">
        <v>1</v>
      </c>
      <c r="AY645" s="5"/>
      <c r="BD645">
        <v>1</v>
      </c>
      <c r="BV645"/>
      <c r="BW645"/>
      <c r="BX645"/>
      <c r="BY645"/>
      <c r="BZ645"/>
      <c r="CA645"/>
      <c r="CB645" s="5"/>
      <c r="CC645" s="5"/>
      <c r="CD645" s="5"/>
      <c r="CE645" s="5"/>
      <c r="CF645" s="5"/>
      <c r="CH645" s="5"/>
      <c r="CI645" s="5"/>
      <c r="CJ645" s="5"/>
      <c r="CK645" s="5"/>
      <c r="CL645" s="5"/>
      <c r="CM645" s="5"/>
      <c r="CN645" s="9" t="s">
        <v>4849</v>
      </c>
      <c r="CO645">
        <v>10002</v>
      </c>
      <c r="CR645">
        <v>9999</v>
      </c>
    </row>
    <row r="646" spans="1:103" x14ac:dyDescent="0.25">
      <c r="A646" t="s">
        <v>4853</v>
      </c>
      <c r="C646" t="s">
        <v>3326</v>
      </c>
      <c r="K646" s="5" t="s">
        <v>3314</v>
      </c>
      <c r="L646" s="5" t="s">
        <v>3414</v>
      </c>
      <c r="AC646">
        <v>2</v>
      </c>
      <c r="AF646">
        <v>1</v>
      </c>
      <c r="AG646" t="s">
        <v>3316</v>
      </c>
      <c r="AN646">
        <v>1</v>
      </c>
      <c r="AY646" s="5"/>
      <c r="BD646">
        <v>1</v>
      </c>
      <c r="BV646"/>
      <c r="BW646"/>
      <c r="BX646"/>
      <c r="BY646"/>
      <c r="BZ646"/>
      <c r="CA646"/>
      <c r="CB646" s="5"/>
      <c r="CC646" s="5"/>
      <c r="CD646" s="5"/>
      <c r="CE646" s="5"/>
      <c r="CF646" s="5"/>
      <c r="CH646" s="5"/>
      <c r="CI646" s="5"/>
      <c r="CJ646" s="5"/>
      <c r="CK646" s="5"/>
      <c r="CL646" s="5"/>
      <c r="CM646" s="5"/>
      <c r="CN646" s="9" t="s">
        <v>4847</v>
      </c>
      <c r="CO646">
        <v>3000</v>
      </c>
      <c r="CR646">
        <v>9999</v>
      </c>
    </row>
    <row r="647" spans="1:103" x14ac:dyDescent="0.25">
      <c r="A647" t="s">
        <v>4854</v>
      </c>
      <c r="C647" t="s">
        <v>3326</v>
      </c>
      <c r="K647" s="5" t="s">
        <v>3314</v>
      </c>
      <c r="L647" s="5" t="s">
        <v>3414</v>
      </c>
      <c r="AC647">
        <v>2</v>
      </c>
      <c r="AF647">
        <v>1</v>
      </c>
      <c r="AG647" t="s">
        <v>3316</v>
      </c>
      <c r="AN647">
        <v>1</v>
      </c>
      <c r="AY647" s="5"/>
      <c r="BD647">
        <v>1</v>
      </c>
      <c r="BV647"/>
      <c r="BW647"/>
      <c r="BX647"/>
      <c r="BY647"/>
      <c r="BZ647"/>
      <c r="CA647"/>
      <c r="CB647" s="5"/>
      <c r="CC647" s="5"/>
      <c r="CD647" s="5"/>
      <c r="CE647" s="5"/>
      <c r="CF647" s="5"/>
      <c r="CH647" s="5"/>
      <c r="CI647" s="5"/>
      <c r="CJ647" s="5"/>
      <c r="CK647" s="5"/>
      <c r="CL647" s="5"/>
      <c r="CM647" s="5"/>
      <c r="CN647" s="9" t="s">
        <v>4849</v>
      </c>
      <c r="CO647">
        <v>14001</v>
      </c>
      <c r="CR647">
        <v>9999</v>
      </c>
    </row>
    <row r="648" spans="1:103" x14ac:dyDescent="0.25">
      <c r="A648" t="s">
        <v>4855</v>
      </c>
      <c r="C648" t="s">
        <v>3326</v>
      </c>
      <c r="J648" t="s">
        <v>3342</v>
      </c>
      <c r="AC648">
        <v>1</v>
      </c>
      <c r="AO648" t="s">
        <v>4856</v>
      </c>
      <c r="AV648">
        <v>99</v>
      </c>
      <c r="AX648" t="s">
        <v>3419</v>
      </c>
      <c r="AY648" s="5"/>
      <c r="AZ648">
        <v>800</v>
      </c>
      <c r="BB648">
        <v>2</v>
      </c>
      <c r="BD648">
        <v>1</v>
      </c>
      <c r="BH648" t="s">
        <v>4857</v>
      </c>
      <c r="BK648">
        <v>1</v>
      </c>
      <c r="BL648">
        <v>1</v>
      </c>
      <c r="BV648">
        <v>15</v>
      </c>
      <c r="BW648">
        <v>15</v>
      </c>
      <c r="BX648">
        <v>1</v>
      </c>
      <c r="BY648"/>
      <c r="BZ648"/>
      <c r="CA648"/>
      <c r="CB648" s="5" t="s">
        <v>4767</v>
      </c>
      <c r="CC648" s="5"/>
      <c r="CD648" s="5"/>
      <c r="CE648" s="5"/>
      <c r="CF648" s="5"/>
      <c r="CG648" t="s">
        <v>3410</v>
      </c>
      <c r="CH648" s="5"/>
      <c r="CI648" s="5"/>
      <c r="CJ648" s="5"/>
      <c r="CK648" s="5"/>
      <c r="CL648" s="5"/>
      <c r="CM648" s="5"/>
      <c r="CY648" t="s">
        <v>4855</v>
      </c>
    </row>
    <row r="649" spans="1:103" x14ac:dyDescent="0.25">
      <c r="A649" t="s">
        <v>4858</v>
      </c>
      <c r="C649" t="s">
        <v>3326</v>
      </c>
      <c r="J649" t="s">
        <v>3342</v>
      </c>
      <c r="AC649">
        <v>1</v>
      </c>
      <c r="AO649" t="s">
        <v>4859</v>
      </c>
      <c r="AV649">
        <v>99</v>
      </c>
      <c r="AX649" t="s">
        <v>3432</v>
      </c>
      <c r="AY649" s="5"/>
      <c r="AZ649">
        <v>70</v>
      </c>
      <c r="BB649">
        <v>2</v>
      </c>
      <c r="BD649">
        <v>1</v>
      </c>
      <c r="BJ649">
        <v>1.4</v>
      </c>
      <c r="BK649">
        <v>1</v>
      </c>
      <c r="BL649">
        <v>1</v>
      </c>
      <c r="BV649">
        <v>20</v>
      </c>
      <c r="BW649">
        <v>25</v>
      </c>
      <c r="BX649">
        <v>1</v>
      </c>
      <c r="BY649"/>
      <c r="BZ649"/>
      <c r="CA649"/>
      <c r="CB649" s="5" t="s">
        <v>4357</v>
      </c>
      <c r="CC649" s="5"/>
      <c r="CD649" s="5"/>
      <c r="CE649" s="5"/>
      <c r="CF649" s="5"/>
      <c r="CG649" t="s">
        <v>3410</v>
      </c>
      <c r="CH649" t="s">
        <v>4860</v>
      </c>
      <c r="CI649" s="5"/>
      <c r="CJ649" s="5"/>
      <c r="CK649" s="5"/>
      <c r="CL649" s="5"/>
      <c r="CM649" s="5"/>
      <c r="CN649" s="9" t="s">
        <v>3538</v>
      </c>
      <c r="CO649">
        <v>-0.7</v>
      </c>
      <c r="CR649">
        <v>1</v>
      </c>
    </row>
    <row r="650" spans="1:103" x14ac:dyDescent="0.25">
      <c r="A650" t="s">
        <v>4861</v>
      </c>
      <c r="C650" t="s">
        <v>3326</v>
      </c>
      <c r="AC650">
        <v>1</v>
      </c>
      <c r="AO650" t="s">
        <v>4856</v>
      </c>
      <c r="AV650">
        <v>99</v>
      </c>
      <c r="AY650" s="5"/>
      <c r="BD650">
        <v>1</v>
      </c>
      <c r="BS650">
        <v>0.1</v>
      </c>
      <c r="BV650"/>
      <c r="BW650"/>
      <c r="BX650"/>
      <c r="BY650"/>
      <c r="BZ650"/>
      <c r="CA650"/>
      <c r="CB650" s="5"/>
      <c r="CC650" s="5"/>
      <c r="CD650" s="5"/>
      <c r="CE650" s="5"/>
      <c r="CF650" s="5"/>
      <c r="CI650" s="5"/>
      <c r="CJ650" s="5"/>
      <c r="CK650" s="5"/>
      <c r="CL650" s="5"/>
      <c r="CM650" s="5"/>
      <c r="CN650" s="9" t="s">
        <v>4862</v>
      </c>
      <c r="CR650">
        <v>0.1</v>
      </c>
    </row>
    <row r="651" spans="1:103" x14ac:dyDescent="0.25">
      <c r="A651" t="s">
        <v>4862</v>
      </c>
      <c r="C651" t="s">
        <v>3326</v>
      </c>
      <c r="AC651">
        <v>1</v>
      </c>
      <c r="AO651" t="s">
        <v>4859</v>
      </c>
      <c r="AV651">
        <v>99</v>
      </c>
      <c r="AY651" s="5"/>
      <c r="BD651">
        <v>1</v>
      </c>
      <c r="BS651">
        <v>0.1</v>
      </c>
      <c r="BV651"/>
      <c r="BW651"/>
      <c r="BX651"/>
      <c r="BY651"/>
      <c r="BZ651"/>
      <c r="CA651"/>
      <c r="CB651" s="5"/>
      <c r="CC651" s="5"/>
      <c r="CD651" s="5"/>
      <c r="CE651" s="5"/>
      <c r="CF651" s="5"/>
      <c r="CI651" s="5"/>
      <c r="CJ651" s="5"/>
      <c r="CK651" s="5"/>
      <c r="CL651" s="5"/>
      <c r="CM651" s="5"/>
      <c r="CN651" s="9" t="s">
        <v>4861</v>
      </c>
      <c r="CR651">
        <v>0.1</v>
      </c>
    </row>
    <row r="652" spans="1:103" x14ac:dyDescent="0.25">
      <c r="A652" t="s">
        <v>4863</v>
      </c>
      <c r="C652" t="s">
        <v>3326</v>
      </c>
      <c r="K652" s="5" t="s">
        <v>3314</v>
      </c>
      <c r="L652" s="5" t="s">
        <v>3414</v>
      </c>
      <c r="AC652">
        <v>2</v>
      </c>
      <c r="AF652">
        <v>1</v>
      </c>
      <c r="AG652" t="s">
        <v>3316</v>
      </c>
      <c r="AN652">
        <v>1</v>
      </c>
      <c r="AY652" s="5"/>
      <c r="BD652">
        <v>1</v>
      </c>
      <c r="BV652"/>
      <c r="BW652"/>
      <c r="BX652"/>
      <c r="BY652"/>
      <c r="BZ652"/>
      <c r="CA652"/>
      <c r="CB652" s="5"/>
      <c r="CC652" s="5"/>
      <c r="CD652" s="5"/>
      <c r="CE652" s="5"/>
      <c r="CF652" s="5"/>
      <c r="CH652" s="5"/>
      <c r="CI652" s="5"/>
      <c r="CJ652" s="5"/>
      <c r="CK652" s="5"/>
      <c r="CL652" s="5"/>
      <c r="CM652" s="5"/>
      <c r="CN652" s="9" t="s">
        <v>4864</v>
      </c>
      <c r="CO652" t="s">
        <v>4865</v>
      </c>
      <c r="CR652">
        <v>9999</v>
      </c>
    </row>
    <row r="653" spans="1:103" x14ac:dyDescent="0.25">
      <c r="A653" t="s">
        <v>4866</v>
      </c>
      <c r="C653" t="s">
        <v>3326</v>
      </c>
      <c r="K653" s="5" t="s">
        <v>3314</v>
      </c>
      <c r="L653" s="5" t="s">
        <v>3414</v>
      </c>
      <c r="AC653">
        <v>2</v>
      </c>
      <c r="AF653">
        <v>1</v>
      </c>
      <c r="AG653" t="s">
        <v>3316</v>
      </c>
      <c r="AN653">
        <v>1</v>
      </c>
      <c r="AY653" s="5"/>
      <c r="BD653">
        <v>1</v>
      </c>
      <c r="BV653"/>
      <c r="BW653"/>
      <c r="BX653"/>
      <c r="BY653"/>
      <c r="BZ653"/>
      <c r="CA653"/>
      <c r="CB653" s="5"/>
      <c r="CC653" s="5"/>
      <c r="CD653" s="5"/>
      <c r="CE653" s="5"/>
      <c r="CF653" s="5"/>
      <c r="CH653" s="5"/>
      <c r="CI653" s="5"/>
      <c r="CJ653" s="5"/>
      <c r="CK653" s="5"/>
      <c r="CL653" s="5"/>
      <c r="CM653" s="5"/>
      <c r="CN653" s="9" t="s">
        <v>4849</v>
      </c>
      <c r="CO653">
        <v>6000</v>
      </c>
      <c r="CR653">
        <v>9999</v>
      </c>
    </row>
    <row r="654" spans="1:103" x14ac:dyDescent="0.25">
      <c r="A654" t="s">
        <v>4867</v>
      </c>
      <c r="C654" t="s">
        <v>3326</v>
      </c>
      <c r="K654" s="5" t="s">
        <v>3314</v>
      </c>
      <c r="L654" s="5" t="s">
        <v>3414</v>
      </c>
      <c r="AC654">
        <v>2</v>
      </c>
      <c r="AF654">
        <v>1</v>
      </c>
      <c r="AG654" t="s">
        <v>3316</v>
      </c>
      <c r="AN654">
        <v>1</v>
      </c>
      <c r="AY654" s="5"/>
      <c r="BD654">
        <v>1</v>
      </c>
      <c r="BV654"/>
      <c r="BW654"/>
      <c r="BX654"/>
      <c r="BY654"/>
      <c r="BZ654"/>
      <c r="CA654"/>
      <c r="CB654" s="5"/>
      <c r="CC654" s="5"/>
      <c r="CD654" s="5"/>
      <c r="CE654" s="5"/>
      <c r="CF654" s="5"/>
      <c r="CH654" s="5"/>
      <c r="CI654" s="5"/>
      <c r="CJ654" s="5"/>
      <c r="CK654" s="5"/>
      <c r="CL654" s="5"/>
      <c r="CM654" s="5"/>
      <c r="CN654" s="9" t="s">
        <v>4849</v>
      </c>
      <c r="CO654">
        <v>10002</v>
      </c>
      <c r="CR654">
        <v>9999</v>
      </c>
    </row>
    <row r="655" spans="1:103" x14ac:dyDescent="0.25">
      <c r="A655" t="s">
        <v>4868</v>
      </c>
      <c r="C655" t="s">
        <v>3326</v>
      </c>
      <c r="K655" s="5" t="s">
        <v>3314</v>
      </c>
      <c r="L655" s="5" t="s">
        <v>3414</v>
      </c>
      <c r="AC655">
        <v>2</v>
      </c>
      <c r="AG655" t="s">
        <v>3316</v>
      </c>
      <c r="AN655">
        <v>1</v>
      </c>
      <c r="AY655" s="5"/>
      <c r="BD655">
        <v>1</v>
      </c>
      <c r="BV655"/>
      <c r="BW655"/>
      <c r="BX655"/>
      <c r="BY655"/>
      <c r="BZ655"/>
      <c r="CA655"/>
      <c r="CB655" s="5"/>
      <c r="CC655" s="5"/>
      <c r="CD655" s="5"/>
      <c r="CE655" s="5"/>
      <c r="CF655" s="5"/>
      <c r="CH655" s="5"/>
      <c r="CI655" s="5"/>
      <c r="CJ655" s="5"/>
      <c r="CK655" s="5"/>
      <c r="CL655" s="5"/>
      <c r="CM655" s="5"/>
      <c r="CN655" s="9" t="s">
        <v>4869</v>
      </c>
      <c r="CO655">
        <v>130</v>
      </c>
      <c r="CR655">
        <v>99999</v>
      </c>
    </row>
    <row r="656" spans="1:103" x14ac:dyDescent="0.25">
      <c r="A656" t="s">
        <v>4870</v>
      </c>
      <c r="C656" t="s">
        <v>3326</v>
      </c>
      <c r="K656" s="5" t="s">
        <v>3314</v>
      </c>
      <c r="L656" s="5" t="s">
        <v>3414</v>
      </c>
      <c r="AC656">
        <v>2</v>
      </c>
      <c r="AG656" t="s">
        <v>3316</v>
      </c>
      <c r="AN656">
        <v>1</v>
      </c>
      <c r="AY656" s="5"/>
      <c r="BD656">
        <v>1</v>
      </c>
      <c r="BV656"/>
      <c r="BW656"/>
      <c r="BX656"/>
      <c r="BY656"/>
      <c r="BZ656"/>
      <c r="CA656"/>
      <c r="CB656" s="5"/>
      <c r="CC656" s="5"/>
      <c r="CD656" s="5"/>
      <c r="CE656" s="5"/>
      <c r="CF656" s="5"/>
      <c r="CH656" s="5"/>
      <c r="CI656" s="5"/>
      <c r="CJ656" s="5"/>
      <c r="CK656" s="5"/>
      <c r="CL656" s="5"/>
      <c r="CM656" s="5"/>
      <c r="CN656" s="9" t="s">
        <v>4869</v>
      </c>
      <c r="CO656">
        <v>180</v>
      </c>
      <c r="CR656">
        <v>99999</v>
      </c>
    </row>
    <row r="657" spans="1:96" x14ac:dyDescent="0.25">
      <c r="A657" t="s">
        <v>1694</v>
      </c>
      <c r="C657" t="s">
        <v>3326</v>
      </c>
      <c r="AC657">
        <v>1</v>
      </c>
      <c r="AN657">
        <v>1</v>
      </c>
      <c r="AO657" t="s">
        <v>4749</v>
      </c>
      <c r="AP657" t="s">
        <v>4750</v>
      </c>
      <c r="AV657">
        <v>1.4</v>
      </c>
      <c r="AX657" t="s">
        <v>3419</v>
      </c>
      <c r="AZ657">
        <v>1</v>
      </c>
      <c r="BD657">
        <v>1</v>
      </c>
      <c r="BE657">
        <v>2</v>
      </c>
      <c r="BF657">
        <v>0.01</v>
      </c>
      <c r="BS657">
        <v>3</v>
      </c>
      <c r="CB657" t="s">
        <v>136</v>
      </c>
      <c r="CG657" t="s">
        <v>3410</v>
      </c>
      <c r="CH657" t="s">
        <v>3426</v>
      </c>
      <c r="CI657" t="s">
        <v>4793</v>
      </c>
    </row>
    <row r="658" spans="1:96" x14ac:dyDescent="0.25">
      <c r="A658" t="s">
        <v>1703</v>
      </c>
      <c r="C658" t="s">
        <v>3416</v>
      </c>
      <c r="AC658">
        <v>1</v>
      </c>
      <c r="AN658">
        <v>1</v>
      </c>
      <c r="AO658" t="s">
        <v>4749</v>
      </c>
      <c r="AV658">
        <v>0</v>
      </c>
      <c r="AX658" t="s">
        <v>3419</v>
      </c>
      <c r="AZ658">
        <v>1</v>
      </c>
      <c r="BD658">
        <v>1</v>
      </c>
      <c r="CB658" t="s">
        <v>136</v>
      </c>
      <c r="CG658" t="s">
        <v>3410</v>
      </c>
      <c r="CN658" s="9" t="s">
        <v>4798</v>
      </c>
      <c r="CO658">
        <v>-10</v>
      </c>
      <c r="CR658">
        <v>99999</v>
      </c>
    </row>
    <row r="659" spans="1:96" x14ac:dyDescent="0.25">
      <c r="A659" t="s">
        <v>1708</v>
      </c>
      <c r="C659" t="s">
        <v>3416</v>
      </c>
      <c r="AC659">
        <v>1</v>
      </c>
      <c r="AN659">
        <v>1</v>
      </c>
      <c r="AO659" t="s">
        <v>4749</v>
      </c>
      <c r="AV659">
        <v>0</v>
      </c>
      <c r="AX659" t="s">
        <v>3419</v>
      </c>
      <c r="AZ659">
        <v>1</v>
      </c>
      <c r="BD659">
        <v>1</v>
      </c>
      <c r="CB659" t="s">
        <v>136</v>
      </c>
      <c r="CG659" t="s">
        <v>3410</v>
      </c>
      <c r="CN659" s="9" t="s">
        <v>4798</v>
      </c>
      <c r="CO659">
        <v>-15</v>
      </c>
      <c r="CR659">
        <v>99999</v>
      </c>
    </row>
    <row r="660" spans="1:96" x14ac:dyDescent="0.25">
      <c r="A660" t="s">
        <v>4871</v>
      </c>
      <c r="C660" t="s">
        <v>3326</v>
      </c>
      <c r="AC660">
        <v>1</v>
      </c>
      <c r="AN660">
        <v>1</v>
      </c>
      <c r="AO660" t="s">
        <v>4749</v>
      </c>
      <c r="AP660" t="s">
        <v>4750</v>
      </c>
      <c r="AV660">
        <v>2.5</v>
      </c>
      <c r="AX660" t="s">
        <v>3432</v>
      </c>
      <c r="AZ660">
        <v>1</v>
      </c>
      <c r="BD660">
        <v>1</v>
      </c>
      <c r="CB660" t="s">
        <v>4872</v>
      </c>
      <c r="CG660" t="s">
        <v>3410</v>
      </c>
    </row>
    <row r="661" spans="1:96" x14ac:dyDescent="0.25">
      <c r="A661" t="s">
        <v>4873</v>
      </c>
      <c r="C661" t="s">
        <v>3326</v>
      </c>
      <c r="K661" s="5" t="s">
        <v>3314</v>
      </c>
      <c r="L661" s="5" t="s">
        <v>3414</v>
      </c>
      <c r="AC661">
        <v>2</v>
      </c>
      <c r="AG661" t="s">
        <v>3316</v>
      </c>
      <c r="AN661">
        <v>1</v>
      </c>
      <c r="AY661" s="5"/>
      <c r="BD661">
        <v>1</v>
      </c>
      <c r="BV661"/>
      <c r="BW661"/>
      <c r="BX661"/>
      <c r="BY661"/>
      <c r="BZ661"/>
      <c r="CA661"/>
      <c r="CB661" s="5"/>
      <c r="CC661" s="5"/>
      <c r="CD661" s="5"/>
      <c r="CE661" s="5"/>
      <c r="CF661" s="5"/>
      <c r="CH661" s="5"/>
      <c r="CI661" s="5"/>
      <c r="CJ661" s="5"/>
      <c r="CK661" s="5"/>
      <c r="CL661" s="5"/>
      <c r="CM661" s="5"/>
      <c r="CN661" s="9" t="s">
        <v>4869</v>
      </c>
      <c r="CO661">
        <v>200</v>
      </c>
      <c r="CR661">
        <v>99999</v>
      </c>
    </row>
    <row r="662" spans="1:96" x14ac:dyDescent="0.25">
      <c r="A662" t="s">
        <v>4874</v>
      </c>
      <c r="C662" t="s">
        <v>3326</v>
      </c>
      <c r="K662" s="5" t="s">
        <v>3314</v>
      </c>
      <c r="L662" s="5" t="s">
        <v>3414</v>
      </c>
      <c r="AC662">
        <v>2</v>
      </c>
      <c r="AG662" t="s">
        <v>3316</v>
      </c>
      <c r="AN662">
        <v>1</v>
      </c>
      <c r="AY662" s="5"/>
      <c r="BD662">
        <v>1</v>
      </c>
      <c r="BV662"/>
      <c r="BW662"/>
      <c r="BX662"/>
      <c r="BY662"/>
      <c r="BZ662"/>
      <c r="CA662"/>
      <c r="CB662" s="5"/>
      <c r="CC662" s="5"/>
      <c r="CD662" s="5"/>
      <c r="CE662" s="5"/>
      <c r="CF662" s="5"/>
      <c r="CH662" s="5"/>
      <c r="CI662" s="5"/>
      <c r="CJ662" s="5"/>
      <c r="CK662" s="5"/>
      <c r="CL662" s="5"/>
      <c r="CM662" s="5"/>
      <c r="CN662" s="9" t="s">
        <v>4869</v>
      </c>
      <c r="CO662">
        <v>200</v>
      </c>
      <c r="CR662">
        <v>99999</v>
      </c>
    </row>
    <row r="663" spans="1:96" x14ac:dyDescent="0.25">
      <c r="A663" t="s">
        <v>4875</v>
      </c>
      <c r="C663" t="s">
        <v>3416</v>
      </c>
      <c r="AC663">
        <v>1</v>
      </c>
      <c r="AN663">
        <v>1</v>
      </c>
      <c r="AO663" t="s">
        <v>4749</v>
      </c>
      <c r="AV663">
        <v>0</v>
      </c>
      <c r="AX663" t="s">
        <v>3419</v>
      </c>
      <c r="AZ663">
        <v>4</v>
      </c>
      <c r="BD663">
        <v>1</v>
      </c>
      <c r="CB663" t="s">
        <v>4876</v>
      </c>
      <c r="CG663" t="s">
        <v>3410</v>
      </c>
    </row>
    <row r="664" spans="1:96" x14ac:dyDescent="0.25">
      <c r="A664" t="s">
        <v>4877</v>
      </c>
      <c r="C664" t="s">
        <v>3326</v>
      </c>
      <c r="K664" s="5" t="s">
        <v>3314</v>
      </c>
      <c r="L664" s="5" t="s">
        <v>3414</v>
      </c>
      <c r="AC664">
        <v>2</v>
      </c>
      <c r="AF664">
        <v>1</v>
      </c>
      <c r="AG664" t="s">
        <v>3316</v>
      </c>
      <c r="AN664">
        <v>1</v>
      </c>
      <c r="AY664" s="5"/>
      <c r="BD664">
        <v>1</v>
      </c>
      <c r="BV664"/>
      <c r="BW664"/>
      <c r="BX664"/>
      <c r="BY664"/>
      <c r="BZ664"/>
      <c r="CA664"/>
      <c r="CB664" s="5"/>
      <c r="CC664" s="5"/>
      <c r="CD664" s="5"/>
      <c r="CE664" s="5"/>
      <c r="CF664" s="5"/>
      <c r="CH664" s="5"/>
      <c r="CI664" s="5"/>
      <c r="CJ664" s="5"/>
      <c r="CK664" s="5"/>
      <c r="CL664" s="5"/>
      <c r="CM664" s="5"/>
      <c r="CN664" s="9" t="s">
        <v>4878</v>
      </c>
      <c r="CO664">
        <v>-0.7</v>
      </c>
      <c r="CP664">
        <v>-1</v>
      </c>
      <c r="CR664">
        <v>99999</v>
      </c>
    </row>
    <row r="665" spans="1:96" x14ac:dyDescent="0.25">
      <c r="A665" t="s">
        <v>4879</v>
      </c>
      <c r="C665" t="s">
        <v>3416</v>
      </c>
      <c r="AC665">
        <v>1</v>
      </c>
      <c r="AN665">
        <v>1</v>
      </c>
      <c r="AO665" t="s">
        <v>4749</v>
      </c>
      <c r="AV665">
        <v>0</v>
      </c>
      <c r="AX665" t="s">
        <v>3419</v>
      </c>
      <c r="BD665">
        <v>1</v>
      </c>
      <c r="BS665">
        <v>0.05</v>
      </c>
      <c r="CN665" s="9" t="s">
        <v>4880</v>
      </c>
      <c r="CO665">
        <v>-0.7</v>
      </c>
      <c r="CR665">
        <v>0.1</v>
      </c>
    </row>
    <row r="667" spans="1:96" x14ac:dyDescent="0.25">
      <c r="A667" t="s">
        <v>4881</v>
      </c>
      <c r="C667" t="s">
        <v>3326</v>
      </c>
      <c r="AC667">
        <v>1</v>
      </c>
      <c r="AN667">
        <v>1</v>
      </c>
      <c r="AO667" t="s">
        <v>4749</v>
      </c>
      <c r="AP667" t="s">
        <v>4750</v>
      </c>
      <c r="AV667">
        <v>2</v>
      </c>
      <c r="AX667" t="s">
        <v>3419</v>
      </c>
      <c r="AZ667">
        <v>1</v>
      </c>
      <c r="BD667">
        <v>1</v>
      </c>
      <c r="CB667" t="s">
        <v>136</v>
      </c>
      <c r="CG667" t="s">
        <v>3410</v>
      </c>
      <c r="CH667" t="s">
        <v>3426</v>
      </c>
      <c r="CI667" t="s">
        <v>3412</v>
      </c>
    </row>
    <row r="668" spans="1:96" x14ac:dyDescent="0.25">
      <c r="A668" t="s">
        <v>4882</v>
      </c>
      <c r="C668" t="s">
        <v>3326</v>
      </c>
      <c r="K668" s="5" t="s">
        <v>3314</v>
      </c>
      <c r="L668" s="5" t="s">
        <v>3414</v>
      </c>
      <c r="AC668">
        <v>2</v>
      </c>
      <c r="AG668" t="s">
        <v>3316</v>
      </c>
      <c r="AN668">
        <v>1</v>
      </c>
      <c r="AY668" s="5"/>
      <c r="BD668">
        <v>1</v>
      </c>
      <c r="BV668"/>
      <c r="BW668"/>
      <c r="BX668"/>
      <c r="BY668"/>
      <c r="BZ668"/>
      <c r="CA668"/>
      <c r="CB668" s="5"/>
      <c r="CC668" s="5"/>
      <c r="CD668" s="5"/>
      <c r="CE668" s="5"/>
      <c r="CF668" s="5"/>
      <c r="CH668" s="5"/>
      <c r="CI668" s="5"/>
      <c r="CJ668" s="5"/>
      <c r="CK668" s="5"/>
      <c r="CL668" s="5"/>
      <c r="CM668" s="5"/>
      <c r="CN668" s="9" t="s">
        <v>4883</v>
      </c>
      <c r="CO668" t="s">
        <v>4884</v>
      </c>
      <c r="CR668">
        <v>30</v>
      </c>
    </row>
    <row r="669" spans="1:96" x14ac:dyDescent="0.25">
      <c r="A669" t="s">
        <v>4885</v>
      </c>
      <c r="C669" t="s">
        <v>3326</v>
      </c>
      <c r="K669" s="5" t="s">
        <v>3314</v>
      </c>
      <c r="L669" s="5" t="s">
        <v>3414</v>
      </c>
      <c r="AC669">
        <v>2</v>
      </c>
      <c r="AG669" t="s">
        <v>3316</v>
      </c>
      <c r="AN669">
        <v>1</v>
      </c>
      <c r="AY669" s="5"/>
      <c r="BD669">
        <v>1</v>
      </c>
      <c r="BV669"/>
      <c r="BW669"/>
      <c r="BX669"/>
      <c r="BY669"/>
      <c r="BZ669"/>
      <c r="CA669"/>
      <c r="CB669" s="5"/>
      <c r="CC669" s="5"/>
      <c r="CD669" s="5"/>
      <c r="CE669" s="5"/>
      <c r="CF669" s="5"/>
      <c r="CH669" s="5"/>
      <c r="CI669" s="5"/>
      <c r="CJ669" s="5"/>
      <c r="CK669" s="5"/>
      <c r="CL669" s="5"/>
      <c r="CM669" s="5"/>
      <c r="CN669" s="9" t="s">
        <v>4883</v>
      </c>
      <c r="CO669" t="s">
        <v>4884</v>
      </c>
      <c r="CR669">
        <v>60</v>
      </c>
    </row>
    <row r="670" spans="1:96" x14ac:dyDescent="0.25">
      <c r="A670" t="s">
        <v>4886</v>
      </c>
      <c r="C670" t="s">
        <v>3326</v>
      </c>
      <c r="K670" s="5" t="s">
        <v>3314</v>
      </c>
      <c r="L670" s="5" t="s">
        <v>3671</v>
      </c>
      <c r="AC670">
        <v>2</v>
      </c>
      <c r="AG670" t="s">
        <v>3316</v>
      </c>
      <c r="AN670">
        <v>1</v>
      </c>
      <c r="BD670">
        <v>1</v>
      </c>
      <c r="CN670" s="9" t="s">
        <v>4886</v>
      </c>
      <c r="CO670" t="s">
        <v>4887</v>
      </c>
      <c r="CR670">
        <v>99999</v>
      </c>
    </row>
    <row r="671" spans="1:96" x14ac:dyDescent="0.25">
      <c r="A671" t="s">
        <v>4888</v>
      </c>
      <c r="C671" t="s">
        <v>3326</v>
      </c>
      <c r="AC671">
        <v>1</v>
      </c>
      <c r="AN671">
        <v>1</v>
      </c>
      <c r="AO671" t="s">
        <v>4749</v>
      </c>
      <c r="AP671" t="s">
        <v>4750</v>
      </c>
      <c r="AV671">
        <v>1.3</v>
      </c>
      <c r="AX671" t="s">
        <v>3432</v>
      </c>
      <c r="AZ671">
        <v>1</v>
      </c>
      <c r="BD671">
        <v>1</v>
      </c>
      <c r="CB671" t="s">
        <v>136</v>
      </c>
      <c r="CG671" t="s">
        <v>3410</v>
      </c>
    </row>
    <row r="672" spans="1:96" x14ac:dyDescent="0.25">
      <c r="A672" t="s">
        <v>4889</v>
      </c>
      <c r="C672" t="s">
        <v>3326</v>
      </c>
      <c r="J672" t="s">
        <v>3342</v>
      </c>
      <c r="R672" t="s">
        <v>4889</v>
      </c>
      <c r="AC672">
        <v>1</v>
      </c>
      <c r="AN672">
        <v>1</v>
      </c>
      <c r="AV672">
        <v>99</v>
      </c>
      <c r="AZ672">
        <v>0</v>
      </c>
      <c r="BD672">
        <v>1</v>
      </c>
      <c r="BV672" s="8">
        <v>0</v>
      </c>
      <c r="BW672" s="8">
        <v>25</v>
      </c>
      <c r="BX672" s="8">
        <v>1</v>
      </c>
      <c r="BY672" s="8" t="s">
        <v>3344</v>
      </c>
      <c r="CB672" t="s">
        <v>4767</v>
      </c>
      <c r="CG672" t="s">
        <v>3410</v>
      </c>
      <c r="CN672" s="9" t="s">
        <v>4889</v>
      </c>
      <c r="CO672">
        <v>-0.5</v>
      </c>
      <c r="CR672">
        <v>25</v>
      </c>
    </row>
    <row r="673" spans="1:100" x14ac:dyDescent="0.25">
      <c r="A673" t="s">
        <v>4890</v>
      </c>
      <c r="C673" t="s">
        <v>3326</v>
      </c>
      <c r="J673" t="s">
        <v>3342</v>
      </c>
      <c r="R673" t="s">
        <v>4889</v>
      </c>
      <c r="AC673">
        <v>1</v>
      </c>
      <c r="AN673">
        <v>1</v>
      </c>
      <c r="AV673">
        <v>99</v>
      </c>
      <c r="AZ673">
        <v>0</v>
      </c>
      <c r="BD673">
        <v>1</v>
      </c>
      <c r="BV673" s="8">
        <v>0</v>
      </c>
      <c r="BW673" s="8">
        <v>15</v>
      </c>
      <c r="BX673" s="8">
        <v>1</v>
      </c>
      <c r="BY673" s="8" t="s">
        <v>3344</v>
      </c>
      <c r="CB673" t="s">
        <v>4767</v>
      </c>
      <c r="CG673" t="s">
        <v>3410</v>
      </c>
      <c r="CN673" s="9" t="s">
        <v>4889</v>
      </c>
      <c r="CO673">
        <v>-0.5</v>
      </c>
      <c r="CR673">
        <v>25</v>
      </c>
    </row>
    <row r="674" spans="1:100" x14ac:dyDescent="0.25">
      <c r="A674" t="s">
        <v>4891</v>
      </c>
      <c r="C674" t="s">
        <v>3326</v>
      </c>
      <c r="J674" t="s">
        <v>3342</v>
      </c>
      <c r="R674" t="s">
        <v>4889</v>
      </c>
      <c r="AC674">
        <v>1</v>
      </c>
      <c r="AN674">
        <v>1</v>
      </c>
      <c r="AV674">
        <v>99</v>
      </c>
      <c r="AZ674">
        <v>0</v>
      </c>
      <c r="BD674">
        <v>1</v>
      </c>
      <c r="BV674" s="8">
        <v>0</v>
      </c>
      <c r="BW674" s="8">
        <v>10</v>
      </c>
      <c r="BX674" s="8">
        <v>1</v>
      </c>
      <c r="BY674" s="8" t="s">
        <v>3344</v>
      </c>
      <c r="CB674" t="s">
        <v>4767</v>
      </c>
      <c r="CG674" t="s">
        <v>3410</v>
      </c>
      <c r="CN674" s="9" t="s">
        <v>4889</v>
      </c>
      <c r="CO674">
        <v>-0.5</v>
      </c>
      <c r="CR674">
        <v>25</v>
      </c>
    </row>
    <row r="675" spans="1:100" x14ac:dyDescent="0.25">
      <c r="A675" t="s">
        <v>4892</v>
      </c>
      <c r="C675" t="s">
        <v>3905</v>
      </c>
      <c r="K675" s="5" t="s">
        <v>3314</v>
      </c>
      <c r="L675" s="5" t="s">
        <v>3906</v>
      </c>
      <c r="N675" s="5">
        <v>1</v>
      </c>
      <c r="AC675">
        <v>2</v>
      </c>
      <c r="AG675" t="s">
        <v>3316</v>
      </c>
      <c r="AH675">
        <v>1</v>
      </c>
      <c r="AN675">
        <v>1</v>
      </c>
      <c r="AY675">
        <v>1</v>
      </c>
      <c r="BD675">
        <v>1</v>
      </c>
      <c r="BP675" s="7" t="s">
        <v>4893</v>
      </c>
      <c r="BS675">
        <v>5</v>
      </c>
      <c r="CU675" t="s">
        <v>4894</v>
      </c>
    </row>
    <row r="676" spans="1:100" x14ac:dyDescent="0.25">
      <c r="A676" t="s">
        <v>4895</v>
      </c>
      <c r="C676" t="s">
        <v>3326</v>
      </c>
      <c r="K676" s="5" t="s">
        <v>3314</v>
      </c>
      <c r="Y676">
        <v>1</v>
      </c>
      <c r="AB676">
        <v>1</v>
      </c>
      <c r="AC676">
        <v>2</v>
      </c>
      <c r="AG676" t="s">
        <v>3316</v>
      </c>
      <c r="AN676">
        <v>1</v>
      </c>
      <c r="BD676">
        <v>1</v>
      </c>
      <c r="BS676">
        <v>5</v>
      </c>
      <c r="CB676" t="s">
        <v>4357</v>
      </c>
      <c r="CG676" t="s">
        <v>3831</v>
      </c>
    </row>
    <row r="677" spans="1:100" x14ac:dyDescent="0.25">
      <c r="A677" t="s">
        <v>4896</v>
      </c>
      <c r="C677" t="s">
        <v>3326</v>
      </c>
      <c r="K677" s="5" t="s">
        <v>3314</v>
      </c>
      <c r="AC677">
        <v>2</v>
      </c>
      <c r="AG677" t="s">
        <v>3316</v>
      </c>
      <c r="AN677">
        <v>1</v>
      </c>
      <c r="AO677" t="s">
        <v>4749</v>
      </c>
      <c r="BD677">
        <v>1</v>
      </c>
      <c r="CN677" s="9" t="s">
        <v>4777</v>
      </c>
      <c r="CR677">
        <v>5</v>
      </c>
    </row>
    <row r="678" spans="1:100" x14ac:dyDescent="0.25">
      <c r="A678" t="s">
        <v>4897</v>
      </c>
      <c r="C678" t="s">
        <v>3326</v>
      </c>
      <c r="K678" s="5" t="s">
        <v>3314</v>
      </c>
      <c r="AC678">
        <v>2</v>
      </c>
      <c r="AG678" t="s">
        <v>3316</v>
      </c>
      <c r="AN678">
        <v>1</v>
      </c>
      <c r="AO678" t="s">
        <v>4749</v>
      </c>
      <c r="BD678">
        <v>1</v>
      </c>
      <c r="CN678" s="9" t="s">
        <v>4780</v>
      </c>
      <c r="CR678">
        <v>6</v>
      </c>
    </row>
    <row r="685" spans="1:100" x14ac:dyDescent="0.25">
      <c r="A685" t="s">
        <v>1423</v>
      </c>
      <c r="C685" t="s">
        <v>3326</v>
      </c>
      <c r="AC685">
        <v>1</v>
      </c>
      <c r="AN685">
        <v>1</v>
      </c>
      <c r="AO685" t="s">
        <v>4749</v>
      </c>
      <c r="AP685" t="s">
        <v>4750</v>
      </c>
      <c r="AV685">
        <v>2.6</v>
      </c>
      <c r="AX685" t="s">
        <v>3419</v>
      </c>
      <c r="AZ685">
        <v>1</v>
      </c>
      <c r="BD685">
        <v>1</v>
      </c>
      <c r="CB685" t="s">
        <v>136</v>
      </c>
      <c r="CG685" t="s">
        <v>3410</v>
      </c>
      <c r="CH685" t="s">
        <v>3929</v>
      </c>
      <c r="CI685" t="s">
        <v>3412</v>
      </c>
    </row>
    <row r="686" spans="1:100" x14ac:dyDescent="0.25">
      <c r="AN686">
        <v>1</v>
      </c>
    </row>
    <row r="687" spans="1:100" x14ac:dyDescent="0.25">
      <c r="A687" t="s">
        <v>4898</v>
      </c>
      <c r="C687" t="s">
        <v>3326</v>
      </c>
      <c r="AC687">
        <v>1</v>
      </c>
      <c r="AN687">
        <v>1</v>
      </c>
      <c r="AO687" t="s">
        <v>4749</v>
      </c>
      <c r="AP687" t="s">
        <v>4750</v>
      </c>
      <c r="AV687">
        <v>2.2000000000000002</v>
      </c>
      <c r="AX687" t="s">
        <v>3432</v>
      </c>
      <c r="AZ687">
        <v>1</v>
      </c>
      <c r="BD687">
        <v>1</v>
      </c>
      <c r="BS687">
        <v>4</v>
      </c>
      <c r="CB687" t="s">
        <v>136</v>
      </c>
      <c r="CG687" t="s">
        <v>3410</v>
      </c>
      <c r="CH687" t="s">
        <v>3433</v>
      </c>
      <c r="CI687" t="s">
        <v>4760</v>
      </c>
    </row>
    <row r="688" spans="1:100" x14ac:dyDescent="0.25">
      <c r="A688" t="s">
        <v>4899</v>
      </c>
      <c r="C688" t="s">
        <v>3326</v>
      </c>
      <c r="J688" t="s">
        <v>3342</v>
      </c>
      <c r="K688" s="5" t="s">
        <v>3344</v>
      </c>
      <c r="AC688">
        <v>1</v>
      </c>
      <c r="AN688">
        <v>1</v>
      </c>
      <c r="AO688" t="s">
        <v>4749</v>
      </c>
      <c r="AP688" t="s">
        <v>4750</v>
      </c>
      <c r="AV688">
        <v>2.2000000000000002</v>
      </c>
      <c r="AX688" t="s">
        <v>3432</v>
      </c>
      <c r="AZ688">
        <v>1</v>
      </c>
      <c r="BD688">
        <v>1</v>
      </c>
      <c r="BS688">
        <v>4</v>
      </c>
      <c r="BT688">
        <v>0.2</v>
      </c>
      <c r="BV688" s="8">
        <v>0</v>
      </c>
      <c r="BW688" s="8">
        <v>1</v>
      </c>
      <c r="BX688" s="8">
        <v>1</v>
      </c>
      <c r="BY688" s="8" t="s">
        <v>3497</v>
      </c>
      <c r="CB688" t="s">
        <v>136</v>
      </c>
      <c r="CG688" t="s">
        <v>3410</v>
      </c>
      <c r="CH688" t="s">
        <v>3433</v>
      </c>
      <c r="CI688" t="s">
        <v>4760</v>
      </c>
      <c r="CN688" s="9" t="s">
        <v>4761</v>
      </c>
      <c r="CO688">
        <v>-30</v>
      </c>
      <c r="CR688">
        <v>10</v>
      </c>
      <c r="CV688" t="s">
        <v>4900</v>
      </c>
    </row>
    <row r="689" spans="1:109" x14ac:dyDescent="0.25">
      <c r="A689" t="s">
        <v>241</v>
      </c>
      <c r="C689" t="s">
        <v>3416</v>
      </c>
      <c r="AC689">
        <v>1</v>
      </c>
      <c r="AN689">
        <v>1</v>
      </c>
      <c r="AO689" t="s">
        <v>4749</v>
      </c>
      <c r="AV689">
        <v>0</v>
      </c>
      <c r="AX689" t="s">
        <v>3419</v>
      </c>
      <c r="AZ689">
        <v>1</v>
      </c>
      <c r="BD689">
        <v>1</v>
      </c>
      <c r="CB689" t="s">
        <v>136</v>
      </c>
      <c r="CG689" t="s">
        <v>3410</v>
      </c>
      <c r="CJ689" t="s">
        <v>4901</v>
      </c>
    </row>
    <row r="690" spans="1:109" x14ac:dyDescent="0.25">
      <c r="A690" t="s">
        <v>4902</v>
      </c>
      <c r="C690" t="s">
        <v>3416</v>
      </c>
      <c r="AC690">
        <v>1</v>
      </c>
      <c r="AN690">
        <v>1</v>
      </c>
      <c r="AO690" t="s">
        <v>4749</v>
      </c>
      <c r="AV690">
        <v>0</v>
      </c>
      <c r="AX690" t="s">
        <v>3419</v>
      </c>
      <c r="AZ690">
        <v>1</v>
      </c>
      <c r="BD690">
        <v>1</v>
      </c>
      <c r="BS690">
        <v>1</v>
      </c>
      <c r="CB690" t="s">
        <v>136</v>
      </c>
      <c r="CG690" t="s">
        <v>3410</v>
      </c>
      <c r="CJ690" t="s">
        <v>4901</v>
      </c>
    </row>
    <row r="691" spans="1:109" x14ac:dyDescent="0.25">
      <c r="AN691">
        <v>1</v>
      </c>
    </row>
    <row r="692" spans="1:109" x14ac:dyDescent="0.25">
      <c r="A692" t="s">
        <v>263</v>
      </c>
      <c r="C692" t="s">
        <v>3326</v>
      </c>
      <c r="AC692">
        <v>1</v>
      </c>
      <c r="AN692">
        <v>1</v>
      </c>
      <c r="AO692" t="s">
        <v>4749</v>
      </c>
      <c r="AP692" t="s">
        <v>4750</v>
      </c>
      <c r="AV692">
        <v>1.9</v>
      </c>
      <c r="AX692" t="s">
        <v>3419</v>
      </c>
      <c r="AZ692">
        <v>1</v>
      </c>
      <c r="BD692">
        <v>1</v>
      </c>
      <c r="BS692">
        <v>2.4</v>
      </c>
      <c r="CB692" t="s">
        <v>136</v>
      </c>
      <c r="CG692" t="s">
        <v>3410</v>
      </c>
      <c r="CH692" t="s">
        <v>3426</v>
      </c>
      <c r="CI692" t="s">
        <v>4793</v>
      </c>
      <c r="CJ692" t="s">
        <v>4901</v>
      </c>
    </row>
    <row r="693" spans="1:109" x14ac:dyDescent="0.25">
      <c r="AN693">
        <v>1</v>
      </c>
    </row>
    <row r="694" spans="1:109" x14ac:dyDescent="0.25">
      <c r="A694" t="s">
        <v>269</v>
      </c>
      <c r="C694" t="s">
        <v>3416</v>
      </c>
      <c r="AC694">
        <v>1</v>
      </c>
      <c r="AN694">
        <v>1</v>
      </c>
      <c r="AO694" t="s">
        <v>4749</v>
      </c>
      <c r="AV694">
        <v>0</v>
      </c>
      <c r="AX694" t="s">
        <v>3419</v>
      </c>
      <c r="AZ694">
        <v>1</v>
      </c>
      <c r="BD694">
        <v>1</v>
      </c>
      <c r="BS694">
        <v>3</v>
      </c>
      <c r="CB694" t="s">
        <v>136</v>
      </c>
      <c r="CG694" t="s">
        <v>3410</v>
      </c>
      <c r="CJ694" t="s">
        <v>4903</v>
      </c>
    </row>
    <row r="695" spans="1:109" x14ac:dyDescent="0.25">
      <c r="A695" t="s">
        <v>1461</v>
      </c>
      <c r="C695" t="s">
        <v>3416</v>
      </c>
      <c r="AC695">
        <v>1</v>
      </c>
      <c r="AN695">
        <v>1</v>
      </c>
      <c r="AO695" t="s">
        <v>4749</v>
      </c>
      <c r="AV695">
        <v>0</v>
      </c>
      <c r="AX695" t="s">
        <v>3419</v>
      </c>
      <c r="AZ695">
        <v>1</v>
      </c>
      <c r="BD695">
        <v>1</v>
      </c>
      <c r="BS695">
        <v>3</v>
      </c>
      <c r="CB695" t="s">
        <v>136</v>
      </c>
      <c r="CG695" t="s">
        <v>3410</v>
      </c>
      <c r="CJ695" t="s">
        <v>4904</v>
      </c>
    </row>
    <row r="696" spans="1:109" x14ac:dyDescent="0.25">
      <c r="A696" t="s">
        <v>4905</v>
      </c>
      <c r="C696" t="s">
        <v>3416</v>
      </c>
      <c r="AC696">
        <v>1</v>
      </c>
      <c r="AN696">
        <v>1</v>
      </c>
      <c r="AO696" t="s">
        <v>4749</v>
      </c>
      <c r="AV696">
        <v>0</v>
      </c>
      <c r="AX696" t="s">
        <v>3419</v>
      </c>
      <c r="AZ696">
        <v>1</v>
      </c>
      <c r="BD696">
        <v>1</v>
      </c>
      <c r="BS696">
        <v>1.7</v>
      </c>
      <c r="CB696" t="s">
        <v>136</v>
      </c>
      <c r="CG696" t="s">
        <v>3410</v>
      </c>
    </row>
    <row r="697" spans="1:109" x14ac:dyDescent="0.25">
      <c r="A697" t="s">
        <v>4906</v>
      </c>
      <c r="C697" t="s">
        <v>3326</v>
      </c>
      <c r="K697" s="5" t="s">
        <v>3314</v>
      </c>
      <c r="L697" s="5" t="s">
        <v>4423</v>
      </c>
      <c r="X697" s="5">
        <v>1</v>
      </c>
      <c r="AB697">
        <v>1</v>
      </c>
      <c r="AC697">
        <v>1</v>
      </c>
      <c r="AN697">
        <v>1</v>
      </c>
      <c r="AO697" t="s">
        <v>4749</v>
      </c>
      <c r="AV697">
        <v>1.65</v>
      </c>
      <c r="AX697" t="s">
        <v>3419</v>
      </c>
      <c r="AZ697">
        <v>2</v>
      </c>
      <c r="BD697">
        <v>99</v>
      </c>
      <c r="BS697">
        <v>0.2</v>
      </c>
      <c r="CN697" s="9" t="s">
        <v>4761</v>
      </c>
      <c r="CO697">
        <v>-30</v>
      </c>
      <c r="CR697">
        <v>10</v>
      </c>
      <c r="DE697">
        <v>1</v>
      </c>
    </row>
    <row r="698" spans="1:109" x14ac:dyDescent="0.25">
      <c r="A698" t="s">
        <v>1466</v>
      </c>
      <c r="C698" t="s">
        <v>3326</v>
      </c>
      <c r="N698" s="5">
        <v>1</v>
      </c>
      <c r="AC698">
        <v>1</v>
      </c>
      <c r="AN698">
        <v>1</v>
      </c>
      <c r="AV698">
        <v>2</v>
      </c>
      <c r="AX698" t="s">
        <v>3419</v>
      </c>
      <c r="AZ698">
        <v>1</v>
      </c>
      <c r="BD698">
        <v>1</v>
      </c>
      <c r="BJ698">
        <v>1.4</v>
      </c>
      <c r="BK698">
        <v>1</v>
      </c>
      <c r="BL698">
        <v>1</v>
      </c>
      <c r="BP698" s="7" t="s">
        <v>4806</v>
      </c>
      <c r="CB698" t="s">
        <v>136</v>
      </c>
      <c r="CG698" t="s">
        <v>3410</v>
      </c>
      <c r="CH698" t="s">
        <v>4807</v>
      </c>
      <c r="CI698" t="s">
        <v>3412</v>
      </c>
      <c r="CN698" s="9" t="s">
        <v>4761</v>
      </c>
      <c r="CO698">
        <v>-30</v>
      </c>
      <c r="CR698">
        <v>10</v>
      </c>
      <c r="CY698" t="s">
        <v>3959</v>
      </c>
    </row>
    <row r="699" spans="1:109" x14ac:dyDescent="0.25">
      <c r="A699" t="s">
        <v>4907</v>
      </c>
      <c r="C699" t="s">
        <v>3326</v>
      </c>
      <c r="K699" s="5" t="s">
        <v>3314</v>
      </c>
      <c r="AC699">
        <v>2</v>
      </c>
      <c r="AD699">
        <v>1</v>
      </c>
      <c r="AG699" t="s">
        <v>3316</v>
      </c>
      <c r="AN699">
        <v>1</v>
      </c>
      <c r="BD699">
        <v>1</v>
      </c>
      <c r="CN699" s="9" t="s">
        <v>4808</v>
      </c>
      <c r="CO699">
        <v>1</v>
      </c>
      <c r="CR699">
        <v>99999</v>
      </c>
    </row>
    <row r="701" spans="1:109" x14ac:dyDescent="0.25">
      <c r="A701" t="s">
        <v>4908</v>
      </c>
      <c r="C701" t="s">
        <v>3326</v>
      </c>
      <c r="K701" s="5" t="s">
        <v>3314</v>
      </c>
      <c r="L701" s="5" t="s">
        <v>3414</v>
      </c>
      <c r="AC701">
        <v>2</v>
      </c>
      <c r="AG701" t="s">
        <v>3316</v>
      </c>
      <c r="AN701">
        <v>1</v>
      </c>
      <c r="AY701" s="5"/>
      <c r="BD701">
        <v>1</v>
      </c>
      <c r="BV701"/>
      <c r="BW701"/>
      <c r="BX701"/>
      <c r="BY701"/>
      <c r="BZ701"/>
      <c r="CA701"/>
      <c r="CB701" s="5"/>
      <c r="CC701" s="5"/>
      <c r="CD701" s="5"/>
      <c r="CE701" s="5"/>
      <c r="CF701" s="5"/>
      <c r="CH701" s="5"/>
      <c r="CI701" s="5"/>
      <c r="CJ701" s="5"/>
      <c r="CK701" s="5"/>
      <c r="CL701" s="5"/>
      <c r="CM701" s="5"/>
      <c r="CN701" s="9" t="s">
        <v>4908</v>
      </c>
      <c r="CR701">
        <v>9999</v>
      </c>
    </row>
    <row r="702" spans="1:109" x14ac:dyDescent="0.25">
      <c r="A702" t="s">
        <v>4909</v>
      </c>
      <c r="C702" t="s">
        <v>3326</v>
      </c>
      <c r="K702" s="5" t="s">
        <v>3314</v>
      </c>
      <c r="L702" s="5" t="s">
        <v>3414</v>
      </c>
      <c r="AC702">
        <v>2</v>
      </c>
      <c r="AG702" t="s">
        <v>3316</v>
      </c>
      <c r="AN702">
        <v>1</v>
      </c>
      <c r="AY702" s="5"/>
      <c r="BD702">
        <v>1</v>
      </c>
      <c r="BV702"/>
      <c r="BW702"/>
      <c r="BX702"/>
      <c r="BY702"/>
      <c r="BZ702"/>
      <c r="CA702"/>
      <c r="CB702" s="5"/>
      <c r="CC702" s="5"/>
      <c r="CD702" s="5"/>
      <c r="CE702" s="5"/>
      <c r="CF702" s="5"/>
      <c r="CH702" s="5"/>
      <c r="CI702" s="5"/>
      <c r="CJ702" s="5"/>
      <c r="CK702" s="5"/>
      <c r="CL702" s="5"/>
      <c r="CM702" s="5"/>
      <c r="CN702" s="9" t="s">
        <v>4909</v>
      </c>
      <c r="CR702">
        <v>9999</v>
      </c>
    </row>
    <row r="703" spans="1:109" x14ac:dyDescent="0.25">
      <c r="A703" t="s">
        <v>4910</v>
      </c>
      <c r="C703" t="s">
        <v>3326</v>
      </c>
      <c r="K703" s="5" t="s">
        <v>3314</v>
      </c>
      <c r="L703" s="5" t="s">
        <v>4911</v>
      </c>
      <c r="AC703">
        <v>1</v>
      </c>
      <c r="AE703">
        <v>1</v>
      </c>
      <c r="AN703">
        <v>1</v>
      </c>
      <c r="AX703" t="s">
        <v>3419</v>
      </c>
      <c r="AY703" s="5"/>
      <c r="AZ703">
        <v>1</v>
      </c>
      <c r="BD703">
        <v>1</v>
      </c>
      <c r="BV703"/>
      <c r="BW703"/>
      <c r="BX703"/>
      <c r="BY703"/>
      <c r="BZ703"/>
      <c r="CA703"/>
      <c r="CB703" t="s">
        <v>136</v>
      </c>
      <c r="CC703" s="5">
        <v>0</v>
      </c>
      <c r="CD703" s="5"/>
      <c r="CE703" s="5"/>
      <c r="CF703" s="5"/>
      <c r="CG703" t="s">
        <v>3410</v>
      </c>
      <c r="CH703" s="5"/>
      <c r="CI703" s="5"/>
      <c r="CJ703" s="5"/>
      <c r="CK703" s="5"/>
      <c r="CL703" s="5"/>
      <c r="CM703" s="5"/>
    </row>
    <row r="704" spans="1:109" x14ac:dyDescent="0.25">
      <c r="A704" t="s">
        <v>4912</v>
      </c>
      <c r="C704" t="s">
        <v>3326</v>
      </c>
      <c r="K704" s="5" t="s">
        <v>3314</v>
      </c>
      <c r="L704" s="5" t="s">
        <v>3414</v>
      </c>
      <c r="AC704">
        <v>2</v>
      </c>
      <c r="AF704">
        <v>1</v>
      </c>
      <c r="AG704" t="s">
        <v>3316</v>
      </c>
      <c r="AN704">
        <v>1</v>
      </c>
      <c r="AY704" s="5"/>
      <c r="BD704">
        <v>1</v>
      </c>
      <c r="BV704"/>
      <c r="BW704"/>
      <c r="BX704"/>
      <c r="BY704"/>
      <c r="BZ704"/>
      <c r="CA704"/>
      <c r="CB704" s="5"/>
      <c r="CC704" s="5"/>
      <c r="CD704" s="5"/>
      <c r="CE704" s="5"/>
      <c r="CF704" s="5"/>
      <c r="CH704" s="5"/>
      <c r="CI704" s="5"/>
      <c r="CJ704" s="5"/>
      <c r="CK704" s="5"/>
      <c r="CL704" s="5"/>
      <c r="CM704" s="5"/>
      <c r="CN704" s="9" t="s">
        <v>4913</v>
      </c>
      <c r="CR704">
        <v>9999</v>
      </c>
    </row>
    <row r="705" spans="1:103" x14ac:dyDescent="0.25">
      <c r="A705" t="s">
        <v>1497</v>
      </c>
      <c r="C705" t="s">
        <v>3326</v>
      </c>
      <c r="N705" s="5">
        <v>1</v>
      </c>
      <c r="T705" s="5">
        <v>0.99999000000000005</v>
      </c>
      <c r="AC705">
        <v>2</v>
      </c>
      <c r="AN705">
        <v>1</v>
      </c>
      <c r="AV705">
        <v>99</v>
      </c>
      <c r="AY705" s="5"/>
      <c r="BD705">
        <v>99</v>
      </c>
      <c r="BP705" s="7" t="s">
        <v>4914</v>
      </c>
      <c r="BV705"/>
      <c r="BW705"/>
      <c r="BX705"/>
      <c r="BY705"/>
      <c r="BZ705"/>
      <c r="CA705"/>
      <c r="CB705" t="s">
        <v>4915</v>
      </c>
      <c r="CC705" s="5"/>
      <c r="CD705" s="5"/>
      <c r="CE705" s="5"/>
      <c r="CF705" s="5"/>
      <c r="CG705" t="s">
        <v>3410</v>
      </c>
      <c r="CH705" s="5"/>
      <c r="CI705" s="5"/>
      <c r="CJ705" s="5"/>
      <c r="CK705" s="5"/>
      <c r="CL705" s="5"/>
      <c r="CM705" s="5"/>
      <c r="CN705" s="9" t="s">
        <v>4916</v>
      </c>
      <c r="CP705" t="s">
        <v>4917</v>
      </c>
      <c r="CR705">
        <v>9999</v>
      </c>
    </row>
    <row r="706" spans="1:103" x14ac:dyDescent="0.25">
      <c r="A706" t="s">
        <v>4914</v>
      </c>
      <c r="C706" t="s">
        <v>3326</v>
      </c>
      <c r="K706" s="5" t="s">
        <v>3314</v>
      </c>
      <c r="AC706">
        <v>2</v>
      </c>
      <c r="AG706" t="s">
        <v>3316</v>
      </c>
      <c r="AN706">
        <v>1</v>
      </c>
      <c r="AY706" s="5"/>
      <c r="AZ706">
        <v>1</v>
      </c>
      <c r="BD706">
        <v>1</v>
      </c>
      <c r="BV706"/>
      <c r="BW706"/>
      <c r="BX706"/>
      <c r="BY706"/>
      <c r="BZ706"/>
      <c r="CA706"/>
      <c r="CC706" s="5"/>
      <c r="CD706" s="5"/>
      <c r="CE706" s="5"/>
      <c r="CF706" s="5"/>
      <c r="CH706" s="5"/>
      <c r="CI706" s="5"/>
      <c r="CJ706" s="5"/>
      <c r="CK706" s="5"/>
      <c r="CL706" s="5"/>
      <c r="CM706" s="5"/>
      <c r="CN706" s="9" t="s">
        <v>4918</v>
      </c>
      <c r="CQ706" t="s">
        <v>4917</v>
      </c>
      <c r="CR706">
        <v>9999</v>
      </c>
    </row>
    <row r="707" spans="1:103" x14ac:dyDescent="0.25">
      <c r="A707" t="s">
        <v>4919</v>
      </c>
      <c r="C707" t="s">
        <v>3326</v>
      </c>
      <c r="N707" s="5">
        <v>1</v>
      </c>
      <c r="P707" s="5" t="s">
        <v>1524</v>
      </c>
      <c r="T707" s="5">
        <v>0.99999000000000005</v>
      </c>
      <c r="AC707">
        <v>2</v>
      </c>
      <c r="AG707" t="s">
        <v>3316</v>
      </c>
      <c r="AN707">
        <v>1</v>
      </c>
      <c r="AY707" s="5"/>
      <c r="BD707">
        <v>1</v>
      </c>
      <c r="BV707"/>
      <c r="BW707"/>
      <c r="BX707"/>
      <c r="BY707"/>
      <c r="BZ707"/>
      <c r="CA707"/>
      <c r="CC707" s="5"/>
      <c r="CD707" s="5"/>
      <c r="CE707" s="5"/>
      <c r="CF707" s="5"/>
      <c r="CH707" s="5"/>
      <c r="CI707" s="5"/>
      <c r="CJ707" s="5"/>
      <c r="CK707" s="5"/>
      <c r="CL707" s="5"/>
      <c r="CM707" s="5"/>
      <c r="CN707" s="9" t="s">
        <v>1524</v>
      </c>
      <c r="CR707">
        <v>9999</v>
      </c>
    </row>
    <row r="708" spans="1:103" x14ac:dyDescent="0.25">
      <c r="A708" t="s">
        <v>4920</v>
      </c>
      <c r="C708" t="s">
        <v>3326</v>
      </c>
      <c r="N708" s="5">
        <v>1</v>
      </c>
      <c r="P708" s="5" t="s">
        <v>4921</v>
      </c>
      <c r="T708" s="5">
        <v>0.99999000000000005</v>
      </c>
      <c r="AC708">
        <v>2</v>
      </c>
      <c r="AG708" t="s">
        <v>3316</v>
      </c>
      <c r="AN708">
        <v>1</v>
      </c>
      <c r="AY708" s="5"/>
      <c r="BD708">
        <v>1</v>
      </c>
      <c r="BV708"/>
      <c r="BW708"/>
      <c r="BX708"/>
      <c r="BY708"/>
      <c r="BZ708"/>
      <c r="CA708"/>
      <c r="CC708" s="5"/>
      <c r="CD708" s="5"/>
      <c r="CE708" s="5"/>
      <c r="CF708" s="5"/>
      <c r="CH708" s="5"/>
      <c r="CI708" s="5"/>
      <c r="CJ708" s="5"/>
      <c r="CK708" s="5"/>
      <c r="CL708" s="5"/>
      <c r="CM708" s="5"/>
      <c r="CN708" s="9" t="s">
        <v>4921</v>
      </c>
      <c r="CR708">
        <v>9999</v>
      </c>
    </row>
    <row r="709" spans="1:103" x14ac:dyDescent="0.25">
      <c r="A709" t="s">
        <v>4922</v>
      </c>
      <c r="C709" t="s">
        <v>3326</v>
      </c>
      <c r="O709" s="5" t="s">
        <v>1524</v>
      </c>
      <c r="AC709">
        <v>1</v>
      </c>
      <c r="AN709">
        <v>1</v>
      </c>
      <c r="AO709" t="s">
        <v>4749</v>
      </c>
      <c r="AP709" t="s">
        <v>4750</v>
      </c>
      <c r="AV709">
        <v>3</v>
      </c>
      <c r="AX709" t="s">
        <v>3432</v>
      </c>
      <c r="AZ709">
        <v>1</v>
      </c>
      <c r="BD709">
        <v>2</v>
      </c>
      <c r="CB709" t="s">
        <v>4923</v>
      </c>
      <c r="CG709" t="s">
        <v>3410</v>
      </c>
      <c r="CY709" t="s">
        <v>3493</v>
      </c>
    </row>
    <row r="710" spans="1:103" x14ac:dyDescent="0.25">
      <c r="A710" t="s">
        <v>4924</v>
      </c>
      <c r="C710" t="s">
        <v>3416</v>
      </c>
      <c r="O710" s="5" t="s">
        <v>4921</v>
      </c>
      <c r="AC710">
        <v>1</v>
      </c>
      <c r="AN710">
        <v>1</v>
      </c>
      <c r="AO710" t="s">
        <v>4749</v>
      </c>
      <c r="AV710">
        <v>0</v>
      </c>
      <c r="AX710" t="s">
        <v>3432</v>
      </c>
      <c r="AZ710">
        <v>1</v>
      </c>
      <c r="BD710">
        <v>1</v>
      </c>
      <c r="CB710" t="s">
        <v>136</v>
      </c>
      <c r="CG710" t="s">
        <v>3410</v>
      </c>
    </row>
    <row r="711" spans="1:103" x14ac:dyDescent="0.25">
      <c r="A711" t="s">
        <v>4925</v>
      </c>
      <c r="C711" t="s">
        <v>3326</v>
      </c>
      <c r="N711" s="5">
        <v>1</v>
      </c>
      <c r="O711" s="5" t="s">
        <v>4921</v>
      </c>
      <c r="AC711">
        <v>2</v>
      </c>
      <c r="AG711" t="s">
        <v>3316</v>
      </c>
      <c r="AN711">
        <v>1</v>
      </c>
      <c r="AY711" s="5"/>
      <c r="BD711">
        <v>1</v>
      </c>
      <c r="BS711">
        <v>1</v>
      </c>
      <c r="BV711"/>
      <c r="BW711"/>
      <c r="BX711"/>
      <c r="BY711"/>
      <c r="BZ711"/>
      <c r="CA711"/>
      <c r="CC711" s="5"/>
      <c r="CD711" s="5"/>
      <c r="CE711" s="5"/>
      <c r="CF711" s="5"/>
      <c r="CH711" s="5"/>
      <c r="CI711" s="5"/>
      <c r="CJ711" s="5"/>
      <c r="CK711" s="5"/>
      <c r="CL711" s="5"/>
      <c r="CM711" s="5"/>
      <c r="CN711" s="9" t="s">
        <v>4926</v>
      </c>
      <c r="CO711">
        <v>99999</v>
      </c>
      <c r="CP711">
        <v>2</v>
      </c>
      <c r="CR711">
        <v>9999</v>
      </c>
    </row>
    <row r="713" spans="1:103" x14ac:dyDescent="0.25">
      <c r="A713" t="s">
        <v>1523</v>
      </c>
      <c r="C713" t="s">
        <v>3416</v>
      </c>
      <c r="AC713">
        <v>1</v>
      </c>
      <c r="AN713">
        <v>1</v>
      </c>
      <c r="AO713" t="s">
        <v>4749</v>
      </c>
      <c r="AV713">
        <v>0</v>
      </c>
      <c r="AX713" t="s">
        <v>3419</v>
      </c>
      <c r="AZ713">
        <v>1</v>
      </c>
      <c r="BD713">
        <v>1</v>
      </c>
      <c r="BJ713">
        <v>1</v>
      </c>
      <c r="BK713">
        <v>1</v>
      </c>
      <c r="BL713">
        <v>1</v>
      </c>
      <c r="CB713" t="s">
        <v>136</v>
      </c>
      <c r="CG713" t="s">
        <v>3410</v>
      </c>
    </row>
    <row r="714" spans="1:103" x14ac:dyDescent="0.25">
      <c r="A714" t="s">
        <v>4927</v>
      </c>
      <c r="C714" t="s">
        <v>3326</v>
      </c>
      <c r="K714" s="5" t="s">
        <v>3314</v>
      </c>
      <c r="L714" s="5" t="s">
        <v>3414</v>
      </c>
      <c r="AC714">
        <v>2</v>
      </c>
      <c r="AN714">
        <v>1</v>
      </c>
      <c r="AV714">
        <v>99</v>
      </c>
      <c r="BD714">
        <v>99</v>
      </c>
      <c r="BO714" s="7" t="s">
        <v>4928</v>
      </c>
      <c r="CN714" s="9" t="s">
        <v>4929</v>
      </c>
      <c r="CO714" t="s">
        <v>4930</v>
      </c>
      <c r="CR714">
        <v>9999</v>
      </c>
      <c r="CT714">
        <v>1</v>
      </c>
    </row>
    <row r="715" spans="1:103" x14ac:dyDescent="0.25">
      <c r="A715" t="s">
        <v>4928</v>
      </c>
      <c r="C715" t="s">
        <v>3326</v>
      </c>
      <c r="K715" s="5" t="s">
        <v>3314</v>
      </c>
      <c r="L715" s="5" t="s">
        <v>3330</v>
      </c>
      <c r="AC715">
        <v>2</v>
      </c>
      <c r="AF715">
        <v>1</v>
      </c>
      <c r="AN715">
        <v>1</v>
      </c>
      <c r="BD715">
        <v>1</v>
      </c>
      <c r="CN715" s="9" t="s">
        <v>4929</v>
      </c>
      <c r="CO715" t="s">
        <v>4930</v>
      </c>
      <c r="CR715">
        <v>9999</v>
      </c>
      <c r="CT715">
        <v>1</v>
      </c>
    </row>
    <row r="716" spans="1:103" x14ac:dyDescent="0.25">
      <c r="A716" t="s">
        <v>4931</v>
      </c>
      <c r="C716" t="s">
        <v>3326</v>
      </c>
      <c r="K716" s="5" t="s">
        <v>3314</v>
      </c>
      <c r="L716" s="5" t="s">
        <v>3414</v>
      </c>
      <c r="AC716">
        <v>2</v>
      </c>
      <c r="AG716" t="s">
        <v>3316</v>
      </c>
      <c r="AN716">
        <v>1</v>
      </c>
      <c r="AY716" s="5"/>
      <c r="BD716">
        <v>1</v>
      </c>
      <c r="BV716"/>
      <c r="BW716"/>
      <c r="BX716"/>
      <c r="BY716"/>
      <c r="BZ716"/>
      <c r="CA716"/>
      <c r="CB716" s="5"/>
      <c r="CC716" s="5"/>
      <c r="CD716" s="5"/>
      <c r="CE716" s="5"/>
      <c r="CF716" s="5"/>
      <c r="CH716" s="5"/>
      <c r="CI716" s="5"/>
      <c r="CJ716" s="5"/>
      <c r="CK716" s="5"/>
      <c r="CL716" s="5"/>
      <c r="CM716" s="5"/>
      <c r="CN716" s="9" t="s">
        <v>4931</v>
      </c>
      <c r="CO716">
        <v>0.3</v>
      </c>
      <c r="CR716">
        <v>9999</v>
      </c>
    </row>
    <row r="717" spans="1:103" x14ac:dyDescent="0.25">
      <c r="A717" t="s">
        <v>4932</v>
      </c>
      <c r="C717" t="s">
        <v>3326</v>
      </c>
      <c r="AC717">
        <v>1</v>
      </c>
      <c r="AN717">
        <v>1</v>
      </c>
      <c r="AO717" t="s">
        <v>4749</v>
      </c>
      <c r="AP717" t="s">
        <v>4750</v>
      </c>
      <c r="AV717">
        <v>2.2000000000000002</v>
      </c>
      <c r="AX717" t="s">
        <v>3419</v>
      </c>
      <c r="AZ717">
        <v>1</v>
      </c>
      <c r="BD717">
        <v>1</v>
      </c>
      <c r="CB717" t="s">
        <v>136</v>
      </c>
      <c r="CG717" t="s">
        <v>3410</v>
      </c>
      <c r="CH717" t="s">
        <v>3426</v>
      </c>
      <c r="CI717" t="s">
        <v>3412</v>
      </c>
    </row>
    <row r="718" spans="1:103" x14ac:dyDescent="0.25">
      <c r="A718" t="s">
        <v>4933</v>
      </c>
      <c r="C718" t="s">
        <v>3326</v>
      </c>
      <c r="O718" t="s">
        <v>4929</v>
      </c>
      <c r="AC718">
        <v>1</v>
      </c>
      <c r="AN718">
        <v>1</v>
      </c>
      <c r="AO718" t="s">
        <v>4749</v>
      </c>
      <c r="AP718" t="s">
        <v>4750</v>
      </c>
      <c r="AV718">
        <v>2.2000000000000002</v>
      </c>
      <c r="AX718" t="s">
        <v>3419</v>
      </c>
      <c r="AZ718">
        <v>1</v>
      </c>
      <c r="BD718">
        <v>2</v>
      </c>
      <c r="CB718" t="s">
        <v>136</v>
      </c>
      <c r="CG718" t="s">
        <v>3410</v>
      </c>
      <c r="CH718" t="s">
        <v>3426</v>
      </c>
      <c r="CI718" t="s">
        <v>3412</v>
      </c>
    </row>
    <row r="719" spans="1:103" x14ac:dyDescent="0.25">
      <c r="A719" t="s">
        <v>4934</v>
      </c>
      <c r="C719" t="s">
        <v>3326</v>
      </c>
      <c r="AC719">
        <v>1</v>
      </c>
      <c r="AN719">
        <v>1</v>
      </c>
      <c r="AO719" t="s">
        <v>4749</v>
      </c>
      <c r="AP719" t="s">
        <v>4750</v>
      </c>
      <c r="AV719">
        <v>15</v>
      </c>
      <c r="AX719" t="s">
        <v>3419</v>
      </c>
      <c r="AZ719">
        <v>1</v>
      </c>
      <c r="BD719">
        <v>1</v>
      </c>
      <c r="BJ719">
        <v>1.4</v>
      </c>
      <c r="BK719">
        <v>1</v>
      </c>
      <c r="BL719">
        <v>1</v>
      </c>
      <c r="BS719">
        <v>4.5</v>
      </c>
      <c r="CB719" t="s">
        <v>136</v>
      </c>
      <c r="CG719" t="s">
        <v>3410</v>
      </c>
      <c r="CH719" t="s">
        <v>4757</v>
      </c>
      <c r="CI719" t="s">
        <v>4758</v>
      </c>
    </row>
    <row r="720" spans="1:103" x14ac:dyDescent="0.25">
      <c r="A720" t="s">
        <v>4935</v>
      </c>
      <c r="C720" t="s">
        <v>3326</v>
      </c>
      <c r="K720" s="5" t="s">
        <v>3314</v>
      </c>
      <c r="L720" s="5" t="s">
        <v>3414</v>
      </c>
      <c r="AC720">
        <v>2</v>
      </c>
      <c r="AG720" t="s">
        <v>3316</v>
      </c>
      <c r="AN720">
        <v>1</v>
      </c>
      <c r="AY720" s="5"/>
      <c r="BD720">
        <v>1</v>
      </c>
      <c r="BV720"/>
      <c r="BW720"/>
      <c r="BX720"/>
      <c r="BY720"/>
      <c r="BZ720"/>
      <c r="CA720"/>
      <c r="CB720" s="5"/>
      <c r="CC720" s="5"/>
      <c r="CD720" s="5"/>
      <c r="CE720" s="5"/>
      <c r="CF720" s="5"/>
      <c r="CH720" s="5"/>
      <c r="CI720" s="5"/>
      <c r="CJ720" s="5"/>
      <c r="CK720" s="5"/>
      <c r="CL720" s="5"/>
      <c r="CM720" s="5"/>
      <c r="CN720" s="9" t="s">
        <v>4935</v>
      </c>
      <c r="CO720">
        <v>50</v>
      </c>
      <c r="CR720">
        <v>9999</v>
      </c>
    </row>
    <row r="721" spans="1:101" x14ac:dyDescent="0.25">
      <c r="A721" t="s">
        <v>4936</v>
      </c>
      <c r="C721" t="s">
        <v>3326</v>
      </c>
      <c r="K721" s="5" t="s">
        <v>3314</v>
      </c>
      <c r="L721" s="5" t="s">
        <v>3414</v>
      </c>
      <c r="AC721">
        <v>2</v>
      </c>
      <c r="AG721" t="s">
        <v>3316</v>
      </c>
      <c r="AN721">
        <v>1</v>
      </c>
      <c r="AY721" s="5"/>
      <c r="BD721">
        <v>1</v>
      </c>
      <c r="BV721"/>
      <c r="BW721"/>
      <c r="BX721"/>
      <c r="BY721"/>
      <c r="BZ721"/>
      <c r="CA721"/>
      <c r="CB721" s="5"/>
      <c r="CC721" s="5"/>
      <c r="CD721" s="5"/>
      <c r="CE721" s="5"/>
      <c r="CF721" s="5"/>
      <c r="CH721" s="5"/>
      <c r="CI721" s="5"/>
      <c r="CJ721" s="5"/>
      <c r="CK721" s="5"/>
      <c r="CL721" s="5"/>
      <c r="CM721" s="5"/>
      <c r="CN721" s="9" t="s">
        <v>4936</v>
      </c>
      <c r="CO721">
        <v>0.5</v>
      </c>
      <c r="CR721">
        <v>9999</v>
      </c>
    </row>
    <row r="722" spans="1:101" x14ac:dyDescent="0.25">
      <c r="A722" t="s">
        <v>4937</v>
      </c>
      <c r="C722" t="s">
        <v>3326</v>
      </c>
      <c r="K722" s="5" t="s">
        <v>3314</v>
      </c>
      <c r="L722" s="5" t="s">
        <v>3414</v>
      </c>
      <c r="AC722">
        <v>2</v>
      </c>
      <c r="AG722" t="s">
        <v>3316</v>
      </c>
      <c r="AN722">
        <v>1</v>
      </c>
      <c r="AY722" s="5"/>
      <c r="BD722">
        <v>1</v>
      </c>
      <c r="BV722"/>
      <c r="BW722"/>
      <c r="BX722"/>
      <c r="BY722"/>
      <c r="BZ722"/>
      <c r="CA722"/>
      <c r="CB722" s="5"/>
      <c r="CC722" s="5"/>
      <c r="CD722" s="5"/>
      <c r="CE722" s="5"/>
      <c r="CF722" s="5"/>
      <c r="CH722" s="5"/>
      <c r="CI722" s="5"/>
      <c r="CJ722" s="5"/>
      <c r="CK722" s="5"/>
      <c r="CL722" s="5"/>
      <c r="CM722" s="5"/>
      <c r="CN722" s="9" t="s">
        <v>4936</v>
      </c>
      <c r="CO722">
        <v>0.8</v>
      </c>
      <c r="CR722">
        <v>9999</v>
      </c>
    </row>
    <row r="723" spans="1:101" x14ac:dyDescent="0.25">
      <c r="A723" t="s">
        <v>4938</v>
      </c>
      <c r="C723" t="s">
        <v>3326</v>
      </c>
      <c r="K723" s="5" t="s">
        <v>3314</v>
      </c>
      <c r="L723" s="5" t="s">
        <v>3414</v>
      </c>
      <c r="AC723">
        <v>2</v>
      </c>
      <c r="AG723" t="s">
        <v>3316</v>
      </c>
      <c r="AN723">
        <v>1</v>
      </c>
      <c r="AY723" s="5"/>
      <c r="BD723">
        <v>1</v>
      </c>
      <c r="BV723"/>
      <c r="BW723"/>
      <c r="BX723"/>
      <c r="BY723"/>
      <c r="BZ723"/>
      <c r="CA723"/>
      <c r="CB723" s="5"/>
      <c r="CC723" s="5"/>
      <c r="CD723" s="5"/>
      <c r="CE723" s="5"/>
      <c r="CF723" s="5"/>
      <c r="CH723" s="5"/>
      <c r="CI723" s="5"/>
      <c r="CJ723" s="5"/>
      <c r="CK723" s="5"/>
      <c r="CL723" s="5"/>
      <c r="CM723" s="5"/>
      <c r="CN723" s="9" t="s">
        <v>4938</v>
      </c>
      <c r="CR723">
        <v>9999</v>
      </c>
    </row>
    <row r="724" spans="1:101" x14ac:dyDescent="0.25">
      <c r="A724" t="s">
        <v>4939</v>
      </c>
      <c r="C724" t="s">
        <v>3416</v>
      </c>
      <c r="O724" t="s">
        <v>4940</v>
      </c>
      <c r="AC724">
        <v>1</v>
      </c>
      <c r="AN724">
        <v>1</v>
      </c>
      <c r="AO724" t="s">
        <v>4749</v>
      </c>
      <c r="AV724">
        <v>0</v>
      </c>
      <c r="AX724" t="s">
        <v>3432</v>
      </c>
      <c r="AZ724">
        <v>1</v>
      </c>
      <c r="BD724">
        <v>1</v>
      </c>
      <c r="CB724" t="s">
        <v>3629</v>
      </c>
      <c r="CG724" t="s">
        <v>3410</v>
      </c>
    </row>
    <row r="725" spans="1:101" x14ac:dyDescent="0.25">
      <c r="A725" t="s">
        <v>4941</v>
      </c>
      <c r="C725" t="s">
        <v>3326</v>
      </c>
      <c r="J725" t="s">
        <v>3342</v>
      </c>
      <c r="X725" s="5">
        <v>1</v>
      </c>
      <c r="Y725">
        <v>1</v>
      </c>
      <c r="AC725">
        <v>1</v>
      </c>
      <c r="AN725">
        <v>1</v>
      </c>
      <c r="AO725" t="s">
        <v>4749</v>
      </c>
      <c r="AV725">
        <v>1.5</v>
      </c>
      <c r="AX725" t="s">
        <v>3432</v>
      </c>
      <c r="AZ725">
        <v>1</v>
      </c>
      <c r="BD725">
        <v>99</v>
      </c>
      <c r="BS725">
        <v>5</v>
      </c>
      <c r="BT725">
        <v>0.2</v>
      </c>
      <c r="BV725" s="8">
        <v>0</v>
      </c>
      <c r="BW725" s="8">
        <v>5</v>
      </c>
      <c r="BX725" s="8">
        <v>1</v>
      </c>
      <c r="BY725" s="8" t="s">
        <v>3344</v>
      </c>
      <c r="CG725" t="s">
        <v>3410</v>
      </c>
      <c r="CR725">
        <v>10</v>
      </c>
      <c r="CW725" t="s">
        <v>3545</v>
      </c>
    </row>
    <row r="726" spans="1:101" x14ac:dyDescent="0.25">
      <c r="A726" t="s">
        <v>4942</v>
      </c>
      <c r="C726" t="s">
        <v>3326</v>
      </c>
      <c r="N726" s="5">
        <v>1</v>
      </c>
      <c r="O726" t="s">
        <v>4940</v>
      </c>
      <c r="AC726">
        <v>2</v>
      </c>
      <c r="AG726" t="s">
        <v>3316</v>
      </c>
      <c r="AN726">
        <v>1</v>
      </c>
      <c r="BD726">
        <v>1</v>
      </c>
      <c r="CN726" s="9" t="s">
        <v>4943</v>
      </c>
      <c r="CO726">
        <v>1.6667000000000001</v>
      </c>
      <c r="CR726">
        <v>9999</v>
      </c>
    </row>
    <row r="727" spans="1:101" x14ac:dyDescent="0.25">
      <c r="O727"/>
    </row>
    <row r="728" spans="1:101" x14ac:dyDescent="0.25">
      <c r="A728" t="s">
        <v>4944</v>
      </c>
      <c r="C728" t="s">
        <v>3416</v>
      </c>
      <c r="AC728">
        <v>1</v>
      </c>
      <c r="AN728">
        <v>1</v>
      </c>
      <c r="AO728" t="s">
        <v>4749</v>
      </c>
      <c r="AV728">
        <v>0</v>
      </c>
      <c r="AX728" t="s">
        <v>3419</v>
      </c>
      <c r="AZ728">
        <v>1</v>
      </c>
      <c r="BD728">
        <v>1</v>
      </c>
      <c r="BE728">
        <v>3</v>
      </c>
      <c r="BF728">
        <v>0.01</v>
      </c>
      <c r="CB728" t="s">
        <v>4427</v>
      </c>
      <c r="CG728" t="s">
        <v>3410</v>
      </c>
    </row>
    <row r="729" spans="1:101" x14ac:dyDescent="0.25">
      <c r="A729" t="s">
        <v>4945</v>
      </c>
      <c r="C729" t="s">
        <v>3326</v>
      </c>
      <c r="K729" s="5" t="s">
        <v>3314</v>
      </c>
      <c r="L729" s="5" t="s">
        <v>3414</v>
      </c>
      <c r="AC729">
        <v>2</v>
      </c>
      <c r="AN729">
        <v>1</v>
      </c>
      <c r="AV729">
        <v>99</v>
      </c>
      <c r="BD729">
        <v>99</v>
      </c>
      <c r="BO729" s="7" t="s">
        <v>4946</v>
      </c>
      <c r="CN729" s="9" t="s">
        <v>4929</v>
      </c>
      <c r="CO729" t="s">
        <v>4947</v>
      </c>
      <c r="CR729">
        <v>9999</v>
      </c>
      <c r="CT729">
        <v>1</v>
      </c>
    </row>
    <row r="730" spans="1:101" x14ac:dyDescent="0.25">
      <c r="A730" t="s">
        <v>4946</v>
      </c>
      <c r="C730" t="s">
        <v>3326</v>
      </c>
      <c r="K730" s="5" t="s">
        <v>3314</v>
      </c>
      <c r="L730" s="5" t="s">
        <v>3330</v>
      </c>
      <c r="AC730">
        <v>2</v>
      </c>
      <c r="AF730">
        <v>1</v>
      </c>
      <c r="AN730">
        <v>1</v>
      </c>
      <c r="BD730">
        <v>1</v>
      </c>
      <c r="CN730" s="9" t="s">
        <v>4929</v>
      </c>
      <c r="CO730" t="s">
        <v>4947</v>
      </c>
      <c r="CR730">
        <v>9999</v>
      </c>
      <c r="CT730">
        <v>1</v>
      </c>
    </row>
    <row r="731" spans="1:101" x14ac:dyDescent="0.25">
      <c r="A731" t="s">
        <v>4948</v>
      </c>
      <c r="C731" t="s">
        <v>3326</v>
      </c>
      <c r="K731" s="5" t="s">
        <v>3314</v>
      </c>
      <c r="L731" s="5" t="s">
        <v>3414</v>
      </c>
      <c r="AC731">
        <v>2</v>
      </c>
      <c r="AG731" t="s">
        <v>3316</v>
      </c>
      <c r="AN731">
        <v>1</v>
      </c>
      <c r="AY731" s="5"/>
      <c r="BD731">
        <v>1</v>
      </c>
      <c r="BV731"/>
      <c r="BW731"/>
      <c r="BX731"/>
      <c r="BY731"/>
      <c r="BZ731"/>
      <c r="CA731"/>
      <c r="CB731" s="5"/>
      <c r="CC731" s="5"/>
      <c r="CD731" s="5"/>
      <c r="CE731" s="5"/>
      <c r="CF731" s="5"/>
      <c r="CH731" s="5"/>
      <c r="CI731" s="5"/>
      <c r="CJ731" s="5"/>
      <c r="CK731" s="5"/>
      <c r="CL731" s="5"/>
      <c r="CM731" s="5"/>
      <c r="CN731" s="9" t="s">
        <v>4948</v>
      </c>
      <c r="CO731" t="s">
        <v>4949</v>
      </c>
      <c r="CR731">
        <v>9999</v>
      </c>
    </row>
    <row r="732" spans="1:101" x14ac:dyDescent="0.25">
      <c r="A732" t="s">
        <v>4950</v>
      </c>
      <c r="C732" t="s">
        <v>3905</v>
      </c>
      <c r="K732" s="5" t="s">
        <v>3314</v>
      </c>
      <c r="L732" s="5" t="s">
        <v>3906</v>
      </c>
      <c r="N732" s="5">
        <v>1</v>
      </c>
      <c r="AC732">
        <v>2</v>
      </c>
      <c r="AG732" t="s">
        <v>3316</v>
      </c>
      <c r="AH732">
        <v>1</v>
      </c>
      <c r="AN732">
        <v>1</v>
      </c>
      <c r="AY732">
        <v>1</v>
      </c>
      <c r="BD732">
        <v>1</v>
      </c>
      <c r="BP732" s="7" t="s">
        <v>4951</v>
      </c>
      <c r="CU732" t="s">
        <v>4952</v>
      </c>
    </row>
    <row r="733" spans="1:101" x14ac:dyDescent="0.25">
      <c r="A733" t="s">
        <v>4953</v>
      </c>
      <c r="C733" t="s">
        <v>3326</v>
      </c>
      <c r="K733" s="5" t="s">
        <v>3314</v>
      </c>
      <c r="Y733">
        <v>1</v>
      </c>
      <c r="AB733">
        <v>1</v>
      </c>
      <c r="AC733">
        <v>2</v>
      </c>
      <c r="AG733" t="s">
        <v>3316</v>
      </c>
      <c r="AN733">
        <v>1</v>
      </c>
      <c r="BD733">
        <v>1</v>
      </c>
      <c r="BS733">
        <v>62</v>
      </c>
      <c r="CB733" t="s">
        <v>4954</v>
      </c>
      <c r="CC733">
        <v>62</v>
      </c>
      <c r="CE733" t="s">
        <v>4954</v>
      </c>
      <c r="CG733" t="s">
        <v>3831</v>
      </c>
    </row>
    <row r="734" spans="1:101" x14ac:dyDescent="0.25">
      <c r="A734" t="s">
        <v>4955</v>
      </c>
      <c r="C734" t="s">
        <v>3326</v>
      </c>
      <c r="K734" s="5" t="s">
        <v>3314</v>
      </c>
      <c r="AC734">
        <v>2</v>
      </c>
      <c r="AG734" t="s">
        <v>3316</v>
      </c>
      <c r="AN734">
        <v>1</v>
      </c>
      <c r="AO734" t="s">
        <v>4749</v>
      </c>
      <c r="BD734">
        <v>1</v>
      </c>
      <c r="CN734" s="9" t="s">
        <v>4780</v>
      </c>
      <c r="CR734">
        <v>75</v>
      </c>
    </row>
    <row r="735" spans="1:101" x14ac:dyDescent="0.25">
      <c r="A735" t="s">
        <v>4956</v>
      </c>
      <c r="C735" t="s">
        <v>3326</v>
      </c>
      <c r="K735" s="5" t="s">
        <v>3314</v>
      </c>
      <c r="AC735">
        <v>2</v>
      </c>
      <c r="AG735" t="s">
        <v>3316</v>
      </c>
      <c r="AN735">
        <v>1</v>
      </c>
      <c r="AY735" s="5"/>
      <c r="BD735">
        <v>1</v>
      </c>
      <c r="BV735"/>
      <c r="BW735"/>
      <c r="BX735"/>
      <c r="BY735"/>
      <c r="BZ735"/>
      <c r="CA735"/>
      <c r="CB735" s="5"/>
      <c r="CC735" s="5"/>
      <c r="CD735" s="5"/>
      <c r="CE735" s="5"/>
      <c r="CF735" s="5"/>
      <c r="CH735" s="5"/>
      <c r="CI735" s="5"/>
      <c r="CJ735" s="5"/>
      <c r="CK735" s="5"/>
      <c r="CL735" s="5"/>
      <c r="CM735" t="s">
        <v>4948</v>
      </c>
      <c r="CN735" s="9" t="s">
        <v>4957</v>
      </c>
      <c r="CQ735" s="2" t="s">
        <v>4958</v>
      </c>
      <c r="CR735">
        <v>9999</v>
      </c>
    </row>
    <row r="736" spans="1:101" x14ac:dyDescent="0.25">
      <c r="A736" t="s">
        <v>4959</v>
      </c>
      <c r="C736" t="s">
        <v>4782</v>
      </c>
      <c r="K736" s="5" t="s">
        <v>3314</v>
      </c>
      <c r="AC736">
        <v>2</v>
      </c>
      <c r="AG736" t="s">
        <v>3316</v>
      </c>
      <c r="AN736">
        <v>1</v>
      </c>
      <c r="AY736" s="5"/>
      <c r="BD736">
        <v>1</v>
      </c>
      <c r="BV736"/>
      <c r="BW736"/>
      <c r="BX736"/>
      <c r="BY736"/>
      <c r="BZ736"/>
      <c r="CA736"/>
      <c r="CB736" s="5"/>
      <c r="CC736" s="5"/>
      <c r="CD736" s="5"/>
      <c r="CE736" s="5"/>
      <c r="CF736" s="5"/>
      <c r="CH736" s="5"/>
      <c r="CI736" s="5"/>
      <c r="CJ736" s="5"/>
      <c r="CK736" s="5"/>
      <c r="CL736" s="5"/>
      <c r="CM736" s="5"/>
      <c r="CU736" t="s">
        <v>4960</v>
      </c>
    </row>
    <row r="737" spans="1:112" x14ac:dyDescent="0.25">
      <c r="A737" t="s">
        <v>4961</v>
      </c>
      <c r="C737" t="s">
        <v>3147</v>
      </c>
      <c r="K737" s="5" t="s">
        <v>3314</v>
      </c>
      <c r="P737"/>
      <c r="AC737">
        <v>2</v>
      </c>
      <c r="AG737" t="s">
        <v>3316</v>
      </c>
      <c r="AY737" s="5"/>
      <c r="BD737">
        <v>1</v>
      </c>
      <c r="BV737"/>
      <c r="BW737"/>
      <c r="BX737"/>
      <c r="BY737"/>
      <c r="BZ737"/>
      <c r="CA737"/>
      <c r="CB737" s="5"/>
      <c r="CC737" s="5"/>
      <c r="CD737" s="5"/>
      <c r="CE737" s="5"/>
      <c r="CF737" s="5"/>
      <c r="CH737" s="5"/>
      <c r="CI737" s="5"/>
      <c r="CJ737" s="5"/>
      <c r="CK737" s="5"/>
      <c r="CL737" s="5"/>
      <c r="CU737" t="s">
        <v>4962</v>
      </c>
    </row>
    <row r="738" spans="1:112" x14ac:dyDescent="0.25">
      <c r="A738" t="s">
        <v>4963</v>
      </c>
      <c r="C738" t="s">
        <v>3326</v>
      </c>
      <c r="O738" t="s">
        <v>4964</v>
      </c>
      <c r="X738" s="5">
        <v>1</v>
      </c>
      <c r="AC738">
        <v>1</v>
      </c>
      <c r="AV738">
        <v>1.75</v>
      </c>
      <c r="AX738" t="s">
        <v>3987</v>
      </c>
      <c r="AY738" s="5"/>
      <c r="AZ738">
        <v>0.05</v>
      </c>
      <c r="BD738">
        <v>99</v>
      </c>
      <c r="BS738">
        <v>0.8</v>
      </c>
      <c r="BV738"/>
      <c r="BW738"/>
      <c r="BX738"/>
      <c r="BY738"/>
      <c r="BZ738"/>
      <c r="CA738"/>
      <c r="CB738" s="5"/>
      <c r="CC738" s="5"/>
      <c r="CD738" s="5"/>
      <c r="CE738" s="5"/>
      <c r="CF738" s="5"/>
      <c r="CH738" s="5"/>
      <c r="CI738" s="5"/>
      <c r="CJ738" s="5"/>
      <c r="CK738" s="5"/>
      <c r="CL738" s="5"/>
      <c r="CQ738" s="2"/>
    </row>
    <row r="739" spans="1:112" x14ac:dyDescent="0.25">
      <c r="A739" t="s">
        <v>4965</v>
      </c>
      <c r="C739" t="s">
        <v>3326</v>
      </c>
      <c r="O739" t="s">
        <v>4964</v>
      </c>
      <c r="AC739">
        <v>1</v>
      </c>
      <c r="AN739">
        <v>1</v>
      </c>
      <c r="AO739" t="s">
        <v>4749</v>
      </c>
      <c r="AV739">
        <v>0.85</v>
      </c>
      <c r="AX739" t="s">
        <v>3419</v>
      </c>
      <c r="AZ739">
        <v>1</v>
      </c>
      <c r="BD739">
        <v>99</v>
      </c>
      <c r="CB739" t="s">
        <v>3629</v>
      </c>
      <c r="CG739" t="s">
        <v>3410</v>
      </c>
      <c r="CR739">
        <v>10</v>
      </c>
      <c r="CX739" t="s">
        <v>3545</v>
      </c>
    </row>
    <row r="740" spans="1:112" x14ac:dyDescent="0.25">
      <c r="A740" t="s">
        <v>4966</v>
      </c>
      <c r="C740" t="s">
        <v>3326</v>
      </c>
      <c r="J740" t="s">
        <v>3342</v>
      </c>
      <c r="O740" t="s">
        <v>4964</v>
      </c>
      <c r="AC740">
        <v>1</v>
      </c>
      <c r="AL740">
        <v>2</v>
      </c>
      <c r="AO740" t="s">
        <v>3705</v>
      </c>
      <c r="AV740">
        <v>20</v>
      </c>
      <c r="AX740" t="s">
        <v>3419</v>
      </c>
      <c r="AZ740">
        <v>1.35</v>
      </c>
      <c r="BD740">
        <v>1</v>
      </c>
      <c r="BT740">
        <v>0.2</v>
      </c>
      <c r="BV740" s="8">
        <v>-57</v>
      </c>
      <c r="BW740" s="8">
        <v>20</v>
      </c>
      <c r="BX740" s="8">
        <v>1</v>
      </c>
      <c r="BY740" s="8" t="s">
        <v>3344</v>
      </c>
      <c r="CB740" t="s">
        <v>627</v>
      </c>
      <c r="CG740" t="s">
        <v>3410</v>
      </c>
      <c r="CH740" t="s">
        <v>4008</v>
      </c>
      <c r="CI740" t="s">
        <v>3412</v>
      </c>
      <c r="DH740">
        <v>1</v>
      </c>
    </row>
    <row r="741" spans="1:112" x14ac:dyDescent="0.25">
      <c r="A741" t="s">
        <v>4967</v>
      </c>
      <c r="C741" t="s">
        <v>3326</v>
      </c>
      <c r="N741" s="5">
        <v>1</v>
      </c>
      <c r="O741" t="s">
        <v>4964</v>
      </c>
      <c r="AC741">
        <v>2</v>
      </c>
      <c r="AG741" t="s">
        <v>3316</v>
      </c>
      <c r="AY741" s="5"/>
      <c r="BD741">
        <v>1</v>
      </c>
      <c r="BV741"/>
      <c r="BW741"/>
      <c r="BX741"/>
      <c r="BY741"/>
      <c r="BZ741"/>
      <c r="CA741"/>
      <c r="CB741" s="5" t="s">
        <v>4968</v>
      </c>
      <c r="CC741" s="5"/>
      <c r="CD741" s="5"/>
      <c r="CE741" s="5"/>
      <c r="CF741" s="5"/>
      <c r="CG741" t="s">
        <v>3410</v>
      </c>
      <c r="CI741" s="5"/>
      <c r="CJ741" s="5"/>
      <c r="CK741" s="5"/>
      <c r="CL741" s="5"/>
      <c r="CM741" s="5"/>
      <c r="DH741">
        <v>1</v>
      </c>
    </row>
    <row r="742" spans="1:112" x14ac:dyDescent="0.25">
      <c r="O742"/>
      <c r="AY742" s="5"/>
      <c r="BV742"/>
      <c r="BW742"/>
      <c r="BX742"/>
      <c r="BY742"/>
      <c r="BZ742"/>
      <c r="CA742"/>
      <c r="CB742" s="5"/>
      <c r="CC742" s="5"/>
      <c r="CD742" s="5"/>
      <c r="CE742" s="5"/>
      <c r="CF742" s="5"/>
      <c r="CI742" s="5"/>
      <c r="CJ742" s="5"/>
      <c r="CK742" s="5"/>
      <c r="CL742" s="5"/>
      <c r="CM742" s="5"/>
    </row>
    <row r="743" spans="1:112" x14ac:dyDescent="0.25">
      <c r="A743" t="s">
        <v>2266</v>
      </c>
      <c r="C743" t="s">
        <v>3416</v>
      </c>
      <c r="AC743">
        <v>1</v>
      </c>
      <c r="AN743">
        <v>1</v>
      </c>
      <c r="AO743" t="s">
        <v>4749</v>
      </c>
      <c r="AV743">
        <v>0</v>
      </c>
      <c r="AX743" t="s">
        <v>3419</v>
      </c>
      <c r="AZ743">
        <v>1</v>
      </c>
      <c r="BD743">
        <v>1</v>
      </c>
      <c r="CB743" t="s">
        <v>136</v>
      </c>
      <c r="CG743" t="s">
        <v>3410</v>
      </c>
      <c r="CL743" t="s">
        <v>4969</v>
      </c>
    </row>
    <row r="744" spans="1:112" x14ac:dyDescent="0.25">
      <c r="A744" t="s">
        <v>2275</v>
      </c>
      <c r="C744" t="s">
        <v>3326</v>
      </c>
      <c r="AC744">
        <v>1</v>
      </c>
      <c r="AN744">
        <v>1</v>
      </c>
      <c r="AO744" t="s">
        <v>4749</v>
      </c>
      <c r="AV744">
        <v>2.5</v>
      </c>
      <c r="AX744" t="s">
        <v>3419</v>
      </c>
      <c r="AZ744">
        <v>1</v>
      </c>
      <c r="BD744">
        <v>1</v>
      </c>
      <c r="CB744" t="s">
        <v>136</v>
      </c>
      <c r="CG744" t="s">
        <v>3410</v>
      </c>
      <c r="CH744" t="s">
        <v>3426</v>
      </c>
      <c r="CI744" t="s">
        <v>3412</v>
      </c>
    </row>
    <row r="745" spans="1:112" x14ac:dyDescent="0.25">
      <c r="A745" t="s">
        <v>2285</v>
      </c>
      <c r="C745" t="s">
        <v>3326</v>
      </c>
      <c r="AC745">
        <v>1</v>
      </c>
      <c r="AN745">
        <v>1</v>
      </c>
      <c r="AO745" t="s">
        <v>4749</v>
      </c>
      <c r="AV745">
        <v>2.5</v>
      </c>
      <c r="AX745" t="s">
        <v>3419</v>
      </c>
      <c r="AZ745">
        <v>1</v>
      </c>
      <c r="BD745">
        <v>1</v>
      </c>
      <c r="CB745" t="s">
        <v>136</v>
      </c>
      <c r="CG745" t="s">
        <v>3410</v>
      </c>
      <c r="CH745" t="s">
        <v>3426</v>
      </c>
      <c r="CI745" t="s">
        <v>3412</v>
      </c>
      <c r="CL745" t="s">
        <v>4970</v>
      </c>
    </row>
    <row r="746" spans="1:112" x14ac:dyDescent="0.25">
      <c r="A746" t="s">
        <v>4971</v>
      </c>
      <c r="C746" t="s">
        <v>3416</v>
      </c>
      <c r="O746" s="5" t="s">
        <v>1524</v>
      </c>
      <c r="AC746">
        <v>1</v>
      </c>
      <c r="AN746">
        <v>1</v>
      </c>
      <c r="AO746" t="s">
        <v>4749</v>
      </c>
      <c r="AV746">
        <v>0</v>
      </c>
      <c r="AX746" t="s">
        <v>3419</v>
      </c>
      <c r="AZ746">
        <v>1</v>
      </c>
      <c r="BD746">
        <v>1</v>
      </c>
      <c r="CB746" t="s">
        <v>4923</v>
      </c>
      <c r="CG746" t="s">
        <v>3410</v>
      </c>
      <c r="CL746" t="s">
        <v>4972</v>
      </c>
    </row>
    <row r="747" spans="1:112" x14ac:dyDescent="0.25">
      <c r="A747" t="s">
        <v>4973</v>
      </c>
      <c r="C747" t="s">
        <v>3326</v>
      </c>
      <c r="N747" s="5">
        <v>1</v>
      </c>
      <c r="O747" s="5" t="s">
        <v>1524</v>
      </c>
      <c r="AC747">
        <v>2</v>
      </c>
      <c r="AG747" t="s">
        <v>3316</v>
      </c>
      <c r="BD747">
        <v>1</v>
      </c>
      <c r="CN747" s="9" t="s">
        <v>4974</v>
      </c>
      <c r="CO747">
        <v>5</v>
      </c>
      <c r="CP747">
        <v>0.04</v>
      </c>
      <c r="CR747">
        <v>9999</v>
      </c>
    </row>
    <row r="748" spans="1:112" x14ac:dyDescent="0.25">
      <c r="A748" t="s">
        <v>4975</v>
      </c>
      <c r="C748" t="s">
        <v>3326</v>
      </c>
      <c r="I748">
        <v>1</v>
      </c>
      <c r="O748" t="s">
        <v>1524</v>
      </c>
      <c r="AC748">
        <v>1</v>
      </c>
      <c r="AV748">
        <v>2.5</v>
      </c>
      <c r="BD748">
        <v>99</v>
      </c>
      <c r="BS748">
        <v>1</v>
      </c>
      <c r="CL748" t="s">
        <v>4970</v>
      </c>
    </row>
    <row r="749" spans="1:112" x14ac:dyDescent="0.25">
      <c r="A749" t="s">
        <v>4976</v>
      </c>
      <c r="C749" t="s">
        <v>3326</v>
      </c>
      <c r="I749">
        <v>1</v>
      </c>
      <c r="N749" s="5">
        <v>1</v>
      </c>
      <c r="O749"/>
      <c r="T749" s="5">
        <v>0.85</v>
      </c>
      <c r="AC749">
        <v>2</v>
      </c>
      <c r="AG749" t="s">
        <v>3316</v>
      </c>
      <c r="BD749">
        <v>1</v>
      </c>
      <c r="BP749" s="7" t="s">
        <v>4977</v>
      </c>
    </row>
    <row r="750" spans="1:112" x14ac:dyDescent="0.25">
      <c r="A750" t="s">
        <v>4978</v>
      </c>
      <c r="C750" t="s">
        <v>3326</v>
      </c>
      <c r="I750">
        <v>1</v>
      </c>
      <c r="N750" s="5">
        <v>1</v>
      </c>
      <c r="O750"/>
      <c r="T750" s="5">
        <v>0.7</v>
      </c>
      <c r="AC750">
        <v>2</v>
      </c>
      <c r="AG750" t="s">
        <v>3316</v>
      </c>
      <c r="BD750">
        <v>1</v>
      </c>
      <c r="BP750" s="7" t="s">
        <v>4977</v>
      </c>
    </row>
    <row r="751" spans="1:112" x14ac:dyDescent="0.25">
      <c r="A751" t="s">
        <v>4979</v>
      </c>
      <c r="C751" t="s">
        <v>3326</v>
      </c>
      <c r="I751">
        <v>1</v>
      </c>
      <c r="N751" s="5">
        <v>1</v>
      </c>
      <c r="O751"/>
      <c r="T751" s="5">
        <v>0.55000000000000004</v>
      </c>
      <c r="AC751">
        <v>2</v>
      </c>
      <c r="AG751" t="s">
        <v>3316</v>
      </c>
      <c r="BD751">
        <v>1</v>
      </c>
      <c r="BP751" s="7" t="s">
        <v>4977</v>
      </c>
    </row>
    <row r="752" spans="1:112" x14ac:dyDescent="0.25">
      <c r="A752" t="s">
        <v>4980</v>
      </c>
      <c r="C752" t="s">
        <v>3326</v>
      </c>
      <c r="I752">
        <v>1</v>
      </c>
      <c r="N752" s="5">
        <v>1</v>
      </c>
      <c r="O752"/>
      <c r="T752" s="5">
        <v>0.4</v>
      </c>
      <c r="AC752">
        <v>2</v>
      </c>
      <c r="AG752" t="s">
        <v>3316</v>
      </c>
      <c r="BD752">
        <v>1</v>
      </c>
      <c r="BP752" s="7" t="s">
        <v>4977</v>
      </c>
    </row>
    <row r="753" spans="1:113" x14ac:dyDescent="0.25">
      <c r="A753" t="s">
        <v>4981</v>
      </c>
      <c r="C753" t="s">
        <v>3326</v>
      </c>
      <c r="I753">
        <v>1</v>
      </c>
      <c r="N753" s="5">
        <v>1</v>
      </c>
      <c r="O753"/>
      <c r="T753" s="5">
        <v>0.25</v>
      </c>
      <c r="AC753">
        <v>2</v>
      </c>
      <c r="AG753" t="s">
        <v>3316</v>
      </c>
      <c r="BD753">
        <v>1</v>
      </c>
      <c r="BP753" s="7" t="s">
        <v>4977</v>
      </c>
    </row>
    <row r="754" spans="1:113" x14ac:dyDescent="0.25">
      <c r="A754" t="s">
        <v>4982</v>
      </c>
      <c r="C754" t="s">
        <v>3326</v>
      </c>
      <c r="I754">
        <v>1</v>
      </c>
      <c r="N754" s="5">
        <v>1</v>
      </c>
      <c r="O754"/>
      <c r="T754" s="5">
        <v>0.1</v>
      </c>
      <c r="AC754">
        <v>2</v>
      </c>
      <c r="AG754" t="s">
        <v>3316</v>
      </c>
      <c r="BD754">
        <v>1</v>
      </c>
      <c r="BP754" s="7" t="s">
        <v>4977</v>
      </c>
    </row>
    <row r="755" spans="1:113" x14ac:dyDescent="0.25">
      <c r="A755" t="s">
        <v>4977</v>
      </c>
      <c r="C755" t="s">
        <v>3326</v>
      </c>
      <c r="K755" s="5" t="s">
        <v>3314</v>
      </c>
      <c r="O755"/>
      <c r="X755" s="5">
        <v>1</v>
      </c>
      <c r="AC755">
        <v>1</v>
      </c>
      <c r="AV755">
        <v>1.75</v>
      </c>
      <c r="BD755">
        <v>1</v>
      </c>
      <c r="CL755" t="s">
        <v>4983</v>
      </c>
    </row>
    <row r="756" spans="1:113" x14ac:dyDescent="0.25">
      <c r="A756" t="s">
        <v>2313</v>
      </c>
      <c r="C756" t="s">
        <v>3326</v>
      </c>
      <c r="AC756">
        <v>1</v>
      </c>
      <c r="AN756">
        <v>1</v>
      </c>
      <c r="AO756" t="s">
        <v>3408</v>
      </c>
      <c r="AV756">
        <v>1.7</v>
      </c>
      <c r="AX756" t="s">
        <v>3419</v>
      </c>
      <c r="AZ756">
        <v>1</v>
      </c>
      <c r="BD756">
        <v>1</v>
      </c>
      <c r="CB756" t="s">
        <v>136</v>
      </c>
      <c r="CG756" t="s">
        <v>3410</v>
      </c>
    </row>
    <row r="757" spans="1:113" x14ac:dyDescent="0.25">
      <c r="A757" t="s">
        <v>4984</v>
      </c>
      <c r="C757" t="s">
        <v>3326</v>
      </c>
      <c r="AC757">
        <v>1</v>
      </c>
      <c r="AN757">
        <v>1</v>
      </c>
      <c r="AO757" t="s">
        <v>4749</v>
      </c>
      <c r="AP757" t="s">
        <v>4750</v>
      </c>
      <c r="AV757">
        <v>2.5</v>
      </c>
      <c r="AX757" t="s">
        <v>3419</v>
      </c>
      <c r="AZ757">
        <v>1</v>
      </c>
      <c r="BD757">
        <v>1</v>
      </c>
      <c r="CB757" t="s">
        <v>4427</v>
      </c>
      <c r="CG757" t="s">
        <v>3410</v>
      </c>
      <c r="CH757" t="s">
        <v>3433</v>
      </c>
      <c r="CI757" t="s">
        <v>3412</v>
      </c>
      <c r="CL757" t="s">
        <v>4985</v>
      </c>
    </row>
    <row r="758" spans="1:113" x14ac:dyDescent="0.25">
      <c r="A758" t="s">
        <v>4986</v>
      </c>
      <c r="C758" t="s">
        <v>3326</v>
      </c>
      <c r="J758" s="5" t="s">
        <v>3445</v>
      </c>
      <c r="K758"/>
      <c r="W758" s="5">
        <v>1</v>
      </c>
      <c r="AC758">
        <v>1</v>
      </c>
      <c r="AN758">
        <v>1</v>
      </c>
      <c r="AV758">
        <v>2.5</v>
      </c>
      <c r="AX758" t="s">
        <v>3419</v>
      </c>
      <c r="AZ758">
        <v>0.6</v>
      </c>
      <c r="BD758">
        <v>1</v>
      </c>
      <c r="BS758">
        <v>0.5</v>
      </c>
      <c r="BT758">
        <v>5</v>
      </c>
      <c r="BV758" s="8">
        <v>10</v>
      </c>
      <c r="BW758" s="8">
        <v>20</v>
      </c>
      <c r="BX758" s="8">
        <v>1</v>
      </c>
      <c r="BY758" s="8" t="s">
        <v>3344</v>
      </c>
      <c r="CB758" t="s">
        <v>211</v>
      </c>
      <c r="CE758" t="s">
        <v>801</v>
      </c>
      <c r="CG758" t="s">
        <v>3410</v>
      </c>
      <c r="CH758" t="s">
        <v>3433</v>
      </c>
      <c r="CI758" t="s">
        <v>3412</v>
      </c>
      <c r="CL758" t="s">
        <v>4987</v>
      </c>
    </row>
    <row r="759" spans="1:113" x14ac:dyDescent="0.25">
      <c r="J759" s="5"/>
      <c r="K759"/>
    </row>
    <row r="760" spans="1:113" x14ac:dyDescent="0.25">
      <c r="A760" t="s">
        <v>4988</v>
      </c>
      <c r="C760" t="s">
        <v>3326</v>
      </c>
      <c r="AC760">
        <v>1</v>
      </c>
      <c r="AN760">
        <v>1</v>
      </c>
      <c r="AO760" t="s">
        <v>3491</v>
      </c>
      <c r="AV760">
        <v>99</v>
      </c>
      <c r="AX760" t="s">
        <v>3419</v>
      </c>
      <c r="AZ760">
        <v>1</v>
      </c>
      <c r="BD760">
        <v>2</v>
      </c>
      <c r="CB760" t="s">
        <v>136</v>
      </c>
      <c r="CG760" t="s">
        <v>3410</v>
      </c>
      <c r="DI760">
        <v>1</v>
      </c>
    </row>
    <row r="761" spans="1:113" x14ac:dyDescent="0.25">
      <c r="A761" t="s">
        <v>4989</v>
      </c>
      <c r="C761" t="s">
        <v>3326</v>
      </c>
      <c r="J761" s="5" t="s">
        <v>3342</v>
      </c>
      <c r="K761"/>
      <c r="AC761">
        <v>1</v>
      </c>
      <c r="AV761">
        <v>99</v>
      </c>
      <c r="AX761" t="s">
        <v>3432</v>
      </c>
      <c r="AZ761">
        <v>0.5</v>
      </c>
      <c r="BD761">
        <v>99</v>
      </c>
      <c r="BV761" s="8">
        <v>-5</v>
      </c>
      <c r="BW761" s="8">
        <v>40</v>
      </c>
      <c r="BX761" s="8">
        <v>1</v>
      </c>
      <c r="BY761" s="8" t="s">
        <v>3344</v>
      </c>
      <c r="CB761" t="s">
        <v>4990</v>
      </c>
      <c r="CG761" t="s">
        <v>3410</v>
      </c>
      <c r="CL761" t="s">
        <v>4991</v>
      </c>
      <c r="CX761" t="s">
        <v>4992</v>
      </c>
      <c r="DI761">
        <v>1</v>
      </c>
    </row>
    <row r="762" spans="1:113" x14ac:dyDescent="0.25">
      <c r="A762" t="s">
        <v>4993</v>
      </c>
      <c r="C762" t="s">
        <v>3326</v>
      </c>
      <c r="J762" s="5" t="s">
        <v>3342</v>
      </c>
      <c r="K762"/>
      <c r="AC762">
        <v>1</v>
      </c>
      <c r="AV762">
        <v>99</v>
      </c>
      <c r="AX762" t="s">
        <v>3432</v>
      </c>
      <c r="AZ762">
        <v>0.5</v>
      </c>
      <c r="BD762">
        <v>99</v>
      </c>
      <c r="BV762" s="8">
        <v>20</v>
      </c>
      <c r="BW762" s="8">
        <v>35</v>
      </c>
      <c r="BX762" s="8">
        <v>1</v>
      </c>
      <c r="BY762" s="8" t="s">
        <v>3344</v>
      </c>
      <c r="CB762" t="s">
        <v>4990</v>
      </c>
      <c r="CG762" t="s">
        <v>3410</v>
      </c>
      <c r="CL762" t="s">
        <v>4994</v>
      </c>
      <c r="CX762" t="s">
        <v>4992</v>
      </c>
      <c r="DI762">
        <v>1</v>
      </c>
    </row>
    <row r="763" spans="1:113" x14ac:dyDescent="0.25">
      <c r="A763" t="s">
        <v>4995</v>
      </c>
      <c r="C763" t="s">
        <v>3326</v>
      </c>
      <c r="J763" s="5" t="s">
        <v>3342</v>
      </c>
      <c r="K763"/>
      <c r="AC763">
        <v>1</v>
      </c>
      <c r="AV763">
        <v>99</v>
      </c>
      <c r="AX763" t="s">
        <v>3432</v>
      </c>
      <c r="AZ763">
        <v>0.2</v>
      </c>
      <c r="BD763">
        <v>99</v>
      </c>
      <c r="BV763" s="8">
        <v>2.5</v>
      </c>
      <c r="BW763" s="8">
        <v>3.5</v>
      </c>
      <c r="BX763" s="8">
        <v>1</v>
      </c>
      <c r="BY763" s="8" t="s">
        <v>3344</v>
      </c>
      <c r="CB763" t="s">
        <v>4990</v>
      </c>
      <c r="CG763" t="s">
        <v>3410</v>
      </c>
      <c r="CL763" t="s">
        <v>4970</v>
      </c>
      <c r="CX763" t="s">
        <v>4992</v>
      </c>
      <c r="DI763">
        <v>1</v>
      </c>
    </row>
    <row r="764" spans="1:113" x14ac:dyDescent="0.25">
      <c r="A764" t="s">
        <v>4996</v>
      </c>
      <c r="C764" t="s">
        <v>3326</v>
      </c>
      <c r="J764" s="5" t="s">
        <v>3342</v>
      </c>
      <c r="K764"/>
      <c r="AC764">
        <v>1</v>
      </c>
      <c r="AO764" t="s">
        <v>3491</v>
      </c>
      <c r="AV764">
        <v>99</v>
      </c>
      <c r="AX764" t="s">
        <v>3419</v>
      </c>
      <c r="AZ764">
        <v>1.4</v>
      </c>
      <c r="BD764">
        <v>2</v>
      </c>
      <c r="BV764" s="8">
        <v>3</v>
      </c>
      <c r="BW764" s="8">
        <v>40</v>
      </c>
      <c r="BX764" s="8">
        <v>1</v>
      </c>
      <c r="BY764" s="8" t="s">
        <v>3344</v>
      </c>
      <c r="CB764" t="s">
        <v>4997</v>
      </c>
      <c r="CG764" t="s">
        <v>3410</v>
      </c>
      <c r="CH764" t="s">
        <v>4008</v>
      </c>
      <c r="DI764">
        <v>1</v>
      </c>
    </row>
    <row r="765" spans="1:113" x14ac:dyDescent="0.25">
      <c r="A765" t="s">
        <v>4998</v>
      </c>
      <c r="C765" t="s">
        <v>3326</v>
      </c>
      <c r="J765" s="5" t="s">
        <v>3342</v>
      </c>
      <c r="K765"/>
      <c r="AC765">
        <v>1</v>
      </c>
      <c r="AO765" t="s">
        <v>3491</v>
      </c>
      <c r="AV765">
        <v>99</v>
      </c>
      <c r="AX765" t="s">
        <v>3419</v>
      </c>
      <c r="AZ765">
        <v>1.4</v>
      </c>
      <c r="BD765">
        <v>4</v>
      </c>
      <c r="BV765" s="8">
        <v>36</v>
      </c>
      <c r="BW765" s="8">
        <v>40</v>
      </c>
      <c r="BX765" s="8">
        <v>1</v>
      </c>
      <c r="BY765" s="8" t="s">
        <v>3344</v>
      </c>
      <c r="CB765" t="s">
        <v>4997</v>
      </c>
      <c r="CG765" t="s">
        <v>3410</v>
      </c>
      <c r="CH765" t="s">
        <v>4008</v>
      </c>
      <c r="DI765">
        <v>1</v>
      </c>
    </row>
    <row r="766" spans="1:113" x14ac:dyDescent="0.25">
      <c r="A766" t="s">
        <v>4999</v>
      </c>
      <c r="C766" t="s">
        <v>3326</v>
      </c>
      <c r="J766" s="5" t="s">
        <v>3342</v>
      </c>
      <c r="K766"/>
      <c r="AC766">
        <v>1</v>
      </c>
      <c r="AO766" t="s">
        <v>3491</v>
      </c>
      <c r="AV766">
        <v>99</v>
      </c>
      <c r="AX766" t="s">
        <v>3419</v>
      </c>
      <c r="AZ766">
        <v>1.4</v>
      </c>
      <c r="BD766">
        <v>8</v>
      </c>
      <c r="BV766" s="8">
        <v>27</v>
      </c>
      <c r="BW766" s="8">
        <v>40</v>
      </c>
      <c r="BX766" s="8">
        <v>1</v>
      </c>
      <c r="BY766" s="8" t="s">
        <v>3344</v>
      </c>
      <c r="CB766" t="s">
        <v>4997</v>
      </c>
      <c r="CG766" t="s">
        <v>3410</v>
      </c>
      <c r="CH766" t="s">
        <v>4008</v>
      </c>
      <c r="DI766">
        <v>1</v>
      </c>
    </row>
    <row r="767" spans="1:113" x14ac:dyDescent="0.25">
      <c r="A767" t="s">
        <v>5000</v>
      </c>
      <c r="C767" t="s">
        <v>4782</v>
      </c>
      <c r="J767" t="s">
        <v>3342</v>
      </c>
      <c r="AC767">
        <v>2</v>
      </c>
      <c r="AG767" t="s">
        <v>3316</v>
      </c>
      <c r="AN767">
        <v>1</v>
      </c>
      <c r="AY767" s="5"/>
      <c r="BD767">
        <v>1</v>
      </c>
      <c r="BV767">
        <v>-10</v>
      </c>
      <c r="BW767">
        <v>40</v>
      </c>
      <c r="BX767">
        <v>1</v>
      </c>
      <c r="BY767" t="s">
        <v>3344</v>
      </c>
      <c r="BZ767"/>
      <c r="CA767"/>
      <c r="CB767" s="5" t="s">
        <v>5001</v>
      </c>
      <c r="CC767" s="5"/>
      <c r="CD767" s="5"/>
      <c r="CE767" s="5"/>
      <c r="CF767" s="5"/>
      <c r="CG767" t="s">
        <v>3410</v>
      </c>
      <c r="CH767" s="5"/>
      <c r="CI767" s="5"/>
      <c r="CJ767" s="5"/>
      <c r="CK767" s="5"/>
      <c r="CL767" s="5"/>
      <c r="CM767" s="5"/>
      <c r="CU767" t="s">
        <v>5002</v>
      </c>
    </row>
    <row r="768" spans="1:113" x14ac:dyDescent="0.25">
      <c r="A768" t="s">
        <v>5003</v>
      </c>
      <c r="C768" t="s">
        <v>4782</v>
      </c>
      <c r="J768" t="s">
        <v>3342</v>
      </c>
      <c r="AC768">
        <v>2</v>
      </c>
      <c r="AG768" t="s">
        <v>3316</v>
      </c>
      <c r="AN768">
        <v>1</v>
      </c>
      <c r="AY768" s="5"/>
      <c r="BD768">
        <v>1</v>
      </c>
      <c r="BV768">
        <v>25</v>
      </c>
      <c r="BW768">
        <v>35</v>
      </c>
      <c r="BX768">
        <v>1</v>
      </c>
      <c r="BY768" t="s">
        <v>3344</v>
      </c>
      <c r="BZ768"/>
      <c r="CA768"/>
      <c r="CB768" s="5" t="s">
        <v>5001</v>
      </c>
      <c r="CC768" s="5"/>
      <c r="CD768" s="5"/>
      <c r="CE768" s="5"/>
      <c r="CF768" s="5"/>
      <c r="CG768" t="s">
        <v>3410</v>
      </c>
      <c r="CH768" s="5"/>
      <c r="CI768" s="5"/>
      <c r="CJ768" s="5"/>
      <c r="CK768" s="5"/>
      <c r="CL768" s="5"/>
      <c r="CM768" s="5"/>
      <c r="CU768" t="s">
        <v>5002</v>
      </c>
    </row>
    <row r="769" spans="1:103" x14ac:dyDescent="0.25">
      <c r="A769" t="s">
        <v>5004</v>
      </c>
      <c r="C769" t="s">
        <v>4782</v>
      </c>
      <c r="J769" t="s">
        <v>3342</v>
      </c>
      <c r="AC769">
        <v>2</v>
      </c>
      <c r="AG769" t="s">
        <v>3316</v>
      </c>
      <c r="AN769">
        <v>1</v>
      </c>
      <c r="AY769" s="5"/>
      <c r="BD769">
        <v>1</v>
      </c>
      <c r="BV769">
        <v>3</v>
      </c>
      <c r="BW769">
        <v>18</v>
      </c>
      <c r="BX769">
        <v>1</v>
      </c>
      <c r="BY769" t="s">
        <v>3344</v>
      </c>
      <c r="BZ769"/>
      <c r="CA769"/>
      <c r="CB769" s="5" t="s">
        <v>5001</v>
      </c>
      <c r="CC769" s="5"/>
      <c r="CD769" s="5"/>
      <c r="CE769" s="5"/>
      <c r="CF769" s="5"/>
      <c r="CG769" t="s">
        <v>3410</v>
      </c>
      <c r="CH769" s="5"/>
      <c r="CI769" s="5"/>
      <c r="CJ769" s="5"/>
      <c r="CK769" s="5"/>
      <c r="CL769" s="5"/>
      <c r="CM769" s="5"/>
      <c r="CU769" t="s">
        <v>5002</v>
      </c>
    </row>
    <row r="770" spans="1:103" x14ac:dyDescent="0.25">
      <c r="A770" t="s">
        <v>5005</v>
      </c>
      <c r="C770" t="s">
        <v>5006</v>
      </c>
      <c r="J770" t="s">
        <v>3342</v>
      </c>
      <c r="AC770">
        <v>2</v>
      </c>
      <c r="AG770" t="s">
        <v>3316</v>
      </c>
      <c r="AY770" s="5"/>
      <c r="BD770">
        <v>1</v>
      </c>
      <c r="BV770">
        <v>-100</v>
      </c>
      <c r="BW770">
        <v>100</v>
      </c>
      <c r="BX770">
        <v>1</v>
      </c>
      <c r="BY770" t="s">
        <v>3344</v>
      </c>
      <c r="BZ770"/>
      <c r="CA770"/>
      <c r="CB770" s="5" t="s">
        <v>5007</v>
      </c>
      <c r="CC770" s="5"/>
      <c r="CD770" s="5"/>
      <c r="CE770" s="5"/>
      <c r="CF770" s="5"/>
      <c r="CG770" t="s">
        <v>3410</v>
      </c>
      <c r="CH770" s="5"/>
      <c r="CI770" s="5"/>
      <c r="CJ770" s="5"/>
      <c r="CK770" s="5"/>
      <c r="CL770" s="5"/>
      <c r="CM770" s="5"/>
      <c r="CU770" t="s">
        <v>5008</v>
      </c>
    </row>
    <row r="771" spans="1:103" x14ac:dyDescent="0.25">
      <c r="A771" t="s">
        <v>5009</v>
      </c>
      <c r="C771" t="s">
        <v>3147</v>
      </c>
      <c r="J771" t="s">
        <v>3342</v>
      </c>
      <c r="P771" t="s">
        <v>5010</v>
      </c>
      <c r="AC771">
        <v>2</v>
      </c>
      <c r="AG771" t="s">
        <v>3316</v>
      </c>
      <c r="AY771" s="5"/>
      <c r="BD771">
        <v>1</v>
      </c>
      <c r="BO771" s="7" t="s">
        <v>5011</v>
      </c>
      <c r="BV771">
        <v>0</v>
      </c>
      <c r="BW771">
        <v>200</v>
      </c>
      <c r="BX771">
        <v>1</v>
      </c>
      <c r="BY771" t="s">
        <v>3344</v>
      </c>
      <c r="BZ771"/>
      <c r="CA771"/>
      <c r="CB771" s="5"/>
      <c r="CC771" s="5"/>
      <c r="CD771" s="5"/>
      <c r="CE771" s="5"/>
      <c r="CF771" s="5"/>
      <c r="CH771" s="5"/>
      <c r="CI771" s="5"/>
      <c r="CJ771" s="5"/>
      <c r="CK771" s="5"/>
      <c r="CL771" s="5"/>
      <c r="CN771" s="9" t="s">
        <v>5010</v>
      </c>
      <c r="CO771">
        <v>0.3</v>
      </c>
      <c r="CR771">
        <v>9999</v>
      </c>
      <c r="CU771" t="s">
        <v>5012</v>
      </c>
    </row>
    <row r="772" spans="1:103" x14ac:dyDescent="0.25">
      <c r="A772" t="s">
        <v>5011</v>
      </c>
      <c r="C772" t="s">
        <v>3147</v>
      </c>
      <c r="P772" t="s">
        <v>5010</v>
      </c>
      <c r="T772" s="5">
        <v>0.33</v>
      </c>
      <c r="U772"/>
      <c r="AC772">
        <v>2</v>
      </c>
      <c r="AG772" t="s">
        <v>3316</v>
      </c>
      <c r="AY772" s="5"/>
      <c r="BD772">
        <v>1</v>
      </c>
      <c r="BV772"/>
      <c r="BW772"/>
      <c r="BX772"/>
      <c r="BY772"/>
      <c r="BZ772"/>
      <c r="CA772"/>
      <c r="CB772" s="5"/>
      <c r="CC772" s="5"/>
      <c r="CD772" s="5"/>
      <c r="CE772" s="5"/>
      <c r="CF772" s="5"/>
      <c r="CH772" s="5"/>
      <c r="CI772" s="5"/>
      <c r="CJ772" s="5"/>
      <c r="CK772" s="5"/>
      <c r="CL772" s="5"/>
      <c r="CN772" s="9" t="s">
        <v>5010</v>
      </c>
      <c r="CO772">
        <v>0.3</v>
      </c>
      <c r="CR772">
        <v>9999</v>
      </c>
      <c r="CU772" t="s">
        <v>5012</v>
      </c>
    </row>
    <row r="773" spans="1:103" x14ac:dyDescent="0.25">
      <c r="A773" t="s">
        <v>5013</v>
      </c>
      <c r="C773" t="s">
        <v>3147</v>
      </c>
      <c r="J773" t="s">
        <v>3342</v>
      </c>
      <c r="P773" t="s">
        <v>5014</v>
      </c>
      <c r="AC773">
        <v>2</v>
      </c>
      <c r="AG773" t="s">
        <v>3316</v>
      </c>
      <c r="AY773" s="5"/>
      <c r="BD773">
        <v>1</v>
      </c>
      <c r="BO773" s="7" t="s">
        <v>5015</v>
      </c>
      <c r="BV773">
        <v>0</v>
      </c>
      <c r="BW773">
        <v>75</v>
      </c>
      <c r="BX773">
        <v>1</v>
      </c>
      <c r="BY773" t="s">
        <v>3344</v>
      </c>
      <c r="BZ773"/>
      <c r="CA773"/>
      <c r="CB773" s="5"/>
      <c r="CC773" s="5"/>
      <c r="CD773" s="5"/>
      <c r="CE773" s="5"/>
      <c r="CF773" s="5"/>
      <c r="CH773" s="5"/>
      <c r="CI773" s="5"/>
      <c r="CJ773" s="5"/>
      <c r="CK773" s="5"/>
      <c r="CL773" s="5"/>
      <c r="CM773" s="5"/>
      <c r="CN773" s="9" t="s">
        <v>5014</v>
      </c>
      <c r="CO773">
        <v>0.4</v>
      </c>
      <c r="CR773">
        <v>9999</v>
      </c>
      <c r="CU773" t="s">
        <v>5016</v>
      </c>
    </row>
    <row r="774" spans="1:103" x14ac:dyDescent="0.25">
      <c r="A774" t="s">
        <v>5015</v>
      </c>
      <c r="C774" t="s">
        <v>3147</v>
      </c>
      <c r="P774" t="s">
        <v>5014</v>
      </c>
      <c r="T774" s="5">
        <v>0.67</v>
      </c>
      <c r="AC774">
        <v>2</v>
      </c>
      <c r="AG774" t="s">
        <v>3316</v>
      </c>
      <c r="AY774" s="5"/>
      <c r="BD774">
        <v>1</v>
      </c>
      <c r="BV774"/>
      <c r="BW774"/>
      <c r="BX774"/>
      <c r="BY774"/>
      <c r="BZ774"/>
      <c r="CA774"/>
      <c r="CB774" s="5"/>
      <c r="CC774" s="5"/>
      <c r="CD774" s="5"/>
      <c r="CE774" s="5"/>
      <c r="CF774" s="5"/>
      <c r="CH774" s="5"/>
      <c r="CI774" s="5"/>
      <c r="CJ774" s="5"/>
      <c r="CK774" s="5"/>
      <c r="CL774" s="5"/>
      <c r="CM774" s="5"/>
      <c r="CN774" s="9" t="s">
        <v>5014</v>
      </c>
      <c r="CO774">
        <v>0.4</v>
      </c>
      <c r="CR774">
        <v>9999</v>
      </c>
      <c r="CU774" t="s">
        <v>5016</v>
      </c>
    </row>
    <row r="775" spans="1:103" x14ac:dyDescent="0.25">
      <c r="P775"/>
      <c r="AY775" s="5"/>
      <c r="BV775"/>
      <c r="BW775"/>
      <c r="BX775"/>
      <c r="BY775"/>
      <c r="BZ775"/>
      <c r="CA775"/>
      <c r="CB775" s="5"/>
      <c r="CC775" s="5"/>
      <c r="CD775" s="5"/>
      <c r="CE775" s="5"/>
      <c r="CF775" s="5"/>
      <c r="CH775" s="5"/>
      <c r="CI775" s="5"/>
      <c r="CJ775" s="5"/>
      <c r="CK775" s="5"/>
      <c r="CL775" s="5"/>
      <c r="CM775" s="5"/>
    </row>
    <row r="776" spans="1:103" x14ac:dyDescent="0.25">
      <c r="A776" t="s">
        <v>5017</v>
      </c>
      <c r="C776" t="s">
        <v>3416</v>
      </c>
      <c r="AC776">
        <v>1</v>
      </c>
      <c r="AN776">
        <v>1</v>
      </c>
      <c r="AO776" t="s">
        <v>4749</v>
      </c>
      <c r="AV776">
        <v>0</v>
      </c>
      <c r="AX776" t="s">
        <v>3419</v>
      </c>
      <c r="AZ776">
        <v>1</v>
      </c>
      <c r="BD776">
        <v>1</v>
      </c>
      <c r="CB776" t="s">
        <v>3459</v>
      </c>
      <c r="CG776" t="s">
        <v>3410</v>
      </c>
    </row>
    <row r="777" spans="1:103" x14ac:dyDescent="0.25">
      <c r="A777" t="s">
        <v>5018</v>
      </c>
      <c r="C777" t="s">
        <v>3326</v>
      </c>
      <c r="Z777">
        <v>1</v>
      </c>
      <c r="AC777">
        <v>1</v>
      </c>
      <c r="AJ777" t="s">
        <v>5019</v>
      </c>
      <c r="AN777">
        <v>1</v>
      </c>
      <c r="AO777" t="s">
        <v>4749</v>
      </c>
      <c r="AP777" t="s">
        <v>4750</v>
      </c>
      <c r="AQ777" t="s">
        <v>5020</v>
      </c>
      <c r="AV777">
        <v>1.2</v>
      </c>
      <c r="AX777" t="s">
        <v>3419</v>
      </c>
      <c r="AY777" s="5"/>
      <c r="AZ777">
        <v>1</v>
      </c>
      <c r="BD777">
        <v>1</v>
      </c>
      <c r="BV777"/>
      <c r="BW777"/>
      <c r="BX777"/>
      <c r="BY777"/>
      <c r="BZ777"/>
      <c r="CA777"/>
      <c r="CB777" s="5" t="s">
        <v>136</v>
      </c>
      <c r="CC777" s="5"/>
      <c r="CD777" s="5"/>
      <c r="CE777" s="5"/>
      <c r="CF777" s="5"/>
      <c r="CG777" t="s">
        <v>3410</v>
      </c>
      <c r="CH777" t="s">
        <v>3465</v>
      </c>
      <c r="CI777" s="5" t="s">
        <v>3412</v>
      </c>
      <c r="CJ777" s="5"/>
      <c r="CK777" s="5"/>
      <c r="CL777" s="5"/>
      <c r="CM777" s="5"/>
    </row>
    <row r="778" spans="1:103" x14ac:dyDescent="0.25">
      <c r="A778" t="s">
        <v>5021</v>
      </c>
      <c r="C778" t="s">
        <v>3326</v>
      </c>
      <c r="AC778">
        <v>1</v>
      </c>
      <c r="AN778">
        <v>1</v>
      </c>
      <c r="AO778" t="s">
        <v>4749</v>
      </c>
      <c r="AP778" t="s">
        <v>4750</v>
      </c>
      <c r="AQ778" t="s">
        <v>5020</v>
      </c>
      <c r="AV778">
        <v>2.4</v>
      </c>
      <c r="AX778" t="s">
        <v>3419</v>
      </c>
      <c r="AZ778">
        <v>1</v>
      </c>
      <c r="BD778">
        <v>1</v>
      </c>
      <c r="CB778" t="s">
        <v>136</v>
      </c>
      <c r="CG778" t="s">
        <v>3410</v>
      </c>
      <c r="CH778" t="s">
        <v>3426</v>
      </c>
      <c r="CI778" t="s">
        <v>3412</v>
      </c>
    </row>
    <row r="779" spans="1:103" x14ac:dyDescent="0.25">
      <c r="A779" t="s">
        <v>1882</v>
      </c>
      <c r="C779" t="s">
        <v>3326</v>
      </c>
      <c r="AC779">
        <v>1</v>
      </c>
      <c r="AN779">
        <v>1</v>
      </c>
      <c r="AO779" t="s">
        <v>4749</v>
      </c>
      <c r="AP779" t="s">
        <v>4750</v>
      </c>
      <c r="AQ779" t="s">
        <v>5020</v>
      </c>
      <c r="AV779">
        <v>2.2000000000000002</v>
      </c>
      <c r="AX779" t="s">
        <v>3432</v>
      </c>
      <c r="AZ779">
        <v>1</v>
      </c>
      <c r="BD779">
        <v>1</v>
      </c>
      <c r="CB779" t="s">
        <v>136</v>
      </c>
      <c r="CG779" t="s">
        <v>3410</v>
      </c>
      <c r="CH779" t="s">
        <v>3433</v>
      </c>
      <c r="CI779" t="s">
        <v>3412</v>
      </c>
    </row>
    <row r="780" spans="1:103" x14ac:dyDescent="0.25">
      <c r="A780" t="s">
        <v>1899</v>
      </c>
      <c r="C780" t="s">
        <v>3326</v>
      </c>
      <c r="AC780">
        <v>1</v>
      </c>
      <c r="AN780">
        <v>1</v>
      </c>
      <c r="AO780" t="s">
        <v>4749</v>
      </c>
      <c r="AP780" t="s">
        <v>4750</v>
      </c>
      <c r="AV780">
        <v>2</v>
      </c>
      <c r="AX780" t="s">
        <v>3419</v>
      </c>
      <c r="AZ780">
        <v>1</v>
      </c>
      <c r="BD780">
        <v>1</v>
      </c>
      <c r="BJ780">
        <v>1.2</v>
      </c>
      <c r="BK780">
        <v>1</v>
      </c>
      <c r="BL780">
        <v>1</v>
      </c>
      <c r="CB780" t="s">
        <v>136</v>
      </c>
      <c r="CG780" t="s">
        <v>3410</v>
      </c>
      <c r="CH780" t="s">
        <v>5022</v>
      </c>
      <c r="CI780" t="s">
        <v>3412</v>
      </c>
      <c r="CY780" t="s">
        <v>4992</v>
      </c>
    </row>
    <row r="781" spans="1:103" x14ac:dyDescent="0.25">
      <c r="A781" t="s">
        <v>5023</v>
      </c>
      <c r="C781" t="s">
        <v>3326</v>
      </c>
      <c r="AC781">
        <v>1</v>
      </c>
      <c r="AN781">
        <v>1</v>
      </c>
      <c r="AO781" t="s">
        <v>4749</v>
      </c>
      <c r="AQ781" t="s">
        <v>5020</v>
      </c>
      <c r="AV781">
        <v>1.5</v>
      </c>
      <c r="AX781" t="s">
        <v>3419</v>
      </c>
      <c r="AZ781">
        <v>0.5</v>
      </c>
      <c r="BD781">
        <v>1</v>
      </c>
      <c r="CB781" t="s">
        <v>3629</v>
      </c>
      <c r="CG781" t="s">
        <v>3410</v>
      </c>
      <c r="CH781" t="s">
        <v>3426</v>
      </c>
      <c r="CI781" t="s">
        <v>3412</v>
      </c>
    </row>
    <row r="782" spans="1:103" x14ac:dyDescent="0.25">
      <c r="A782" t="s">
        <v>5024</v>
      </c>
      <c r="C782" t="s">
        <v>3416</v>
      </c>
      <c r="AC782">
        <v>1</v>
      </c>
      <c r="AN782">
        <v>1</v>
      </c>
      <c r="AO782" t="s">
        <v>4749</v>
      </c>
      <c r="AV782">
        <v>0</v>
      </c>
      <c r="AX782" t="s">
        <v>3419</v>
      </c>
      <c r="AZ782">
        <v>1</v>
      </c>
      <c r="BD782">
        <v>1</v>
      </c>
      <c r="CB782" t="s">
        <v>5025</v>
      </c>
      <c r="CG782" t="s">
        <v>3410</v>
      </c>
    </row>
    <row r="783" spans="1:103" x14ac:dyDescent="0.25">
      <c r="A783" t="s">
        <v>5026</v>
      </c>
      <c r="C783" t="s">
        <v>3326</v>
      </c>
      <c r="U783" s="5">
        <v>0.5</v>
      </c>
      <c r="AC783">
        <v>2</v>
      </c>
      <c r="AG783" t="s">
        <v>3316</v>
      </c>
      <c r="AN783">
        <v>1</v>
      </c>
      <c r="BD783">
        <v>1</v>
      </c>
      <c r="CN783" s="9" t="s">
        <v>3345</v>
      </c>
      <c r="CO783">
        <v>1</v>
      </c>
      <c r="CR783">
        <v>9999</v>
      </c>
    </row>
    <row r="784" spans="1:103" x14ac:dyDescent="0.25">
      <c r="A784" t="s">
        <v>1917</v>
      </c>
      <c r="C784" t="s">
        <v>3326</v>
      </c>
      <c r="AC784">
        <v>1</v>
      </c>
      <c r="AN784">
        <v>1</v>
      </c>
      <c r="AO784" t="s">
        <v>4749</v>
      </c>
      <c r="AP784" t="s">
        <v>4750</v>
      </c>
      <c r="AV784">
        <v>1.6</v>
      </c>
      <c r="AX784" t="s">
        <v>3419</v>
      </c>
      <c r="AZ784">
        <v>1</v>
      </c>
      <c r="BC784">
        <v>1.5</v>
      </c>
      <c r="BD784">
        <v>3</v>
      </c>
      <c r="CB784" t="s">
        <v>136</v>
      </c>
      <c r="CG784" t="s">
        <v>3410</v>
      </c>
    </row>
    <row r="786" spans="1:109" x14ac:dyDescent="0.25">
      <c r="A786" t="s">
        <v>5027</v>
      </c>
      <c r="C786" t="s">
        <v>3326</v>
      </c>
      <c r="AC786">
        <v>1</v>
      </c>
      <c r="AN786">
        <v>1</v>
      </c>
      <c r="AO786" t="s">
        <v>4749</v>
      </c>
      <c r="AP786" t="s">
        <v>4750</v>
      </c>
      <c r="AV786">
        <v>2</v>
      </c>
      <c r="AX786" t="s">
        <v>3419</v>
      </c>
      <c r="AZ786">
        <v>1</v>
      </c>
      <c r="BD786">
        <v>1</v>
      </c>
      <c r="CB786" t="s">
        <v>136</v>
      </c>
      <c r="CG786" t="s">
        <v>3410</v>
      </c>
      <c r="CH786" t="s">
        <v>3426</v>
      </c>
      <c r="CI786" t="s">
        <v>3412</v>
      </c>
    </row>
    <row r="787" spans="1:109" x14ac:dyDescent="0.25">
      <c r="A787" t="s">
        <v>5028</v>
      </c>
      <c r="C787" t="s">
        <v>5029</v>
      </c>
      <c r="J787" t="s">
        <v>3342</v>
      </c>
      <c r="AC787">
        <v>2</v>
      </c>
      <c r="AG787" t="s">
        <v>3316</v>
      </c>
      <c r="AH787">
        <v>1</v>
      </c>
      <c r="AY787" s="5"/>
      <c r="BD787">
        <v>1</v>
      </c>
      <c r="BV787">
        <v>0</v>
      </c>
      <c r="BW787">
        <v>5</v>
      </c>
      <c r="BX787">
        <v>1</v>
      </c>
      <c r="BY787" t="s">
        <v>3344</v>
      </c>
      <c r="BZ787"/>
      <c r="CA787"/>
      <c r="CB787" s="5" t="s">
        <v>627</v>
      </c>
      <c r="CC787" s="5"/>
      <c r="CD787" s="5"/>
      <c r="CE787" s="5"/>
      <c r="CF787" s="5"/>
      <c r="CG787" t="s">
        <v>3410</v>
      </c>
      <c r="CH787" s="5"/>
      <c r="CI787" s="5"/>
      <c r="CJ787" s="5"/>
      <c r="CK787" s="5"/>
      <c r="CL787" s="5"/>
      <c r="CM787" s="5"/>
      <c r="CU787" t="s">
        <v>5030</v>
      </c>
    </row>
    <row r="788" spans="1:109" x14ac:dyDescent="0.25">
      <c r="A788" t="s">
        <v>5031</v>
      </c>
      <c r="C788" t="s">
        <v>5029</v>
      </c>
      <c r="J788" t="s">
        <v>3342</v>
      </c>
      <c r="AC788">
        <v>2</v>
      </c>
      <c r="AG788" t="s">
        <v>3316</v>
      </c>
      <c r="AH788">
        <v>1</v>
      </c>
      <c r="AY788" s="5"/>
      <c r="BD788">
        <v>1</v>
      </c>
      <c r="BV788">
        <v>0</v>
      </c>
      <c r="BW788">
        <v>5</v>
      </c>
      <c r="BX788">
        <v>1</v>
      </c>
      <c r="BY788" t="s">
        <v>3344</v>
      </c>
      <c r="BZ788"/>
      <c r="CA788"/>
      <c r="CB788" s="5" t="s">
        <v>627</v>
      </c>
      <c r="CC788" s="5"/>
      <c r="CD788" s="5"/>
      <c r="CE788" s="5"/>
      <c r="CF788" s="5"/>
      <c r="CG788" t="s">
        <v>3410</v>
      </c>
      <c r="CH788" s="5"/>
      <c r="CI788" s="5"/>
      <c r="CJ788" s="5"/>
      <c r="CK788" s="5"/>
      <c r="CL788" s="5"/>
      <c r="CM788" s="5"/>
      <c r="CU788" t="s">
        <v>5032</v>
      </c>
    </row>
    <row r="789" spans="1:109" x14ac:dyDescent="0.25">
      <c r="A789" t="s">
        <v>5033</v>
      </c>
      <c r="C789" t="s">
        <v>5029</v>
      </c>
      <c r="K789" s="5" t="s">
        <v>3314</v>
      </c>
      <c r="L789" s="5" t="s">
        <v>3671</v>
      </c>
      <c r="AC789">
        <v>2</v>
      </c>
      <c r="AF789">
        <v>1</v>
      </c>
      <c r="AG789" t="s">
        <v>3316</v>
      </c>
      <c r="AH789">
        <v>1</v>
      </c>
      <c r="AY789" s="5"/>
      <c r="BD789">
        <v>1</v>
      </c>
      <c r="BV789"/>
      <c r="BW789"/>
      <c r="BX789"/>
      <c r="BY789"/>
      <c r="BZ789"/>
      <c r="CA789"/>
      <c r="CB789" s="5"/>
      <c r="CC789" s="5"/>
      <c r="CD789" s="5"/>
      <c r="CE789" s="5"/>
      <c r="CF789" s="5"/>
      <c r="CH789" s="5"/>
      <c r="CI789" s="5"/>
      <c r="CJ789" s="5"/>
      <c r="CK789" s="5"/>
      <c r="CL789" s="5"/>
      <c r="CM789" s="5"/>
      <c r="CU789" t="s">
        <v>5034</v>
      </c>
      <c r="DE789">
        <v>1</v>
      </c>
    </row>
    <row r="790" spans="1:109" x14ac:dyDescent="0.25">
      <c r="A790" t="s">
        <v>5035</v>
      </c>
      <c r="C790" t="s">
        <v>5029</v>
      </c>
      <c r="K790" s="5" t="s">
        <v>3314</v>
      </c>
      <c r="L790" s="5" t="s">
        <v>3671</v>
      </c>
      <c r="AC790">
        <v>2</v>
      </c>
      <c r="AF790">
        <v>1</v>
      </c>
      <c r="AG790" t="s">
        <v>3316</v>
      </c>
      <c r="AH790">
        <v>1</v>
      </c>
      <c r="AY790" s="5"/>
      <c r="BD790">
        <v>1</v>
      </c>
      <c r="BV790"/>
      <c r="BW790"/>
      <c r="BX790"/>
      <c r="BY790"/>
      <c r="BZ790"/>
      <c r="CA790"/>
      <c r="CB790" s="5"/>
      <c r="CC790" s="5"/>
      <c r="CD790" s="5"/>
      <c r="CE790" s="5"/>
      <c r="CF790" s="5"/>
      <c r="CH790" s="5"/>
      <c r="CI790" s="5"/>
      <c r="CJ790" s="5"/>
      <c r="CK790" s="5"/>
      <c r="CL790" s="5"/>
      <c r="CM790" s="5"/>
      <c r="CU790" t="s">
        <v>5036</v>
      </c>
      <c r="DE790">
        <v>1</v>
      </c>
    </row>
    <row r="791" spans="1:109" x14ac:dyDescent="0.25">
      <c r="A791" t="s">
        <v>5037</v>
      </c>
      <c r="C791" t="s">
        <v>5029</v>
      </c>
      <c r="K791" s="5" t="s">
        <v>3314</v>
      </c>
      <c r="L791" s="5" t="s">
        <v>3671</v>
      </c>
      <c r="AC791">
        <v>2</v>
      </c>
      <c r="AF791">
        <v>1</v>
      </c>
      <c r="AG791" t="s">
        <v>3316</v>
      </c>
      <c r="AH791">
        <v>1</v>
      </c>
      <c r="AY791" s="5"/>
      <c r="BD791">
        <v>1</v>
      </c>
      <c r="BV791"/>
      <c r="BW791"/>
      <c r="BX791"/>
      <c r="BY791"/>
      <c r="BZ791"/>
      <c r="CA791"/>
      <c r="CB791" s="5"/>
      <c r="CC791" s="5"/>
      <c r="CD791" s="5"/>
      <c r="CE791" s="5"/>
      <c r="CF791" s="5"/>
      <c r="CH791" s="5"/>
      <c r="CI791" s="5"/>
      <c r="CJ791" s="5"/>
      <c r="CK791" s="5"/>
      <c r="CL791" s="5"/>
      <c r="CM791" s="5"/>
      <c r="CU791" t="s">
        <v>5038</v>
      </c>
      <c r="DE791">
        <v>1</v>
      </c>
    </row>
    <row r="792" spans="1:109" x14ac:dyDescent="0.25">
      <c r="A792" t="s">
        <v>5039</v>
      </c>
      <c r="C792" t="s">
        <v>5029</v>
      </c>
      <c r="K792" s="5" t="s">
        <v>3314</v>
      </c>
      <c r="L792" s="5" t="s">
        <v>3671</v>
      </c>
      <c r="AC792">
        <v>2</v>
      </c>
      <c r="AF792">
        <v>1</v>
      </c>
      <c r="AG792" t="s">
        <v>3316</v>
      </c>
      <c r="AH792">
        <v>1</v>
      </c>
      <c r="AY792" s="5"/>
      <c r="BD792">
        <v>1</v>
      </c>
      <c r="BV792"/>
      <c r="BW792"/>
      <c r="BX792"/>
      <c r="BY792"/>
      <c r="BZ792"/>
      <c r="CA792"/>
      <c r="CB792" s="5"/>
      <c r="CC792" s="5"/>
      <c r="CD792" s="5"/>
      <c r="CE792" s="5"/>
      <c r="CF792" s="5"/>
      <c r="CH792" s="5"/>
      <c r="CI792" s="5"/>
      <c r="CJ792" s="5"/>
      <c r="CK792" s="5"/>
      <c r="CL792" s="5"/>
      <c r="CM792" s="5"/>
      <c r="CU792" t="s">
        <v>5040</v>
      </c>
      <c r="DE792">
        <v>1</v>
      </c>
    </row>
    <row r="793" spans="1:109" x14ac:dyDescent="0.25">
      <c r="A793" t="s">
        <v>5041</v>
      </c>
      <c r="C793" t="s">
        <v>5029</v>
      </c>
      <c r="K793" s="5" t="s">
        <v>3314</v>
      </c>
      <c r="L793" s="5" t="s">
        <v>3671</v>
      </c>
      <c r="AC793">
        <v>2</v>
      </c>
      <c r="AF793">
        <v>1</v>
      </c>
      <c r="AG793" t="s">
        <v>3316</v>
      </c>
      <c r="AH793">
        <v>1</v>
      </c>
      <c r="AY793" s="5"/>
      <c r="BD793">
        <v>1</v>
      </c>
      <c r="BV793"/>
      <c r="BW793"/>
      <c r="BX793"/>
      <c r="BY793"/>
      <c r="BZ793"/>
      <c r="CA793"/>
      <c r="CB793" s="5"/>
      <c r="CC793" s="5"/>
      <c r="CD793" s="5"/>
      <c r="CE793" s="5"/>
      <c r="CF793" s="5"/>
      <c r="CH793" s="5"/>
      <c r="CI793" s="5"/>
      <c r="CJ793" s="5"/>
      <c r="CK793" s="5"/>
      <c r="CL793" s="5"/>
      <c r="CM793" s="5"/>
      <c r="CU793" t="s">
        <v>5042</v>
      </c>
      <c r="DE793">
        <v>1</v>
      </c>
    </row>
    <row r="794" spans="1:109" x14ac:dyDescent="0.25">
      <c r="A794" t="s">
        <v>5043</v>
      </c>
      <c r="C794" t="s">
        <v>5029</v>
      </c>
      <c r="K794" s="5" t="s">
        <v>3314</v>
      </c>
      <c r="L794" s="5" t="s">
        <v>3671</v>
      </c>
      <c r="AC794">
        <v>2</v>
      </c>
      <c r="AF794">
        <v>1</v>
      </c>
      <c r="AG794" t="s">
        <v>3316</v>
      </c>
      <c r="AH794">
        <v>1</v>
      </c>
      <c r="AY794" s="5"/>
      <c r="BD794">
        <v>1</v>
      </c>
      <c r="BV794"/>
      <c r="BW794"/>
      <c r="BX794"/>
      <c r="BY794"/>
      <c r="BZ794"/>
      <c r="CA794"/>
      <c r="CB794" s="5"/>
      <c r="CC794" s="5"/>
      <c r="CD794" s="5"/>
      <c r="CE794" s="5"/>
      <c r="CF794" s="5"/>
      <c r="CH794" s="5"/>
      <c r="CI794" s="5"/>
      <c r="CJ794" s="5"/>
      <c r="CK794" s="5"/>
      <c r="CL794" s="5"/>
      <c r="CM794" s="5"/>
      <c r="CU794" t="s">
        <v>5044</v>
      </c>
      <c r="DE794">
        <v>1</v>
      </c>
    </row>
    <row r="795" spans="1:109" x14ac:dyDescent="0.25">
      <c r="A795" t="s">
        <v>5045</v>
      </c>
      <c r="C795" t="s">
        <v>3416</v>
      </c>
      <c r="AC795">
        <v>1</v>
      </c>
      <c r="AN795">
        <v>1</v>
      </c>
      <c r="AO795" t="s">
        <v>4749</v>
      </c>
      <c r="AV795">
        <v>0</v>
      </c>
      <c r="AX795" t="s">
        <v>3419</v>
      </c>
      <c r="BD795">
        <v>1</v>
      </c>
      <c r="BS795">
        <v>0.05</v>
      </c>
      <c r="CN795" s="9" t="s">
        <v>5046</v>
      </c>
      <c r="CO795">
        <v>-80</v>
      </c>
      <c r="CR795">
        <v>0.1</v>
      </c>
    </row>
    <row r="796" spans="1:109" x14ac:dyDescent="0.25">
      <c r="A796" t="s">
        <v>5047</v>
      </c>
      <c r="C796" t="s">
        <v>3326</v>
      </c>
      <c r="K796" s="5" t="s">
        <v>3314</v>
      </c>
      <c r="L796" s="5" t="s">
        <v>3414</v>
      </c>
      <c r="AC796">
        <v>2</v>
      </c>
      <c r="AF796">
        <v>1</v>
      </c>
      <c r="AG796" t="s">
        <v>3316</v>
      </c>
      <c r="AN796">
        <v>1</v>
      </c>
      <c r="AY796" s="5"/>
      <c r="BD796">
        <v>1</v>
      </c>
      <c r="BV796"/>
      <c r="BW796"/>
      <c r="BX796"/>
      <c r="BY796"/>
      <c r="BZ796"/>
      <c r="CA796"/>
      <c r="CB796" s="5"/>
      <c r="CC796" s="5"/>
      <c r="CD796" s="5"/>
      <c r="CE796" s="5"/>
      <c r="CF796" s="5"/>
      <c r="CH796" s="5"/>
      <c r="CI796" s="5"/>
      <c r="CJ796" s="5"/>
      <c r="CK796" s="5"/>
      <c r="CL796" s="5"/>
      <c r="CM796" s="5"/>
      <c r="CN796" s="9" t="s">
        <v>5048</v>
      </c>
      <c r="CO796">
        <v>99999</v>
      </c>
      <c r="CR796">
        <v>9999</v>
      </c>
    </row>
    <row r="798" spans="1:109" x14ac:dyDescent="0.25">
      <c r="A798" t="s">
        <v>5049</v>
      </c>
      <c r="C798" t="s">
        <v>3326</v>
      </c>
      <c r="AC798">
        <v>1</v>
      </c>
      <c r="AN798">
        <v>1</v>
      </c>
      <c r="AO798" t="s">
        <v>4749</v>
      </c>
      <c r="AV798">
        <v>2.5</v>
      </c>
      <c r="AX798" t="s">
        <v>3432</v>
      </c>
      <c r="AZ798">
        <v>0.4</v>
      </c>
      <c r="BD798">
        <v>1</v>
      </c>
      <c r="CB798" t="s">
        <v>4427</v>
      </c>
      <c r="CG798" t="s">
        <v>3410</v>
      </c>
      <c r="CN798" s="9" t="s">
        <v>5050</v>
      </c>
      <c r="CO798">
        <v>1</v>
      </c>
      <c r="CR798">
        <v>30.5</v>
      </c>
    </row>
    <row r="799" spans="1:109" x14ac:dyDescent="0.25">
      <c r="A799" t="s">
        <v>5051</v>
      </c>
      <c r="C799" t="s">
        <v>3416</v>
      </c>
      <c r="AC799">
        <v>1</v>
      </c>
      <c r="AN799">
        <v>1</v>
      </c>
      <c r="AO799" t="s">
        <v>4749</v>
      </c>
      <c r="AV799">
        <v>0</v>
      </c>
      <c r="AX799" t="s">
        <v>3987</v>
      </c>
      <c r="AZ799">
        <v>1</v>
      </c>
      <c r="BD799">
        <v>1</v>
      </c>
      <c r="CB799" t="s">
        <v>3629</v>
      </c>
      <c r="CG799" t="s">
        <v>3410</v>
      </c>
      <c r="CN799" s="9" t="s">
        <v>5050</v>
      </c>
      <c r="CO799">
        <v>1</v>
      </c>
      <c r="CR799">
        <v>30.5</v>
      </c>
    </row>
    <row r="800" spans="1:109" x14ac:dyDescent="0.25">
      <c r="A800" t="s">
        <v>5052</v>
      </c>
      <c r="C800" t="s">
        <v>3326</v>
      </c>
      <c r="J800" t="s">
        <v>3342</v>
      </c>
      <c r="Y800">
        <v>1</v>
      </c>
      <c r="AC800">
        <v>1</v>
      </c>
      <c r="AN800">
        <v>1</v>
      </c>
      <c r="AO800" t="s">
        <v>4749</v>
      </c>
      <c r="AV800">
        <v>2.5</v>
      </c>
      <c r="AX800" t="s">
        <v>3432</v>
      </c>
      <c r="AZ800">
        <v>1</v>
      </c>
      <c r="BD800">
        <v>99</v>
      </c>
      <c r="BT800">
        <v>0.2</v>
      </c>
      <c r="BV800" s="8">
        <v>0</v>
      </c>
      <c r="BW800" s="8">
        <v>40</v>
      </c>
      <c r="BX800" s="8">
        <v>1</v>
      </c>
      <c r="BY800" s="8" t="s">
        <v>3344</v>
      </c>
      <c r="CB800" t="s">
        <v>4357</v>
      </c>
      <c r="CG800" t="s">
        <v>3410</v>
      </c>
      <c r="CW800" t="s">
        <v>4724</v>
      </c>
    </row>
    <row r="801" spans="1:103" x14ac:dyDescent="0.25">
      <c r="A801" t="s">
        <v>5053</v>
      </c>
      <c r="C801" t="s">
        <v>3326</v>
      </c>
      <c r="J801" t="s">
        <v>3342</v>
      </c>
      <c r="Y801">
        <v>1</v>
      </c>
      <c r="AC801">
        <v>1</v>
      </c>
      <c r="AN801">
        <v>1</v>
      </c>
      <c r="AO801" t="s">
        <v>4749</v>
      </c>
      <c r="AV801">
        <v>2.5</v>
      </c>
      <c r="AX801" t="s">
        <v>3432</v>
      </c>
      <c r="AZ801">
        <v>1</v>
      </c>
      <c r="BD801">
        <v>99</v>
      </c>
      <c r="BT801">
        <v>0.2</v>
      </c>
      <c r="BV801" s="8">
        <v>0</v>
      </c>
      <c r="BW801" s="8">
        <v>15</v>
      </c>
      <c r="BX801" s="8">
        <v>1</v>
      </c>
      <c r="BY801" s="8" t="s">
        <v>3344</v>
      </c>
      <c r="CB801" t="s">
        <v>4357</v>
      </c>
      <c r="CG801" t="s">
        <v>3410</v>
      </c>
      <c r="CW801" t="s">
        <v>4724</v>
      </c>
    </row>
    <row r="802" spans="1:103" x14ac:dyDescent="0.25">
      <c r="A802" t="s">
        <v>5054</v>
      </c>
      <c r="C802" t="s">
        <v>3326</v>
      </c>
      <c r="J802" t="s">
        <v>3342</v>
      </c>
      <c r="R802" t="s">
        <v>5050</v>
      </c>
      <c r="AC802">
        <v>1</v>
      </c>
      <c r="AN802">
        <v>1</v>
      </c>
      <c r="AO802" t="s">
        <v>4749</v>
      </c>
      <c r="AV802">
        <v>99</v>
      </c>
      <c r="AY802" s="5"/>
      <c r="BD802">
        <v>1</v>
      </c>
      <c r="BT802">
        <v>0.2</v>
      </c>
      <c r="BV802">
        <v>0</v>
      </c>
      <c r="BW802">
        <v>19</v>
      </c>
      <c r="BX802">
        <v>1</v>
      </c>
      <c r="BY802" s="8" t="s">
        <v>3344</v>
      </c>
      <c r="BZ802"/>
      <c r="CA802"/>
      <c r="CB802" t="s">
        <v>4767</v>
      </c>
      <c r="CC802" s="5"/>
      <c r="CD802" s="5"/>
      <c r="CE802" s="5"/>
      <c r="CF802" s="5"/>
      <c r="CG802" t="s">
        <v>3410</v>
      </c>
      <c r="CI802" s="5"/>
      <c r="CJ802" s="5"/>
      <c r="CK802" s="5"/>
      <c r="CL802" s="5"/>
      <c r="CM802" s="5"/>
      <c r="CN802" s="9" t="s">
        <v>5050</v>
      </c>
      <c r="CO802">
        <v>1</v>
      </c>
      <c r="CR802">
        <v>30.5</v>
      </c>
    </row>
    <row r="803" spans="1:103" x14ac:dyDescent="0.25">
      <c r="A803" t="s">
        <v>5055</v>
      </c>
      <c r="C803" t="s">
        <v>3326</v>
      </c>
      <c r="J803" t="s">
        <v>3342</v>
      </c>
      <c r="R803" t="s">
        <v>5050</v>
      </c>
      <c r="AC803">
        <v>1</v>
      </c>
      <c r="AN803">
        <v>1</v>
      </c>
      <c r="AO803" t="s">
        <v>4749</v>
      </c>
      <c r="AV803">
        <v>99</v>
      </c>
      <c r="AY803" s="5"/>
      <c r="BD803">
        <v>1</v>
      </c>
      <c r="BT803">
        <v>0.2</v>
      </c>
      <c r="BV803">
        <v>0</v>
      </c>
      <c r="BW803">
        <v>7</v>
      </c>
      <c r="BX803">
        <v>1</v>
      </c>
      <c r="BY803" s="8" t="s">
        <v>3344</v>
      </c>
      <c r="BZ803"/>
      <c r="CA803"/>
      <c r="CB803" t="s">
        <v>4767</v>
      </c>
      <c r="CC803" s="5"/>
      <c r="CD803" s="5"/>
      <c r="CE803" s="5"/>
      <c r="CF803" s="5"/>
      <c r="CG803" t="s">
        <v>3410</v>
      </c>
      <c r="CI803" s="5"/>
      <c r="CJ803" s="5"/>
      <c r="CK803" s="5"/>
      <c r="CL803" s="5"/>
      <c r="CM803" s="5"/>
      <c r="CN803" s="9" t="s">
        <v>5050</v>
      </c>
      <c r="CO803">
        <v>1</v>
      </c>
      <c r="CR803">
        <v>30.5</v>
      </c>
    </row>
    <row r="804" spans="1:103" x14ac:dyDescent="0.25">
      <c r="A804" t="s">
        <v>5056</v>
      </c>
      <c r="C804" t="s">
        <v>3326</v>
      </c>
      <c r="N804" s="5">
        <v>1</v>
      </c>
      <c r="T804" s="5">
        <v>0.5</v>
      </c>
      <c r="U804"/>
      <c r="AC804">
        <v>2</v>
      </c>
      <c r="AG804" t="s">
        <v>3316</v>
      </c>
      <c r="AN804">
        <v>1</v>
      </c>
      <c r="BD804">
        <v>1</v>
      </c>
      <c r="BP804" s="7" t="s">
        <v>5057</v>
      </c>
      <c r="CN804" s="9" t="s">
        <v>5058</v>
      </c>
      <c r="CO804" t="s">
        <v>5059</v>
      </c>
      <c r="CR804">
        <v>9999</v>
      </c>
    </row>
    <row r="805" spans="1:103" x14ac:dyDescent="0.25">
      <c r="A805" t="s">
        <v>5057</v>
      </c>
      <c r="C805" t="s">
        <v>3147</v>
      </c>
      <c r="K805" s="5" t="s">
        <v>3314</v>
      </c>
      <c r="P805"/>
      <c r="AC805">
        <v>2</v>
      </c>
      <c r="AG805" t="s">
        <v>3316</v>
      </c>
      <c r="AY805" s="5"/>
      <c r="BD805">
        <v>1</v>
      </c>
      <c r="BV805"/>
      <c r="BW805"/>
      <c r="BX805"/>
      <c r="BY805"/>
      <c r="BZ805"/>
      <c r="CA805"/>
      <c r="CB805" s="5"/>
      <c r="CC805" s="5"/>
      <c r="CD805" s="5"/>
      <c r="CE805" s="5"/>
      <c r="CF805" s="5"/>
      <c r="CH805" s="5"/>
      <c r="CI805" s="5"/>
      <c r="CJ805" s="5"/>
      <c r="CK805" s="5"/>
      <c r="CL805" s="5"/>
      <c r="CU805" t="s">
        <v>5060</v>
      </c>
    </row>
    <row r="806" spans="1:103" x14ac:dyDescent="0.25">
      <c r="AY806" s="5"/>
      <c r="BV806"/>
      <c r="BW806"/>
      <c r="BX806"/>
      <c r="BY806"/>
      <c r="BZ806"/>
      <c r="CA806"/>
      <c r="CB806" s="5"/>
      <c r="CC806" s="5"/>
      <c r="CD806" s="5"/>
      <c r="CE806" s="5"/>
      <c r="CF806" s="5"/>
      <c r="CI806" s="5"/>
      <c r="CJ806" s="5"/>
      <c r="CK806" s="5"/>
      <c r="CL806" s="5"/>
      <c r="CM806" s="5"/>
    </row>
    <row r="807" spans="1:103" x14ac:dyDescent="0.25">
      <c r="A807" t="s">
        <v>5061</v>
      </c>
      <c r="C807" t="s">
        <v>3326</v>
      </c>
      <c r="AC807">
        <v>1</v>
      </c>
      <c r="AN807">
        <v>1</v>
      </c>
      <c r="AO807" t="s">
        <v>4749</v>
      </c>
      <c r="AP807" t="s">
        <v>4750</v>
      </c>
      <c r="AV807">
        <v>2</v>
      </c>
      <c r="AX807" t="s">
        <v>3987</v>
      </c>
      <c r="AZ807">
        <v>1</v>
      </c>
      <c r="BD807">
        <v>1</v>
      </c>
      <c r="CB807" t="s">
        <v>4689</v>
      </c>
      <c r="CG807" t="s">
        <v>3410</v>
      </c>
      <c r="CN807" s="9" t="s">
        <v>5050</v>
      </c>
      <c r="CO807">
        <v>1</v>
      </c>
      <c r="CR807">
        <v>30.5</v>
      </c>
    </row>
    <row r="808" spans="1:103" x14ac:dyDescent="0.25">
      <c r="A808" t="s">
        <v>5058</v>
      </c>
      <c r="C808" t="s">
        <v>3326</v>
      </c>
      <c r="K808" s="5" t="s">
        <v>3314</v>
      </c>
      <c r="L808" s="5" t="s">
        <v>3414</v>
      </c>
      <c r="AC808">
        <v>2</v>
      </c>
      <c r="AF808">
        <v>1</v>
      </c>
      <c r="AG808" t="s">
        <v>3316</v>
      </c>
      <c r="AN808">
        <v>1</v>
      </c>
      <c r="AY808" s="5"/>
      <c r="BD808">
        <v>1</v>
      </c>
      <c r="BV808"/>
      <c r="BW808"/>
      <c r="BX808"/>
      <c r="BY808"/>
      <c r="BZ808"/>
      <c r="CA808"/>
      <c r="CB808" s="5"/>
      <c r="CC808" s="5"/>
      <c r="CD808" s="5"/>
      <c r="CE808" s="5"/>
      <c r="CF808" s="5"/>
      <c r="CH808" s="5"/>
      <c r="CI808" s="5"/>
      <c r="CJ808" s="5"/>
      <c r="CK808" s="5"/>
      <c r="CL808" s="5"/>
      <c r="CM808" s="5"/>
      <c r="CN808" s="9" t="s">
        <v>5058</v>
      </c>
      <c r="CR808">
        <v>9999</v>
      </c>
    </row>
    <row r="809" spans="1:103" x14ac:dyDescent="0.25">
      <c r="A809" t="s">
        <v>5050</v>
      </c>
      <c r="C809" t="s">
        <v>3326</v>
      </c>
      <c r="J809" t="s">
        <v>3342</v>
      </c>
      <c r="R809" t="s">
        <v>5050</v>
      </c>
      <c r="AC809">
        <v>1</v>
      </c>
      <c r="AN809">
        <v>1</v>
      </c>
      <c r="AO809" t="s">
        <v>4749</v>
      </c>
      <c r="AV809">
        <v>99</v>
      </c>
      <c r="AY809" s="5"/>
      <c r="BD809">
        <v>2</v>
      </c>
      <c r="BT809">
        <v>0.2</v>
      </c>
      <c r="BV809">
        <v>0</v>
      </c>
      <c r="BW809">
        <v>19</v>
      </c>
      <c r="BX809">
        <v>1</v>
      </c>
      <c r="BY809" s="8" t="s">
        <v>3344</v>
      </c>
      <c r="BZ809"/>
      <c r="CA809"/>
      <c r="CB809" t="s">
        <v>5062</v>
      </c>
      <c r="CC809" s="5"/>
      <c r="CD809" s="5"/>
      <c r="CE809" s="5"/>
      <c r="CF809" s="5"/>
      <c r="CG809" t="s">
        <v>3410</v>
      </c>
      <c r="CI809" s="5"/>
      <c r="CJ809" s="5"/>
      <c r="CK809" s="5"/>
      <c r="CL809" s="5"/>
      <c r="CM809" s="5"/>
      <c r="CN809" s="9" t="s">
        <v>5050</v>
      </c>
      <c r="CO809">
        <v>1</v>
      </c>
      <c r="CR809">
        <v>30.5</v>
      </c>
    </row>
    <row r="810" spans="1:103" x14ac:dyDescent="0.25">
      <c r="A810" t="s">
        <v>5063</v>
      </c>
      <c r="C810" t="s">
        <v>3326</v>
      </c>
      <c r="J810" t="s">
        <v>3342</v>
      </c>
      <c r="Q810" t="s">
        <v>5050</v>
      </c>
      <c r="AC810">
        <v>1</v>
      </c>
      <c r="AN810">
        <v>1</v>
      </c>
      <c r="AV810">
        <v>99</v>
      </c>
      <c r="AX810" t="s">
        <v>3432</v>
      </c>
      <c r="AY810" s="5"/>
      <c r="AZ810">
        <v>1</v>
      </c>
      <c r="BD810">
        <v>99</v>
      </c>
      <c r="BH810" t="s">
        <v>5064</v>
      </c>
      <c r="BI810">
        <v>1</v>
      </c>
      <c r="BK810">
        <v>1</v>
      </c>
      <c r="BL810">
        <v>1</v>
      </c>
      <c r="BT810">
        <v>0.2</v>
      </c>
      <c r="BV810">
        <v>0</v>
      </c>
      <c r="BW810">
        <v>35</v>
      </c>
      <c r="BX810">
        <v>1</v>
      </c>
      <c r="BY810" t="s">
        <v>3344</v>
      </c>
      <c r="BZ810"/>
      <c r="CA810"/>
      <c r="CB810" t="s">
        <v>5065</v>
      </c>
      <c r="CC810" s="5"/>
      <c r="CD810" s="5"/>
      <c r="CE810" s="5"/>
      <c r="CF810" s="5"/>
      <c r="CG810" t="s">
        <v>3410</v>
      </c>
      <c r="CI810" s="5"/>
      <c r="CJ810" s="5"/>
      <c r="CK810" s="5"/>
      <c r="CL810" s="5"/>
      <c r="CM810" t="s">
        <v>5050</v>
      </c>
      <c r="CN810" s="9" t="s">
        <v>5050</v>
      </c>
      <c r="CO810">
        <v>1</v>
      </c>
      <c r="CR810">
        <v>30.5</v>
      </c>
      <c r="CY810" t="s">
        <v>5066</v>
      </c>
    </row>
    <row r="811" spans="1:103" x14ac:dyDescent="0.25">
      <c r="A811" t="s">
        <v>5067</v>
      </c>
      <c r="C811" t="s">
        <v>4782</v>
      </c>
      <c r="J811" t="s">
        <v>3342</v>
      </c>
      <c r="O811" t="s">
        <v>4764</v>
      </c>
      <c r="AC811">
        <v>2</v>
      </c>
      <c r="AG811" t="s">
        <v>3316</v>
      </c>
      <c r="AN811">
        <v>1</v>
      </c>
      <c r="AY811" s="5"/>
      <c r="BD811">
        <v>1</v>
      </c>
      <c r="BV811">
        <v>-25</v>
      </c>
      <c r="BW811">
        <v>50</v>
      </c>
      <c r="BX811">
        <v>1</v>
      </c>
      <c r="BY811" t="s">
        <v>3344</v>
      </c>
      <c r="BZ811"/>
      <c r="CA811"/>
      <c r="CB811" s="5" t="s">
        <v>4785</v>
      </c>
      <c r="CC811" s="5"/>
      <c r="CD811" s="5"/>
      <c r="CE811" s="5"/>
      <c r="CF811" s="5"/>
      <c r="CG811" t="s">
        <v>3410</v>
      </c>
      <c r="CH811" s="5"/>
      <c r="CI811" s="5"/>
      <c r="CJ811" s="5"/>
      <c r="CK811" s="5"/>
      <c r="CL811" s="5"/>
      <c r="CM811" s="5"/>
      <c r="CU811" t="s">
        <v>5068</v>
      </c>
    </row>
    <row r="812" spans="1:103" x14ac:dyDescent="0.25">
      <c r="A812" t="s">
        <v>5069</v>
      </c>
      <c r="C812" t="s">
        <v>3905</v>
      </c>
      <c r="K812" s="5" t="s">
        <v>3314</v>
      </c>
      <c r="L812" s="5" t="s">
        <v>3906</v>
      </c>
      <c r="N812" s="5">
        <v>1</v>
      </c>
      <c r="AC812">
        <v>2</v>
      </c>
      <c r="AG812" t="s">
        <v>3316</v>
      </c>
      <c r="AH812">
        <v>1</v>
      </c>
      <c r="AN812">
        <v>1</v>
      </c>
      <c r="AY812">
        <v>1</v>
      </c>
      <c r="BD812">
        <v>1</v>
      </c>
      <c r="BP812" s="7" t="s">
        <v>5070</v>
      </c>
      <c r="CN812" s="9" t="s">
        <v>5071</v>
      </c>
      <c r="CP812" t="s">
        <v>5072</v>
      </c>
      <c r="CR812">
        <v>9999</v>
      </c>
      <c r="CU812" t="s">
        <v>5073</v>
      </c>
    </row>
    <row r="813" spans="1:103" x14ac:dyDescent="0.25">
      <c r="A813" t="s">
        <v>5074</v>
      </c>
      <c r="C813" t="s">
        <v>3326</v>
      </c>
      <c r="K813" s="5" t="s">
        <v>3314</v>
      </c>
      <c r="Y813">
        <v>1</v>
      </c>
      <c r="AB813">
        <v>1</v>
      </c>
      <c r="AC813">
        <v>2</v>
      </c>
      <c r="AG813" t="s">
        <v>3316</v>
      </c>
      <c r="AN813">
        <v>1</v>
      </c>
      <c r="BD813">
        <v>1</v>
      </c>
      <c r="BS813">
        <v>30</v>
      </c>
      <c r="CB813" t="s">
        <v>5075</v>
      </c>
      <c r="CC813">
        <v>30</v>
      </c>
      <c r="CE813" t="s">
        <v>5075</v>
      </c>
      <c r="CG813" t="s">
        <v>3831</v>
      </c>
    </row>
    <row r="814" spans="1:103" x14ac:dyDescent="0.25">
      <c r="A814" t="s">
        <v>5076</v>
      </c>
      <c r="C814" t="s">
        <v>3326</v>
      </c>
      <c r="K814" s="5" t="s">
        <v>3314</v>
      </c>
      <c r="AC814">
        <v>2</v>
      </c>
      <c r="AG814" t="s">
        <v>3316</v>
      </c>
      <c r="AN814">
        <v>1</v>
      </c>
      <c r="AO814" t="s">
        <v>4749</v>
      </c>
      <c r="BD814">
        <v>1</v>
      </c>
      <c r="CN814" s="9" t="s">
        <v>4780</v>
      </c>
      <c r="CR814">
        <v>43</v>
      </c>
    </row>
    <row r="815" spans="1:103" x14ac:dyDescent="0.25">
      <c r="A815" t="s">
        <v>5077</v>
      </c>
      <c r="C815" t="s">
        <v>3905</v>
      </c>
      <c r="K815" s="5" t="s">
        <v>3314</v>
      </c>
      <c r="L815" s="5" t="s">
        <v>3906</v>
      </c>
      <c r="N815" s="5">
        <v>1</v>
      </c>
      <c r="O815" t="s">
        <v>4764</v>
      </c>
      <c r="AC815">
        <v>2</v>
      </c>
      <c r="AG815" t="s">
        <v>3316</v>
      </c>
      <c r="AH815">
        <v>1</v>
      </c>
      <c r="AN815">
        <v>1</v>
      </c>
      <c r="AY815">
        <v>1</v>
      </c>
      <c r="BD815">
        <v>1</v>
      </c>
      <c r="BP815" s="7" t="s">
        <v>5070</v>
      </c>
      <c r="CN815" s="9" t="s">
        <v>5078</v>
      </c>
      <c r="CR815">
        <v>9999</v>
      </c>
      <c r="CU815" t="s">
        <v>5079</v>
      </c>
    </row>
    <row r="816" spans="1:103" x14ac:dyDescent="0.25">
      <c r="A816" t="s">
        <v>5080</v>
      </c>
      <c r="C816" t="s">
        <v>5081</v>
      </c>
      <c r="J816" t="s">
        <v>3342</v>
      </c>
      <c r="K816" s="5" t="s">
        <v>3314</v>
      </c>
      <c r="AC816">
        <v>1</v>
      </c>
      <c r="AX816" t="s">
        <v>3432</v>
      </c>
      <c r="AY816" s="5"/>
      <c r="AZ816">
        <v>1</v>
      </c>
      <c r="BD816">
        <v>1</v>
      </c>
      <c r="BE816">
        <v>9</v>
      </c>
      <c r="BF816">
        <v>2</v>
      </c>
      <c r="BV816"/>
      <c r="BW816"/>
      <c r="BX816"/>
      <c r="BY816"/>
      <c r="BZ816"/>
      <c r="CA816"/>
      <c r="CB816" s="5"/>
      <c r="CC816" s="5">
        <v>5</v>
      </c>
      <c r="CD816" s="5"/>
      <c r="CE816" s="5"/>
      <c r="CF816" s="5"/>
      <c r="CH816" t="s">
        <v>5080</v>
      </c>
      <c r="CI816" s="5"/>
      <c r="CJ816" s="5"/>
      <c r="CK816" s="5"/>
      <c r="CL816" s="5"/>
      <c r="CM816" s="5"/>
      <c r="CU816" t="s">
        <v>5082</v>
      </c>
    </row>
    <row r="817" spans="1:112" x14ac:dyDescent="0.25">
      <c r="A817" t="s">
        <v>5083</v>
      </c>
      <c r="C817" t="s">
        <v>3326</v>
      </c>
      <c r="N817" s="5">
        <v>1</v>
      </c>
      <c r="O817" t="s">
        <v>4764</v>
      </c>
      <c r="AC817">
        <v>2</v>
      </c>
      <c r="AG817" t="s">
        <v>3316</v>
      </c>
      <c r="AY817" s="5"/>
      <c r="BD817">
        <v>1</v>
      </c>
      <c r="BV817"/>
      <c r="BW817"/>
      <c r="BX817"/>
      <c r="BY817"/>
      <c r="BZ817"/>
      <c r="CA817"/>
      <c r="CB817" s="5" t="s">
        <v>5084</v>
      </c>
      <c r="CC817" s="5"/>
      <c r="CD817" s="5"/>
      <c r="CE817" s="5"/>
      <c r="CF817" s="5"/>
      <c r="CG817" t="s">
        <v>3410</v>
      </c>
      <c r="CI817" s="5"/>
      <c r="CJ817" s="5"/>
      <c r="CK817" s="5"/>
      <c r="CL817" s="5"/>
      <c r="CM817" s="5"/>
      <c r="DH817">
        <v>1</v>
      </c>
    </row>
    <row r="818" spans="1:112" x14ac:dyDescent="0.25">
      <c r="A818" t="s">
        <v>5085</v>
      </c>
      <c r="C818" t="s">
        <v>4381</v>
      </c>
      <c r="N818" s="5">
        <v>1</v>
      </c>
      <c r="O818" t="s">
        <v>5078</v>
      </c>
      <c r="AC818">
        <v>2</v>
      </c>
      <c r="AG818" t="s">
        <v>3316</v>
      </c>
      <c r="AY818" s="5"/>
      <c r="BD818">
        <v>1</v>
      </c>
      <c r="BV818"/>
      <c r="BW818"/>
      <c r="BX818"/>
      <c r="BY818"/>
      <c r="BZ818"/>
      <c r="CA818"/>
      <c r="CB818" s="5"/>
      <c r="CC818" s="5"/>
      <c r="CD818" s="5"/>
      <c r="CE818" s="5"/>
      <c r="CF818" s="5"/>
      <c r="CG818" t="s">
        <v>3410</v>
      </c>
      <c r="CI818" s="5"/>
      <c r="CJ818" s="5"/>
      <c r="CK818" s="5"/>
      <c r="CL818" s="5"/>
      <c r="CM818" s="5"/>
      <c r="CU818" t="s">
        <v>5086</v>
      </c>
      <c r="DH818">
        <v>1</v>
      </c>
    </row>
    <row r="819" spans="1:112" x14ac:dyDescent="0.25">
      <c r="O819"/>
    </row>
    <row r="820" spans="1:112" x14ac:dyDescent="0.25">
      <c r="A820" t="s">
        <v>5048</v>
      </c>
      <c r="C820" t="s">
        <v>3326</v>
      </c>
      <c r="N820" s="5">
        <v>1</v>
      </c>
      <c r="O820" s="5" t="s">
        <v>1524</v>
      </c>
      <c r="AC820">
        <v>2</v>
      </c>
      <c r="AG820" t="s">
        <v>3316</v>
      </c>
      <c r="AN820">
        <v>1</v>
      </c>
      <c r="AY820" s="5"/>
      <c r="BD820">
        <v>1</v>
      </c>
      <c r="BS820">
        <v>1</v>
      </c>
      <c r="BV820"/>
      <c r="BW820"/>
      <c r="BX820"/>
      <c r="BY820"/>
      <c r="BZ820"/>
      <c r="CA820"/>
      <c r="CB820" t="s">
        <v>4915</v>
      </c>
      <c r="CC820" s="5"/>
      <c r="CD820" s="5"/>
      <c r="CE820" s="5"/>
      <c r="CF820" s="5"/>
      <c r="CG820" t="s">
        <v>3410</v>
      </c>
      <c r="CH820" s="5"/>
      <c r="CI820" s="5"/>
      <c r="CJ820" s="5"/>
      <c r="CK820" s="5"/>
      <c r="CL820" s="5"/>
      <c r="CM820" s="5"/>
      <c r="CN820" s="9" t="s">
        <v>4926</v>
      </c>
      <c r="CO820">
        <v>99999</v>
      </c>
      <c r="CP820">
        <v>2</v>
      </c>
      <c r="CR820">
        <v>9999</v>
      </c>
    </row>
    <row r="821" spans="1:112" x14ac:dyDescent="0.25">
      <c r="A821" t="s">
        <v>5087</v>
      </c>
      <c r="C821" t="s">
        <v>3416</v>
      </c>
      <c r="AC821">
        <v>1</v>
      </c>
      <c r="AN821">
        <v>1</v>
      </c>
      <c r="AO821" t="s">
        <v>4749</v>
      </c>
      <c r="AV821">
        <v>0</v>
      </c>
      <c r="AX821" t="s">
        <v>3419</v>
      </c>
      <c r="AZ821">
        <v>1</v>
      </c>
      <c r="BD821">
        <v>1</v>
      </c>
      <c r="CB821" t="s">
        <v>3459</v>
      </c>
      <c r="CG821" t="s">
        <v>3410</v>
      </c>
    </row>
    <row r="822" spans="1:112" s="4" customFormat="1" x14ac:dyDescent="0.25">
      <c r="A822" s="4" t="s">
        <v>5088</v>
      </c>
      <c r="K822" s="15"/>
      <c r="L822" s="15"/>
      <c r="M822" s="15"/>
      <c r="N822" s="15"/>
      <c r="O822" s="15"/>
      <c r="P822" s="15"/>
      <c r="Q822" s="15"/>
      <c r="R822" s="15"/>
      <c r="S822" s="15"/>
      <c r="T822" s="15"/>
      <c r="U822" s="15"/>
      <c r="V822" s="15"/>
      <c r="W822" s="15"/>
      <c r="X822" s="15"/>
      <c r="AR822"/>
      <c r="AS822"/>
      <c r="AW822" s="6"/>
      <c r="BO822" s="7"/>
      <c r="BP822" s="7"/>
      <c r="BV822" s="16"/>
      <c r="BW822" s="16"/>
      <c r="BX822" s="16"/>
      <c r="BY822" s="16"/>
      <c r="BZ822" s="16"/>
      <c r="CA822" s="16"/>
      <c r="CN822" s="9"/>
    </row>
    <row r="823" spans="1:112" x14ac:dyDescent="0.25">
      <c r="A823" t="s">
        <v>830</v>
      </c>
      <c r="C823" t="s">
        <v>5089</v>
      </c>
      <c r="K823" s="5" t="s">
        <v>3344</v>
      </c>
      <c r="AC823">
        <v>2</v>
      </c>
      <c r="AH823">
        <v>1</v>
      </c>
      <c r="AN823">
        <v>1</v>
      </c>
      <c r="AT823" t="s">
        <v>3441</v>
      </c>
      <c r="CU823" t="s">
        <v>5090</v>
      </c>
      <c r="DD823">
        <v>1</v>
      </c>
      <c r="DH823">
        <v>1</v>
      </c>
    </row>
    <row r="824" spans="1:112" x14ac:dyDescent="0.25">
      <c r="A824" s="20" t="s">
        <v>6223</v>
      </c>
      <c r="C824" s="20" t="s">
        <v>6217</v>
      </c>
      <c r="K824" s="5" t="s">
        <v>3314</v>
      </c>
      <c r="L824" s="5" t="s">
        <v>6228</v>
      </c>
      <c r="AC824">
        <v>4</v>
      </c>
      <c r="AG824" s="20" t="s">
        <v>6197</v>
      </c>
      <c r="AN824">
        <v>1</v>
      </c>
      <c r="AT824" s="20" t="s">
        <v>6219</v>
      </c>
      <c r="AZ824">
        <v>0</v>
      </c>
      <c r="BD824">
        <v>1</v>
      </c>
      <c r="CU824" s="20" t="s">
        <v>6229</v>
      </c>
      <c r="DD824">
        <v>1</v>
      </c>
      <c r="DH824">
        <v>1</v>
      </c>
    </row>
    <row r="825" spans="1:112" x14ac:dyDescent="0.25">
      <c r="A825" t="s">
        <v>5091</v>
      </c>
      <c r="C825" t="s">
        <v>5092</v>
      </c>
      <c r="K825" s="5" t="s">
        <v>3314</v>
      </c>
      <c r="L825" s="5" t="s">
        <v>3414</v>
      </c>
      <c r="AC825">
        <v>2</v>
      </c>
      <c r="AN825">
        <v>1</v>
      </c>
      <c r="AV825">
        <v>99</v>
      </c>
      <c r="AZ825">
        <v>0</v>
      </c>
      <c r="BD825">
        <v>99</v>
      </c>
    </row>
    <row r="826" spans="1:112" x14ac:dyDescent="0.25">
      <c r="A826" s="20" t="s">
        <v>6220</v>
      </c>
      <c r="C826" s="20" t="s">
        <v>6217</v>
      </c>
      <c r="K826" s="5" t="s">
        <v>6221</v>
      </c>
      <c r="L826" s="5" t="s">
        <v>6222</v>
      </c>
      <c r="AC826">
        <v>4</v>
      </c>
      <c r="AF826">
        <v>1</v>
      </c>
      <c r="AG826" s="20" t="s">
        <v>6218</v>
      </c>
      <c r="AN826">
        <v>1</v>
      </c>
      <c r="AT826" s="20" t="s">
        <v>6219</v>
      </c>
      <c r="AZ826">
        <v>0</v>
      </c>
      <c r="BD826">
        <v>1</v>
      </c>
      <c r="CU826" s="20" t="s">
        <v>6226</v>
      </c>
      <c r="DD826">
        <v>1</v>
      </c>
      <c r="DH826">
        <v>1</v>
      </c>
    </row>
    <row r="827" spans="1:112" x14ac:dyDescent="0.25">
      <c r="A827" s="20" t="s">
        <v>6216</v>
      </c>
      <c r="C827" s="20" t="s">
        <v>6217</v>
      </c>
      <c r="K827" s="5" t="s">
        <v>3314</v>
      </c>
      <c r="L827" s="5" t="s">
        <v>3414</v>
      </c>
      <c r="AC827">
        <v>4</v>
      </c>
      <c r="AF827">
        <v>1</v>
      </c>
      <c r="AG827" s="20" t="s">
        <v>6218</v>
      </c>
      <c r="AN827">
        <v>1</v>
      </c>
      <c r="AT827" s="20" t="s">
        <v>6219</v>
      </c>
      <c r="AZ827">
        <v>0</v>
      </c>
      <c r="BD827">
        <v>1</v>
      </c>
      <c r="CU827" s="20" t="s">
        <v>6227</v>
      </c>
      <c r="DD827">
        <v>1</v>
      </c>
      <c r="DH827">
        <v>1</v>
      </c>
    </row>
    <row r="828" spans="1:112" x14ac:dyDescent="0.25">
      <c r="A828" t="s">
        <v>833</v>
      </c>
      <c r="B828" t="s">
        <v>5094</v>
      </c>
      <c r="C828" t="s">
        <v>3326</v>
      </c>
      <c r="J828" t="s">
        <v>5095</v>
      </c>
      <c r="AC828">
        <v>3</v>
      </c>
      <c r="AG828" t="s">
        <v>3316</v>
      </c>
      <c r="AN828">
        <v>1</v>
      </c>
      <c r="AO828" t="s">
        <v>4424</v>
      </c>
      <c r="AT828" t="s">
        <v>4244</v>
      </c>
    </row>
    <row r="829" spans="1:112" x14ac:dyDescent="0.25">
      <c r="A829" t="s">
        <v>5096</v>
      </c>
      <c r="B829" t="s">
        <v>5094</v>
      </c>
      <c r="C829" t="s">
        <v>3326</v>
      </c>
      <c r="J829" t="s">
        <v>5095</v>
      </c>
      <c r="AC829">
        <v>3</v>
      </c>
      <c r="AG829" t="s">
        <v>3316</v>
      </c>
      <c r="AN829">
        <v>1</v>
      </c>
      <c r="AO829" t="s">
        <v>4424</v>
      </c>
      <c r="AT829" t="s">
        <v>3446</v>
      </c>
    </row>
    <row r="830" spans="1:112" x14ac:dyDescent="0.25">
      <c r="A830" t="s">
        <v>834</v>
      </c>
      <c r="C830" t="s">
        <v>3326</v>
      </c>
      <c r="J830" t="s">
        <v>3342</v>
      </c>
      <c r="W830" s="5">
        <v>1</v>
      </c>
      <c r="X830" s="5">
        <v>1</v>
      </c>
      <c r="Y830">
        <v>1</v>
      </c>
      <c r="AC830">
        <v>3</v>
      </c>
      <c r="AN830">
        <v>1</v>
      </c>
      <c r="AO830" t="s">
        <v>4424</v>
      </c>
      <c r="AT830" t="s">
        <v>4244</v>
      </c>
      <c r="AX830" t="s">
        <v>3987</v>
      </c>
      <c r="AZ830">
        <v>1</v>
      </c>
      <c r="BD830">
        <v>99</v>
      </c>
      <c r="BS830">
        <v>1</v>
      </c>
      <c r="BT830">
        <v>0.2</v>
      </c>
      <c r="BV830" s="8">
        <v>0</v>
      </c>
      <c r="BW830" s="8">
        <v>2</v>
      </c>
      <c r="BX830" s="8">
        <v>1</v>
      </c>
      <c r="BY830" s="8" t="s">
        <v>3344</v>
      </c>
      <c r="CB830" t="s">
        <v>136</v>
      </c>
      <c r="DD830">
        <v>1</v>
      </c>
    </row>
    <row r="831" spans="1:112" x14ac:dyDescent="0.25">
      <c r="A831" t="s">
        <v>838</v>
      </c>
      <c r="C831" t="s">
        <v>3326</v>
      </c>
      <c r="J831" t="s">
        <v>3342</v>
      </c>
      <c r="W831" s="5">
        <v>1</v>
      </c>
      <c r="X831" s="5">
        <v>1</v>
      </c>
      <c r="Y831">
        <v>1</v>
      </c>
      <c r="AC831">
        <v>1</v>
      </c>
      <c r="AN831">
        <v>1</v>
      </c>
      <c r="AO831" t="s">
        <v>4424</v>
      </c>
      <c r="AT831" t="s">
        <v>4244</v>
      </c>
      <c r="AX831" t="s">
        <v>3987</v>
      </c>
      <c r="AZ831">
        <v>0</v>
      </c>
      <c r="BD831">
        <v>99</v>
      </c>
      <c r="BS831">
        <v>1</v>
      </c>
      <c r="BT831">
        <v>0.2</v>
      </c>
      <c r="BV831" s="8">
        <v>0</v>
      </c>
      <c r="BW831" s="8">
        <v>15</v>
      </c>
      <c r="BX831" s="8">
        <v>1</v>
      </c>
      <c r="BY831" s="8" t="s">
        <v>3344</v>
      </c>
      <c r="CB831" t="s">
        <v>136</v>
      </c>
      <c r="CN831" s="9" t="s">
        <v>4761</v>
      </c>
      <c r="CO831">
        <v>-30</v>
      </c>
      <c r="CR831">
        <v>10</v>
      </c>
      <c r="DD831">
        <v>1</v>
      </c>
    </row>
    <row r="832" spans="1:112" x14ac:dyDescent="0.25">
      <c r="A832" t="s">
        <v>842</v>
      </c>
      <c r="C832" t="s">
        <v>5081</v>
      </c>
      <c r="J832" t="s">
        <v>3342</v>
      </c>
      <c r="W832" s="5">
        <v>1</v>
      </c>
      <c r="AC832">
        <v>1</v>
      </c>
      <c r="AN832">
        <v>1</v>
      </c>
      <c r="AO832" t="s">
        <v>4424</v>
      </c>
      <c r="AX832" t="s">
        <v>3419</v>
      </c>
      <c r="AZ832">
        <v>1</v>
      </c>
      <c r="BS832">
        <v>1</v>
      </c>
      <c r="BT832">
        <v>0.2</v>
      </c>
      <c r="BV832" s="8">
        <v>0</v>
      </c>
      <c r="BW832" s="8">
        <v>5</v>
      </c>
      <c r="BX832" s="8">
        <v>1</v>
      </c>
      <c r="BY832" s="8" t="s">
        <v>3344</v>
      </c>
      <c r="CB832" t="s">
        <v>136</v>
      </c>
      <c r="CH832" t="s">
        <v>5081</v>
      </c>
      <c r="DD832">
        <v>1</v>
      </c>
    </row>
    <row r="833" spans="1:108" x14ac:dyDescent="0.25">
      <c r="A833" t="s">
        <v>5097</v>
      </c>
      <c r="C833" t="s">
        <v>5092</v>
      </c>
      <c r="K833" s="5" t="s">
        <v>3314</v>
      </c>
      <c r="L833" s="5" t="s">
        <v>3671</v>
      </c>
      <c r="AC833">
        <v>7</v>
      </c>
      <c r="AF833">
        <v>1</v>
      </c>
      <c r="AG833" t="s">
        <v>3316</v>
      </c>
      <c r="AH833">
        <v>1</v>
      </c>
      <c r="AN833">
        <v>1</v>
      </c>
      <c r="AT833" t="s">
        <v>3441</v>
      </c>
      <c r="AZ833">
        <v>0</v>
      </c>
      <c r="BD833">
        <v>1</v>
      </c>
      <c r="CU833" t="s">
        <v>5093</v>
      </c>
    </row>
    <row r="834" spans="1:108" x14ac:dyDescent="0.25">
      <c r="A834" t="s">
        <v>5098</v>
      </c>
      <c r="C834" t="s">
        <v>3326</v>
      </c>
      <c r="K834" s="5" t="s">
        <v>3314</v>
      </c>
      <c r="AC834">
        <v>4</v>
      </c>
      <c r="AG834" t="s">
        <v>3316</v>
      </c>
      <c r="AN834">
        <v>1</v>
      </c>
      <c r="AZ834">
        <v>1</v>
      </c>
      <c r="BD834">
        <v>1</v>
      </c>
      <c r="DD834">
        <v>1</v>
      </c>
    </row>
    <row r="835" spans="1:108" x14ac:dyDescent="0.25">
      <c r="A835" t="s">
        <v>847</v>
      </c>
      <c r="C835" t="s">
        <v>3326</v>
      </c>
      <c r="J835" t="s">
        <v>3342</v>
      </c>
      <c r="K835" s="5" t="s">
        <v>3343</v>
      </c>
      <c r="X835" s="5">
        <v>1</v>
      </c>
      <c r="AC835">
        <v>2</v>
      </c>
      <c r="AN835">
        <v>1</v>
      </c>
      <c r="AO835" t="s">
        <v>4424</v>
      </c>
      <c r="AT835" t="s">
        <v>3446</v>
      </c>
      <c r="AX835" t="s">
        <v>3987</v>
      </c>
      <c r="AZ835">
        <v>1</v>
      </c>
      <c r="BD835">
        <v>99</v>
      </c>
      <c r="BP835" s="7" t="s">
        <v>5098</v>
      </c>
      <c r="BS835">
        <v>1</v>
      </c>
      <c r="BT835">
        <v>0.2</v>
      </c>
      <c r="BV835" s="8">
        <v>0</v>
      </c>
      <c r="BW835" s="8">
        <v>2</v>
      </c>
      <c r="BX835" s="8">
        <v>1</v>
      </c>
      <c r="BY835" s="8" t="s">
        <v>3344</v>
      </c>
      <c r="CB835" t="s">
        <v>136</v>
      </c>
      <c r="DD835">
        <v>1</v>
      </c>
    </row>
    <row r="836" spans="1:108" x14ac:dyDescent="0.25">
      <c r="A836" t="s">
        <v>850</v>
      </c>
      <c r="C836" t="s">
        <v>3326</v>
      </c>
      <c r="K836" s="5" t="s">
        <v>3344</v>
      </c>
      <c r="AC836">
        <v>3</v>
      </c>
      <c r="AN836">
        <v>1</v>
      </c>
      <c r="AO836" t="s">
        <v>4424</v>
      </c>
      <c r="AV836">
        <v>0.25</v>
      </c>
      <c r="AZ836">
        <v>0</v>
      </c>
      <c r="BD836">
        <v>99</v>
      </c>
      <c r="CN836" s="9" t="s">
        <v>5099</v>
      </c>
      <c r="CO836" t="s">
        <v>4865</v>
      </c>
      <c r="CP836">
        <v>60</v>
      </c>
      <c r="CR836">
        <v>300</v>
      </c>
      <c r="DD836">
        <v>1</v>
      </c>
    </row>
    <row r="837" spans="1:108" x14ac:dyDescent="0.25">
      <c r="A837" t="s">
        <v>855</v>
      </c>
      <c r="C837" t="s">
        <v>3326</v>
      </c>
      <c r="K837" s="5" t="s">
        <v>3314</v>
      </c>
      <c r="L837" s="5" t="s">
        <v>3327</v>
      </c>
      <c r="AC837">
        <v>1</v>
      </c>
      <c r="AN837">
        <v>1</v>
      </c>
      <c r="AO837" t="s">
        <v>4424</v>
      </c>
      <c r="AT837" t="s">
        <v>3441</v>
      </c>
      <c r="AZ837">
        <v>0</v>
      </c>
      <c r="BD837">
        <v>99</v>
      </c>
      <c r="CN837" s="9" t="s">
        <v>5100</v>
      </c>
      <c r="CO837">
        <v>1</v>
      </c>
      <c r="CR837">
        <v>9999</v>
      </c>
      <c r="DD837">
        <v>1</v>
      </c>
    </row>
    <row r="838" spans="1:108" x14ac:dyDescent="0.25">
      <c r="A838" t="s">
        <v>860</v>
      </c>
      <c r="C838" t="s">
        <v>5101</v>
      </c>
      <c r="J838" t="s">
        <v>3342</v>
      </c>
      <c r="K838" s="5" t="s">
        <v>3343</v>
      </c>
      <c r="M838" s="5">
        <v>20</v>
      </c>
      <c r="AC838">
        <v>1</v>
      </c>
      <c r="AG838" t="s">
        <v>3316</v>
      </c>
      <c r="AN838">
        <v>1</v>
      </c>
      <c r="AT838" t="s">
        <v>3441</v>
      </c>
      <c r="AZ838">
        <v>1</v>
      </c>
      <c r="BD838">
        <v>1</v>
      </c>
      <c r="BT838">
        <v>3600</v>
      </c>
      <c r="BV838" s="8">
        <v>0</v>
      </c>
      <c r="BW838" s="8">
        <v>120</v>
      </c>
      <c r="BX838" s="8">
        <v>1</v>
      </c>
      <c r="BY838" s="8" t="s">
        <v>3344</v>
      </c>
      <c r="CN838" s="9" t="s">
        <v>5102</v>
      </c>
      <c r="CO838" t="s">
        <v>5103</v>
      </c>
      <c r="CR838">
        <v>9999</v>
      </c>
      <c r="CU838" t="s">
        <v>5104</v>
      </c>
    </row>
    <row r="839" spans="1:108" x14ac:dyDescent="0.25">
      <c r="A839" t="s">
        <v>5105</v>
      </c>
      <c r="C839" t="s">
        <v>5006</v>
      </c>
      <c r="K839" s="5" t="s">
        <v>3314</v>
      </c>
      <c r="L839" s="5" t="s">
        <v>3671</v>
      </c>
      <c r="AC839">
        <v>1</v>
      </c>
      <c r="AF839">
        <v>1</v>
      </c>
      <c r="AG839" t="s">
        <v>3316</v>
      </c>
      <c r="AH839">
        <v>1</v>
      </c>
      <c r="AN839">
        <v>1</v>
      </c>
      <c r="BD839">
        <v>1</v>
      </c>
      <c r="CU839" t="s">
        <v>5106</v>
      </c>
    </row>
    <row r="840" spans="1:108" x14ac:dyDescent="0.25">
      <c r="A840" t="s">
        <v>864</v>
      </c>
      <c r="C840" t="s">
        <v>3326</v>
      </c>
      <c r="J840" t="s">
        <v>3342</v>
      </c>
      <c r="R840" t="s">
        <v>4938</v>
      </c>
      <c r="W840" s="5">
        <v>1</v>
      </c>
      <c r="X840" s="5">
        <v>1</v>
      </c>
      <c r="Y840">
        <v>1</v>
      </c>
      <c r="AC840">
        <v>3</v>
      </c>
      <c r="AN840">
        <v>1</v>
      </c>
      <c r="AO840" t="s">
        <v>4424</v>
      </c>
      <c r="AT840" t="s">
        <v>4244</v>
      </c>
      <c r="AX840" t="s">
        <v>3987</v>
      </c>
      <c r="AZ840">
        <v>500</v>
      </c>
      <c r="BB840">
        <v>2</v>
      </c>
      <c r="BD840">
        <v>99</v>
      </c>
      <c r="BP840" s="7" t="s">
        <v>5107</v>
      </c>
      <c r="BS840">
        <v>1</v>
      </c>
      <c r="BT840">
        <v>0.2</v>
      </c>
      <c r="BV840" s="8">
        <v>0</v>
      </c>
      <c r="BW840" s="8">
        <v>7</v>
      </c>
      <c r="BX840" s="8">
        <v>1</v>
      </c>
      <c r="BY840" s="8" t="s">
        <v>3344</v>
      </c>
      <c r="CB840" t="s">
        <v>136</v>
      </c>
      <c r="DD840">
        <v>1</v>
      </c>
    </row>
    <row r="841" spans="1:108" x14ac:dyDescent="0.25">
      <c r="A841" t="s">
        <v>5107</v>
      </c>
      <c r="C841" t="s">
        <v>3326</v>
      </c>
      <c r="K841" s="5" t="s">
        <v>3314</v>
      </c>
      <c r="Q841" t="s">
        <v>4938</v>
      </c>
      <c r="W841" s="5">
        <v>1</v>
      </c>
      <c r="X841" s="5">
        <v>1</v>
      </c>
      <c r="Y841">
        <v>1</v>
      </c>
      <c r="AC841">
        <v>3</v>
      </c>
      <c r="AN841">
        <v>1</v>
      </c>
      <c r="AO841" t="s">
        <v>4424</v>
      </c>
      <c r="AT841" t="s">
        <v>3441</v>
      </c>
      <c r="BD841">
        <v>99</v>
      </c>
      <c r="CN841" s="9" t="s">
        <v>4940</v>
      </c>
      <c r="CR841">
        <v>9999</v>
      </c>
      <c r="DD841">
        <v>1</v>
      </c>
    </row>
    <row r="842" spans="1:108" x14ac:dyDescent="0.25">
      <c r="A842" t="s">
        <v>867</v>
      </c>
      <c r="C842" t="s">
        <v>3326</v>
      </c>
      <c r="K842" s="5" t="s">
        <v>3314</v>
      </c>
      <c r="L842" s="5" t="s">
        <v>3327</v>
      </c>
      <c r="AC842">
        <v>1</v>
      </c>
      <c r="AN842">
        <v>1</v>
      </c>
      <c r="AO842" t="s">
        <v>4424</v>
      </c>
      <c r="AT842" t="s">
        <v>3441</v>
      </c>
      <c r="AZ842">
        <v>0</v>
      </c>
      <c r="BD842">
        <v>99</v>
      </c>
      <c r="CN842" s="9" t="s">
        <v>5108</v>
      </c>
      <c r="CO842">
        <v>0.02</v>
      </c>
      <c r="CR842">
        <v>9999</v>
      </c>
      <c r="DD842">
        <v>1</v>
      </c>
    </row>
    <row r="843" spans="1:108" x14ac:dyDescent="0.25">
      <c r="A843" t="s">
        <v>870</v>
      </c>
      <c r="C843" t="s">
        <v>3326</v>
      </c>
      <c r="K843" s="5" t="s">
        <v>3314</v>
      </c>
      <c r="L843" s="5" t="s">
        <v>3327</v>
      </c>
      <c r="AC843">
        <v>1</v>
      </c>
      <c r="AN843">
        <v>1</v>
      </c>
      <c r="AO843" t="s">
        <v>4424</v>
      </c>
      <c r="AT843" t="s">
        <v>3441</v>
      </c>
      <c r="AY843" s="5"/>
      <c r="AZ843">
        <v>1</v>
      </c>
      <c r="BD843">
        <v>1</v>
      </c>
      <c r="BV843"/>
      <c r="BW843"/>
      <c r="BX843"/>
      <c r="BY843"/>
      <c r="BZ843"/>
      <c r="CA843"/>
      <c r="CB843" s="5"/>
      <c r="CC843" s="5"/>
      <c r="CD843" s="5"/>
      <c r="CE843" s="5"/>
      <c r="CF843" s="5"/>
      <c r="CH843" s="5"/>
      <c r="CI843" s="5"/>
      <c r="CJ843" s="5"/>
      <c r="CK843" s="5"/>
      <c r="CL843" s="5"/>
      <c r="CM843" s="5"/>
      <c r="CN843" s="9" t="s">
        <v>5109</v>
      </c>
      <c r="CO843">
        <v>200</v>
      </c>
      <c r="CR843">
        <v>9999</v>
      </c>
      <c r="DD843">
        <v>1</v>
      </c>
    </row>
    <row r="844" spans="1:108" ht="14.3" customHeight="1" x14ac:dyDescent="0.25">
      <c r="A844" t="s">
        <v>874</v>
      </c>
      <c r="C844" t="s">
        <v>3326</v>
      </c>
      <c r="K844" s="5" t="s">
        <v>3314</v>
      </c>
      <c r="L844" s="5" t="s">
        <v>3327</v>
      </c>
      <c r="AC844">
        <v>1</v>
      </c>
      <c r="AN844">
        <v>1</v>
      </c>
      <c r="AO844" t="s">
        <v>4424</v>
      </c>
      <c r="AT844" t="s">
        <v>3441</v>
      </c>
      <c r="AY844" s="5"/>
      <c r="AZ844">
        <v>1</v>
      </c>
      <c r="BD844">
        <v>1</v>
      </c>
      <c r="BV844"/>
      <c r="BW844"/>
      <c r="BX844"/>
      <c r="BY844"/>
      <c r="BZ844"/>
      <c r="CA844"/>
      <c r="CB844" s="5"/>
      <c r="CC844" s="5"/>
      <c r="CD844" s="5"/>
      <c r="CE844" s="5"/>
      <c r="CF844" s="5"/>
      <c r="CH844" s="5"/>
      <c r="CI844" s="5"/>
      <c r="CJ844" s="5"/>
      <c r="CK844" s="5"/>
      <c r="CL844" s="5"/>
      <c r="CM844" s="5"/>
      <c r="CN844" s="9" t="s">
        <v>5110</v>
      </c>
      <c r="CO844">
        <v>-0.5</v>
      </c>
      <c r="CR844">
        <v>9999</v>
      </c>
      <c r="DD844">
        <v>1</v>
      </c>
    </row>
    <row r="845" spans="1:108" ht="14.3" customHeight="1" x14ac:dyDescent="0.25">
      <c r="A845" t="s">
        <v>878</v>
      </c>
      <c r="C845" t="s">
        <v>3326</v>
      </c>
      <c r="K845" s="5" t="s">
        <v>3314</v>
      </c>
      <c r="L845" s="5" t="s">
        <v>3327</v>
      </c>
      <c r="AC845">
        <v>1</v>
      </c>
      <c r="AN845">
        <v>1</v>
      </c>
      <c r="AO845" t="s">
        <v>4424</v>
      </c>
      <c r="AT845" t="s">
        <v>3441</v>
      </c>
      <c r="AY845" s="5"/>
      <c r="AZ845">
        <v>1</v>
      </c>
      <c r="BD845">
        <v>1</v>
      </c>
      <c r="BV845"/>
      <c r="BW845"/>
      <c r="BX845"/>
      <c r="BY845"/>
      <c r="BZ845"/>
      <c r="CA845"/>
      <c r="CB845" s="5"/>
      <c r="CC845" s="5"/>
      <c r="CD845" s="5"/>
      <c r="CE845" s="5"/>
      <c r="CF845" s="5"/>
      <c r="CH845" s="5"/>
      <c r="CI845" s="5"/>
      <c r="CJ845" s="5"/>
      <c r="CK845" s="5"/>
      <c r="CL845" s="5"/>
      <c r="CM845" s="5"/>
      <c r="CN845" s="9" t="s">
        <v>5110</v>
      </c>
      <c r="CO845">
        <v>-0.5</v>
      </c>
      <c r="CR845">
        <v>9999</v>
      </c>
      <c r="DD845">
        <v>1</v>
      </c>
    </row>
    <row r="846" spans="1:108" ht="14.3" customHeight="1" x14ac:dyDescent="0.25">
      <c r="A846" t="s">
        <v>881</v>
      </c>
      <c r="C846" t="s">
        <v>3326</v>
      </c>
      <c r="K846" s="5" t="s">
        <v>3344</v>
      </c>
      <c r="AC846">
        <v>3</v>
      </c>
      <c r="AN846">
        <v>1</v>
      </c>
      <c r="AO846" t="s">
        <v>4424</v>
      </c>
      <c r="AV846">
        <v>0.25</v>
      </c>
      <c r="AY846" s="5"/>
      <c r="AZ846">
        <v>0</v>
      </c>
      <c r="BD846">
        <v>99</v>
      </c>
      <c r="BV846"/>
      <c r="BW846"/>
      <c r="BX846"/>
      <c r="BY846"/>
      <c r="BZ846"/>
      <c r="CA846"/>
      <c r="CB846" s="5"/>
      <c r="CC846" s="5"/>
      <c r="CD846" s="5"/>
      <c r="CE846" s="5"/>
      <c r="CF846" s="5"/>
      <c r="CH846" s="5"/>
      <c r="CI846" s="5"/>
      <c r="CJ846" s="5"/>
      <c r="CK846" s="5"/>
      <c r="CL846" s="5"/>
      <c r="CM846" s="5"/>
      <c r="CN846" s="9" t="s">
        <v>5111</v>
      </c>
      <c r="CO846">
        <v>-0.6</v>
      </c>
      <c r="CR846">
        <v>0.1</v>
      </c>
      <c r="DD846">
        <v>1</v>
      </c>
    </row>
    <row r="847" spans="1:108" x14ac:dyDescent="0.25">
      <c r="A847" t="s">
        <v>884</v>
      </c>
      <c r="C847" t="s">
        <v>3326</v>
      </c>
      <c r="K847" s="5" t="s">
        <v>3314</v>
      </c>
      <c r="L847" s="5" t="s">
        <v>3327</v>
      </c>
      <c r="AC847">
        <v>1</v>
      </c>
      <c r="AN847">
        <v>1</v>
      </c>
      <c r="AO847" t="s">
        <v>4424</v>
      </c>
      <c r="AT847" t="s">
        <v>3441</v>
      </c>
      <c r="AZ847">
        <v>0</v>
      </c>
      <c r="BD847">
        <v>99</v>
      </c>
      <c r="CN847" s="9" t="s">
        <v>4061</v>
      </c>
      <c r="CR847">
        <v>9999</v>
      </c>
      <c r="DD847">
        <v>1</v>
      </c>
    </row>
    <row r="848" spans="1:108" ht="14.3" customHeight="1" x14ac:dyDescent="0.25">
      <c r="A848" t="s">
        <v>5112</v>
      </c>
      <c r="C848" t="s">
        <v>3326</v>
      </c>
      <c r="K848" s="5" t="s">
        <v>3344</v>
      </c>
      <c r="Q848" s="5" t="s">
        <v>5113</v>
      </c>
      <c r="AC848">
        <v>3</v>
      </c>
      <c r="AN848">
        <v>1</v>
      </c>
      <c r="AO848" t="s">
        <v>4424</v>
      </c>
      <c r="AV848">
        <v>0.25</v>
      </c>
      <c r="AY848" s="5"/>
      <c r="AZ848">
        <v>0</v>
      </c>
      <c r="BD848">
        <v>99</v>
      </c>
      <c r="BV848"/>
      <c r="BW848"/>
      <c r="BX848"/>
      <c r="BY848"/>
      <c r="BZ848"/>
      <c r="CA848"/>
      <c r="CB848" s="5"/>
      <c r="CC848" s="5"/>
      <c r="CD848" s="5"/>
      <c r="CE848" s="5"/>
      <c r="CF848" s="5"/>
      <c r="CH848" s="5"/>
      <c r="CI848" s="5"/>
      <c r="CJ848" s="5"/>
      <c r="CK848" s="5"/>
      <c r="CL848" s="5"/>
      <c r="CM848" s="5"/>
      <c r="CN848" s="9" t="s">
        <v>3318</v>
      </c>
      <c r="CO848">
        <v>1</v>
      </c>
      <c r="CR848">
        <v>0.1</v>
      </c>
      <c r="DD848">
        <v>1</v>
      </c>
    </row>
    <row r="849" spans="1:99" ht="14.3" customHeight="1" x14ac:dyDescent="0.25">
      <c r="AY849" s="5"/>
      <c r="BV849"/>
      <c r="BW849"/>
      <c r="BX849"/>
      <c r="BY849"/>
      <c r="BZ849"/>
      <c r="CA849"/>
      <c r="CB849" s="5"/>
      <c r="CC849" s="5"/>
      <c r="CD849" s="5"/>
      <c r="CE849" s="5"/>
      <c r="CF849" s="5"/>
      <c r="CH849" s="5"/>
      <c r="CI849" s="5"/>
      <c r="CJ849" s="5"/>
      <c r="CK849" s="5"/>
      <c r="CL849" s="5"/>
      <c r="CM849" s="5"/>
    </row>
    <row r="850" spans="1:99" s="4" customFormat="1" x14ac:dyDescent="0.25">
      <c r="A850" s="4" t="s">
        <v>5114</v>
      </c>
      <c r="K850" s="15"/>
      <c r="L850" s="15"/>
      <c r="M850" s="15"/>
      <c r="N850" s="15"/>
      <c r="O850" s="15"/>
      <c r="P850" s="15"/>
      <c r="Q850" s="15"/>
      <c r="R850" s="15"/>
      <c r="S850" s="15"/>
      <c r="T850" s="15"/>
      <c r="U850" s="15"/>
      <c r="V850" s="15"/>
      <c r="W850" s="15"/>
      <c r="X850" s="15"/>
      <c r="AR850"/>
      <c r="AS850"/>
      <c r="AW850" s="6"/>
      <c r="BO850" s="7"/>
      <c r="BP850" s="7"/>
      <c r="BV850" s="16"/>
      <c r="BW850" s="16"/>
      <c r="BX850" s="16"/>
      <c r="BY850" s="16"/>
      <c r="BZ850" s="16"/>
      <c r="CA850" s="16"/>
      <c r="CN850" s="9"/>
    </row>
    <row r="854" spans="1:99" x14ac:dyDescent="0.25">
      <c r="A854" t="s">
        <v>5115</v>
      </c>
      <c r="C854" t="s">
        <v>3326</v>
      </c>
      <c r="K854" s="5" t="s">
        <v>3314</v>
      </c>
      <c r="L854" s="5" t="s">
        <v>3330</v>
      </c>
      <c r="AC854">
        <v>1</v>
      </c>
      <c r="AF854">
        <v>1</v>
      </c>
      <c r="AY854" s="5"/>
      <c r="BD854">
        <v>1</v>
      </c>
      <c r="BV854"/>
      <c r="BW854"/>
      <c r="BX854"/>
      <c r="BY854"/>
      <c r="BZ854"/>
      <c r="CA854"/>
      <c r="CB854" s="5"/>
      <c r="CC854" s="5"/>
      <c r="CD854" s="5"/>
      <c r="CE854" s="5"/>
      <c r="CF854" s="5"/>
      <c r="CH854" s="5"/>
      <c r="CI854" s="5"/>
      <c r="CJ854" s="5"/>
      <c r="CK854" s="5"/>
      <c r="CL854" s="5"/>
      <c r="CM854" s="5"/>
      <c r="CN854" s="9" t="s">
        <v>5116</v>
      </c>
      <c r="CO854">
        <v>-0.5</v>
      </c>
      <c r="CR854">
        <v>99999</v>
      </c>
    </row>
    <row r="855" spans="1:99" x14ac:dyDescent="0.25">
      <c r="A855" t="s">
        <v>5117</v>
      </c>
      <c r="C855" t="s">
        <v>3326</v>
      </c>
      <c r="K855" s="5" t="s">
        <v>3314</v>
      </c>
      <c r="L855" s="5" t="s">
        <v>3330</v>
      </c>
      <c r="AC855">
        <v>1</v>
      </c>
      <c r="AF855">
        <v>1</v>
      </c>
      <c r="AY855" s="5"/>
      <c r="BD855">
        <v>1</v>
      </c>
      <c r="BV855"/>
      <c r="BW855"/>
      <c r="BX855"/>
      <c r="BY855"/>
      <c r="BZ855"/>
      <c r="CA855"/>
      <c r="CB855" s="5"/>
      <c r="CC855" s="5"/>
      <c r="CD855" s="5"/>
      <c r="CE855" s="5"/>
      <c r="CF855" s="5"/>
      <c r="CH855" s="5"/>
      <c r="CI855" s="5"/>
      <c r="CJ855" s="5"/>
      <c r="CK855" s="5"/>
      <c r="CL855" s="5"/>
      <c r="CM855" s="5"/>
      <c r="CN855" s="9" t="s">
        <v>5118</v>
      </c>
      <c r="CO855">
        <v>0.25</v>
      </c>
      <c r="CR855">
        <v>99999</v>
      </c>
    </row>
    <row r="856" spans="1:99" x14ac:dyDescent="0.25">
      <c r="A856" t="s">
        <v>5119</v>
      </c>
      <c r="C856" t="s">
        <v>3326</v>
      </c>
      <c r="K856" s="5" t="s">
        <v>3314</v>
      </c>
      <c r="L856" s="5" t="s">
        <v>3330</v>
      </c>
      <c r="AC856">
        <v>1</v>
      </c>
      <c r="AF856">
        <v>1</v>
      </c>
      <c r="AY856" s="5"/>
      <c r="BD856">
        <v>1</v>
      </c>
      <c r="BV856"/>
      <c r="BW856"/>
      <c r="BX856"/>
      <c r="BY856"/>
      <c r="BZ856"/>
      <c r="CA856"/>
      <c r="CB856" s="5"/>
      <c r="CC856" s="5"/>
      <c r="CD856" s="5"/>
      <c r="CE856" s="5"/>
      <c r="CF856" s="5"/>
      <c r="CH856" s="5"/>
      <c r="CI856" s="5"/>
      <c r="CJ856" s="5"/>
      <c r="CK856" s="5"/>
      <c r="CL856" s="5"/>
      <c r="CM856" s="5"/>
      <c r="CN856" s="9" t="s">
        <v>5120</v>
      </c>
      <c r="CO856">
        <v>-0.25</v>
      </c>
      <c r="CR856">
        <v>99999</v>
      </c>
    </row>
    <row r="857" spans="1:99" x14ac:dyDescent="0.25">
      <c r="A857" t="s">
        <v>5121</v>
      </c>
      <c r="C857" t="s">
        <v>3326</v>
      </c>
      <c r="K857" s="5" t="s">
        <v>3314</v>
      </c>
      <c r="L857" s="5" t="s">
        <v>3330</v>
      </c>
      <c r="AC857">
        <v>1</v>
      </c>
      <c r="AF857">
        <v>1</v>
      </c>
      <c r="AY857" s="5"/>
      <c r="BD857">
        <v>1</v>
      </c>
      <c r="BV857"/>
      <c r="BW857"/>
      <c r="BX857"/>
      <c r="BY857"/>
      <c r="BZ857"/>
      <c r="CA857"/>
      <c r="CB857" s="5"/>
      <c r="CC857" s="5"/>
      <c r="CD857" s="5"/>
      <c r="CE857" s="5"/>
      <c r="CF857" s="5"/>
      <c r="CH857" s="5"/>
      <c r="CI857" s="5"/>
      <c r="CJ857" s="5"/>
      <c r="CK857" s="5"/>
      <c r="CL857" s="5"/>
      <c r="CM857" s="5"/>
      <c r="CN857" s="9" t="s">
        <v>5122</v>
      </c>
      <c r="CO857">
        <v>0.25</v>
      </c>
      <c r="CR857">
        <v>99999</v>
      </c>
    </row>
    <row r="858" spans="1:99" x14ac:dyDescent="0.25">
      <c r="A858" t="s">
        <v>5123</v>
      </c>
      <c r="C858" t="s">
        <v>3326</v>
      </c>
      <c r="K858" s="5" t="s">
        <v>3314</v>
      </c>
      <c r="L858" s="5" t="s">
        <v>3330</v>
      </c>
      <c r="AC858">
        <v>1</v>
      </c>
      <c r="AF858">
        <v>1</v>
      </c>
      <c r="AY858" s="5"/>
      <c r="BD858">
        <v>1</v>
      </c>
      <c r="BV858"/>
      <c r="BW858"/>
      <c r="BX858"/>
      <c r="BY858"/>
      <c r="BZ858"/>
      <c r="CA858"/>
      <c r="CB858" s="5"/>
      <c r="CC858" s="5"/>
      <c r="CD858" s="5"/>
      <c r="CE858" s="5"/>
      <c r="CF858" s="5"/>
      <c r="CH858" s="5"/>
      <c r="CI858" s="5"/>
      <c r="CJ858" s="5"/>
      <c r="CK858" s="5"/>
      <c r="CL858" s="5"/>
      <c r="CM858" s="5"/>
      <c r="CN858" s="9" t="s">
        <v>5124</v>
      </c>
      <c r="CO858">
        <v>-0.5</v>
      </c>
      <c r="CR858">
        <v>99999</v>
      </c>
    </row>
    <row r="859" spans="1:99" x14ac:dyDescent="0.25">
      <c r="A859" t="s">
        <v>5125</v>
      </c>
      <c r="C859" t="s">
        <v>3326</v>
      </c>
      <c r="K859" s="5" t="s">
        <v>3314</v>
      </c>
      <c r="L859" s="5" t="s">
        <v>3330</v>
      </c>
      <c r="AC859">
        <v>1</v>
      </c>
      <c r="AF859">
        <v>1</v>
      </c>
      <c r="AY859" s="5"/>
      <c r="BD859">
        <v>1</v>
      </c>
      <c r="BV859"/>
      <c r="BW859"/>
      <c r="BX859"/>
      <c r="BY859"/>
      <c r="BZ859"/>
      <c r="CA859"/>
      <c r="CB859" s="5"/>
      <c r="CC859" s="5"/>
      <c r="CD859" s="5"/>
      <c r="CE859" s="5"/>
      <c r="CF859" s="5"/>
      <c r="CH859" s="5"/>
      <c r="CI859" s="5"/>
      <c r="CJ859" s="5"/>
      <c r="CK859" s="5"/>
      <c r="CL859" s="5"/>
      <c r="CM859" s="5"/>
      <c r="CN859" s="9" t="s">
        <v>5126</v>
      </c>
      <c r="CO859">
        <v>0.33</v>
      </c>
      <c r="CR859">
        <v>99999</v>
      </c>
    </row>
    <row r="860" spans="1:99" x14ac:dyDescent="0.25">
      <c r="A860" t="s">
        <v>5127</v>
      </c>
      <c r="C860" t="s">
        <v>5101</v>
      </c>
      <c r="K860" s="5" t="s">
        <v>3314</v>
      </c>
      <c r="L860" s="5" t="s">
        <v>5128</v>
      </c>
      <c r="AY860" s="5"/>
      <c r="BV860"/>
      <c r="BW860"/>
      <c r="BX860"/>
      <c r="BY860"/>
      <c r="BZ860"/>
      <c r="CA860"/>
      <c r="CB860" s="5"/>
      <c r="CC860" s="5"/>
      <c r="CD860" s="5"/>
      <c r="CE860" s="5"/>
      <c r="CF860" s="5"/>
      <c r="CH860" s="5"/>
      <c r="CI860" s="5"/>
      <c r="CJ860" s="5"/>
      <c r="CK860" s="5"/>
      <c r="CL860" s="5"/>
      <c r="CM860" s="5"/>
      <c r="CU860" t="s">
        <v>5129</v>
      </c>
    </row>
    <row r="861" spans="1:99" x14ac:dyDescent="0.25">
      <c r="A861" t="s">
        <v>5130</v>
      </c>
      <c r="C861" t="s">
        <v>5131</v>
      </c>
      <c r="K861" s="5" t="s">
        <v>3314</v>
      </c>
      <c r="L861" s="5" t="s">
        <v>5128</v>
      </c>
      <c r="AY861" s="5"/>
      <c r="BV861"/>
      <c r="BW861"/>
      <c r="BX861"/>
      <c r="BY861"/>
      <c r="BZ861"/>
      <c r="CA861"/>
      <c r="CB861" s="5"/>
      <c r="CC861" s="5"/>
      <c r="CD861" s="5"/>
      <c r="CE861" s="5"/>
      <c r="CF861" s="5"/>
      <c r="CH861" s="5"/>
      <c r="CI861" s="5"/>
      <c r="CJ861" s="5"/>
      <c r="CK861" s="5"/>
      <c r="CL861" s="5"/>
      <c r="CM861" s="5"/>
      <c r="CU861" t="s">
        <v>5132</v>
      </c>
    </row>
    <row r="862" spans="1:99" x14ac:dyDescent="0.25">
      <c r="A862" t="s">
        <v>5133</v>
      </c>
      <c r="C862" t="s">
        <v>3326</v>
      </c>
      <c r="K862" s="5" t="s">
        <v>3314</v>
      </c>
      <c r="L862" s="5" t="s">
        <v>3327</v>
      </c>
      <c r="AC862">
        <v>1</v>
      </c>
      <c r="AF862">
        <v>1</v>
      </c>
      <c r="AX862" t="s">
        <v>3987</v>
      </c>
      <c r="AZ862">
        <v>0.5</v>
      </c>
      <c r="BB862">
        <v>1</v>
      </c>
      <c r="BD862">
        <v>1</v>
      </c>
    </row>
    <row r="864" spans="1:99" x14ac:dyDescent="0.25">
      <c r="A864" t="s">
        <v>5134</v>
      </c>
      <c r="C864" t="s">
        <v>3326</v>
      </c>
      <c r="K864" s="5" t="s">
        <v>3314</v>
      </c>
      <c r="L864" s="5" t="s">
        <v>3330</v>
      </c>
      <c r="AC864">
        <v>1</v>
      </c>
      <c r="AF864">
        <v>1</v>
      </c>
      <c r="AH864">
        <v>1</v>
      </c>
      <c r="AY864" s="5"/>
      <c r="BD864">
        <v>1</v>
      </c>
      <c r="BV864"/>
      <c r="BW864"/>
      <c r="BX864"/>
      <c r="BY864"/>
      <c r="BZ864"/>
      <c r="CA864"/>
      <c r="CB864" s="5"/>
      <c r="CC864" s="5"/>
      <c r="CD864" s="5"/>
      <c r="CE864" s="5"/>
      <c r="CF864" s="5"/>
      <c r="CH864" s="5"/>
      <c r="CI864" s="5"/>
      <c r="CJ864" s="5"/>
      <c r="CK864" s="5"/>
      <c r="CL864" s="5"/>
      <c r="CM864" s="5"/>
      <c r="CN864" s="9" t="s">
        <v>5135</v>
      </c>
      <c r="CO864">
        <v>1</v>
      </c>
      <c r="CR864">
        <v>99999</v>
      </c>
    </row>
    <row r="865" spans="1:108" x14ac:dyDescent="0.25">
      <c r="A865" t="s">
        <v>5136</v>
      </c>
      <c r="C865" t="s">
        <v>3326</v>
      </c>
      <c r="K865" s="5" t="s">
        <v>3314</v>
      </c>
      <c r="L865" s="5" t="s">
        <v>3330</v>
      </c>
      <c r="AC865">
        <v>1</v>
      </c>
      <c r="AF865">
        <v>1</v>
      </c>
      <c r="AH865">
        <v>1</v>
      </c>
      <c r="AY865" s="5"/>
      <c r="BD865">
        <v>1</v>
      </c>
      <c r="BV865"/>
      <c r="BW865"/>
      <c r="BX865"/>
      <c r="BY865"/>
      <c r="BZ865"/>
      <c r="CA865"/>
      <c r="CB865" s="5"/>
      <c r="CC865" s="5"/>
      <c r="CD865" s="5"/>
      <c r="CE865" s="5"/>
      <c r="CF865" s="5"/>
      <c r="CH865" s="5"/>
      <c r="CI865" s="5"/>
      <c r="CJ865" s="5"/>
      <c r="CK865" s="5"/>
      <c r="CL865" s="5"/>
      <c r="CM865" s="5"/>
      <c r="CN865" s="9" t="s">
        <v>5137</v>
      </c>
      <c r="CO865">
        <v>0.5</v>
      </c>
      <c r="CP865">
        <v>1</v>
      </c>
      <c r="CR865">
        <v>99999</v>
      </c>
    </row>
    <row r="866" spans="1:108" x14ac:dyDescent="0.25">
      <c r="A866" t="s">
        <v>5138</v>
      </c>
      <c r="C866" t="s">
        <v>3326</v>
      </c>
      <c r="K866" s="5" t="s">
        <v>3314</v>
      </c>
      <c r="L866" s="5" t="s">
        <v>3330</v>
      </c>
      <c r="AC866">
        <v>1</v>
      </c>
      <c r="AF866">
        <v>1</v>
      </c>
      <c r="AH866">
        <v>1</v>
      </c>
      <c r="AY866" s="5"/>
      <c r="BD866">
        <v>1</v>
      </c>
      <c r="BV866"/>
      <c r="BW866"/>
      <c r="BX866"/>
      <c r="BY866"/>
      <c r="BZ866"/>
      <c r="CA866"/>
      <c r="CB866" s="5"/>
      <c r="CC866" s="5"/>
      <c r="CD866" s="5"/>
      <c r="CE866" s="5"/>
      <c r="CF866" s="5"/>
      <c r="CH866" s="5"/>
      <c r="CI866" s="5"/>
      <c r="CJ866" s="5"/>
      <c r="CK866" s="5"/>
      <c r="CL866" s="5"/>
      <c r="CM866" s="5"/>
      <c r="CN866" s="9" t="s">
        <v>5124</v>
      </c>
      <c r="CO866">
        <v>100</v>
      </c>
      <c r="CR866">
        <v>99999</v>
      </c>
    </row>
    <row r="867" spans="1:108" x14ac:dyDescent="0.25">
      <c r="A867" t="s">
        <v>5139</v>
      </c>
      <c r="C867" t="s">
        <v>3326</v>
      </c>
      <c r="K867" s="5" t="s">
        <v>3314</v>
      </c>
      <c r="L867" s="5" t="s">
        <v>3330</v>
      </c>
      <c r="AC867">
        <v>1</v>
      </c>
      <c r="AF867">
        <v>1</v>
      </c>
      <c r="AH867">
        <v>1</v>
      </c>
      <c r="AY867" s="5"/>
      <c r="BD867">
        <v>1</v>
      </c>
      <c r="BV867"/>
      <c r="BW867"/>
      <c r="BX867"/>
      <c r="BY867"/>
      <c r="BZ867"/>
      <c r="CA867"/>
      <c r="CB867" s="5"/>
      <c r="CC867" s="5"/>
      <c r="CD867" s="5"/>
      <c r="CE867" s="5"/>
      <c r="CF867" s="5"/>
      <c r="CH867" s="5"/>
      <c r="CI867" s="5"/>
      <c r="CJ867" s="5"/>
      <c r="CK867" s="5"/>
      <c r="CL867" s="5"/>
      <c r="CM867" s="5"/>
      <c r="CN867" s="9" t="s">
        <v>5140</v>
      </c>
      <c r="CO867">
        <v>-0.5</v>
      </c>
      <c r="CR867">
        <v>99999</v>
      </c>
    </row>
    <row r="868" spans="1:108" x14ac:dyDescent="0.25">
      <c r="A868" t="s">
        <v>5141</v>
      </c>
      <c r="C868" t="s">
        <v>3326</v>
      </c>
      <c r="K868" s="5" t="s">
        <v>3314</v>
      </c>
      <c r="L868" s="5" t="s">
        <v>3330</v>
      </c>
      <c r="AC868">
        <v>1</v>
      </c>
      <c r="AF868">
        <v>1</v>
      </c>
      <c r="AH868">
        <v>1</v>
      </c>
      <c r="AY868" s="5"/>
      <c r="BD868">
        <v>1</v>
      </c>
      <c r="BV868"/>
      <c r="BW868"/>
      <c r="BX868"/>
      <c r="BY868"/>
      <c r="BZ868"/>
      <c r="CA868"/>
      <c r="CB868" s="5"/>
      <c r="CC868" s="5"/>
      <c r="CD868" s="5"/>
      <c r="CE868" s="5"/>
      <c r="CF868" s="5"/>
      <c r="CH868" s="5"/>
      <c r="CI868" s="5"/>
      <c r="CJ868" s="5"/>
      <c r="CK868" s="5"/>
      <c r="CL868" s="5"/>
      <c r="CM868" s="5"/>
      <c r="CN868" s="9" t="s">
        <v>5126</v>
      </c>
      <c r="CO868">
        <v>-0.65</v>
      </c>
      <c r="CR868">
        <v>99999</v>
      </c>
    </row>
    <row r="869" spans="1:108" x14ac:dyDescent="0.25">
      <c r="A869" t="s">
        <v>5142</v>
      </c>
      <c r="C869" t="s">
        <v>3512</v>
      </c>
      <c r="K869" s="5" t="s">
        <v>3314</v>
      </c>
      <c r="L869" s="5" t="s">
        <v>3327</v>
      </c>
      <c r="AC869">
        <v>1</v>
      </c>
      <c r="AF869">
        <v>1</v>
      </c>
      <c r="AH869">
        <v>1</v>
      </c>
      <c r="AY869" s="5"/>
      <c r="BD869">
        <v>1</v>
      </c>
      <c r="BV869"/>
      <c r="BW869"/>
      <c r="BX869"/>
      <c r="BY869"/>
      <c r="BZ869"/>
      <c r="CA869"/>
      <c r="CB869" s="5"/>
      <c r="CC869" s="5"/>
      <c r="CD869" s="5"/>
      <c r="CE869" s="5"/>
      <c r="CF869" s="5"/>
      <c r="CH869" s="5"/>
      <c r="CI869" s="5"/>
      <c r="CJ869" s="5"/>
      <c r="CK869" s="5"/>
      <c r="CL869" s="5"/>
      <c r="CM869" s="5"/>
      <c r="CU869" t="s">
        <v>5143</v>
      </c>
      <c r="DD869">
        <v>1</v>
      </c>
    </row>
    <row r="871" spans="1:108" x14ac:dyDescent="0.25">
      <c r="A871" t="s">
        <v>5144</v>
      </c>
      <c r="C871" t="s">
        <v>3326</v>
      </c>
      <c r="K871" s="5" t="s">
        <v>3314</v>
      </c>
      <c r="L871" s="5" t="s">
        <v>3327</v>
      </c>
      <c r="AC871">
        <v>2</v>
      </c>
      <c r="AF871">
        <v>1</v>
      </c>
      <c r="AY871" s="5"/>
      <c r="BD871">
        <v>1</v>
      </c>
      <c r="BV871"/>
      <c r="BW871"/>
      <c r="BX871"/>
      <c r="BY871"/>
      <c r="BZ871"/>
      <c r="CA871"/>
      <c r="CB871" s="5"/>
      <c r="CC871" s="5"/>
      <c r="CD871" s="5"/>
      <c r="CE871" s="5"/>
      <c r="CF871" s="5"/>
      <c r="CH871" s="5"/>
      <c r="CI871" s="5"/>
      <c r="CJ871" s="5"/>
      <c r="CK871" s="5"/>
      <c r="CL871" s="5"/>
      <c r="CM871" s="5"/>
      <c r="CN871" s="9" t="s">
        <v>5135</v>
      </c>
      <c r="CO871">
        <v>0.15</v>
      </c>
      <c r="CR871">
        <v>99999</v>
      </c>
    </row>
    <row r="872" spans="1:108" x14ac:dyDescent="0.25">
      <c r="A872" t="s">
        <v>5145</v>
      </c>
      <c r="C872" t="s">
        <v>3326</v>
      </c>
      <c r="K872" s="5" t="s">
        <v>3314</v>
      </c>
      <c r="L872" s="5" t="s">
        <v>3327</v>
      </c>
      <c r="AC872">
        <v>2</v>
      </c>
      <c r="AF872">
        <v>1</v>
      </c>
      <c r="AY872" s="5"/>
      <c r="BD872">
        <v>1</v>
      </c>
      <c r="BV872"/>
      <c r="BW872"/>
      <c r="BX872"/>
      <c r="BY872"/>
      <c r="BZ872"/>
      <c r="CA872"/>
      <c r="CB872" s="5"/>
      <c r="CC872" s="5"/>
      <c r="CD872" s="5"/>
      <c r="CE872" s="5"/>
      <c r="CF872" s="5"/>
      <c r="CH872" s="5"/>
      <c r="CI872" s="5"/>
      <c r="CJ872" s="5"/>
      <c r="CK872" s="5"/>
      <c r="CL872" s="5"/>
      <c r="CM872" s="5"/>
      <c r="CN872" s="9" t="s">
        <v>5135</v>
      </c>
      <c r="CO872">
        <v>0.35</v>
      </c>
      <c r="CR872">
        <v>99999</v>
      </c>
    </row>
    <row r="873" spans="1:108" x14ac:dyDescent="0.25">
      <c r="A873" t="s">
        <v>5146</v>
      </c>
      <c r="C873" t="s">
        <v>3326</v>
      </c>
      <c r="K873" s="5" t="s">
        <v>3314</v>
      </c>
      <c r="L873" s="5" t="s">
        <v>3327</v>
      </c>
      <c r="AC873">
        <v>2</v>
      </c>
      <c r="AF873">
        <v>1</v>
      </c>
      <c r="AY873" s="5"/>
      <c r="BD873">
        <v>1</v>
      </c>
      <c r="BV873"/>
      <c r="BW873"/>
      <c r="BX873"/>
      <c r="BY873"/>
      <c r="BZ873"/>
      <c r="CA873"/>
      <c r="CB873" s="5"/>
      <c r="CC873" s="5"/>
      <c r="CD873" s="5"/>
      <c r="CE873" s="5"/>
      <c r="CF873" s="5"/>
      <c r="CH873" s="5"/>
      <c r="CI873" s="5"/>
      <c r="CJ873" s="5"/>
      <c r="CK873" s="5"/>
      <c r="CL873" s="5"/>
      <c r="CM873" s="5"/>
      <c r="CN873" s="9" t="s">
        <v>5135</v>
      </c>
      <c r="CO873">
        <v>0.8</v>
      </c>
      <c r="CR873">
        <v>99999</v>
      </c>
    </row>
    <row r="874" spans="1:108" x14ac:dyDescent="0.25">
      <c r="A874" t="s">
        <v>5147</v>
      </c>
      <c r="C874" t="s">
        <v>3326</v>
      </c>
      <c r="K874" s="5" t="s">
        <v>3314</v>
      </c>
      <c r="L874" s="5" t="s">
        <v>3327</v>
      </c>
      <c r="AC874">
        <v>2</v>
      </c>
      <c r="AF874">
        <v>1</v>
      </c>
      <c r="AY874" s="5"/>
      <c r="BD874">
        <v>1</v>
      </c>
      <c r="BV874"/>
      <c r="BW874"/>
      <c r="BX874"/>
      <c r="BY874"/>
      <c r="BZ874"/>
      <c r="CA874"/>
      <c r="CB874" s="5"/>
      <c r="CC874" s="5"/>
      <c r="CD874" s="5"/>
      <c r="CE874" s="5"/>
      <c r="CF874" s="5"/>
      <c r="CH874" s="5"/>
      <c r="CI874" s="5"/>
      <c r="CJ874" s="5"/>
      <c r="CK874" s="5"/>
      <c r="CL874" s="5"/>
      <c r="CM874" s="5"/>
      <c r="CN874" s="9" t="s">
        <v>5148</v>
      </c>
      <c r="CO874">
        <v>0.25</v>
      </c>
      <c r="CR874">
        <v>99999</v>
      </c>
    </row>
    <row r="875" spans="1:108" x14ac:dyDescent="0.25">
      <c r="A875" t="s">
        <v>5149</v>
      </c>
      <c r="C875" t="s">
        <v>3326</v>
      </c>
      <c r="K875" s="5" t="s">
        <v>3314</v>
      </c>
      <c r="L875" s="5" t="s">
        <v>3327</v>
      </c>
      <c r="AC875">
        <v>2</v>
      </c>
      <c r="AF875">
        <v>1</v>
      </c>
      <c r="AY875" s="5"/>
      <c r="BD875">
        <v>1</v>
      </c>
      <c r="BV875"/>
      <c r="BW875"/>
      <c r="BX875"/>
      <c r="BY875"/>
      <c r="BZ875"/>
      <c r="CA875"/>
      <c r="CB875" s="5"/>
      <c r="CC875" s="5"/>
      <c r="CD875" s="5"/>
      <c r="CE875" s="5"/>
      <c r="CF875" s="5"/>
      <c r="CH875" s="5"/>
      <c r="CI875" s="5"/>
      <c r="CJ875" s="5"/>
      <c r="CK875" s="5"/>
      <c r="CL875" s="5"/>
      <c r="CM875" s="5"/>
      <c r="CN875" s="9" t="s">
        <v>5148</v>
      </c>
      <c r="CO875">
        <v>0.6</v>
      </c>
      <c r="CR875">
        <v>99999</v>
      </c>
    </row>
    <row r="876" spans="1:108" x14ac:dyDescent="0.25">
      <c r="A876" t="s">
        <v>5150</v>
      </c>
      <c r="C876" t="s">
        <v>3326</v>
      </c>
      <c r="K876" s="5" t="s">
        <v>3314</v>
      </c>
      <c r="L876" s="5" t="s">
        <v>3327</v>
      </c>
      <c r="AC876">
        <v>2</v>
      </c>
      <c r="AF876">
        <v>1</v>
      </c>
      <c r="AY876" s="5"/>
      <c r="BD876">
        <v>1</v>
      </c>
      <c r="BV876"/>
      <c r="BW876"/>
      <c r="BX876"/>
      <c r="BY876"/>
      <c r="BZ876"/>
      <c r="CA876"/>
      <c r="CB876" s="5"/>
      <c r="CC876" s="5"/>
      <c r="CD876" s="5"/>
      <c r="CE876" s="5"/>
      <c r="CF876" s="5"/>
      <c r="CH876" s="5"/>
      <c r="CI876" s="5"/>
      <c r="CJ876" s="5"/>
      <c r="CK876" s="5"/>
      <c r="CL876" s="5"/>
      <c r="CM876" s="5"/>
      <c r="CN876" s="9" t="s">
        <v>5148</v>
      </c>
      <c r="CO876">
        <v>1.5</v>
      </c>
      <c r="CR876">
        <v>99999</v>
      </c>
    </row>
    <row r="877" spans="1:108" x14ac:dyDescent="0.25">
      <c r="A877" t="s">
        <v>5151</v>
      </c>
      <c r="C877" t="s">
        <v>3326</v>
      </c>
      <c r="K877" s="5" t="s">
        <v>3314</v>
      </c>
      <c r="L877" s="5" t="s">
        <v>3330</v>
      </c>
      <c r="AC877">
        <v>1</v>
      </c>
      <c r="AF877">
        <v>1</v>
      </c>
      <c r="AH877">
        <v>1</v>
      </c>
      <c r="AY877" s="5"/>
      <c r="BD877">
        <v>1</v>
      </c>
      <c r="BV877"/>
      <c r="BW877"/>
      <c r="BX877"/>
      <c r="BY877"/>
      <c r="BZ877"/>
      <c r="CA877"/>
      <c r="CB877" s="5"/>
      <c r="CC877" s="5"/>
      <c r="CD877" s="5"/>
      <c r="CE877" s="5"/>
      <c r="CF877" s="5"/>
      <c r="CH877" s="5"/>
      <c r="CI877" s="5"/>
      <c r="CJ877" s="5"/>
      <c r="CK877" s="5"/>
      <c r="CL877" s="5"/>
      <c r="CM877" s="5"/>
      <c r="CN877" s="9" t="s">
        <v>5148</v>
      </c>
      <c r="CO877">
        <v>-0.3</v>
      </c>
      <c r="CR877">
        <v>99999</v>
      </c>
    </row>
    <row r="878" spans="1:108" x14ac:dyDescent="0.25">
      <c r="A878" t="s">
        <v>5152</v>
      </c>
      <c r="C878" t="s">
        <v>3326</v>
      </c>
      <c r="K878" s="5" t="s">
        <v>3314</v>
      </c>
      <c r="L878" s="5" t="s">
        <v>3330</v>
      </c>
      <c r="AC878">
        <v>1</v>
      </c>
      <c r="AF878">
        <v>1</v>
      </c>
      <c r="AH878">
        <v>1</v>
      </c>
      <c r="AY878" s="5"/>
      <c r="BD878">
        <v>1</v>
      </c>
      <c r="BV878"/>
      <c r="BW878"/>
      <c r="BX878"/>
      <c r="BY878"/>
      <c r="BZ878"/>
      <c r="CA878"/>
      <c r="CB878" s="5"/>
      <c r="CC878" s="5"/>
      <c r="CD878" s="5"/>
      <c r="CE878" s="5"/>
      <c r="CF878" s="5"/>
      <c r="CH878" s="5"/>
      <c r="CI878" s="5"/>
      <c r="CJ878" s="5"/>
      <c r="CK878" s="5"/>
      <c r="CL878" s="5"/>
      <c r="CM878" s="5"/>
      <c r="CN878" s="9" t="s">
        <v>5148</v>
      </c>
      <c r="CO878">
        <v>-0.5</v>
      </c>
      <c r="CR878">
        <v>99999</v>
      </c>
    </row>
    <row r="879" spans="1:108" x14ac:dyDescent="0.25">
      <c r="A879" t="s">
        <v>5153</v>
      </c>
      <c r="C879" t="s">
        <v>3326</v>
      </c>
      <c r="K879" s="5" t="s">
        <v>3314</v>
      </c>
      <c r="L879" s="5" t="s">
        <v>3330</v>
      </c>
      <c r="AC879">
        <v>1</v>
      </c>
      <c r="AF879">
        <v>1</v>
      </c>
      <c r="AH879">
        <v>1</v>
      </c>
      <c r="AY879" s="5"/>
      <c r="BD879">
        <v>1</v>
      </c>
      <c r="BV879"/>
      <c r="BW879"/>
      <c r="BX879"/>
      <c r="BY879"/>
      <c r="BZ879"/>
      <c r="CA879"/>
      <c r="CB879" s="5"/>
      <c r="CC879" s="5"/>
      <c r="CD879" s="5"/>
      <c r="CE879" s="5"/>
      <c r="CF879" s="5"/>
      <c r="CH879" s="5"/>
      <c r="CI879" s="5"/>
      <c r="CJ879" s="5"/>
      <c r="CK879" s="5"/>
      <c r="CL879" s="5"/>
      <c r="CM879" s="5"/>
      <c r="CN879" s="9" t="s">
        <v>5148</v>
      </c>
      <c r="CO879">
        <v>-0.75</v>
      </c>
      <c r="CR879">
        <v>99999</v>
      </c>
    </row>
    <row r="880" spans="1:108" x14ac:dyDescent="0.25">
      <c r="A880" t="s">
        <v>5154</v>
      </c>
      <c r="C880" t="s">
        <v>3326</v>
      </c>
      <c r="K880" s="5" t="s">
        <v>3314</v>
      </c>
      <c r="L880" s="5" t="s">
        <v>3330</v>
      </c>
      <c r="AC880">
        <v>2</v>
      </c>
      <c r="AF880">
        <v>1</v>
      </c>
      <c r="AY880" s="5"/>
      <c r="BD880">
        <v>1</v>
      </c>
      <c r="BV880"/>
      <c r="BW880"/>
      <c r="BX880"/>
      <c r="BY880"/>
      <c r="BZ880"/>
      <c r="CA880"/>
      <c r="CB880" s="5"/>
      <c r="CC880" s="5"/>
      <c r="CD880" s="5"/>
      <c r="CE880" s="5"/>
      <c r="CF880" s="5"/>
      <c r="CH880" s="5"/>
      <c r="CI880" s="5"/>
      <c r="CJ880" s="5"/>
      <c r="CK880" s="5"/>
      <c r="CL880" s="5"/>
      <c r="CM880" s="5"/>
      <c r="CN880" s="9" t="s">
        <v>5124</v>
      </c>
      <c r="CO880">
        <v>0.5</v>
      </c>
      <c r="CR880">
        <v>99999</v>
      </c>
    </row>
    <row r="881" spans="1:99" x14ac:dyDescent="0.25">
      <c r="A881" t="s">
        <v>5155</v>
      </c>
      <c r="C881" t="s">
        <v>3326</v>
      </c>
      <c r="K881" s="5" t="s">
        <v>3314</v>
      </c>
      <c r="L881" s="5" t="s">
        <v>3330</v>
      </c>
      <c r="AC881">
        <v>2</v>
      </c>
      <c r="AF881">
        <v>1</v>
      </c>
      <c r="AY881" s="5"/>
      <c r="BD881">
        <v>1</v>
      </c>
      <c r="BV881"/>
      <c r="BW881"/>
      <c r="BX881"/>
      <c r="BY881"/>
      <c r="BZ881"/>
      <c r="CA881"/>
      <c r="CB881" s="5"/>
      <c r="CC881" s="5"/>
      <c r="CD881" s="5"/>
      <c r="CE881" s="5"/>
      <c r="CF881" s="5"/>
      <c r="CH881" s="5"/>
      <c r="CI881" s="5"/>
      <c r="CJ881" s="5"/>
      <c r="CK881" s="5"/>
      <c r="CL881" s="5"/>
      <c r="CM881" s="5"/>
      <c r="CN881" s="9" t="s">
        <v>5156</v>
      </c>
      <c r="CO881">
        <v>0.5</v>
      </c>
      <c r="CR881">
        <v>99999</v>
      </c>
    </row>
    <row r="882" spans="1:99" x14ac:dyDescent="0.25">
      <c r="A882" t="s">
        <v>5157</v>
      </c>
      <c r="C882" t="s">
        <v>3326</v>
      </c>
      <c r="K882" s="5" t="s">
        <v>3314</v>
      </c>
      <c r="L882" s="5" t="s">
        <v>3330</v>
      </c>
      <c r="AC882">
        <v>2</v>
      </c>
      <c r="AF882">
        <v>1</v>
      </c>
      <c r="AY882" s="5"/>
      <c r="BD882">
        <v>1</v>
      </c>
      <c r="BV882"/>
      <c r="BW882"/>
      <c r="BX882"/>
      <c r="BY882"/>
      <c r="BZ882"/>
      <c r="CA882"/>
      <c r="CB882" s="5"/>
      <c r="CC882" s="5"/>
      <c r="CD882" s="5"/>
      <c r="CE882" s="5"/>
      <c r="CF882" s="5"/>
      <c r="CH882" s="5"/>
      <c r="CI882" s="5"/>
      <c r="CJ882" s="5"/>
      <c r="CK882" s="5"/>
      <c r="CL882" s="5"/>
      <c r="CM882" s="5"/>
      <c r="CN882" s="9" t="s">
        <v>5156</v>
      </c>
      <c r="CO882">
        <v>1</v>
      </c>
      <c r="CR882">
        <v>99999</v>
      </c>
    </row>
    <row r="883" spans="1:99" x14ac:dyDescent="0.25">
      <c r="A883" t="s">
        <v>5158</v>
      </c>
      <c r="C883" t="s">
        <v>3326</v>
      </c>
      <c r="K883" s="5" t="s">
        <v>3314</v>
      </c>
      <c r="L883" s="5" t="s">
        <v>3330</v>
      </c>
      <c r="AC883">
        <v>2</v>
      </c>
      <c r="AF883">
        <v>1</v>
      </c>
      <c r="AY883" s="5"/>
      <c r="BD883">
        <v>1</v>
      </c>
      <c r="BV883"/>
      <c r="BW883"/>
      <c r="BX883"/>
      <c r="BY883"/>
      <c r="BZ883"/>
      <c r="CA883"/>
      <c r="CB883" s="5"/>
      <c r="CC883" s="5"/>
      <c r="CD883" s="5"/>
      <c r="CE883" s="5"/>
      <c r="CF883" s="5"/>
      <c r="CH883" s="5"/>
      <c r="CI883" s="5"/>
      <c r="CJ883" s="5"/>
      <c r="CK883" s="5"/>
      <c r="CL883" s="5"/>
      <c r="CM883" s="5"/>
      <c r="CN883" s="9" t="s">
        <v>5159</v>
      </c>
      <c r="CO883">
        <v>0.5</v>
      </c>
      <c r="CR883">
        <v>99999</v>
      </c>
    </row>
    <row r="884" spans="1:99" x14ac:dyDescent="0.25">
      <c r="A884" t="s">
        <v>5160</v>
      </c>
      <c r="C884" t="s">
        <v>3326</v>
      </c>
      <c r="K884" s="5" t="s">
        <v>3314</v>
      </c>
      <c r="L884" s="5" t="s">
        <v>3330</v>
      </c>
      <c r="AC884">
        <v>2</v>
      </c>
      <c r="AF884">
        <v>1</v>
      </c>
      <c r="AY884" s="5"/>
      <c r="BD884">
        <v>1</v>
      </c>
      <c r="BV884"/>
      <c r="BW884"/>
      <c r="BX884"/>
      <c r="BY884"/>
      <c r="BZ884"/>
      <c r="CA884"/>
      <c r="CB884" s="5"/>
      <c r="CC884" s="5"/>
      <c r="CD884" s="5"/>
      <c r="CE884" s="5"/>
      <c r="CF884" s="5"/>
      <c r="CH884" s="5"/>
      <c r="CI884" s="5"/>
      <c r="CJ884" s="5"/>
      <c r="CK884" s="5"/>
      <c r="CL884" s="5"/>
      <c r="CM884" s="5"/>
      <c r="CN884" s="9" t="s">
        <v>3600</v>
      </c>
      <c r="CO884">
        <v>0.5</v>
      </c>
      <c r="CR884">
        <v>99999</v>
      </c>
    </row>
    <row r="885" spans="1:99" x14ac:dyDescent="0.25">
      <c r="A885" t="s">
        <v>5161</v>
      </c>
      <c r="C885" t="s">
        <v>3326</v>
      </c>
      <c r="K885" s="5" t="s">
        <v>3314</v>
      </c>
      <c r="L885" s="5" t="s">
        <v>3330</v>
      </c>
      <c r="AC885">
        <v>2</v>
      </c>
      <c r="AF885">
        <v>1</v>
      </c>
      <c r="AY885" s="5"/>
      <c r="BD885">
        <v>1</v>
      </c>
      <c r="BV885"/>
      <c r="BW885"/>
      <c r="BX885"/>
      <c r="BY885"/>
      <c r="BZ885"/>
      <c r="CA885"/>
      <c r="CB885" s="5"/>
      <c r="CC885" s="5"/>
      <c r="CD885" s="5"/>
      <c r="CE885" s="5"/>
      <c r="CF885" s="5"/>
      <c r="CH885" s="5"/>
      <c r="CI885" s="5"/>
      <c r="CJ885" s="5"/>
      <c r="CK885" s="5"/>
      <c r="CL885" s="5"/>
      <c r="CM885" s="5"/>
      <c r="CN885" s="9" t="s">
        <v>3600</v>
      </c>
      <c r="CO885">
        <v>1</v>
      </c>
      <c r="CR885">
        <v>99999</v>
      </c>
    </row>
    <row r="886" spans="1:99" x14ac:dyDescent="0.25">
      <c r="A886" t="s">
        <v>5162</v>
      </c>
      <c r="C886" t="s">
        <v>3326</v>
      </c>
      <c r="K886" s="5" t="s">
        <v>3314</v>
      </c>
      <c r="L886" s="5" t="s">
        <v>3330</v>
      </c>
      <c r="AC886">
        <v>2</v>
      </c>
      <c r="AF886">
        <v>1</v>
      </c>
      <c r="AJ886" t="s">
        <v>5163</v>
      </c>
      <c r="AY886" s="5"/>
      <c r="BD886">
        <v>1</v>
      </c>
      <c r="BV886"/>
      <c r="BW886"/>
      <c r="BX886"/>
      <c r="BY886"/>
      <c r="BZ886"/>
      <c r="CA886"/>
      <c r="CB886" s="5"/>
      <c r="CC886" s="5"/>
      <c r="CD886" s="5"/>
      <c r="CE886" s="5"/>
      <c r="CF886" s="5"/>
      <c r="CH886" s="5"/>
      <c r="CI886" s="5"/>
      <c r="CJ886" s="5"/>
      <c r="CK886" s="5"/>
      <c r="CL886" s="5"/>
      <c r="CM886" s="5"/>
      <c r="CN886" s="9" t="s">
        <v>5137</v>
      </c>
      <c r="CO886">
        <v>0.5</v>
      </c>
      <c r="CP886">
        <v>0.4</v>
      </c>
      <c r="CR886">
        <v>99999</v>
      </c>
    </row>
    <row r="887" spans="1:99" x14ac:dyDescent="0.25">
      <c r="A887" t="s">
        <v>5164</v>
      </c>
      <c r="C887" t="s">
        <v>3326</v>
      </c>
      <c r="K887" s="5" t="s">
        <v>3314</v>
      </c>
      <c r="L887" s="5" t="s">
        <v>3330</v>
      </c>
      <c r="AC887">
        <v>2</v>
      </c>
      <c r="AF887">
        <v>1</v>
      </c>
      <c r="AJ887" t="s">
        <v>5163</v>
      </c>
      <c r="AY887" s="5"/>
      <c r="BD887">
        <v>1</v>
      </c>
      <c r="BV887"/>
      <c r="BW887"/>
      <c r="BX887"/>
      <c r="BY887"/>
      <c r="BZ887"/>
      <c r="CA887"/>
      <c r="CB887" s="5"/>
      <c r="CC887" s="5"/>
      <c r="CD887" s="5"/>
      <c r="CE887" s="5"/>
      <c r="CF887" s="5"/>
      <c r="CH887" s="5"/>
      <c r="CI887" s="5"/>
      <c r="CJ887" s="5"/>
      <c r="CK887" s="5"/>
      <c r="CL887" s="5"/>
      <c r="CM887" s="5"/>
      <c r="CN887" s="9" t="s">
        <v>5137</v>
      </c>
      <c r="CO887">
        <v>1</v>
      </c>
      <c r="CP887">
        <v>0.8</v>
      </c>
      <c r="CR887">
        <v>99999</v>
      </c>
    </row>
    <row r="888" spans="1:99" x14ac:dyDescent="0.25">
      <c r="A888" t="s">
        <v>5165</v>
      </c>
      <c r="C888" t="s">
        <v>3326</v>
      </c>
      <c r="K888" s="5" t="s">
        <v>3314</v>
      </c>
      <c r="L888" s="5" t="s">
        <v>3330</v>
      </c>
      <c r="AC888">
        <v>2</v>
      </c>
      <c r="AF888">
        <v>1</v>
      </c>
      <c r="AJ888" t="s">
        <v>5163</v>
      </c>
      <c r="AY888" s="5"/>
      <c r="BD888">
        <v>1</v>
      </c>
      <c r="BV888"/>
      <c r="BW888"/>
      <c r="BX888"/>
      <c r="BY888"/>
      <c r="BZ888"/>
      <c r="CA888"/>
      <c r="CB888" s="5"/>
      <c r="CC888" s="5"/>
      <c r="CD888" s="5"/>
      <c r="CE888" s="5"/>
      <c r="CF888" s="5"/>
      <c r="CH888" s="5"/>
      <c r="CI888" s="5"/>
      <c r="CJ888" s="5"/>
      <c r="CK888" s="5"/>
      <c r="CL888" s="5"/>
      <c r="CM888" s="5"/>
      <c r="CN888" s="9" t="s">
        <v>5166</v>
      </c>
      <c r="CO888">
        <v>2</v>
      </c>
      <c r="CP888">
        <v>1.2</v>
      </c>
      <c r="CQ888">
        <v>0.8</v>
      </c>
      <c r="CR888">
        <v>99999</v>
      </c>
    </row>
    <row r="889" spans="1:99" x14ac:dyDescent="0.25">
      <c r="A889" t="s">
        <v>5167</v>
      </c>
      <c r="C889" t="s">
        <v>3326</v>
      </c>
      <c r="K889" s="5" t="s">
        <v>3314</v>
      </c>
      <c r="L889" s="5" t="s">
        <v>3330</v>
      </c>
      <c r="AC889">
        <v>2</v>
      </c>
      <c r="AF889">
        <v>1</v>
      </c>
      <c r="AJ889" t="s">
        <v>288</v>
      </c>
      <c r="AY889" s="5"/>
      <c r="BD889">
        <v>1</v>
      </c>
      <c r="BV889"/>
      <c r="BW889"/>
      <c r="BX889"/>
      <c r="BY889"/>
      <c r="BZ889"/>
      <c r="CA889"/>
      <c r="CB889" s="5"/>
      <c r="CC889" s="5"/>
      <c r="CD889" s="5"/>
      <c r="CE889" s="5"/>
      <c r="CF889" s="5"/>
      <c r="CH889" s="5"/>
      <c r="CI889" s="5"/>
      <c r="CJ889" s="5"/>
      <c r="CK889" s="5"/>
      <c r="CL889" s="5"/>
      <c r="CM889" s="5"/>
      <c r="CN889" s="9" t="s">
        <v>5168</v>
      </c>
      <c r="CO889" t="s">
        <v>5169</v>
      </c>
      <c r="CR889">
        <v>99999</v>
      </c>
    </row>
    <row r="890" spans="1:99" x14ac:dyDescent="0.25">
      <c r="A890" t="s">
        <v>5170</v>
      </c>
      <c r="C890" t="s">
        <v>3326</v>
      </c>
      <c r="K890" s="5" t="s">
        <v>3314</v>
      </c>
      <c r="L890" s="5" t="s">
        <v>3330</v>
      </c>
      <c r="AC890">
        <v>2</v>
      </c>
      <c r="AF890">
        <v>1</v>
      </c>
      <c r="AJ890" t="s">
        <v>288</v>
      </c>
      <c r="AY890" s="5"/>
      <c r="BD890">
        <v>1</v>
      </c>
      <c r="BV890"/>
      <c r="BW890"/>
      <c r="BX890"/>
      <c r="BY890"/>
      <c r="BZ890"/>
      <c r="CA890"/>
      <c r="CB890" s="5"/>
      <c r="CC890" s="5"/>
      <c r="CD890" s="5"/>
      <c r="CE890" s="5"/>
      <c r="CF890" s="5"/>
      <c r="CH890" s="5"/>
      <c r="CI890" s="5"/>
      <c r="CJ890" s="5"/>
      <c r="CK890" s="5"/>
      <c r="CL890" s="5"/>
      <c r="CM890" s="5"/>
      <c r="CN890" s="9" t="s">
        <v>5168</v>
      </c>
      <c r="CO890" t="s">
        <v>5171</v>
      </c>
      <c r="CR890">
        <v>99999</v>
      </c>
    </row>
    <row r="891" spans="1:99" x14ac:dyDescent="0.25">
      <c r="A891" t="s">
        <v>5172</v>
      </c>
      <c r="C891" t="s">
        <v>3326</v>
      </c>
      <c r="K891" s="5" t="s">
        <v>3314</v>
      </c>
      <c r="L891" s="5" t="s">
        <v>3330</v>
      </c>
      <c r="AC891">
        <v>2</v>
      </c>
      <c r="AF891">
        <v>1</v>
      </c>
      <c r="AJ891" t="s">
        <v>288</v>
      </c>
      <c r="AY891" s="5"/>
      <c r="BD891">
        <v>1</v>
      </c>
      <c r="BV891"/>
      <c r="BW891"/>
      <c r="BX891"/>
      <c r="BY891"/>
      <c r="BZ891"/>
      <c r="CA891"/>
      <c r="CB891" s="5"/>
      <c r="CC891" s="5"/>
      <c r="CD891" s="5"/>
      <c r="CE891" s="5"/>
      <c r="CF891" s="5"/>
      <c r="CH891" s="5"/>
      <c r="CI891" s="5"/>
      <c r="CJ891" s="5"/>
      <c r="CK891" s="5"/>
      <c r="CL891" s="5"/>
      <c r="CM891" s="5"/>
      <c r="CN891" s="9" t="s">
        <v>5168</v>
      </c>
      <c r="CO891" t="s">
        <v>5173</v>
      </c>
      <c r="CR891">
        <v>99999</v>
      </c>
    </row>
    <row r="892" spans="1:99" x14ac:dyDescent="0.25">
      <c r="A892" t="s">
        <v>5174</v>
      </c>
      <c r="C892" t="s">
        <v>5131</v>
      </c>
      <c r="K892" s="5" t="s">
        <v>3314</v>
      </c>
      <c r="L892" s="5" t="s">
        <v>5128</v>
      </c>
      <c r="AY892" s="5"/>
      <c r="BV892"/>
      <c r="BW892"/>
      <c r="BX892"/>
      <c r="BY892"/>
      <c r="BZ892"/>
      <c r="CA892"/>
      <c r="CB892" s="5"/>
      <c r="CC892" s="5"/>
      <c r="CD892" s="5"/>
      <c r="CE892" s="5"/>
      <c r="CF892" s="5"/>
      <c r="CH892" s="5"/>
      <c r="CI892" s="5"/>
      <c r="CJ892" s="5"/>
      <c r="CK892" s="5"/>
      <c r="CL892" s="5"/>
      <c r="CM892" s="5"/>
      <c r="CU892" t="s">
        <v>5175</v>
      </c>
    </row>
    <row r="893" spans="1:99" x14ac:dyDescent="0.25">
      <c r="A893" t="s">
        <v>5176</v>
      </c>
      <c r="C893" t="s">
        <v>5131</v>
      </c>
      <c r="K893" s="5" t="s">
        <v>3314</v>
      </c>
      <c r="L893" s="5" t="s">
        <v>5128</v>
      </c>
      <c r="AY893" s="5"/>
      <c r="BV893"/>
      <c r="BW893"/>
      <c r="BX893"/>
      <c r="BY893"/>
      <c r="BZ893"/>
      <c r="CA893"/>
      <c r="CB893" s="5"/>
      <c r="CC893" s="5"/>
      <c r="CD893" s="5"/>
      <c r="CE893" s="5"/>
      <c r="CF893" s="5"/>
      <c r="CH893" s="5"/>
      <c r="CI893" s="5"/>
      <c r="CJ893" s="5"/>
      <c r="CK893" s="5"/>
      <c r="CL893" s="5"/>
      <c r="CM893" s="5"/>
      <c r="CU893" t="s">
        <v>5177</v>
      </c>
    </row>
    <row r="894" spans="1:99" x14ac:dyDescent="0.25">
      <c r="A894" t="s">
        <v>5178</v>
      </c>
      <c r="C894" t="s">
        <v>5131</v>
      </c>
      <c r="K894" s="5" t="s">
        <v>3314</v>
      </c>
      <c r="L894" s="5" t="s">
        <v>5128</v>
      </c>
      <c r="AY894" s="5"/>
      <c r="BV894"/>
      <c r="BW894"/>
      <c r="BX894"/>
      <c r="BY894"/>
      <c r="BZ894"/>
      <c r="CA894"/>
      <c r="CB894" s="5"/>
      <c r="CC894" s="5"/>
      <c r="CD894" s="5"/>
      <c r="CE894" s="5"/>
      <c r="CF894" s="5"/>
      <c r="CH894" s="5"/>
      <c r="CI894" s="5"/>
      <c r="CJ894" s="5"/>
      <c r="CK894" s="5"/>
      <c r="CL894" s="5"/>
      <c r="CM894" s="5"/>
      <c r="CU894" t="s">
        <v>5179</v>
      </c>
    </row>
    <row r="895" spans="1:99" x14ac:dyDescent="0.25">
      <c r="A895" t="s">
        <v>5180</v>
      </c>
      <c r="C895" t="s">
        <v>3326</v>
      </c>
      <c r="K895" s="5" t="s">
        <v>3314</v>
      </c>
      <c r="L895" s="5" t="s">
        <v>3330</v>
      </c>
      <c r="AC895">
        <v>1</v>
      </c>
      <c r="AF895">
        <v>1</v>
      </c>
      <c r="AH895">
        <v>1</v>
      </c>
      <c r="AY895" s="5"/>
      <c r="BD895">
        <v>1</v>
      </c>
      <c r="BV895"/>
      <c r="BW895"/>
      <c r="BX895"/>
      <c r="BY895"/>
      <c r="BZ895"/>
      <c r="CA895"/>
      <c r="CB895" s="5"/>
      <c r="CC895" s="5"/>
      <c r="CD895" s="5"/>
      <c r="CE895" s="5"/>
      <c r="CF895" s="5"/>
      <c r="CH895" s="5"/>
      <c r="CI895" s="5"/>
      <c r="CJ895" s="5"/>
      <c r="CK895" s="5"/>
      <c r="CL895" s="5"/>
      <c r="CM895" s="5"/>
      <c r="CN895" s="9" t="s">
        <v>5159</v>
      </c>
      <c r="CO895">
        <v>-0.35</v>
      </c>
      <c r="CR895">
        <v>99999</v>
      </c>
    </row>
    <row r="896" spans="1:99" x14ac:dyDescent="0.25">
      <c r="A896" t="s">
        <v>5181</v>
      </c>
      <c r="C896" t="s">
        <v>3326</v>
      </c>
      <c r="K896" s="5" t="s">
        <v>3314</v>
      </c>
      <c r="L896" s="5" t="s">
        <v>3330</v>
      </c>
      <c r="AC896">
        <v>1</v>
      </c>
      <c r="AF896">
        <v>1</v>
      </c>
      <c r="AH896">
        <v>1</v>
      </c>
      <c r="AY896" s="5"/>
      <c r="BD896">
        <v>1</v>
      </c>
      <c r="BV896"/>
      <c r="BW896"/>
      <c r="BX896"/>
      <c r="BY896"/>
      <c r="BZ896"/>
      <c r="CA896"/>
      <c r="CB896" s="5"/>
      <c r="CC896" s="5"/>
      <c r="CD896" s="5"/>
      <c r="CE896" s="5"/>
      <c r="CF896" s="5"/>
      <c r="CH896" s="5"/>
      <c r="CI896" s="5"/>
      <c r="CJ896" s="5"/>
      <c r="CK896" s="5"/>
      <c r="CL896" s="5"/>
      <c r="CM896" s="5"/>
      <c r="CN896" s="9" t="s">
        <v>5159</v>
      </c>
      <c r="CO896">
        <v>-0.7</v>
      </c>
      <c r="CR896">
        <v>99999</v>
      </c>
    </row>
    <row r="897" spans="1:99" x14ac:dyDescent="0.25">
      <c r="A897" t="s">
        <v>5182</v>
      </c>
      <c r="C897" t="s">
        <v>3326</v>
      </c>
      <c r="K897" s="5" t="s">
        <v>3314</v>
      </c>
      <c r="L897" s="5" t="s">
        <v>3330</v>
      </c>
      <c r="AC897">
        <v>1</v>
      </c>
      <c r="AF897">
        <v>1</v>
      </c>
      <c r="AH897">
        <v>1</v>
      </c>
      <c r="AY897" s="5"/>
      <c r="BD897">
        <v>1</v>
      </c>
      <c r="BV897"/>
      <c r="BW897"/>
      <c r="BX897"/>
      <c r="BY897"/>
      <c r="BZ897"/>
      <c r="CA897"/>
      <c r="CB897" s="5"/>
      <c r="CC897" s="5"/>
      <c r="CD897" s="5"/>
      <c r="CE897" s="5"/>
      <c r="CF897" s="5"/>
      <c r="CH897" s="5"/>
      <c r="CI897" s="5"/>
      <c r="CJ897" s="5"/>
      <c r="CK897" s="5"/>
      <c r="CL897" s="5"/>
      <c r="CM897" s="5"/>
      <c r="CN897" s="9" t="s">
        <v>5159</v>
      </c>
      <c r="CO897">
        <v>-1</v>
      </c>
      <c r="CR897">
        <v>99999</v>
      </c>
    </row>
    <row r="898" spans="1:99" x14ac:dyDescent="0.25">
      <c r="A898" t="s">
        <v>5183</v>
      </c>
      <c r="C898" t="s">
        <v>5101</v>
      </c>
      <c r="K898" s="5" t="s">
        <v>3314</v>
      </c>
      <c r="L898" s="5" t="s">
        <v>5128</v>
      </c>
      <c r="AY898" s="5"/>
      <c r="BV898"/>
      <c r="BW898"/>
      <c r="BX898"/>
      <c r="BY898"/>
      <c r="BZ898"/>
      <c r="CA898"/>
      <c r="CB898" s="5"/>
      <c r="CC898" s="5"/>
      <c r="CD898" s="5"/>
      <c r="CE898" s="5"/>
      <c r="CF898" s="5"/>
      <c r="CH898" s="5"/>
      <c r="CI898" s="5"/>
      <c r="CJ898" s="5"/>
      <c r="CK898" s="5"/>
      <c r="CL898" s="5"/>
      <c r="CM898" s="5"/>
      <c r="CU898" t="s">
        <v>5184</v>
      </c>
    </row>
    <row r="899" spans="1:99" x14ac:dyDescent="0.25">
      <c r="A899" t="s">
        <v>5185</v>
      </c>
      <c r="C899" t="s">
        <v>5101</v>
      </c>
      <c r="K899" s="5" t="s">
        <v>3314</v>
      </c>
      <c r="L899" s="5" t="s">
        <v>5128</v>
      </c>
      <c r="AY899" s="5"/>
      <c r="BV899"/>
      <c r="BW899"/>
      <c r="BX899"/>
      <c r="BY899"/>
      <c r="BZ899"/>
      <c r="CA899"/>
      <c r="CB899" s="5"/>
      <c r="CC899" s="5"/>
      <c r="CD899" s="5"/>
      <c r="CE899" s="5"/>
      <c r="CF899" s="5"/>
      <c r="CH899" s="5"/>
      <c r="CI899" s="5"/>
      <c r="CJ899" s="5"/>
      <c r="CK899" s="5"/>
      <c r="CL899" s="5"/>
      <c r="CM899" s="5"/>
      <c r="CU899" t="s">
        <v>5129</v>
      </c>
    </row>
    <row r="900" spans="1:99" x14ac:dyDescent="0.25">
      <c r="A900" t="s">
        <v>5186</v>
      </c>
      <c r="C900" t="s">
        <v>5101</v>
      </c>
      <c r="K900" s="5" t="s">
        <v>3314</v>
      </c>
      <c r="L900" s="5" t="s">
        <v>5128</v>
      </c>
      <c r="AY900" s="5"/>
      <c r="BV900"/>
      <c r="BW900"/>
      <c r="BX900"/>
      <c r="BY900"/>
      <c r="BZ900"/>
      <c r="CA900"/>
      <c r="CB900" s="5"/>
      <c r="CC900" s="5"/>
      <c r="CD900" s="5"/>
      <c r="CE900" s="5"/>
      <c r="CF900" s="5"/>
      <c r="CH900" s="5"/>
      <c r="CI900" s="5"/>
      <c r="CJ900" s="5"/>
      <c r="CK900" s="5"/>
      <c r="CL900" s="5"/>
      <c r="CM900" s="5"/>
      <c r="CU900" t="s">
        <v>5187</v>
      </c>
    </row>
    <row r="901" spans="1:99" x14ac:dyDescent="0.25">
      <c r="A901" t="s">
        <v>5188</v>
      </c>
      <c r="C901" t="s">
        <v>4782</v>
      </c>
      <c r="K901" s="5" t="s">
        <v>3314</v>
      </c>
      <c r="L901" s="5" t="s">
        <v>5128</v>
      </c>
      <c r="X901" s="5">
        <v>1</v>
      </c>
      <c r="CU901" t="s">
        <v>5189</v>
      </c>
    </row>
    <row r="902" spans="1:99" x14ac:dyDescent="0.25">
      <c r="A902" t="s">
        <v>5190</v>
      </c>
      <c r="C902" t="s">
        <v>3326</v>
      </c>
      <c r="K902" s="5" t="s">
        <v>3314</v>
      </c>
      <c r="L902" s="5" t="s">
        <v>3330</v>
      </c>
      <c r="AC902">
        <v>1</v>
      </c>
      <c r="AF902">
        <v>1</v>
      </c>
      <c r="AH902">
        <v>1</v>
      </c>
      <c r="AY902" s="5"/>
      <c r="BD902">
        <v>1</v>
      </c>
      <c r="BV902"/>
      <c r="BW902"/>
      <c r="BX902"/>
      <c r="BY902"/>
      <c r="BZ902"/>
      <c r="CA902"/>
      <c r="CB902" s="5"/>
      <c r="CC902" s="5"/>
      <c r="CD902" s="5"/>
      <c r="CE902" s="5"/>
      <c r="CF902" s="5"/>
      <c r="CH902" s="5"/>
      <c r="CI902" s="5"/>
      <c r="CJ902" s="5"/>
      <c r="CK902" s="5"/>
      <c r="CL902" s="5"/>
      <c r="CM902" s="5"/>
      <c r="CN902" s="9" t="s">
        <v>5135</v>
      </c>
      <c r="CO902">
        <v>-0.1</v>
      </c>
      <c r="CR902">
        <v>99999</v>
      </c>
    </row>
    <row r="903" spans="1:99" x14ac:dyDescent="0.25">
      <c r="A903" t="s">
        <v>5191</v>
      </c>
      <c r="C903" t="s">
        <v>3326</v>
      </c>
      <c r="K903" s="5" t="s">
        <v>3314</v>
      </c>
      <c r="L903" s="5" t="s">
        <v>3330</v>
      </c>
      <c r="AC903">
        <v>1</v>
      </c>
      <c r="AF903">
        <v>1</v>
      </c>
      <c r="AH903">
        <v>1</v>
      </c>
      <c r="AY903" s="5"/>
      <c r="BD903">
        <v>1</v>
      </c>
      <c r="BV903"/>
      <c r="BW903"/>
      <c r="BX903"/>
      <c r="BY903"/>
      <c r="BZ903"/>
      <c r="CA903"/>
      <c r="CB903" s="5"/>
      <c r="CC903" s="5"/>
      <c r="CD903" s="5"/>
      <c r="CE903" s="5"/>
      <c r="CF903" s="5"/>
      <c r="CH903" s="5"/>
      <c r="CI903" s="5"/>
      <c r="CJ903" s="5"/>
      <c r="CK903" s="5"/>
      <c r="CL903" s="5"/>
      <c r="CM903" s="5"/>
      <c r="CN903" s="9" t="s">
        <v>5135</v>
      </c>
      <c r="CO903">
        <v>-0.25</v>
      </c>
      <c r="CR903">
        <v>99999</v>
      </c>
    </row>
    <row r="904" spans="1:99" x14ac:dyDescent="0.25">
      <c r="A904" t="s">
        <v>5192</v>
      </c>
      <c r="C904" t="s">
        <v>3326</v>
      </c>
      <c r="K904" s="5" t="s">
        <v>3314</v>
      </c>
      <c r="L904" s="5" t="s">
        <v>3330</v>
      </c>
      <c r="AC904">
        <v>1</v>
      </c>
      <c r="AF904">
        <v>1</v>
      </c>
      <c r="AH904">
        <v>1</v>
      </c>
      <c r="AY904" s="5"/>
      <c r="BD904">
        <v>1</v>
      </c>
      <c r="BV904"/>
      <c r="BW904"/>
      <c r="BX904"/>
      <c r="BY904"/>
      <c r="BZ904"/>
      <c r="CA904"/>
      <c r="CB904" s="5"/>
      <c r="CC904" s="5"/>
      <c r="CD904" s="5"/>
      <c r="CE904" s="5"/>
      <c r="CF904" s="5"/>
      <c r="CH904" s="5"/>
      <c r="CI904" s="5"/>
      <c r="CJ904" s="5"/>
      <c r="CK904" s="5"/>
      <c r="CL904" s="5"/>
      <c r="CM904" s="5"/>
      <c r="CN904" s="9" t="s">
        <v>5135</v>
      </c>
      <c r="CO904">
        <v>-0.5</v>
      </c>
      <c r="CR904">
        <v>99999</v>
      </c>
    </row>
    <row r="906" spans="1:99" x14ac:dyDescent="0.25">
      <c r="A906" t="s">
        <v>5193</v>
      </c>
      <c r="C906" t="s">
        <v>3326</v>
      </c>
      <c r="K906" s="5" t="s">
        <v>3314</v>
      </c>
      <c r="L906" s="5" t="s">
        <v>3414</v>
      </c>
      <c r="AC906">
        <v>1</v>
      </c>
      <c r="AG906" t="s">
        <v>3316</v>
      </c>
      <c r="AH906">
        <v>1</v>
      </c>
      <c r="AY906" s="5"/>
      <c r="BD906">
        <v>1</v>
      </c>
      <c r="BV906"/>
      <c r="BW906"/>
      <c r="BX906"/>
      <c r="BY906"/>
      <c r="BZ906"/>
      <c r="CA906"/>
      <c r="CB906" s="5"/>
      <c r="CC906" s="5"/>
      <c r="CD906" s="5"/>
      <c r="CE906" s="5"/>
      <c r="CF906" s="5"/>
      <c r="CH906" s="5"/>
      <c r="CI906" s="5"/>
      <c r="CJ906" s="5"/>
      <c r="CK906" s="5"/>
      <c r="CL906" s="5"/>
      <c r="CM906" s="5"/>
      <c r="CN906" s="9" t="s">
        <v>5194</v>
      </c>
      <c r="CR906">
        <v>10</v>
      </c>
    </row>
    <row r="907" spans="1:99" x14ac:dyDescent="0.25">
      <c r="A907" t="s">
        <v>5195</v>
      </c>
      <c r="C907" t="s">
        <v>3326</v>
      </c>
      <c r="K907" s="5" t="s">
        <v>3314</v>
      </c>
      <c r="L907" s="5" t="s">
        <v>3414</v>
      </c>
      <c r="AC907">
        <v>2</v>
      </c>
      <c r="AG907" t="s">
        <v>3316</v>
      </c>
      <c r="AH907">
        <v>1</v>
      </c>
      <c r="AY907" s="5"/>
      <c r="BD907">
        <v>1</v>
      </c>
      <c r="BV907"/>
      <c r="BW907"/>
      <c r="BX907"/>
      <c r="BY907"/>
      <c r="BZ907"/>
      <c r="CA907"/>
      <c r="CB907" s="5"/>
      <c r="CC907" s="5"/>
      <c r="CD907" s="5"/>
      <c r="CE907" s="5"/>
      <c r="CF907" s="5"/>
      <c r="CH907" s="5"/>
      <c r="CI907" s="5"/>
      <c r="CJ907" s="5"/>
      <c r="CK907" s="5"/>
      <c r="CL907" s="5"/>
      <c r="CM907" s="5"/>
      <c r="CN907" s="9" t="s">
        <v>5196</v>
      </c>
      <c r="CR907">
        <v>10</v>
      </c>
    </row>
    <row r="908" spans="1:99" x14ac:dyDescent="0.25">
      <c r="A908" t="s">
        <v>5197</v>
      </c>
      <c r="C908" t="s">
        <v>3326</v>
      </c>
      <c r="J908" t="s">
        <v>3342</v>
      </c>
      <c r="AC908">
        <v>2</v>
      </c>
      <c r="AG908" t="s">
        <v>3316</v>
      </c>
      <c r="AH908">
        <v>1</v>
      </c>
      <c r="AY908" s="5"/>
      <c r="BD908">
        <v>1</v>
      </c>
      <c r="BV908" s="8">
        <v>100</v>
      </c>
      <c r="BW908" s="8">
        <v>101</v>
      </c>
      <c r="BX908" s="8">
        <v>1</v>
      </c>
      <c r="BY908" s="8" t="s">
        <v>3497</v>
      </c>
      <c r="BZ908"/>
      <c r="CA908"/>
      <c r="CB908" s="5"/>
      <c r="CC908" s="5"/>
      <c r="CD908" s="5"/>
      <c r="CE908" s="5"/>
      <c r="CF908" s="5"/>
      <c r="CH908" s="5"/>
      <c r="CI908" s="5"/>
      <c r="CJ908" s="5"/>
      <c r="CK908" s="5"/>
      <c r="CL908" s="5"/>
      <c r="CM908" s="5"/>
      <c r="CN908" s="9" t="s">
        <v>5198</v>
      </c>
      <c r="CR908">
        <v>5</v>
      </c>
    </row>
  </sheetData>
  <autoFilter ref="C1:C904" xr:uid="{00000000-0009-0000-0000-000002000000}"/>
  <phoneticPr fontId="16"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324"/>
  <sheetViews>
    <sheetView workbookViewId="0">
      <pane xSplit="1" ySplit="2" topLeftCell="H23" activePane="bottomRight" state="frozen"/>
      <selection pane="topRight"/>
      <selection pane="bottomLeft"/>
      <selection pane="bottomRight" activeCell="Y40" sqref="Y40"/>
    </sheetView>
  </sheetViews>
  <sheetFormatPr defaultColWidth="9" defaultRowHeight="14.05" x14ac:dyDescent="0.25"/>
  <cols>
    <col min="1" max="1" width="13" customWidth="1"/>
    <col min="2" max="2" width="31.25" customWidth="1"/>
    <col min="7" max="7" width="18.75" customWidth="1"/>
    <col min="8" max="8" width="15" customWidth="1"/>
    <col min="14" max="14" width="16.08203125" customWidth="1"/>
    <col min="15" max="15" width="9.4140625" customWidth="1"/>
    <col min="16" max="16" width="22.1640625" customWidth="1"/>
    <col min="17" max="17" width="12.83203125" customWidth="1"/>
    <col min="20" max="20" width="9" customWidth="1"/>
  </cols>
  <sheetData>
    <row r="1" spans="1:17" x14ac:dyDescent="0.25">
      <c r="A1" t="s">
        <v>0</v>
      </c>
      <c r="B1" t="s">
        <v>86</v>
      </c>
      <c r="E1" t="s">
        <v>5199</v>
      </c>
      <c r="F1" t="s">
        <v>5200</v>
      </c>
      <c r="G1" t="s">
        <v>5201</v>
      </c>
      <c r="H1" t="s">
        <v>5202</v>
      </c>
      <c r="I1" t="s">
        <v>5203</v>
      </c>
      <c r="J1" t="s">
        <v>5204</v>
      </c>
      <c r="L1" t="s">
        <v>5205</v>
      </c>
      <c r="M1" t="s">
        <v>5206</v>
      </c>
      <c r="N1" t="s">
        <v>5207</v>
      </c>
      <c r="O1" t="s">
        <v>5208</v>
      </c>
      <c r="P1" t="s">
        <v>5209</v>
      </c>
    </row>
    <row r="2" spans="1:17" x14ac:dyDescent="0.25">
      <c r="A2" t="s">
        <v>0</v>
      </c>
      <c r="C2" t="s">
        <v>127</v>
      </c>
      <c r="D2" t="s">
        <v>156</v>
      </c>
      <c r="E2" t="s">
        <v>5210</v>
      </c>
      <c r="F2" t="s">
        <v>5211</v>
      </c>
      <c r="G2" t="s">
        <v>5212</v>
      </c>
      <c r="H2" t="s">
        <v>5213</v>
      </c>
      <c r="I2" t="s">
        <v>5214</v>
      </c>
      <c r="J2" t="s">
        <v>5215</v>
      </c>
      <c r="K2" t="s">
        <v>5216</v>
      </c>
      <c r="L2" t="s">
        <v>132</v>
      </c>
      <c r="M2" t="s">
        <v>5217</v>
      </c>
      <c r="N2" t="s">
        <v>5218</v>
      </c>
      <c r="O2" t="s">
        <v>5219</v>
      </c>
      <c r="P2" t="s">
        <v>5220</v>
      </c>
      <c r="Q2" t="s">
        <v>3279</v>
      </c>
    </row>
    <row r="3" spans="1:17" x14ac:dyDescent="0.25">
      <c r="A3" t="s">
        <v>2</v>
      </c>
      <c r="C3" t="s">
        <v>2</v>
      </c>
      <c r="D3" t="s">
        <v>2</v>
      </c>
      <c r="E3" t="s">
        <v>195</v>
      </c>
      <c r="F3" t="s">
        <v>195</v>
      </c>
      <c r="G3" t="s">
        <v>195</v>
      </c>
      <c r="H3" t="s">
        <v>193</v>
      </c>
      <c r="I3" t="s">
        <v>193</v>
      </c>
      <c r="J3" t="s">
        <v>3309</v>
      </c>
      <c r="K3" t="s">
        <v>194</v>
      </c>
      <c r="L3" t="s">
        <v>3273</v>
      </c>
      <c r="M3" t="s">
        <v>193</v>
      </c>
      <c r="N3" t="s">
        <v>193</v>
      </c>
      <c r="O3" t="s">
        <v>3273</v>
      </c>
      <c r="P3" t="s">
        <v>193</v>
      </c>
      <c r="Q3" t="s">
        <v>202</v>
      </c>
    </row>
    <row r="4" spans="1:17" x14ac:dyDescent="0.25">
      <c r="A4" t="s">
        <v>5221</v>
      </c>
      <c r="C4" t="s">
        <v>5221</v>
      </c>
    </row>
    <row r="5" spans="1:17" x14ac:dyDescent="0.25">
      <c r="A5" t="s">
        <v>3540</v>
      </c>
      <c r="C5" t="s">
        <v>5222</v>
      </c>
      <c r="K5">
        <v>5</v>
      </c>
      <c r="Q5" t="s">
        <v>5223</v>
      </c>
    </row>
    <row r="6" spans="1:17" x14ac:dyDescent="0.25">
      <c r="A6" t="s">
        <v>3486</v>
      </c>
      <c r="C6" t="s">
        <v>5222</v>
      </c>
      <c r="K6">
        <v>0.3</v>
      </c>
      <c r="Q6" t="s">
        <v>5224</v>
      </c>
    </row>
    <row r="7" spans="1:17" x14ac:dyDescent="0.25">
      <c r="A7" t="s">
        <v>3538</v>
      </c>
      <c r="C7" t="s">
        <v>5222</v>
      </c>
      <c r="K7">
        <v>5</v>
      </c>
      <c r="Q7" t="s">
        <v>5225</v>
      </c>
    </row>
    <row r="8" spans="1:17" x14ac:dyDescent="0.25">
      <c r="A8" t="s">
        <v>3542</v>
      </c>
      <c r="C8" t="s">
        <v>5222</v>
      </c>
      <c r="Q8" t="s">
        <v>5226</v>
      </c>
    </row>
    <row r="9" spans="1:17" x14ac:dyDescent="0.25">
      <c r="A9" t="s">
        <v>3957</v>
      </c>
      <c r="C9" t="s">
        <v>5222</v>
      </c>
      <c r="K9">
        <v>0.01</v>
      </c>
      <c r="Q9" t="s">
        <v>5227</v>
      </c>
    </row>
    <row r="10" spans="1:17" x14ac:dyDescent="0.25">
      <c r="A10" t="s">
        <v>3683</v>
      </c>
      <c r="C10" t="s">
        <v>5222</v>
      </c>
      <c r="K10">
        <v>0.01</v>
      </c>
      <c r="Q10" t="s">
        <v>5228</v>
      </c>
    </row>
    <row r="11" spans="1:17" x14ac:dyDescent="0.25">
      <c r="A11" s="20" t="s">
        <v>6214</v>
      </c>
      <c r="C11" t="s">
        <v>5222</v>
      </c>
      <c r="K11">
        <v>9999</v>
      </c>
      <c r="Q11" t="s">
        <v>5229</v>
      </c>
    </row>
    <row r="12" spans="1:17" x14ac:dyDescent="0.25">
      <c r="A12" t="s">
        <v>5230</v>
      </c>
      <c r="C12" t="s">
        <v>5222</v>
      </c>
      <c r="K12">
        <v>9999</v>
      </c>
      <c r="Q12" t="s">
        <v>5231</v>
      </c>
    </row>
    <row r="13" spans="1:17" x14ac:dyDescent="0.25">
      <c r="A13" t="s">
        <v>4640</v>
      </c>
      <c r="C13" t="s">
        <v>5222</v>
      </c>
      <c r="K13">
        <v>9999</v>
      </c>
      <c r="Q13" t="s">
        <v>5232</v>
      </c>
    </row>
    <row r="14" spans="1:17" x14ac:dyDescent="0.25">
      <c r="A14" t="s">
        <v>3699</v>
      </c>
      <c r="C14" t="s">
        <v>5222</v>
      </c>
      <c r="K14">
        <v>9999</v>
      </c>
      <c r="Q14" t="s">
        <v>5232</v>
      </c>
    </row>
    <row r="15" spans="1:17" x14ac:dyDescent="0.25">
      <c r="A15" t="s">
        <v>5233</v>
      </c>
      <c r="C15" t="s">
        <v>5222</v>
      </c>
      <c r="K15">
        <v>9999</v>
      </c>
      <c r="Q15" t="s">
        <v>5234</v>
      </c>
    </row>
    <row r="16" spans="1:17" x14ac:dyDescent="0.25">
      <c r="A16" t="s">
        <v>3600</v>
      </c>
      <c r="C16" t="s">
        <v>5222</v>
      </c>
      <c r="Q16" t="s">
        <v>5224</v>
      </c>
    </row>
    <row r="17" spans="1:17" x14ac:dyDescent="0.25">
      <c r="A17" t="s">
        <v>5235</v>
      </c>
      <c r="C17" t="s">
        <v>5222</v>
      </c>
      <c r="Q17" t="s">
        <v>5236</v>
      </c>
    </row>
    <row r="18" spans="1:17" x14ac:dyDescent="0.25">
      <c r="A18" t="s">
        <v>5237</v>
      </c>
      <c r="C18" t="s">
        <v>5222</v>
      </c>
      <c r="Q18" t="s">
        <v>5238</v>
      </c>
    </row>
    <row r="19" spans="1:17" x14ac:dyDescent="0.25">
      <c r="A19" t="s">
        <v>5239</v>
      </c>
      <c r="C19" t="s">
        <v>5222</v>
      </c>
      <c r="Q19" t="s">
        <v>5240</v>
      </c>
    </row>
    <row r="20" spans="1:17" x14ac:dyDescent="0.25">
      <c r="A20" t="s">
        <v>3836</v>
      </c>
      <c r="C20" t="s">
        <v>5241</v>
      </c>
      <c r="Q20" t="s">
        <v>5240</v>
      </c>
    </row>
    <row r="21" spans="1:17" x14ac:dyDescent="0.25">
      <c r="A21" t="s">
        <v>5242</v>
      </c>
      <c r="C21" t="s">
        <v>5222</v>
      </c>
      <c r="Q21" t="s">
        <v>5243</v>
      </c>
    </row>
    <row r="22" spans="1:17" x14ac:dyDescent="0.25">
      <c r="A22" t="s">
        <v>5244</v>
      </c>
      <c r="C22" t="s">
        <v>5222</v>
      </c>
      <c r="Q22" t="s">
        <v>5245</v>
      </c>
    </row>
    <row r="23" spans="1:17" x14ac:dyDescent="0.25">
      <c r="A23" t="s">
        <v>5246</v>
      </c>
      <c r="C23" t="s">
        <v>5222</v>
      </c>
      <c r="Q23" t="s">
        <v>5247</v>
      </c>
    </row>
    <row r="24" spans="1:17" x14ac:dyDescent="0.25">
      <c r="A24" t="s">
        <v>4574</v>
      </c>
      <c r="C24" t="s">
        <v>5222</v>
      </c>
      <c r="Q24" t="s">
        <v>5248</v>
      </c>
    </row>
    <row r="25" spans="1:17" x14ac:dyDescent="0.25">
      <c r="A25" t="s">
        <v>3526</v>
      </c>
      <c r="C25" t="s">
        <v>5222</v>
      </c>
      <c r="Q25" t="s">
        <v>5249</v>
      </c>
    </row>
    <row r="26" spans="1:17" x14ac:dyDescent="0.25">
      <c r="A26" t="s">
        <v>4588</v>
      </c>
      <c r="C26" t="s">
        <v>5222</v>
      </c>
      <c r="Q26" t="s">
        <v>5250</v>
      </c>
    </row>
    <row r="27" spans="1:17" x14ac:dyDescent="0.25">
      <c r="A27" t="s">
        <v>4212</v>
      </c>
      <c r="C27" t="s">
        <v>5241</v>
      </c>
      <c r="Q27" t="s">
        <v>5251</v>
      </c>
    </row>
    <row r="28" spans="1:17" x14ac:dyDescent="0.25">
      <c r="A28" t="s">
        <v>4002</v>
      </c>
      <c r="C28" t="s">
        <v>5222</v>
      </c>
      <c r="Q28" t="s">
        <v>5252</v>
      </c>
    </row>
    <row r="29" spans="1:17" x14ac:dyDescent="0.25">
      <c r="A29" t="s">
        <v>5253</v>
      </c>
      <c r="C29" t="s">
        <v>5222</v>
      </c>
      <c r="Q29" t="s">
        <v>5254</v>
      </c>
    </row>
    <row r="30" spans="1:17" x14ac:dyDescent="0.25">
      <c r="A30" t="s">
        <v>4036</v>
      </c>
      <c r="C30" t="s">
        <v>5222</v>
      </c>
      <c r="Q30" t="s">
        <v>5255</v>
      </c>
    </row>
    <row r="31" spans="1:17" x14ac:dyDescent="0.25">
      <c r="A31" t="s">
        <v>5256</v>
      </c>
      <c r="C31" t="s">
        <v>5222</v>
      </c>
      <c r="Q31" t="s">
        <v>5257</v>
      </c>
    </row>
    <row r="32" spans="1:17" x14ac:dyDescent="0.25">
      <c r="A32" t="s">
        <v>4943</v>
      </c>
      <c r="C32" t="s">
        <v>5222</v>
      </c>
      <c r="Q32" t="s">
        <v>5245</v>
      </c>
    </row>
    <row r="33" spans="1:17" x14ac:dyDescent="0.25">
      <c r="A33" t="s">
        <v>5100</v>
      </c>
      <c r="C33" t="s">
        <v>5222</v>
      </c>
      <c r="Q33" t="s">
        <v>5258</v>
      </c>
    </row>
    <row r="35" spans="1:17" x14ac:dyDescent="0.25">
      <c r="A35" t="s">
        <v>3489</v>
      </c>
      <c r="C35" t="s">
        <v>5222</v>
      </c>
      <c r="K35">
        <v>5</v>
      </c>
      <c r="N35">
        <v>1</v>
      </c>
      <c r="Q35" t="s">
        <v>5223</v>
      </c>
    </row>
    <row r="36" spans="1:17" x14ac:dyDescent="0.25">
      <c r="A36" t="s">
        <v>5259</v>
      </c>
      <c r="C36" t="s">
        <v>5222</v>
      </c>
      <c r="K36">
        <v>0.3</v>
      </c>
      <c r="N36">
        <v>1</v>
      </c>
      <c r="Q36" t="s">
        <v>5224</v>
      </c>
    </row>
    <row r="37" spans="1:17" x14ac:dyDescent="0.25">
      <c r="A37" t="s">
        <v>3331</v>
      </c>
      <c r="C37" t="s">
        <v>5222</v>
      </c>
      <c r="K37">
        <v>5</v>
      </c>
      <c r="N37">
        <v>1</v>
      </c>
      <c r="Q37" t="s">
        <v>5225</v>
      </c>
    </row>
    <row r="38" spans="1:17" x14ac:dyDescent="0.25">
      <c r="A38" t="s">
        <v>3333</v>
      </c>
      <c r="C38" t="s">
        <v>5222</v>
      </c>
      <c r="N38">
        <v>1</v>
      </c>
      <c r="Q38" t="s">
        <v>5226</v>
      </c>
    </row>
    <row r="39" spans="1:17" x14ac:dyDescent="0.25">
      <c r="A39" t="s">
        <v>3335</v>
      </c>
      <c r="C39" t="s">
        <v>5222</v>
      </c>
      <c r="K39">
        <v>0.01</v>
      </c>
      <c r="N39">
        <v>1</v>
      </c>
      <c r="Q39" t="s">
        <v>5228</v>
      </c>
    </row>
    <row r="40" spans="1:17" x14ac:dyDescent="0.25">
      <c r="A40" t="s">
        <v>3336</v>
      </c>
      <c r="C40" t="s">
        <v>5222</v>
      </c>
      <c r="K40">
        <v>9999</v>
      </c>
      <c r="N40">
        <v>1</v>
      </c>
      <c r="Q40" t="s">
        <v>5229</v>
      </c>
    </row>
    <row r="41" spans="1:17" x14ac:dyDescent="0.25">
      <c r="A41" t="s">
        <v>4336</v>
      </c>
      <c r="C41" t="s">
        <v>5222</v>
      </c>
      <c r="K41">
        <v>9999</v>
      </c>
      <c r="N41">
        <v>1</v>
      </c>
      <c r="Q41" t="s">
        <v>5231</v>
      </c>
    </row>
    <row r="42" spans="1:17" x14ac:dyDescent="0.25">
      <c r="A42" t="s">
        <v>5260</v>
      </c>
      <c r="C42" t="s">
        <v>5222</v>
      </c>
      <c r="N42">
        <v>1</v>
      </c>
      <c r="Q42" t="s">
        <v>5236</v>
      </c>
    </row>
    <row r="43" spans="1:17" x14ac:dyDescent="0.25">
      <c r="A43" t="s">
        <v>5118</v>
      </c>
      <c r="C43" t="s">
        <v>5222</v>
      </c>
      <c r="N43">
        <v>1</v>
      </c>
      <c r="Q43" t="s">
        <v>5238</v>
      </c>
    </row>
    <row r="44" spans="1:17" x14ac:dyDescent="0.25">
      <c r="A44" t="s">
        <v>5120</v>
      </c>
      <c r="C44" t="s">
        <v>5222</v>
      </c>
      <c r="N44">
        <v>1</v>
      </c>
      <c r="Q44" t="s">
        <v>5240</v>
      </c>
    </row>
    <row r="45" spans="1:17" x14ac:dyDescent="0.25">
      <c r="A45" t="s">
        <v>5122</v>
      </c>
      <c r="C45" t="s">
        <v>5222</v>
      </c>
      <c r="N45">
        <v>1</v>
      </c>
      <c r="Q45" t="s">
        <v>5243</v>
      </c>
    </row>
    <row r="46" spans="1:17" x14ac:dyDescent="0.25">
      <c r="A46" t="s">
        <v>5156</v>
      </c>
      <c r="C46" t="s">
        <v>5222</v>
      </c>
      <c r="N46">
        <v>1</v>
      </c>
      <c r="Q46" t="s">
        <v>5245</v>
      </c>
    </row>
    <row r="48" spans="1:17" x14ac:dyDescent="0.25">
      <c r="A48" t="s">
        <v>5135</v>
      </c>
      <c r="C48" t="s">
        <v>5222</v>
      </c>
      <c r="N48">
        <v>1</v>
      </c>
      <c r="Q48" t="s">
        <v>5261</v>
      </c>
    </row>
    <row r="49" spans="1:17" x14ac:dyDescent="0.25">
      <c r="A49" t="s">
        <v>5159</v>
      </c>
      <c r="C49" t="s">
        <v>5222</v>
      </c>
      <c r="N49">
        <v>1</v>
      </c>
      <c r="Q49" t="s">
        <v>5262</v>
      </c>
    </row>
    <row r="50" spans="1:17" x14ac:dyDescent="0.25">
      <c r="A50" t="s">
        <v>5116</v>
      </c>
      <c r="C50" t="s">
        <v>5222</v>
      </c>
      <c r="N50">
        <v>1</v>
      </c>
      <c r="Q50" t="s">
        <v>5263</v>
      </c>
    </row>
    <row r="51" spans="1:17" x14ac:dyDescent="0.25">
      <c r="A51" t="s">
        <v>5124</v>
      </c>
      <c r="C51" t="s">
        <v>5222</v>
      </c>
      <c r="N51">
        <v>1</v>
      </c>
      <c r="Q51" t="s">
        <v>5264</v>
      </c>
    </row>
    <row r="52" spans="1:17" x14ac:dyDescent="0.25">
      <c r="A52" t="s">
        <v>5148</v>
      </c>
      <c r="C52" t="s">
        <v>5222</v>
      </c>
      <c r="N52">
        <v>1</v>
      </c>
      <c r="Q52" t="s">
        <v>5265</v>
      </c>
    </row>
    <row r="53" spans="1:17" x14ac:dyDescent="0.25">
      <c r="A53" t="s">
        <v>5266</v>
      </c>
      <c r="B53" t="s">
        <v>5267</v>
      </c>
    </row>
    <row r="54" spans="1:17" x14ac:dyDescent="0.25">
      <c r="A54" t="s">
        <v>5126</v>
      </c>
      <c r="C54" t="s">
        <v>5222</v>
      </c>
      <c r="K54">
        <v>9999</v>
      </c>
      <c r="N54">
        <v>1</v>
      </c>
      <c r="Q54" t="s">
        <v>5231</v>
      </c>
    </row>
    <row r="55" spans="1:17" x14ac:dyDescent="0.25">
      <c r="A55" t="s">
        <v>5140</v>
      </c>
      <c r="C55" t="s">
        <v>5222</v>
      </c>
      <c r="N55">
        <v>1</v>
      </c>
      <c r="Q55" t="s">
        <v>5238</v>
      </c>
    </row>
    <row r="57" spans="1:17" x14ac:dyDescent="0.25">
      <c r="A57" t="s">
        <v>5268</v>
      </c>
      <c r="C57" t="s">
        <v>5222</v>
      </c>
      <c r="Q57" t="s">
        <v>5269</v>
      </c>
    </row>
    <row r="58" spans="1:17" x14ac:dyDescent="0.25">
      <c r="A58" t="s">
        <v>3323</v>
      </c>
      <c r="C58" t="s">
        <v>5222</v>
      </c>
      <c r="K58">
        <v>10</v>
      </c>
      <c r="Q58" t="s">
        <v>5269</v>
      </c>
    </row>
    <row r="60" spans="1:17" x14ac:dyDescent="0.25">
      <c r="A60" t="s">
        <v>6198</v>
      </c>
      <c r="C60" t="s">
        <v>5298</v>
      </c>
      <c r="H60">
        <v>1</v>
      </c>
      <c r="Q60" t="s">
        <v>6199</v>
      </c>
    </row>
    <row r="61" spans="1:17" x14ac:dyDescent="0.25">
      <c r="A61" t="s">
        <v>6200</v>
      </c>
      <c r="C61" t="s">
        <v>5339</v>
      </c>
      <c r="H61">
        <v>1</v>
      </c>
      <c r="Q61" t="s">
        <v>5261</v>
      </c>
    </row>
    <row r="63" spans="1:17" x14ac:dyDescent="0.25">
      <c r="A63" t="s">
        <v>5270</v>
      </c>
      <c r="C63" t="s">
        <v>5271</v>
      </c>
      <c r="Q63" t="s">
        <v>5272</v>
      </c>
    </row>
    <row r="65" spans="1:17" x14ac:dyDescent="0.25">
      <c r="A65" t="s">
        <v>5273</v>
      </c>
      <c r="C65" t="s">
        <v>5222</v>
      </c>
      <c r="K65">
        <v>9999</v>
      </c>
      <c r="N65">
        <v>1</v>
      </c>
      <c r="Q65" t="s">
        <v>5232</v>
      </c>
    </row>
    <row r="66" spans="1:17" x14ac:dyDescent="0.25">
      <c r="A66" t="s">
        <v>5274</v>
      </c>
      <c r="C66" t="s">
        <v>5222</v>
      </c>
      <c r="K66">
        <v>9999</v>
      </c>
      <c r="N66">
        <v>1</v>
      </c>
      <c r="Q66" t="s">
        <v>5232</v>
      </c>
    </row>
    <row r="67" spans="1:17" x14ac:dyDescent="0.25">
      <c r="A67" t="s">
        <v>5275</v>
      </c>
      <c r="C67" t="s">
        <v>5222</v>
      </c>
      <c r="K67">
        <v>9999</v>
      </c>
      <c r="N67">
        <v>1</v>
      </c>
      <c r="Q67" t="s">
        <v>5234</v>
      </c>
    </row>
    <row r="68" spans="1:17" x14ac:dyDescent="0.25">
      <c r="A68" t="s">
        <v>5276</v>
      </c>
      <c r="C68" t="s">
        <v>5276</v>
      </c>
    </row>
    <row r="69" spans="1:17" x14ac:dyDescent="0.25">
      <c r="A69" t="s">
        <v>3328</v>
      </c>
      <c r="C69" t="s">
        <v>5276</v>
      </c>
      <c r="N69">
        <v>1</v>
      </c>
    </row>
    <row r="70" spans="1:17" x14ac:dyDescent="0.25">
      <c r="A70" t="s">
        <v>4061</v>
      </c>
      <c r="C70" t="s">
        <v>4061</v>
      </c>
      <c r="J70" t="s">
        <v>4061</v>
      </c>
      <c r="Q70" t="s">
        <v>5277</v>
      </c>
    </row>
    <row r="71" spans="1:17" x14ac:dyDescent="0.25">
      <c r="A71" t="s">
        <v>3183</v>
      </c>
      <c r="C71" t="s">
        <v>3183</v>
      </c>
    </row>
    <row r="72" spans="1:17" x14ac:dyDescent="0.25">
      <c r="A72" t="s">
        <v>5278</v>
      </c>
      <c r="C72" t="s">
        <v>5279</v>
      </c>
    </row>
    <row r="73" spans="1:17" x14ac:dyDescent="0.25">
      <c r="A73" t="s">
        <v>3454</v>
      </c>
      <c r="C73" t="s">
        <v>3454</v>
      </c>
    </row>
    <row r="74" spans="1:17" x14ac:dyDescent="0.25">
      <c r="A74" t="s">
        <v>3318</v>
      </c>
      <c r="C74" t="s">
        <v>3318</v>
      </c>
      <c r="J74" t="s">
        <v>3318</v>
      </c>
      <c r="Q74" t="s">
        <v>5280</v>
      </c>
    </row>
    <row r="75" spans="1:17" x14ac:dyDescent="0.25">
      <c r="A75" t="s">
        <v>4777</v>
      </c>
      <c r="B75" t="s">
        <v>5281</v>
      </c>
      <c r="C75" t="s">
        <v>3318</v>
      </c>
    </row>
    <row r="76" spans="1:17" x14ac:dyDescent="0.25">
      <c r="A76" t="s">
        <v>4780</v>
      </c>
      <c r="C76" t="s">
        <v>4780</v>
      </c>
      <c r="J76" t="s">
        <v>4780</v>
      </c>
    </row>
    <row r="77" spans="1:17" x14ac:dyDescent="0.25">
      <c r="A77" s="20" t="s">
        <v>6204</v>
      </c>
      <c r="C77" t="s">
        <v>4780</v>
      </c>
    </row>
    <row r="78" spans="1:17" x14ac:dyDescent="0.25">
      <c r="A78" t="s">
        <v>4761</v>
      </c>
      <c r="C78" t="s">
        <v>5222</v>
      </c>
      <c r="H78">
        <v>1</v>
      </c>
      <c r="J78" t="s">
        <v>4761</v>
      </c>
      <c r="L78" t="s">
        <v>5282</v>
      </c>
      <c r="Q78" t="s">
        <v>5223</v>
      </c>
    </row>
    <row r="79" spans="1:17" x14ac:dyDescent="0.25">
      <c r="A79" t="s">
        <v>5282</v>
      </c>
      <c r="C79" t="s">
        <v>5282</v>
      </c>
      <c r="H79">
        <v>1</v>
      </c>
      <c r="J79" t="s">
        <v>5282</v>
      </c>
    </row>
    <row r="80" spans="1:17" x14ac:dyDescent="0.25">
      <c r="A80" t="s">
        <v>4753</v>
      </c>
      <c r="C80" t="s">
        <v>4753</v>
      </c>
    </row>
    <row r="81" spans="1:17" x14ac:dyDescent="0.25">
      <c r="A81" t="s">
        <v>5283</v>
      </c>
      <c r="C81" t="s">
        <v>5284</v>
      </c>
      <c r="Q81" t="s">
        <v>5285</v>
      </c>
    </row>
    <row r="82" spans="1:17" x14ac:dyDescent="0.25">
      <c r="A82" t="s">
        <v>3880</v>
      </c>
      <c r="C82" t="s">
        <v>3880</v>
      </c>
      <c r="J82" t="s">
        <v>5286</v>
      </c>
    </row>
    <row r="83" spans="1:17" x14ac:dyDescent="0.25">
      <c r="A83" t="s">
        <v>4254</v>
      </c>
      <c r="C83" t="s">
        <v>4254</v>
      </c>
    </row>
    <row r="84" spans="1:17" x14ac:dyDescent="0.25">
      <c r="A84" t="s">
        <v>5287</v>
      </c>
      <c r="C84" t="s">
        <v>3454</v>
      </c>
      <c r="J84" t="s">
        <v>5287</v>
      </c>
    </row>
    <row r="85" spans="1:17" x14ac:dyDescent="0.25">
      <c r="A85" t="s">
        <v>5288</v>
      </c>
      <c r="C85" t="s">
        <v>5271</v>
      </c>
      <c r="J85" t="s">
        <v>5289</v>
      </c>
      <c r="Q85" t="s">
        <v>5290</v>
      </c>
    </row>
    <row r="86" spans="1:17" x14ac:dyDescent="0.25">
      <c r="A86" t="s">
        <v>3321</v>
      </c>
      <c r="C86" t="s">
        <v>5291</v>
      </c>
      <c r="J86" t="s">
        <v>5286</v>
      </c>
      <c r="K86">
        <v>9999</v>
      </c>
      <c r="Q86" t="s">
        <v>5292</v>
      </c>
    </row>
    <row r="87" spans="1:17" x14ac:dyDescent="0.25">
      <c r="A87" t="s">
        <v>5293</v>
      </c>
      <c r="C87" t="s">
        <v>5294</v>
      </c>
    </row>
    <row r="89" spans="1:17" x14ac:dyDescent="0.25">
      <c r="A89" t="s">
        <v>5113</v>
      </c>
      <c r="C89" t="s">
        <v>5295</v>
      </c>
    </row>
    <row r="90" spans="1:17" x14ac:dyDescent="0.25">
      <c r="A90" t="s">
        <v>4764</v>
      </c>
      <c r="C90" t="s">
        <v>5295</v>
      </c>
    </row>
    <row r="91" spans="1:17" x14ac:dyDescent="0.25">
      <c r="A91" t="s">
        <v>850</v>
      </c>
      <c r="C91" t="s">
        <v>5222</v>
      </c>
      <c r="J91" t="s">
        <v>3538</v>
      </c>
      <c r="Q91" t="s">
        <v>5296</v>
      </c>
    </row>
    <row r="92" spans="1:17" x14ac:dyDescent="0.25">
      <c r="A92" t="s">
        <v>5297</v>
      </c>
      <c r="C92" t="s">
        <v>5298</v>
      </c>
      <c r="H92">
        <v>1</v>
      </c>
      <c r="K92">
        <v>3</v>
      </c>
      <c r="Q92" t="s">
        <v>5299</v>
      </c>
    </row>
    <row r="94" spans="1:17" x14ac:dyDescent="0.25">
      <c r="A94" t="s">
        <v>5168</v>
      </c>
      <c r="C94" t="s">
        <v>5222</v>
      </c>
      <c r="Q94" t="s">
        <v>5300</v>
      </c>
    </row>
    <row r="96" spans="1:17" x14ac:dyDescent="0.25">
      <c r="A96" t="s">
        <v>5301</v>
      </c>
      <c r="C96" t="s">
        <v>5222</v>
      </c>
      <c r="J96" t="s">
        <v>5302</v>
      </c>
      <c r="K96">
        <v>0.01</v>
      </c>
      <c r="Q96" t="s">
        <v>5227</v>
      </c>
    </row>
    <row r="97" spans="1:17" x14ac:dyDescent="0.25">
      <c r="A97" t="s">
        <v>3577</v>
      </c>
      <c r="C97" t="s">
        <v>5222</v>
      </c>
      <c r="J97" t="s">
        <v>5302</v>
      </c>
      <c r="K97">
        <v>0.01</v>
      </c>
      <c r="Q97" t="s">
        <v>5228</v>
      </c>
    </row>
    <row r="98" spans="1:17" x14ac:dyDescent="0.25">
      <c r="A98" t="s">
        <v>5303</v>
      </c>
      <c r="C98" t="s">
        <v>3863</v>
      </c>
      <c r="K98">
        <v>3</v>
      </c>
      <c r="Q98" t="s">
        <v>5304</v>
      </c>
    </row>
    <row r="99" spans="1:17" x14ac:dyDescent="0.25">
      <c r="A99" t="s">
        <v>3823</v>
      </c>
      <c r="C99" t="s">
        <v>3863</v>
      </c>
      <c r="K99">
        <v>3</v>
      </c>
      <c r="Q99" t="s">
        <v>5305</v>
      </c>
    </row>
    <row r="101" spans="1:17" x14ac:dyDescent="0.25">
      <c r="A101" t="s">
        <v>3375</v>
      </c>
      <c r="C101" t="s">
        <v>5222</v>
      </c>
      <c r="J101" t="s">
        <v>5306</v>
      </c>
      <c r="K101">
        <v>5</v>
      </c>
      <c r="Q101" t="s">
        <v>5296</v>
      </c>
    </row>
    <row r="102" spans="1:17" x14ac:dyDescent="0.25">
      <c r="A102" t="s">
        <v>5307</v>
      </c>
      <c r="C102" t="s">
        <v>3863</v>
      </c>
      <c r="J102" t="s">
        <v>4061</v>
      </c>
      <c r="K102">
        <v>3</v>
      </c>
      <c r="Q102" t="s">
        <v>5308</v>
      </c>
    </row>
    <row r="103" spans="1:17" x14ac:dyDescent="0.25">
      <c r="A103" t="s">
        <v>5309</v>
      </c>
      <c r="C103" t="s">
        <v>5310</v>
      </c>
      <c r="J103" t="s">
        <v>4861</v>
      </c>
    </row>
    <row r="105" spans="1:17" x14ac:dyDescent="0.25">
      <c r="A105" t="s">
        <v>5311</v>
      </c>
      <c r="C105" t="s">
        <v>4780</v>
      </c>
    </row>
    <row r="106" spans="1:17" x14ac:dyDescent="0.25">
      <c r="A106" t="s">
        <v>5312</v>
      </c>
      <c r="C106" t="s">
        <v>5295</v>
      </c>
    </row>
    <row r="107" spans="1:17" x14ac:dyDescent="0.25">
      <c r="A107" t="s">
        <v>5313</v>
      </c>
      <c r="C107" t="s">
        <v>5222</v>
      </c>
      <c r="Q107" t="s">
        <v>5240</v>
      </c>
    </row>
    <row r="108" spans="1:17" x14ac:dyDescent="0.25">
      <c r="A108" t="s">
        <v>5314</v>
      </c>
      <c r="C108" t="s">
        <v>5295</v>
      </c>
    </row>
    <row r="109" spans="1:17" x14ac:dyDescent="0.25">
      <c r="A109" t="s">
        <v>5315</v>
      </c>
      <c r="C109" t="s">
        <v>5222</v>
      </c>
      <c r="Q109" t="s">
        <v>5226</v>
      </c>
    </row>
    <row r="110" spans="1:17" x14ac:dyDescent="0.25">
      <c r="A110" t="s">
        <v>5316</v>
      </c>
      <c r="C110" t="s">
        <v>5222</v>
      </c>
      <c r="Q110" t="s">
        <v>5317</v>
      </c>
    </row>
    <row r="111" spans="1:17" x14ac:dyDescent="0.25">
      <c r="A111" t="s">
        <v>5318</v>
      </c>
      <c r="C111" t="s">
        <v>5241</v>
      </c>
      <c r="H111">
        <v>1</v>
      </c>
      <c r="Q111" t="s">
        <v>5252</v>
      </c>
    </row>
    <row r="112" spans="1:17" x14ac:dyDescent="0.25">
      <c r="A112" t="s">
        <v>5319</v>
      </c>
      <c r="C112" t="s">
        <v>5222</v>
      </c>
      <c r="H112">
        <v>1</v>
      </c>
      <c r="Q112" t="s">
        <v>5225</v>
      </c>
    </row>
    <row r="114" spans="1:17" x14ac:dyDescent="0.25">
      <c r="A114" t="s">
        <v>3379</v>
      </c>
      <c r="C114" t="s">
        <v>5222</v>
      </c>
      <c r="J114" t="s">
        <v>5320</v>
      </c>
      <c r="K114">
        <v>5</v>
      </c>
      <c r="Q114" t="s">
        <v>5225</v>
      </c>
    </row>
    <row r="115" spans="1:17" x14ac:dyDescent="0.25">
      <c r="A115" t="s">
        <v>3449</v>
      </c>
      <c r="C115" t="s">
        <v>3863</v>
      </c>
      <c r="J115" t="s">
        <v>5321</v>
      </c>
      <c r="K115">
        <v>3</v>
      </c>
      <c r="Q115" t="s">
        <v>5322</v>
      </c>
    </row>
    <row r="116" spans="1:17" x14ac:dyDescent="0.25">
      <c r="A116" t="s">
        <v>3345</v>
      </c>
      <c r="C116" t="s">
        <v>5222</v>
      </c>
      <c r="J116" t="s">
        <v>5306</v>
      </c>
      <c r="K116">
        <v>5</v>
      </c>
      <c r="Q116" t="s">
        <v>5225</v>
      </c>
    </row>
    <row r="117" spans="1:17" x14ac:dyDescent="0.25">
      <c r="A117" t="s">
        <v>3357</v>
      </c>
      <c r="C117" t="s">
        <v>5222</v>
      </c>
      <c r="J117" t="s">
        <v>5306</v>
      </c>
      <c r="K117">
        <v>5</v>
      </c>
      <c r="Q117" t="s">
        <v>5223</v>
      </c>
    </row>
    <row r="118" spans="1:17" x14ac:dyDescent="0.25">
      <c r="A118" t="s">
        <v>3399</v>
      </c>
      <c r="C118" t="s">
        <v>5222</v>
      </c>
      <c r="J118" t="s">
        <v>5323</v>
      </c>
      <c r="K118">
        <v>0.01</v>
      </c>
      <c r="Q118" t="s">
        <v>5228</v>
      </c>
    </row>
    <row r="119" spans="1:17" x14ac:dyDescent="0.25">
      <c r="A119" t="s">
        <v>3555</v>
      </c>
      <c r="C119" t="s">
        <v>5222</v>
      </c>
      <c r="J119" t="s">
        <v>3555</v>
      </c>
      <c r="K119">
        <v>5</v>
      </c>
      <c r="Q119" t="s">
        <v>5225</v>
      </c>
    </row>
    <row r="120" spans="1:17" x14ac:dyDescent="0.25">
      <c r="A120" t="s">
        <v>5324</v>
      </c>
      <c r="C120" t="s">
        <v>3863</v>
      </c>
      <c r="J120" t="s">
        <v>5325</v>
      </c>
      <c r="K120">
        <v>3</v>
      </c>
      <c r="Q120" t="s">
        <v>5326</v>
      </c>
    </row>
    <row r="121" spans="1:17" x14ac:dyDescent="0.25">
      <c r="A121" t="s">
        <v>3584</v>
      </c>
      <c r="C121" t="s">
        <v>5222</v>
      </c>
      <c r="K121">
        <v>9999</v>
      </c>
      <c r="N121">
        <v>1</v>
      </c>
      <c r="Q121" t="s">
        <v>5327</v>
      </c>
    </row>
    <row r="122" spans="1:17" x14ac:dyDescent="0.25">
      <c r="A122" t="s">
        <v>5328</v>
      </c>
      <c r="C122" t="s">
        <v>5222</v>
      </c>
      <c r="E122">
        <v>2</v>
      </c>
      <c r="F122">
        <v>2</v>
      </c>
      <c r="K122">
        <v>0.01</v>
      </c>
      <c r="N122">
        <v>1</v>
      </c>
      <c r="Q122" t="s">
        <v>5228</v>
      </c>
    </row>
    <row r="123" spans="1:17" x14ac:dyDescent="0.25">
      <c r="A123" t="s">
        <v>5329</v>
      </c>
      <c r="C123" t="s">
        <v>5222</v>
      </c>
      <c r="J123" t="s">
        <v>5320</v>
      </c>
      <c r="K123">
        <v>0.01</v>
      </c>
      <c r="Q123" t="s">
        <v>5228</v>
      </c>
    </row>
    <row r="124" spans="1:17" x14ac:dyDescent="0.25">
      <c r="A124" t="s">
        <v>3641</v>
      </c>
      <c r="C124" t="s">
        <v>5222</v>
      </c>
      <c r="G124">
        <v>1</v>
      </c>
      <c r="K124">
        <v>0.01</v>
      </c>
      <c r="Q124" t="s">
        <v>5330</v>
      </c>
    </row>
    <row r="125" spans="1:17" x14ac:dyDescent="0.25">
      <c r="A125" t="s">
        <v>5331</v>
      </c>
      <c r="C125" t="s">
        <v>5222</v>
      </c>
      <c r="K125">
        <v>9999</v>
      </c>
      <c r="N125">
        <v>1</v>
      </c>
      <c r="Q125" t="s">
        <v>5327</v>
      </c>
    </row>
    <row r="126" spans="1:17" x14ac:dyDescent="0.25">
      <c r="A126" t="s">
        <v>5332</v>
      </c>
      <c r="C126" t="s">
        <v>5295</v>
      </c>
    </row>
    <row r="127" spans="1:17" x14ac:dyDescent="0.25">
      <c r="A127" t="s">
        <v>3617</v>
      </c>
      <c r="C127" t="s">
        <v>5222</v>
      </c>
      <c r="K127">
        <v>0.01</v>
      </c>
      <c r="Q127" t="s">
        <v>5333</v>
      </c>
    </row>
    <row r="128" spans="1:17" x14ac:dyDescent="0.25">
      <c r="A128" t="s">
        <v>3623</v>
      </c>
      <c r="C128" t="s">
        <v>5222</v>
      </c>
      <c r="J128" t="s">
        <v>5334</v>
      </c>
      <c r="K128">
        <v>0.01</v>
      </c>
      <c r="Q128" t="s">
        <v>5335</v>
      </c>
    </row>
    <row r="129" spans="1:17" x14ac:dyDescent="0.25">
      <c r="A129" t="s">
        <v>5336</v>
      </c>
      <c r="C129" t="s">
        <v>5222</v>
      </c>
      <c r="J129" t="s">
        <v>5336</v>
      </c>
      <c r="K129">
        <v>0.01</v>
      </c>
      <c r="Q129" t="s">
        <v>5223</v>
      </c>
    </row>
    <row r="130" spans="1:17" x14ac:dyDescent="0.25">
      <c r="A130" t="s">
        <v>3655</v>
      </c>
      <c r="C130" t="s">
        <v>5222</v>
      </c>
      <c r="J130" t="s">
        <v>3655</v>
      </c>
      <c r="Q130" t="s">
        <v>5224</v>
      </c>
    </row>
    <row r="131" spans="1:17" x14ac:dyDescent="0.25">
      <c r="A131" t="s">
        <v>5337</v>
      </c>
      <c r="C131" t="s">
        <v>5222</v>
      </c>
      <c r="J131" t="s">
        <v>5338</v>
      </c>
      <c r="K131">
        <v>5</v>
      </c>
      <c r="Q131" t="s">
        <v>5225</v>
      </c>
    </row>
    <row r="132" spans="1:17" x14ac:dyDescent="0.25">
      <c r="A132" t="s">
        <v>3688</v>
      </c>
      <c r="C132" t="s">
        <v>5339</v>
      </c>
      <c r="J132" t="s">
        <v>5340</v>
      </c>
      <c r="K132">
        <v>0.01</v>
      </c>
      <c r="Q132" t="s">
        <v>5228</v>
      </c>
    </row>
    <row r="133" spans="1:17" x14ac:dyDescent="0.25">
      <c r="A133" t="s">
        <v>3693</v>
      </c>
      <c r="C133" t="s">
        <v>5341</v>
      </c>
      <c r="J133" t="s">
        <v>5342</v>
      </c>
      <c r="Q133" t="s">
        <v>5343</v>
      </c>
    </row>
    <row r="134" spans="1:17" x14ac:dyDescent="0.25">
      <c r="A134" t="s">
        <v>3740</v>
      </c>
      <c r="C134" t="s">
        <v>5222</v>
      </c>
      <c r="K134">
        <v>0.01</v>
      </c>
      <c r="Q134" t="s">
        <v>5344</v>
      </c>
    </row>
    <row r="135" spans="1:17" x14ac:dyDescent="0.25">
      <c r="A135" t="s">
        <v>3746</v>
      </c>
      <c r="C135" t="s">
        <v>5345</v>
      </c>
      <c r="J135" t="s">
        <v>5346</v>
      </c>
      <c r="Q135" t="s">
        <v>5347</v>
      </c>
    </row>
    <row r="136" spans="1:17" x14ac:dyDescent="0.25">
      <c r="A136" t="s">
        <v>5348</v>
      </c>
      <c r="C136" t="s">
        <v>5345</v>
      </c>
      <c r="J136" t="s">
        <v>5346</v>
      </c>
      <c r="Q136" t="s">
        <v>5349</v>
      </c>
    </row>
    <row r="137" spans="1:17" x14ac:dyDescent="0.25">
      <c r="A137" t="s">
        <v>3755</v>
      </c>
      <c r="C137" t="s">
        <v>5295</v>
      </c>
      <c r="J137" t="s">
        <v>3756</v>
      </c>
    </row>
    <row r="138" spans="1:17" x14ac:dyDescent="0.25">
      <c r="A138" t="s">
        <v>3757</v>
      </c>
      <c r="C138" t="s">
        <v>5222</v>
      </c>
      <c r="K138">
        <v>0.01</v>
      </c>
      <c r="Q138" t="s">
        <v>5350</v>
      </c>
    </row>
    <row r="139" spans="1:17" x14ac:dyDescent="0.25">
      <c r="A139" t="s">
        <v>3766</v>
      </c>
      <c r="C139" t="s">
        <v>5345</v>
      </c>
      <c r="Q139" t="s">
        <v>5351</v>
      </c>
    </row>
    <row r="140" spans="1:17" x14ac:dyDescent="0.25">
      <c r="A140" t="s">
        <v>3771</v>
      </c>
      <c r="C140" t="s">
        <v>5222</v>
      </c>
      <c r="J140" t="s">
        <v>5352</v>
      </c>
      <c r="Q140" t="s">
        <v>5353</v>
      </c>
    </row>
    <row r="141" spans="1:17" x14ac:dyDescent="0.25">
      <c r="A141" t="s">
        <v>3778</v>
      </c>
      <c r="C141" t="s">
        <v>5222</v>
      </c>
      <c r="J141" t="s">
        <v>5323</v>
      </c>
      <c r="Q141" t="s">
        <v>5354</v>
      </c>
    </row>
    <row r="142" spans="1:17" x14ac:dyDescent="0.25">
      <c r="A142" t="s">
        <v>5355</v>
      </c>
      <c r="C142" t="s">
        <v>5345</v>
      </c>
      <c r="Q142" t="s">
        <v>5356</v>
      </c>
    </row>
    <row r="143" spans="1:17" x14ac:dyDescent="0.25">
      <c r="A143" t="s">
        <v>3795</v>
      </c>
      <c r="C143" t="s">
        <v>5222</v>
      </c>
      <c r="J143" t="s">
        <v>3799</v>
      </c>
      <c r="Q143" t="s">
        <v>5228</v>
      </c>
    </row>
    <row r="144" spans="1:17" x14ac:dyDescent="0.25">
      <c r="A144" t="s">
        <v>5357</v>
      </c>
      <c r="C144" t="s">
        <v>3160</v>
      </c>
      <c r="K144">
        <v>5</v>
      </c>
      <c r="Q144" t="s">
        <v>5358</v>
      </c>
    </row>
    <row r="145" spans="1:17" x14ac:dyDescent="0.25">
      <c r="A145" t="s">
        <v>3799</v>
      </c>
      <c r="C145" t="s">
        <v>5222</v>
      </c>
      <c r="Q145" t="s">
        <v>5359</v>
      </c>
    </row>
    <row r="146" spans="1:17" x14ac:dyDescent="0.25">
      <c r="A146" t="s">
        <v>3809</v>
      </c>
      <c r="C146" t="s">
        <v>5222</v>
      </c>
      <c r="K146">
        <v>0.01</v>
      </c>
      <c r="Q146" t="s">
        <v>5344</v>
      </c>
    </row>
    <row r="147" spans="1:17" x14ac:dyDescent="0.25">
      <c r="A147" t="s">
        <v>5360</v>
      </c>
      <c r="C147" t="s">
        <v>5345</v>
      </c>
      <c r="Q147" t="s">
        <v>5351</v>
      </c>
    </row>
    <row r="148" spans="1:17" x14ac:dyDescent="0.25">
      <c r="A148" t="s">
        <v>3844</v>
      </c>
      <c r="C148" t="s">
        <v>5222</v>
      </c>
      <c r="J148" t="s">
        <v>3844</v>
      </c>
      <c r="K148">
        <v>5</v>
      </c>
      <c r="Q148" t="s">
        <v>5247</v>
      </c>
    </row>
    <row r="149" spans="1:17" x14ac:dyDescent="0.25">
      <c r="A149" t="s">
        <v>5361</v>
      </c>
      <c r="C149" t="s">
        <v>5222</v>
      </c>
      <c r="J149" t="s">
        <v>5306</v>
      </c>
      <c r="K149">
        <v>0.01</v>
      </c>
      <c r="Q149" t="s">
        <v>5344</v>
      </c>
    </row>
    <row r="150" spans="1:17" x14ac:dyDescent="0.25">
      <c r="A150" t="s">
        <v>3848</v>
      </c>
      <c r="C150" t="s">
        <v>5362</v>
      </c>
      <c r="Q150" t="s">
        <v>5363</v>
      </c>
    </row>
    <row r="151" spans="1:17" x14ac:dyDescent="0.25">
      <c r="A151" t="s">
        <v>5364</v>
      </c>
      <c r="C151" t="s">
        <v>5362</v>
      </c>
      <c r="J151" t="s">
        <v>5365</v>
      </c>
      <c r="Q151" t="s">
        <v>5366</v>
      </c>
    </row>
    <row r="152" spans="1:17" x14ac:dyDescent="0.25">
      <c r="A152" t="s">
        <v>3853</v>
      </c>
      <c r="C152" t="s">
        <v>5222</v>
      </c>
      <c r="J152" t="s">
        <v>5306</v>
      </c>
      <c r="K152">
        <v>0.01</v>
      </c>
      <c r="Q152" t="s">
        <v>5335</v>
      </c>
    </row>
    <row r="153" spans="1:17" x14ac:dyDescent="0.25">
      <c r="A153" t="s">
        <v>5367</v>
      </c>
      <c r="C153" t="s">
        <v>5345</v>
      </c>
      <c r="Q153" t="s">
        <v>5356</v>
      </c>
    </row>
    <row r="154" spans="1:17" x14ac:dyDescent="0.25">
      <c r="A154" t="s">
        <v>3917</v>
      </c>
      <c r="C154" t="s">
        <v>5298</v>
      </c>
      <c r="K154">
        <v>3</v>
      </c>
      <c r="Q154" t="s">
        <v>5368</v>
      </c>
    </row>
    <row r="155" spans="1:17" x14ac:dyDescent="0.25">
      <c r="A155" t="s">
        <v>3937</v>
      </c>
      <c r="C155" t="s">
        <v>5222</v>
      </c>
      <c r="J155" t="s">
        <v>5369</v>
      </c>
      <c r="K155">
        <v>0.01</v>
      </c>
      <c r="Q155" t="s">
        <v>5296</v>
      </c>
    </row>
    <row r="156" spans="1:17" x14ac:dyDescent="0.25">
      <c r="A156" t="s">
        <v>3878</v>
      </c>
      <c r="C156" t="s">
        <v>5222</v>
      </c>
      <c r="J156" t="s">
        <v>5370</v>
      </c>
      <c r="K156">
        <v>5</v>
      </c>
      <c r="Q156" t="s">
        <v>5225</v>
      </c>
    </row>
    <row r="157" spans="1:17" x14ac:dyDescent="0.25">
      <c r="A157" t="s">
        <v>5371</v>
      </c>
      <c r="C157" t="s">
        <v>5222</v>
      </c>
      <c r="J157" t="s">
        <v>5372</v>
      </c>
      <c r="K157">
        <v>5</v>
      </c>
      <c r="Q157" t="s">
        <v>5225</v>
      </c>
    </row>
    <row r="158" spans="1:17" x14ac:dyDescent="0.25">
      <c r="A158" t="s">
        <v>5373</v>
      </c>
      <c r="C158" t="s">
        <v>5295</v>
      </c>
      <c r="J158" t="s">
        <v>5374</v>
      </c>
    </row>
    <row r="159" spans="1:17" x14ac:dyDescent="0.25">
      <c r="A159" t="s">
        <v>5375</v>
      </c>
      <c r="C159" t="s">
        <v>5295</v>
      </c>
      <c r="J159" t="s">
        <v>5376</v>
      </c>
    </row>
    <row r="160" spans="1:17" x14ac:dyDescent="0.25">
      <c r="A160" t="s">
        <v>5377</v>
      </c>
      <c r="C160" t="s">
        <v>5222</v>
      </c>
      <c r="J160" t="s">
        <v>3894</v>
      </c>
      <c r="K160">
        <v>5</v>
      </c>
      <c r="Q160" t="s">
        <v>5225</v>
      </c>
    </row>
    <row r="161" spans="1:17" x14ac:dyDescent="0.25">
      <c r="A161" t="s">
        <v>5378</v>
      </c>
      <c r="C161" t="s">
        <v>5295</v>
      </c>
      <c r="J161" t="s">
        <v>5379</v>
      </c>
    </row>
    <row r="162" spans="1:17" x14ac:dyDescent="0.25">
      <c r="A162" t="s">
        <v>3907</v>
      </c>
      <c r="C162" t="s">
        <v>5222</v>
      </c>
      <c r="J162" t="s">
        <v>5380</v>
      </c>
      <c r="K162">
        <v>5</v>
      </c>
      <c r="Q162" t="s">
        <v>5225</v>
      </c>
    </row>
    <row r="163" spans="1:17" x14ac:dyDescent="0.25">
      <c r="A163" t="s">
        <v>3366</v>
      </c>
      <c r="C163" t="s">
        <v>5222</v>
      </c>
      <c r="J163" t="s">
        <v>5306</v>
      </c>
      <c r="Q163" t="s">
        <v>5223</v>
      </c>
    </row>
    <row r="164" spans="1:17" x14ac:dyDescent="0.25">
      <c r="A164" t="s">
        <v>3981</v>
      </c>
      <c r="C164" t="s">
        <v>5295</v>
      </c>
      <c r="J164" t="s">
        <v>3980</v>
      </c>
    </row>
    <row r="165" spans="1:17" x14ac:dyDescent="0.25">
      <c r="A165" t="s">
        <v>3995</v>
      </c>
      <c r="C165" t="s">
        <v>5222</v>
      </c>
      <c r="J165" t="s">
        <v>3980</v>
      </c>
      <c r="Q165" t="s">
        <v>5381</v>
      </c>
    </row>
    <row r="166" spans="1:17" x14ac:dyDescent="0.25">
      <c r="A166" t="s">
        <v>4007</v>
      </c>
      <c r="C166" t="s">
        <v>5222</v>
      </c>
      <c r="J166" t="s">
        <v>5306</v>
      </c>
      <c r="Q166" t="s">
        <v>5248</v>
      </c>
    </row>
    <row r="167" spans="1:17" x14ac:dyDescent="0.25">
      <c r="A167" t="s">
        <v>4022</v>
      </c>
      <c r="C167" t="s">
        <v>3863</v>
      </c>
      <c r="H167">
        <v>1</v>
      </c>
      <c r="J167" t="s">
        <v>4061</v>
      </c>
      <c r="K167">
        <v>3</v>
      </c>
      <c r="Q167" t="s">
        <v>5382</v>
      </c>
    </row>
    <row r="168" spans="1:17" x14ac:dyDescent="0.25">
      <c r="A168" t="s">
        <v>4048</v>
      </c>
      <c r="C168" t="s">
        <v>5222</v>
      </c>
      <c r="J168" t="s">
        <v>5383</v>
      </c>
      <c r="Q168" t="s">
        <v>5359</v>
      </c>
    </row>
    <row r="169" spans="1:17" x14ac:dyDescent="0.25">
      <c r="A169" t="s">
        <v>5384</v>
      </c>
      <c r="C169" t="s">
        <v>5298</v>
      </c>
      <c r="J169" t="s">
        <v>5385</v>
      </c>
      <c r="K169">
        <v>3</v>
      </c>
      <c r="Q169" t="s">
        <v>5386</v>
      </c>
    </row>
    <row r="170" spans="1:17" x14ac:dyDescent="0.25">
      <c r="A170" t="s">
        <v>5387</v>
      </c>
      <c r="C170" t="s">
        <v>3863</v>
      </c>
      <c r="J170" t="s">
        <v>5388</v>
      </c>
      <c r="K170">
        <v>3</v>
      </c>
      <c r="Q170" t="s">
        <v>5389</v>
      </c>
    </row>
    <row r="171" spans="1:17" x14ac:dyDescent="0.25">
      <c r="A171" t="s">
        <v>5390</v>
      </c>
      <c r="C171" t="s">
        <v>5391</v>
      </c>
      <c r="Q171" t="s">
        <v>5392</v>
      </c>
    </row>
    <row r="172" spans="1:17" x14ac:dyDescent="0.25">
      <c r="A172" t="s">
        <v>4113</v>
      </c>
      <c r="C172" t="s">
        <v>5222</v>
      </c>
      <c r="J172" t="s">
        <v>4113</v>
      </c>
      <c r="Q172" t="s">
        <v>5359</v>
      </c>
    </row>
    <row r="173" spans="1:17" x14ac:dyDescent="0.25">
      <c r="A173" t="s">
        <v>4121</v>
      </c>
      <c r="C173" t="s">
        <v>3863</v>
      </c>
      <c r="K173">
        <v>3</v>
      </c>
      <c r="Q173" t="s">
        <v>5393</v>
      </c>
    </row>
    <row r="174" spans="1:17" x14ac:dyDescent="0.25">
      <c r="A174" t="s">
        <v>4122</v>
      </c>
      <c r="C174" t="s">
        <v>3863</v>
      </c>
      <c r="K174">
        <v>3</v>
      </c>
      <c r="Q174" t="s">
        <v>5394</v>
      </c>
    </row>
    <row r="175" spans="1:17" x14ac:dyDescent="0.25">
      <c r="A175" t="s">
        <v>4123</v>
      </c>
      <c r="C175" t="s">
        <v>5222</v>
      </c>
      <c r="J175" t="s">
        <v>5395</v>
      </c>
      <c r="K175">
        <v>0.01</v>
      </c>
      <c r="Q175" t="s">
        <v>5228</v>
      </c>
    </row>
    <row r="176" spans="1:17" x14ac:dyDescent="0.25">
      <c r="A176" t="s">
        <v>5396</v>
      </c>
      <c r="C176" t="s">
        <v>5345</v>
      </c>
      <c r="Q176" t="s">
        <v>5356</v>
      </c>
    </row>
    <row r="177" spans="1:17" x14ac:dyDescent="0.25">
      <c r="A177" t="s">
        <v>4143</v>
      </c>
      <c r="C177" t="s">
        <v>5222</v>
      </c>
      <c r="J177" t="s">
        <v>5383</v>
      </c>
      <c r="Q177" t="s">
        <v>5397</v>
      </c>
    </row>
    <row r="178" spans="1:17" x14ac:dyDescent="0.25">
      <c r="A178" t="s">
        <v>4148</v>
      </c>
      <c r="C178" t="s">
        <v>5222</v>
      </c>
      <c r="J178" t="s">
        <v>5398</v>
      </c>
      <c r="K178">
        <v>5</v>
      </c>
      <c r="Q178" t="s">
        <v>5225</v>
      </c>
    </row>
    <row r="179" spans="1:17" x14ac:dyDescent="0.25">
      <c r="A179" t="s">
        <v>4190</v>
      </c>
      <c r="C179" t="s">
        <v>5222</v>
      </c>
      <c r="E179">
        <v>1</v>
      </c>
      <c r="K179">
        <v>0.01</v>
      </c>
      <c r="Q179" t="s">
        <v>5330</v>
      </c>
    </row>
    <row r="180" spans="1:17" x14ac:dyDescent="0.25">
      <c r="A180" t="s">
        <v>4224</v>
      </c>
      <c r="C180" t="s">
        <v>5222</v>
      </c>
      <c r="Q180" t="s">
        <v>5399</v>
      </c>
    </row>
    <row r="181" spans="1:17" x14ac:dyDescent="0.25">
      <c r="A181" t="s">
        <v>4230</v>
      </c>
      <c r="C181" t="s">
        <v>5222</v>
      </c>
      <c r="K181">
        <v>0.01</v>
      </c>
      <c r="Q181" t="s">
        <v>5400</v>
      </c>
    </row>
    <row r="182" spans="1:17" x14ac:dyDescent="0.25">
      <c r="A182" t="s">
        <v>4232</v>
      </c>
      <c r="C182" t="s">
        <v>5222</v>
      </c>
      <c r="Q182" t="s">
        <v>5247</v>
      </c>
    </row>
    <row r="183" spans="1:17" x14ac:dyDescent="0.25">
      <c r="A183" t="s">
        <v>4259</v>
      </c>
      <c r="C183" t="s">
        <v>5401</v>
      </c>
      <c r="Q183" t="s">
        <v>5402</v>
      </c>
    </row>
    <row r="184" spans="1:17" x14ac:dyDescent="0.25">
      <c r="A184" t="s">
        <v>5403</v>
      </c>
      <c r="C184" t="s">
        <v>5222</v>
      </c>
      <c r="K184">
        <v>5</v>
      </c>
      <c r="Q184" t="s">
        <v>5225</v>
      </c>
    </row>
    <row r="185" spans="1:17" x14ac:dyDescent="0.25">
      <c r="A185" t="s">
        <v>4266</v>
      </c>
      <c r="C185" t="s">
        <v>3863</v>
      </c>
      <c r="K185">
        <v>3</v>
      </c>
      <c r="Q185" t="s">
        <v>5389</v>
      </c>
    </row>
    <row r="186" spans="1:17" x14ac:dyDescent="0.25">
      <c r="A186" t="s">
        <v>4268</v>
      </c>
      <c r="C186" t="s">
        <v>5295</v>
      </c>
    </row>
    <row r="187" spans="1:17" x14ac:dyDescent="0.25">
      <c r="A187" t="s">
        <v>4280</v>
      </c>
      <c r="C187" t="s">
        <v>5222</v>
      </c>
      <c r="Q187" t="s">
        <v>5397</v>
      </c>
    </row>
    <row r="188" spans="1:17" x14ac:dyDescent="0.25">
      <c r="A188" t="s">
        <v>5404</v>
      </c>
      <c r="C188" t="s">
        <v>3863</v>
      </c>
      <c r="Q188" t="s">
        <v>5405</v>
      </c>
    </row>
    <row r="192" spans="1:17" x14ac:dyDescent="0.25">
      <c r="A192" t="s">
        <v>4303</v>
      </c>
      <c r="C192" t="s">
        <v>5222</v>
      </c>
      <c r="I192">
        <v>1</v>
      </c>
      <c r="J192" t="s">
        <v>5406</v>
      </c>
      <c r="K192">
        <v>9999</v>
      </c>
      <c r="Q192" t="s">
        <v>5407</v>
      </c>
    </row>
    <row r="193" spans="1:17" x14ac:dyDescent="0.25">
      <c r="A193" t="s">
        <v>4331</v>
      </c>
      <c r="C193" t="s">
        <v>5222</v>
      </c>
      <c r="J193" t="s">
        <v>5408</v>
      </c>
      <c r="K193">
        <v>5</v>
      </c>
      <c r="Q193" t="s">
        <v>5225</v>
      </c>
    </row>
    <row r="194" spans="1:17" x14ac:dyDescent="0.25">
      <c r="A194" t="s">
        <v>4380</v>
      </c>
      <c r="C194" t="s">
        <v>5276</v>
      </c>
      <c r="J194" t="s">
        <v>5409</v>
      </c>
    </row>
    <row r="195" spans="1:17" x14ac:dyDescent="0.25">
      <c r="A195" t="s">
        <v>4362</v>
      </c>
      <c r="C195" t="s">
        <v>5222</v>
      </c>
      <c r="J195" t="s">
        <v>5410</v>
      </c>
      <c r="K195">
        <v>5</v>
      </c>
      <c r="Q195" t="s">
        <v>5225</v>
      </c>
    </row>
    <row r="196" spans="1:17" x14ac:dyDescent="0.25">
      <c r="A196" t="s">
        <v>5411</v>
      </c>
      <c r="C196" t="s">
        <v>5222</v>
      </c>
      <c r="J196" t="s">
        <v>5412</v>
      </c>
      <c r="Q196" t="s">
        <v>5413</v>
      </c>
    </row>
    <row r="197" spans="1:17" x14ac:dyDescent="0.25">
      <c r="A197" t="s">
        <v>5414</v>
      </c>
      <c r="C197" t="s">
        <v>5295</v>
      </c>
      <c r="J197" t="s">
        <v>5415</v>
      </c>
    </row>
    <row r="198" spans="1:17" x14ac:dyDescent="0.25">
      <c r="A198" t="s">
        <v>5416</v>
      </c>
      <c r="C198" t="s">
        <v>5295</v>
      </c>
      <c r="J198" t="s">
        <v>5417</v>
      </c>
    </row>
    <row r="199" spans="1:17" x14ac:dyDescent="0.25">
      <c r="A199" t="s">
        <v>4377</v>
      </c>
      <c r="C199" t="s">
        <v>5418</v>
      </c>
      <c r="Q199" t="s">
        <v>5419</v>
      </c>
    </row>
    <row r="200" spans="1:17" x14ac:dyDescent="0.25">
      <c r="A200" t="s">
        <v>4368</v>
      </c>
      <c r="C200" t="s">
        <v>3160</v>
      </c>
      <c r="K200">
        <v>5</v>
      </c>
      <c r="Q200" t="s">
        <v>5420</v>
      </c>
    </row>
    <row r="201" spans="1:17" x14ac:dyDescent="0.25">
      <c r="A201" t="s">
        <v>4417</v>
      </c>
      <c r="C201" t="s">
        <v>5276</v>
      </c>
      <c r="Q201" t="s">
        <v>5421</v>
      </c>
    </row>
    <row r="202" spans="1:17" x14ac:dyDescent="0.25">
      <c r="A202" t="s">
        <v>4396</v>
      </c>
      <c r="C202" t="s">
        <v>5222</v>
      </c>
      <c r="J202" t="s">
        <v>5422</v>
      </c>
      <c r="K202">
        <v>0.01</v>
      </c>
      <c r="Q202" t="s">
        <v>5228</v>
      </c>
    </row>
    <row r="203" spans="1:17" x14ac:dyDescent="0.25">
      <c r="A203" t="s">
        <v>4403</v>
      </c>
      <c r="C203" t="s">
        <v>5222</v>
      </c>
      <c r="J203" t="s">
        <v>5423</v>
      </c>
      <c r="K203">
        <v>5</v>
      </c>
      <c r="Q203" t="s">
        <v>5223</v>
      </c>
    </row>
    <row r="204" spans="1:17" x14ac:dyDescent="0.25">
      <c r="A204" t="s">
        <v>4396</v>
      </c>
      <c r="C204" t="s">
        <v>5222</v>
      </c>
      <c r="J204" t="s">
        <v>5424</v>
      </c>
      <c r="K204">
        <v>0.01</v>
      </c>
      <c r="Q204" t="s">
        <v>5228</v>
      </c>
    </row>
    <row r="206" spans="1:17" x14ac:dyDescent="0.25">
      <c r="A206" t="s">
        <v>4421</v>
      </c>
      <c r="C206" t="s">
        <v>5222</v>
      </c>
      <c r="K206">
        <v>0.01</v>
      </c>
      <c r="Q206" t="s">
        <v>5262</v>
      </c>
    </row>
    <row r="207" spans="1:17" x14ac:dyDescent="0.25">
      <c r="A207" t="s">
        <v>4390</v>
      </c>
      <c r="C207" t="s">
        <v>5295</v>
      </c>
    </row>
    <row r="208" spans="1:17" x14ac:dyDescent="0.25">
      <c r="A208" t="s">
        <v>4419</v>
      </c>
      <c r="C208" t="s">
        <v>5425</v>
      </c>
    </row>
    <row r="209" spans="1:17" x14ac:dyDescent="0.25">
      <c r="A209" t="s">
        <v>4410</v>
      </c>
      <c r="C209" t="s">
        <v>4410</v>
      </c>
    </row>
    <row r="210" spans="1:17" x14ac:dyDescent="0.25">
      <c r="A210" t="s">
        <v>4413</v>
      </c>
      <c r="C210" t="s">
        <v>5295</v>
      </c>
    </row>
    <row r="212" spans="1:17" x14ac:dyDescent="0.25">
      <c r="A212" t="s">
        <v>4428</v>
      </c>
      <c r="C212" t="s">
        <v>5298</v>
      </c>
      <c r="J212" t="s">
        <v>5426</v>
      </c>
      <c r="K212">
        <v>3</v>
      </c>
      <c r="Q212" t="s">
        <v>5427</v>
      </c>
    </row>
    <row r="213" spans="1:17" x14ac:dyDescent="0.25">
      <c r="A213" t="s">
        <v>4426</v>
      </c>
      <c r="C213" t="s">
        <v>5295</v>
      </c>
    </row>
    <row r="214" spans="1:17" x14ac:dyDescent="0.25">
      <c r="A214" t="s">
        <v>4442</v>
      </c>
      <c r="C214" t="s">
        <v>3454</v>
      </c>
      <c r="J214" t="s">
        <v>5428</v>
      </c>
    </row>
    <row r="215" spans="1:17" x14ac:dyDescent="0.25">
      <c r="A215" t="s">
        <v>4444</v>
      </c>
      <c r="C215" t="s">
        <v>5222</v>
      </c>
      <c r="Q215" t="s">
        <v>5330</v>
      </c>
    </row>
    <row r="216" spans="1:17" x14ac:dyDescent="0.25">
      <c r="A216" t="s">
        <v>4451</v>
      </c>
      <c r="C216" t="s">
        <v>5222</v>
      </c>
      <c r="J216" t="s">
        <v>5429</v>
      </c>
      <c r="Q216" t="s">
        <v>5296</v>
      </c>
    </row>
    <row r="217" spans="1:17" x14ac:dyDescent="0.25">
      <c r="A217" t="s">
        <v>4464</v>
      </c>
      <c r="C217" t="s">
        <v>5222</v>
      </c>
      <c r="J217" t="s">
        <v>5429</v>
      </c>
      <c r="Q217" t="s">
        <v>5296</v>
      </c>
    </row>
    <row r="218" spans="1:17" x14ac:dyDescent="0.25">
      <c r="A218" t="s">
        <v>5430</v>
      </c>
      <c r="C218" t="s">
        <v>5295</v>
      </c>
      <c r="J218" t="s">
        <v>5431</v>
      </c>
    </row>
    <row r="220" spans="1:17" x14ac:dyDescent="0.25">
      <c r="A220" t="s">
        <v>4479</v>
      </c>
      <c r="C220" t="s">
        <v>5222</v>
      </c>
      <c r="J220" t="s">
        <v>4479</v>
      </c>
      <c r="Q220" t="s">
        <v>5381</v>
      </c>
    </row>
    <row r="221" spans="1:17" x14ac:dyDescent="0.25">
      <c r="A221" t="s">
        <v>4487</v>
      </c>
      <c r="C221" t="s">
        <v>5295</v>
      </c>
      <c r="J221" t="s">
        <v>5432</v>
      </c>
    </row>
    <row r="222" spans="1:17" x14ac:dyDescent="0.25">
      <c r="A222" t="s">
        <v>4493</v>
      </c>
      <c r="C222" t="s">
        <v>5222</v>
      </c>
      <c r="J222" t="s">
        <v>5433</v>
      </c>
      <c r="Q222" t="s">
        <v>5247</v>
      </c>
    </row>
    <row r="223" spans="1:17" x14ac:dyDescent="0.25">
      <c r="A223" t="s">
        <v>5434</v>
      </c>
      <c r="C223" t="s">
        <v>5222</v>
      </c>
      <c r="N223">
        <v>1</v>
      </c>
      <c r="Q223" t="s">
        <v>5330</v>
      </c>
    </row>
    <row r="224" spans="1:17" x14ac:dyDescent="0.25">
      <c r="A224" t="s">
        <v>5435</v>
      </c>
      <c r="C224" t="s">
        <v>5222</v>
      </c>
      <c r="J224" t="s">
        <v>5436</v>
      </c>
      <c r="Q224" t="s">
        <v>5247</v>
      </c>
    </row>
    <row r="226" spans="1:21" x14ac:dyDescent="0.25">
      <c r="A226" t="s">
        <v>4501</v>
      </c>
      <c r="C226" t="s">
        <v>5222</v>
      </c>
      <c r="J226" t="s">
        <v>5306</v>
      </c>
      <c r="Q226" t="s">
        <v>5296</v>
      </c>
    </row>
    <row r="227" spans="1:21" x14ac:dyDescent="0.25">
      <c r="A227" t="s">
        <v>5437</v>
      </c>
      <c r="C227" t="s">
        <v>5298</v>
      </c>
      <c r="J227" t="s">
        <v>5438</v>
      </c>
      <c r="Q227" t="s">
        <v>5439</v>
      </c>
      <c r="U227" t="s">
        <v>5440</v>
      </c>
    </row>
    <row r="228" spans="1:21" x14ac:dyDescent="0.25">
      <c r="A228" t="s">
        <v>4524</v>
      </c>
      <c r="C228" t="s">
        <v>5295</v>
      </c>
      <c r="J228" t="s">
        <v>5441</v>
      </c>
    </row>
    <row r="230" spans="1:21" x14ac:dyDescent="0.25">
      <c r="A230" t="s">
        <v>4533</v>
      </c>
      <c r="C230" t="s">
        <v>5222</v>
      </c>
      <c r="J230" t="s">
        <v>5306</v>
      </c>
      <c r="Q230" t="s">
        <v>5296</v>
      </c>
    </row>
    <row r="231" spans="1:21" x14ac:dyDescent="0.25">
      <c r="A231" t="s">
        <v>4550</v>
      </c>
      <c r="C231" t="s">
        <v>5222</v>
      </c>
      <c r="J231" t="s">
        <v>5442</v>
      </c>
      <c r="Q231" t="s">
        <v>5397</v>
      </c>
    </row>
    <row r="233" spans="1:21" x14ac:dyDescent="0.25">
      <c r="A233" t="s">
        <v>5443</v>
      </c>
      <c r="C233" t="s">
        <v>3160</v>
      </c>
      <c r="Q233" t="s">
        <v>5444</v>
      </c>
    </row>
    <row r="234" spans="1:21" x14ac:dyDescent="0.25">
      <c r="A234" t="s">
        <v>4587</v>
      </c>
      <c r="C234" t="s">
        <v>5295</v>
      </c>
    </row>
    <row r="235" spans="1:21" x14ac:dyDescent="0.25">
      <c r="A235" t="s">
        <v>5445</v>
      </c>
      <c r="C235" t="s">
        <v>3454</v>
      </c>
      <c r="J235" t="s">
        <v>5446</v>
      </c>
    </row>
    <row r="237" spans="1:21" x14ac:dyDescent="0.25">
      <c r="A237" t="s">
        <v>4599</v>
      </c>
      <c r="C237" t="s">
        <v>5222</v>
      </c>
      <c r="J237" t="s">
        <v>5447</v>
      </c>
      <c r="Q237" t="s">
        <v>5296</v>
      </c>
    </row>
    <row r="238" spans="1:21" x14ac:dyDescent="0.25">
      <c r="A238" t="s">
        <v>5448</v>
      </c>
      <c r="C238" t="s">
        <v>5341</v>
      </c>
      <c r="J238" t="s">
        <v>5449</v>
      </c>
      <c r="Q238" t="s">
        <v>5450</v>
      </c>
    </row>
    <row r="239" spans="1:21" x14ac:dyDescent="0.25">
      <c r="A239" t="s">
        <v>5451</v>
      </c>
      <c r="C239" t="s">
        <v>5222</v>
      </c>
      <c r="K239">
        <v>0.01</v>
      </c>
      <c r="O239" t="s">
        <v>5448</v>
      </c>
      <c r="Q239" t="s">
        <v>5228</v>
      </c>
    </row>
    <row r="240" spans="1:21" x14ac:dyDescent="0.25">
      <c r="A240" t="s">
        <v>4611</v>
      </c>
      <c r="C240" t="s">
        <v>5222</v>
      </c>
      <c r="J240" t="s">
        <v>5452</v>
      </c>
      <c r="K240">
        <v>5</v>
      </c>
      <c r="Q240" t="s">
        <v>5225</v>
      </c>
    </row>
    <row r="242" spans="1:17" x14ac:dyDescent="0.25">
      <c r="A242" t="s">
        <v>5453</v>
      </c>
      <c r="C242" t="s">
        <v>5222</v>
      </c>
      <c r="J242" t="s">
        <v>5454</v>
      </c>
      <c r="K242">
        <v>5</v>
      </c>
      <c r="Q242" t="s">
        <v>5225</v>
      </c>
    </row>
    <row r="243" spans="1:17" x14ac:dyDescent="0.25">
      <c r="A243" t="s">
        <v>5455</v>
      </c>
      <c r="C243" t="s">
        <v>5341</v>
      </c>
      <c r="J243" t="s">
        <v>5456</v>
      </c>
      <c r="Q243" t="s">
        <v>5457</v>
      </c>
    </row>
    <row r="244" spans="1:17" x14ac:dyDescent="0.25">
      <c r="A244" t="s">
        <v>5458</v>
      </c>
      <c r="C244" t="s">
        <v>5222</v>
      </c>
      <c r="K244">
        <v>0.01</v>
      </c>
      <c r="O244" t="s">
        <v>5455</v>
      </c>
      <c r="Q244" t="s">
        <v>5249</v>
      </c>
    </row>
    <row r="245" spans="1:17" x14ac:dyDescent="0.25">
      <c r="A245" t="s">
        <v>4629</v>
      </c>
      <c r="C245" t="s">
        <v>5222</v>
      </c>
      <c r="Q245" t="s">
        <v>5459</v>
      </c>
    </row>
    <row r="246" spans="1:17" x14ac:dyDescent="0.25">
      <c r="A246" t="s">
        <v>4632</v>
      </c>
      <c r="C246" t="s">
        <v>5222</v>
      </c>
      <c r="J246" t="s">
        <v>5460</v>
      </c>
      <c r="K246">
        <v>5</v>
      </c>
      <c r="Q246" t="s">
        <v>5225</v>
      </c>
    </row>
    <row r="248" spans="1:17" x14ac:dyDescent="0.25">
      <c r="A248" t="s">
        <v>4654</v>
      </c>
      <c r="C248" t="s">
        <v>5222</v>
      </c>
      <c r="J248" t="s">
        <v>5461</v>
      </c>
      <c r="Q248" t="s">
        <v>5228</v>
      </c>
    </row>
    <row r="249" spans="1:17" x14ac:dyDescent="0.25">
      <c r="A249" t="s">
        <v>5462</v>
      </c>
      <c r="C249" t="s">
        <v>5295</v>
      </c>
      <c r="J249" t="s">
        <v>5463</v>
      </c>
    </row>
    <row r="250" spans="1:17" x14ac:dyDescent="0.25">
      <c r="A250" t="s">
        <v>4647</v>
      </c>
      <c r="C250" t="s">
        <v>5222</v>
      </c>
      <c r="J250" t="s">
        <v>5306</v>
      </c>
      <c r="Q250" t="s">
        <v>5330</v>
      </c>
    </row>
    <row r="251" spans="1:17" x14ac:dyDescent="0.25">
      <c r="A251" t="s">
        <v>5464</v>
      </c>
      <c r="C251" t="s">
        <v>5222</v>
      </c>
      <c r="J251" t="s">
        <v>5465</v>
      </c>
      <c r="Q251" t="s">
        <v>5330</v>
      </c>
    </row>
    <row r="253" spans="1:17" x14ac:dyDescent="0.25">
      <c r="A253" t="s">
        <v>4667</v>
      </c>
      <c r="C253" t="s">
        <v>5466</v>
      </c>
      <c r="J253" t="s">
        <v>5467</v>
      </c>
      <c r="Q253" t="s">
        <v>5330</v>
      </c>
    </row>
    <row r="254" spans="1:17" x14ac:dyDescent="0.25">
      <c r="A254" t="s">
        <v>4685</v>
      </c>
      <c r="C254" t="s">
        <v>5222</v>
      </c>
      <c r="J254" t="s">
        <v>5468</v>
      </c>
      <c r="Q254" t="s">
        <v>5469</v>
      </c>
    </row>
    <row r="255" spans="1:17" x14ac:dyDescent="0.25">
      <c r="A255" t="s">
        <v>4687</v>
      </c>
      <c r="C255" t="s">
        <v>5295</v>
      </c>
      <c r="J255" t="s">
        <v>5470</v>
      </c>
    </row>
    <row r="257" spans="1:25" x14ac:dyDescent="0.25">
      <c r="A257" t="s">
        <v>5471</v>
      </c>
      <c r="C257" t="s">
        <v>5222</v>
      </c>
      <c r="J257" t="s">
        <v>5306</v>
      </c>
      <c r="Q257" t="s">
        <v>5472</v>
      </c>
    </row>
    <row r="258" spans="1:25" x14ac:dyDescent="0.25">
      <c r="A258" t="s">
        <v>4706</v>
      </c>
      <c r="C258" t="s">
        <v>5222</v>
      </c>
      <c r="I258">
        <v>1</v>
      </c>
      <c r="J258" t="s">
        <v>5406</v>
      </c>
      <c r="K258">
        <v>9999</v>
      </c>
      <c r="Q258" t="s">
        <v>5473</v>
      </c>
    </row>
    <row r="259" spans="1:25" x14ac:dyDescent="0.25">
      <c r="A259" t="s">
        <v>5474</v>
      </c>
      <c r="C259" t="s">
        <v>3160</v>
      </c>
      <c r="O259" t="s">
        <v>4706</v>
      </c>
      <c r="Q259" t="s">
        <v>5475</v>
      </c>
    </row>
    <row r="260" spans="1:25" x14ac:dyDescent="0.25">
      <c r="A260" t="s">
        <v>4716</v>
      </c>
      <c r="C260" t="s">
        <v>5222</v>
      </c>
      <c r="I260">
        <v>1</v>
      </c>
      <c r="J260" t="s">
        <v>5406</v>
      </c>
      <c r="K260">
        <v>9999</v>
      </c>
      <c r="Q260" t="s">
        <v>5359</v>
      </c>
    </row>
    <row r="261" spans="1:25" x14ac:dyDescent="0.25">
      <c r="A261" t="s">
        <v>5476</v>
      </c>
      <c r="C261" t="s">
        <v>3160</v>
      </c>
      <c r="Q261" t="s">
        <v>5420</v>
      </c>
    </row>
    <row r="263" spans="1:25" x14ac:dyDescent="0.25">
      <c r="A263" t="s">
        <v>4798</v>
      </c>
      <c r="C263" t="s">
        <v>5466</v>
      </c>
      <c r="J263" t="s">
        <v>5302</v>
      </c>
      <c r="Q263" t="s">
        <v>5227</v>
      </c>
    </row>
    <row r="264" spans="1:25" x14ac:dyDescent="0.25">
      <c r="A264" t="s">
        <v>5477</v>
      </c>
      <c r="C264" t="s">
        <v>3160</v>
      </c>
      <c r="K264">
        <v>5</v>
      </c>
      <c r="Q264" t="s">
        <v>5478</v>
      </c>
    </row>
    <row r="265" spans="1:25" x14ac:dyDescent="0.25">
      <c r="A265" t="s">
        <v>1042</v>
      </c>
      <c r="C265" t="s">
        <v>5222</v>
      </c>
      <c r="J265" t="s">
        <v>5479</v>
      </c>
      <c r="K265">
        <v>0.01</v>
      </c>
      <c r="Q265" t="s">
        <v>5227</v>
      </c>
    </row>
    <row r="266" spans="1:25" x14ac:dyDescent="0.25">
      <c r="A266" t="s">
        <v>5480</v>
      </c>
      <c r="C266" t="s">
        <v>3160</v>
      </c>
      <c r="K266">
        <v>5</v>
      </c>
      <c r="Q266" t="s">
        <v>5481</v>
      </c>
    </row>
    <row r="267" spans="1:25" x14ac:dyDescent="0.25">
      <c r="A267" t="s">
        <v>4810</v>
      </c>
      <c r="C267" t="s">
        <v>5222</v>
      </c>
      <c r="F267">
        <v>1</v>
      </c>
      <c r="Q267" t="s">
        <v>5249</v>
      </c>
    </row>
    <row r="268" spans="1:25" x14ac:dyDescent="0.25">
      <c r="A268" t="s">
        <v>4869</v>
      </c>
      <c r="C268" t="s">
        <v>5222</v>
      </c>
      <c r="F268">
        <v>1</v>
      </c>
      <c r="Q268" t="s">
        <v>5227</v>
      </c>
    </row>
    <row r="269" spans="1:25" x14ac:dyDescent="0.25">
      <c r="A269" t="s">
        <v>4816</v>
      </c>
      <c r="C269" t="s">
        <v>5298</v>
      </c>
      <c r="J269" t="s">
        <v>5438</v>
      </c>
      <c r="Q269" t="s">
        <v>5482</v>
      </c>
      <c r="Y269" t="s">
        <v>5440</v>
      </c>
    </row>
    <row r="270" spans="1:25" x14ac:dyDescent="0.25">
      <c r="A270" t="s">
        <v>4820</v>
      </c>
      <c r="C270" t="s">
        <v>5222</v>
      </c>
      <c r="J270" t="s">
        <v>5302</v>
      </c>
      <c r="K270">
        <v>0.01</v>
      </c>
      <c r="Q270" t="s">
        <v>5228</v>
      </c>
    </row>
    <row r="271" spans="1:25" x14ac:dyDescent="0.25">
      <c r="A271" t="s">
        <v>5102</v>
      </c>
      <c r="C271" t="s">
        <v>5222</v>
      </c>
      <c r="Q271" t="s">
        <v>5483</v>
      </c>
    </row>
    <row r="272" spans="1:25" x14ac:dyDescent="0.25">
      <c r="A272" t="s">
        <v>4834</v>
      </c>
      <c r="C272" t="s">
        <v>5222</v>
      </c>
      <c r="Q272" t="s">
        <v>5484</v>
      </c>
    </row>
    <row r="273" spans="1:17" x14ac:dyDescent="0.25">
      <c r="A273" t="s">
        <v>4847</v>
      </c>
      <c r="C273" t="s">
        <v>5222</v>
      </c>
      <c r="O273" t="s">
        <v>4849</v>
      </c>
      <c r="Q273" t="s">
        <v>5227</v>
      </c>
    </row>
    <row r="274" spans="1:17" x14ac:dyDescent="0.25">
      <c r="A274" t="s">
        <v>4864</v>
      </c>
      <c r="C274" t="s">
        <v>5222</v>
      </c>
      <c r="O274" t="s">
        <v>4849</v>
      </c>
      <c r="Q274" t="s">
        <v>5485</v>
      </c>
    </row>
    <row r="275" spans="1:17" x14ac:dyDescent="0.25">
      <c r="A275" t="s">
        <v>4861</v>
      </c>
      <c r="C275" t="s">
        <v>5295</v>
      </c>
      <c r="J275" t="s">
        <v>4861</v>
      </c>
    </row>
    <row r="276" spans="1:17" x14ac:dyDescent="0.25">
      <c r="A276" t="s">
        <v>4862</v>
      </c>
      <c r="C276" t="s">
        <v>5295</v>
      </c>
      <c r="J276" t="s">
        <v>4862</v>
      </c>
    </row>
    <row r="277" spans="1:17" x14ac:dyDescent="0.25">
      <c r="A277" t="s">
        <v>4849</v>
      </c>
      <c r="C277" t="s">
        <v>5341</v>
      </c>
      <c r="J277" t="s">
        <v>5323</v>
      </c>
      <c r="Q277" t="s">
        <v>5486</v>
      </c>
    </row>
    <row r="278" spans="1:17" x14ac:dyDescent="0.25">
      <c r="A278" t="s">
        <v>4908</v>
      </c>
      <c r="C278" t="s">
        <v>5487</v>
      </c>
      <c r="Q278" t="s">
        <v>5488</v>
      </c>
    </row>
    <row r="279" spans="1:17" x14ac:dyDescent="0.25">
      <c r="A279" t="s">
        <v>4909</v>
      </c>
      <c r="C279" t="s">
        <v>5487</v>
      </c>
      <c r="Q279" t="s">
        <v>5489</v>
      </c>
    </row>
    <row r="280" spans="1:17" x14ac:dyDescent="0.25">
      <c r="A280" t="s">
        <v>4813</v>
      </c>
      <c r="C280" t="s">
        <v>5222</v>
      </c>
      <c r="H280">
        <v>1</v>
      </c>
      <c r="Q280" t="s">
        <v>5236</v>
      </c>
    </row>
    <row r="281" spans="1:17" x14ac:dyDescent="0.25">
      <c r="A281" t="s">
        <v>1524</v>
      </c>
      <c r="C281" t="s">
        <v>3160</v>
      </c>
      <c r="O281" t="s">
        <v>4913</v>
      </c>
      <c r="Q281" t="s">
        <v>5490</v>
      </c>
    </row>
    <row r="282" spans="1:17" x14ac:dyDescent="0.25">
      <c r="A282" t="s">
        <v>4921</v>
      </c>
      <c r="C282" t="s">
        <v>5295</v>
      </c>
    </row>
    <row r="283" spans="1:17" x14ac:dyDescent="0.25">
      <c r="A283" t="s">
        <v>4913</v>
      </c>
      <c r="C283" t="s">
        <v>5295</v>
      </c>
    </row>
    <row r="284" spans="1:17" x14ac:dyDescent="0.25">
      <c r="A284" t="s">
        <v>5491</v>
      </c>
      <c r="C284" t="s">
        <v>5222</v>
      </c>
      <c r="K284">
        <v>0.01</v>
      </c>
      <c r="Q284" t="s">
        <v>5330</v>
      </c>
    </row>
    <row r="285" spans="1:17" x14ac:dyDescent="0.25">
      <c r="A285" t="s">
        <v>5048</v>
      </c>
      <c r="C285" t="s">
        <v>5222</v>
      </c>
      <c r="Q285" t="s">
        <v>5492</v>
      </c>
    </row>
    <row r="286" spans="1:17" x14ac:dyDescent="0.25">
      <c r="A286" t="s">
        <v>4929</v>
      </c>
      <c r="C286" t="s">
        <v>5222</v>
      </c>
      <c r="K286">
        <v>0.01</v>
      </c>
      <c r="Q286" t="s">
        <v>5344</v>
      </c>
    </row>
    <row r="287" spans="1:17" x14ac:dyDescent="0.25">
      <c r="A287" t="s">
        <v>4931</v>
      </c>
      <c r="C287" t="s">
        <v>5222</v>
      </c>
      <c r="O287" t="s">
        <v>4929</v>
      </c>
      <c r="Q287" t="s">
        <v>5224</v>
      </c>
    </row>
    <row r="288" spans="1:17" x14ac:dyDescent="0.25">
      <c r="A288" t="s">
        <v>4935</v>
      </c>
      <c r="C288" t="s">
        <v>5222</v>
      </c>
      <c r="O288" t="s">
        <v>4929</v>
      </c>
      <c r="Q288" t="s">
        <v>5223</v>
      </c>
    </row>
    <row r="289" spans="1:21" x14ac:dyDescent="0.25">
      <c r="A289" t="s">
        <v>4936</v>
      </c>
      <c r="C289" t="s">
        <v>5222</v>
      </c>
      <c r="O289" t="s">
        <v>4929</v>
      </c>
      <c r="Q289" t="s">
        <v>5225</v>
      </c>
    </row>
    <row r="290" spans="1:21" x14ac:dyDescent="0.25">
      <c r="A290" t="s">
        <v>4940</v>
      </c>
      <c r="C290" t="s">
        <v>3160</v>
      </c>
      <c r="Q290" t="s">
        <v>5493</v>
      </c>
    </row>
    <row r="291" spans="1:21" x14ac:dyDescent="0.25">
      <c r="A291" t="s">
        <v>4938</v>
      </c>
      <c r="C291" t="s">
        <v>5295</v>
      </c>
    </row>
    <row r="292" spans="1:21" x14ac:dyDescent="0.25">
      <c r="A292" t="s">
        <v>4948</v>
      </c>
      <c r="C292" t="s">
        <v>5222</v>
      </c>
      <c r="Q292" t="s">
        <v>5494</v>
      </c>
    </row>
    <row r="293" spans="1:21" x14ac:dyDescent="0.25">
      <c r="A293" t="s">
        <v>4964</v>
      </c>
      <c r="C293" t="s">
        <v>3160</v>
      </c>
      <c r="Q293" t="s">
        <v>5495</v>
      </c>
    </row>
    <row r="294" spans="1:21" x14ac:dyDescent="0.25">
      <c r="A294" t="s">
        <v>5496</v>
      </c>
      <c r="C294" t="s">
        <v>5497</v>
      </c>
      <c r="Q294" t="s">
        <v>5498</v>
      </c>
    </row>
    <row r="295" spans="1:21" x14ac:dyDescent="0.25">
      <c r="A295" t="s">
        <v>5499</v>
      </c>
      <c r="C295" t="s">
        <v>5222</v>
      </c>
      <c r="Q295" t="s">
        <v>5500</v>
      </c>
    </row>
    <row r="296" spans="1:21" x14ac:dyDescent="0.25">
      <c r="A296" t="s">
        <v>5501</v>
      </c>
      <c r="C296" t="s">
        <v>5298</v>
      </c>
      <c r="Q296" t="s">
        <v>5502</v>
      </c>
    </row>
    <row r="297" spans="1:21" x14ac:dyDescent="0.25">
      <c r="A297" t="s">
        <v>5014</v>
      </c>
      <c r="C297" t="s">
        <v>5222</v>
      </c>
      <c r="Q297" t="s">
        <v>5225</v>
      </c>
    </row>
    <row r="298" spans="1:21" x14ac:dyDescent="0.25">
      <c r="A298" t="s">
        <v>5010</v>
      </c>
      <c r="C298" t="s">
        <v>5222</v>
      </c>
      <c r="Q298" t="s">
        <v>5225</v>
      </c>
    </row>
    <row r="299" spans="1:21" x14ac:dyDescent="0.25">
      <c r="A299" t="s">
        <v>5050</v>
      </c>
      <c r="C299" t="s">
        <v>5503</v>
      </c>
      <c r="J299" t="s">
        <v>5438</v>
      </c>
      <c r="Q299" t="s">
        <v>5504</v>
      </c>
      <c r="U299" t="s">
        <v>5440</v>
      </c>
    </row>
    <row r="300" spans="1:21" x14ac:dyDescent="0.25">
      <c r="A300" t="s">
        <v>5505</v>
      </c>
      <c r="C300" t="s">
        <v>5222</v>
      </c>
      <c r="J300" t="s">
        <v>5306</v>
      </c>
      <c r="Q300" t="s">
        <v>5506</v>
      </c>
    </row>
    <row r="301" spans="1:21" x14ac:dyDescent="0.25">
      <c r="A301" t="s">
        <v>5058</v>
      </c>
      <c r="C301" t="s">
        <v>5507</v>
      </c>
      <c r="Q301" t="s">
        <v>5508</v>
      </c>
    </row>
    <row r="302" spans="1:21" x14ac:dyDescent="0.25">
      <c r="A302" t="s">
        <v>5509</v>
      </c>
      <c r="C302" t="s">
        <v>5222</v>
      </c>
      <c r="J302" t="s">
        <v>5306</v>
      </c>
      <c r="Q302" t="s">
        <v>5510</v>
      </c>
    </row>
    <row r="303" spans="1:21" x14ac:dyDescent="0.25">
      <c r="A303" t="s">
        <v>5078</v>
      </c>
      <c r="C303" t="s">
        <v>5295</v>
      </c>
    </row>
    <row r="304" spans="1:21" x14ac:dyDescent="0.25">
      <c r="A304" t="s">
        <v>1220</v>
      </c>
      <c r="C304" t="s">
        <v>5222</v>
      </c>
      <c r="H304">
        <v>1</v>
      </c>
      <c r="K304">
        <v>5</v>
      </c>
      <c r="Q304" t="s">
        <v>5223</v>
      </c>
    </row>
    <row r="305" spans="1:17" x14ac:dyDescent="0.25">
      <c r="A305" t="s">
        <v>5511</v>
      </c>
      <c r="C305" t="s">
        <v>5222</v>
      </c>
      <c r="F305">
        <v>1</v>
      </c>
      <c r="Q305" t="s">
        <v>5317</v>
      </c>
    </row>
    <row r="306" spans="1:17" x14ac:dyDescent="0.25">
      <c r="A306" t="s">
        <v>4880</v>
      </c>
      <c r="C306" t="s">
        <v>5222</v>
      </c>
      <c r="F306">
        <v>1</v>
      </c>
      <c r="H306">
        <v>1</v>
      </c>
      <c r="Q306" t="s">
        <v>5262</v>
      </c>
    </row>
    <row r="307" spans="1:17" x14ac:dyDescent="0.25">
      <c r="A307" t="s">
        <v>5512</v>
      </c>
      <c r="C307" t="s">
        <v>5284</v>
      </c>
      <c r="F307">
        <v>1</v>
      </c>
      <c r="Q307" t="s">
        <v>5513</v>
      </c>
    </row>
    <row r="308" spans="1:17" x14ac:dyDescent="0.25">
      <c r="A308" t="s">
        <v>4883</v>
      </c>
      <c r="C308" t="s">
        <v>5222</v>
      </c>
      <c r="J308" t="s">
        <v>5323</v>
      </c>
      <c r="Q308" t="s">
        <v>5514</v>
      </c>
    </row>
    <row r="309" spans="1:17" x14ac:dyDescent="0.25">
      <c r="A309" t="s">
        <v>4886</v>
      </c>
      <c r="C309" t="s">
        <v>5466</v>
      </c>
      <c r="J309" t="s">
        <v>5306</v>
      </c>
      <c r="Q309" t="s">
        <v>5515</v>
      </c>
    </row>
    <row r="310" spans="1:17" x14ac:dyDescent="0.25">
      <c r="A310" t="s">
        <v>4889</v>
      </c>
      <c r="C310" t="s">
        <v>5222</v>
      </c>
      <c r="J310" t="s">
        <v>3454</v>
      </c>
      <c r="Q310" t="s">
        <v>5261</v>
      </c>
    </row>
    <row r="311" spans="1:17" x14ac:dyDescent="0.25">
      <c r="A311" t="s">
        <v>5046</v>
      </c>
      <c r="C311" t="s">
        <v>5222</v>
      </c>
      <c r="H311">
        <v>1</v>
      </c>
      <c r="K311">
        <v>5</v>
      </c>
      <c r="Q311" t="s">
        <v>5223</v>
      </c>
    </row>
    <row r="312" spans="1:17" x14ac:dyDescent="0.25">
      <c r="A312" t="s">
        <v>5108</v>
      </c>
      <c r="C312" t="s">
        <v>5222</v>
      </c>
      <c r="H312">
        <v>1</v>
      </c>
      <c r="J312" t="s">
        <v>5321</v>
      </c>
      <c r="Q312" t="s">
        <v>5516</v>
      </c>
    </row>
    <row r="313" spans="1:17" x14ac:dyDescent="0.25">
      <c r="A313" t="s">
        <v>5109</v>
      </c>
      <c r="C313" t="s">
        <v>5222</v>
      </c>
      <c r="H313">
        <v>1</v>
      </c>
      <c r="J313" t="s">
        <v>5323</v>
      </c>
      <c r="K313">
        <v>9999</v>
      </c>
      <c r="Q313" t="s">
        <v>5227</v>
      </c>
    </row>
    <row r="314" spans="1:17" x14ac:dyDescent="0.25">
      <c r="A314" t="s">
        <v>5110</v>
      </c>
      <c r="C314" t="s">
        <v>5222</v>
      </c>
      <c r="H314">
        <v>1</v>
      </c>
      <c r="J314" t="s">
        <v>5302</v>
      </c>
      <c r="K314">
        <v>9999</v>
      </c>
      <c r="Q314" t="s">
        <v>5262</v>
      </c>
    </row>
    <row r="315" spans="1:17" x14ac:dyDescent="0.25">
      <c r="A315" t="s">
        <v>5111</v>
      </c>
      <c r="C315" t="s">
        <v>5222</v>
      </c>
      <c r="H315">
        <v>1</v>
      </c>
      <c r="K315">
        <v>0.1</v>
      </c>
      <c r="Q315" t="s">
        <v>5224</v>
      </c>
    </row>
    <row r="316" spans="1:17" x14ac:dyDescent="0.25">
      <c r="A316" t="s">
        <v>5517</v>
      </c>
      <c r="C316" t="s">
        <v>5222</v>
      </c>
      <c r="H316">
        <v>1</v>
      </c>
      <c r="J316" t="s">
        <v>5323</v>
      </c>
      <c r="K316">
        <v>0.2</v>
      </c>
      <c r="Q316" t="s">
        <v>5224</v>
      </c>
    </row>
    <row r="317" spans="1:17" x14ac:dyDescent="0.25">
      <c r="A317" t="s">
        <v>5518</v>
      </c>
      <c r="C317" t="s">
        <v>5518</v>
      </c>
    </row>
    <row r="318" spans="1:17" x14ac:dyDescent="0.25">
      <c r="A318" t="s">
        <v>5519</v>
      </c>
      <c r="C318" t="s">
        <v>5520</v>
      </c>
      <c r="Q318" t="s">
        <v>5521</v>
      </c>
    </row>
    <row r="319" spans="1:17" x14ac:dyDescent="0.25">
      <c r="A319" t="s">
        <v>5196</v>
      </c>
      <c r="C319" t="s">
        <v>5196</v>
      </c>
      <c r="J319" t="s">
        <v>5438</v>
      </c>
      <c r="P319">
        <v>1</v>
      </c>
    </row>
    <row r="320" spans="1:17" x14ac:dyDescent="0.25">
      <c r="A320" t="s">
        <v>5194</v>
      </c>
      <c r="C320" t="s">
        <v>5194</v>
      </c>
      <c r="J320" t="s">
        <v>5438</v>
      </c>
      <c r="P320">
        <v>1</v>
      </c>
    </row>
    <row r="321" spans="1:17" x14ac:dyDescent="0.25">
      <c r="A321" t="s">
        <v>5522</v>
      </c>
      <c r="C321" t="s">
        <v>5523</v>
      </c>
      <c r="Q321" t="s">
        <v>5524</v>
      </c>
    </row>
    <row r="322" spans="1:17" ht="13.7" customHeight="1" x14ac:dyDescent="0.25">
      <c r="A322" t="s">
        <v>5525</v>
      </c>
      <c r="C322" t="s">
        <v>5526</v>
      </c>
      <c r="Q322" t="s">
        <v>5527</v>
      </c>
    </row>
    <row r="323" spans="1:17" x14ac:dyDescent="0.25">
      <c r="A323" t="s">
        <v>5198</v>
      </c>
      <c r="C323" t="s">
        <v>5528</v>
      </c>
      <c r="Q323" t="s">
        <v>5529</v>
      </c>
    </row>
    <row r="324" spans="1:17" x14ac:dyDescent="0.25">
      <c r="A324" t="s">
        <v>5530</v>
      </c>
      <c r="C324" t="s">
        <v>5531</v>
      </c>
    </row>
  </sheetData>
  <autoFilter ref="C1:C324" xr:uid="{00000000-0009-0000-0000-000003000000}"/>
  <phoneticPr fontId="16"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6"/>
  <sheetViews>
    <sheetView topLeftCell="A3" workbookViewId="0">
      <selection activeCell="A26" sqref="A26"/>
    </sheetView>
  </sheetViews>
  <sheetFormatPr defaultColWidth="9" defaultRowHeight="14.05" x14ac:dyDescent="0.25"/>
  <cols>
    <col min="1" max="1" width="11.33203125" customWidth="1"/>
    <col min="2" max="2" width="11.25" customWidth="1"/>
    <col min="4" max="4" width="27.4140625" customWidth="1"/>
  </cols>
  <sheetData>
    <row r="1" spans="1:4" x14ac:dyDescent="0.25">
      <c r="A1" t="s">
        <v>0</v>
      </c>
      <c r="C1" t="s">
        <v>5532</v>
      </c>
    </row>
    <row r="2" spans="1:4" x14ac:dyDescent="0.25">
      <c r="A2" t="s">
        <v>0</v>
      </c>
      <c r="B2" t="s">
        <v>127</v>
      </c>
      <c r="C2" t="s">
        <v>5533</v>
      </c>
      <c r="D2" t="s">
        <v>3279</v>
      </c>
    </row>
    <row r="3" spans="1:4" x14ac:dyDescent="0.25">
      <c r="A3" t="s">
        <v>2</v>
      </c>
      <c r="B3" t="s">
        <v>2</v>
      </c>
      <c r="C3" t="s">
        <v>3273</v>
      </c>
      <c r="D3" t="s">
        <v>202</v>
      </c>
    </row>
    <row r="4" spans="1:4" x14ac:dyDescent="0.25">
      <c r="A4" t="s">
        <v>3460</v>
      </c>
      <c r="B4" t="s">
        <v>5534</v>
      </c>
      <c r="D4" t="s">
        <v>5535</v>
      </c>
    </row>
    <row r="5" spans="1:4" x14ac:dyDescent="0.25">
      <c r="A5" t="s">
        <v>5536</v>
      </c>
      <c r="B5" t="s">
        <v>5534</v>
      </c>
      <c r="D5" t="s">
        <v>5537</v>
      </c>
    </row>
    <row r="6" spans="1:4" x14ac:dyDescent="0.25">
      <c r="A6" t="s">
        <v>3502</v>
      </c>
      <c r="B6" t="s">
        <v>5538</v>
      </c>
      <c r="D6" t="s">
        <v>5539</v>
      </c>
    </row>
    <row r="7" spans="1:4" x14ac:dyDescent="0.25">
      <c r="A7" t="s">
        <v>5540</v>
      </c>
      <c r="B7" t="s">
        <v>5538</v>
      </c>
      <c r="D7" t="s">
        <v>5392</v>
      </c>
    </row>
    <row r="8" spans="1:4" x14ac:dyDescent="0.25">
      <c r="A8" t="s">
        <v>4829</v>
      </c>
      <c r="B8" t="s">
        <v>5538</v>
      </c>
      <c r="D8" t="s">
        <v>5541</v>
      </c>
    </row>
    <row r="9" spans="1:4" x14ac:dyDescent="0.25">
      <c r="A9" t="s">
        <v>3427</v>
      </c>
      <c r="B9" t="s">
        <v>5542</v>
      </c>
      <c r="D9" t="s">
        <v>5543</v>
      </c>
    </row>
    <row r="10" spans="1:4" x14ac:dyDescent="0.25">
      <c r="A10" t="s">
        <v>3571</v>
      </c>
      <c r="B10" t="s">
        <v>5542</v>
      </c>
      <c r="D10" t="s">
        <v>5544</v>
      </c>
    </row>
    <row r="11" spans="1:4" x14ac:dyDescent="0.25">
      <c r="A11" t="s">
        <v>4901</v>
      </c>
      <c r="B11" t="s">
        <v>5545</v>
      </c>
      <c r="C11" t="s">
        <v>5282</v>
      </c>
      <c r="D11" t="s">
        <v>5543</v>
      </c>
    </row>
    <row r="12" spans="1:4" x14ac:dyDescent="0.25">
      <c r="A12" t="s">
        <v>4747</v>
      </c>
      <c r="B12" t="s">
        <v>5545</v>
      </c>
      <c r="C12" t="s">
        <v>5282</v>
      </c>
      <c r="D12" t="s">
        <v>5546</v>
      </c>
    </row>
    <row r="13" spans="1:4" x14ac:dyDescent="0.25">
      <c r="A13" t="s">
        <v>4903</v>
      </c>
      <c r="B13" t="s">
        <v>5545</v>
      </c>
      <c r="C13" t="s">
        <v>5282</v>
      </c>
      <c r="D13" t="s">
        <v>5547</v>
      </c>
    </row>
    <row r="14" spans="1:4" x14ac:dyDescent="0.25">
      <c r="A14" t="s">
        <v>4904</v>
      </c>
      <c r="B14" t="s">
        <v>5545</v>
      </c>
      <c r="C14" t="s">
        <v>5282</v>
      </c>
      <c r="D14" t="s">
        <v>5548</v>
      </c>
    </row>
    <row r="15" spans="1:4" x14ac:dyDescent="0.25">
      <c r="A15" t="s">
        <v>4341</v>
      </c>
      <c r="B15" t="s">
        <v>5549</v>
      </c>
      <c r="D15" t="s">
        <v>5550</v>
      </c>
    </row>
    <row r="16" spans="1:4" x14ac:dyDescent="0.25">
      <c r="A16" t="s">
        <v>5551</v>
      </c>
      <c r="B16" t="s">
        <v>5552</v>
      </c>
      <c r="D16" t="s">
        <v>5553</v>
      </c>
    </row>
    <row r="17" spans="1:4" x14ac:dyDescent="0.25">
      <c r="A17" t="s">
        <v>3604</v>
      </c>
      <c r="B17" t="s">
        <v>5284</v>
      </c>
      <c r="D17" t="s">
        <v>5554</v>
      </c>
    </row>
    <row r="18" spans="1:4" x14ac:dyDescent="0.25">
      <c r="A18" t="s">
        <v>3868</v>
      </c>
      <c r="B18" t="s">
        <v>5549</v>
      </c>
      <c r="D18" t="s">
        <v>5555</v>
      </c>
    </row>
    <row r="19" spans="1:4" x14ac:dyDescent="0.25">
      <c r="A19" t="s">
        <v>3930</v>
      </c>
      <c r="B19" t="s">
        <v>3930</v>
      </c>
      <c r="D19" t="s">
        <v>5556</v>
      </c>
    </row>
    <row r="20" spans="1:4" x14ac:dyDescent="0.25">
      <c r="A20" t="s">
        <v>3943</v>
      </c>
      <c r="B20" t="s">
        <v>5557</v>
      </c>
      <c r="D20" t="s">
        <v>5558</v>
      </c>
    </row>
    <row r="21" spans="1:4" x14ac:dyDescent="0.25">
      <c r="A21" t="s">
        <v>4074</v>
      </c>
      <c r="B21" t="s">
        <v>5559</v>
      </c>
      <c r="D21" t="s">
        <v>5560</v>
      </c>
    </row>
    <row r="22" spans="1:4" x14ac:dyDescent="0.25">
      <c r="A22" t="s">
        <v>4150</v>
      </c>
      <c r="B22" t="s">
        <v>5534</v>
      </c>
      <c r="D22" t="s">
        <v>5561</v>
      </c>
    </row>
    <row r="23" spans="1:4" x14ac:dyDescent="0.25">
      <c r="A23" t="s">
        <v>4153</v>
      </c>
      <c r="B23" t="s">
        <v>5534</v>
      </c>
      <c r="D23" t="s">
        <v>5562</v>
      </c>
    </row>
    <row r="24" spans="1:4" x14ac:dyDescent="0.25">
      <c r="A24" t="s">
        <v>4154</v>
      </c>
      <c r="B24" t="s">
        <v>5563</v>
      </c>
      <c r="D24" t="s">
        <v>5564</v>
      </c>
    </row>
    <row r="25" spans="1:4" x14ac:dyDescent="0.25">
      <c r="A25" t="s">
        <v>4171</v>
      </c>
      <c r="B25" t="s">
        <v>5565</v>
      </c>
      <c r="D25" t="s">
        <v>5566</v>
      </c>
    </row>
    <row r="26" spans="1:4" x14ac:dyDescent="0.25">
      <c r="A26" s="20" t="s">
        <v>6188</v>
      </c>
      <c r="B26" s="20" t="s">
        <v>6187</v>
      </c>
      <c r="D26" s="20" t="s">
        <v>6189</v>
      </c>
    </row>
  </sheetData>
  <phoneticPr fontId="16"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J77"/>
  <sheetViews>
    <sheetView workbookViewId="0">
      <pane xSplit="1" ySplit="3" topLeftCell="B4" activePane="bottomRight" state="frozen"/>
      <selection pane="topRight"/>
      <selection pane="bottomLeft"/>
      <selection pane="bottomRight" activeCell="J4" sqref="J4"/>
    </sheetView>
  </sheetViews>
  <sheetFormatPr defaultColWidth="9" defaultRowHeight="14.05" x14ac:dyDescent="0.25"/>
  <cols>
    <col min="1" max="1" width="15.25" customWidth="1"/>
    <col min="3" max="3" width="27.25" customWidth="1"/>
    <col min="4" max="4" width="10.83203125" customWidth="1"/>
    <col min="10" max="10" width="9" customWidth="1"/>
  </cols>
  <sheetData>
    <row r="1" spans="1:10" x14ac:dyDescent="0.25">
      <c r="I1" t="s">
        <v>3165</v>
      </c>
    </row>
    <row r="2" spans="1:10" x14ac:dyDescent="0.25">
      <c r="A2" t="s">
        <v>0</v>
      </c>
      <c r="B2" t="s">
        <v>127</v>
      </c>
      <c r="C2" t="s">
        <v>129</v>
      </c>
      <c r="D2" t="s">
        <v>5567</v>
      </c>
      <c r="E2" t="s">
        <v>151</v>
      </c>
      <c r="F2" t="s">
        <v>5568</v>
      </c>
      <c r="G2" t="s">
        <v>5569</v>
      </c>
      <c r="H2" t="s">
        <v>5570</v>
      </c>
      <c r="I2" t="s">
        <v>3268</v>
      </c>
      <c r="J2" t="s">
        <v>3279</v>
      </c>
    </row>
    <row r="3" spans="1:10" x14ac:dyDescent="0.25">
      <c r="A3" t="s">
        <v>2</v>
      </c>
      <c r="B3" t="s">
        <v>2</v>
      </c>
      <c r="C3" t="s">
        <v>2</v>
      </c>
      <c r="D3" t="s">
        <v>2</v>
      </c>
      <c r="E3" t="s">
        <v>194</v>
      </c>
      <c r="F3" t="s">
        <v>195</v>
      </c>
      <c r="G3" t="s">
        <v>195</v>
      </c>
      <c r="H3" t="s">
        <v>195</v>
      </c>
      <c r="I3" t="s">
        <v>3308</v>
      </c>
      <c r="J3" t="s">
        <v>202</v>
      </c>
    </row>
    <row r="4" spans="1:10" x14ac:dyDescent="0.25">
      <c r="A4" s="20" t="s">
        <v>6190</v>
      </c>
      <c r="B4" t="s">
        <v>6191</v>
      </c>
      <c r="C4" t="s">
        <v>5612</v>
      </c>
      <c r="E4">
        <v>10</v>
      </c>
      <c r="H4">
        <v>1</v>
      </c>
      <c r="I4" s="20" t="s">
        <v>6188</v>
      </c>
      <c r="J4" s="20" t="s">
        <v>6194</v>
      </c>
    </row>
    <row r="5" spans="1:10" x14ac:dyDescent="0.25">
      <c r="A5" s="20"/>
      <c r="I5" s="20"/>
      <c r="J5" s="20"/>
    </row>
    <row r="6" spans="1:10" x14ac:dyDescent="0.25">
      <c r="A6" t="s">
        <v>4723</v>
      </c>
      <c r="B6" t="s">
        <v>3163</v>
      </c>
      <c r="C6" t="s">
        <v>5571</v>
      </c>
      <c r="E6">
        <v>10</v>
      </c>
      <c r="F6">
        <v>2</v>
      </c>
    </row>
    <row r="7" spans="1:10" x14ac:dyDescent="0.25">
      <c r="A7" t="s">
        <v>5572</v>
      </c>
      <c r="B7" t="s">
        <v>3163</v>
      </c>
      <c r="C7" t="s">
        <v>5573</v>
      </c>
      <c r="E7">
        <v>3</v>
      </c>
      <c r="J7" t="s">
        <v>5574</v>
      </c>
    </row>
    <row r="8" spans="1:10" x14ac:dyDescent="0.25">
      <c r="A8" t="s">
        <v>4733</v>
      </c>
      <c r="B8" t="s">
        <v>3163</v>
      </c>
      <c r="C8" t="s">
        <v>5573</v>
      </c>
      <c r="E8">
        <v>10</v>
      </c>
    </row>
    <row r="9" spans="1:10" x14ac:dyDescent="0.25">
      <c r="A9" t="s">
        <v>5081</v>
      </c>
      <c r="B9" t="s">
        <v>5575</v>
      </c>
      <c r="C9" t="s">
        <v>5576</v>
      </c>
      <c r="E9">
        <v>10</v>
      </c>
    </row>
    <row r="10" spans="1:10" x14ac:dyDescent="0.25">
      <c r="A10" t="s">
        <v>5577</v>
      </c>
      <c r="B10" t="s">
        <v>5577</v>
      </c>
      <c r="C10" t="s">
        <v>5578</v>
      </c>
      <c r="J10" t="s">
        <v>5579</v>
      </c>
    </row>
    <row r="11" spans="1:10" x14ac:dyDescent="0.25">
      <c r="A11" t="s">
        <v>5580</v>
      </c>
      <c r="B11" t="s">
        <v>5580</v>
      </c>
      <c r="E11">
        <v>10</v>
      </c>
      <c r="J11" t="s">
        <v>5581</v>
      </c>
    </row>
    <row r="13" spans="1:10" x14ac:dyDescent="0.25">
      <c r="A13" t="s">
        <v>3426</v>
      </c>
      <c r="B13" t="s">
        <v>3163</v>
      </c>
      <c r="C13" t="s">
        <v>5576</v>
      </c>
      <c r="E13">
        <v>10</v>
      </c>
    </row>
    <row r="14" spans="1:10" x14ac:dyDescent="0.25">
      <c r="A14" t="s">
        <v>3433</v>
      </c>
      <c r="B14" t="s">
        <v>3163</v>
      </c>
      <c r="C14" t="s">
        <v>5582</v>
      </c>
      <c r="E14">
        <v>10</v>
      </c>
      <c r="F14">
        <v>2</v>
      </c>
    </row>
    <row r="15" spans="1:10" x14ac:dyDescent="0.25">
      <c r="A15" t="s">
        <v>5583</v>
      </c>
      <c r="B15" t="s">
        <v>3163</v>
      </c>
      <c r="C15" t="s">
        <v>5584</v>
      </c>
      <c r="E15">
        <v>10</v>
      </c>
      <c r="F15">
        <v>2</v>
      </c>
    </row>
    <row r="17" spans="1:10" x14ac:dyDescent="0.25">
      <c r="A17" t="s">
        <v>3448</v>
      </c>
      <c r="B17" t="s">
        <v>3163</v>
      </c>
      <c r="C17" t="s">
        <v>5585</v>
      </c>
      <c r="E17">
        <v>10</v>
      </c>
      <c r="F17">
        <v>2</v>
      </c>
    </row>
    <row r="18" spans="1:10" x14ac:dyDescent="0.25">
      <c r="A18" t="s">
        <v>3465</v>
      </c>
      <c r="B18" t="s">
        <v>3163</v>
      </c>
      <c r="C18" t="s">
        <v>5586</v>
      </c>
      <c r="E18">
        <v>10</v>
      </c>
      <c r="F18">
        <v>2</v>
      </c>
    </row>
    <row r="19" spans="1:10" x14ac:dyDescent="0.25">
      <c r="A19" t="s">
        <v>3472</v>
      </c>
      <c r="B19" t="s">
        <v>3163</v>
      </c>
      <c r="C19" t="s">
        <v>5587</v>
      </c>
      <c r="E19">
        <v>10</v>
      </c>
      <c r="F19">
        <v>2</v>
      </c>
    </row>
    <row r="20" spans="1:10" x14ac:dyDescent="0.25">
      <c r="A20" t="s">
        <v>3475</v>
      </c>
      <c r="B20" t="s">
        <v>3163</v>
      </c>
      <c r="C20" t="s">
        <v>5588</v>
      </c>
      <c r="E20">
        <v>10</v>
      </c>
      <c r="F20">
        <v>2</v>
      </c>
      <c r="J20" t="s">
        <v>5589</v>
      </c>
    </row>
    <row r="21" spans="1:10" x14ac:dyDescent="0.25">
      <c r="A21" t="s">
        <v>3484</v>
      </c>
      <c r="B21" t="s">
        <v>3163</v>
      </c>
      <c r="C21" t="s">
        <v>5590</v>
      </c>
      <c r="E21">
        <v>10</v>
      </c>
      <c r="F21">
        <v>2</v>
      </c>
    </row>
    <row r="22" spans="1:10" x14ac:dyDescent="0.25">
      <c r="A22" t="s">
        <v>3492</v>
      </c>
      <c r="B22" t="s">
        <v>3163</v>
      </c>
      <c r="C22" t="s">
        <v>5591</v>
      </c>
      <c r="E22">
        <v>10</v>
      </c>
      <c r="F22">
        <v>2</v>
      </c>
    </row>
    <row r="23" spans="1:10" x14ac:dyDescent="0.25">
      <c r="A23" t="s">
        <v>3501</v>
      </c>
      <c r="B23" t="s">
        <v>3163</v>
      </c>
      <c r="C23" t="s">
        <v>5592</v>
      </c>
      <c r="E23">
        <v>10</v>
      </c>
      <c r="F23">
        <v>2</v>
      </c>
      <c r="J23" t="s">
        <v>5589</v>
      </c>
    </row>
    <row r="24" spans="1:10" x14ac:dyDescent="0.25">
      <c r="A24" t="s">
        <v>4304</v>
      </c>
      <c r="B24" t="s">
        <v>3163</v>
      </c>
      <c r="C24" t="s">
        <v>5593</v>
      </c>
      <c r="E24">
        <v>10</v>
      </c>
      <c r="F24">
        <v>1</v>
      </c>
      <c r="G24">
        <v>2</v>
      </c>
      <c r="J24" t="s">
        <v>5579</v>
      </c>
    </row>
    <row r="25" spans="1:10" x14ac:dyDescent="0.25">
      <c r="A25" t="s">
        <v>3411</v>
      </c>
      <c r="B25" t="s">
        <v>3163</v>
      </c>
      <c r="C25" t="s">
        <v>5594</v>
      </c>
      <c r="E25">
        <v>6</v>
      </c>
      <c r="F25">
        <v>2</v>
      </c>
      <c r="J25" t="s">
        <v>5595</v>
      </c>
    </row>
    <row r="26" spans="1:10" x14ac:dyDescent="0.25">
      <c r="A26" t="s">
        <v>4432</v>
      </c>
      <c r="B26" t="s">
        <v>3163</v>
      </c>
      <c r="C26" t="s">
        <v>5596</v>
      </c>
      <c r="E26">
        <v>10</v>
      </c>
      <c r="F26">
        <v>2</v>
      </c>
    </row>
    <row r="27" spans="1:10" x14ac:dyDescent="0.25">
      <c r="A27" t="s">
        <v>4452</v>
      </c>
      <c r="B27" t="s">
        <v>3163</v>
      </c>
      <c r="C27" t="s">
        <v>5597</v>
      </c>
      <c r="E27">
        <v>10</v>
      </c>
      <c r="F27">
        <v>2</v>
      </c>
    </row>
    <row r="28" spans="1:10" x14ac:dyDescent="0.25">
      <c r="A28" t="s">
        <v>4468</v>
      </c>
      <c r="B28" t="s">
        <v>3163</v>
      </c>
      <c r="C28" t="s">
        <v>5598</v>
      </c>
      <c r="E28">
        <v>100</v>
      </c>
      <c r="F28">
        <v>2</v>
      </c>
    </row>
    <row r="29" spans="1:10" x14ac:dyDescent="0.25">
      <c r="A29" t="s">
        <v>4526</v>
      </c>
      <c r="B29" t="s">
        <v>3163</v>
      </c>
      <c r="C29" t="s">
        <v>5599</v>
      </c>
      <c r="E29">
        <v>10</v>
      </c>
      <c r="F29">
        <v>2</v>
      </c>
    </row>
    <row r="30" spans="1:10" x14ac:dyDescent="0.25">
      <c r="A30" t="s">
        <v>4542</v>
      </c>
      <c r="B30" t="s">
        <v>3163</v>
      </c>
      <c r="C30" t="s">
        <v>5600</v>
      </c>
      <c r="E30">
        <v>10</v>
      </c>
      <c r="F30">
        <v>2</v>
      </c>
    </row>
    <row r="31" spans="1:10" x14ac:dyDescent="0.25">
      <c r="A31" t="s">
        <v>4551</v>
      </c>
      <c r="B31" t="s">
        <v>3163</v>
      </c>
      <c r="C31" t="s">
        <v>5601</v>
      </c>
      <c r="E31">
        <v>10</v>
      </c>
      <c r="F31">
        <v>2</v>
      </c>
      <c r="J31" t="s">
        <v>5602</v>
      </c>
    </row>
    <row r="32" spans="1:10" x14ac:dyDescent="0.25">
      <c r="A32" t="s">
        <v>4554</v>
      </c>
      <c r="B32" t="s">
        <v>3163</v>
      </c>
      <c r="C32" t="s">
        <v>5603</v>
      </c>
      <c r="E32">
        <v>10</v>
      </c>
      <c r="F32">
        <v>2</v>
      </c>
    </row>
    <row r="33" spans="1:10" x14ac:dyDescent="0.25">
      <c r="A33" t="s">
        <v>4570</v>
      </c>
      <c r="B33" t="s">
        <v>3163</v>
      </c>
      <c r="C33" t="s">
        <v>5604</v>
      </c>
      <c r="E33">
        <v>10</v>
      </c>
      <c r="F33">
        <v>2</v>
      </c>
    </row>
    <row r="34" spans="1:10" x14ac:dyDescent="0.25">
      <c r="A34" t="s">
        <v>4582</v>
      </c>
      <c r="B34" t="s">
        <v>3163</v>
      </c>
      <c r="C34" t="s">
        <v>5603</v>
      </c>
      <c r="E34">
        <v>10</v>
      </c>
      <c r="F34">
        <v>2</v>
      </c>
      <c r="J34" t="s">
        <v>5589</v>
      </c>
    </row>
    <row r="35" spans="1:10" x14ac:dyDescent="0.25">
      <c r="A35" t="s">
        <v>5605</v>
      </c>
      <c r="B35" t="s">
        <v>3163</v>
      </c>
      <c r="C35" t="s">
        <v>5606</v>
      </c>
      <c r="E35">
        <v>10</v>
      </c>
      <c r="F35">
        <v>2</v>
      </c>
    </row>
    <row r="36" spans="1:10" x14ac:dyDescent="0.25">
      <c r="A36" t="s">
        <v>3525</v>
      </c>
      <c r="B36" t="s">
        <v>3163</v>
      </c>
      <c r="C36" t="s">
        <v>5607</v>
      </c>
      <c r="E36">
        <v>10</v>
      </c>
      <c r="F36">
        <v>2</v>
      </c>
    </row>
    <row r="37" spans="1:10" x14ac:dyDescent="0.25">
      <c r="A37" t="s">
        <v>3576</v>
      </c>
      <c r="B37" t="s">
        <v>3163</v>
      </c>
      <c r="C37" t="s">
        <v>5608</v>
      </c>
      <c r="E37">
        <v>10</v>
      </c>
      <c r="F37">
        <v>2</v>
      </c>
      <c r="J37" t="s">
        <v>5589</v>
      </c>
    </row>
    <row r="38" spans="1:10" x14ac:dyDescent="0.25">
      <c r="A38" t="s">
        <v>3583</v>
      </c>
      <c r="B38" t="s">
        <v>3163</v>
      </c>
      <c r="C38" t="s">
        <v>5609</v>
      </c>
      <c r="E38">
        <v>10</v>
      </c>
      <c r="F38">
        <v>2</v>
      </c>
      <c r="J38" t="s">
        <v>5589</v>
      </c>
    </row>
    <row r="39" spans="1:10" x14ac:dyDescent="0.25">
      <c r="A39" t="s">
        <v>3588</v>
      </c>
      <c r="B39" t="s">
        <v>3163</v>
      </c>
      <c r="C39" t="s">
        <v>5610</v>
      </c>
      <c r="E39">
        <v>10</v>
      </c>
      <c r="F39">
        <v>2</v>
      </c>
    </row>
    <row r="40" spans="1:10" x14ac:dyDescent="0.25">
      <c r="A40" t="s">
        <v>3599</v>
      </c>
      <c r="B40" t="s">
        <v>5580</v>
      </c>
      <c r="C40" t="s">
        <v>5610</v>
      </c>
      <c r="E40">
        <v>10</v>
      </c>
      <c r="J40" t="s">
        <v>5611</v>
      </c>
    </row>
    <row r="41" spans="1:10" x14ac:dyDescent="0.25">
      <c r="A41" t="s">
        <v>3647</v>
      </c>
      <c r="B41" t="s">
        <v>3163</v>
      </c>
      <c r="C41" t="s">
        <v>5612</v>
      </c>
      <c r="E41">
        <v>10</v>
      </c>
      <c r="F41">
        <v>2</v>
      </c>
    </row>
    <row r="42" spans="1:10" x14ac:dyDescent="0.25">
      <c r="A42" t="s">
        <v>3654</v>
      </c>
      <c r="B42" t="s">
        <v>3163</v>
      </c>
      <c r="C42" t="s">
        <v>5613</v>
      </c>
      <c r="E42">
        <v>10</v>
      </c>
      <c r="F42">
        <v>2</v>
      </c>
    </row>
    <row r="43" spans="1:10" x14ac:dyDescent="0.25">
      <c r="A43" t="s">
        <v>3727</v>
      </c>
      <c r="B43" t="s">
        <v>3163</v>
      </c>
      <c r="C43" t="s">
        <v>5614</v>
      </c>
      <c r="E43">
        <v>10</v>
      </c>
      <c r="F43">
        <v>2</v>
      </c>
      <c r="J43" t="s">
        <v>5595</v>
      </c>
    </row>
    <row r="44" spans="1:10" x14ac:dyDescent="0.25">
      <c r="A44" t="s">
        <v>3789</v>
      </c>
      <c r="B44" t="s">
        <v>3163</v>
      </c>
      <c r="C44" t="s">
        <v>5615</v>
      </c>
      <c r="E44">
        <v>10</v>
      </c>
      <c r="F44">
        <v>2</v>
      </c>
    </row>
    <row r="45" spans="1:10" x14ac:dyDescent="0.25">
      <c r="A45" t="s">
        <v>3824</v>
      </c>
      <c r="B45" t="s">
        <v>3163</v>
      </c>
      <c r="C45" t="s">
        <v>5616</v>
      </c>
      <c r="E45">
        <v>10</v>
      </c>
      <c r="F45">
        <v>2</v>
      </c>
    </row>
    <row r="46" spans="1:10" x14ac:dyDescent="0.25">
      <c r="A46" t="s">
        <v>3895</v>
      </c>
      <c r="B46" t="s">
        <v>3163</v>
      </c>
      <c r="C46" t="s">
        <v>5617</v>
      </c>
      <c r="E46">
        <v>10</v>
      </c>
      <c r="F46">
        <v>2</v>
      </c>
    </row>
    <row r="47" spans="1:10" x14ac:dyDescent="0.25">
      <c r="A47" t="s">
        <v>3916</v>
      </c>
      <c r="B47" t="s">
        <v>3163</v>
      </c>
      <c r="C47" t="s">
        <v>5618</v>
      </c>
      <c r="E47">
        <v>10</v>
      </c>
      <c r="F47">
        <v>2</v>
      </c>
      <c r="J47" t="s">
        <v>5595</v>
      </c>
    </row>
    <row r="48" spans="1:10" x14ac:dyDescent="0.25">
      <c r="A48" t="s">
        <v>3929</v>
      </c>
      <c r="B48" t="s">
        <v>3163</v>
      </c>
      <c r="C48" t="s">
        <v>5619</v>
      </c>
      <c r="E48">
        <v>10</v>
      </c>
      <c r="F48">
        <v>2</v>
      </c>
      <c r="J48" t="s">
        <v>5595</v>
      </c>
    </row>
    <row r="49" spans="1:10" x14ac:dyDescent="0.25">
      <c r="A49" t="s">
        <v>3938</v>
      </c>
      <c r="B49" t="s">
        <v>3163</v>
      </c>
      <c r="C49" t="s">
        <v>5620</v>
      </c>
      <c r="E49">
        <v>10</v>
      </c>
      <c r="F49">
        <v>2</v>
      </c>
      <c r="J49" t="s">
        <v>5595</v>
      </c>
    </row>
    <row r="50" spans="1:10" x14ac:dyDescent="0.25">
      <c r="A50" t="s">
        <v>3942</v>
      </c>
      <c r="B50" t="s">
        <v>3163</v>
      </c>
      <c r="C50" t="s">
        <v>5621</v>
      </c>
      <c r="E50">
        <v>10</v>
      </c>
      <c r="F50">
        <v>2</v>
      </c>
      <c r="J50" t="s">
        <v>5595</v>
      </c>
    </row>
    <row r="51" spans="1:10" x14ac:dyDescent="0.25">
      <c r="A51" t="s">
        <v>3949</v>
      </c>
      <c r="B51" t="s">
        <v>3163</v>
      </c>
      <c r="C51" t="s">
        <v>5622</v>
      </c>
      <c r="E51">
        <v>10</v>
      </c>
      <c r="F51">
        <v>2</v>
      </c>
      <c r="J51" t="s">
        <v>5595</v>
      </c>
    </row>
    <row r="52" spans="1:10" x14ac:dyDescent="0.25">
      <c r="A52" t="s">
        <v>3956</v>
      </c>
      <c r="B52" t="s">
        <v>3163</v>
      </c>
      <c r="C52" t="s">
        <v>5623</v>
      </c>
      <c r="E52">
        <v>10</v>
      </c>
      <c r="F52">
        <v>2</v>
      </c>
      <c r="J52" t="s">
        <v>5595</v>
      </c>
    </row>
    <row r="53" spans="1:10" x14ac:dyDescent="0.25">
      <c r="A53" t="s">
        <v>3962</v>
      </c>
      <c r="B53" t="s">
        <v>3163</v>
      </c>
      <c r="C53" t="s">
        <v>5624</v>
      </c>
      <c r="E53">
        <v>10</v>
      </c>
      <c r="F53">
        <v>2</v>
      </c>
    </row>
    <row r="54" spans="1:10" x14ac:dyDescent="0.25">
      <c r="A54" t="s">
        <v>3978</v>
      </c>
      <c r="B54" t="s">
        <v>3163</v>
      </c>
      <c r="C54" t="s">
        <v>5625</v>
      </c>
      <c r="E54">
        <v>10</v>
      </c>
      <c r="F54">
        <v>2</v>
      </c>
    </row>
    <row r="55" spans="1:10" x14ac:dyDescent="0.25">
      <c r="A55" t="s">
        <v>3990</v>
      </c>
      <c r="B55" t="s">
        <v>3163</v>
      </c>
      <c r="C55" t="s">
        <v>5626</v>
      </c>
      <c r="E55">
        <v>10</v>
      </c>
      <c r="F55">
        <v>2</v>
      </c>
    </row>
    <row r="56" spans="1:10" x14ac:dyDescent="0.25">
      <c r="A56" t="s">
        <v>4008</v>
      </c>
      <c r="B56" t="s">
        <v>5577</v>
      </c>
      <c r="C56" t="s">
        <v>5627</v>
      </c>
      <c r="H56">
        <v>1</v>
      </c>
      <c r="J56" t="s">
        <v>5628</v>
      </c>
    </row>
    <row r="57" spans="1:10" x14ac:dyDescent="0.25">
      <c r="A57" t="s">
        <v>4013</v>
      </c>
      <c r="B57" t="s">
        <v>3163</v>
      </c>
      <c r="C57" t="s">
        <v>5629</v>
      </c>
      <c r="E57">
        <v>10</v>
      </c>
      <c r="F57">
        <v>2</v>
      </c>
    </row>
    <row r="58" spans="1:10" x14ac:dyDescent="0.25">
      <c r="A58" t="s">
        <v>4051</v>
      </c>
      <c r="B58" t="s">
        <v>3163</v>
      </c>
      <c r="C58" t="s">
        <v>5630</v>
      </c>
      <c r="E58">
        <v>10</v>
      </c>
      <c r="F58">
        <v>2</v>
      </c>
      <c r="J58" t="s">
        <v>5595</v>
      </c>
    </row>
    <row r="59" spans="1:10" x14ac:dyDescent="0.25">
      <c r="A59" t="s">
        <v>5631</v>
      </c>
      <c r="B59" t="s">
        <v>3163</v>
      </c>
      <c r="C59" t="s">
        <v>5632</v>
      </c>
      <c r="E59">
        <v>10</v>
      </c>
      <c r="F59">
        <v>2</v>
      </c>
    </row>
    <row r="60" spans="1:10" x14ac:dyDescent="0.25">
      <c r="A60" t="s">
        <v>4170</v>
      </c>
      <c r="B60" t="s">
        <v>3163</v>
      </c>
      <c r="C60" t="s">
        <v>5633</v>
      </c>
      <c r="E60">
        <v>10</v>
      </c>
      <c r="F60">
        <v>2</v>
      </c>
    </row>
    <row r="61" spans="1:10" x14ac:dyDescent="0.25">
      <c r="A61" t="s">
        <v>4183</v>
      </c>
      <c r="B61" t="s">
        <v>5577</v>
      </c>
      <c r="C61" t="s">
        <v>5634</v>
      </c>
      <c r="E61">
        <v>10</v>
      </c>
      <c r="F61">
        <v>2</v>
      </c>
      <c r="J61" t="s">
        <v>5628</v>
      </c>
    </row>
    <row r="62" spans="1:10" x14ac:dyDescent="0.25">
      <c r="A62" t="s">
        <v>4188</v>
      </c>
      <c r="B62" t="s">
        <v>3163</v>
      </c>
      <c r="C62" t="s">
        <v>5635</v>
      </c>
      <c r="E62">
        <v>10</v>
      </c>
      <c r="F62">
        <v>2</v>
      </c>
    </row>
    <row r="63" spans="1:10" x14ac:dyDescent="0.25">
      <c r="A63" t="s">
        <v>4196</v>
      </c>
      <c r="B63" t="s">
        <v>5636</v>
      </c>
      <c r="C63" t="s">
        <v>5637</v>
      </c>
      <c r="D63" t="s">
        <v>5638</v>
      </c>
      <c r="E63">
        <v>10</v>
      </c>
      <c r="F63">
        <v>2</v>
      </c>
    </row>
    <row r="64" spans="1:10" x14ac:dyDescent="0.25">
      <c r="A64" t="s">
        <v>4205</v>
      </c>
      <c r="B64" t="s">
        <v>5636</v>
      </c>
      <c r="C64" t="s">
        <v>5637</v>
      </c>
      <c r="D64" t="s">
        <v>5639</v>
      </c>
      <c r="E64">
        <v>10</v>
      </c>
      <c r="F64">
        <v>2</v>
      </c>
    </row>
    <row r="65" spans="1:10" x14ac:dyDescent="0.25">
      <c r="A65" t="s">
        <v>4209</v>
      </c>
      <c r="B65" t="s">
        <v>3163</v>
      </c>
      <c r="C65" t="s">
        <v>5640</v>
      </c>
      <c r="E65">
        <v>10</v>
      </c>
      <c r="F65">
        <v>2</v>
      </c>
    </row>
    <row r="66" spans="1:10" x14ac:dyDescent="0.25">
      <c r="A66" t="s">
        <v>3696</v>
      </c>
      <c r="B66" t="s">
        <v>3163</v>
      </c>
      <c r="C66" t="s">
        <v>5641</v>
      </c>
      <c r="E66">
        <v>10</v>
      </c>
      <c r="F66">
        <v>2</v>
      </c>
    </row>
    <row r="67" spans="1:10" x14ac:dyDescent="0.25">
      <c r="A67" t="s">
        <v>3706</v>
      </c>
      <c r="B67" t="s">
        <v>5636</v>
      </c>
      <c r="C67" t="s">
        <v>5641</v>
      </c>
      <c r="D67" t="s">
        <v>5642</v>
      </c>
      <c r="E67">
        <v>10</v>
      </c>
      <c r="F67">
        <v>2</v>
      </c>
    </row>
    <row r="68" spans="1:10" x14ac:dyDescent="0.25">
      <c r="A68" t="s">
        <v>3713</v>
      </c>
      <c r="B68" t="s">
        <v>5636</v>
      </c>
      <c r="C68" t="s">
        <v>5643</v>
      </c>
      <c r="D68" t="s">
        <v>5642</v>
      </c>
      <c r="E68">
        <v>10</v>
      </c>
      <c r="F68">
        <v>2</v>
      </c>
    </row>
    <row r="69" spans="1:10" x14ac:dyDescent="0.25">
      <c r="A69" t="s">
        <v>4807</v>
      </c>
      <c r="B69" t="s">
        <v>3163</v>
      </c>
      <c r="C69" t="s">
        <v>5623</v>
      </c>
      <c r="E69">
        <v>5</v>
      </c>
      <c r="F69">
        <v>2</v>
      </c>
    </row>
    <row r="70" spans="1:10" x14ac:dyDescent="0.25">
      <c r="A70" t="s">
        <v>4757</v>
      </c>
      <c r="B70" t="s">
        <v>3163</v>
      </c>
      <c r="C70" t="s">
        <v>5623</v>
      </c>
      <c r="E70">
        <v>5</v>
      </c>
      <c r="F70">
        <v>2</v>
      </c>
      <c r="J70" t="s">
        <v>5574</v>
      </c>
    </row>
    <row r="71" spans="1:10" x14ac:dyDescent="0.25">
      <c r="A71" t="s">
        <v>4840</v>
      </c>
      <c r="B71" t="s">
        <v>3163</v>
      </c>
      <c r="C71" t="s">
        <v>5618</v>
      </c>
      <c r="E71">
        <v>10</v>
      </c>
      <c r="F71">
        <v>2</v>
      </c>
    </row>
    <row r="72" spans="1:10" x14ac:dyDescent="0.25">
      <c r="A72" t="s">
        <v>4838</v>
      </c>
      <c r="B72" t="s">
        <v>3163</v>
      </c>
      <c r="C72" t="s">
        <v>5619</v>
      </c>
      <c r="E72">
        <v>10</v>
      </c>
      <c r="F72">
        <v>2</v>
      </c>
    </row>
    <row r="73" spans="1:10" x14ac:dyDescent="0.25">
      <c r="A73" t="s">
        <v>4860</v>
      </c>
      <c r="B73" t="s">
        <v>5580</v>
      </c>
      <c r="C73" t="s">
        <v>5644</v>
      </c>
      <c r="E73">
        <v>999999</v>
      </c>
      <c r="F73">
        <v>2</v>
      </c>
      <c r="H73">
        <v>1</v>
      </c>
      <c r="J73" t="s">
        <v>5645</v>
      </c>
    </row>
    <row r="74" spans="1:10" x14ac:dyDescent="0.25">
      <c r="A74" t="s">
        <v>4805</v>
      </c>
      <c r="B74" t="s">
        <v>5646</v>
      </c>
      <c r="C74" t="s">
        <v>5637</v>
      </c>
      <c r="D74" t="s">
        <v>5639</v>
      </c>
      <c r="E74">
        <v>10</v>
      </c>
      <c r="F74">
        <v>2</v>
      </c>
      <c r="J74" t="s">
        <v>5647</v>
      </c>
    </row>
    <row r="75" spans="1:10" x14ac:dyDescent="0.25">
      <c r="A75" t="s">
        <v>5080</v>
      </c>
      <c r="B75" t="s">
        <v>5575</v>
      </c>
      <c r="C75" t="s">
        <v>5600</v>
      </c>
      <c r="E75">
        <v>2.5</v>
      </c>
    </row>
    <row r="76" spans="1:10" x14ac:dyDescent="0.25">
      <c r="A76" t="s">
        <v>5022</v>
      </c>
      <c r="B76" t="s">
        <v>5577</v>
      </c>
      <c r="C76" t="s">
        <v>5648</v>
      </c>
      <c r="E76">
        <v>10</v>
      </c>
      <c r="F76">
        <v>2</v>
      </c>
      <c r="J76" t="s">
        <v>5649</v>
      </c>
    </row>
    <row r="77" spans="1:10" x14ac:dyDescent="0.25">
      <c r="A77" t="s">
        <v>5650</v>
      </c>
      <c r="B77" t="s">
        <v>5651</v>
      </c>
      <c r="C77" t="s">
        <v>5624</v>
      </c>
      <c r="E77">
        <v>5</v>
      </c>
      <c r="F77">
        <v>2</v>
      </c>
    </row>
  </sheetData>
  <phoneticPr fontId="16"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40"/>
  <sheetViews>
    <sheetView workbookViewId="0">
      <pane xSplit="1" ySplit="3" topLeftCell="B12" activePane="bottomRight" state="frozen"/>
      <selection pane="topRight"/>
      <selection pane="bottomLeft"/>
      <selection pane="bottomRight" activeCell="A26" sqref="A26"/>
    </sheetView>
  </sheetViews>
  <sheetFormatPr defaultColWidth="9" defaultRowHeight="14.05" x14ac:dyDescent="0.25"/>
  <cols>
    <col min="1" max="1" width="15.25" customWidth="1"/>
    <col min="2" max="2" width="28" customWidth="1"/>
    <col min="3" max="4" width="10.08203125" customWidth="1"/>
    <col min="5" max="10" width="11.25" customWidth="1"/>
    <col min="11" max="11" width="6.33203125" customWidth="1"/>
  </cols>
  <sheetData>
    <row r="1" spans="1:12" x14ac:dyDescent="0.25">
      <c r="A1" t="s">
        <v>0</v>
      </c>
      <c r="B1" t="s">
        <v>5652</v>
      </c>
      <c r="C1" t="s">
        <v>5653</v>
      </c>
      <c r="D1" t="s">
        <v>5654</v>
      </c>
      <c r="E1" t="s">
        <v>5655</v>
      </c>
      <c r="F1" t="s">
        <v>5656</v>
      </c>
      <c r="H1" t="s">
        <v>5657</v>
      </c>
      <c r="I1" t="s">
        <v>5658</v>
      </c>
      <c r="J1" t="s">
        <v>5659</v>
      </c>
      <c r="K1" t="s">
        <v>5660</v>
      </c>
      <c r="L1" t="s">
        <v>5661</v>
      </c>
    </row>
    <row r="2" spans="1:12" x14ac:dyDescent="0.25">
      <c r="A2" t="s">
        <v>0</v>
      </c>
      <c r="B2" t="s">
        <v>5662</v>
      </c>
      <c r="C2" t="s">
        <v>5663</v>
      </c>
      <c r="D2" t="s">
        <v>5664</v>
      </c>
      <c r="E2" t="s">
        <v>5665</v>
      </c>
      <c r="F2" t="s">
        <v>5666</v>
      </c>
      <c r="G2" t="s">
        <v>5667</v>
      </c>
      <c r="H2" t="s">
        <v>5668</v>
      </c>
      <c r="I2" t="s">
        <v>5669</v>
      </c>
      <c r="J2" t="s">
        <v>5670</v>
      </c>
      <c r="K2" t="s">
        <v>5568</v>
      </c>
      <c r="L2" t="s">
        <v>174</v>
      </c>
    </row>
    <row r="3" spans="1:12" x14ac:dyDescent="0.25">
      <c r="A3" t="s">
        <v>2</v>
      </c>
      <c r="B3" t="s">
        <v>2</v>
      </c>
      <c r="C3" t="s">
        <v>195</v>
      </c>
      <c r="D3" t="s">
        <v>5671</v>
      </c>
      <c r="E3" t="s">
        <v>2</v>
      </c>
      <c r="F3" t="s">
        <v>193</v>
      </c>
      <c r="G3" t="s">
        <v>193</v>
      </c>
      <c r="H3" t="s">
        <v>195</v>
      </c>
      <c r="I3" t="s">
        <v>195</v>
      </c>
      <c r="J3" t="s">
        <v>195</v>
      </c>
      <c r="K3" t="s">
        <v>194</v>
      </c>
      <c r="L3" t="s">
        <v>194</v>
      </c>
    </row>
    <row r="4" spans="1:12" x14ac:dyDescent="0.25">
      <c r="A4" t="s">
        <v>4724</v>
      </c>
      <c r="B4" t="s">
        <v>4724</v>
      </c>
      <c r="L4">
        <v>5</v>
      </c>
    </row>
    <row r="5" spans="1:12" x14ac:dyDescent="0.25">
      <c r="A5" t="s">
        <v>4725</v>
      </c>
      <c r="B5" t="s">
        <v>4725</v>
      </c>
      <c r="L5">
        <v>5</v>
      </c>
    </row>
    <row r="6" spans="1:12" x14ac:dyDescent="0.25">
      <c r="A6" t="s">
        <v>5672</v>
      </c>
      <c r="B6" t="s">
        <v>5672</v>
      </c>
      <c r="L6">
        <v>5</v>
      </c>
    </row>
    <row r="7" spans="1:12" x14ac:dyDescent="0.25">
      <c r="A7" t="s">
        <v>4061</v>
      </c>
      <c r="B7" t="s">
        <v>4061</v>
      </c>
      <c r="H7">
        <v>3</v>
      </c>
      <c r="L7">
        <v>5</v>
      </c>
    </row>
    <row r="10" spans="1:12" x14ac:dyDescent="0.25">
      <c r="A10" t="s">
        <v>3318</v>
      </c>
      <c r="B10" t="s">
        <v>5673</v>
      </c>
      <c r="D10" t="s">
        <v>5674</v>
      </c>
      <c r="K10">
        <v>60</v>
      </c>
      <c r="L10">
        <v>5</v>
      </c>
    </row>
    <row r="11" spans="1:12" x14ac:dyDescent="0.25">
      <c r="A11" t="s">
        <v>4768</v>
      </c>
      <c r="B11" t="s">
        <v>4768</v>
      </c>
      <c r="L11">
        <v>9999</v>
      </c>
    </row>
    <row r="12" spans="1:12" x14ac:dyDescent="0.25">
      <c r="A12" t="s">
        <v>4900</v>
      </c>
      <c r="B12" t="s">
        <v>4900</v>
      </c>
      <c r="E12" t="s">
        <v>4760</v>
      </c>
      <c r="L12">
        <v>5</v>
      </c>
    </row>
    <row r="14" spans="1:12" x14ac:dyDescent="0.25">
      <c r="A14" t="s">
        <v>5675</v>
      </c>
      <c r="B14" t="s">
        <v>5676</v>
      </c>
    </row>
    <row r="16" spans="1:12" x14ac:dyDescent="0.25">
      <c r="A16" t="s">
        <v>5677</v>
      </c>
      <c r="B16" t="s">
        <v>5678</v>
      </c>
      <c r="L16">
        <v>5</v>
      </c>
    </row>
    <row r="17" spans="1:12" x14ac:dyDescent="0.25">
      <c r="A17" t="s">
        <v>5679</v>
      </c>
      <c r="B17" t="s">
        <v>5680</v>
      </c>
    </row>
    <row r="18" spans="1:12" x14ac:dyDescent="0.25">
      <c r="A18" t="s">
        <v>5681</v>
      </c>
      <c r="B18" t="s">
        <v>5682</v>
      </c>
    </row>
    <row r="19" spans="1:12" x14ac:dyDescent="0.25">
      <c r="A19" t="s">
        <v>3327</v>
      </c>
      <c r="B19" t="s">
        <v>5683</v>
      </c>
      <c r="K19">
        <v>60</v>
      </c>
      <c r="L19">
        <v>5</v>
      </c>
    </row>
    <row r="20" spans="1:12" x14ac:dyDescent="0.25">
      <c r="A20" t="s">
        <v>4423</v>
      </c>
      <c r="B20" t="s">
        <v>5684</v>
      </c>
      <c r="K20">
        <v>60</v>
      </c>
      <c r="L20">
        <v>5</v>
      </c>
    </row>
    <row r="21" spans="1:12" x14ac:dyDescent="0.25">
      <c r="A21" t="s">
        <v>5685</v>
      </c>
      <c r="B21" t="s">
        <v>5686</v>
      </c>
      <c r="D21" t="s">
        <v>5687</v>
      </c>
      <c r="L21">
        <v>5</v>
      </c>
    </row>
    <row r="22" spans="1:12" x14ac:dyDescent="0.25">
      <c r="A22" t="s">
        <v>5688</v>
      </c>
      <c r="B22" t="s">
        <v>5686</v>
      </c>
      <c r="L22">
        <v>5</v>
      </c>
    </row>
    <row r="23" spans="1:12" x14ac:dyDescent="0.25">
      <c r="A23" t="s">
        <v>5689</v>
      </c>
      <c r="B23" t="s">
        <v>5690</v>
      </c>
      <c r="E23" t="s">
        <v>209</v>
      </c>
      <c r="L23">
        <v>5</v>
      </c>
    </row>
    <row r="24" spans="1:12" x14ac:dyDescent="0.25">
      <c r="A24" t="s">
        <v>3454</v>
      </c>
      <c r="B24" t="s">
        <v>5691</v>
      </c>
      <c r="D24" t="s">
        <v>5692</v>
      </c>
    </row>
    <row r="25" spans="1:12" x14ac:dyDescent="0.25">
      <c r="A25" t="s">
        <v>5693</v>
      </c>
      <c r="B25" t="s">
        <v>5694</v>
      </c>
      <c r="L25">
        <v>5</v>
      </c>
    </row>
    <row r="26" spans="1:12" x14ac:dyDescent="0.25">
      <c r="A26" t="s">
        <v>5695</v>
      </c>
      <c r="B26" t="s">
        <v>5696</v>
      </c>
      <c r="L26">
        <v>5</v>
      </c>
    </row>
    <row r="27" spans="1:12" x14ac:dyDescent="0.25">
      <c r="A27" t="s">
        <v>5697</v>
      </c>
      <c r="B27" t="s">
        <v>5698</v>
      </c>
      <c r="L27">
        <v>5</v>
      </c>
    </row>
    <row r="28" spans="1:12" x14ac:dyDescent="0.25">
      <c r="A28" t="s">
        <v>3429</v>
      </c>
      <c r="B28" t="s">
        <v>5699</v>
      </c>
      <c r="L28">
        <v>5</v>
      </c>
    </row>
    <row r="29" spans="1:12" x14ac:dyDescent="0.25">
      <c r="A29" t="s">
        <v>5306</v>
      </c>
      <c r="B29" t="s">
        <v>5700</v>
      </c>
      <c r="H29">
        <v>3</v>
      </c>
      <c r="K29">
        <v>60</v>
      </c>
    </row>
    <row r="30" spans="1:12" x14ac:dyDescent="0.25">
      <c r="A30" t="s">
        <v>5323</v>
      </c>
      <c r="B30" t="s">
        <v>5701</v>
      </c>
      <c r="H30">
        <v>3</v>
      </c>
      <c r="K30">
        <v>60</v>
      </c>
    </row>
    <row r="31" spans="1:12" x14ac:dyDescent="0.25">
      <c r="A31" t="s">
        <v>5320</v>
      </c>
      <c r="B31" t="s">
        <v>5702</v>
      </c>
      <c r="H31">
        <v>3</v>
      </c>
      <c r="K31">
        <v>60</v>
      </c>
    </row>
    <row r="32" spans="1:12" x14ac:dyDescent="0.25">
      <c r="A32" t="s">
        <v>5703</v>
      </c>
      <c r="B32" t="s">
        <v>5704</v>
      </c>
      <c r="L32">
        <v>5</v>
      </c>
    </row>
    <row r="33" spans="1:11" x14ac:dyDescent="0.25">
      <c r="A33" t="s">
        <v>5705</v>
      </c>
      <c r="B33" t="s">
        <v>5706</v>
      </c>
    </row>
    <row r="34" spans="1:11" x14ac:dyDescent="0.25">
      <c r="A34" t="s">
        <v>3434</v>
      </c>
      <c r="B34" t="s">
        <v>5707</v>
      </c>
    </row>
    <row r="35" spans="1:11" x14ac:dyDescent="0.25">
      <c r="A35" t="s">
        <v>5708</v>
      </c>
      <c r="B35" t="s">
        <v>5709</v>
      </c>
    </row>
    <row r="36" spans="1:11" x14ac:dyDescent="0.25">
      <c r="A36" t="s">
        <v>5710</v>
      </c>
      <c r="B36" t="s">
        <v>5711</v>
      </c>
    </row>
    <row r="37" spans="1:11" x14ac:dyDescent="0.25">
      <c r="A37" t="s">
        <v>3538</v>
      </c>
      <c r="B37" t="s">
        <v>5712</v>
      </c>
      <c r="D37" t="s">
        <v>5687</v>
      </c>
      <c r="H37">
        <v>3</v>
      </c>
      <c r="K37">
        <v>60</v>
      </c>
    </row>
    <row r="38" spans="1:11" x14ac:dyDescent="0.25">
      <c r="A38" t="s">
        <v>5713</v>
      </c>
      <c r="B38" t="s">
        <v>5714</v>
      </c>
    </row>
    <row r="39" spans="1:11" x14ac:dyDescent="0.25">
      <c r="A39" t="s">
        <v>5715</v>
      </c>
      <c r="B39" t="s">
        <v>5716</v>
      </c>
    </row>
    <row r="41" spans="1:11" x14ac:dyDescent="0.25">
      <c r="A41" t="s">
        <v>3538</v>
      </c>
      <c r="B41" t="s">
        <v>5717</v>
      </c>
      <c r="D41" t="s">
        <v>5692</v>
      </c>
      <c r="H41">
        <v>3</v>
      </c>
      <c r="I41">
        <v>0</v>
      </c>
      <c r="K41">
        <v>60</v>
      </c>
    </row>
    <row r="42" spans="1:11" x14ac:dyDescent="0.25">
      <c r="A42" t="s">
        <v>5289</v>
      </c>
      <c r="B42" t="s">
        <v>5718</v>
      </c>
      <c r="H42">
        <v>3</v>
      </c>
      <c r="I42">
        <v>0</v>
      </c>
      <c r="K42">
        <v>60</v>
      </c>
    </row>
    <row r="43" spans="1:11" x14ac:dyDescent="0.25">
      <c r="A43" t="s">
        <v>5438</v>
      </c>
      <c r="B43" t="s">
        <v>5719</v>
      </c>
      <c r="H43">
        <v>3</v>
      </c>
      <c r="I43">
        <v>0</v>
      </c>
      <c r="K43">
        <v>60</v>
      </c>
    </row>
    <row r="44" spans="1:11" x14ac:dyDescent="0.25">
      <c r="A44" t="s">
        <v>4761</v>
      </c>
      <c r="B44" t="s">
        <v>5720</v>
      </c>
      <c r="D44" t="s">
        <v>5692</v>
      </c>
      <c r="H44">
        <v>3</v>
      </c>
      <c r="I44">
        <v>0</v>
      </c>
      <c r="K44">
        <v>60</v>
      </c>
    </row>
    <row r="45" spans="1:11" x14ac:dyDescent="0.25">
      <c r="A45" t="s">
        <v>5721</v>
      </c>
      <c r="B45" t="s">
        <v>5722</v>
      </c>
      <c r="H45">
        <v>3</v>
      </c>
      <c r="I45">
        <v>0</v>
      </c>
      <c r="K45">
        <v>60</v>
      </c>
    </row>
    <row r="46" spans="1:11" x14ac:dyDescent="0.25">
      <c r="A46" t="s">
        <v>5302</v>
      </c>
      <c r="B46" t="s">
        <v>5723</v>
      </c>
      <c r="D46" t="s">
        <v>5692</v>
      </c>
      <c r="H46">
        <v>3</v>
      </c>
      <c r="I46">
        <v>0</v>
      </c>
      <c r="K46">
        <v>60</v>
      </c>
    </row>
    <row r="47" spans="1:11" x14ac:dyDescent="0.25">
      <c r="A47" t="s">
        <v>5479</v>
      </c>
      <c r="B47" t="s">
        <v>5724</v>
      </c>
      <c r="D47" s="2" t="s">
        <v>5725</v>
      </c>
      <c r="H47">
        <v>3</v>
      </c>
      <c r="I47">
        <v>0</v>
      </c>
      <c r="K47">
        <v>90</v>
      </c>
    </row>
    <row r="48" spans="1:11" x14ac:dyDescent="0.25">
      <c r="A48" t="s">
        <v>5020</v>
      </c>
      <c r="B48" t="s">
        <v>5726</v>
      </c>
      <c r="D48" t="s">
        <v>5692</v>
      </c>
      <c r="H48">
        <v>3</v>
      </c>
      <c r="I48">
        <v>0</v>
      </c>
      <c r="K48">
        <v>60</v>
      </c>
    </row>
    <row r="49" spans="1:12" x14ac:dyDescent="0.25">
      <c r="A49" t="s">
        <v>5287</v>
      </c>
      <c r="B49" t="s">
        <v>5727</v>
      </c>
      <c r="D49" t="s">
        <v>5728</v>
      </c>
      <c r="H49">
        <v>3</v>
      </c>
      <c r="I49">
        <v>0</v>
      </c>
      <c r="K49">
        <v>60</v>
      </c>
    </row>
    <row r="50" spans="1:12" x14ac:dyDescent="0.25">
      <c r="A50" t="s">
        <v>5282</v>
      </c>
      <c r="B50" t="s">
        <v>5729</v>
      </c>
      <c r="D50" t="s">
        <v>5730</v>
      </c>
      <c r="H50">
        <v>3</v>
      </c>
      <c r="I50">
        <v>0</v>
      </c>
      <c r="K50">
        <v>60</v>
      </c>
    </row>
    <row r="51" spans="1:12" x14ac:dyDescent="0.25">
      <c r="A51" t="s">
        <v>5731</v>
      </c>
      <c r="B51" t="s">
        <v>5732</v>
      </c>
      <c r="H51">
        <v>3</v>
      </c>
      <c r="I51">
        <v>0</v>
      </c>
      <c r="K51">
        <v>60</v>
      </c>
    </row>
    <row r="52" spans="1:12" x14ac:dyDescent="0.25">
      <c r="A52" t="s">
        <v>5298</v>
      </c>
      <c r="B52" t="s">
        <v>5733</v>
      </c>
      <c r="H52">
        <v>3</v>
      </c>
      <c r="I52">
        <v>0</v>
      </c>
      <c r="K52">
        <v>60</v>
      </c>
    </row>
    <row r="53" spans="1:12" x14ac:dyDescent="0.25">
      <c r="A53" t="s">
        <v>5286</v>
      </c>
      <c r="B53" t="s">
        <v>5734</v>
      </c>
      <c r="D53" t="s">
        <v>5692</v>
      </c>
      <c r="H53">
        <v>3</v>
      </c>
      <c r="I53">
        <v>0</v>
      </c>
      <c r="K53">
        <v>60</v>
      </c>
    </row>
    <row r="54" spans="1:12" x14ac:dyDescent="0.25">
      <c r="A54" t="s">
        <v>5291</v>
      </c>
      <c r="B54" t="s">
        <v>5735</v>
      </c>
      <c r="H54">
        <v>3</v>
      </c>
      <c r="I54">
        <v>0</v>
      </c>
      <c r="K54">
        <v>60</v>
      </c>
    </row>
    <row r="55" spans="1:12" x14ac:dyDescent="0.25">
      <c r="A55" t="s">
        <v>3318</v>
      </c>
      <c r="B55" t="s">
        <v>5673</v>
      </c>
      <c r="D55" t="s">
        <v>5692</v>
      </c>
      <c r="H55">
        <v>3</v>
      </c>
      <c r="I55">
        <v>0</v>
      </c>
      <c r="K55">
        <v>60</v>
      </c>
    </row>
    <row r="56" spans="1:12" x14ac:dyDescent="0.25">
      <c r="A56" t="s">
        <v>5319</v>
      </c>
      <c r="B56" t="s">
        <v>5736</v>
      </c>
      <c r="H56">
        <v>3</v>
      </c>
      <c r="I56">
        <v>0</v>
      </c>
      <c r="K56">
        <v>60</v>
      </c>
    </row>
    <row r="60" spans="1:12" x14ac:dyDescent="0.25">
      <c r="A60" t="s">
        <v>3391</v>
      </c>
      <c r="B60" t="s">
        <v>5737</v>
      </c>
      <c r="L60">
        <v>5</v>
      </c>
    </row>
    <row r="61" spans="1:12" x14ac:dyDescent="0.25">
      <c r="A61" t="s">
        <v>3420</v>
      </c>
      <c r="B61" t="s">
        <v>5738</v>
      </c>
      <c r="I61">
        <v>2</v>
      </c>
      <c r="L61">
        <v>0.3</v>
      </c>
    </row>
    <row r="62" spans="1:12" x14ac:dyDescent="0.25">
      <c r="A62" t="s">
        <v>5739</v>
      </c>
      <c r="B62" t="s">
        <v>5740</v>
      </c>
      <c r="L62">
        <v>5</v>
      </c>
    </row>
    <row r="63" spans="1:12" x14ac:dyDescent="0.25">
      <c r="A63" t="s">
        <v>5741</v>
      </c>
      <c r="B63" t="s">
        <v>5742</v>
      </c>
      <c r="L63">
        <v>5</v>
      </c>
    </row>
    <row r="64" spans="1:12" x14ac:dyDescent="0.25">
      <c r="A64" t="s">
        <v>4780</v>
      </c>
      <c r="B64" t="s">
        <v>5743</v>
      </c>
      <c r="H64">
        <v>3</v>
      </c>
      <c r="I64">
        <v>0</v>
      </c>
      <c r="K64">
        <v>60</v>
      </c>
    </row>
    <row r="66" spans="1:12" x14ac:dyDescent="0.25">
      <c r="A66" t="s">
        <v>3428</v>
      </c>
      <c r="B66" t="s">
        <v>5744</v>
      </c>
      <c r="E66" t="s">
        <v>3412</v>
      </c>
      <c r="J66">
        <v>1</v>
      </c>
      <c r="L66">
        <v>5</v>
      </c>
    </row>
    <row r="67" spans="1:12" x14ac:dyDescent="0.25">
      <c r="A67" t="s">
        <v>3450</v>
      </c>
      <c r="B67" t="s">
        <v>5745</v>
      </c>
      <c r="I67">
        <v>2</v>
      </c>
      <c r="L67">
        <v>5</v>
      </c>
    </row>
    <row r="68" spans="1:12" x14ac:dyDescent="0.25">
      <c r="A68" t="s">
        <v>5321</v>
      </c>
      <c r="B68" t="s">
        <v>5746</v>
      </c>
      <c r="C68">
        <v>1</v>
      </c>
      <c r="I68">
        <v>2</v>
      </c>
      <c r="K68">
        <v>60</v>
      </c>
    </row>
    <row r="69" spans="1:12" x14ac:dyDescent="0.25">
      <c r="A69" t="s">
        <v>3457</v>
      </c>
      <c r="B69" t="s">
        <v>5747</v>
      </c>
      <c r="I69">
        <v>2</v>
      </c>
      <c r="L69">
        <v>5</v>
      </c>
    </row>
    <row r="70" spans="1:12" x14ac:dyDescent="0.25">
      <c r="A70" t="s">
        <v>3461</v>
      </c>
      <c r="B70" t="s">
        <v>5748</v>
      </c>
      <c r="L70">
        <v>5</v>
      </c>
    </row>
    <row r="71" spans="1:12" x14ac:dyDescent="0.25">
      <c r="A71" t="s">
        <v>3467</v>
      </c>
      <c r="B71" t="s">
        <v>5749</v>
      </c>
      <c r="L71">
        <v>5</v>
      </c>
    </row>
    <row r="72" spans="1:12" x14ac:dyDescent="0.25">
      <c r="A72" t="s">
        <v>3477</v>
      </c>
      <c r="B72" t="s">
        <v>5750</v>
      </c>
      <c r="I72">
        <v>2</v>
      </c>
      <c r="L72">
        <v>5</v>
      </c>
    </row>
    <row r="73" spans="1:12" x14ac:dyDescent="0.25">
      <c r="A73" t="s">
        <v>3476</v>
      </c>
      <c r="B73" t="s">
        <v>5751</v>
      </c>
      <c r="E73" t="s">
        <v>5752</v>
      </c>
      <c r="I73">
        <v>1</v>
      </c>
      <c r="L73">
        <v>5</v>
      </c>
    </row>
    <row r="74" spans="1:12" x14ac:dyDescent="0.25">
      <c r="A74" t="s">
        <v>3487</v>
      </c>
      <c r="B74" t="s">
        <v>5753</v>
      </c>
      <c r="I74">
        <v>2</v>
      </c>
      <c r="L74">
        <v>5</v>
      </c>
    </row>
    <row r="75" spans="1:12" x14ac:dyDescent="0.25">
      <c r="A75" t="s">
        <v>3493</v>
      </c>
      <c r="B75" t="s">
        <v>5754</v>
      </c>
      <c r="I75">
        <v>2</v>
      </c>
      <c r="L75">
        <v>5</v>
      </c>
    </row>
    <row r="76" spans="1:12" x14ac:dyDescent="0.25">
      <c r="A76" t="s">
        <v>3498</v>
      </c>
      <c r="B76" t="s">
        <v>5755</v>
      </c>
      <c r="E76" t="s">
        <v>3412</v>
      </c>
      <c r="I76">
        <v>1</v>
      </c>
      <c r="L76">
        <v>5</v>
      </c>
    </row>
    <row r="77" spans="1:12" x14ac:dyDescent="0.25">
      <c r="A77" t="s">
        <v>3510</v>
      </c>
      <c r="B77" t="s">
        <v>5756</v>
      </c>
      <c r="I77">
        <v>2</v>
      </c>
      <c r="L77">
        <v>5</v>
      </c>
    </row>
    <row r="79" spans="1:12" x14ac:dyDescent="0.25">
      <c r="A79" t="s">
        <v>4305</v>
      </c>
      <c r="B79" t="s">
        <v>5757</v>
      </c>
      <c r="I79">
        <v>2</v>
      </c>
      <c r="L79">
        <v>5</v>
      </c>
    </row>
    <row r="80" spans="1:12" x14ac:dyDescent="0.25">
      <c r="A80" t="s">
        <v>4301</v>
      </c>
      <c r="B80" t="s">
        <v>5758</v>
      </c>
      <c r="E80" t="s">
        <v>5759</v>
      </c>
      <c r="I80">
        <v>1</v>
      </c>
      <c r="L80">
        <v>5</v>
      </c>
    </row>
    <row r="81" spans="1:12" x14ac:dyDescent="0.25">
      <c r="A81" t="s">
        <v>4310</v>
      </c>
      <c r="B81" t="s">
        <v>5760</v>
      </c>
      <c r="I81">
        <v>2</v>
      </c>
      <c r="L81">
        <v>5</v>
      </c>
    </row>
    <row r="82" spans="1:12" x14ac:dyDescent="0.25">
      <c r="A82" t="s">
        <v>5406</v>
      </c>
      <c r="B82" t="s">
        <v>5761</v>
      </c>
      <c r="I82">
        <v>1</v>
      </c>
      <c r="K82">
        <v>60</v>
      </c>
    </row>
    <row r="83" spans="1:12" x14ac:dyDescent="0.25">
      <c r="A83" t="s">
        <v>4327</v>
      </c>
      <c r="B83" t="s">
        <v>5762</v>
      </c>
      <c r="I83">
        <v>2</v>
      </c>
      <c r="L83">
        <v>5</v>
      </c>
    </row>
    <row r="84" spans="1:12" x14ac:dyDescent="0.25">
      <c r="A84" t="s">
        <v>4326</v>
      </c>
      <c r="B84" t="s">
        <v>5763</v>
      </c>
      <c r="D84" t="s">
        <v>5764</v>
      </c>
      <c r="J84">
        <v>2</v>
      </c>
      <c r="L84">
        <v>5</v>
      </c>
    </row>
    <row r="85" spans="1:12" x14ac:dyDescent="0.25">
      <c r="A85" t="s">
        <v>5408</v>
      </c>
      <c r="B85" t="s">
        <v>5765</v>
      </c>
      <c r="I85">
        <v>1</v>
      </c>
      <c r="K85">
        <v>60</v>
      </c>
    </row>
    <row r="87" spans="1:12" x14ac:dyDescent="0.25">
      <c r="A87" t="s">
        <v>4343</v>
      </c>
      <c r="B87" t="s">
        <v>5766</v>
      </c>
      <c r="I87">
        <v>2</v>
      </c>
      <c r="L87">
        <v>5</v>
      </c>
    </row>
    <row r="88" spans="1:12" x14ac:dyDescent="0.25">
      <c r="A88" t="s">
        <v>4342</v>
      </c>
      <c r="B88" t="s">
        <v>5767</v>
      </c>
      <c r="D88" t="s">
        <v>5768</v>
      </c>
      <c r="I88">
        <v>2</v>
      </c>
      <c r="K88">
        <v>60</v>
      </c>
      <c r="L88">
        <v>5</v>
      </c>
    </row>
    <row r="89" spans="1:12" x14ac:dyDescent="0.25">
      <c r="A89" t="s">
        <v>5409</v>
      </c>
      <c r="B89" t="s">
        <v>5769</v>
      </c>
      <c r="I89">
        <v>1</v>
      </c>
    </row>
    <row r="90" spans="1:12" x14ac:dyDescent="0.25">
      <c r="A90" t="s">
        <v>4350</v>
      </c>
      <c r="B90" t="s">
        <v>5770</v>
      </c>
      <c r="I90">
        <v>2</v>
      </c>
      <c r="L90">
        <v>5</v>
      </c>
    </row>
    <row r="91" spans="1:12" x14ac:dyDescent="0.25">
      <c r="A91" t="s">
        <v>4349</v>
      </c>
      <c r="B91" t="s">
        <v>5771</v>
      </c>
      <c r="D91" t="s">
        <v>5768</v>
      </c>
      <c r="I91">
        <v>2</v>
      </c>
      <c r="K91">
        <v>60</v>
      </c>
      <c r="L91">
        <v>5</v>
      </c>
    </row>
    <row r="92" spans="1:12" x14ac:dyDescent="0.25">
      <c r="A92" t="s">
        <v>5410</v>
      </c>
      <c r="B92" t="s">
        <v>5772</v>
      </c>
      <c r="I92">
        <v>1</v>
      </c>
    </row>
    <row r="93" spans="1:12" x14ac:dyDescent="0.25">
      <c r="A93" t="s">
        <v>4361</v>
      </c>
      <c r="B93" t="s">
        <v>5773</v>
      </c>
      <c r="J93">
        <v>2</v>
      </c>
      <c r="L93">
        <v>5</v>
      </c>
    </row>
    <row r="94" spans="1:12" x14ac:dyDescent="0.25">
      <c r="A94" t="s">
        <v>4360</v>
      </c>
      <c r="B94" t="s">
        <v>5774</v>
      </c>
      <c r="E94" t="s">
        <v>5775</v>
      </c>
      <c r="I94">
        <v>2</v>
      </c>
      <c r="L94">
        <v>5</v>
      </c>
    </row>
    <row r="95" spans="1:12" x14ac:dyDescent="0.25">
      <c r="A95" t="s">
        <v>5412</v>
      </c>
      <c r="B95" t="s">
        <v>5776</v>
      </c>
      <c r="E95" t="s">
        <v>5777</v>
      </c>
      <c r="F95">
        <v>1</v>
      </c>
      <c r="H95">
        <v>1</v>
      </c>
      <c r="I95">
        <v>1</v>
      </c>
    </row>
    <row r="96" spans="1:12" x14ac:dyDescent="0.25">
      <c r="A96" t="s">
        <v>5778</v>
      </c>
      <c r="B96" t="s">
        <v>5779</v>
      </c>
      <c r="I96">
        <v>1</v>
      </c>
    </row>
    <row r="97" spans="1:12" x14ac:dyDescent="0.25">
      <c r="A97" t="s">
        <v>5415</v>
      </c>
      <c r="B97" t="s">
        <v>5780</v>
      </c>
      <c r="E97" t="s">
        <v>5781</v>
      </c>
      <c r="F97">
        <v>1</v>
      </c>
      <c r="G97">
        <v>1</v>
      </c>
    </row>
    <row r="98" spans="1:12" x14ac:dyDescent="0.25">
      <c r="A98" t="s">
        <v>5417</v>
      </c>
      <c r="B98" t="s">
        <v>5782</v>
      </c>
      <c r="E98" t="s">
        <v>5783</v>
      </c>
      <c r="F98">
        <v>1</v>
      </c>
      <c r="G98">
        <v>1</v>
      </c>
    </row>
    <row r="99" spans="1:12" x14ac:dyDescent="0.25">
      <c r="A99" t="s">
        <v>4371</v>
      </c>
      <c r="B99" t="s">
        <v>5784</v>
      </c>
      <c r="I99">
        <v>2</v>
      </c>
      <c r="L99">
        <v>5</v>
      </c>
    </row>
    <row r="100" spans="1:12" x14ac:dyDescent="0.25">
      <c r="A100" t="s">
        <v>4363</v>
      </c>
      <c r="B100" t="s">
        <v>5785</v>
      </c>
      <c r="I100">
        <v>2</v>
      </c>
      <c r="L100">
        <v>5</v>
      </c>
    </row>
    <row r="101" spans="1:12" x14ac:dyDescent="0.25">
      <c r="A101" t="s">
        <v>4386</v>
      </c>
      <c r="B101" t="s">
        <v>5786</v>
      </c>
      <c r="I101">
        <v>2</v>
      </c>
      <c r="L101">
        <v>5</v>
      </c>
    </row>
    <row r="102" spans="1:12" x14ac:dyDescent="0.25">
      <c r="A102" t="s">
        <v>4385</v>
      </c>
      <c r="B102" t="s">
        <v>5787</v>
      </c>
      <c r="I102">
        <v>2</v>
      </c>
      <c r="L102">
        <v>5</v>
      </c>
    </row>
    <row r="103" spans="1:12" x14ac:dyDescent="0.25">
      <c r="A103" t="s">
        <v>5422</v>
      </c>
      <c r="B103" t="s">
        <v>5788</v>
      </c>
      <c r="I103">
        <v>1</v>
      </c>
      <c r="K103">
        <v>60</v>
      </c>
    </row>
    <row r="104" spans="1:12" x14ac:dyDescent="0.25">
      <c r="A104" t="s">
        <v>5423</v>
      </c>
      <c r="B104" t="s">
        <v>5789</v>
      </c>
      <c r="I104">
        <v>1</v>
      </c>
      <c r="K104">
        <v>60</v>
      </c>
    </row>
    <row r="105" spans="1:12" x14ac:dyDescent="0.25">
      <c r="A105" t="s">
        <v>5424</v>
      </c>
      <c r="B105" t="s">
        <v>5790</v>
      </c>
      <c r="I105">
        <v>1</v>
      </c>
      <c r="K105">
        <v>60</v>
      </c>
    </row>
    <row r="106" spans="1:12" x14ac:dyDescent="0.25">
      <c r="A106" t="s">
        <v>5426</v>
      </c>
      <c r="B106" t="s">
        <v>5791</v>
      </c>
      <c r="H106">
        <v>1</v>
      </c>
      <c r="I106">
        <v>1</v>
      </c>
      <c r="K106">
        <v>60</v>
      </c>
    </row>
    <row r="107" spans="1:12" x14ac:dyDescent="0.25">
      <c r="A107" t="s">
        <v>4430</v>
      </c>
      <c r="B107" t="s">
        <v>5792</v>
      </c>
      <c r="I107">
        <v>2</v>
      </c>
      <c r="L107">
        <v>5</v>
      </c>
    </row>
    <row r="108" spans="1:12" x14ac:dyDescent="0.25">
      <c r="A108" t="s">
        <v>4429</v>
      </c>
      <c r="B108" t="s">
        <v>5793</v>
      </c>
      <c r="I108">
        <v>2</v>
      </c>
      <c r="K108">
        <v>60</v>
      </c>
      <c r="L108">
        <v>0.2</v>
      </c>
    </row>
    <row r="109" spans="1:12" x14ac:dyDescent="0.25">
      <c r="A109" t="s">
        <v>4434</v>
      </c>
      <c r="B109" t="s">
        <v>5794</v>
      </c>
      <c r="I109">
        <v>2</v>
      </c>
      <c r="L109">
        <v>5</v>
      </c>
    </row>
    <row r="110" spans="1:12" x14ac:dyDescent="0.25">
      <c r="A110" t="s">
        <v>4433</v>
      </c>
      <c r="B110" t="s">
        <v>5795</v>
      </c>
      <c r="I110">
        <v>2</v>
      </c>
      <c r="K110">
        <v>60</v>
      </c>
      <c r="L110">
        <v>0.2</v>
      </c>
    </row>
    <row r="111" spans="1:12" x14ac:dyDescent="0.25">
      <c r="A111" t="s">
        <v>5428</v>
      </c>
      <c r="B111" t="s">
        <v>5796</v>
      </c>
      <c r="I111">
        <v>1</v>
      </c>
      <c r="K111">
        <v>60</v>
      </c>
    </row>
    <row r="112" spans="1:12" x14ac:dyDescent="0.25">
      <c r="A112" t="s">
        <v>4449</v>
      </c>
      <c r="B112" t="s">
        <v>5797</v>
      </c>
      <c r="I112">
        <v>2</v>
      </c>
      <c r="L112">
        <v>5</v>
      </c>
    </row>
    <row r="113" spans="1:12" x14ac:dyDescent="0.25">
      <c r="A113" t="s">
        <v>4448</v>
      </c>
      <c r="B113" t="s">
        <v>5798</v>
      </c>
      <c r="I113">
        <v>2</v>
      </c>
      <c r="K113">
        <v>60</v>
      </c>
      <c r="L113">
        <v>5</v>
      </c>
    </row>
    <row r="114" spans="1:12" x14ac:dyDescent="0.25">
      <c r="A114" t="s">
        <v>5431</v>
      </c>
      <c r="B114" t="s">
        <v>5799</v>
      </c>
      <c r="E114" t="s">
        <v>3485</v>
      </c>
      <c r="F114">
        <v>1</v>
      </c>
      <c r="H114">
        <v>2</v>
      </c>
      <c r="I114">
        <v>1</v>
      </c>
    </row>
    <row r="115" spans="1:12" x14ac:dyDescent="0.25">
      <c r="A115" t="s">
        <v>5429</v>
      </c>
      <c r="B115" t="s">
        <v>5800</v>
      </c>
      <c r="I115">
        <v>1</v>
      </c>
      <c r="K115">
        <v>60</v>
      </c>
    </row>
    <row r="116" spans="1:12" x14ac:dyDescent="0.25">
      <c r="A116" t="s">
        <v>4454</v>
      </c>
      <c r="B116" t="s">
        <v>5801</v>
      </c>
      <c r="I116">
        <v>2</v>
      </c>
      <c r="L116">
        <v>5</v>
      </c>
    </row>
    <row r="117" spans="1:12" x14ac:dyDescent="0.25">
      <c r="A117" t="s">
        <v>4453</v>
      </c>
      <c r="B117" t="s">
        <v>5802</v>
      </c>
      <c r="I117">
        <v>2</v>
      </c>
      <c r="K117">
        <v>60</v>
      </c>
      <c r="L117">
        <v>0.2</v>
      </c>
    </row>
    <row r="118" spans="1:12" x14ac:dyDescent="0.25">
      <c r="A118" t="s">
        <v>4479</v>
      </c>
      <c r="B118" t="s">
        <v>5803</v>
      </c>
      <c r="I118">
        <v>1</v>
      </c>
      <c r="K118">
        <v>60</v>
      </c>
    </row>
    <row r="119" spans="1:12" x14ac:dyDescent="0.25">
      <c r="A119" t="s">
        <v>4476</v>
      </c>
      <c r="B119" t="s">
        <v>5804</v>
      </c>
      <c r="I119">
        <v>2</v>
      </c>
      <c r="K119">
        <v>60</v>
      </c>
      <c r="L119">
        <v>5</v>
      </c>
    </row>
    <row r="120" spans="1:12" x14ac:dyDescent="0.25">
      <c r="A120" t="s">
        <v>4470</v>
      </c>
      <c r="B120" t="s">
        <v>5805</v>
      </c>
      <c r="I120">
        <v>2</v>
      </c>
      <c r="K120">
        <v>60</v>
      </c>
      <c r="L120">
        <v>5</v>
      </c>
    </row>
    <row r="121" spans="1:12" x14ac:dyDescent="0.25">
      <c r="A121" t="s">
        <v>4475</v>
      </c>
      <c r="B121" t="s">
        <v>5806</v>
      </c>
      <c r="E121" t="s">
        <v>3412</v>
      </c>
      <c r="I121">
        <v>2</v>
      </c>
      <c r="K121">
        <v>60</v>
      </c>
      <c r="L121">
        <v>0.2</v>
      </c>
    </row>
    <row r="122" spans="1:12" x14ac:dyDescent="0.25">
      <c r="A122" t="s">
        <v>4469</v>
      </c>
      <c r="B122" t="s">
        <v>5807</v>
      </c>
      <c r="E122" t="s">
        <v>3412</v>
      </c>
      <c r="I122">
        <v>2</v>
      </c>
      <c r="K122">
        <v>60</v>
      </c>
      <c r="L122">
        <v>0.2</v>
      </c>
    </row>
    <row r="123" spans="1:12" x14ac:dyDescent="0.25">
      <c r="A123" t="s">
        <v>5432</v>
      </c>
      <c r="B123" t="s">
        <v>5808</v>
      </c>
      <c r="I123">
        <v>1</v>
      </c>
      <c r="K123">
        <v>60</v>
      </c>
    </row>
    <row r="124" spans="1:12" x14ac:dyDescent="0.25">
      <c r="A124" t="s">
        <v>5433</v>
      </c>
      <c r="B124" t="s">
        <v>5809</v>
      </c>
      <c r="I124">
        <v>1</v>
      </c>
      <c r="K124">
        <v>60</v>
      </c>
    </row>
    <row r="125" spans="1:12" x14ac:dyDescent="0.25">
      <c r="A125" t="s">
        <v>5810</v>
      </c>
      <c r="B125" t="s">
        <v>5811</v>
      </c>
      <c r="I125">
        <v>2</v>
      </c>
      <c r="K125">
        <v>60</v>
      </c>
      <c r="L125">
        <v>5</v>
      </c>
    </row>
    <row r="126" spans="1:12" x14ac:dyDescent="0.25">
      <c r="A126" t="s">
        <v>5812</v>
      </c>
      <c r="B126" t="s">
        <v>5813</v>
      </c>
      <c r="I126">
        <v>2</v>
      </c>
      <c r="K126">
        <v>60</v>
      </c>
      <c r="L126">
        <v>5</v>
      </c>
    </row>
    <row r="127" spans="1:12" x14ac:dyDescent="0.25">
      <c r="A127" t="s">
        <v>5436</v>
      </c>
      <c r="B127" t="s">
        <v>5814</v>
      </c>
      <c r="E127" t="s">
        <v>3485</v>
      </c>
      <c r="F127">
        <v>1</v>
      </c>
      <c r="H127">
        <v>2</v>
      </c>
      <c r="I127">
        <v>1</v>
      </c>
    </row>
    <row r="128" spans="1:12" x14ac:dyDescent="0.25">
      <c r="A128" t="s">
        <v>5815</v>
      </c>
      <c r="B128" t="s">
        <v>5816</v>
      </c>
      <c r="I128">
        <v>2</v>
      </c>
      <c r="K128">
        <v>60</v>
      </c>
      <c r="L128">
        <v>5</v>
      </c>
    </row>
    <row r="129" spans="1:12" x14ac:dyDescent="0.25">
      <c r="A129" t="s">
        <v>5817</v>
      </c>
      <c r="B129" t="s">
        <v>5818</v>
      </c>
      <c r="I129">
        <v>2</v>
      </c>
      <c r="K129">
        <v>60</v>
      </c>
      <c r="L129">
        <v>5</v>
      </c>
    </row>
    <row r="130" spans="1:12" x14ac:dyDescent="0.25">
      <c r="A130" t="s">
        <v>4496</v>
      </c>
      <c r="B130" t="s">
        <v>5819</v>
      </c>
      <c r="E130" t="s">
        <v>3412</v>
      </c>
      <c r="J130">
        <v>2</v>
      </c>
      <c r="L130">
        <v>5</v>
      </c>
    </row>
    <row r="131" spans="1:12" x14ac:dyDescent="0.25">
      <c r="A131" t="s">
        <v>4512</v>
      </c>
      <c r="B131" t="s">
        <v>5820</v>
      </c>
      <c r="J131">
        <v>2</v>
      </c>
      <c r="L131">
        <v>5</v>
      </c>
    </row>
    <row r="132" spans="1:12" x14ac:dyDescent="0.25">
      <c r="A132" t="s">
        <v>4511</v>
      </c>
      <c r="B132" t="s">
        <v>5821</v>
      </c>
      <c r="E132" t="s">
        <v>3412</v>
      </c>
      <c r="I132">
        <v>2</v>
      </c>
      <c r="K132">
        <v>60</v>
      </c>
      <c r="L132">
        <v>5</v>
      </c>
    </row>
    <row r="133" spans="1:12" x14ac:dyDescent="0.25">
      <c r="A133" t="s">
        <v>5441</v>
      </c>
      <c r="B133" t="s">
        <v>5822</v>
      </c>
      <c r="I133">
        <v>1</v>
      </c>
      <c r="K133">
        <v>60</v>
      </c>
    </row>
    <row r="134" spans="1:12" x14ac:dyDescent="0.25">
      <c r="A134" t="s">
        <v>4520</v>
      </c>
      <c r="B134" t="s">
        <v>5823</v>
      </c>
      <c r="J134">
        <v>2</v>
      </c>
      <c r="L134">
        <v>20</v>
      </c>
    </row>
    <row r="135" spans="1:12" x14ac:dyDescent="0.25">
      <c r="A135" t="s">
        <v>4521</v>
      </c>
      <c r="B135" t="s">
        <v>5824</v>
      </c>
      <c r="E135" t="s">
        <v>3412</v>
      </c>
      <c r="J135">
        <v>2</v>
      </c>
      <c r="L135">
        <v>20</v>
      </c>
    </row>
    <row r="136" spans="1:12" x14ac:dyDescent="0.25">
      <c r="A136" t="s">
        <v>4528</v>
      </c>
      <c r="B136" t="s">
        <v>5825</v>
      </c>
      <c r="I136">
        <v>2</v>
      </c>
      <c r="K136">
        <v>60</v>
      </c>
      <c r="L136">
        <v>5</v>
      </c>
    </row>
    <row r="137" spans="1:12" x14ac:dyDescent="0.25">
      <c r="A137" t="s">
        <v>4527</v>
      </c>
      <c r="B137" t="s">
        <v>5826</v>
      </c>
      <c r="E137" t="s">
        <v>3412</v>
      </c>
      <c r="I137">
        <v>2</v>
      </c>
      <c r="K137">
        <v>60</v>
      </c>
      <c r="L137">
        <v>5</v>
      </c>
    </row>
    <row r="138" spans="1:12" x14ac:dyDescent="0.25">
      <c r="A138" t="s">
        <v>4544</v>
      </c>
      <c r="B138" t="s">
        <v>5827</v>
      </c>
      <c r="I138">
        <v>2</v>
      </c>
      <c r="K138">
        <v>60</v>
      </c>
      <c r="L138">
        <v>5</v>
      </c>
    </row>
    <row r="139" spans="1:12" x14ac:dyDescent="0.25">
      <c r="A139" t="s">
        <v>4543</v>
      </c>
      <c r="B139" t="s">
        <v>5828</v>
      </c>
      <c r="I139">
        <v>1</v>
      </c>
      <c r="K139">
        <v>60</v>
      </c>
      <c r="L139">
        <v>5</v>
      </c>
    </row>
    <row r="140" spans="1:12" x14ac:dyDescent="0.25">
      <c r="A140" t="s">
        <v>5442</v>
      </c>
      <c r="B140" t="s">
        <v>5829</v>
      </c>
      <c r="H140">
        <v>1</v>
      </c>
      <c r="I140">
        <v>2</v>
      </c>
      <c r="K140">
        <v>60</v>
      </c>
      <c r="L140">
        <v>30</v>
      </c>
    </row>
    <row r="141" spans="1:12" x14ac:dyDescent="0.25">
      <c r="A141" t="s">
        <v>5830</v>
      </c>
      <c r="B141" t="s">
        <v>5831</v>
      </c>
      <c r="I141">
        <v>2</v>
      </c>
      <c r="K141">
        <v>60</v>
      </c>
      <c r="L141">
        <v>5</v>
      </c>
    </row>
    <row r="142" spans="1:12" x14ac:dyDescent="0.25">
      <c r="A142" t="s">
        <v>4556</v>
      </c>
      <c r="B142" t="s">
        <v>5832</v>
      </c>
      <c r="I142">
        <v>2</v>
      </c>
      <c r="K142">
        <v>60</v>
      </c>
      <c r="L142">
        <v>5</v>
      </c>
    </row>
    <row r="143" spans="1:12" x14ac:dyDescent="0.25">
      <c r="A143" t="s">
        <v>4555</v>
      </c>
      <c r="B143" t="s">
        <v>5833</v>
      </c>
      <c r="E143" t="s">
        <v>5834</v>
      </c>
      <c r="F143">
        <v>1</v>
      </c>
      <c r="I143">
        <v>2</v>
      </c>
      <c r="K143">
        <v>60</v>
      </c>
      <c r="L143">
        <v>5</v>
      </c>
    </row>
    <row r="144" spans="1:12" x14ac:dyDescent="0.25">
      <c r="A144" t="s">
        <v>5446</v>
      </c>
      <c r="B144" t="s">
        <v>5835</v>
      </c>
      <c r="E144" t="s">
        <v>5834</v>
      </c>
      <c r="F144">
        <v>1</v>
      </c>
      <c r="I144">
        <v>1</v>
      </c>
      <c r="K144">
        <v>60</v>
      </c>
    </row>
    <row r="145" spans="1:12" x14ac:dyDescent="0.25">
      <c r="A145" t="s">
        <v>4571</v>
      </c>
      <c r="B145" t="s">
        <v>5836</v>
      </c>
      <c r="I145">
        <v>2</v>
      </c>
      <c r="K145">
        <v>60</v>
      </c>
      <c r="L145">
        <v>5</v>
      </c>
    </row>
    <row r="146" spans="1:12" x14ac:dyDescent="0.25">
      <c r="A146" t="s">
        <v>4572</v>
      </c>
      <c r="B146" t="s">
        <v>5837</v>
      </c>
      <c r="E146" t="s">
        <v>5834</v>
      </c>
      <c r="F146">
        <v>1</v>
      </c>
      <c r="I146">
        <v>2</v>
      </c>
      <c r="K146">
        <v>60</v>
      </c>
      <c r="L146">
        <v>30</v>
      </c>
    </row>
    <row r="147" spans="1:12" x14ac:dyDescent="0.25">
      <c r="A147" t="s">
        <v>4583</v>
      </c>
      <c r="B147" t="s">
        <v>5838</v>
      </c>
      <c r="E147" t="s">
        <v>5834</v>
      </c>
      <c r="F147">
        <v>1</v>
      </c>
      <c r="I147">
        <v>2</v>
      </c>
      <c r="K147">
        <v>60</v>
      </c>
      <c r="L147">
        <v>25</v>
      </c>
    </row>
    <row r="148" spans="1:12" x14ac:dyDescent="0.25">
      <c r="A148" t="s">
        <v>5839</v>
      </c>
      <c r="B148" t="s">
        <v>5840</v>
      </c>
      <c r="I148">
        <v>2</v>
      </c>
      <c r="K148">
        <v>60</v>
      </c>
      <c r="L148">
        <v>5</v>
      </c>
    </row>
    <row r="149" spans="1:12" x14ac:dyDescent="0.25">
      <c r="A149" t="s">
        <v>5841</v>
      </c>
      <c r="B149" t="s">
        <v>5842</v>
      </c>
      <c r="E149" t="s">
        <v>3485</v>
      </c>
      <c r="I149">
        <v>2</v>
      </c>
      <c r="K149">
        <v>60</v>
      </c>
      <c r="L149">
        <v>5</v>
      </c>
    </row>
    <row r="150" spans="1:12" x14ac:dyDescent="0.25">
      <c r="A150" t="s">
        <v>5447</v>
      </c>
      <c r="B150" t="s">
        <v>5843</v>
      </c>
      <c r="H150">
        <v>2</v>
      </c>
      <c r="I150">
        <v>1</v>
      </c>
      <c r="K150">
        <v>60</v>
      </c>
    </row>
    <row r="151" spans="1:12" x14ac:dyDescent="0.25">
      <c r="A151" t="s">
        <v>5449</v>
      </c>
      <c r="B151" t="s">
        <v>5844</v>
      </c>
      <c r="I151">
        <v>1</v>
      </c>
    </row>
    <row r="152" spans="1:12" x14ac:dyDescent="0.25">
      <c r="A152" t="s">
        <v>5845</v>
      </c>
      <c r="B152" t="s">
        <v>5846</v>
      </c>
      <c r="E152" t="s">
        <v>3485</v>
      </c>
      <c r="I152">
        <v>2</v>
      </c>
      <c r="K152">
        <v>60</v>
      </c>
      <c r="L152">
        <v>5</v>
      </c>
    </row>
    <row r="153" spans="1:12" x14ac:dyDescent="0.25">
      <c r="A153" t="s">
        <v>5452</v>
      </c>
      <c r="B153" t="s">
        <v>5847</v>
      </c>
      <c r="I153">
        <v>1</v>
      </c>
      <c r="K153">
        <v>60</v>
      </c>
    </row>
    <row r="154" spans="1:12" x14ac:dyDescent="0.25">
      <c r="A154" t="s">
        <v>4614</v>
      </c>
      <c r="B154" t="s">
        <v>5848</v>
      </c>
      <c r="I154">
        <v>2</v>
      </c>
      <c r="K154">
        <v>60</v>
      </c>
      <c r="L154">
        <v>5</v>
      </c>
    </row>
    <row r="155" spans="1:12" x14ac:dyDescent="0.25">
      <c r="A155" t="s">
        <v>4613</v>
      </c>
      <c r="B155" t="s">
        <v>5849</v>
      </c>
      <c r="I155">
        <v>2</v>
      </c>
      <c r="K155">
        <v>60</v>
      </c>
      <c r="L155">
        <v>5</v>
      </c>
    </row>
    <row r="156" spans="1:12" x14ac:dyDescent="0.25">
      <c r="A156" t="s">
        <v>5454</v>
      </c>
      <c r="B156" t="s">
        <v>5850</v>
      </c>
      <c r="I156">
        <v>1</v>
      </c>
      <c r="K156">
        <v>60</v>
      </c>
    </row>
    <row r="157" spans="1:12" x14ac:dyDescent="0.25">
      <c r="A157" t="s">
        <v>5456</v>
      </c>
      <c r="B157" t="s">
        <v>5851</v>
      </c>
      <c r="H157">
        <v>3</v>
      </c>
      <c r="I157">
        <v>0</v>
      </c>
      <c r="K157">
        <v>60</v>
      </c>
    </row>
    <row r="158" spans="1:12" x14ac:dyDescent="0.25">
      <c r="A158" t="s">
        <v>5460</v>
      </c>
      <c r="B158" t="s">
        <v>5852</v>
      </c>
      <c r="J158">
        <v>2</v>
      </c>
      <c r="L158">
        <v>60</v>
      </c>
    </row>
    <row r="159" spans="1:12" x14ac:dyDescent="0.25">
      <c r="A159" t="s">
        <v>4638</v>
      </c>
      <c r="B159" t="s">
        <v>5853</v>
      </c>
      <c r="I159">
        <v>1</v>
      </c>
      <c r="K159">
        <v>60</v>
      </c>
      <c r="L159">
        <v>5</v>
      </c>
    </row>
    <row r="160" spans="1:12" x14ac:dyDescent="0.25">
      <c r="A160" t="s">
        <v>4637</v>
      </c>
      <c r="B160" t="s">
        <v>5854</v>
      </c>
      <c r="E160" t="s">
        <v>5855</v>
      </c>
      <c r="I160">
        <v>1</v>
      </c>
      <c r="K160">
        <v>60</v>
      </c>
      <c r="L160">
        <v>5</v>
      </c>
    </row>
    <row r="161" spans="1:12" x14ac:dyDescent="0.25">
      <c r="A161" t="s">
        <v>5461</v>
      </c>
      <c r="B161" t="s">
        <v>5856</v>
      </c>
      <c r="C161">
        <v>1</v>
      </c>
      <c r="D161" t="s">
        <v>5857</v>
      </c>
      <c r="H161">
        <v>1</v>
      </c>
      <c r="I161">
        <v>1</v>
      </c>
      <c r="K161">
        <v>100</v>
      </c>
    </row>
    <row r="162" spans="1:12" x14ac:dyDescent="0.25">
      <c r="A162" t="s">
        <v>5465</v>
      </c>
      <c r="B162" t="s">
        <v>5858</v>
      </c>
      <c r="I162">
        <v>1</v>
      </c>
      <c r="K162">
        <v>60</v>
      </c>
    </row>
    <row r="163" spans="1:12" x14ac:dyDescent="0.25">
      <c r="A163" t="s">
        <v>5463</v>
      </c>
      <c r="B163" t="s">
        <v>5859</v>
      </c>
      <c r="D163" t="s">
        <v>5764</v>
      </c>
      <c r="I163">
        <v>1</v>
      </c>
      <c r="K163">
        <v>60</v>
      </c>
    </row>
    <row r="164" spans="1:12" x14ac:dyDescent="0.25">
      <c r="A164" t="s">
        <v>4660</v>
      </c>
      <c r="B164" t="s">
        <v>5860</v>
      </c>
      <c r="I164">
        <v>1</v>
      </c>
      <c r="K164">
        <v>60</v>
      </c>
      <c r="L164">
        <v>5</v>
      </c>
    </row>
    <row r="165" spans="1:12" x14ac:dyDescent="0.25">
      <c r="A165" t="s">
        <v>4661</v>
      </c>
      <c r="B165" t="s">
        <v>5861</v>
      </c>
      <c r="E165" t="s">
        <v>5855</v>
      </c>
      <c r="I165">
        <v>1</v>
      </c>
      <c r="K165">
        <v>60</v>
      </c>
      <c r="L165">
        <v>25</v>
      </c>
    </row>
    <row r="166" spans="1:12" x14ac:dyDescent="0.25">
      <c r="A166" t="s">
        <v>4665</v>
      </c>
      <c r="B166" t="s">
        <v>5862</v>
      </c>
      <c r="I166">
        <v>1</v>
      </c>
      <c r="K166">
        <v>60</v>
      </c>
      <c r="L166">
        <v>5</v>
      </c>
    </row>
    <row r="167" spans="1:12" x14ac:dyDescent="0.25">
      <c r="A167" t="s">
        <v>5467</v>
      </c>
      <c r="B167" t="s">
        <v>5863</v>
      </c>
      <c r="E167" t="s">
        <v>5864</v>
      </c>
      <c r="F167">
        <v>1</v>
      </c>
      <c r="I167">
        <v>1</v>
      </c>
      <c r="K167">
        <v>60</v>
      </c>
    </row>
    <row r="168" spans="1:12" x14ac:dyDescent="0.25">
      <c r="A168" t="s">
        <v>4672</v>
      </c>
      <c r="B168" t="s">
        <v>5865</v>
      </c>
      <c r="I168">
        <v>1</v>
      </c>
      <c r="K168">
        <v>60</v>
      </c>
      <c r="L168">
        <v>5</v>
      </c>
    </row>
    <row r="169" spans="1:12" x14ac:dyDescent="0.25">
      <c r="A169" t="s">
        <v>4671</v>
      </c>
      <c r="B169" t="s">
        <v>5866</v>
      </c>
      <c r="I169">
        <v>1</v>
      </c>
      <c r="K169">
        <v>60</v>
      </c>
      <c r="L169">
        <v>5</v>
      </c>
    </row>
    <row r="170" spans="1:12" x14ac:dyDescent="0.25">
      <c r="A170" t="s">
        <v>4677</v>
      </c>
      <c r="B170" t="s">
        <v>5867</v>
      </c>
      <c r="D170" t="s">
        <v>5868</v>
      </c>
      <c r="J170">
        <v>2</v>
      </c>
      <c r="L170">
        <v>5</v>
      </c>
    </row>
    <row r="171" spans="1:12" x14ac:dyDescent="0.25">
      <c r="A171" t="s">
        <v>5468</v>
      </c>
      <c r="B171" t="s">
        <v>5869</v>
      </c>
      <c r="I171">
        <v>1</v>
      </c>
      <c r="K171">
        <v>60</v>
      </c>
    </row>
    <row r="172" spans="1:12" x14ac:dyDescent="0.25">
      <c r="A172" t="s">
        <v>4683</v>
      </c>
      <c r="B172" t="s">
        <v>5870</v>
      </c>
      <c r="D172" t="s">
        <v>5868</v>
      </c>
      <c r="J172">
        <v>2</v>
      </c>
      <c r="L172">
        <v>60</v>
      </c>
    </row>
    <row r="173" spans="1:12" x14ac:dyDescent="0.25">
      <c r="A173" t="s">
        <v>5470</v>
      </c>
      <c r="B173" t="s">
        <v>5871</v>
      </c>
      <c r="I173">
        <v>1</v>
      </c>
      <c r="K173">
        <v>60</v>
      </c>
    </row>
    <row r="174" spans="1:12" x14ac:dyDescent="0.25">
      <c r="A174" t="s">
        <v>3528</v>
      </c>
      <c r="B174" t="s">
        <v>5872</v>
      </c>
      <c r="I174">
        <v>2</v>
      </c>
      <c r="L174">
        <v>5</v>
      </c>
    </row>
    <row r="175" spans="1:12" x14ac:dyDescent="0.25">
      <c r="A175" t="s">
        <v>3527</v>
      </c>
      <c r="B175" t="s">
        <v>5873</v>
      </c>
      <c r="E175" t="s">
        <v>3412</v>
      </c>
      <c r="I175">
        <v>1</v>
      </c>
      <c r="L175">
        <v>5</v>
      </c>
    </row>
    <row r="176" spans="1:12" x14ac:dyDescent="0.25">
      <c r="A176" t="s">
        <v>3545</v>
      </c>
      <c r="B176" t="s">
        <v>5874</v>
      </c>
      <c r="I176">
        <v>2</v>
      </c>
      <c r="K176">
        <v>60</v>
      </c>
      <c r="L176">
        <v>5</v>
      </c>
    </row>
    <row r="177" spans="1:12" x14ac:dyDescent="0.25">
      <c r="A177" t="s">
        <v>3544</v>
      </c>
      <c r="B177" t="s">
        <v>5875</v>
      </c>
      <c r="E177" t="s">
        <v>3412</v>
      </c>
      <c r="H177">
        <v>2</v>
      </c>
      <c r="I177">
        <v>1</v>
      </c>
      <c r="K177">
        <v>60</v>
      </c>
      <c r="L177">
        <v>5</v>
      </c>
    </row>
    <row r="178" spans="1:12" x14ac:dyDescent="0.25">
      <c r="A178" t="s">
        <v>3555</v>
      </c>
      <c r="B178" t="s">
        <v>5876</v>
      </c>
      <c r="I178">
        <v>1</v>
      </c>
      <c r="K178">
        <v>60</v>
      </c>
    </row>
    <row r="179" spans="1:12" x14ac:dyDescent="0.25">
      <c r="A179" t="s">
        <v>3552</v>
      </c>
      <c r="B179" t="s">
        <v>5877</v>
      </c>
      <c r="I179">
        <v>2</v>
      </c>
      <c r="K179">
        <v>60</v>
      </c>
      <c r="L179">
        <v>5</v>
      </c>
    </row>
    <row r="180" spans="1:12" x14ac:dyDescent="0.25">
      <c r="A180" t="s">
        <v>3551</v>
      </c>
      <c r="B180" t="s">
        <v>5878</v>
      </c>
      <c r="E180" t="s">
        <v>3412</v>
      </c>
      <c r="H180">
        <v>2</v>
      </c>
      <c r="I180">
        <v>1</v>
      </c>
      <c r="K180">
        <v>60</v>
      </c>
      <c r="L180">
        <v>5</v>
      </c>
    </row>
    <row r="181" spans="1:12" x14ac:dyDescent="0.25">
      <c r="A181" t="s">
        <v>3553</v>
      </c>
      <c r="B181" t="s">
        <v>5879</v>
      </c>
      <c r="J181">
        <v>2</v>
      </c>
      <c r="L181">
        <v>5</v>
      </c>
    </row>
    <row r="182" spans="1:12" x14ac:dyDescent="0.25">
      <c r="A182" t="s">
        <v>3559</v>
      </c>
      <c r="B182" t="s">
        <v>5880</v>
      </c>
      <c r="I182">
        <v>2</v>
      </c>
      <c r="K182">
        <v>60</v>
      </c>
      <c r="L182">
        <v>5</v>
      </c>
    </row>
    <row r="183" spans="1:12" x14ac:dyDescent="0.25">
      <c r="A183" t="s">
        <v>3558</v>
      </c>
      <c r="B183" t="s">
        <v>5881</v>
      </c>
      <c r="D183" t="s">
        <v>5882</v>
      </c>
      <c r="H183">
        <v>2</v>
      </c>
      <c r="I183">
        <v>1</v>
      </c>
      <c r="K183">
        <v>60</v>
      </c>
      <c r="L183">
        <v>5</v>
      </c>
    </row>
    <row r="184" spans="1:12" x14ac:dyDescent="0.25">
      <c r="A184" t="s">
        <v>3565</v>
      </c>
      <c r="B184" t="s">
        <v>5883</v>
      </c>
      <c r="I184">
        <v>2</v>
      </c>
      <c r="K184">
        <v>60</v>
      </c>
      <c r="L184">
        <v>5</v>
      </c>
    </row>
    <row r="185" spans="1:12" x14ac:dyDescent="0.25">
      <c r="A185" t="s">
        <v>3564</v>
      </c>
      <c r="B185" t="s">
        <v>5884</v>
      </c>
      <c r="D185" t="s">
        <v>5882</v>
      </c>
      <c r="H185">
        <v>2</v>
      </c>
      <c r="I185">
        <v>1</v>
      </c>
      <c r="K185">
        <v>60</v>
      </c>
      <c r="L185">
        <v>5</v>
      </c>
    </row>
    <row r="186" spans="1:12" x14ac:dyDescent="0.25">
      <c r="A186" t="s">
        <v>5325</v>
      </c>
      <c r="B186" t="s">
        <v>5885</v>
      </c>
      <c r="I186">
        <v>2</v>
      </c>
      <c r="K186">
        <v>60</v>
      </c>
      <c r="L186">
        <v>5</v>
      </c>
    </row>
    <row r="187" spans="1:12" x14ac:dyDescent="0.25">
      <c r="A187" t="s">
        <v>3578</v>
      </c>
      <c r="B187" t="s">
        <v>5886</v>
      </c>
      <c r="I187">
        <v>2</v>
      </c>
      <c r="K187">
        <v>60</v>
      </c>
      <c r="L187">
        <v>5</v>
      </c>
    </row>
    <row r="188" spans="1:12" x14ac:dyDescent="0.25">
      <c r="A188" t="s">
        <v>3589</v>
      </c>
      <c r="B188" t="s">
        <v>5887</v>
      </c>
      <c r="I188">
        <v>2</v>
      </c>
      <c r="K188">
        <v>60</v>
      </c>
      <c r="L188">
        <v>5</v>
      </c>
    </row>
    <row r="189" spans="1:12" x14ac:dyDescent="0.25">
      <c r="A189" t="s">
        <v>3605</v>
      </c>
      <c r="B189" t="s">
        <v>5888</v>
      </c>
      <c r="I189">
        <v>2</v>
      </c>
      <c r="K189">
        <v>60</v>
      </c>
      <c r="L189">
        <v>5</v>
      </c>
    </row>
    <row r="190" spans="1:12" x14ac:dyDescent="0.25">
      <c r="A190" t="s">
        <v>3608</v>
      </c>
      <c r="B190" t="s">
        <v>5889</v>
      </c>
      <c r="I190">
        <v>2</v>
      </c>
      <c r="K190">
        <v>60</v>
      </c>
      <c r="L190">
        <v>5</v>
      </c>
    </row>
    <row r="191" spans="1:12" x14ac:dyDescent="0.25">
      <c r="A191" t="s">
        <v>3616</v>
      </c>
      <c r="B191" t="s">
        <v>5890</v>
      </c>
      <c r="I191">
        <v>2</v>
      </c>
      <c r="K191">
        <v>60</v>
      </c>
      <c r="L191">
        <v>5</v>
      </c>
    </row>
    <row r="192" spans="1:12" x14ac:dyDescent="0.25">
      <c r="A192" t="s">
        <v>3615</v>
      </c>
      <c r="B192" t="s">
        <v>5891</v>
      </c>
      <c r="H192">
        <v>2</v>
      </c>
      <c r="I192">
        <v>1</v>
      </c>
      <c r="K192">
        <v>60</v>
      </c>
      <c r="L192">
        <v>5</v>
      </c>
    </row>
    <row r="193" spans="1:12" x14ac:dyDescent="0.25">
      <c r="A193" t="s">
        <v>5334</v>
      </c>
      <c r="B193" t="s">
        <v>5892</v>
      </c>
      <c r="I193">
        <v>2</v>
      </c>
      <c r="K193">
        <v>60</v>
      </c>
      <c r="L193">
        <v>5</v>
      </c>
    </row>
    <row r="194" spans="1:12" x14ac:dyDescent="0.25">
      <c r="A194" t="s">
        <v>3649</v>
      </c>
      <c r="B194" t="s">
        <v>5893</v>
      </c>
      <c r="I194">
        <v>2</v>
      </c>
      <c r="K194">
        <v>60</v>
      </c>
      <c r="L194">
        <v>5</v>
      </c>
    </row>
    <row r="195" spans="1:12" x14ac:dyDescent="0.25">
      <c r="A195" t="s">
        <v>3648</v>
      </c>
      <c r="B195" t="s">
        <v>5894</v>
      </c>
      <c r="I195">
        <v>2</v>
      </c>
      <c r="K195">
        <v>60</v>
      </c>
      <c r="L195">
        <v>5</v>
      </c>
    </row>
    <row r="196" spans="1:12" x14ac:dyDescent="0.25">
      <c r="A196" t="s">
        <v>3655</v>
      </c>
      <c r="B196" t="s">
        <v>5895</v>
      </c>
      <c r="I196">
        <v>2</v>
      </c>
      <c r="K196">
        <v>60</v>
      </c>
      <c r="L196">
        <v>5</v>
      </c>
    </row>
    <row r="197" spans="1:12" x14ac:dyDescent="0.25">
      <c r="A197" t="s">
        <v>3657</v>
      </c>
      <c r="B197" t="s">
        <v>5896</v>
      </c>
      <c r="I197">
        <v>2</v>
      </c>
      <c r="K197">
        <v>60</v>
      </c>
      <c r="L197">
        <v>5</v>
      </c>
    </row>
    <row r="198" spans="1:12" x14ac:dyDescent="0.25">
      <c r="A198" t="s">
        <v>3656</v>
      </c>
      <c r="B198" t="s">
        <v>5897</v>
      </c>
      <c r="I198">
        <v>2</v>
      </c>
      <c r="K198">
        <v>60</v>
      </c>
      <c r="L198">
        <v>5</v>
      </c>
    </row>
    <row r="199" spans="1:12" x14ac:dyDescent="0.25">
      <c r="A199" t="s">
        <v>5336</v>
      </c>
      <c r="B199" t="s">
        <v>5898</v>
      </c>
      <c r="I199">
        <v>2</v>
      </c>
      <c r="K199">
        <v>60</v>
      </c>
      <c r="L199">
        <v>5</v>
      </c>
    </row>
    <row r="200" spans="1:12" x14ac:dyDescent="0.25">
      <c r="A200" t="s">
        <v>3668</v>
      </c>
      <c r="B200" t="s">
        <v>5899</v>
      </c>
      <c r="I200">
        <v>2</v>
      </c>
      <c r="K200">
        <v>60</v>
      </c>
      <c r="L200">
        <v>5</v>
      </c>
    </row>
    <row r="201" spans="1:12" x14ac:dyDescent="0.25">
      <c r="A201" t="s">
        <v>5338</v>
      </c>
      <c r="B201" t="s">
        <v>5900</v>
      </c>
      <c r="I201">
        <v>2</v>
      </c>
      <c r="K201">
        <v>60</v>
      </c>
      <c r="L201">
        <v>5</v>
      </c>
    </row>
    <row r="202" spans="1:12" x14ac:dyDescent="0.25">
      <c r="A202" t="s">
        <v>3627</v>
      </c>
      <c r="B202" t="s">
        <v>5901</v>
      </c>
      <c r="I202">
        <v>2</v>
      </c>
      <c r="K202">
        <v>60</v>
      </c>
      <c r="L202">
        <v>5</v>
      </c>
    </row>
    <row r="203" spans="1:12" x14ac:dyDescent="0.25">
      <c r="A203" t="s">
        <v>3626</v>
      </c>
      <c r="B203" t="s">
        <v>5902</v>
      </c>
      <c r="I203">
        <v>2</v>
      </c>
      <c r="K203">
        <v>60</v>
      </c>
      <c r="L203">
        <v>0.2</v>
      </c>
    </row>
    <row r="204" spans="1:12" x14ac:dyDescent="0.25">
      <c r="A204" t="s">
        <v>3636</v>
      </c>
      <c r="B204" t="s">
        <v>5903</v>
      </c>
      <c r="I204">
        <v>2</v>
      </c>
      <c r="K204">
        <v>60</v>
      </c>
      <c r="L204">
        <v>5</v>
      </c>
    </row>
    <row r="205" spans="1:12" x14ac:dyDescent="0.25">
      <c r="A205" t="s">
        <v>3635</v>
      </c>
      <c r="B205" t="s">
        <v>5904</v>
      </c>
      <c r="I205">
        <v>2</v>
      </c>
      <c r="K205">
        <v>60</v>
      </c>
      <c r="L205">
        <v>0.2</v>
      </c>
    </row>
    <row r="206" spans="1:12" x14ac:dyDescent="0.25">
      <c r="A206" t="s">
        <v>3681</v>
      </c>
      <c r="B206" t="s">
        <v>5905</v>
      </c>
      <c r="I206">
        <v>2</v>
      </c>
      <c r="K206">
        <v>60</v>
      </c>
      <c r="L206">
        <v>5</v>
      </c>
    </row>
    <row r="207" spans="1:12" x14ac:dyDescent="0.25">
      <c r="A207" t="s">
        <v>3680</v>
      </c>
      <c r="B207" t="s">
        <v>5906</v>
      </c>
      <c r="I207">
        <v>2</v>
      </c>
      <c r="K207">
        <v>60</v>
      </c>
      <c r="L207">
        <v>0.2</v>
      </c>
    </row>
    <row r="208" spans="1:12" x14ac:dyDescent="0.25">
      <c r="A208" t="s">
        <v>5340</v>
      </c>
      <c r="B208" t="s">
        <v>5907</v>
      </c>
      <c r="I208">
        <v>2</v>
      </c>
      <c r="K208">
        <v>60</v>
      </c>
      <c r="L208">
        <v>5</v>
      </c>
    </row>
    <row r="209" spans="1:12" x14ac:dyDescent="0.25">
      <c r="A209" t="s">
        <v>5342</v>
      </c>
      <c r="B209" t="s">
        <v>5908</v>
      </c>
      <c r="I209">
        <v>2</v>
      </c>
      <c r="K209">
        <v>60</v>
      </c>
      <c r="L209">
        <v>5</v>
      </c>
    </row>
    <row r="210" spans="1:12" x14ac:dyDescent="0.25">
      <c r="A210" t="s">
        <v>3728</v>
      </c>
      <c r="B210" t="s">
        <v>5909</v>
      </c>
      <c r="I210">
        <v>2</v>
      </c>
      <c r="K210">
        <v>60</v>
      </c>
      <c r="L210">
        <v>5</v>
      </c>
    </row>
    <row r="211" spans="1:12" x14ac:dyDescent="0.25">
      <c r="A211" s="20" t="s">
        <v>6205</v>
      </c>
      <c r="B211" t="s">
        <v>5910</v>
      </c>
      <c r="D211" t="s">
        <v>5868</v>
      </c>
      <c r="I211">
        <v>2</v>
      </c>
      <c r="K211">
        <v>60</v>
      </c>
      <c r="L211">
        <v>5</v>
      </c>
    </row>
    <row r="212" spans="1:12" x14ac:dyDescent="0.25">
      <c r="A212" t="s">
        <v>3751</v>
      </c>
      <c r="B212" t="s">
        <v>5911</v>
      </c>
      <c r="I212">
        <v>2</v>
      </c>
      <c r="K212">
        <v>60</v>
      </c>
      <c r="L212">
        <v>5</v>
      </c>
    </row>
    <row r="213" spans="1:12" x14ac:dyDescent="0.25">
      <c r="A213" t="s">
        <v>3753</v>
      </c>
      <c r="B213" t="s">
        <v>5912</v>
      </c>
      <c r="D213" t="s">
        <v>5913</v>
      </c>
      <c r="I213">
        <v>2</v>
      </c>
      <c r="K213">
        <v>60</v>
      </c>
      <c r="L213">
        <v>5</v>
      </c>
    </row>
    <row r="214" spans="1:12" x14ac:dyDescent="0.25">
      <c r="A214" t="s">
        <v>3756</v>
      </c>
      <c r="B214" t="s">
        <v>5914</v>
      </c>
      <c r="H214">
        <v>2</v>
      </c>
      <c r="I214">
        <v>2</v>
      </c>
      <c r="K214">
        <v>60</v>
      </c>
      <c r="L214">
        <v>5</v>
      </c>
    </row>
    <row r="215" spans="1:12" x14ac:dyDescent="0.25">
      <c r="A215" t="s">
        <v>3764</v>
      </c>
      <c r="B215" t="s">
        <v>5915</v>
      </c>
      <c r="I215">
        <v>2</v>
      </c>
      <c r="K215">
        <v>60</v>
      </c>
      <c r="L215">
        <v>5</v>
      </c>
    </row>
    <row r="216" spans="1:12" x14ac:dyDescent="0.25">
      <c r="A216" t="s">
        <v>3763</v>
      </c>
      <c r="B216" t="s">
        <v>5916</v>
      </c>
      <c r="I216">
        <v>2</v>
      </c>
      <c r="K216">
        <v>60</v>
      </c>
      <c r="L216">
        <v>5</v>
      </c>
    </row>
    <row r="217" spans="1:12" x14ac:dyDescent="0.25">
      <c r="A217" t="s">
        <v>5352</v>
      </c>
      <c r="B217" t="s">
        <v>5917</v>
      </c>
      <c r="I217">
        <v>2</v>
      </c>
      <c r="K217">
        <v>60</v>
      </c>
      <c r="L217">
        <v>5</v>
      </c>
    </row>
    <row r="218" spans="1:12" x14ac:dyDescent="0.25">
      <c r="A218" t="s">
        <v>3790</v>
      </c>
      <c r="B218" t="s">
        <v>5918</v>
      </c>
      <c r="I218">
        <v>2</v>
      </c>
      <c r="K218">
        <v>60</v>
      </c>
      <c r="L218">
        <v>5</v>
      </c>
    </row>
    <row r="219" spans="1:12" x14ac:dyDescent="0.25">
      <c r="A219" t="s">
        <v>3799</v>
      </c>
      <c r="B219" t="s">
        <v>5919</v>
      </c>
      <c r="I219">
        <v>2</v>
      </c>
      <c r="K219">
        <v>60</v>
      </c>
      <c r="L219">
        <v>5</v>
      </c>
    </row>
    <row r="220" spans="1:12" x14ac:dyDescent="0.25">
      <c r="A220" t="s">
        <v>3804</v>
      </c>
      <c r="B220" t="s">
        <v>5920</v>
      </c>
      <c r="I220">
        <v>2</v>
      </c>
      <c r="K220">
        <v>60</v>
      </c>
      <c r="L220">
        <v>5</v>
      </c>
    </row>
    <row r="221" spans="1:12" x14ac:dyDescent="0.25">
      <c r="A221" t="s">
        <v>3803</v>
      </c>
      <c r="B221" t="s">
        <v>5921</v>
      </c>
      <c r="I221">
        <v>2</v>
      </c>
      <c r="K221">
        <v>60</v>
      </c>
      <c r="L221">
        <v>5</v>
      </c>
    </row>
    <row r="222" spans="1:12" x14ac:dyDescent="0.25">
      <c r="A222" t="s">
        <v>3822</v>
      </c>
      <c r="B222" t="s">
        <v>5922</v>
      </c>
      <c r="J222">
        <v>2</v>
      </c>
      <c r="L222">
        <v>60</v>
      </c>
    </row>
    <row r="223" spans="1:12" x14ac:dyDescent="0.25">
      <c r="A223" t="s">
        <v>3825</v>
      </c>
      <c r="B223" t="s">
        <v>5923</v>
      </c>
      <c r="I223">
        <v>2</v>
      </c>
      <c r="K223">
        <v>60</v>
      </c>
      <c r="L223">
        <v>5</v>
      </c>
    </row>
    <row r="224" spans="1:12" x14ac:dyDescent="0.25">
      <c r="A224" t="s">
        <v>3832</v>
      </c>
      <c r="B224" t="s">
        <v>5924</v>
      </c>
      <c r="J224">
        <v>2</v>
      </c>
      <c r="L224">
        <v>30</v>
      </c>
    </row>
    <row r="225" spans="1:12" x14ac:dyDescent="0.25">
      <c r="A225" t="s">
        <v>3844</v>
      </c>
      <c r="B225" t="s">
        <v>5925</v>
      </c>
      <c r="I225">
        <v>2</v>
      </c>
      <c r="K225">
        <v>60</v>
      </c>
      <c r="L225">
        <v>40</v>
      </c>
    </row>
    <row r="226" spans="1:12" x14ac:dyDescent="0.25">
      <c r="A226" t="s">
        <v>3847</v>
      </c>
      <c r="B226" t="s">
        <v>5926</v>
      </c>
      <c r="I226">
        <v>2</v>
      </c>
      <c r="K226">
        <v>60</v>
      </c>
      <c r="L226">
        <v>5</v>
      </c>
    </row>
    <row r="227" spans="1:12" x14ac:dyDescent="0.25">
      <c r="A227" t="s">
        <v>3846</v>
      </c>
      <c r="B227" t="s">
        <v>5927</v>
      </c>
      <c r="I227">
        <v>2</v>
      </c>
      <c r="K227">
        <v>60</v>
      </c>
      <c r="L227">
        <v>0.2</v>
      </c>
    </row>
    <row r="228" spans="1:12" x14ac:dyDescent="0.25">
      <c r="A228" t="s">
        <v>5365</v>
      </c>
      <c r="B228" t="s">
        <v>5928</v>
      </c>
      <c r="E228" t="s">
        <v>3485</v>
      </c>
      <c r="F228">
        <v>1</v>
      </c>
      <c r="H228">
        <v>2</v>
      </c>
      <c r="I228">
        <v>1</v>
      </c>
    </row>
    <row r="229" spans="1:12" x14ac:dyDescent="0.25">
      <c r="A229" t="s">
        <v>3856</v>
      </c>
      <c r="B229" t="s">
        <v>5929</v>
      </c>
      <c r="I229">
        <v>2</v>
      </c>
      <c r="K229">
        <v>60</v>
      </c>
      <c r="L229">
        <v>5</v>
      </c>
    </row>
    <row r="230" spans="1:12" x14ac:dyDescent="0.25">
      <c r="A230" t="s">
        <v>3855</v>
      </c>
      <c r="B230" t="s">
        <v>5930</v>
      </c>
      <c r="I230">
        <v>2</v>
      </c>
      <c r="K230">
        <v>60</v>
      </c>
      <c r="L230">
        <v>5</v>
      </c>
    </row>
    <row r="231" spans="1:12" x14ac:dyDescent="0.25">
      <c r="A231" t="s">
        <v>3860</v>
      </c>
      <c r="B231" t="s">
        <v>5931</v>
      </c>
      <c r="I231">
        <v>2</v>
      </c>
      <c r="K231">
        <v>60</v>
      </c>
      <c r="L231">
        <v>5</v>
      </c>
    </row>
    <row r="232" spans="1:12" x14ac:dyDescent="0.25">
      <c r="A232" t="s">
        <v>3870</v>
      </c>
      <c r="B232" t="s">
        <v>5932</v>
      </c>
      <c r="I232">
        <v>2</v>
      </c>
      <c r="K232">
        <v>60</v>
      </c>
      <c r="L232">
        <v>5</v>
      </c>
    </row>
    <row r="233" spans="1:12" x14ac:dyDescent="0.25">
      <c r="A233" t="s">
        <v>3869</v>
      </c>
      <c r="B233" t="s">
        <v>5933</v>
      </c>
      <c r="I233">
        <v>2</v>
      </c>
      <c r="K233">
        <v>60</v>
      </c>
      <c r="L233">
        <v>5</v>
      </c>
    </row>
    <row r="234" spans="1:12" x14ac:dyDescent="0.25">
      <c r="A234" t="s">
        <v>5370</v>
      </c>
      <c r="B234" t="s">
        <v>5934</v>
      </c>
      <c r="I234">
        <v>2</v>
      </c>
      <c r="K234">
        <v>60</v>
      </c>
      <c r="L234">
        <v>40</v>
      </c>
    </row>
    <row r="235" spans="1:12" x14ac:dyDescent="0.25">
      <c r="A235" t="s">
        <v>3877</v>
      </c>
      <c r="B235" t="s">
        <v>5935</v>
      </c>
      <c r="I235">
        <v>2</v>
      </c>
      <c r="K235">
        <v>60</v>
      </c>
      <c r="L235">
        <v>5</v>
      </c>
    </row>
    <row r="236" spans="1:12" x14ac:dyDescent="0.25">
      <c r="A236" t="s">
        <v>3876</v>
      </c>
      <c r="B236" t="s">
        <v>5936</v>
      </c>
      <c r="I236">
        <v>2</v>
      </c>
      <c r="K236">
        <v>60</v>
      </c>
      <c r="L236">
        <v>5</v>
      </c>
    </row>
    <row r="237" spans="1:12" x14ac:dyDescent="0.25">
      <c r="A237" t="s">
        <v>3882</v>
      </c>
      <c r="B237" t="s">
        <v>5937</v>
      </c>
      <c r="I237">
        <v>2</v>
      </c>
      <c r="K237">
        <v>60</v>
      </c>
      <c r="L237">
        <v>5</v>
      </c>
    </row>
    <row r="238" spans="1:12" x14ac:dyDescent="0.25">
      <c r="A238" t="s">
        <v>3881</v>
      </c>
      <c r="B238" t="s">
        <v>5938</v>
      </c>
      <c r="I238">
        <v>2</v>
      </c>
      <c r="K238">
        <v>60</v>
      </c>
      <c r="L238">
        <v>5</v>
      </c>
    </row>
    <row r="239" spans="1:12" x14ac:dyDescent="0.25">
      <c r="A239" t="s">
        <v>3884</v>
      </c>
      <c r="B239" t="s">
        <v>5939</v>
      </c>
      <c r="I239">
        <v>2</v>
      </c>
      <c r="K239">
        <v>60</v>
      </c>
      <c r="L239">
        <v>5</v>
      </c>
    </row>
    <row r="240" spans="1:12" x14ac:dyDescent="0.25">
      <c r="A240" t="s">
        <v>3883</v>
      </c>
      <c r="B240" t="s">
        <v>5940</v>
      </c>
      <c r="I240">
        <v>2</v>
      </c>
      <c r="K240">
        <v>60</v>
      </c>
      <c r="L240">
        <v>5</v>
      </c>
    </row>
    <row r="241" spans="1:12" x14ac:dyDescent="0.25">
      <c r="A241" t="s">
        <v>5372</v>
      </c>
      <c r="B241" t="s">
        <v>5941</v>
      </c>
      <c r="I241">
        <v>2</v>
      </c>
      <c r="K241">
        <v>60</v>
      </c>
      <c r="L241">
        <v>40</v>
      </c>
    </row>
    <row r="242" spans="1:12" x14ac:dyDescent="0.25">
      <c r="A242" t="s">
        <v>5374</v>
      </c>
      <c r="B242" t="s">
        <v>5942</v>
      </c>
      <c r="E242" t="s">
        <v>5943</v>
      </c>
      <c r="F242">
        <v>1</v>
      </c>
      <c r="H242">
        <v>2</v>
      </c>
      <c r="I242">
        <v>1</v>
      </c>
    </row>
    <row r="243" spans="1:12" x14ac:dyDescent="0.25">
      <c r="A243" t="s">
        <v>5376</v>
      </c>
      <c r="B243" t="s">
        <v>5944</v>
      </c>
      <c r="E243" t="s">
        <v>5855</v>
      </c>
      <c r="F243">
        <v>1</v>
      </c>
      <c r="H243">
        <v>2</v>
      </c>
      <c r="I243">
        <v>1</v>
      </c>
    </row>
    <row r="244" spans="1:12" x14ac:dyDescent="0.25">
      <c r="A244" t="s">
        <v>3894</v>
      </c>
      <c r="B244" t="s">
        <v>5945</v>
      </c>
      <c r="I244">
        <v>2</v>
      </c>
      <c r="K244">
        <v>60</v>
      </c>
      <c r="L244">
        <v>40</v>
      </c>
    </row>
    <row r="245" spans="1:12" x14ac:dyDescent="0.25">
      <c r="A245" t="s">
        <v>3897</v>
      </c>
      <c r="B245" t="s">
        <v>5946</v>
      </c>
      <c r="I245">
        <v>2</v>
      </c>
      <c r="K245">
        <v>60</v>
      </c>
      <c r="L245">
        <v>5</v>
      </c>
    </row>
    <row r="246" spans="1:12" x14ac:dyDescent="0.25">
      <c r="A246" t="s">
        <v>3896</v>
      </c>
      <c r="B246" t="s">
        <v>5947</v>
      </c>
      <c r="D246" t="s">
        <v>5868</v>
      </c>
      <c r="I246">
        <v>2</v>
      </c>
      <c r="K246">
        <v>60</v>
      </c>
      <c r="L246">
        <v>0.2</v>
      </c>
    </row>
    <row r="247" spans="1:12" x14ac:dyDescent="0.25">
      <c r="A247" t="s">
        <v>3901</v>
      </c>
      <c r="B247" t="s">
        <v>5948</v>
      </c>
      <c r="I247">
        <v>2</v>
      </c>
      <c r="K247">
        <v>60</v>
      </c>
      <c r="L247">
        <v>5</v>
      </c>
    </row>
    <row r="248" spans="1:12" x14ac:dyDescent="0.25">
      <c r="A248" t="s">
        <v>3900</v>
      </c>
      <c r="B248" t="s">
        <v>5949</v>
      </c>
      <c r="I248">
        <v>2</v>
      </c>
      <c r="K248">
        <v>60</v>
      </c>
      <c r="L248">
        <v>5</v>
      </c>
    </row>
    <row r="249" spans="1:12" x14ac:dyDescent="0.25">
      <c r="A249" t="s">
        <v>5379</v>
      </c>
      <c r="B249" t="s">
        <v>5950</v>
      </c>
      <c r="E249" t="s">
        <v>5951</v>
      </c>
      <c r="F249">
        <v>1</v>
      </c>
      <c r="H249">
        <v>2</v>
      </c>
      <c r="I249">
        <v>1</v>
      </c>
    </row>
    <row r="250" spans="1:12" x14ac:dyDescent="0.25">
      <c r="A250" t="s">
        <v>5380</v>
      </c>
      <c r="B250" t="s">
        <v>5952</v>
      </c>
      <c r="I250">
        <v>2</v>
      </c>
      <c r="K250">
        <v>60</v>
      </c>
      <c r="L250">
        <v>40</v>
      </c>
    </row>
    <row r="251" spans="1:12" x14ac:dyDescent="0.25">
      <c r="A251" t="s">
        <v>3918</v>
      </c>
      <c r="B251" t="s">
        <v>5953</v>
      </c>
      <c r="E251" t="s">
        <v>3412</v>
      </c>
      <c r="I251">
        <v>2</v>
      </c>
      <c r="K251">
        <v>60</v>
      </c>
      <c r="L251">
        <v>5</v>
      </c>
    </row>
    <row r="252" spans="1:12" x14ac:dyDescent="0.25">
      <c r="A252" t="s">
        <v>3931</v>
      </c>
      <c r="B252" t="s">
        <v>5954</v>
      </c>
      <c r="I252">
        <v>2</v>
      </c>
      <c r="K252">
        <v>60</v>
      </c>
      <c r="L252">
        <v>5</v>
      </c>
    </row>
    <row r="253" spans="1:12" x14ac:dyDescent="0.25">
      <c r="A253" t="s">
        <v>5369</v>
      </c>
      <c r="B253" t="s">
        <v>5955</v>
      </c>
      <c r="E253" t="s">
        <v>5956</v>
      </c>
      <c r="F253">
        <v>1</v>
      </c>
      <c r="H253">
        <v>2</v>
      </c>
      <c r="I253">
        <v>1</v>
      </c>
    </row>
    <row r="254" spans="1:12" x14ac:dyDescent="0.25">
      <c r="A254" t="s">
        <v>3940</v>
      </c>
      <c r="B254" t="s">
        <v>5957</v>
      </c>
      <c r="I254">
        <v>2</v>
      </c>
      <c r="K254">
        <v>60</v>
      </c>
      <c r="L254">
        <v>5</v>
      </c>
    </row>
    <row r="255" spans="1:12" x14ac:dyDescent="0.25">
      <c r="A255" t="s">
        <v>3939</v>
      </c>
      <c r="B255" t="s">
        <v>5958</v>
      </c>
      <c r="I255">
        <v>2</v>
      </c>
      <c r="K255">
        <v>60</v>
      </c>
      <c r="L255">
        <v>5</v>
      </c>
    </row>
    <row r="256" spans="1:12" x14ac:dyDescent="0.25">
      <c r="A256" t="s">
        <v>3944</v>
      </c>
      <c r="B256" t="s">
        <v>5959</v>
      </c>
      <c r="I256">
        <v>2</v>
      </c>
      <c r="K256">
        <v>60</v>
      </c>
      <c r="L256">
        <v>5</v>
      </c>
    </row>
    <row r="257" spans="1:12" x14ac:dyDescent="0.25">
      <c r="A257" t="s">
        <v>3951</v>
      </c>
      <c r="B257" t="s">
        <v>5960</v>
      </c>
      <c r="I257">
        <v>2</v>
      </c>
      <c r="K257">
        <v>60</v>
      </c>
      <c r="L257">
        <v>5</v>
      </c>
    </row>
    <row r="258" spans="1:12" x14ac:dyDescent="0.25">
      <c r="A258" t="s">
        <v>3950</v>
      </c>
      <c r="B258" t="s">
        <v>5961</v>
      </c>
      <c r="I258">
        <v>2</v>
      </c>
      <c r="K258">
        <v>60</v>
      </c>
      <c r="L258">
        <v>5</v>
      </c>
    </row>
    <row r="259" spans="1:12" x14ac:dyDescent="0.25">
      <c r="A259" t="s">
        <v>3959</v>
      </c>
      <c r="B259" t="s">
        <v>5962</v>
      </c>
      <c r="I259">
        <v>2</v>
      </c>
      <c r="K259">
        <v>60</v>
      </c>
      <c r="L259">
        <v>5</v>
      </c>
    </row>
    <row r="260" spans="1:12" x14ac:dyDescent="0.25">
      <c r="A260" t="s">
        <v>3958</v>
      </c>
      <c r="B260" t="s">
        <v>5963</v>
      </c>
      <c r="I260">
        <v>2</v>
      </c>
      <c r="K260">
        <v>60</v>
      </c>
      <c r="L260">
        <v>5</v>
      </c>
    </row>
    <row r="261" spans="1:12" x14ac:dyDescent="0.25">
      <c r="A261" t="s">
        <v>3964</v>
      </c>
      <c r="B261" t="s">
        <v>5964</v>
      </c>
      <c r="I261">
        <v>2</v>
      </c>
      <c r="K261">
        <v>60</v>
      </c>
      <c r="L261">
        <v>5</v>
      </c>
    </row>
    <row r="262" spans="1:12" x14ac:dyDescent="0.25">
      <c r="A262" t="s">
        <v>3963</v>
      </c>
      <c r="B262" t="s">
        <v>5965</v>
      </c>
      <c r="I262">
        <v>2</v>
      </c>
      <c r="K262">
        <v>60</v>
      </c>
      <c r="L262">
        <v>5</v>
      </c>
    </row>
    <row r="263" spans="1:12" x14ac:dyDescent="0.25">
      <c r="A263" t="s">
        <v>3979</v>
      </c>
      <c r="B263" t="s">
        <v>5966</v>
      </c>
      <c r="I263">
        <v>2</v>
      </c>
      <c r="K263">
        <v>60</v>
      </c>
      <c r="L263">
        <v>5</v>
      </c>
    </row>
    <row r="264" spans="1:12" x14ac:dyDescent="0.25">
      <c r="A264" t="s">
        <v>3980</v>
      </c>
      <c r="B264" t="s">
        <v>5967</v>
      </c>
      <c r="I264">
        <v>2</v>
      </c>
      <c r="K264">
        <v>60</v>
      </c>
      <c r="L264">
        <v>5</v>
      </c>
    </row>
    <row r="265" spans="1:12" x14ac:dyDescent="0.25">
      <c r="A265" t="s">
        <v>3992</v>
      </c>
      <c r="B265" t="s">
        <v>5968</v>
      </c>
      <c r="I265">
        <v>2</v>
      </c>
      <c r="K265">
        <v>60</v>
      </c>
      <c r="L265">
        <v>5</v>
      </c>
    </row>
    <row r="266" spans="1:12" x14ac:dyDescent="0.25">
      <c r="A266" t="s">
        <v>3991</v>
      </c>
      <c r="B266" t="s">
        <v>5969</v>
      </c>
      <c r="I266">
        <v>2</v>
      </c>
      <c r="K266">
        <v>60</v>
      </c>
      <c r="L266">
        <v>0.5</v>
      </c>
    </row>
    <row r="267" spans="1:12" x14ac:dyDescent="0.25">
      <c r="A267" t="s">
        <v>3994</v>
      </c>
      <c r="B267" t="s">
        <v>5970</v>
      </c>
      <c r="I267">
        <v>2</v>
      </c>
      <c r="K267">
        <v>60</v>
      </c>
      <c r="L267">
        <v>30</v>
      </c>
    </row>
    <row r="268" spans="1:12" x14ac:dyDescent="0.25">
      <c r="A268" t="s">
        <v>3993</v>
      </c>
      <c r="B268" t="s">
        <v>5971</v>
      </c>
      <c r="I268">
        <v>2</v>
      </c>
      <c r="K268">
        <v>60</v>
      </c>
      <c r="L268">
        <v>5</v>
      </c>
    </row>
    <row r="269" spans="1:12" x14ac:dyDescent="0.25">
      <c r="A269" t="s">
        <v>3999</v>
      </c>
      <c r="B269" t="s">
        <v>5972</v>
      </c>
      <c r="I269">
        <v>2</v>
      </c>
      <c r="K269">
        <v>60</v>
      </c>
      <c r="L269">
        <v>5</v>
      </c>
    </row>
    <row r="270" spans="1:12" x14ac:dyDescent="0.25">
      <c r="A270" t="s">
        <v>4009</v>
      </c>
      <c r="B270" t="s">
        <v>5973</v>
      </c>
      <c r="D270" t="s">
        <v>5764</v>
      </c>
      <c r="I270">
        <v>2</v>
      </c>
      <c r="K270">
        <v>60</v>
      </c>
      <c r="L270">
        <v>5</v>
      </c>
    </row>
    <row r="271" spans="1:12" x14ac:dyDescent="0.25">
      <c r="A271" t="s">
        <v>4010</v>
      </c>
      <c r="B271" t="s">
        <v>5974</v>
      </c>
      <c r="I271">
        <v>2</v>
      </c>
      <c r="K271">
        <v>60</v>
      </c>
      <c r="L271">
        <v>5</v>
      </c>
    </row>
    <row r="272" spans="1:12" x14ac:dyDescent="0.25">
      <c r="A272" t="s">
        <v>4011</v>
      </c>
      <c r="B272" t="s">
        <v>5975</v>
      </c>
      <c r="I272">
        <v>2</v>
      </c>
      <c r="K272">
        <v>90</v>
      </c>
      <c r="L272">
        <v>1.5</v>
      </c>
    </row>
    <row r="273" spans="1:12" x14ac:dyDescent="0.25">
      <c r="A273" t="s">
        <v>4015</v>
      </c>
      <c r="B273" t="s">
        <v>5976</v>
      </c>
      <c r="I273">
        <v>2</v>
      </c>
      <c r="K273">
        <v>60</v>
      </c>
      <c r="L273">
        <v>5</v>
      </c>
    </row>
    <row r="274" spans="1:12" x14ac:dyDescent="0.25">
      <c r="A274" t="s">
        <v>4014</v>
      </c>
      <c r="B274" t="s">
        <v>5977</v>
      </c>
      <c r="I274">
        <v>2</v>
      </c>
      <c r="K274">
        <v>60</v>
      </c>
      <c r="L274">
        <v>5</v>
      </c>
    </row>
    <row r="275" spans="1:12" x14ac:dyDescent="0.25">
      <c r="A275" t="s">
        <v>4028</v>
      </c>
      <c r="B275" t="s">
        <v>5978</v>
      </c>
      <c r="I275">
        <v>2</v>
      </c>
      <c r="K275">
        <v>60</v>
      </c>
      <c r="L275">
        <v>2</v>
      </c>
    </row>
    <row r="276" spans="1:12" x14ac:dyDescent="0.25">
      <c r="A276" t="s">
        <v>4033</v>
      </c>
      <c r="B276" t="s">
        <v>5979</v>
      </c>
      <c r="I276">
        <v>2</v>
      </c>
      <c r="K276">
        <v>60</v>
      </c>
      <c r="L276">
        <v>5</v>
      </c>
    </row>
    <row r="277" spans="1:12" x14ac:dyDescent="0.25">
      <c r="A277" t="s">
        <v>4041</v>
      </c>
      <c r="B277" t="s">
        <v>5980</v>
      </c>
      <c r="I277">
        <v>2</v>
      </c>
      <c r="K277">
        <v>60</v>
      </c>
      <c r="L277">
        <v>5</v>
      </c>
    </row>
    <row r="278" spans="1:12" x14ac:dyDescent="0.25">
      <c r="A278" t="s">
        <v>4042</v>
      </c>
      <c r="B278" t="s">
        <v>5981</v>
      </c>
      <c r="I278">
        <v>2</v>
      </c>
      <c r="K278">
        <v>60</v>
      </c>
      <c r="L278">
        <v>5</v>
      </c>
    </row>
    <row r="279" spans="1:12" x14ac:dyDescent="0.25">
      <c r="A279" t="s">
        <v>5383</v>
      </c>
      <c r="B279" t="s">
        <v>5982</v>
      </c>
      <c r="I279">
        <v>2</v>
      </c>
      <c r="K279">
        <v>60</v>
      </c>
      <c r="L279">
        <v>40</v>
      </c>
    </row>
    <row r="280" spans="1:12" x14ac:dyDescent="0.25">
      <c r="A280" t="s">
        <v>4064</v>
      </c>
      <c r="B280" t="s">
        <v>5983</v>
      </c>
      <c r="I280">
        <v>2</v>
      </c>
      <c r="K280">
        <v>60</v>
      </c>
      <c r="L280">
        <v>5</v>
      </c>
    </row>
    <row r="281" spans="1:12" x14ac:dyDescent="0.25">
      <c r="A281" t="s">
        <v>4063</v>
      </c>
      <c r="B281" t="s">
        <v>5984</v>
      </c>
      <c r="I281">
        <v>2</v>
      </c>
      <c r="K281">
        <v>60</v>
      </c>
      <c r="L281">
        <v>5</v>
      </c>
    </row>
    <row r="282" spans="1:12" x14ac:dyDescent="0.25">
      <c r="A282" t="s">
        <v>4076</v>
      </c>
      <c r="B282" t="s">
        <v>5985</v>
      </c>
      <c r="I282">
        <v>2</v>
      </c>
      <c r="K282">
        <v>60</v>
      </c>
      <c r="L282">
        <v>5</v>
      </c>
    </row>
    <row r="283" spans="1:12" x14ac:dyDescent="0.25">
      <c r="A283" t="s">
        <v>4075</v>
      </c>
      <c r="B283" t="s">
        <v>5986</v>
      </c>
      <c r="I283">
        <v>2</v>
      </c>
      <c r="K283">
        <v>60</v>
      </c>
      <c r="L283">
        <v>5</v>
      </c>
    </row>
    <row r="284" spans="1:12" x14ac:dyDescent="0.25">
      <c r="A284" t="s">
        <v>5385</v>
      </c>
      <c r="B284" t="s">
        <v>5987</v>
      </c>
      <c r="D284" t="s">
        <v>5868</v>
      </c>
      <c r="I284">
        <v>2</v>
      </c>
      <c r="K284">
        <v>60</v>
      </c>
      <c r="L284">
        <v>40</v>
      </c>
    </row>
    <row r="285" spans="1:12" x14ac:dyDescent="0.25">
      <c r="A285" t="s">
        <v>4085</v>
      </c>
      <c r="B285" t="s">
        <v>5988</v>
      </c>
      <c r="I285">
        <v>2</v>
      </c>
      <c r="K285">
        <v>60</v>
      </c>
      <c r="L285">
        <v>5</v>
      </c>
    </row>
    <row r="286" spans="1:12" x14ac:dyDescent="0.25">
      <c r="A286" t="s">
        <v>4084</v>
      </c>
      <c r="B286" t="s">
        <v>5989</v>
      </c>
      <c r="I286">
        <v>2</v>
      </c>
      <c r="K286">
        <v>60</v>
      </c>
      <c r="L286">
        <v>5</v>
      </c>
    </row>
    <row r="287" spans="1:12" x14ac:dyDescent="0.25">
      <c r="A287" t="s">
        <v>5388</v>
      </c>
      <c r="B287" t="s">
        <v>5990</v>
      </c>
      <c r="E287" t="s">
        <v>5991</v>
      </c>
      <c r="I287">
        <v>2</v>
      </c>
      <c r="K287">
        <v>60</v>
      </c>
      <c r="L287">
        <v>40</v>
      </c>
    </row>
    <row r="288" spans="1:12" x14ac:dyDescent="0.25">
      <c r="A288" t="s">
        <v>4095</v>
      </c>
      <c r="B288" t="s">
        <v>5992</v>
      </c>
      <c r="I288">
        <v>0</v>
      </c>
      <c r="K288">
        <v>60</v>
      </c>
      <c r="L288">
        <v>5</v>
      </c>
    </row>
    <row r="289" spans="1:12" x14ac:dyDescent="0.25">
      <c r="A289" t="s">
        <v>4097</v>
      </c>
      <c r="B289" t="s">
        <v>5993</v>
      </c>
      <c r="I289">
        <v>2</v>
      </c>
      <c r="K289">
        <v>60</v>
      </c>
      <c r="L289">
        <v>5</v>
      </c>
    </row>
    <row r="290" spans="1:12" x14ac:dyDescent="0.25">
      <c r="A290" t="s">
        <v>4113</v>
      </c>
      <c r="B290" t="s">
        <v>5994</v>
      </c>
      <c r="I290">
        <v>2</v>
      </c>
      <c r="K290">
        <v>60</v>
      </c>
      <c r="L290">
        <v>40</v>
      </c>
    </row>
    <row r="291" spans="1:12" x14ac:dyDescent="0.25">
      <c r="A291" t="s">
        <v>4111</v>
      </c>
      <c r="B291" t="s">
        <v>5995</v>
      </c>
      <c r="I291">
        <v>2</v>
      </c>
      <c r="K291">
        <v>60</v>
      </c>
      <c r="L291">
        <v>5</v>
      </c>
    </row>
    <row r="292" spans="1:12" x14ac:dyDescent="0.25">
      <c r="A292" t="s">
        <v>4112</v>
      </c>
      <c r="B292" t="s">
        <v>5996</v>
      </c>
      <c r="I292">
        <v>2</v>
      </c>
      <c r="K292">
        <v>60</v>
      </c>
      <c r="L292">
        <v>5</v>
      </c>
    </row>
    <row r="293" spans="1:12" x14ac:dyDescent="0.25">
      <c r="A293" t="s">
        <v>4118</v>
      </c>
      <c r="B293" t="s">
        <v>5997</v>
      </c>
      <c r="I293">
        <v>2</v>
      </c>
      <c r="K293">
        <v>60</v>
      </c>
      <c r="L293">
        <v>5</v>
      </c>
    </row>
    <row r="294" spans="1:12" x14ac:dyDescent="0.25">
      <c r="A294" t="s">
        <v>4117</v>
      </c>
      <c r="B294" t="s">
        <v>5998</v>
      </c>
      <c r="I294">
        <v>2</v>
      </c>
      <c r="K294">
        <v>60</v>
      </c>
      <c r="L294">
        <v>5</v>
      </c>
    </row>
    <row r="295" spans="1:12" x14ac:dyDescent="0.25">
      <c r="A295" t="s">
        <v>5395</v>
      </c>
      <c r="B295" t="s">
        <v>5999</v>
      </c>
      <c r="J295">
        <v>2</v>
      </c>
      <c r="L295">
        <v>40</v>
      </c>
    </row>
    <row r="296" spans="1:12" x14ac:dyDescent="0.25">
      <c r="A296" t="s">
        <v>4131</v>
      </c>
      <c r="B296" t="s">
        <v>6000</v>
      </c>
      <c r="I296">
        <v>2</v>
      </c>
      <c r="K296">
        <v>60</v>
      </c>
      <c r="L296">
        <v>5</v>
      </c>
    </row>
    <row r="297" spans="1:12" x14ac:dyDescent="0.25">
      <c r="A297" t="s">
        <v>4133</v>
      </c>
      <c r="B297" t="s">
        <v>6001</v>
      </c>
      <c r="I297">
        <v>2</v>
      </c>
      <c r="K297">
        <v>60</v>
      </c>
      <c r="L297">
        <v>5</v>
      </c>
    </row>
    <row r="298" spans="1:12" x14ac:dyDescent="0.25">
      <c r="A298" t="s">
        <v>6002</v>
      </c>
      <c r="B298" t="s">
        <v>6003</v>
      </c>
      <c r="I298">
        <v>2</v>
      </c>
      <c r="K298">
        <v>60</v>
      </c>
      <c r="L298">
        <v>5</v>
      </c>
    </row>
    <row r="299" spans="1:12" x14ac:dyDescent="0.25">
      <c r="A299" t="s">
        <v>6004</v>
      </c>
      <c r="B299" t="s">
        <v>6005</v>
      </c>
      <c r="I299">
        <v>2</v>
      </c>
      <c r="K299">
        <v>60</v>
      </c>
      <c r="L299">
        <v>5</v>
      </c>
    </row>
    <row r="300" spans="1:12" x14ac:dyDescent="0.25">
      <c r="A300" t="s">
        <v>4152</v>
      </c>
      <c r="B300" t="s">
        <v>6006</v>
      </c>
      <c r="I300">
        <v>2</v>
      </c>
      <c r="K300">
        <v>60</v>
      </c>
      <c r="L300">
        <v>5</v>
      </c>
    </row>
    <row r="301" spans="1:12" x14ac:dyDescent="0.25">
      <c r="A301" t="s">
        <v>4151</v>
      </c>
      <c r="B301" t="s">
        <v>6007</v>
      </c>
      <c r="E301" t="s">
        <v>3412</v>
      </c>
      <c r="I301">
        <v>2</v>
      </c>
      <c r="K301">
        <v>60</v>
      </c>
      <c r="L301">
        <v>5</v>
      </c>
    </row>
    <row r="302" spans="1:12" x14ac:dyDescent="0.25">
      <c r="A302" t="s">
        <v>5398</v>
      </c>
      <c r="B302" t="s">
        <v>6008</v>
      </c>
      <c r="D302" t="s">
        <v>6009</v>
      </c>
      <c r="E302" t="s">
        <v>5951</v>
      </c>
      <c r="F302">
        <v>1</v>
      </c>
      <c r="G302">
        <v>1</v>
      </c>
      <c r="H302">
        <v>2</v>
      </c>
      <c r="I302">
        <v>1</v>
      </c>
      <c r="K302">
        <v>60</v>
      </c>
      <c r="L302">
        <v>5</v>
      </c>
    </row>
    <row r="303" spans="1:12" x14ac:dyDescent="0.25">
      <c r="A303" t="s">
        <v>4165</v>
      </c>
      <c r="B303" t="s">
        <v>6010</v>
      </c>
      <c r="I303">
        <v>2</v>
      </c>
      <c r="K303">
        <v>60</v>
      </c>
      <c r="L303">
        <v>5</v>
      </c>
    </row>
    <row r="304" spans="1:12" x14ac:dyDescent="0.25">
      <c r="A304" t="s">
        <v>4173</v>
      </c>
      <c r="B304" t="s">
        <v>6011</v>
      </c>
      <c r="I304">
        <v>2</v>
      </c>
      <c r="K304">
        <v>60</v>
      </c>
      <c r="L304">
        <v>5</v>
      </c>
    </row>
    <row r="305" spans="1:12" x14ac:dyDescent="0.25">
      <c r="A305" t="s">
        <v>4172</v>
      </c>
      <c r="B305" t="s">
        <v>6012</v>
      </c>
      <c r="I305">
        <v>2</v>
      </c>
      <c r="K305">
        <v>60</v>
      </c>
      <c r="L305">
        <v>5</v>
      </c>
    </row>
    <row r="306" spans="1:12" x14ac:dyDescent="0.25">
      <c r="A306" t="s">
        <v>4185</v>
      </c>
      <c r="B306" t="s">
        <v>6013</v>
      </c>
      <c r="I306">
        <v>2</v>
      </c>
      <c r="K306">
        <v>60</v>
      </c>
      <c r="L306">
        <v>1</v>
      </c>
    </row>
    <row r="307" spans="1:12" x14ac:dyDescent="0.25">
      <c r="A307" t="s">
        <v>4186</v>
      </c>
      <c r="B307" t="s">
        <v>6014</v>
      </c>
      <c r="I307">
        <v>2</v>
      </c>
      <c r="K307">
        <v>0</v>
      </c>
      <c r="L307">
        <v>5</v>
      </c>
    </row>
    <row r="308" spans="1:12" x14ac:dyDescent="0.25">
      <c r="A308" t="s">
        <v>4189</v>
      </c>
      <c r="B308" t="s">
        <v>6015</v>
      </c>
      <c r="I308">
        <v>2</v>
      </c>
      <c r="K308">
        <v>60</v>
      </c>
      <c r="L308">
        <v>5</v>
      </c>
    </row>
    <row r="309" spans="1:12" x14ac:dyDescent="0.25">
      <c r="A309" t="s">
        <v>6016</v>
      </c>
      <c r="B309" t="s">
        <v>6017</v>
      </c>
      <c r="H309">
        <v>2</v>
      </c>
      <c r="J309">
        <v>2</v>
      </c>
      <c r="K309">
        <v>60</v>
      </c>
      <c r="L309">
        <v>40</v>
      </c>
    </row>
    <row r="310" spans="1:12" x14ac:dyDescent="0.25">
      <c r="A310" t="s">
        <v>4199</v>
      </c>
      <c r="B310" t="s">
        <v>6018</v>
      </c>
      <c r="I310">
        <v>2</v>
      </c>
      <c r="K310">
        <v>60</v>
      </c>
      <c r="L310">
        <v>0.5</v>
      </c>
    </row>
    <row r="311" spans="1:12" x14ac:dyDescent="0.25">
      <c r="A311" t="s">
        <v>4198</v>
      </c>
      <c r="B311" t="s">
        <v>6019</v>
      </c>
      <c r="I311">
        <v>2</v>
      </c>
      <c r="K311">
        <v>60</v>
      </c>
      <c r="L311">
        <v>5</v>
      </c>
    </row>
    <row r="312" spans="1:12" x14ac:dyDescent="0.25">
      <c r="A312" t="s">
        <v>4206</v>
      </c>
      <c r="B312" t="s">
        <v>6020</v>
      </c>
      <c r="I312">
        <v>2</v>
      </c>
      <c r="K312">
        <v>60</v>
      </c>
      <c r="L312">
        <v>0.5</v>
      </c>
    </row>
    <row r="313" spans="1:12" x14ac:dyDescent="0.25">
      <c r="A313" t="s">
        <v>4210</v>
      </c>
      <c r="B313" t="s">
        <v>6021</v>
      </c>
      <c r="I313">
        <v>2</v>
      </c>
      <c r="K313">
        <v>60</v>
      </c>
      <c r="L313">
        <v>5</v>
      </c>
    </row>
    <row r="314" spans="1:12" x14ac:dyDescent="0.25">
      <c r="A314" t="s">
        <v>4219</v>
      </c>
      <c r="B314" t="s">
        <v>6022</v>
      </c>
      <c r="J314">
        <v>2</v>
      </c>
      <c r="L314">
        <v>40</v>
      </c>
    </row>
    <row r="315" spans="1:12" x14ac:dyDescent="0.25">
      <c r="A315" t="s">
        <v>4226</v>
      </c>
      <c r="B315" t="s">
        <v>6023</v>
      </c>
      <c r="J315">
        <v>2</v>
      </c>
      <c r="L315">
        <v>40</v>
      </c>
    </row>
    <row r="316" spans="1:12" x14ac:dyDescent="0.25">
      <c r="A316" t="s">
        <v>4218</v>
      </c>
      <c r="B316" t="s">
        <v>6024</v>
      </c>
      <c r="I316">
        <v>2</v>
      </c>
      <c r="K316">
        <v>60</v>
      </c>
      <c r="L316">
        <v>1</v>
      </c>
    </row>
    <row r="317" spans="1:12" x14ac:dyDescent="0.25">
      <c r="A317" t="s">
        <v>4229</v>
      </c>
      <c r="B317" t="s">
        <v>6025</v>
      </c>
      <c r="I317">
        <v>2</v>
      </c>
      <c r="K317">
        <v>60</v>
      </c>
      <c r="L317">
        <v>5</v>
      </c>
    </row>
    <row r="318" spans="1:12" x14ac:dyDescent="0.25">
      <c r="A318" t="s">
        <v>4228</v>
      </c>
      <c r="B318" t="s">
        <v>6026</v>
      </c>
      <c r="I318">
        <v>2</v>
      </c>
      <c r="K318">
        <v>60</v>
      </c>
      <c r="L318">
        <v>5</v>
      </c>
    </row>
    <row r="319" spans="1:12" x14ac:dyDescent="0.25">
      <c r="A319" t="s">
        <v>4242</v>
      </c>
      <c r="B319" t="s">
        <v>6027</v>
      </c>
      <c r="J319">
        <v>2</v>
      </c>
      <c r="L319">
        <v>40</v>
      </c>
    </row>
    <row r="320" spans="1:12" x14ac:dyDescent="0.25">
      <c r="A320" t="s">
        <v>4245</v>
      </c>
      <c r="B320" t="s">
        <v>6028</v>
      </c>
      <c r="J320">
        <v>2</v>
      </c>
      <c r="L320">
        <v>9999</v>
      </c>
    </row>
    <row r="321" spans="1:12" x14ac:dyDescent="0.25">
      <c r="A321" t="s">
        <v>4264</v>
      </c>
      <c r="B321" t="s">
        <v>6029</v>
      </c>
      <c r="I321">
        <v>2</v>
      </c>
      <c r="K321">
        <v>60</v>
      </c>
      <c r="L321">
        <v>5</v>
      </c>
    </row>
    <row r="322" spans="1:12" x14ac:dyDescent="0.25">
      <c r="A322" t="s">
        <v>4263</v>
      </c>
      <c r="B322" t="s">
        <v>6030</v>
      </c>
      <c r="I322">
        <v>2</v>
      </c>
      <c r="K322">
        <v>60</v>
      </c>
      <c r="L322">
        <v>1.5</v>
      </c>
    </row>
    <row r="323" spans="1:12" x14ac:dyDescent="0.25">
      <c r="A323" t="s">
        <v>4275</v>
      </c>
      <c r="B323" t="s">
        <v>6031</v>
      </c>
      <c r="I323">
        <v>2</v>
      </c>
      <c r="K323">
        <v>60</v>
      </c>
      <c r="L323">
        <v>5</v>
      </c>
    </row>
    <row r="324" spans="1:12" x14ac:dyDescent="0.25">
      <c r="A324" t="s">
        <v>4274</v>
      </c>
      <c r="B324" t="s">
        <v>6032</v>
      </c>
      <c r="I324">
        <v>2</v>
      </c>
      <c r="K324">
        <v>60</v>
      </c>
      <c r="L324">
        <v>1.5</v>
      </c>
    </row>
    <row r="325" spans="1:12" x14ac:dyDescent="0.25">
      <c r="A325" t="s">
        <v>4283</v>
      </c>
      <c r="B325" t="s">
        <v>6033</v>
      </c>
      <c r="I325">
        <v>2</v>
      </c>
      <c r="K325">
        <v>60</v>
      </c>
      <c r="L325">
        <v>5</v>
      </c>
    </row>
    <row r="326" spans="1:12" x14ac:dyDescent="0.25">
      <c r="A326" t="s">
        <v>4281</v>
      </c>
      <c r="B326" t="s">
        <v>6034</v>
      </c>
      <c r="I326">
        <v>2</v>
      </c>
      <c r="K326">
        <v>60</v>
      </c>
      <c r="L326">
        <v>5</v>
      </c>
    </row>
    <row r="327" spans="1:12" x14ac:dyDescent="0.25">
      <c r="A327" t="s">
        <v>4282</v>
      </c>
      <c r="B327" t="s">
        <v>6035</v>
      </c>
      <c r="I327">
        <v>2</v>
      </c>
      <c r="K327">
        <v>60</v>
      </c>
      <c r="L327">
        <v>1.5</v>
      </c>
    </row>
    <row r="328" spans="1:12" x14ac:dyDescent="0.25">
      <c r="A328" t="s">
        <v>4286</v>
      </c>
      <c r="B328" t="s">
        <v>6036</v>
      </c>
      <c r="I328">
        <v>2</v>
      </c>
      <c r="K328">
        <v>60</v>
      </c>
      <c r="L328">
        <v>5</v>
      </c>
    </row>
    <row r="329" spans="1:12" x14ac:dyDescent="0.25">
      <c r="A329" t="s">
        <v>4292</v>
      </c>
      <c r="B329" t="s">
        <v>6037</v>
      </c>
      <c r="I329">
        <v>2</v>
      </c>
      <c r="K329">
        <v>60</v>
      </c>
      <c r="L329">
        <v>5</v>
      </c>
    </row>
    <row r="330" spans="1:12" x14ac:dyDescent="0.25">
      <c r="A330" t="s">
        <v>4299</v>
      </c>
      <c r="B330" t="s">
        <v>6038</v>
      </c>
      <c r="I330">
        <v>2</v>
      </c>
      <c r="K330">
        <v>60</v>
      </c>
      <c r="L330">
        <v>5</v>
      </c>
    </row>
    <row r="331" spans="1:12" x14ac:dyDescent="0.25">
      <c r="A331" t="s">
        <v>4298</v>
      </c>
      <c r="B331" t="s">
        <v>6039</v>
      </c>
      <c r="I331">
        <v>2</v>
      </c>
      <c r="K331">
        <v>60</v>
      </c>
      <c r="L331">
        <v>5</v>
      </c>
    </row>
    <row r="332" spans="1:12" x14ac:dyDescent="0.25">
      <c r="A332" t="s">
        <v>6040</v>
      </c>
      <c r="B332" t="s">
        <v>6041</v>
      </c>
      <c r="H332">
        <v>2</v>
      </c>
      <c r="J332">
        <v>2</v>
      </c>
      <c r="K332">
        <v>60</v>
      </c>
      <c r="L332">
        <v>40</v>
      </c>
    </row>
    <row r="333" spans="1:12" x14ac:dyDescent="0.25">
      <c r="A333" t="s">
        <v>3697</v>
      </c>
      <c r="B333" t="s">
        <v>6042</v>
      </c>
      <c r="I333">
        <v>2</v>
      </c>
      <c r="K333">
        <v>60</v>
      </c>
      <c r="L333">
        <v>5</v>
      </c>
    </row>
    <row r="334" spans="1:12" x14ac:dyDescent="0.25">
      <c r="A334" t="s">
        <v>4855</v>
      </c>
      <c r="B334" t="s">
        <v>6043</v>
      </c>
      <c r="C334">
        <v>1</v>
      </c>
      <c r="J334">
        <v>2</v>
      </c>
      <c r="L334">
        <v>5</v>
      </c>
    </row>
    <row r="335" spans="1:12" x14ac:dyDescent="0.25">
      <c r="A335" t="s">
        <v>4861</v>
      </c>
      <c r="B335" t="s">
        <v>6044</v>
      </c>
      <c r="D335" t="s">
        <v>5692</v>
      </c>
      <c r="H335">
        <v>3</v>
      </c>
      <c r="I335">
        <v>0</v>
      </c>
      <c r="K335">
        <v>60</v>
      </c>
    </row>
    <row r="336" spans="1:12" x14ac:dyDescent="0.25">
      <c r="A336" t="s">
        <v>4862</v>
      </c>
      <c r="B336" t="s">
        <v>6045</v>
      </c>
      <c r="D336" t="s">
        <v>5692</v>
      </c>
      <c r="H336">
        <v>3</v>
      </c>
      <c r="I336">
        <v>0</v>
      </c>
      <c r="K336">
        <v>60</v>
      </c>
    </row>
    <row r="337" spans="1:12" x14ac:dyDescent="0.25">
      <c r="A337" t="s">
        <v>4992</v>
      </c>
      <c r="B337" t="s">
        <v>6046</v>
      </c>
      <c r="I337">
        <v>2</v>
      </c>
      <c r="K337">
        <v>60</v>
      </c>
      <c r="L337">
        <v>5</v>
      </c>
    </row>
    <row r="338" spans="1:12" x14ac:dyDescent="0.25">
      <c r="A338" t="s">
        <v>5066</v>
      </c>
      <c r="B338" t="s">
        <v>6047</v>
      </c>
      <c r="C338">
        <v>1</v>
      </c>
      <c r="J338">
        <v>2</v>
      </c>
      <c r="L338">
        <v>1</v>
      </c>
    </row>
    <row r="339" spans="1:12" x14ac:dyDescent="0.25">
      <c r="A339" t="s">
        <v>6048</v>
      </c>
      <c r="B339" t="s">
        <v>6048</v>
      </c>
      <c r="H339">
        <v>2</v>
      </c>
      <c r="I339">
        <v>2</v>
      </c>
      <c r="K339">
        <v>60</v>
      </c>
    </row>
    <row r="340" spans="1:12" x14ac:dyDescent="0.25">
      <c r="A340" s="20" t="s">
        <v>6206</v>
      </c>
      <c r="B340" t="s">
        <v>6207</v>
      </c>
      <c r="H340">
        <v>2</v>
      </c>
      <c r="I340">
        <v>2</v>
      </c>
      <c r="K340">
        <v>60</v>
      </c>
    </row>
  </sheetData>
  <phoneticPr fontId="16"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05" x14ac:dyDescent="0.25"/>
  <cols>
    <col min="1" max="1" width="19.08203125" customWidth="1"/>
    <col min="2" max="2" width="16.25" customWidth="1"/>
    <col min="3" max="3" width="16.33203125" customWidth="1"/>
    <col min="4" max="4" width="47.83203125" customWidth="1"/>
    <col min="5" max="5" width="10.25" customWidth="1"/>
    <col min="6" max="6" width="12.83203125" customWidth="1"/>
    <col min="10" max="10" width="11.83203125" customWidth="1"/>
  </cols>
  <sheetData>
    <row r="2" spans="1:10" x14ac:dyDescent="0.25">
      <c r="A2" t="s">
        <v>0</v>
      </c>
      <c r="B2" t="s">
        <v>3190</v>
      </c>
      <c r="C2" t="s">
        <v>156</v>
      </c>
      <c r="D2" t="s">
        <v>6049</v>
      </c>
      <c r="E2" t="s">
        <v>6050</v>
      </c>
      <c r="F2" t="s">
        <v>158</v>
      </c>
      <c r="G2" t="s">
        <v>6051</v>
      </c>
      <c r="H2" t="s">
        <v>3217</v>
      </c>
      <c r="I2" t="s">
        <v>6052</v>
      </c>
      <c r="J2" t="s">
        <v>133</v>
      </c>
    </row>
    <row r="3" spans="1:10" x14ac:dyDescent="0.25">
      <c r="A3" t="s">
        <v>2</v>
      </c>
      <c r="B3" t="s">
        <v>2</v>
      </c>
      <c r="C3" t="s">
        <v>2</v>
      </c>
      <c r="D3" t="s">
        <v>2</v>
      </c>
      <c r="E3" t="s">
        <v>195</v>
      </c>
      <c r="F3" t="s">
        <v>196</v>
      </c>
      <c r="G3" t="s">
        <v>195</v>
      </c>
      <c r="H3" t="s">
        <v>6053</v>
      </c>
      <c r="I3" t="s">
        <v>195</v>
      </c>
      <c r="J3" t="s">
        <v>195</v>
      </c>
    </row>
    <row r="4" spans="1:10" x14ac:dyDescent="0.25">
      <c r="A4" t="s">
        <v>6054</v>
      </c>
      <c r="B4" t="s">
        <v>6055</v>
      </c>
      <c r="C4" t="s">
        <v>6055</v>
      </c>
    </row>
    <row r="5" spans="1:10" x14ac:dyDescent="0.25">
      <c r="A5" t="s">
        <v>6056</v>
      </c>
      <c r="B5" t="s">
        <v>6057</v>
      </c>
      <c r="C5" t="s">
        <v>6057</v>
      </c>
      <c r="F5" t="s">
        <v>5133</v>
      </c>
    </row>
    <row r="6" spans="1:10" x14ac:dyDescent="0.25">
      <c r="A6" t="s">
        <v>6058</v>
      </c>
      <c r="B6" t="s">
        <v>6059</v>
      </c>
      <c r="C6" t="s">
        <v>6059</v>
      </c>
    </row>
    <row r="8" spans="1:10" x14ac:dyDescent="0.25">
      <c r="A8" t="s">
        <v>6060</v>
      </c>
      <c r="B8" t="s">
        <v>6060</v>
      </c>
      <c r="C8" t="s">
        <v>6060</v>
      </c>
      <c r="D8" t="s">
        <v>6061</v>
      </c>
      <c r="F8" t="s">
        <v>5134</v>
      </c>
      <c r="J8">
        <v>-1</v>
      </c>
    </row>
    <row r="9" spans="1:10" x14ac:dyDescent="0.25">
      <c r="A9" t="s">
        <v>6062</v>
      </c>
      <c r="B9" t="s">
        <v>6062</v>
      </c>
      <c r="C9" t="s">
        <v>6062</v>
      </c>
      <c r="D9" t="s">
        <v>6063</v>
      </c>
      <c r="F9" t="s">
        <v>5136</v>
      </c>
      <c r="J9">
        <v>-1</v>
      </c>
    </row>
    <row r="10" spans="1:10" x14ac:dyDescent="0.25">
      <c r="A10" t="s">
        <v>6064</v>
      </c>
      <c r="B10" t="s">
        <v>6064</v>
      </c>
      <c r="C10" t="s">
        <v>6064</v>
      </c>
      <c r="D10" t="s">
        <v>6065</v>
      </c>
      <c r="F10" t="s">
        <v>5138</v>
      </c>
      <c r="J10">
        <v>-1</v>
      </c>
    </row>
    <row r="11" spans="1:10" x14ac:dyDescent="0.25">
      <c r="A11" t="s">
        <v>6066</v>
      </c>
      <c r="B11" t="s">
        <v>6066</v>
      </c>
      <c r="C11" t="s">
        <v>6066</v>
      </c>
      <c r="D11" t="s">
        <v>6067</v>
      </c>
      <c r="F11" t="s">
        <v>5139</v>
      </c>
      <c r="J11">
        <v>-1</v>
      </c>
    </row>
    <row r="12" spans="1:10" x14ac:dyDescent="0.25">
      <c r="A12" t="s">
        <v>6068</v>
      </c>
      <c r="B12" t="s">
        <v>6068</v>
      </c>
      <c r="C12" t="s">
        <v>6068</v>
      </c>
      <c r="D12" t="s">
        <v>6069</v>
      </c>
      <c r="F12" t="s">
        <v>5141</v>
      </c>
      <c r="J12">
        <v>-1</v>
      </c>
    </row>
    <row r="13" spans="1:10" x14ac:dyDescent="0.25">
      <c r="A13" t="s">
        <v>6070</v>
      </c>
      <c r="B13" t="s">
        <v>6068</v>
      </c>
      <c r="C13" t="s">
        <v>6070</v>
      </c>
      <c r="D13" t="s">
        <v>6071</v>
      </c>
      <c r="F13" t="s">
        <v>5142</v>
      </c>
      <c r="J13">
        <v>-1</v>
      </c>
    </row>
    <row r="17" spans="1:10" x14ac:dyDescent="0.25">
      <c r="A17" t="s">
        <v>6072</v>
      </c>
      <c r="B17" t="s">
        <v>6072</v>
      </c>
      <c r="C17" t="s">
        <v>6072</v>
      </c>
      <c r="D17" t="s">
        <v>6073</v>
      </c>
      <c r="E17">
        <v>1</v>
      </c>
      <c r="F17" t="s">
        <v>5144</v>
      </c>
      <c r="J17">
        <v>1</v>
      </c>
    </row>
    <row r="18" spans="1:10" x14ac:dyDescent="0.25">
      <c r="A18" t="s">
        <v>6074</v>
      </c>
      <c r="B18" t="s">
        <v>6074</v>
      </c>
      <c r="C18" t="s">
        <v>6074</v>
      </c>
      <c r="D18" t="s">
        <v>6075</v>
      </c>
      <c r="E18">
        <v>1</v>
      </c>
      <c r="F18" t="s">
        <v>5145</v>
      </c>
      <c r="J18">
        <v>2</v>
      </c>
    </row>
    <row r="19" spans="1:10" x14ac:dyDescent="0.25">
      <c r="A19" t="s">
        <v>6076</v>
      </c>
      <c r="B19" t="s">
        <v>6076</v>
      </c>
      <c r="C19" t="s">
        <v>6076</v>
      </c>
      <c r="D19" t="s">
        <v>6077</v>
      </c>
      <c r="E19">
        <v>1</v>
      </c>
      <c r="F19" t="s">
        <v>5146</v>
      </c>
      <c r="J19">
        <v>3</v>
      </c>
    </row>
    <row r="20" spans="1:10" x14ac:dyDescent="0.25">
      <c r="A20" t="s">
        <v>6078</v>
      </c>
      <c r="B20" t="s">
        <v>6078</v>
      </c>
      <c r="C20" t="s">
        <v>6078</v>
      </c>
      <c r="D20" t="s">
        <v>6079</v>
      </c>
      <c r="E20">
        <v>2</v>
      </c>
      <c r="F20" t="s">
        <v>5147</v>
      </c>
      <c r="J20">
        <v>1</v>
      </c>
    </row>
    <row r="21" spans="1:10" x14ac:dyDescent="0.25">
      <c r="A21" t="s">
        <v>6080</v>
      </c>
      <c r="B21" t="s">
        <v>6080</v>
      </c>
      <c r="C21" t="s">
        <v>6080</v>
      </c>
      <c r="D21" t="s">
        <v>6081</v>
      </c>
      <c r="E21">
        <v>2</v>
      </c>
      <c r="F21" t="s">
        <v>5149</v>
      </c>
      <c r="J21">
        <v>2</v>
      </c>
    </row>
    <row r="22" spans="1:10" x14ac:dyDescent="0.25">
      <c r="A22" t="s">
        <v>6082</v>
      </c>
      <c r="B22" t="s">
        <v>6082</v>
      </c>
      <c r="C22" t="s">
        <v>6082</v>
      </c>
      <c r="D22" t="s">
        <v>6083</v>
      </c>
      <c r="E22">
        <v>2</v>
      </c>
      <c r="F22" t="s">
        <v>5150</v>
      </c>
      <c r="J22">
        <v>3</v>
      </c>
    </row>
    <row r="23" spans="1:10" x14ac:dyDescent="0.25">
      <c r="A23" t="s">
        <v>6084</v>
      </c>
      <c r="B23" t="s">
        <v>6084</v>
      </c>
      <c r="C23" t="s">
        <v>6084</v>
      </c>
      <c r="D23" t="s">
        <v>6085</v>
      </c>
      <c r="E23">
        <v>3</v>
      </c>
      <c r="F23" t="s">
        <v>5151</v>
      </c>
      <c r="J23">
        <v>1</v>
      </c>
    </row>
    <row r="24" spans="1:10" x14ac:dyDescent="0.25">
      <c r="A24" t="s">
        <v>6086</v>
      </c>
      <c r="B24" t="s">
        <v>6086</v>
      </c>
      <c r="C24" t="s">
        <v>6086</v>
      </c>
      <c r="D24" t="s">
        <v>6087</v>
      </c>
      <c r="E24">
        <v>3</v>
      </c>
      <c r="F24" t="s">
        <v>5152</v>
      </c>
      <c r="J24">
        <v>2</v>
      </c>
    </row>
    <row r="25" spans="1:10" x14ac:dyDescent="0.25">
      <c r="A25" t="s">
        <v>6088</v>
      </c>
      <c r="B25" t="s">
        <v>6088</v>
      </c>
      <c r="C25" t="s">
        <v>6088</v>
      </c>
      <c r="D25" t="s">
        <v>6089</v>
      </c>
      <c r="E25">
        <v>3</v>
      </c>
      <c r="F25" t="s">
        <v>5153</v>
      </c>
      <c r="J25">
        <v>3</v>
      </c>
    </row>
    <row r="26" spans="1:10" x14ac:dyDescent="0.25">
      <c r="A26" t="s">
        <v>6090</v>
      </c>
      <c r="B26" t="s">
        <v>6090</v>
      </c>
      <c r="C26" t="s">
        <v>6090</v>
      </c>
      <c r="D26" t="s">
        <v>6091</v>
      </c>
      <c r="E26">
        <v>4</v>
      </c>
      <c r="F26" t="s">
        <v>5154</v>
      </c>
      <c r="J26">
        <v>2</v>
      </c>
    </row>
    <row r="27" spans="1:10" x14ac:dyDescent="0.25">
      <c r="A27" t="s">
        <v>6057</v>
      </c>
      <c r="B27" t="s">
        <v>6057</v>
      </c>
      <c r="C27" t="s">
        <v>6057</v>
      </c>
      <c r="D27" t="s">
        <v>6092</v>
      </c>
      <c r="E27">
        <v>5</v>
      </c>
      <c r="F27" t="s">
        <v>5155</v>
      </c>
      <c r="J27">
        <v>1</v>
      </c>
    </row>
    <row r="28" spans="1:10" x14ac:dyDescent="0.25">
      <c r="A28" t="s">
        <v>6093</v>
      </c>
      <c r="B28" t="s">
        <v>6093</v>
      </c>
      <c r="C28" t="s">
        <v>6093</v>
      </c>
      <c r="D28" t="s">
        <v>6094</v>
      </c>
      <c r="E28">
        <v>5</v>
      </c>
      <c r="F28" t="s">
        <v>5157</v>
      </c>
      <c r="J28">
        <v>2</v>
      </c>
    </row>
    <row r="29" spans="1:10" x14ac:dyDescent="0.25">
      <c r="A29" t="s">
        <v>6095</v>
      </c>
      <c r="B29" t="s">
        <v>6095</v>
      </c>
      <c r="C29" t="s">
        <v>6095</v>
      </c>
      <c r="D29" t="s">
        <v>6096</v>
      </c>
      <c r="E29">
        <v>6</v>
      </c>
      <c r="F29" t="s">
        <v>5158</v>
      </c>
      <c r="J29">
        <v>1</v>
      </c>
    </row>
    <row r="30" spans="1:10" x14ac:dyDescent="0.25">
      <c r="A30" t="s">
        <v>6055</v>
      </c>
      <c r="B30" t="s">
        <v>6055</v>
      </c>
      <c r="C30" t="s">
        <v>6055</v>
      </c>
      <c r="D30" t="s">
        <v>6097</v>
      </c>
      <c r="E30">
        <v>7</v>
      </c>
      <c r="F30" t="s">
        <v>5160</v>
      </c>
      <c r="J30">
        <v>1</v>
      </c>
    </row>
    <row r="31" spans="1:10" x14ac:dyDescent="0.25">
      <c r="A31" t="s">
        <v>6098</v>
      </c>
      <c r="B31" t="s">
        <v>6055</v>
      </c>
      <c r="C31" t="s">
        <v>6098</v>
      </c>
      <c r="D31" t="s">
        <v>6099</v>
      </c>
      <c r="E31">
        <v>7</v>
      </c>
      <c r="F31" t="s">
        <v>5161</v>
      </c>
      <c r="J31">
        <v>2</v>
      </c>
    </row>
    <row r="32" spans="1:10" x14ac:dyDescent="0.25">
      <c r="A32" t="s">
        <v>6100</v>
      </c>
      <c r="B32" t="s">
        <v>6100</v>
      </c>
      <c r="C32" t="s">
        <v>6100</v>
      </c>
      <c r="D32" t="s">
        <v>6101</v>
      </c>
      <c r="E32">
        <v>8</v>
      </c>
      <c r="F32" t="s">
        <v>5162</v>
      </c>
      <c r="J32">
        <v>1</v>
      </c>
    </row>
    <row r="33" spans="1:10" x14ac:dyDescent="0.25">
      <c r="A33" t="s">
        <v>6102</v>
      </c>
      <c r="B33" t="s">
        <v>6102</v>
      </c>
      <c r="C33" t="s">
        <v>6102</v>
      </c>
      <c r="D33" t="s">
        <v>6103</v>
      </c>
      <c r="E33">
        <v>8</v>
      </c>
      <c r="F33" t="s">
        <v>5164</v>
      </c>
      <c r="J33">
        <v>2</v>
      </c>
    </row>
    <row r="34" spans="1:10" x14ac:dyDescent="0.25">
      <c r="A34" t="s">
        <v>6104</v>
      </c>
      <c r="B34" t="s">
        <v>6104</v>
      </c>
      <c r="C34" t="s">
        <v>6104</v>
      </c>
      <c r="D34" t="s">
        <v>6105</v>
      </c>
      <c r="E34">
        <v>8</v>
      </c>
      <c r="F34" t="s">
        <v>5165</v>
      </c>
      <c r="J34">
        <v>3</v>
      </c>
    </row>
    <row r="35" spans="1:10" x14ac:dyDescent="0.25">
      <c r="A35" t="s">
        <v>6106</v>
      </c>
      <c r="B35" t="s">
        <v>6106</v>
      </c>
      <c r="C35" t="s">
        <v>6106</v>
      </c>
      <c r="D35" t="s">
        <v>6107</v>
      </c>
      <c r="E35">
        <v>9</v>
      </c>
      <c r="F35" t="s">
        <v>5167</v>
      </c>
      <c r="J35">
        <v>1</v>
      </c>
    </row>
    <row r="36" spans="1:10" x14ac:dyDescent="0.25">
      <c r="A36" t="s">
        <v>6108</v>
      </c>
      <c r="B36" t="s">
        <v>6108</v>
      </c>
      <c r="C36" t="s">
        <v>6108</v>
      </c>
      <c r="D36" t="s">
        <v>6109</v>
      </c>
      <c r="E36">
        <v>9</v>
      </c>
      <c r="F36" t="s">
        <v>5170</v>
      </c>
      <c r="J36">
        <v>2</v>
      </c>
    </row>
    <row r="37" spans="1:10" x14ac:dyDescent="0.25">
      <c r="A37" t="s">
        <v>6110</v>
      </c>
      <c r="B37" t="s">
        <v>6110</v>
      </c>
      <c r="C37" t="s">
        <v>6110</v>
      </c>
      <c r="D37" t="s">
        <v>6111</v>
      </c>
      <c r="E37">
        <v>9</v>
      </c>
      <c r="F37" t="s">
        <v>5172</v>
      </c>
      <c r="J37">
        <v>3</v>
      </c>
    </row>
    <row r="38" spans="1:10" x14ac:dyDescent="0.25">
      <c r="A38" t="s">
        <v>6112</v>
      </c>
      <c r="B38" t="s">
        <v>6112</v>
      </c>
      <c r="C38" t="s">
        <v>6112</v>
      </c>
      <c r="D38" t="s">
        <v>6113</v>
      </c>
      <c r="E38">
        <v>10</v>
      </c>
      <c r="G38">
        <v>10</v>
      </c>
      <c r="J38">
        <v>1</v>
      </c>
    </row>
    <row r="39" spans="1:10" x14ac:dyDescent="0.25">
      <c r="A39" t="s">
        <v>6114</v>
      </c>
      <c r="B39" t="s">
        <v>6114</v>
      </c>
      <c r="C39" t="s">
        <v>6114</v>
      </c>
      <c r="D39" t="s">
        <v>6115</v>
      </c>
      <c r="E39">
        <v>10</v>
      </c>
      <c r="G39">
        <v>7</v>
      </c>
      <c r="J39">
        <v>2</v>
      </c>
    </row>
    <row r="40" spans="1:10" x14ac:dyDescent="0.25">
      <c r="A40" t="s">
        <v>6116</v>
      </c>
      <c r="B40" t="s">
        <v>6116</v>
      </c>
      <c r="C40" t="s">
        <v>6116</v>
      </c>
      <c r="D40" t="s">
        <v>6117</v>
      </c>
      <c r="E40">
        <v>10</v>
      </c>
      <c r="G40">
        <v>4</v>
      </c>
      <c r="J40">
        <v>3</v>
      </c>
    </row>
    <row r="41" spans="1:10" x14ac:dyDescent="0.25">
      <c r="A41" t="s">
        <v>6118</v>
      </c>
      <c r="B41" t="s">
        <v>6118</v>
      </c>
      <c r="C41" t="s">
        <v>6118</v>
      </c>
      <c r="D41" t="s">
        <v>6119</v>
      </c>
      <c r="E41">
        <v>11</v>
      </c>
      <c r="F41" t="s">
        <v>5174</v>
      </c>
      <c r="J41">
        <v>1</v>
      </c>
    </row>
    <row r="42" spans="1:10" x14ac:dyDescent="0.25">
      <c r="A42" t="s">
        <v>6120</v>
      </c>
      <c r="B42" t="s">
        <v>6120</v>
      </c>
      <c r="C42" t="s">
        <v>6120</v>
      </c>
      <c r="D42" t="s">
        <v>6121</v>
      </c>
      <c r="E42">
        <v>11</v>
      </c>
      <c r="F42" t="s">
        <v>5176</v>
      </c>
      <c r="J42">
        <v>2</v>
      </c>
    </row>
    <row r="43" spans="1:10" x14ac:dyDescent="0.25">
      <c r="A43" t="s">
        <v>6122</v>
      </c>
      <c r="B43" t="s">
        <v>6122</v>
      </c>
      <c r="C43" t="s">
        <v>6122</v>
      </c>
      <c r="D43" t="s">
        <v>6123</v>
      </c>
      <c r="E43">
        <v>11</v>
      </c>
      <c r="F43" t="s">
        <v>5178</v>
      </c>
      <c r="J43">
        <v>3</v>
      </c>
    </row>
    <row r="44" spans="1:10" x14ac:dyDescent="0.25">
      <c r="A44" t="s">
        <v>6124</v>
      </c>
      <c r="B44" t="s">
        <v>6125</v>
      </c>
      <c r="C44" t="s">
        <v>6126</v>
      </c>
      <c r="D44" t="s">
        <v>6127</v>
      </c>
      <c r="E44">
        <v>12</v>
      </c>
      <c r="H44" t="s">
        <v>6128</v>
      </c>
      <c r="J44">
        <v>2</v>
      </c>
    </row>
    <row r="45" spans="1:10" x14ac:dyDescent="0.25">
      <c r="A45" t="s">
        <v>6129</v>
      </c>
      <c r="B45" t="s">
        <v>6130</v>
      </c>
      <c r="C45" t="s">
        <v>6126</v>
      </c>
      <c r="D45" t="s">
        <v>6131</v>
      </c>
      <c r="E45">
        <v>12</v>
      </c>
      <c r="H45" t="s">
        <v>6132</v>
      </c>
      <c r="J45">
        <v>2</v>
      </c>
    </row>
    <row r="46" spans="1:10" x14ac:dyDescent="0.25">
      <c r="A46" t="s">
        <v>6133</v>
      </c>
      <c r="B46" t="s">
        <v>6134</v>
      </c>
      <c r="C46" t="s">
        <v>6126</v>
      </c>
      <c r="D46" t="s">
        <v>6135</v>
      </c>
      <c r="E46">
        <v>12</v>
      </c>
      <c r="H46" t="s">
        <v>6136</v>
      </c>
      <c r="J46">
        <v>2</v>
      </c>
    </row>
    <row r="47" spans="1:10" x14ac:dyDescent="0.25">
      <c r="A47" t="s">
        <v>6137</v>
      </c>
      <c r="B47" t="s">
        <v>6138</v>
      </c>
      <c r="C47" t="s">
        <v>6126</v>
      </c>
      <c r="D47" t="s">
        <v>6139</v>
      </c>
      <c r="E47">
        <v>12</v>
      </c>
      <c r="H47" t="s">
        <v>6140</v>
      </c>
      <c r="J47">
        <v>2</v>
      </c>
    </row>
    <row r="48" spans="1:10" x14ac:dyDescent="0.25">
      <c r="A48" t="s">
        <v>6141</v>
      </c>
      <c r="B48" t="s">
        <v>6142</v>
      </c>
      <c r="C48" t="s">
        <v>6126</v>
      </c>
      <c r="D48" t="s">
        <v>6143</v>
      </c>
      <c r="E48">
        <v>12</v>
      </c>
      <c r="H48" t="s">
        <v>6144</v>
      </c>
      <c r="J48">
        <v>2</v>
      </c>
    </row>
    <row r="49" spans="1:10" x14ac:dyDescent="0.25">
      <c r="A49" t="s">
        <v>6145</v>
      </c>
      <c r="B49" t="s">
        <v>6126</v>
      </c>
      <c r="C49" t="s">
        <v>6126</v>
      </c>
      <c r="D49" t="s">
        <v>6146</v>
      </c>
      <c r="E49">
        <v>12</v>
      </c>
      <c r="H49" t="s">
        <v>6147</v>
      </c>
      <c r="J49">
        <v>2</v>
      </c>
    </row>
    <row r="50" spans="1:10" x14ac:dyDescent="0.25">
      <c r="A50" t="s">
        <v>6148</v>
      </c>
      <c r="B50" t="s">
        <v>6148</v>
      </c>
      <c r="C50" t="s">
        <v>6148</v>
      </c>
      <c r="D50" t="s">
        <v>6149</v>
      </c>
      <c r="E50">
        <v>13</v>
      </c>
      <c r="F50" t="s">
        <v>5180</v>
      </c>
      <c r="J50">
        <v>1</v>
      </c>
    </row>
    <row r="51" spans="1:10" x14ac:dyDescent="0.25">
      <c r="A51" t="s">
        <v>6150</v>
      </c>
      <c r="B51" t="s">
        <v>6150</v>
      </c>
      <c r="C51" t="s">
        <v>6150</v>
      </c>
      <c r="D51" t="s">
        <v>6151</v>
      </c>
      <c r="E51">
        <v>13</v>
      </c>
      <c r="F51" t="s">
        <v>5181</v>
      </c>
      <c r="J51">
        <v>2</v>
      </c>
    </row>
    <row r="52" spans="1:10" x14ac:dyDescent="0.25">
      <c r="A52" t="s">
        <v>6152</v>
      </c>
      <c r="B52" t="s">
        <v>6152</v>
      </c>
      <c r="C52" t="s">
        <v>6152</v>
      </c>
      <c r="D52" t="s">
        <v>6153</v>
      </c>
      <c r="E52">
        <v>13</v>
      </c>
      <c r="F52" t="s">
        <v>5182</v>
      </c>
      <c r="J52">
        <v>3</v>
      </c>
    </row>
    <row r="53" spans="1:10" x14ac:dyDescent="0.25">
      <c r="A53" t="s">
        <v>6154</v>
      </c>
      <c r="B53" t="s">
        <v>6154</v>
      </c>
      <c r="C53" t="s">
        <v>6154</v>
      </c>
      <c r="D53" t="s">
        <v>6155</v>
      </c>
      <c r="E53">
        <v>14</v>
      </c>
      <c r="I53">
        <v>1</v>
      </c>
      <c r="J53">
        <v>1</v>
      </c>
    </row>
    <row r="54" spans="1:10" x14ac:dyDescent="0.25">
      <c r="A54" t="s">
        <v>6156</v>
      </c>
      <c r="B54" t="s">
        <v>6156</v>
      </c>
      <c r="C54" t="s">
        <v>6156</v>
      </c>
      <c r="D54" t="s">
        <v>6157</v>
      </c>
      <c r="E54">
        <v>15</v>
      </c>
      <c r="F54" t="s">
        <v>5183</v>
      </c>
      <c r="J54">
        <v>1</v>
      </c>
    </row>
    <row r="55" spans="1:10" x14ac:dyDescent="0.25">
      <c r="A55" t="s">
        <v>6158</v>
      </c>
      <c r="B55" t="s">
        <v>6158</v>
      </c>
      <c r="C55" t="s">
        <v>6158</v>
      </c>
      <c r="D55" t="s">
        <v>6159</v>
      </c>
      <c r="E55">
        <v>15</v>
      </c>
      <c r="F55" t="s">
        <v>5185</v>
      </c>
      <c r="J55">
        <v>2</v>
      </c>
    </row>
    <row r="56" spans="1:10" x14ac:dyDescent="0.25">
      <c r="A56" t="s">
        <v>6160</v>
      </c>
      <c r="B56" t="s">
        <v>6160</v>
      </c>
      <c r="C56" t="s">
        <v>6160</v>
      </c>
      <c r="D56" t="s">
        <v>6161</v>
      </c>
      <c r="E56">
        <v>15</v>
      </c>
      <c r="F56" t="s">
        <v>5186</v>
      </c>
      <c r="J56">
        <v>3</v>
      </c>
    </row>
    <row r="57" spans="1:10" x14ac:dyDescent="0.25">
      <c r="A57" t="s">
        <v>6162</v>
      </c>
      <c r="B57" t="s">
        <v>6162</v>
      </c>
      <c r="C57" t="s">
        <v>6162</v>
      </c>
      <c r="D57" t="s">
        <v>6163</v>
      </c>
      <c r="E57">
        <v>16</v>
      </c>
      <c r="F57" t="s">
        <v>5188</v>
      </c>
      <c r="J57">
        <v>3</v>
      </c>
    </row>
    <row r="58" spans="1:10" x14ac:dyDescent="0.25">
      <c r="A58" t="s">
        <v>6164</v>
      </c>
      <c r="B58" t="s">
        <v>6164</v>
      </c>
      <c r="C58" t="s">
        <v>6164</v>
      </c>
      <c r="D58" t="s">
        <v>6165</v>
      </c>
      <c r="E58">
        <v>17</v>
      </c>
      <c r="F58" t="s">
        <v>5190</v>
      </c>
      <c r="J58">
        <v>1</v>
      </c>
    </row>
    <row r="59" spans="1:10" x14ac:dyDescent="0.25">
      <c r="A59" t="s">
        <v>6166</v>
      </c>
      <c r="B59" t="s">
        <v>6166</v>
      </c>
      <c r="C59" t="s">
        <v>6166</v>
      </c>
      <c r="D59" t="s">
        <v>6167</v>
      </c>
      <c r="E59">
        <v>17</v>
      </c>
      <c r="F59" t="s">
        <v>5191</v>
      </c>
      <c r="J59">
        <v>2</v>
      </c>
    </row>
    <row r="60" spans="1:10" x14ac:dyDescent="0.25">
      <c r="A60" t="s">
        <v>6168</v>
      </c>
      <c r="B60" t="s">
        <v>6168</v>
      </c>
      <c r="C60" t="s">
        <v>6168</v>
      </c>
      <c r="D60" t="s">
        <v>6169</v>
      </c>
      <c r="E60">
        <v>17</v>
      </c>
      <c r="F60" t="s">
        <v>5192</v>
      </c>
      <c r="J60">
        <v>3</v>
      </c>
    </row>
  </sheetData>
  <phoneticPr fontId="1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4"/>
  <sheetViews>
    <sheetView workbookViewId="0">
      <selection activeCell="F4" sqref="F4"/>
    </sheetView>
  </sheetViews>
  <sheetFormatPr defaultColWidth="8.6640625" defaultRowHeight="14.05" x14ac:dyDescent="0.25"/>
  <cols>
    <col min="1" max="1" width="8.6640625" style="1"/>
    <col min="2" max="2" width="13.83203125" style="1" customWidth="1"/>
    <col min="3" max="3" width="20.58203125" style="1" customWidth="1"/>
    <col min="4" max="4" width="39.6640625" style="1" customWidth="1"/>
    <col min="5" max="5" width="37.58203125" style="1" customWidth="1"/>
    <col min="6" max="6" width="39.5" style="1" customWidth="1"/>
    <col min="7" max="7" width="38.58203125" style="1" customWidth="1"/>
    <col min="8" max="8" width="32.25" style="1" customWidth="1"/>
    <col min="9" max="9" width="39.9140625" style="1" customWidth="1"/>
    <col min="10" max="16384" width="8.6640625" style="1"/>
  </cols>
  <sheetData>
    <row r="1" spans="1:9" x14ac:dyDescent="0.25">
      <c r="A1" s="1" t="s">
        <v>0</v>
      </c>
      <c r="B1" s="1" t="s">
        <v>6170</v>
      </c>
      <c r="C1" s="1" t="s">
        <v>6171</v>
      </c>
      <c r="D1" s="1" t="s">
        <v>6172</v>
      </c>
      <c r="E1" s="1" t="s">
        <v>6173</v>
      </c>
      <c r="F1" s="1" t="s">
        <v>6174</v>
      </c>
      <c r="G1" s="1" t="s">
        <v>6175</v>
      </c>
      <c r="H1" s="1" t="s">
        <v>6176</v>
      </c>
      <c r="I1" s="1" t="s">
        <v>6177</v>
      </c>
    </row>
    <row r="2" spans="1:9" x14ac:dyDescent="0.25">
      <c r="A2" s="1" t="s">
        <v>0</v>
      </c>
      <c r="B2" s="1" t="s">
        <v>6178</v>
      </c>
      <c r="C2" s="1" t="s">
        <v>6179</v>
      </c>
      <c r="D2" s="1" t="s">
        <v>6180</v>
      </c>
      <c r="E2" s="1" t="s">
        <v>6181</v>
      </c>
      <c r="F2" s="1" t="s">
        <v>6182</v>
      </c>
      <c r="G2" s="1" t="s">
        <v>6183</v>
      </c>
      <c r="H2" s="1" t="s">
        <v>6184</v>
      </c>
      <c r="I2" s="1" t="s">
        <v>6185</v>
      </c>
    </row>
    <row r="3" spans="1:9" x14ac:dyDescent="0.25">
      <c r="A3" s="1" t="s">
        <v>2</v>
      </c>
      <c r="B3" s="1" t="s">
        <v>193</v>
      </c>
      <c r="C3" s="1" t="s">
        <v>193</v>
      </c>
      <c r="D3" s="1" t="s">
        <v>2</v>
      </c>
      <c r="E3" s="1" t="s">
        <v>2</v>
      </c>
      <c r="F3" s="1" t="s">
        <v>2</v>
      </c>
      <c r="G3" s="1" t="s">
        <v>2</v>
      </c>
      <c r="H3" s="1" t="s">
        <v>2</v>
      </c>
      <c r="I3" s="1" t="s">
        <v>2</v>
      </c>
    </row>
    <row r="4" spans="1:9" x14ac:dyDescent="0.25">
      <c r="A4" s="30" t="s">
        <v>6231</v>
      </c>
      <c r="B4" s="1">
        <v>1</v>
      </c>
      <c r="C4" s="1">
        <v>1</v>
      </c>
      <c r="D4" s="30" t="s">
        <v>6232</v>
      </c>
      <c r="E4" s="30" t="s">
        <v>6233</v>
      </c>
      <c r="F4" s="30" t="s">
        <v>6234</v>
      </c>
    </row>
  </sheetData>
  <phoneticPr fontId="16"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9</vt:i4>
      </vt:variant>
    </vt:vector>
  </HeadingPairs>
  <TitlesOfParts>
    <vt:vector size="9" baseType="lpstr">
      <vt:lpstr>CardData</vt:lpstr>
      <vt:lpstr>UnitData</vt:lpstr>
      <vt:lpstr>SkillData</vt:lpstr>
      <vt:lpstr>BuffData</vt:lpstr>
      <vt:lpstr>ModifyData</vt:lpstr>
      <vt:lpstr>BulletData</vt:lpstr>
      <vt:lpstr>EffectData</vt:lpstr>
      <vt:lpstr>ContractData</vt:lpstr>
      <vt:lpstr>SpineData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2r X</cp:lastModifiedBy>
  <dcterms:created xsi:type="dcterms:W3CDTF">2021-01-13T06:40:00Z</dcterms:created>
  <dcterms:modified xsi:type="dcterms:W3CDTF">2026-07-28T23:57:02Z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2052-12.1.0.23125</vt:lpwstr>
  </property>
  <property fmtid="{D5CDD505-2E9C-101B-9397-08002B2CF9AE}" pid="3" name="ICV">
    <vt:lpwstr>CB94523E41B44DAE99CC12982DC882B4</vt:lpwstr>
  </property>
</Properties>
</file>