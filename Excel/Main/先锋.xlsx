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508C92D4-B45D-4708-929A-B24BA34F6542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6" i="1" l="1"/>
  <c r="BE26" i="1"/>
  <c r="BF25" i="1"/>
  <c r="BE25" i="1"/>
  <c r="BF24" i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<sst xmlns="http://schemas.openxmlformats.org/spreadsheetml/2006/main" count="1612" uniqueCount="812">
  <si>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</si>
  <si>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</si>
  <si>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</si>
  <si>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</si>
  <si>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</si>
  <si>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</si>
  <si>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</si>
  <si>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</si>
  <si>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</si>
  <si>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</si>
  <si>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</si>
  <si>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</si>
  <si>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</si>
  <si>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</si>
  <si>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</si>
  <si>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</si>
  <si>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</si>
  <si>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</si>
  <si>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</si>
  <si>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</si>
  <si>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</si>
  <si>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</si>
  <si>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</si>
  <si>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</si>
  <si>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</si>
  <si>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</si>
  <si>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</si>
  <si>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</si>
  <si>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</si>
  <si>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</si>
  <si>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</si>
  <si>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</si>
  <si>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</si>
  <si>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</si>
  <si>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</si>
  <si>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</si>
  <si>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</si>
  <si>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</si>
  <si>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</si>
  <si>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</si>
  <si>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</si>
  <si>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</si>
  <si>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</si>
  <si>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</si>
  <si>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</si>
  <si>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</si>
  <si>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</si>
  <si>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</si>
  <si>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</si>
  <si>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</si>
  <si>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</si>
  <si>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</si>
  <si>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</si>
  <si>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</si>
  <si>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</si>
  <si>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</si>
  <si>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</si>
  <si>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</si>
  <si>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</si>
  <si>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</si>
  <si>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</si>
  <si>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</si>
  <si>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</si>
  <si>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</si>
  <si>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</si>
  <si>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</si>
  <si>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</si>
  <si>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</si>
  <si>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</si>
  <si>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</si>
  <si>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</si>
  <si>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</si>
  <si>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</si>
  <si>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</si>
  <si>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</si>
  <si>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</si>
  <si>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</si>
  <si>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</si>
  <si>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</si>
  <si>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</si>
  <si>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</si>
  <si>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</si>
  <si>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</si>
  <si>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</si>
  <si>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</si>
  <si>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</si>
  <si>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</si>
  <si>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</si>
  <si>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</si>
  <si>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</si>
  <si>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</si>
  <si>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</si>
  <si>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</si>
  <si>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</si>
  <si>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</si>
  <si>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</si>
  <si>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</si>
  <si>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</si>
  <si>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</si>
  <si>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</si>
  <si>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</si>
  <si>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</si>
  <si>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</si>
  <si>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</si>
  <si>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</si>
  <si>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</si>
  <si>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</si>
  <si>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</si>
  <si>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</si>
  <si>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</si>
  <si>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</si>
  <si>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</si>
  <si>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</si>
  <si>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</si>
  <si>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</si>
  <si>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</si>
  <si>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</si>
  <si>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</si>
  <si>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</si>
  <si>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</si>
  <si>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</si>
  <si>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</si>
  <si>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</si>
  <si>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</si>
  <si>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</si>
  <si>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</si>
  <si>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</si>
  <si>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</si>
  <si>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</si>
  <si>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</si>
  <si>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</si>
  <si>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</si>
  <si>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</si>
  <si>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</si>
  <si>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</si>
  <si>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</si>
  <si>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</si>
  <si>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</si>
  <si>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</si>
  <si>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</si>
  <si>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</si>
  <si>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</si>
  <si>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</si>
  <si>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</si>
  <si>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</si>
  <si>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</si>
  <si>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</si>
  <si>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</si>
  <si>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</si>
  <si>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</si>
  <si>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</si>
  <si>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</si>
  <si>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</si>
  <si>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</si>
  <si>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</si>
  <si>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</si>
  <si>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</si>
  <si>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</si>
  <si>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</si>
  <si>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</si>
  <si>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</si>
  <si>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</si>
  <si>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</si>
  <si>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</si>
  <si>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</si>
  <si>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</si>
  <si>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</si>
  <si>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</si>
  <si>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</si>
  <si>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</si>
  <si>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</si>
  <si>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</si>
  <si>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</si>
  <si>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</si>
  <si>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</si>
  <si>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</si>
  <si>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</si>
  <si>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</si>
  <si>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</si>
  <si>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</si>
  <si>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</si>
  <si>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</si>
  <si>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</si>
  <si>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</si>
  <si>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</si>
  <si>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</si>
  <si>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</si>
  <si>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</si>
  <si>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</si>
  <si>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</si>
  <si>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</si>
  <si>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</si>
  <si>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</si>
  <si>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</si>
  <si>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</si>
  <si>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</si>
  <si>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</si>
  <si>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</si>
  <si>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</si>
  <si>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</si>
  <si>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</si>
  <si>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</si>
  <si>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</si>
  <si>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</si>
  <si>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</si>
  <si>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</si>
  <si>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</si>
  <si>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</si>
  <si>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</si>
  <si>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</si>
  <si>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</si>
  <si>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</si>
  <si>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</si>
  <si>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</si>
  <si>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</si>
  <si>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</si>
  <si>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</si>
  <si>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</si>
  <si>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</si>
  <si>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</si>
  <si>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</si>
  <si>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</si>
  <si>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</si>
  <si>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</si>
  <si>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</si>
  <si>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</si>
  <si>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</si>
  <si>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</si>
  <si>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</si>
  <si>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</si>
  <si>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</si>
  <si>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</si>
  <si>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</si>
  <si>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</si>
  <si>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</si>
  <si>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</si>
  <si>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</si>
  <si>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</si>
  <si>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</si>
  <si>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</si>
  <si>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</si>
  <si>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</si>
  <si>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</si>
  <si>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</si>
  <si>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</si>
  <si>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</si>
  <si>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</si>
  <si>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</si>
  <si>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</si>
  <si>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</si>
  <si>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</si>
  <si>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</si>
  <si>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</si>
  <si>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</si>
  <si>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</si>
  <si>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</si>
  <si>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</si>
  <si>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</si>
  <si>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</si>
  <si>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</si>
  <si>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</si>
  <si>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</si>
  <si>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</si>
  <si>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</si>
  <si>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</si>
  <si>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</si>
  <si>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</si>
  <si>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</si>
  <si>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</si>
  <si>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</si>
  <si>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</si>
  <si>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</si>
  <si>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</si>
  <si>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</si>
  <si>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</si>
  <si>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</si>
  <si>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</si>
  <si>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</si>
  <si>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</si>
  <si>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</si>
  <si>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</si>
  <si>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</si>
  <si>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</si>
  <si>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</si>
  <si>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</si>
  <si>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</si>
  <si>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</si>
  <si>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</si>
  <si>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</si>
  <si>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</si>
  <si>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</si>
  <si>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</si>
  <si>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</si>
  <si>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</si>
  <si>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</si>
  <si>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</si>
  <si>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</si>
  <si>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</si>
  <si>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</si>
  <si>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</si>
  <si>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</si>
  <si>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</si>
  <si>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</si>
  <si>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</si>
  <si>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</si>
  <si>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</si>
  <si>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</si>
  <si>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</si>
  <si>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</si>
  <si>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</si>
  <si>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</si>
  <si>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</si>
  <si>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</si>
  <si>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</si>
  <si>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</si>
  <si>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</si>
  <si>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</si>
  <si>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</si>
  <si>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</si>
  <si>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</si>
  <si>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</si>
  <si>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</si>
  <si>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</si>
  <si>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</si>
  <si>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</si>
  <si>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</si>
  <si>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</si>
  <si>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</si>
  <si>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</si>
  <si>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</si>
  <si>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</si>
  <si>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</si>
  <si>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</si>
  <si>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</si>
  <si>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</si>
  <si>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</si>
  <si>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</si>
  <si>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</si>
  <si>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</si>
  <si>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</si>
  <si>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</si>
  <si>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</si>
  <si>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</si>
  <si>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</si>
  <si>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</si>
  <si>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</si>
  <si>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</si>
  <si>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</si>
  <si>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</si>
  <si>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</si>
  <si>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</si>
  <si>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</si>
  <si>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</si>
  <si>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</si>
  <si>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</si>
  <si>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</si>
  <si>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</si>
  <si>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</si>
  <si>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</si>
  <si>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</si>
  <si>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</si>
  <si>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</si>
  <si>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</si>
  <si>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</si>
  <si>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</si>
  <si>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</si>
  <si>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</si>
  <si>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</si>
  <si>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</si>
  <si>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</si>
  <si>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</si>
  <si>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</si>
  <si>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</si>
  <si>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</si>
  <si>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</si>
  <si>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</si>
  <si>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</si>
  <si>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</si>
  <si>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</si>
  <si>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</si>
  <si>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</si>
  <si>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</si>
  <si>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</si>
  <si>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</si>
  <si>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</si>
  <si>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</si>
  <si>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</si>
  <si>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</si>
  <si>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</si>
  <si>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</si>
  <si>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</si>
  <si>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</si>
  <si>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</si>
  <si>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</si>
  <si>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</si>
  <si>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</si>
  <si>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</si>
  <si>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</si>
  <si>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</si>
  <si>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</si>
  <si>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</si>
  <si>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</si>
  <si>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</si>
  <si>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</si>
  <si>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</si>
  <si>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</si>
  <si>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</si>
  <si>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</si>
  <si>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</si>
  <si>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</si>
  <si>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</si>
  <si>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</si>
  <si>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</si>
  <si>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</si>
  <si>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</si>
  <si>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</si>
  <si>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</si>
  <si>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</si>
  <si>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</si>
  <si>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</si>
  <si>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</si>
  <si>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</si>
  <si>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</si>
  <si>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</si>
  <si>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</si>
  <si>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</si>
  <si>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</si>
  <si>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</si>
  <si>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</si>
  <si>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</si>
  <si>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</si>
  <si>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</si>
  <si>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</si>
  <si>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</si>
  <si>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</si>
  <si>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</si>
  <si>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</si>
  <si>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</si>
  <si>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</si>
  <si>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</si>
  <si>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</si>
  <si>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</si>
  <si>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</si>
  <si>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</si>
  <si>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</si>
  <si>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</si>
  <si>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</si>
  <si>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</si>
  <si>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</si>
  <si>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</si>
  <si>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</si>
  <si>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</si>
  <si>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</si>
  <si>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</si>
  <si>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</si>
  <si>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</si>
  <si>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</si>
  <si>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</si>
  <si>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</si>
  <si>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</si>
  <si>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</si>
  <si>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</si>
  <si>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</si>
  <si>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</si>
  <si>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</si>
  <si>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</si>
  <si>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</si>
  <si>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</si>
  <si>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</si>
  <si>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</si>
  <si>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</si>
  <si>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</si>
  <si>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</si>
  <si>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</si>
  <si>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</si>
  <si>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</si>
  <si>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</si>
  <si>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</si>
  <si>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</si>
  <si>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</si>
  <si>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</si>
  <si>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</si>
  <si>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</si>
  <si>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</si>
  <si>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</si>
  <si>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</si>
  <si>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</si>
  <si>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</si>
  <si>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</si>
  <si>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</si>
  <si>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</si>
  <si>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</si>
  <si>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</si>
  <si>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</si>
  <si>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</si>
  <si>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</si>
  <si>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</si>
  <si>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</si>
  <si>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</si>
  <si>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</si>
  <si>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</si>
  <si>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</si>
  <si>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</si>
  <si>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</si>
  <si>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</si>
  <si>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</si>
  <si>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</si>
  <si>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</si>
  <si>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</si>
  <si>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</si>
  <si>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</si>
  <si>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</si>
  <si>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</si>
  <si>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</si>
  <si>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</si>
  <si>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</si>
  <si>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</si>
  <si>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</si>
  <si>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</si>
  <si>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</si>
  <si>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</si>
  <si>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</si>
  <si>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</si>
  <si>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</si>
  <si>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</si>
  <si>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</si>
  <si>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</si>
  <si>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</si>
  <si>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</si>
  <si>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</si>
  <si>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</si>
  <si>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</si>
  <si>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</si>
  <si>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</si>
  <si>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</si>
  <si>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</si>
  <si>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</si>
  <si>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</si>
  <si>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</si>
  <si>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</si>
  <si>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</si>
  <si>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</si>
  <si>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</si>
  <si>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</si>
  <si>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</si>
  <si>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</si>
  <si>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</si>
  <si>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</si>
  <si>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</si>
  <si>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</si>
  <si>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</si>
  <si>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</si>
  <si>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</si>
  <si>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</si>
  <si>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</si>
  <si>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</si>
  <si>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</si>
  <si>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</si>
  <si>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</si>
  <si>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</si>
  <si>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</si>
  <si>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</si>
  <si>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</si>
  <si>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</si>
  <si>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</si>
  <si>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</si>
  <si>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</si>
  <si>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</si>
  <si>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</si>
  <si>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</si>
  <si>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</si>
  <si>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</si>
  <si>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</si>
  <si>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</si>
  <si>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</si>
  <si>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</si>
  <si>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</si>
  <si>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</si>
  <si>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</si>
  <si>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</si>
  <si>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</si>
  <si>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</si>
  <si>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</si>
  <si>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</si>
  <si>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</si>
  <si>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</si>
  <si>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</si>
  <si>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</si>
  <si>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</si>
  <si>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</si>
  <si>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</si>
  <si>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</si>
  <si>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</si>
  <si>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</si>
  <si>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</si>
  <si>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</si>
  <si>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</si>
  <si>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</si>
  <si>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</si>
  <si>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</si>
  <si>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</si>
  <si>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</si>
  <si>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</si>
  <si>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</si>
  <si>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</si>
  <si>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</si>
  <si>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</si>
  <si>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</si>
  <si>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</si>
  <si>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</si>
  <si>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</si>
  <si>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</si>
  <si>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</si>
  <si>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</si>
  <si>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</si>
  <si>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</si>
  <si>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</si>
  <si>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</si>
  <si>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</si>
  <si>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</si>
  <si>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</si>
  <si>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</si>
  <si>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</si>
  <si>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</si>
  <si>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</si>
  <si>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</si>
  <si>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</si>
  <si>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</si>
  <si>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</si>
  <si>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</si>
  <si>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</si>
  <si>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</si>
  <si>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</si>
  <si>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</si>
  <si>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</si>
  <si>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</si>
  <si>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</si>
  <si>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</si>
  <si>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</si>
  <si>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</si>
  <si>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</si>
  <si>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</si>
  <si>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</si>
  <si>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</si>
  <si>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</si>
  <si>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</si>
  <si>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</si>
  <si>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</si>
  <si>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</si>
  <si>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</si>
  <si>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</si>
  <si>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</si>
  <si>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</si>
  <si>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</si>
  <si>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</si>
  <si>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</si>
  <si>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</si>
  <si>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</si>
  <si>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</si>
  <si>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</si>
  <si>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</si>
  <si>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</si>
  <si>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</si>
  <si>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</si>
  <si>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</si>
  <si>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</si>
  <si>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</si>
  <si>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</si>
  <si>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</si>
  <si>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</si>
  <si>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</si>
  <si>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</si>
  <si>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</si>
  <si>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</si>
  <si>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</si>
  <si>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</si>
  <si>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</si>
  <si>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</si>
  <si>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</si>
  <si>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</si>
  <si>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</si>
  <si>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</si>
  <si>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</si>
  <si>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</si>
  <si>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</si>
  <si>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</si>
  <si>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</si>
  <si>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</si>
  <si>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</si>
  <si>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</si>
  <si>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</si>
  <si>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</si>
  <si>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</si>
  <si>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</si>
  <si>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</si>
  <si>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</si>
  <si>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</si>
  <si>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</si>
  <si>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</si>
  <si>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</si>
  <si>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</si>
  <si>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</si>
  <si>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</si>
  <si>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</si>
  <si>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</si>
  <si>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</si>
  <si>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</si>
  <si>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</si>
  <si>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</si>
  <si>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</si>
  <si>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</si>
  <si>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</si>
  <si>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</si>
  <si>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</si>
  <si>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</si>
  <si>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</si>
  <si>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</si>
  <si>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</si>
  <si>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</si>
  <si>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</si>
  <si>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</si>
  <si>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</si>
  <si>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</si>
  <si>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</si>
  <si>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</si>
  <si>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</si>
  <si>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</si>
  <si>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</si>
  <si>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</si>
  <si>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</si>
  <si>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</si>
  <si>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</si>
  <si>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</si>
  <si>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</si>
  <si>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</si>
  <si>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</si>
  <si>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</si>
  <si>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</si>
  <si>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</si>
  <si>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</si>
  <si>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</si>
  <si>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</si>
  <si>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</si>
  <si>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</si>
  <si>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</si>
  <si>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</si>
  <si>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</si>
  <si>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</si>
  <si>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</si>
  <si>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</si>
  <si>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</si>
  <si>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</si>
  <si>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</si>
  <si>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</si>
  <si>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</si>
  <si>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</si>
  <si>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</si>
  <si>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</si>
  <si>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</si>
  <si>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</si>
  <si>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</si>
  <si>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</si>
  <si>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</si>
  <si>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</si>
  <si>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</si>
  <si>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</si>
  <si>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</si>
  <si>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</si>
  <si>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</si>
  <si>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</si>
  <si>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</si>
  <si>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</si>
  <si>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</si>
  <si>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</si>
  <si>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</si>
  <si>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</si>
  <si>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</si>
  <si>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</si>
  <si>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</si>
  <si>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</si>
  <si>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</si>
  <si>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</si>
  <si>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</si>
  <si>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</si>
  <si>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</si>
  <si>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</si>
  <si>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前锋剑术,部署影哨,获取猫猫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</si>
  <si>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</si>
  <si>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</si>
  <si>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</si>
  <si>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</si>
  <si>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</si>
  <si>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</si>
  <si>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</si>
  <si>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</si>
  <si>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</si>
  <si>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</si>
  <si>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</si>
  <si>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</si>
  <si>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</si>
  <si>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</si>
  <si>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</si>
  <si>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</si>
  <si>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</si>
  <si>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</si>
  <si>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</si>
  <si>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</si>
  <si>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</si>
  <si>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</si>
  <si>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</si>
  <si>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</si>
  <si>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无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</si>
</sst>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B0F0"/>
      <name val="宋体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I22" sqref="AI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789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788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778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686</v>
      </c>
      <c r="AH22" s="8" t="s">
        <v>689</v>
      </c>
      <c r="AI22" s="8" t="s">
        <v>786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724</v>
      </c>
      <c r="B24" t="s">
        <v>139</v>
      </c>
      <c r="D24" t="s">
        <v>725</v>
      </c>
      <c r="E24" s="1" t="s">
        <v>726</v>
      </c>
      <c r="F24" s="8" t="s">
        <v>727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724</v>
      </c>
      <c r="AH24" t="s">
        <v>135</v>
      </c>
      <c r="AI24" s="8" t="s">
        <v>763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729</v>
      </c>
      <c r="BD24" t="s">
        <v>728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 t="s">
        <v>782</v>
      </c>
      <c r="B25" t="s">
        <v>139</v>
      </c>
      <c r="D25" t="s">
        <v>725</v>
      </c>
      <c r="E25" s="1" t="s">
        <v>726</v>
      </c>
      <c r="F25" s="8" t="s">
        <v>727</v>
      </c>
      <c r="G25">
        <v>1</v>
      </c>
      <c r="I25">
        <v>2</v>
      </c>
      <c r="J25">
        <v>90</v>
      </c>
      <c r="K25">
        <v>100</v>
      </c>
      <c r="M25">
        <v>1000</v>
      </c>
      <c r="N25" s="8"/>
      <c r="O25">
        <v>100</v>
      </c>
      <c r="Q25">
        <v>0</v>
      </c>
      <c r="S25">
        <v>0</v>
      </c>
      <c r="U25">
        <v>0</v>
      </c>
      <c r="V25">
        <v>10</v>
      </c>
      <c r="Y25">
        <v>0.05</v>
      </c>
      <c r="Z25">
        <v>1</v>
      </c>
      <c r="AC25">
        <v>0</v>
      </c>
      <c r="AE25">
        <v>-1</v>
      </c>
      <c r="AG25" s="8" t="s">
        <v>779</v>
      </c>
      <c r="AH25" t="s">
        <v>135</v>
      </c>
      <c r="AI25" s="8" t="s">
        <v>808</v>
      </c>
      <c r="AK25">
        <v>3</v>
      </c>
      <c r="AL25">
        <v>-0.5</v>
      </c>
      <c r="AN25">
        <v>1</v>
      </c>
      <c r="AO25">
        <v>0</v>
      </c>
      <c r="AP25">
        <v>0</v>
      </c>
      <c r="AQ25">
        <v>1</v>
      </c>
      <c r="AW25">
        <v>0</v>
      </c>
      <c r="AZ25">
        <v>1</v>
      </c>
      <c r="BB25" s="8" t="s">
        <v>729</v>
      </c>
      <c r="BD25" t="s">
        <v>728</v>
      </c>
      <c r="BE25" t="str">
        <f t="shared" ref="BE25" si="42">"half_"&amp;D25</f>
        <v>half_otter</v>
      </c>
      <c r="BF25" t="str">
        <f t="shared" ref="BF25" si="43">D25</f>
        <v>otter</v>
      </c>
      <c r="BG25" t="s">
        <v>141</v>
      </c>
      <c r="BH25">
        <v>5</v>
      </c>
      <c r="BI25" t="s">
        <v>140</v>
      </c>
      <c r="BM25" t="s">
        <v>136</v>
      </c>
      <c r="BN25" t="s">
        <v>137</v>
      </c>
      <c r="BP25" t="s">
        <v>138</v>
      </c>
      <c r="BQ25" t="s">
        <v>138</v>
      </c>
      <c r="BS25">
        <v>1</v>
      </c>
    </row>
    <row r="26" spans="1:71" x14ac:dyDescent="0.25">
      <c r="A26" s="8" t="s">
        <v>790</v>
      </c>
      <c r="B26" t="s">
        <v>139</v>
      </c>
      <c r="D26" t="s">
        <v>725</v>
      </c>
      <c r="E26" s="1" t="s">
        <v>726</v>
      </c>
      <c r="F26" s="8" t="s">
        <v>727</v>
      </c>
      <c r="G26">
        <v>1</v>
      </c>
      <c r="I26">
        <v>2</v>
      </c>
      <c r="J26">
        <v>90</v>
      </c>
      <c r="K26">
        <v>3</v>
      </c>
      <c r="M26">
        <v>1000</v>
      </c>
      <c r="N26" s="8"/>
      <c r="O26">
        <v>100</v>
      </c>
      <c r="Q26">
        <v>0</v>
      </c>
      <c r="S26">
        <v>0</v>
      </c>
      <c r="U26">
        <v>0</v>
      </c>
      <c r="V26">
        <v>10</v>
      </c>
      <c r="Y26">
        <v>0.05</v>
      </c>
      <c r="Z26">
        <v>1</v>
      </c>
      <c r="AC26">
        <v>0</v>
      </c>
      <c r="AD26">
        <v>1</v>
      </c>
      <c r="AG26" s="8" t="s">
        <v>779</v>
      </c>
      <c r="AH26" t="s">
        <v>135</v>
      </c>
      <c r="AI26" s="8"/>
      <c r="AK26">
        <v>3</v>
      </c>
      <c r="AL26">
        <v>-0.5</v>
      </c>
      <c r="AN26">
        <v>1</v>
      </c>
      <c r="AO26">
        <v>99</v>
      </c>
      <c r="AP26">
        <v>0</v>
      </c>
      <c r="AQ26">
        <v>1</v>
      </c>
      <c r="AW26">
        <v>0</v>
      </c>
      <c r="AZ26">
        <v>1</v>
      </c>
      <c r="BB26" s="8" t="s">
        <v>729</v>
      </c>
      <c r="BD26" t="s">
        <v>728</v>
      </c>
      <c r="BE26" t="str">
        <f t="shared" ref="BE26" si="44">"half_"&amp;D26</f>
        <v>half_otter</v>
      </c>
      <c r="BF26" t="str">
        <f t="shared" ref="BF26" si="45">D26</f>
        <v>otter</v>
      </c>
      <c r="BG26" t="s">
        <v>141</v>
      </c>
      <c r="BH26">
        <v>5</v>
      </c>
      <c r="BI26" t="s">
        <v>140</v>
      </c>
      <c r="BM26" t="s">
        <v>136</v>
      </c>
      <c r="BN26" t="s">
        <v>137</v>
      </c>
      <c r="BP26" t="s">
        <v>138</v>
      </c>
      <c r="BQ26" t="s">
        <v>138</v>
      </c>
      <c r="BS26">
        <v>1</v>
      </c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tabSelected="1" workbookViewId="0">
      <pane xSplit="1" ySplit="3" topLeftCell="B71" activePane="bottomRight" state="frozen"/>
      <selection pane="topRight"/>
      <selection pane="bottomLeft"/>
      <selection pane="bottomRight" activeCell="L87" sqref="L8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774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766</v>
      </c>
      <c r="BT1" s="4" t="s">
        <v>769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771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775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767</v>
      </c>
      <c r="BT2" s="4" t="s">
        <v>770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772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776</v>
      </c>
      <c r="I3" t="s">
        <v>124</v>
      </c>
      <c r="J3" t="s">
        <v>407</v>
      </c>
      <c r="K3" s="3" t="s">
        <v>408</v>
      </c>
      <c r="L3" s="3" t="s">
        <v>757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768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773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429</v>
      </c>
      <c r="BY53" s="4" t="s">
        <v>809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10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10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10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10" x14ac:dyDescent="0.25">
      <c r="CJ68" s="3"/>
    </row>
    <row r="69" spans="1:110" x14ac:dyDescent="0.25">
      <c r="A69" s="8" t="s">
        <v>701</v>
      </c>
      <c r="C69" s="8" t="s">
        <v>684</v>
      </c>
      <c r="K69" s="9"/>
      <c r="L69" s="9"/>
      <c r="AR69" t="s">
        <v>731</v>
      </c>
      <c r="BM69" s="8" t="s">
        <v>810</v>
      </c>
      <c r="CS69" s="8" t="s">
        <v>736</v>
      </c>
    </row>
    <row r="70" spans="1:110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731</v>
      </c>
      <c r="AV70" t="s">
        <v>436</v>
      </c>
      <c r="AX70">
        <v>1</v>
      </c>
      <c r="BB70">
        <v>1</v>
      </c>
      <c r="BC70">
        <v>1</v>
      </c>
      <c r="BD70">
        <v>0.3</v>
      </c>
      <c r="BZ70" s="8" t="s">
        <v>710</v>
      </c>
      <c r="CE70" s="8" t="s">
        <v>711</v>
      </c>
      <c r="CJ70" s="8" t="s">
        <v>777</v>
      </c>
      <c r="CK70" s="8"/>
      <c r="CW70" t="s">
        <v>547</v>
      </c>
    </row>
    <row r="71" spans="1:110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731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723</v>
      </c>
      <c r="CW71" t="s">
        <v>547</v>
      </c>
    </row>
    <row r="72" spans="1:110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10" x14ac:dyDescent="0.25">
      <c r="A73" s="8" t="s">
        <v>760</v>
      </c>
      <c r="C73" s="8" t="s">
        <v>758</v>
      </c>
      <c r="K73" s="3" t="s">
        <v>703</v>
      </c>
      <c r="L73" s="3" t="s">
        <v>761</v>
      </c>
      <c r="AC73">
        <v>1</v>
      </c>
      <c r="BB73">
        <v>1</v>
      </c>
      <c r="BM73" s="8"/>
      <c r="BT73"/>
      <c r="CJ73" s="3"/>
      <c r="CS73" s="8" t="s">
        <v>795</v>
      </c>
    </row>
    <row r="74" spans="1:110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10" x14ac:dyDescent="0.25">
      <c r="A75" s="8" t="s">
        <v>785</v>
      </c>
      <c r="C75" s="8" t="s">
        <v>759</v>
      </c>
      <c r="K75" s="3" t="s">
        <v>703</v>
      </c>
      <c r="L75" s="3" t="s">
        <v>733</v>
      </c>
      <c r="AC75">
        <v>1</v>
      </c>
      <c r="AF75">
        <v>1</v>
      </c>
      <c r="AG75" s="8" t="s">
        <v>705</v>
      </c>
      <c r="BB75">
        <v>1</v>
      </c>
      <c r="CJ75" s="3"/>
      <c r="CS75" s="8" t="s">
        <v>796</v>
      </c>
      <c r="DB75">
        <v>1</v>
      </c>
      <c r="DE75">
        <v>1</v>
      </c>
      <c r="DF75">
        <v>1</v>
      </c>
    </row>
    <row r="76" spans="1:110" x14ac:dyDescent="0.25">
      <c r="A76" s="8"/>
      <c r="C76" s="8"/>
      <c r="AG76" s="8"/>
      <c r="CS76" s="8"/>
    </row>
    <row r="77" spans="1:110" x14ac:dyDescent="0.25">
      <c r="A77" s="8"/>
      <c r="BT77"/>
      <c r="CJ77" s="3"/>
      <c r="CS77" s="8"/>
    </row>
    <row r="78" spans="1:110" x14ac:dyDescent="0.25">
      <c r="A78" s="8" t="s">
        <v>735</v>
      </c>
      <c r="C78" s="8" t="s">
        <v>734</v>
      </c>
      <c r="I78">
        <v>1</v>
      </c>
      <c r="K78" s="3" t="s">
        <v>707</v>
      </c>
      <c r="AC78">
        <v>1</v>
      </c>
      <c r="AG78" s="8" t="s">
        <v>705</v>
      </c>
      <c r="AR78" t="s">
        <v>731</v>
      </c>
      <c r="BB78">
        <v>1</v>
      </c>
      <c r="BQ78">
        <v>0.02</v>
      </c>
      <c r="BT78"/>
      <c r="CJ78" s="3"/>
      <c r="CL78" s="8"/>
    </row>
    <row r="79" spans="1:110" x14ac:dyDescent="0.25">
      <c r="A79" s="8" t="s">
        <v>730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731</v>
      </c>
      <c r="BB79">
        <v>99</v>
      </c>
      <c r="BM79" s="8"/>
      <c r="BQ79">
        <v>0.01</v>
      </c>
      <c r="BZ79" s="8"/>
      <c r="CE79" s="8"/>
      <c r="CJ79" s="3"/>
      <c r="CL79" s="8" t="s">
        <v>732</v>
      </c>
      <c r="CP79">
        <v>0.02</v>
      </c>
      <c r="CS79" s="8" t="s">
        <v>736</v>
      </c>
      <c r="DB79">
        <v>1</v>
      </c>
      <c r="DE79">
        <v>1</v>
      </c>
    </row>
    <row r="80" spans="1:110" x14ac:dyDescent="0.25">
      <c r="A80" s="8" t="s">
        <v>740</v>
      </c>
      <c r="C80" s="8" t="s">
        <v>684</v>
      </c>
      <c r="D80" s="8"/>
      <c r="I80">
        <v>1</v>
      </c>
      <c r="J80" s="8"/>
      <c r="K80" s="3" t="s">
        <v>703</v>
      </c>
      <c r="L80" s="3" t="s">
        <v>733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741</v>
      </c>
      <c r="AX80">
        <v>1</v>
      </c>
      <c r="BB80">
        <v>1</v>
      </c>
      <c r="BM80" s="8"/>
      <c r="BN80" s="8"/>
      <c r="BP80" s="8"/>
      <c r="CE80" s="8" t="s">
        <v>723</v>
      </c>
      <c r="CF80" s="8" t="s">
        <v>737</v>
      </c>
      <c r="CG80" s="8" t="s">
        <v>689</v>
      </c>
      <c r="CL80" s="8" t="s">
        <v>754</v>
      </c>
      <c r="CP80">
        <v>6</v>
      </c>
      <c r="DB80">
        <v>1</v>
      </c>
    </row>
    <row r="81" spans="1:110" x14ac:dyDescent="0.25">
      <c r="A81" s="8" t="s">
        <v>742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743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755</v>
      </c>
      <c r="C82" s="8" t="s">
        <v>684</v>
      </c>
      <c r="I82">
        <v>1</v>
      </c>
      <c r="K82" s="3" t="s">
        <v>703</v>
      </c>
      <c r="L82" s="3" t="s">
        <v>762</v>
      </c>
      <c r="AC82">
        <v>1</v>
      </c>
      <c r="AG82" s="8"/>
      <c r="AJ82" s="8" t="s">
        <v>724</v>
      </c>
      <c r="AT82">
        <v>99</v>
      </c>
      <c r="AV82" s="8" t="s">
        <v>756</v>
      </c>
      <c r="AX82">
        <v>99999</v>
      </c>
      <c r="AZ82">
        <v>2</v>
      </c>
      <c r="BB82">
        <v>1</v>
      </c>
      <c r="BT82"/>
      <c r="CE82" s="8" t="s">
        <v>723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 t="s">
        <v>780</v>
      </c>
      <c r="C84" s="8" t="s">
        <v>684</v>
      </c>
      <c r="I84">
        <v>1</v>
      </c>
      <c r="J84" s="8" t="s">
        <v>787</v>
      </c>
      <c r="K84" s="3" t="s">
        <v>707</v>
      </c>
      <c r="AC84">
        <v>1</v>
      </c>
      <c r="AG84" s="8" t="s">
        <v>705</v>
      </c>
      <c r="AJ84" s="8"/>
      <c r="AT84">
        <v>99</v>
      </c>
      <c r="AV84" s="8" t="s">
        <v>756</v>
      </c>
      <c r="AX84">
        <v>99999</v>
      </c>
      <c r="AZ84">
        <v>2</v>
      </c>
      <c r="BB84">
        <v>1</v>
      </c>
      <c r="BR84">
        <v>0.2</v>
      </c>
      <c r="BT84">
        <v>0</v>
      </c>
      <c r="BU84" s="4">
        <v>5</v>
      </c>
      <c r="BV84" s="4">
        <v>1</v>
      </c>
      <c r="BW84" s="4" t="s">
        <v>707</v>
      </c>
      <c r="CE84" s="8" t="s">
        <v>723</v>
      </c>
      <c r="CJ84" s="3"/>
      <c r="CL84" s="8"/>
      <c r="DB84">
        <v>1</v>
      </c>
      <c r="DE84">
        <v>1</v>
      </c>
      <c r="DF84">
        <v>1</v>
      </c>
    </row>
    <row r="85" spans="1:110" x14ac:dyDescent="0.25">
      <c r="A85" s="8" t="s">
        <v>782</v>
      </c>
      <c r="C85" s="8" t="s">
        <v>783</v>
      </c>
      <c r="I85">
        <v>1</v>
      </c>
      <c r="K85" s="3" t="s">
        <v>703</v>
      </c>
      <c r="L85" s="3" t="s">
        <v>714</v>
      </c>
      <c r="AC85">
        <v>2</v>
      </c>
      <c r="AO85" s="8" t="s">
        <v>708</v>
      </c>
      <c r="AR85" t="s">
        <v>781</v>
      </c>
      <c r="BB85">
        <v>4</v>
      </c>
      <c r="BR85">
        <v>0.2</v>
      </c>
      <c r="CJ85" s="3"/>
      <c r="CS85" s="8" t="s">
        <v>793</v>
      </c>
      <c r="CW85" s="8" t="s">
        <v>784</v>
      </c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 t="s">
        <v>803</v>
      </c>
      <c r="C87" t="s">
        <v>424</v>
      </c>
      <c r="I87">
        <v>1</v>
      </c>
      <c r="J87" s="18" t="s">
        <v>787</v>
      </c>
      <c r="K87" s="18" t="s">
        <v>707</v>
      </c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C87">
        <v>2</v>
      </c>
      <c r="AD87">
        <v>1</v>
      </c>
      <c r="AT87" s="12">
        <v>0.5</v>
      </c>
      <c r="BB87">
        <v>1</v>
      </c>
      <c r="BN87" s="12" t="s">
        <v>797</v>
      </c>
      <c r="BR87">
        <v>6</v>
      </c>
      <c r="BT87" s="14">
        <v>1</v>
      </c>
      <c r="BU87" s="14">
        <v>1</v>
      </c>
      <c r="BV87" s="14">
        <v>1</v>
      </c>
      <c r="BW87" s="17" t="s">
        <v>811</v>
      </c>
      <c r="BX87" s="14"/>
      <c r="BY87" s="14"/>
      <c r="BZ87" s="12"/>
      <c r="CE87" s="8" t="s">
        <v>723</v>
      </c>
      <c r="CH87" s="12"/>
      <c r="CK87" s="12"/>
      <c r="CR87" s="12"/>
      <c r="CU87" s="12"/>
      <c r="CV87" s="12"/>
      <c r="DF87">
        <v>1</v>
      </c>
    </row>
    <row r="88" spans="1:110" x14ac:dyDescent="0.25">
      <c r="A88" s="8" t="s">
        <v>804</v>
      </c>
      <c r="C88" t="s">
        <v>424</v>
      </c>
      <c r="I88">
        <v>1</v>
      </c>
      <c r="K88" s="13" t="s">
        <v>425</v>
      </c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C88">
        <v>2</v>
      </c>
      <c r="AD88">
        <v>1</v>
      </c>
      <c r="AR88" t="s">
        <v>781</v>
      </c>
      <c r="AV88" s="12" t="s">
        <v>439</v>
      </c>
      <c r="AX88">
        <v>1</v>
      </c>
      <c r="BB88">
        <v>99</v>
      </c>
      <c r="BC88">
        <v>11</v>
      </c>
      <c r="BD88">
        <v>0.5</v>
      </c>
      <c r="BM88" s="12"/>
      <c r="BN88" s="12" t="s">
        <v>798</v>
      </c>
      <c r="BR88">
        <v>5.5</v>
      </c>
      <c r="BT88" s="14"/>
      <c r="BU88" s="14"/>
      <c r="BV88" s="14"/>
      <c r="BW88" s="17"/>
      <c r="BX88" s="14"/>
      <c r="BY88" s="14"/>
      <c r="BZ88" s="12"/>
      <c r="CE88" s="8" t="s">
        <v>723</v>
      </c>
      <c r="CH88" s="12"/>
      <c r="CJ88" s="15" t="s">
        <v>799</v>
      </c>
      <c r="CK88" s="12"/>
      <c r="CL88" t="s">
        <v>800</v>
      </c>
      <c r="CM88">
        <v>-0.8</v>
      </c>
      <c r="CP88">
        <v>6</v>
      </c>
      <c r="CR88" s="12"/>
      <c r="CU88" s="12"/>
      <c r="CV88" s="12"/>
      <c r="CW88" t="s">
        <v>516</v>
      </c>
      <c r="DF88">
        <v>1</v>
      </c>
    </row>
    <row r="89" spans="1:110" x14ac:dyDescent="0.25">
      <c r="A89" s="8" t="s">
        <v>805</v>
      </c>
      <c r="C89" s="12" t="s">
        <v>424</v>
      </c>
      <c r="I89">
        <v>1</v>
      </c>
      <c r="J89" s="12"/>
      <c r="K89" s="15" t="s">
        <v>425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C89">
        <v>1</v>
      </c>
      <c r="AG89" s="12" t="s">
        <v>428</v>
      </c>
      <c r="AJ89" s="12"/>
      <c r="AR89" t="s">
        <v>440</v>
      </c>
      <c r="AV89" s="12" t="s">
        <v>801</v>
      </c>
      <c r="AX89">
        <v>9</v>
      </c>
      <c r="AZ89">
        <v>2</v>
      </c>
      <c r="BB89">
        <v>1</v>
      </c>
      <c r="BC89">
        <v>11</v>
      </c>
      <c r="BD89">
        <v>0.5</v>
      </c>
      <c r="BR89">
        <v>5.5</v>
      </c>
      <c r="BT89"/>
      <c r="BU89" s="16"/>
      <c r="BV89" s="16"/>
      <c r="BW89" s="16"/>
      <c r="BX89" s="16"/>
      <c r="BY89" s="16"/>
      <c r="CE89" s="8" t="s">
        <v>723</v>
      </c>
      <c r="CJ89" s="15"/>
      <c r="CL89" s="12"/>
      <c r="DB89">
        <v>1</v>
      </c>
      <c r="DE89">
        <v>1</v>
      </c>
      <c r="DF89">
        <v>1</v>
      </c>
    </row>
    <row r="90" spans="1:110" x14ac:dyDescent="0.25">
      <c r="A90" s="8" t="s">
        <v>806</v>
      </c>
      <c r="C90" t="s">
        <v>424</v>
      </c>
      <c r="I90">
        <v>1</v>
      </c>
      <c r="K90" s="13" t="s">
        <v>425</v>
      </c>
      <c r="L90" s="13" t="s">
        <v>802</v>
      </c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C90">
        <v>2</v>
      </c>
      <c r="AD90">
        <v>1</v>
      </c>
      <c r="AR90" t="s">
        <v>781</v>
      </c>
      <c r="AV90" s="12" t="s">
        <v>439</v>
      </c>
      <c r="AX90">
        <v>1</v>
      </c>
      <c r="BB90">
        <v>99</v>
      </c>
      <c r="BC90">
        <v>11</v>
      </c>
      <c r="BM90" s="12"/>
      <c r="BN90" s="12" t="s">
        <v>798</v>
      </c>
      <c r="BT90" s="14"/>
      <c r="BU90" s="14"/>
      <c r="BV90" s="14"/>
      <c r="BW90" s="14"/>
      <c r="BX90" s="14"/>
      <c r="BY90" s="14"/>
      <c r="BZ90" s="12"/>
      <c r="CH90" s="12"/>
      <c r="CJ90" s="15" t="s">
        <v>799</v>
      </c>
      <c r="CK90" s="12"/>
      <c r="CL90" t="s">
        <v>800</v>
      </c>
      <c r="CM90">
        <v>-0.8</v>
      </c>
      <c r="CP90">
        <v>6</v>
      </c>
      <c r="CR90" s="12"/>
      <c r="CU90" s="12"/>
      <c r="CV90" s="12"/>
      <c r="CW90" t="s">
        <v>516</v>
      </c>
      <c r="DF90">
        <v>1</v>
      </c>
    </row>
    <row r="91" spans="1:110" x14ac:dyDescent="0.25">
      <c r="A91" s="8" t="s">
        <v>807</v>
      </c>
      <c r="C91" t="s">
        <v>424</v>
      </c>
      <c r="I91">
        <v>1</v>
      </c>
      <c r="K91" s="13" t="s">
        <v>425</v>
      </c>
      <c r="L91" s="13" t="s">
        <v>510</v>
      </c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C91">
        <v>2</v>
      </c>
      <c r="AD91">
        <v>1</v>
      </c>
      <c r="AR91" t="s">
        <v>781</v>
      </c>
      <c r="AV91" s="12" t="s">
        <v>439</v>
      </c>
      <c r="AX91">
        <v>1</v>
      </c>
      <c r="BB91">
        <v>99</v>
      </c>
      <c r="BC91">
        <v>11</v>
      </c>
      <c r="BM91" s="12"/>
      <c r="BN91" s="12" t="s">
        <v>798</v>
      </c>
      <c r="BT91" s="14"/>
      <c r="BU91" s="14"/>
      <c r="BV91" s="14"/>
      <c r="BW91" s="14"/>
      <c r="BX91" s="14"/>
      <c r="BY91" s="14"/>
      <c r="BZ91" s="12"/>
      <c r="CH91" s="12"/>
      <c r="CJ91" s="15" t="s">
        <v>799</v>
      </c>
      <c r="CK91" s="12"/>
      <c r="CL91" t="s">
        <v>800</v>
      </c>
      <c r="CM91">
        <v>-0.8</v>
      </c>
      <c r="CP91">
        <v>6</v>
      </c>
      <c r="CR91" s="12"/>
      <c r="CU91" s="12"/>
      <c r="CV91" s="12"/>
      <c r="CW91" t="s">
        <v>516</v>
      </c>
      <c r="DF91">
        <v>1</v>
      </c>
    </row>
    <row r="92" spans="1:110" x14ac:dyDescent="0.25">
      <c r="CJ92" s="3"/>
    </row>
    <row r="93" spans="1:110" x14ac:dyDescent="0.25">
      <c r="A93" s="8" t="s">
        <v>791</v>
      </c>
      <c r="C93" s="8" t="s">
        <v>758</v>
      </c>
      <c r="I93">
        <v>1</v>
      </c>
      <c r="K93" s="3" t="s">
        <v>703</v>
      </c>
      <c r="AC93">
        <v>1</v>
      </c>
      <c r="AR93" s="8" t="s">
        <v>792</v>
      </c>
      <c r="BT93"/>
      <c r="CJ93" s="3"/>
      <c r="CS93" s="8" t="s">
        <v>794</v>
      </c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745</v>
      </c>
      <c r="E4">
        <v>2</v>
      </c>
      <c r="F4">
        <v>2</v>
      </c>
      <c r="K4">
        <v>0.01</v>
      </c>
      <c r="N4">
        <v>1</v>
      </c>
      <c r="P4" t="s">
        <v>749</v>
      </c>
    </row>
    <row r="5" spans="1:16" x14ac:dyDescent="0.25">
      <c r="A5" t="s">
        <v>487</v>
      </c>
      <c r="C5" t="s">
        <v>745</v>
      </c>
      <c r="J5" t="s">
        <v>750</v>
      </c>
      <c r="K5">
        <v>0.01</v>
      </c>
      <c r="P5" t="s">
        <v>749</v>
      </c>
    </row>
    <row r="6" spans="1:16" x14ac:dyDescent="0.25">
      <c r="A6" t="s">
        <v>488</v>
      </c>
      <c r="C6" t="s">
        <v>745</v>
      </c>
      <c r="G6">
        <v>1</v>
      </c>
      <c r="K6">
        <v>0.01</v>
      </c>
      <c r="P6" t="s">
        <v>751</v>
      </c>
    </row>
    <row r="7" spans="1:16" x14ac:dyDescent="0.25">
      <c r="A7" t="s">
        <v>623</v>
      </c>
      <c r="C7" t="s">
        <v>745</v>
      </c>
      <c r="J7" t="s">
        <v>623</v>
      </c>
      <c r="K7">
        <v>9999</v>
      </c>
      <c r="N7">
        <v>1</v>
      </c>
      <c r="P7" t="s">
        <v>746</v>
      </c>
    </row>
    <row r="8" spans="1:16" x14ac:dyDescent="0.25">
      <c r="A8" t="s">
        <v>747</v>
      </c>
      <c r="C8" t="s">
        <v>748</v>
      </c>
      <c r="J8" t="s">
        <v>624</v>
      </c>
    </row>
    <row r="9" spans="1:16" x14ac:dyDescent="0.25">
      <c r="A9" t="s">
        <v>601</v>
      </c>
      <c r="C9" t="s">
        <v>745</v>
      </c>
      <c r="J9" t="s">
        <v>752</v>
      </c>
      <c r="P9" t="s">
        <v>753</v>
      </c>
    </row>
    <row r="10" spans="1:16" x14ac:dyDescent="0.25">
      <c r="A10" s="3" t="s">
        <v>764</v>
      </c>
      <c r="C10" s="8" t="s">
        <v>765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G34" sqref="G3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737</v>
      </c>
      <c r="B4" s="8" t="s">
        <v>738</v>
      </c>
      <c r="C4" t="s">
        <v>739</v>
      </c>
      <c r="E4">
        <v>10</v>
      </c>
      <c r="I4" s="8" t="s">
        <v>744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2025-09-08T03:27:44Z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