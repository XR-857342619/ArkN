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UnityWork\zhou-master\Excel\Main\"/>
    </mc:Choice>
  </mc:AlternateContent>
  <xr:revisionPtr revIDLastSave="0" documentId="13_ncr:1_{6EF8E5E8-89C9-4DB8-B42C-1700DAF6B943}" xr6:coauthVersionLast="47" xr6:coauthVersionMax="47" xr10:uidLastSave="{00000000-0000-0000-0000-000000000000}"/>
  <bookViews>
    <workbookView xWindow="-103" yWindow="-103" windowWidth="24144" windowHeight="14447" firstSheet="2" activeTab="8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F24" i="1" l="1"/>
  <c r="BE24" i="1"/>
  <c r="BF20" i="1"/>
  <c r="BE20" i="1"/>
  <c r="BD20" i="1"/>
  <c r="F20" i="1"/>
  <c r="BF19" i="1"/>
  <c r="BE19" i="1"/>
  <c r="BD19" i="1"/>
  <c r="F19" i="1"/>
  <c r="BF17" i="1"/>
  <c r="BE17" i="1"/>
  <c r="BD17" i="1"/>
  <c r="F17" i="1"/>
  <c r="BF16" i="1"/>
  <c r="BE16" i="1"/>
  <c r="BD16" i="1"/>
  <c r="F16" i="1"/>
  <c r="BF14" i="1"/>
  <c r="BE14" i="1"/>
  <c r="BD14" i="1"/>
  <c r="F14" i="1"/>
  <c r="BF13" i="1"/>
  <c r="BE13" i="1"/>
  <c r="BD13" i="1"/>
  <c r="F13" i="1"/>
  <c r="BF12" i="1"/>
  <c r="BE12" i="1"/>
  <c r="BD12" i="1"/>
  <c r="F12" i="1"/>
  <c r="BF11" i="1"/>
  <c r="BE11" i="1"/>
  <c r="BD11" i="1"/>
  <c r="F11" i="1"/>
  <c r="BF9" i="1"/>
  <c r="BE9" i="1"/>
  <c r="BD9" i="1"/>
  <c r="F9" i="1"/>
  <c r="BF8" i="1"/>
  <c r="BE8" i="1"/>
  <c r="BD8" i="1"/>
  <c r="F8" i="1"/>
  <c r="BF7" i="1"/>
  <c r="BE7" i="1"/>
  <c r="BD7" i="1"/>
  <c r="F7" i="1"/>
  <c r="BF5" i="1"/>
  <c r="BE5" i="1"/>
  <c r="BD5" i="1"/>
  <c r="F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AZ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P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R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<sst xmlns="http://schemas.openxmlformats.org/spreadsheetml/2006/main" count="1536" uniqueCount="801">
  <si>
    <t>Id</t>
  </si>
  <si>
    <t>units</t>
  </si>
  <si>
    <t>string</t>
  </si>
  <si>
    <t>UnitData[]</t>
  </si>
  <si>
    <t>夜刀</t>
  </si>
  <si>
    <t>芬</t>
  </si>
  <si>
    <t>香草</t>
  </si>
  <si>
    <t>翎羽</t>
  </si>
  <si>
    <t>迅使</t>
  </si>
  <si>
    <t>清道夫</t>
  </si>
  <si>
    <t>红豆</t>
  </si>
  <si>
    <t>桃金娘</t>
  </si>
  <si>
    <t>凛冬</t>
  </si>
  <si>
    <t>德克萨斯</t>
  </si>
  <si>
    <t>推进之王</t>
  </si>
  <si>
    <t>风笛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</si>
  <si>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</si>
  <si>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</si>
  <si>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</si>
  <si>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</si>
  <si>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</si>
  <si>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</si>
  <si>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</si>
  <si>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</si>
  <si>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</si>
  <si>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</si>
  <si>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</si>
  <si>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</si>
  <si>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</si>
  <si>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</si>
  <si>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</si>
  <si>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</si>
  <si>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</si>
  <si>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</si>
  <si>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</si>
  <si>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</si>
  <si>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</si>
  <si>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</si>
  <si>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</si>
  <si>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</si>
  <si>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</si>
  <si>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</si>
  <si>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</si>
  <si>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</si>
  <si>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</si>
  <si>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</si>
  <si>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</si>
  <si>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</si>
  <si>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</si>
  <si>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</si>
  <si>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</si>
  <si>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</si>
  <si>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</si>
  <si>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</si>
  <si>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</si>
  <si>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</si>
  <si>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</si>
  <si>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</si>
  <si>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</si>
  <si>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</si>
  <si>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</si>
  <si>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</si>
  <si>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</si>
  <si>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</si>
  <si>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</si>
  <si>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</si>
  <si>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</si>
  <si>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</si>
  <si>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</si>
  <si>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</si>
  <si>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</si>
  <si>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</si>
  <si>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</si>
  <si>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</si>
  <si>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</si>
  <si>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</si>
  <si>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</si>
  <si>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</si>
  <si>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</si>
  <si>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</si>
  <si>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</si>
  <si>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</si>
  <si>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</si>
  <si>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</si>
  <si>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</si>
  <si>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</si>
  <si>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</si>
  <si>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</si>
  <si>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</si>
  <si>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</si>
  <si>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</si>
  <si>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</si>
  <si>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</si>
  <si>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</si>
  <si>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</si>
  <si>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</si>
  <si>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</si>
  <si>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</si>
  <si>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</si>
  <si>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</si>
  <si>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</si>
  <si>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</si>
  <si>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</si>
  <si>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</si>
  <si>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</si>
  <si>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</si>
  <si>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</si>
  <si>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</si>
  <si>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</si>
  <si>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</si>
  <si>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</si>
  <si>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</si>
  <si>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</si>
  <si>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</si>
  <si>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</si>
  <si>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</si>
  <si>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</si>
  <si>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</si>
  <si>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</si>
  <si>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</si>
  <si>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</si>
  <si>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</si>
  <si>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</si>
  <si>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</si>
  <si>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</si>
  <si>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</si>
  <si>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</si>
  <si>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</si>
  <si>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</si>
  <si>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</si>
  <si>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</si>
  <si>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</si>
  <si>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</si>
  <si>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</si>
  <si>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Hip</t>
  </si>
  <si>
    <t>Default</t>
  </si>
  <si>
    <t>Idle</t>
  </si>
  <si>
    <t>Die</t>
  </si>
  <si>
    <t>干员</t>
  </si>
  <si>
    <t>近战位</t>
  </si>
  <si>
    <t>211,81,1500,1500</t>
  </si>
  <si>
    <t>nblade</t>
  </si>
  <si>
    <t>先锋</t>
  </si>
  <si>
    <t>尖兵</t>
  </si>
  <si>
    <t>新手</t>
  </si>
  <si>
    <t>能够阻挡两个敌人</t>
  </si>
  <si>
    <t>{"快速重新部署":"再部署时间(-30)-30秒"}</t>
  </si>
  <si>
    <t>泡普卡加攻</t>
  </si>
  <si>
    <t>fang</t>
  </si>
  <si>
    <t>芬攻击</t>
  </si>
  <si>
    <t>芬加费</t>
  </si>
  <si>
    <t>费用回复</t>
  </si>
  <si>
    <t>{"轻量化":"自身部署费用-1"}</t>
  </si>
  <si>
    <t>wyvern</t>
  </si>
  <si>
    <t>香草攻击,香草被动加攻击</t>
  </si>
  <si>
    <t>香草攻击提升</t>
  </si>
  <si>
    <t>{"攻击提升":"攻击力直接乘算里属于叠加，并非叠乘4%+4%"}</t>
  </si>
  <si>
    <t>falco</t>
  </si>
  <si>
    <t>翎羽攻击,通用杀回</t>
  </si>
  <si>
    <t>翎羽技能</t>
  </si>
  <si>
    <t>冲锋手</t>
  </si>
  <si>
    <t>费用回复,输出</t>
  </si>
  <si>
    <t>击杀敌人后获得1点部署费用，撤退时返还初始部署费用</t>
  </si>
  <si>
    <t>blackd</t>
  </si>
  <si>
    <t>迅使攻击,迅使被动</t>
  </si>
  <si>
    <t>瞬间加费2,迅使2</t>
  </si>
  <si>
    <t>费用回复,防护</t>
  </si>
  <si>
    <t>{"雪境巡逻员 ":"阻挡两个及以上的敌人时，防御力+19%（+3%）"}</t>
  </si>
  <si>
    <t>scave</t>
  </si>
  <si>
    <t>清道夫攻击,清道夫被动</t>
  </si>
  <si>
    <t>瞬间加费2,清道夫攻击提升</t>
  </si>
  <si>
    <t>{"单独行动者":"当周围四格内没有其他友方单位时，攻击力和防御力各直接乘算里属于叠加，并非叠乘5%+5%"}</t>
  </si>
  <si>
    <t>vigna</t>
  </si>
  <si>
    <t>红豆攻击,通用杀回</t>
  </si>
  <si>
    <t>攻击强化2,红豆2</t>
  </si>
  <si>
    <t>{"蛮力穿刺":"攻击时，10%几率当次攻击的攻击力直接乘算里属于叠加，并非叠乘50%+50%。技能中这个几率提高到30%"}</t>
  </si>
  <si>
    <t>myrtle</t>
  </si>
  <si>
    <t>桃金娘攻击,桃金娘被动</t>
  </si>
  <si>
    <t>桃金娘1,桃金娘2</t>
  </si>
  <si>
    <t>执旗手</t>
  </si>
  <si>
    <t>费用回复,治疗</t>
  </si>
  <si>
    <t>技能发动期间阻挡数变为0</t>
  </si>
  <si>
    <t>{"浮光跃金":"在场时，所有【先锋】干员每秒回复28点生命"}</t>
  </si>
  <si>
    <t>headbr</t>
  </si>
  <si>
    <t>凛冬攻击,凛冬被动</t>
  </si>
  <si>
    <t>加费3,凛冬2</t>
  </si>
  <si>
    <t>费用回复,支援</t>
  </si>
  <si>
    <t>{"冲锋领袖":"自身部署费用(-1)-1"}</t>
  </si>
  <si>
    <t>texas</t>
  </si>
  <si>
    <t>德克萨斯攻击,德克萨斯被动</t>
  </si>
  <si>
    <t>加费3,德克萨斯2</t>
  </si>
  <si>
    <t>费用回复,控场</t>
  </si>
  <si>
    <t>{"战术快递":"编入队伍后，额外获得1点初始部署费用"}</t>
  </si>
  <si>
    <t>Skill</t>
  </si>
  <si>
    <t>siege</t>
  </si>
  <si>
    <t>112</t>
  </si>
  <si>
    <t>推王攻击,推王回技力,推王被动</t>
  </si>
  <si>
    <t>推王加费,推王跃空锤,推王碎颅击</t>
  </si>
  <si>
    <t>{"万兽之王":"在场时，所有【先锋】职业干员的攻击力和防御力各+10%（+2%）","粉碎":"周围四格内有敌人倒下时获得1点技力"}</t>
  </si>
  <si>
    <t>Skill_Begin,Skill_Loop,Skill_End</t>
  </si>
  <si>
    <t>bpipe</t>
  </si>
  <si>
    <t>222</t>
  </si>
  <si>
    <t>风笛攻击,风笛被动,通用杀回</t>
  </si>
  <si>
    <t>风笛1,风笛2,风笛3</t>
  </si>
  <si>
    <t>{"精密填弹":"每次攻击有28%的概率攻击力提升至130%，且额外攻击一个目标","军事传统":"编入队伍时所有【先锋】干员的初始技力+8"}</t>
  </si>
  <si>
    <t>#备注</t>
  </si>
  <si>
    <t>技能名</t>
  </si>
  <si>
    <t>描述</t>
  </si>
  <si>
    <t>图标</t>
  </si>
  <si>
    <t>专精程度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</si>
  <si>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</si>
  <si>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</si>
  <si>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</si>
  <si>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</si>
  <si>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</si>
  <si>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</si>
  <si>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</si>
  <si>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</si>
  <si>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</si>
  <si>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</si>
  <si>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</si>
  <si>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</si>
  <si>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</si>
  <si>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</si>
  <si>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</si>
  <si>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</si>
  <si>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</si>
  <si>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</si>
  <si>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</si>
  <si>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</si>
  <si>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</si>
  <si>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</si>
  <si>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</si>
  <si>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</si>
  <si>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</si>
  <si>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</si>
  <si>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</si>
  <si>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</si>
  <si>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</si>
  <si>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</si>
  <si>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</si>
  <si>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</si>
  <si>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</si>
  <si>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</si>
  <si>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</si>
  <si>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</si>
  <si>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</si>
  <si>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</si>
  <si>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</si>
  <si>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</si>
  <si>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</si>
  <si>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</si>
  <si>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</si>
  <si>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</si>
  <si>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</si>
  <si>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</si>
  <si>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</si>
  <si>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</si>
  <si>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</si>
  <si>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</si>
  <si>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</si>
  <si>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</si>
  <si>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</si>
  <si>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</si>
  <si>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</si>
  <si>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</si>
  <si>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</si>
  <si>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</si>
  <si>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</si>
  <si>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</si>
  <si>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</si>
  <si>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</si>
  <si>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</si>
  <si>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</si>
  <si>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</si>
  <si>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</si>
  <si>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</si>
  <si>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</si>
  <si>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</si>
  <si>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</si>
  <si>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</si>
  <si>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</si>
  <si>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</si>
  <si>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</si>
  <si>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</si>
  <si>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</si>
  <si>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</si>
  <si>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</si>
  <si>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</si>
  <si>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</si>
  <si>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</si>
  <si>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</si>
  <si>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</si>
  <si>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</si>
  <si>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</si>
  <si>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</si>
  <si>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</si>
  <si>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</si>
  <si>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</si>
  <si>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</si>
  <si>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</si>
  <si>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</si>
  <si>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</si>
  <si>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</si>
  <si>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</si>
  <si>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</si>
  <si>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</si>
  <si>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</si>
  <si>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</si>
  <si>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</si>
  <si>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</si>
  <si>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</si>
  <si>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</si>
  <si>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</si>
  <si>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</si>
  <si>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</si>
  <si>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</si>
  <si>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</si>
  <si>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</si>
  <si>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</si>
  <si>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</si>
  <si>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</si>
  <si>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</si>
  <si>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</si>
  <si>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</si>
  <si>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</si>
  <si>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</si>
  <si>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</si>
  <si>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</si>
  <si>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</si>
  <si>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</si>
  <si>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</si>
  <si>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</si>
  <si>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</si>
  <si>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</si>
  <si>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</si>
  <si>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</si>
  <si>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</si>
  <si>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</si>
  <si>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</si>
  <si>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</si>
  <si>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</si>
  <si>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</si>
  <si>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</si>
  <si>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</si>
  <si>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</si>
  <si>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</si>
  <si>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</si>
  <si>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</si>
  <si>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</si>
  <si>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</si>
  <si>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</si>
  <si>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</si>
  <si>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</si>
  <si>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</si>
  <si>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</si>
  <si>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</si>
  <si>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</si>
  <si>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</si>
  <si>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</si>
  <si>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</si>
  <si>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</si>
  <si>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</si>
  <si>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</si>
  <si>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</si>
  <si>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</si>
  <si>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</si>
  <si>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</si>
  <si>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</si>
  <si>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</si>
  <si>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</si>
  <si>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</si>
  <si>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</si>
  <si>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</si>
  <si>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</si>
  <si>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</si>
  <si>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</si>
  <si>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</si>
  <si>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</si>
  <si>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</si>
  <si>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</si>
  <si>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</si>
  <si>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</si>
  <si>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</si>
  <si>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</si>
  <si>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</si>
  <si>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</si>
  <si>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</si>
  <si>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</si>
  <si>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</si>
  <si>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</si>
  <si>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</si>
  <si>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</si>
  <si>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</si>
  <si>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</si>
  <si>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</si>
  <si>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</si>
  <si>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</si>
  <si>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</si>
  <si>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</si>
  <si>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</si>
  <si>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</si>
  <si>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</si>
  <si>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</si>
  <si>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</si>
  <si>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</si>
  <si>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</si>
  <si>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</si>
  <si>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</si>
  <si>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</si>
  <si>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</si>
  <si>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</si>
  <si>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</si>
  <si>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</si>
  <si>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</si>
  <si>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</si>
  <si>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</si>
  <si>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</si>
  <si>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</si>
  <si>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</si>
  <si>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</si>
  <si>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</si>
  <si>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</si>
  <si>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普通技能</t>
  </si>
  <si>
    <t>被动</t>
  </si>
  <si>
    <t>眩晕</t>
  </si>
  <si>
    <t>入场</t>
  </si>
  <si>
    <t>仅自己</t>
  </si>
  <si>
    <t>自动</t>
  </si>
  <si>
    <t>血量比例升序</t>
  </si>
  <si>
    <t>跟随攻击</t>
  </si>
  <si>
    <t>自己入场</t>
  </si>
  <si>
    <t>近战</t>
  </si>
  <si>
    <t>终点距离</t>
  </si>
  <si>
    <t>0,0#1,0</t>
  </si>
  <si>
    <t>Normal</t>
  </si>
  <si>
    <t>切割击中</t>
  </si>
  <si>
    <t>出场</t>
  </si>
  <si>
    <t>Magic</t>
  </si>
  <si>
    <t>0,0</t>
  </si>
  <si>
    <t>特技激活</t>
  </si>
  <si>
    <t>手动</t>
  </si>
  <si>
    <t>0,0#0,1#0,-1#1,0#1,1#1,-1#-1,0#-1,1#-1,-1</t>
  </si>
  <si>
    <t>释放技能</t>
  </si>
  <si>
    <t>skill_icon_skcom_quickattack[1]</t>
  </si>
  <si>
    <t>充能释放</t>
  </si>
  <si>
    <t>攻击提升2</t>
  </si>
  <si>
    <t>Attack_Start,Attack_Loop,Attack_End</t>
  </si>
  <si>
    <t>Weapon</t>
  </si>
  <si>
    <t>迅捷打击·α型</t>
  </si>
  <si>
    <t>攻击力+25%，攻击速度+25</t>
  </si>
  <si>
    <t>攻速提升</t>
  </si>
  <si>
    <t>回复技力</t>
  </si>
  <si>
    <t>获得费用</t>
  </si>
  <si>
    <t>冲锋号令·α型</t>
  </si>
  <si>
    <t>立即获得6点部署费用</t>
  </si>
  <si>
    <t>skill_icon_skcom_charge_cost[1]</t>
  </si>
  <si>
    <t>瞬间加费</t>
  </si>
  <si>
    <t>芬被动减费</t>
  </si>
  <si>
    <t>部署费用提升2</t>
  </si>
  <si>
    <t>翎羽攻击</t>
  </si>
  <si>
    <t>通用杀回</t>
  </si>
  <si>
    <t>击杀</t>
  </si>
  <si>
    <t>翎羽加攻速</t>
  </si>
  <si>
    <t>香草攻击</t>
  </si>
  <si>
    <t>冲锋号令·援军</t>
  </si>
  <si>
    <t>获得6点部署费用，攻击力+35%</t>
  </si>
  <si>
    <t>skill_icon_skchr_wyvern_1</t>
  </si>
  <si>
    <t>香草加费</t>
  </si>
  <si>
    <t>香草被动加攻击</t>
  </si>
  <si>
    <t>Attack_Begin,Attack_Loop,Attack_End</t>
  </si>
  <si>
    <t>迅使被动</t>
  </si>
  <si>
    <t>迅使攻击</t>
  </si>
  <si>
    <t>迅使抬手</t>
  </si>
  <si>
    <t>迅使击中</t>
  </si>
  <si>
    <t>瞬间加费2</t>
  </si>
  <si>
    <t>冲锋号令·β型</t>
  </si>
  <si>
    <t>立即获得9点部署费用</t>
  </si>
  <si>
    <t>skill_icon_skcom_charge_cost[2]</t>
  </si>
  <si>
    <t>迅使2</t>
  </si>
  <si>
    <t>持续获得费用</t>
  </si>
  <si>
    <t>冲锋号令·防御</t>
  </si>
  <si>
    <t>立即获得3点部署费用\n技能持续期间内逐渐获得8点部署费用，防御力+80%</t>
  </si>
  <si>
    <t>skill_icon_skchr_blackd_2</t>
  </si>
  <si>
    <t>迅使2瞬发</t>
  </si>
  <si>
    <t>加费1</t>
  </si>
  <si>
    <t>迅使防御提升</t>
  </si>
  <si>
    <t>清道夫被动</t>
  </si>
  <si>
    <t>0.13,0.13</t>
  </si>
  <si>
    <t>清道夫攻击</t>
  </si>
  <si>
    <t>Attack_Pre,Attack,Attack_End</t>
  </si>
  <si>
    <t>清道夫抬手</t>
  </si>
  <si>
    <t>清道夫击中</t>
  </si>
  <si>
    <t>清道夫攻击提升</t>
  </si>
  <si>
    <t>冲锋号令·攻击</t>
  </si>
  <si>
    <t>立即获得11点部署费用\n攻击力+70%</t>
  </si>
  <si>
    <t>skill_icon_skchr_scave_2</t>
  </si>
  <si>
    <t>清道夫加费</t>
  </si>
  <si>
    <t>红豆攻击</t>
  </si>
  <si>
    <t>暴击2</t>
  </si>
  <si>
    <t>红豆抬手</t>
  </si>
  <si>
    <t>红豆击中</t>
  </si>
  <si>
    <t>红豆2</t>
  </si>
  <si>
    <t>槌音</t>
  </si>
  <si>
    <t>攻击间隔略微增大(+0.5)，攻击力+200%</t>
  </si>
  <si>
    <t>skill_icon_skchr_vigna_2</t>
  </si>
  <si>
    <t>红豆buff,红豆刀特效</t>
  </si>
  <si>
    <t>0.5,2</t>
  </si>
  <si>
    <t>Attack_2</t>
  </si>
  <si>
    <t>死亡</t>
  </si>
  <si>
    <t>0.6,0.6</t>
  </si>
  <si>
    <t>固定间隔</t>
  </si>
  <si>
    <t>自己以外</t>
  </si>
  <si>
    <t>凛冬攻击</t>
  </si>
  <si>
    <t>凛冬抬手</t>
  </si>
  <si>
    <t>凛冬击中</t>
  </si>
  <si>
    <t>凛冬被动</t>
  </si>
  <si>
    <t>部署费用提升</t>
  </si>
  <si>
    <t>加费3</t>
  </si>
  <si>
    <t>冲锋号令·γ型</t>
  </si>
  <si>
    <t>立即获得12点部署费用</t>
  </si>
  <si>
    <t>skill_icon_skcom_charge_cost[3]</t>
  </si>
  <si>
    <t>凛冬2</t>
  </si>
  <si>
    <t>乌萨斯战吼</t>
  </si>
  <si>
    <t>技能持续时间内逐渐获得12点部署费用\n所有先锋干员攻击力和防御力+60%，并在击杀敌人时额外获得1点部署费用</t>
  </si>
  <si>
    <t>skill_icon_skchr_headbr_2</t>
  </si>
  <si>
    <t>凛冬2杀回,凛冬2buff</t>
  </si>
  <si>
    <t>凛冬2杀回</t>
  </si>
  <si>
    <t>凛冬2buff</t>
  </si>
  <si>
    <t>凛冬buff</t>
  </si>
  <si>
    <t>德克萨斯攻击</t>
  </si>
  <si>
    <t>德克萨斯抬手</t>
  </si>
  <si>
    <t>德克萨斯击中</t>
  </si>
  <si>
    <t>德克萨斯被动</t>
  </si>
  <si>
    <t>起始</t>
  </si>
  <si>
    <t>德克萨斯2费用</t>
  </si>
  <si>
    <t>德克萨斯2</t>
  </si>
  <si>
    <t>剑雨</t>
  </si>
  <si>
    <t>立即获得12点费用；对周围所有敌人造成两次相当于攻击力170%的法术伤害，并令击中目标晕眩3秒</t>
  </si>
  <si>
    <t>skill_icon_skchr_texas_2</t>
  </si>
  <si>
    <t>0,0#0,1#0,-1#1,0#-1,0#2,0#1,1#1,-1#0,2#0,-2#-1,1#-1,-1#-2,0</t>
  </si>
  <si>
    <t>德克萨斯1范围</t>
  </si>
  <si>
    <t>德克萨斯1击中</t>
  </si>
  <si>
    <t>迅捷打击·γ型</t>
  </si>
  <si>
    <t>攻击力+45%，攻击速度+45</t>
  </si>
  <si>
    <t>通用攻击攻速</t>
  </si>
  <si>
    <t>拉普兰德近战击中</t>
  </si>
  <si>
    <t>死亡回技力</t>
  </si>
  <si>
    <t>{"RecoverPowerCount":1,"IgnoreTip":0,"IgnorePrevent":1}</t>
  </si>
  <si>
    <t>推王攻击</t>
  </si>
  <si>
    <t>推王攻击启动</t>
  </si>
  <si>
    <t>推王被动</t>
  </si>
  <si>
    <t>推王后续被动</t>
  </si>
  <si>
    <t>0.1,0.1</t>
  </si>
  <si>
    <t>推王回技力</t>
  </si>
  <si>
    <t>0,0#0,1#0,-1#1,0#-1,0</t>
  </si>
  <si>
    <t>推王加费</t>
  </si>
  <si>
    <t>推王跃空锤</t>
  </si>
  <si>
    <t>跃空锤</t>
  </si>
  <si>
    <t>下次攻击对四周所有敌人造成相当于攻击力340%的物理伤害，并获得3点部署费用\n可充能3次</t>
  </si>
  <si>
    <t>skill_icon_skchr_siege_2</t>
  </si>
  <si>
    <t>推王2启动</t>
  </si>
  <si>
    <t>推王碎颅击</t>
  </si>
  <si>
    <t>碎颅击</t>
  </si>
  <si>
    <t>攻击间隔增大(+1.0)，攻击时攻击力提高至380%，并且有40%的概率晕眩目标0.5秒</t>
  </si>
  <si>
    <t>skill_icon_skchr_siege_3</t>
  </si>
  <si>
    <t>推王碎颅击Buff</t>
  </si>
  <si>
    <t>推王3启动</t>
  </si>
  <si>
    <t>推王3击中</t>
  </si>
  <si>
    <t>推王攻击间隔变化</t>
  </si>
  <si>
    <t>Skill_2_Begin,Skill_2_Loop,Skill_2_End</t>
  </si>
  <si>
    <t>桃金娘攻击</t>
  </si>
  <si>
    <t>桃金娘抬手</t>
  </si>
  <si>
    <t>桃金娘击中</t>
  </si>
  <si>
    <t>桃金娘被动</t>
  </si>
  <si>
    <t>桃金娘1</t>
  </si>
  <si>
    <t>支援号令·β型</t>
  </si>
  <si>
    <t>停止攻击，持续时间内回复总共14点部署费用</t>
  </si>
  <si>
    <t>skill_icon_skcom_assist_cost[2]</t>
  </si>
  <si>
    <t>投降,阻挡变化</t>
  </si>
  <si>
    <t>桃金娘2</t>
  </si>
  <si>
    <t>治愈之翼</t>
  </si>
  <si>
    <t>停止攻击，持续时间内回复总共16点部署费用，并每秒治疗周围一名友方单位相当于桃金娘攻击力50%的生命</t>
  </si>
  <si>
    <t>skill_icon_skchr_myrtle_2</t>
  </si>
  <si>
    <t>桃金娘加血</t>
  </si>
  <si>
    <t>桃金娘Buff</t>
  </si>
  <si>
    <t>风笛攻击</t>
  </si>
  <si>
    <t>风笛被动</t>
  </si>
  <si>
    <t>{"PowerCount":8}</t>
  </si>
  <si>
    <t>风笛1</t>
  </si>
  <si>
    <t>skill_icon_skchr_bpipe_1</t>
  </si>
  <si>
    <t>0.45,0.45</t>
  </si>
  <si>
    <t>风笛2</t>
  </si>
  <si>
    <t>高效冲击</t>
  </si>
  <si>
    <t>下一次的攻击力提升至200%，且额外攻击一次\n可充能3次</t>
  </si>
  <si>
    <t>skill_icon_skchr_bpipe_2</t>
  </si>
  <si>
    <t>风笛3</t>
  </si>
  <si>
    <t>闭膛连发</t>
  </si>
  <si>
    <t>攻击间隔增大(+70%)，阻挡数+1，攻击力和防御力+120%，攻击变为三连击</t>
  </si>
  <si>
    <t>skill_icon_skchr_bpipe_3</t>
  </si>
  <si>
    <t>风笛3buff</t>
  </si>
  <si>
    <t>1.2,1.2,1,0.7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</si>
  <si>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</si>
  <si>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</si>
  <si>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</si>
  <si>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</si>
  <si>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</si>
  <si>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</si>
  <si>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</si>
  <si>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</si>
  <si>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</si>
  <si>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</si>
  <si>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</si>
  <si>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</si>
  <si>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</si>
  <si>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</si>
  <si>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</si>
  <si>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</si>
  <si>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</si>
  <si>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</si>
  <si>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</si>
  <si>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</si>
  <si>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红豆buff</t>
  </si>
  <si>
    <t>红豆刀buff</t>
  </si>
  <si>
    <t>推王3武器buff</t>
  </si>
  <si>
    <t>相关buff</t>
  </si>
  <si>
    <t>Buff</t>
  </si>
  <si>
    <t>额外目标与伤害</t>
  </si>
  <si>
    <t>{"Chance":0.28,"Rate":1.3,"Count":1}</t>
  </si>
  <si>
    <t>Line</t>
  </si>
  <si>
    <t>FaceCamera</t>
  </si>
  <si>
    <t>ScaleX</t>
  </si>
  <si>
    <t>EffectBase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</si>
  <si>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</si>
  <si>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</si>
  <si>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</si>
  <si>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</si>
  <si>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</si>
  <si>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</si>
  <si>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</si>
  <si>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</si>
  <si>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</si>
  <si>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</si>
  <si>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</si>
  <si>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</si>
  <si>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</si>
  <si>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</si>
  <si>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</si>
  <si>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</si>
  <si>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</si>
  <si>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</si>
  <si>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</si>
  <si>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</si>
  <si>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siege_attack_01_start</t>
  </si>
  <si>
    <t>siege_skill_02_start</t>
  </si>
  <si>
    <t>siege_skill_03_buff_03</t>
  </si>
  <si>
    <t>siege_skill_03_hit</t>
  </si>
  <si>
    <t>siege_skill_03_start</t>
  </si>
  <si>
    <t>blackd_attack_01_hit</t>
  </si>
  <si>
    <t>blackd_attack_01_start</t>
  </si>
  <si>
    <t>scave_attack_01_hit</t>
  </si>
  <si>
    <t>scave_attack_start</t>
  </si>
  <si>
    <t>vigna_attack_01_hit</t>
  </si>
  <si>
    <t>vigna_attack_01_start</t>
  </si>
  <si>
    <t>Wuqi</t>
  </si>
  <si>
    <t>vigna_skill_02_buff</t>
  </si>
  <si>
    <t>vigna_skill_02_buff_02</t>
  </si>
  <si>
    <t>headbr_attack_01_hit</t>
  </si>
  <si>
    <t>headbr_attack_01_start</t>
  </si>
  <si>
    <t>texas_attack_01_hit</t>
  </si>
  <si>
    <t>texas_attack_01_start</t>
  </si>
  <si>
    <t>texas_skill_01_hit</t>
  </si>
  <si>
    <t>#德克萨斯1抬手</t>
  </si>
  <si>
    <t>texas_skill_01_start</t>
  </si>
  <si>
    <t>texas_skill_01_range</t>
  </si>
  <si>
    <t>myrtle_attack_01_hit</t>
  </si>
  <si>
    <t>myrtle_attack_01_start</t>
  </si>
  <si>
    <t>myrtle_skill_02_buff</t>
  </si>
  <si>
    <t>Description</t>
  </si>
  <si>
    <t>Group</t>
  </si>
  <si>
    <t>TeamLimit</t>
  </si>
  <si>
    <t>MapHp</t>
  </si>
  <si>
    <t>UnitTypeEnum[]</t>
  </si>
  <si>
    <t>普通技能</t>
    <phoneticPr fontId="8" type="noConversion"/>
  </si>
  <si>
    <t>夜刀攻击</t>
    <phoneticPr fontId="8" type="noConversion"/>
  </si>
  <si>
    <t>先锋型斯卡蒂</t>
    <phoneticPr fontId="8" type="noConversion"/>
  </si>
  <si>
    <t>干员</t>
    <phoneticPr fontId="8" type="noConversion"/>
  </si>
  <si>
    <t>char_263_skadi</t>
    <phoneticPr fontId="8" type="noConversion"/>
  </si>
  <si>
    <t>Hip</t>
    <phoneticPr fontId="8" type="noConversion"/>
  </si>
  <si>
    <t>先锋</t>
    <phoneticPr fontId="8" type="noConversion"/>
  </si>
  <si>
    <t>icon_skadi</t>
    <phoneticPr fontId="8" type="noConversion"/>
  </si>
  <si>
    <t>half_skadi</t>
    <phoneticPr fontId="8" type="noConversion"/>
  </si>
  <si>
    <t>skadi</t>
    <phoneticPr fontId="8" type="noConversion"/>
  </si>
  <si>
    <t>211,81,1500,1500</t>
    <phoneticPr fontId="8" type="noConversion"/>
  </si>
  <si>
    <t>近战位</t>
    <phoneticPr fontId="8" type="noConversion"/>
  </si>
  <si>
    <t>费用回复</t>
    <phoneticPr fontId="8" type="noConversion"/>
  </si>
  <si>
    <t>Default</t>
    <phoneticPr fontId="8" type="noConversion"/>
  </si>
  <si>
    <t>Idle</t>
    <phoneticPr fontId="8" type="noConversion"/>
  </si>
  <si>
    <t>Die</t>
    <phoneticPr fontId="8" type="noConversion"/>
  </si>
  <si>
    <t>Skill</t>
    <phoneticPr fontId="8" type="noConversion"/>
  </si>
  <si>
    <t>前锋剑术</t>
    <phoneticPr fontId="8" type="noConversion"/>
  </si>
  <si>
    <t>近战</t>
    <phoneticPr fontId="8" type="noConversion"/>
  </si>
  <si>
    <t>被动</t>
    <phoneticPr fontId="8" type="noConversion"/>
  </si>
  <si>
    <t>闪避</t>
    <phoneticPr fontId="8" type="noConversion"/>
  </si>
  <si>
    <t>仅自己</t>
    <phoneticPr fontId="8" type="noConversion"/>
  </si>
  <si>
    <t>前锋剑术攻击</t>
    <phoneticPr fontId="8" type="noConversion"/>
  </si>
  <si>
    <t>自动</t>
    <phoneticPr fontId="8" type="noConversion"/>
  </si>
  <si>
    <t>终点距离</t>
    <phoneticPr fontId="8" type="noConversion"/>
  </si>
  <si>
    <t>群攻</t>
    <phoneticPr fontId="8" type="noConversion"/>
  </si>
  <si>
    <t>Attack</t>
    <phoneticPr fontId="8" type="noConversion"/>
  </si>
  <si>
    <t>跟随攻击</t>
    <phoneticPr fontId="8" type="noConversion"/>
  </si>
  <si>
    <t>先锋型斯卡蒂普通攻击</t>
    <phoneticPr fontId="8" type="noConversion"/>
  </si>
  <si>
    <t>前锋剑术获取闪避</t>
    <phoneticPr fontId="8" type="noConversion"/>
  </si>
  <si>
    <t>自己入场</t>
    <phoneticPr fontId="8" type="noConversion"/>
  </si>
  <si>
    <t>通用闪避</t>
    <phoneticPr fontId="8" type="noConversion"/>
  </si>
  <si>
    <t>0.8,0</t>
    <phoneticPr fontId="8" type="noConversion"/>
  </si>
  <si>
    <t>#02</t>
    <phoneticPr fontId="11" type="noConversion"/>
  </si>
  <si>
    <t>#03</t>
    <phoneticPr fontId="11" type="noConversion"/>
  </si>
  <si>
    <t>#04</t>
    <phoneticPr fontId="11" type="noConversion"/>
  </si>
  <si>
    <t>#05</t>
    <phoneticPr fontId="11" type="noConversion"/>
  </si>
  <si>
    <t>#06</t>
    <phoneticPr fontId="11" type="noConversion"/>
  </si>
  <si>
    <t>先锋型斯卡蒂</t>
    <phoneticPr fontId="11" type="noConversion"/>
  </si>
  <si>
    <t>固定间隔</t>
    <phoneticPr fontId="8" type="noConversion"/>
  </si>
  <si>
    <t>影哨</t>
    <phoneticPr fontId="8" type="noConversion"/>
  </si>
  <si>
    <t>otter</t>
  </si>
  <si>
    <t>242</t>
  </si>
  <si>
    <t>token_10004_otter_motter</t>
    <phoneticPr fontId="8" type="noConversion"/>
  </si>
  <si>
    <t>头像_召唤物_机械水獭</t>
    <phoneticPr fontId="8" type="noConversion"/>
  </si>
  <si>
    <t>特种</t>
    <phoneticPr fontId="8" type="noConversion"/>
  </si>
  <si>
    <t>影哨反隐</t>
    <phoneticPr fontId="8" type="noConversion"/>
  </si>
  <si>
    <t>0,0#1,0#2,0</t>
  </si>
  <si>
    <t>反隐</t>
    <phoneticPr fontId="8" type="noConversion"/>
  </si>
  <si>
    <t>入场</t>
    <phoneticPr fontId="8" type="noConversion"/>
  </si>
  <si>
    <t>显示范围</t>
    <phoneticPr fontId="8" type="noConversion"/>
  </si>
  <si>
    <t>#显示影哨范围</t>
    <phoneticPr fontId="8" type="noConversion"/>
  </si>
  <si>
    <t>{"ShowRange":1}</t>
    <phoneticPr fontId="8" type="noConversion"/>
  </si>
  <si>
    <t>影哨子弹</t>
    <phoneticPr fontId="8" type="noConversion"/>
  </si>
  <si>
    <t>大飞镖</t>
    <phoneticPr fontId="8" type="noConversion"/>
  </si>
  <si>
    <t>frostl_attack_01_trail</t>
  </si>
  <si>
    <t>发射影哨</t>
    <phoneticPr fontId="8" type="noConversion"/>
  </si>
  <si>
    <t>Normal</t>
    <phoneticPr fontId="8" type="noConversion"/>
  </si>
  <si>
    <t>影哨无敌</t>
    <phoneticPr fontId="8" type="noConversion"/>
  </si>
  <si>
    <t>无敌</t>
    <phoneticPr fontId="8" type="noConversion"/>
  </si>
  <si>
    <t>{"LifeTime":0,"Radius":1.4,"Trigger":0.02,"MoveHeight":0,"TriggerTimes":1,"TargetTeam":2,"MaxTargetCount":6}</t>
    <phoneticPr fontId="8" type="noConversion"/>
  </si>
  <si>
    <t>数值变化</t>
  </si>
  <si>
    <t>{"t":["AttackGapAdd","AttackRate"]}</t>
  </si>
  <si>
    <t>红豆刀特效</t>
  </si>
  <si>
    <t>普通Buff</t>
  </si>
  <si>
    <t>{"t":["DefenceRate"]}</t>
  </si>
  <si>
    <t>支援强化</t>
  </si>
  <si>
    <t>{"t":["AttackRate","DefenceRate"]}</t>
  </si>
  <si>
    <t>攻击强化</t>
  </si>
  <si>
    <t>{"t":["AttackRate","DefenceRate","StopCountAdd","AttackGapRate"]}</t>
  </si>
  <si>
    <t>束缚</t>
    <phoneticPr fontId="8" type="noConversion"/>
  </si>
  <si>
    <t>影哨自毁</t>
    <phoneticPr fontId="8" type="noConversion"/>
  </si>
  <si>
    <t>Real</t>
    <phoneticPr fontId="8" type="noConversion"/>
  </si>
  <si>
    <t>TriggerEnum</t>
    <phoneticPr fontId="8" type="noConversion"/>
  </si>
  <si>
    <t>部署干员</t>
    <phoneticPr fontId="8" type="noConversion"/>
  </si>
  <si>
    <t>部署影哨</t>
    <phoneticPr fontId="8" type="noConversion"/>
  </si>
  <si>
    <t>撤退</t>
    <phoneticPr fontId="8" type="noConversion"/>
  </si>
  <si>
    <t>弹道命中</t>
    <phoneticPr fontId="8" type="noConversion"/>
  </si>
  <si>
    <t>影哨反隐,发射影哨,影哨自毁</t>
    <phoneticPr fontId="8" type="noConversion"/>
  </si>
  <si>
    <t>伊内丝部署标记</t>
    <phoneticPr fontId="8" type="noConversion"/>
  </si>
  <si>
    <t>普通Buff</t>
    <phoneticPr fontId="8" type="noConversion"/>
  </si>
  <si>
    <t>可停止</t>
    <phoneticPr fontId="8" type="noConversion"/>
  </si>
  <si>
    <t>CanStop</t>
    <phoneticPr fontId="8" type="noConversion"/>
  </si>
  <si>
    <t>bool</t>
    <phoneticPr fontId="8" type="noConversion"/>
  </si>
  <si>
    <t>初始技力</t>
  </si>
  <si>
    <t>StartPower</t>
  </si>
  <si>
    <t>元素损伤</t>
    <phoneticPr fontId="8" type="noConversion"/>
  </si>
  <si>
    <t>ElementInjure</t>
    <phoneticPr fontId="8" type="noConversion"/>
  </si>
  <si>
    <t>System.Collections.Generic.Dictionary&lt;string,object&gt;</t>
    <phoneticPr fontId="8" type="noConversion"/>
  </si>
  <si>
    <t>使用条件</t>
    <phoneticPr fontId="8" type="noConversion"/>
  </si>
  <si>
    <t>SkillCondition</t>
    <phoneticPr fontId="8" type="noConversion"/>
  </si>
  <si>
    <t>string</t>
    <phoneticPr fontId="8" type="noConversion"/>
  </si>
  <si>
    <t>{"Sanity":600}</t>
    <phoneticPr fontId="8" type="noConversion"/>
  </si>
  <si>
    <t>IdleAnimation</t>
    <phoneticPr fontId="8" type="noConversion"/>
  </si>
  <si>
    <t>StopAttackOnly</t>
    <phoneticPr fontId="8" type="noConversion"/>
  </si>
  <si>
    <t>仅阻挡时可被攻击</t>
    <phoneticPr fontId="8" type="noConversion"/>
  </si>
  <si>
    <t>{"UnitId":"先锋型斯卡蒂","TargetPos":"useSelfPos","SetMod":"Add","UseMod":"UserDirection","UserName":"先锋型斯卡蒂"}</t>
    <phoneticPr fontId="8" type="noConversion"/>
  </si>
  <si>
    <t>攻击</t>
    <phoneticPr fontId="8" type="noConversion"/>
  </si>
  <si>
    <t>先锋型斯卡蒂普通攻击,前锋剑术获取闪避</t>
    <phoneticPr fontId="8" type="noConversion"/>
  </si>
  <si>
    <t>前锋剑术,部署影哨</t>
    <phoneticPr fontId="8" type="noConversion"/>
  </si>
  <si>
    <t>Id</t>
    <phoneticPr fontId="8" type="noConversion"/>
  </si>
  <si>
    <t>仅单面</t>
    <phoneticPr fontId="8" type="noConversion"/>
  </si>
  <si>
    <t>相对路径</t>
    <phoneticPr fontId="8" type="noConversion"/>
  </si>
  <si>
    <t>正面atlas</t>
    <phoneticPr fontId="8" type="noConversion"/>
  </si>
  <si>
    <t>正面png</t>
    <phoneticPr fontId="8" type="noConversion"/>
  </si>
  <si>
    <t>正面skel</t>
    <phoneticPr fontId="8" type="noConversion"/>
  </si>
  <si>
    <t>背面atlas</t>
    <phoneticPr fontId="8" type="noConversion"/>
  </si>
  <si>
    <t>背面png</t>
    <phoneticPr fontId="8" type="noConversion"/>
  </si>
  <si>
    <t>背面skel</t>
    <phoneticPr fontId="8" type="noConversion"/>
  </si>
  <si>
    <t>OnlyFront</t>
    <phoneticPr fontId="8" type="noConversion"/>
  </si>
  <si>
    <t>UseAppHotfixResPath</t>
    <phoneticPr fontId="8" type="noConversion"/>
  </si>
  <si>
    <t>FrontAtlasPath</t>
    <phoneticPr fontId="8" type="noConversion"/>
  </si>
  <si>
    <t>FrontPngPath</t>
    <phoneticPr fontId="8" type="noConversion"/>
  </si>
  <si>
    <t>FrontSkelPath</t>
    <phoneticPr fontId="8" type="noConversion"/>
  </si>
  <si>
    <t>BackAtlasPath</t>
    <phoneticPr fontId="8" type="noConversion"/>
  </si>
  <si>
    <t>BackPngPath</t>
    <phoneticPr fontId="8" type="noConversion"/>
  </si>
  <si>
    <t>BackSkelPath</t>
    <phoneticPr fontId="8" type="noConversion"/>
  </si>
  <si>
    <t>string?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</si>
</sst>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宋体"/>
      <charset val="134"/>
      <scheme val="minor"/>
    </font>
    <font>
      <sz val="11"/>
      <color rgb="FFFFC0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0.5"/>
      <color rgb="FF202122"/>
      <name val="Arial"/>
      <family val="2"/>
    </font>
    <font>
      <sz val="11"/>
      <color rgb="FF000000"/>
      <name val="等线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</font>
    <font>
      <sz val="11"/>
      <color rgb="FF00B0F0"/>
      <name val="宋体"/>
      <family val="3"/>
      <charset val="134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1"/>
      <color rgb="FF00B0F0"/>
      <name val="宋体"/>
      <family val="3"/>
      <charset val="134"/>
    </font>
    <font>
      <sz val="1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9" fillId="0" borderId="0">
      <alignment vertical="center"/>
    </xf>
  </cellStyleXfs>
  <cellXfs count="20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2" borderId="0" xfId="0" applyFont="1" applyFill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0" borderId="0" xfId="0" applyAlignment="1"/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0" fillId="3" borderId="0" xfId="0" applyFill="1">
      <alignment vertical="center"/>
    </xf>
    <xf numFmtId="0" fontId="3" fillId="3" borderId="0" xfId="0" applyFont="1" applyFill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0" fontId="16" fillId="0" borderId="0" xfId="0" applyFont="1">
      <alignment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9" fillId="0" borderId="0" xfId="1">
      <alignment vertical="center"/>
    </xf>
  </cellXfs>
  <cellStyles count="2">
    <cellStyle name="常规" xfId="0" builtinId="0"/>
    <cellStyle name="常规 2" xfId="1" xr:uid="{FE71D452-32E7-40DB-97FB-C755A1FE7CB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21"/>
  <sheetViews>
    <sheetView workbookViewId="0">
      <selection activeCell="E15" sqref="E15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s="8" t="s">
        <v>716</v>
      </c>
    </row>
    <row r="5" spans="1:2" x14ac:dyDescent="0.25">
      <c r="A5" t="s">
        <v>4</v>
      </c>
      <c r="B5" t="s">
        <v>4</v>
      </c>
    </row>
    <row r="6" spans="1:2" x14ac:dyDescent="0.25">
      <c r="A6" s="8" t="s">
        <v>717</v>
      </c>
    </row>
    <row r="7" spans="1:2" x14ac:dyDescent="0.25">
      <c r="A7" t="s">
        <v>5</v>
      </c>
      <c r="B7" t="s">
        <v>5</v>
      </c>
    </row>
    <row r="8" spans="1:2" x14ac:dyDescent="0.25">
      <c r="A8" t="s">
        <v>6</v>
      </c>
      <c r="B8" t="s">
        <v>6</v>
      </c>
    </row>
    <row r="9" spans="1:2" x14ac:dyDescent="0.25">
      <c r="A9" t="s">
        <v>7</v>
      </c>
      <c r="B9" t="s">
        <v>7</v>
      </c>
    </row>
    <row r="10" spans="1:2" x14ac:dyDescent="0.25">
      <c r="A10" s="8" t="s">
        <v>718</v>
      </c>
    </row>
    <row r="11" spans="1:2" x14ac:dyDescent="0.25">
      <c r="A11" t="s">
        <v>8</v>
      </c>
      <c r="B11" t="s">
        <v>8</v>
      </c>
    </row>
    <row r="12" spans="1:2" x14ac:dyDescent="0.25">
      <c r="A12" t="s">
        <v>9</v>
      </c>
      <c r="B12" t="s">
        <v>9</v>
      </c>
    </row>
    <row r="13" spans="1:2" x14ac:dyDescent="0.25">
      <c r="A13" t="s">
        <v>10</v>
      </c>
      <c r="B13" t="s">
        <v>10</v>
      </c>
    </row>
    <row r="14" spans="1:2" x14ac:dyDescent="0.25">
      <c r="A14" t="s">
        <v>11</v>
      </c>
      <c r="B14" t="s">
        <v>11</v>
      </c>
    </row>
    <row r="15" spans="1:2" x14ac:dyDescent="0.25">
      <c r="A15" s="8" t="s">
        <v>719</v>
      </c>
    </row>
    <row r="16" spans="1:2" x14ac:dyDescent="0.25">
      <c r="A16" t="s">
        <v>12</v>
      </c>
      <c r="B16" t="s">
        <v>12</v>
      </c>
    </row>
    <row r="17" spans="1:2" x14ac:dyDescent="0.25">
      <c r="A17" t="s">
        <v>13</v>
      </c>
      <c r="B17" t="s">
        <v>13</v>
      </c>
    </row>
    <row r="18" spans="1:2" x14ac:dyDescent="0.25">
      <c r="A18" s="8" t="s">
        <v>720</v>
      </c>
    </row>
    <row r="19" spans="1:2" x14ac:dyDescent="0.25">
      <c r="A19" t="s">
        <v>14</v>
      </c>
      <c r="B19" t="s">
        <v>14</v>
      </c>
    </row>
    <row r="20" spans="1:2" x14ac:dyDescent="0.25">
      <c r="A20" t="s">
        <v>15</v>
      </c>
      <c r="B20" t="s">
        <v>15</v>
      </c>
    </row>
    <row r="21" spans="1:2" x14ac:dyDescent="0.25">
      <c r="A21" s="8" t="s">
        <v>721</v>
      </c>
      <c r="B21" s="8" t="s">
        <v>721</v>
      </c>
    </row>
  </sheetData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613"/>
  <sheetViews>
    <sheetView workbookViewId="0">
      <pane xSplit="1" ySplit="3" topLeftCell="AC4" activePane="bottomRight" state="frozen"/>
      <selection pane="topRight"/>
      <selection pane="bottomLeft"/>
      <selection pane="bottomRight" activeCell="A4" sqref="A4:XFD4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4.0820312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3" max="43" width="12.5" customWidth="1"/>
    <col min="50" max="50" width="8.5" customWidth="1"/>
    <col min="52" max="52" width="17.75" customWidth="1"/>
    <col min="53" max="53" width="7.83203125" customWidth="1"/>
    <col min="56" max="56" width="24.25" customWidth="1"/>
    <col min="57" max="57" width="13.25" customWidth="1"/>
    <col min="58" max="58" width="16.08203125" customWidth="1"/>
    <col min="59" max="59" width="8" customWidth="1"/>
    <col min="64" max="64" width="39.58203125" customWidth="1"/>
    <col min="65" max="65" width="14" customWidth="1"/>
    <col min="66" max="66" width="14.83203125" customWidth="1"/>
    <col min="67" max="70" width="14" customWidth="1"/>
    <col min="71" max="71" width="19.1640625" customWidth="1"/>
  </cols>
  <sheetData>
    <row r="1" spans="1:71" x14ac:dyDescent="0.25">
      <c r="D1" t="s">
        <v>16</v>
      </c>
      <c r="E1" t="s">
        <v>16</v>
      </c>
      <c r="G1" t="s">
        <v>17</v>
      </c>
      <c r="I1" t="s">
        <v>18</v>
      </c>
      <c r="J1" t="s">
        <v>19</v>
      </c>
      <c r="K1" t="s">
        <v>20</v>
      </c>
      <c r="M1" t="s">
        <v>21</v>
      </c>
      <c r="O1" t="s">
        <v>22</v>
      </c>
      <c r="Q1" t="s">
        <v>23</v>
      </c>
      <c r="S1" t="s">
        <v>24</v>
      </c>
      <c r="U1" t="s">
        <v>25</v>
      </c>
      <c r="V1" t="s">
        <v>26</v>
      </c>
      <c r="X1" t="s">
        <v>27</v>
      </c>
      <c r="Y1" t="s">
        <v>28</v>
      </c>
      <c r="Z1" t="s">
        <v>29</v>
      </c>
      <c r="AA1" t="s">
        <v>30</v>
      </c>
      <c r="AB1" t="s">
        <v>31</v>
      </c>
      <c r="AC1" t="s">
        <v>32</v>
      </c>
      <c r="AD1" t="s">
        <v>33</v>
      </c>
      <c r="AE1" t="s">
        <v>34</v>
      </c>
      <c r="AH1" t="s">
        <v>35</v>
      </c>
      <c r="AI1" t="s">
        <v>36</v>
      </c>
      <c r="AJ1" t="s">
        <v>37</v>
      </c>
      <c r="AK1" t="s">
        <v>38</v>
      </c>
      <c r="AL1" t="s">
        <v>39</v>
      </c>
      <c r="AM1" t="s">
        <v>40</v>
      </c>
      <c r="AN1" t="s">
        <v>41</v>
      </c>
      <c r="AO1" t="s">
        <v>42</v>
      </c>
      <c r="AP1" t="s">
        <v>43</v>
      </c>
      <c r="AQ1" t="s">
        <v>44</v>
      </c>
      <c r="AS1" t="s">
        <v>45</v>
      </c>
      <c r="AT1" t="s">
        <v>46</v>
      </c>
      <c r="AU1" t="s">
        <v>47</v>
      </c>
      <c r="AV1" t="s">
        <v>48</v>
      </c>
      <c r="AW1" t="s">
        <v>49</v>
      </c>
      <c r="AX1" t="s">
        <v>50</v>
      </c>
      <c r="AY1" t="s">
        <v>51</v>
      </c>
      <c r="AZ1" s="8" t="s">
        <v>778</v>
      </c>
      <c r="BA1" t="s">
        <v>52</v>
      </c>
      <c r="BD1" t="s">
        <v>53</v>
      </c>
      <c r="BE1" t="s">
        <v>54</v>
      </c>
      <c r="BF1" t="s">
        <v>55</v>
      </c>
      <c r="BG1" t="s">
        <v>56</v>
      </c>
      <c r="BH1" t="s">
        <v>57</v>
      </c>
    </row>
    <row r="2" spans="1:71" x14ac:dyDescent="0.25">
      <c r="A2" t="s">
        <v>0</v>
      </c>
      <c r="B2" t="s">
        <v>58</v>
      </c>
      <c r="C2" t="s">
        <v>59</v>
      </c>
      <c r="F2" t="s">
        <v>60</v>
      </c>
      <c r="G2" t="s">
        <v>61</v>
      </c>
      <c r="H2" t="s">
        <v>62</v>
      </c>
      <c r="I2" t="s">
        <v>63</v>
      </c>
      <c r="J2" t="s">
        <v>64</v>
      </c>
      <c r="K2" t="s">
        <v>65</v>
      </c>
      <c r="L2" t="s">
        <v>66</v>
      </c>
      <c r="M2" t="s">
        <v>67</v>
      </c>
      <c r="N2" t="s">
        <v>68</v>
      </c>
      <c r="O2" t="s">
        <v>69</v>
      </c>
      <c r="P2" t="s">
        <v>70</v>
      </c>
      <c r="Q2" t="s">
        <v>71</v>
      </c>
      <c r="R2" t="s">
        <v>72</v>
      </c>
      <c r="S2" t="s">
        <v>73</v>
      </c>
      <c r="T2" t="s">
        <v>74</v>
      </c>
      <c r="U2" t="s">
        <v>75</v>
      </c>
      <c r="V2" t="s">
        <v>76</v>
      </c>
      <c r="W2" t="s">
        <v>77</v>
      </c>
      <c r="X2" t="s">
        <v>78</v>
      </c>
      <c r="Y2" t="s">
        <v>79</v>
      </c>
      <c r="Z2" t="s">
        <v>80</v>
      </c>
      <c r="AA2" t="s">
        <v>81</v>
      </c>
      <c r="AB2" t="s">
        <v>82</v>
      </c>
      <c r="AC2" t="s">
        <v>83</v>
      </c>
      <c r="AD2" t="s">
        <v>84</v>
      </c>
      <c r="AE2" t="s">
        <v>85</v>
      </c>
      <c r="AF2" t="s">
        <v>86</v>
      </c>
      <c r="AG2" t="s">
        <v>87</v>
      </c>
      <c r="AH2" t="s">
        <v>88</v>
      </c>
      <c r="AI2" t="s">
        <v>89</v>
      </c>
      <c r="AJ2" t="s">
        <v>90</v>
      </c>
      <c r="AK2" t="s">
        <v>91</v>
      </c>
      <c r="AL2" t="s">
        <v>92</v>
      </c>
      <c r="AM2" t="s">
        <v>93</v>
      </c>
      <c r="AN2" t="s">
        <v>94</v>
      </c>
      <c r="AO2" t="s">
        <v>95</v>
      </c>
      <c r="AP2" t="s">
        <v>96</v>
      </c>
      <c r="AQ2" t="s">
        <v>97</v>
      </c>
      <c r="AR2" t="s">
        <v>98</v>
      </c>
      <c r="AS2" t="s">
        <v>99</v>
      </c>
      <c r="AT2" t="s">
        <v>100</v>
      </c>
      <c r="AU2" t="s">
        <v>101</v>
      </c>
      <c r="AV2" t="s">
        <v>102</v>
      </c>
      <c r="AW2" t="s">
        <v>103</v>
      </c>
      <c r="AX2" t="s">
        <v>104</v>
      </c>
      <c r="AY2" t="s">
        <v>105</v>
      </c>
      <c r="AZ2" s="8" t="s">
        <v>777</v>
      </c>
      <c r="BA2" t="s">
        <v>106</v>
      </c>
      <c r="BB2" t="s">
        <v>107</v>
      </c>
      <c r="BC2" t="s">
        <v>108</v>
      </c>
      <c r="BD2" t="s">
        <v>109</v>
      </c>
      <c r="BE2" t="s">
        <v>110</v>
      </c>
      <c r="BF2" t="s">
        <v>111</v>
      </c>
      <c r="BG2" t="s">
        <v>112</v>
      </c>
      <c r="BH2" t="s">
        <v>113</v>
      </c>
      <c r="BI2" t="s">
        <v>114</v>
      </c>
      <c r="BJ2" t="s">
        <v>115</v>
      </c>
      <c r="BK2" t="s">
        <v>116</v>
      </c>
      <c r="BL2" t="s">
        <v>117</v>
      </c>
      <c r="BM2" t="s">
        <v>118</v>
      </c>
      <c r="BN2" s="8" t="s">
        <v>776</v>
      </c>
      <c r="BO2" t="s">
        <v>119</v>
      </c>
      <c r="BP2" t="s">
        <v>120</v>
      </c>
      <c r="BQ2" t="s">
        <v>121</v>
      </c>
      <c r="BR2" t="s">
        <v>122</v>
      </c>
      <c r="BS2" t="s">
        <v>123</v>
      </c>
    </row>
    <row r="3" spans="1:71" x14ac:dyDescent="0.25">
      <c r="A3" t="s">
        <v>2</v>
      </c>
      <c r="B3" t="s">
        <v>2</v>
      </c>
      <c r="C3" t="s">
        <v>124</v>
      </c>
      <c r="F3" t="s">
        <v>2</v>
      </c>
      <c r="G3" t="s">
        <v>125</v>
      </c>
      <c r="H3" t="s">
        <v>2</v>
      </c>
      <c r="I3" t="s">
        <v>126</v>
      </c>
      <c r="J3" t="s">
        <v>126</v>
      </c>
      <c r="K3" t="s">
        <v>126</v>
      </c>
      <c r="L3" t="s">
        <v>126</v>
      </c>
      <c r="M3" t="s">
        <v>126</v>
      </c>
      <c r="N3" t="s">
        <v>126</v>
      </c>
      <c r="O3" t="s">
        <v>126</v>
      </c>
      <c r="P3" t="s">
        <v>126</v>
      </c>
      <c r="Q3" t="s">
        <v>126</v>
      </c>
      <c r="R3" t="s">
        <v>126</v>
      </c>
      <c r="S3" t="s">
        <v>126</v>
      </c>
      <c r="T3" t="s">
        <v>126</v>
      </c>
      <c r="U3" t="s">
        <v>125</v>
      </c>
      <c r="V3" t="s">
        <v>126</v>
      </c>
      <c r="W3" t="s">
        <v>126</v>
      </c>
      <c r="X3" t="s">
        <v>125</v>
      </c>
      <c r="Y3" t="s">
        <v>125</v>
      </c>
      <c r="Z3" t="s">
        <v>125</v>
      </c>
      <c r="AA3" t="s">
        <v>126</v>
      </c>
      <c r="AB3" t="s">
        <v>125</v>
      </c>
      <c r="AC3" t="s">
        <v>126</v>
      </c>
      <c r="AD3" t="s">
        <v>124</v>
      </c>
      <c r="AE3" t="s">
        <v>126</v>
      </c>
      <c r="AF3" t="s">
        <v>126</v>
      </c>
      <c r="AG3" t="s">
        <v>2</v>
      </c>
      <c r="AH3" t="s">
        <v>2</v>
      </c>
      <c r="AI3" t="s">
        <v>127</v>
      </c>
      <c r="AJ3" t="s">
        <v>127</v>
      </c>
      <c r="AK3" t="s">
        <v>126</v>
      </c>
      <c r="AL3" t="s">
        <v>125</v>
      </c>
      <c r="AM3" t="s">
        <v>124</v>
      </c>
      <c r="AN3" t="s">
        <v>124</v>
      </c>
      <c r="AO3" t="s">
        <v>126</v>
      </c>
      <c r="AP3" t="s">
        <v>125</v>
      </c>
      <c r="AQ3" t="s">
        <v>124</v>
      </c>
      <c r="AS3" t="s">
        <v>125</v>
      </c>
      <c r="AT3" t="s">
        <v>124</v>
      </c>
      <c r="AU3" t="s">
        <v>126</v>
      </c>
      <c r="AV3" t="s">
        <v>128</v>
      </c>
      <c r="AW3" t="s">
        <v>125</v>
      </c>
      <c r="AX3" t="s">
        <v>129</v>
      </c>
      <c r="AY3" t="s">
        <v>124</v>
      </c>
      <c r="AZ3" t="s">
        <v>124</v>
      </c>
      <c r="BA3" t="s">
        <v>125</v>
      </c>
      <c r="BB3" t="s">
        <v>130</v>
      </c>
      <c r="BC3" t="s">
        <v>2</v>
      </c>
      <c r="BD3" t="s">
        <v>2</v>
      </c>
      <c r="BE3" t="s">
        <v>2</v>
      </c>
      <c r="BF3" t="s">
        <v>2</v>
      </c>
      <c r="BG3" t="s">
        <v>131</v>
      </c>
      <c r="BH3" t="s">
        <v>126</v>
      </c>
      <c r="BI3" t="s">
        <v>2</v>
      </c>
      <c r="BJ3" t="s">
        <v>132</v>
      </c>
      <c r="BK3" t="s">
        <v>2</v>
      </c>
      <c r="BL3" t="s">
        <v>133</v>
      </c>
      <c r="BM3" t="s">
        <v>132</v>
      </c>
      <c r="BN3" t="s">
        <v>132</v>
      </c>
      <c r="BO3" t="s">
        <v>132</v>
      </c>
      <c r="BP3" t="s">
        <v>132</v>
      </c>
      <c r="BQ3" t="s">
        <v>132</v>
      </c>
      <c r="BR3" t="s">
        <v>132</v>
      </c>
      <c r="BS3" t="s">
        <v>125</v>
      </c>
    </row>
    <row r="5" spans="1:71" x14ac:dyDescent="0.25">
      <c r="A5" t="s">
        <v>4</v>
      </c>
      <c r="B5" t="s">
        <v>138</v>
      </c>
      <c r="D5" t="s">
        <v>141</v>
      </c>
      <c r="E5">
        <v>502</v>
      </c>
      <c r="F5" t="str">
        <f t="shared" ref="F5" si="0">"char_"&amp;E5&amp;"_"&amp;D5</f>
        <v>char_502_nblade</v>
      </c>
      <c r="G5">
        <v>1</v>
      </c>
      <c r="I5">
        <v>0</v>
      </c>
      <c r="J5">
        <v>30</v>
      </c>
      <c r="K5">
        <v>1030</v>
      </c>
      <c r="M5">
        <v>232</v>
      </c>
      <c r="N5">
        <v>48</v>
      </c>
      <c r="O5">
        <v>192</v>
      </c>
      <c r="Q5">
        <v>0</v>
      </c>
      <c r="S5">
        <v>7</v>
      </c>
      <c r="T5">
        <v>-2</v>
      </c>
      <c r="U5">
        <v>0.5</v>
      </c>
      <c r="V5">
        <v>70</v>
      </c>
      <c r="W5">
        <v>-35</v>
      </c>
      <c r="Y5">
        <v>0.05</v>
      </c>
      <c r="Z5">
        <v>1.05</v>
      </c>
      <c r="AC5">
        <v>1</v>
      </c>
      <c r="AG5" t="s">
        <v>4</v>
      </c>
      <c r="AH5" t="s">
        <v>134</v>
      </c>
      <c r="AI5" s="8" t="s">
        <v>684</v>
      </c>
      <c r="AN5">
        <v>1</v>
      </c>
      <c r="AO5">
        <v>1</v>
      </c>
      <c r="AP5">
        <v>0.5</v>
      </c>
      <c r="AW5">
        <v>0.25</v>
      </c>
      <c r="BB5" t="s">
        <v>142</v>
      </c>
      <c r="BC5" t="s">
        <v>143</v>
      </c>
      <c r="BD5" t="str">
        <f t="shared" ref="BD5" si="1">"icon_"&amp;D5</f>
        <v>icon_nblade</v>
      </c>
      <c r="BE5" t="str">
        <f t="shared" ref="BE5" si="2">"half_"&amp;D5</f>
        <v>half_nblade</v>
      </c>
      <c r="BF5" t="str">
        <f t="shared" ref="BF5" si="3">D5</f>
        <v>nblade</v>
      </c>
      <c r="BG5" t="s">
        <v>140</v>
      </c>
      <c r="BH5">
        <v>2</v>
      </c>
      <c r="BI5" t="s">
        <v>139</v>
      </c>
      <c r="BJ5" t="s">
        <v>144</v>
      </c>
      <c r="BK5" t="s">
        <v>145</v>
      </c>
      <c r="BL5" t="s">
        <v>146</v>
      </c>
      <c r="BM5" t="s">
        <v>135</v>
      </c>
      <c r="BN5" t="s">
        <v>136</v>
      </c>
      <c r="BP5" t="s">
        <v>137</v>
      </c>
      <c r="BQ5" t="s">
        <v>137</v>
      </c>
      <c r="BS5">
        <v>1</v>
      </c>
    </row>
    <row r="7" spans="1:71" x14ac:dyDescent="0.25">
      <c r="A7" t="s">
        <v>5</v>
      </c>
      <c r="B7" t="s">
        <v>138</v>
      </c>
      <c r="D7" t="s">
        <v>148</v>
      </c>
      <c r="E7">
        <v>123</v>
      </c>
      <c r="F7" t="str">
        <f t="shared" ref="F7:F9" si="4">"char_"&amp;E7&amp;"_"&amp;D7</f>
        <v>char_123_fang</v>
      </c>
      <c r="G7">
        <v>1</v>
      </c>
      <c r="I7">
        <v>1</v>
      </c>
      <c r="J7">
        <v>55</v>
      </c>
      <c r="K7">
        <v>1325</v>
      </c>
      <c r="M7">
        <v>325</v>
      </c>
      <c r="O7">
        <v>200</v>
      </c>
      <c r="P7">
        <v>70</v>
      </c>
      <c r="Q7">
        <v>0</v>
      </c>
      <c r="S7">
        <v>11</v>
      </c>
      <c r="T7">
        <v>-2</v>
      </c>
      <c r="U7">
        <v>0.5</v>
      </c>
      <c r="V7">
        <v>70</v>
      </c>
      <c r="W7">
        <v>-10</v>
      </c>
      <c r="Y7">
        <v>0.05</v>
      </c>
      <c r="Z7">
        <v>1.05</v>
      </c>
      <c r="AC7">
        <v>1</v>
      </c>
      <c r="AG7" t="s">
        <v>5</v>
      </c>
      <c r="AH7" t="s">
        <v>134</v>
      </c>
      <c r="AI7" t="s">
        <v>149</v>
      </c>
      <c r="AJ7" t="s">
        <v>150</v>
      </c>
      <c r="AN7">
        <v>1</v>
      </c>
      <c r="AO7">
        <v>2</v>
      </c>
      <c r="AP7">
        <v>0.5</v>
      </c>
      <c r="AW7">
        <v>0.25</v>
      </c>
      <c r="BB7" t="s">
        <v>142</v>
      </c>
      <c r="BC7" t="s">
        <v>143</v>
      </c>
      <c r="BD7" t="str">
        <f t="shared" ref="BD7:BD9" si="5">"icon_"&amp;D7</f>
        <v>icon_fang</v>
      </c>
      <c r="BE7" t="str">
        <f t="shared" ref="BE7:BE9" si="6">"half_"&amp;D7</f>
        <v>half_fang</v>
      </c>
      <c r="BF7" t="str">
        <f t="shared" ref="BF7:BF9" si="7">D7</f>
        <v>fang</v>
      </c>
      <c r="BG7" t="s">
        <v>140</v>
      </c>
      <c r="BH7">
        <v>3</v>
      </c>
      <c r="BI7" t="s">
        <v>139</v>
      </c>
      <c r="BJ7" t="s">
        <v>151</v>
      </c>
      <c r="BK7" t="s">
        <v>145</v>
      </c>
      <c r="BL7" t="s">
        <v>152</v>
      </c>
      <c r="BM7" t="s">
        <v>135</v>
      </c>
      <c r="BN7" t="s">
        <v>136</v>
      </c>
      <c r="BP7" t="s">
        <v>137</v>
      </c>
      <c r="BQ7" t="s">
        <v>137</v>
      </c>
      <c r="BS7">
        <v>1</v>
      </c>
    </row>
    <row r="8" spans="1:71" x14ac:dyDescent="0.25">
      <c r="A8" t="s">
        <v>6</v>
      </c>
      <c r="B8" t="s">
        <v>138</v>
      </c>
      <c r="D8" t="s">
        <v>153</v>
      </c>
      <c r="E8">
        <v>240</v>
      </c>
      <c r="F8" t="str">
        <f t="shared" si="4"/>
        <v>char_240_wyvern</v>
      </c>
      <c r="G8">
        <v>1</v>
      </c>
      <c r="I8">
        <v>1</v>
      </c>
      <c r="J8">
        <v>55</v>
      </c>
      <c r="K8">
        <v>1270</v>
      </c>
      <c r="M8">
        <v>355</v>
      </c>
      <c r="N8">
        <v>70</v>
      </c>
      <c r="O8">
        <v>240</v>
      </c>
      <c r="Q8">
        <v>0</v>
      </c>
      <c r="S8">
        <v>11</v>
      </c>
      <c r="T8">
        <v>-2</v>
      </c>
      <c r="U8">
        <v>0.5</v>
      </c>
      <c r="V8">
        <v>70</v>
      </c>
      <c r="W8">
        <v>-10</v>
      </c>
      <c r="Y8">
        <v>0.05</v>
      </c>
      <c r="Z8">
        <v>1.05</v>
      </c>
      <c r="AC8">
        <v>1</v>
      </c>
      <c r="AG8" t="s">
        <v>6</v>
      </c>
      <c r="AH8" t="s">
        <v>134</v>
      </c>
      <c r="AI8" t="s">
        <v>154</v>
      </c>
      <c r="AJ8" t="s">
        <v>155</v>
      </c>
      <c r="AN8">
        <v>1</v>
      </c>
      <c r="AO8">
        <v>2</v>
      </c>
      <c r="AP8">
        <v>0.5</v>
      </c>
      <c r="AW8">
        <v>0.25</v>
      </c>
      <c r="BB8" t="s">
        <v>142</v>
      </c>
      <c r="BC8" t="s">
        <v>143</v>
      </c>
      <c r="BD8" t="str">
        <f t="shared" si="5"/>
        <v>icon_wyvern</v>
      </c>
      <c r="BE8" t="str">
        <f t="shared" si="6"/>
        <v>half_wyvern</v>
      </c>
      <c r="BF8" t="str">
        <f t="shared" si="7"/>
        <v>wyvern</v>
      </c>
      <c r="BG8" t="s">
        <v>140</v>
      </c>
      <c r="BH8">
        <v>3</v>
      </c>
      <c r="BI8" t="s">
        <v>139</v>
      </c>
      <c r="BJ8" t="s">
        <v>151</v>
      </c>
      <c r="BK8" t="s">
        <v>145</v>
      </c>
      <c r="BL8" t="s">
        <v>156</v>
      </c>
      <c r="BM8" t="s">
        <v>135</v>
      </c>
      <c r="BN8" t="s">
        <v>136</v>
      </c>
      <c r="BP8" t="s">
        <v>137</v>
      </c>
      <c r="BQ8" t="s">
        <v>137</v>
      </c>
      <c r="BS8">
        <v>1</v>
      </c>
    </row>
    <row r="9" spans="1:71" x14ac:dyDescent="0.25">
      <c r="A9" t="s">
        <v>7</v>
      </c>
      <c r="B9" t="s">
        <v>138</v>
      </c>
      <c r="D9" t="s">
        <v>157</v>
      </c>
      <c r="E9">
        <v>192</v>
      </c>
      <c r="F9" t="str">
        <f t="shared" si="4"/>
        <v>char_192_falco</v>
      </c>
      <c r="G9">
        <v>1</v>
      </c>
      <c r="I9">
        <v>1</v>
      </c>
      <c r="J9">
        <v>55</v>
      </c>
      <c r="K9">
        <v>1226</v>
      </c>
      <c r="M9">
        <v>445</v>
      </c>
      <c r="N9">
        <v>71</v>
      </c>
      <c r="O9">
        <v>279</v>
      </c>
      <c r="Q9">
        <v>0</v>
      </c>
      <c r="S9">
        <v>10</v>
      </c>
      <c r="T9">
        <v>-2</v>
      </c>
      <c r="U9">
        <v>0.5</v>
      </c>
      <c r="V9">
        <v>70</v>
      </c>
      <c r="W9">
        <v>-10</v>
      </c>
      <c r="Y9">
        <v>0.05</v>
      </c>
      <c r="Z9">
        <v>1</v>
      </c>
      <c r="AC9">
        <v>1</v>
      </c>
      <c r="AG9" t="s">
        <v>7</v>
      </c>
      <c r="AH9" t="s">
        <v>134</v>
      </c>
      <c r="AI9" t="s">
        <v>158</v>
      </c>
      <c r="AJ9" t="s">
        <v>159</v>
      </c>
      <c r="AN9">
        <v>1</v>
      </c>
      <c r="AO9">
        <v>1</v>
      </c>
      <c r="AP9">
        <v>1</v>
      </c>
      <c r="AW9">
        <v>0.25</v>
      </c>
      <c r="BB9" t="s">
        <v>142</v>
      </c>
      <c r="BC9" t="s">
        <v>160</v>
      </c>
      <c r="BD9" t="str">
        <f t="shared" si="5"/>
        <v>icon_falco</v>
      </c>
      <c r="BE9" t="str">
        <f t="shared" si="6"/>
        <v>half_falco</v>
      </c>
      <c r="BF9" t="str">
        <f t="shared" si="7"/>
        <v>falco</v>
      </c>
      <c r="BG9" t="s">
        <v>140</v>
      </c>
      <c r="BH9">
        <v>3</v>
      </c>
      <c r="BI9" t="s">
        <v>139</v>
      </c>
      <c r="BJ9" t="s">
        <v>161</v>
      </c>
      <c r="BK9" t="s">
        <v>162</v>
      </c>
      <c r="BL9" t="s">
        <v>156</v>
      </c>
      <c r="BM9" t="s">
        <v>135</v>
      </c>
      <c r="BN9" t="s">
        <v>136</v>
      </c>
      <c r="BP9" t="s">
        <v>137</v>
      </c>
      <c r="BQ9" t="s">
        <v>137</v>
      </c>
      <c r="BS9">
        <v>1</v>
      </c>
    </row>
    <row r="11" spans="1:71" x14ac:dyDescent="0.25">
      <c r="A11" t="s">
        <v>8</v>
      </c>
      <c r="B11" t="s">
        <v>138</v>
      </c>
      <c r="D11" t="s">
        <v>163</v>
      </c>
      <c r="E11">
        <v>198</v>
      </c>
      <c r="F11" t="str">
        <f t="shared" ref="F11" si="8">"char_"&amp;E11&amp;"_"&amp;D11</f>
        <v>char_198_blackd</v>
      </c>
      <c r="G11">
        <v>1</v>
      </c>
      <c r="I11">
        <v>2</v>
      </c>
      <c r="J11">
        <v>70</v>
      </c>
      <c r="K11">
        <v>1985</v>
      </c>
      <c r="M11">
        <v>435</v>
      </c>
      <c r="O11">
        <v>322</v>
      </c>
      <c r="P11">
        <v>83</v>
      </c>
      <c r="Q11">
        <v>0</v>
      </c>
      <c r="S11">
        <v>12</v>
      </c>
      <c r="T11">
        <v>-2</v>
      </c>
      <c r="U11">
        <v>0.5</v>
      </c>
      <c r="V11">
        <v>70</v>
      </c>
      <c r="W11">
        <v>-4</v>
      </c>
      <c r="Y11">
        <v>0.05</v>
      </c>
      <c r="Z11">
        <v>1.05</v>
      </c>
      <c r="AC11">
        <v>1</v>
      </c>
      <c r="AG11" t="s">
        <v>8</v>
      </c>
      <c r="AH11" t="s">
        <v>134</v>
      </c>
      <c r="AI11" t="s">
        <v>164</v>
      </c>
      <c r="AJ11" t="s">
        <v>165</v>
      </c>
      <c r="AN11">
        <v>1</v>
      </c>
      <c r="AO11">
        <v>2</v>
      </c>
      <c r="AP11">
        <v>0.5</v>
      </c>
      <c r="AW11">
        <v>0.25</v>
      </c>
      <c r="BB11" t="s">
        <v>142</v>
      </c>
      <c r="BC11" t="s">
        <v>143</v>
      </c>
      <c r="BD11" t="str">
        <f t="shared" ref="BD11" si="9">"icon_"&amp;D11</f>
        <v>icon_blackd</v>
      </c>
      <c r="BE11" t="str">
        <f t="shared" ref="BE11" si="10">"half_"&amp;D11</f>
        <v>half_blackd</v>
      </c>
      <c r="BF11" t="str">
        <f t="shared" ref="BF11" si="11">D11</f>
        <v>blackd</v>
      </c>
      <c r="BG11" t="s">
        <v>140</v>
      </c>
      <c r="BH11">
        <v>4</v>
      </c>
      <c r="BI11" t="s">
        <v>139</v>
      </c>
      <c r="BJ11" t="s">
        <v>166</v>
      </c>
      <c r="BK11" t="s">
        <v>145</v>
      </c>
      <c r="BL11" t="s">
        <v>167</v>
      </c>
      <c r="BM11" t="s">
        <v>135</v>
      </c>
      <c r="BN11" t="s">
        <v>136</v>
      </c>
      <c r="BP11" t="s">
        <v>137</v>
      </c>
      <c r="BQ11" t="s">
        <v>137</v>
      </c>
      <c r="BS11">
        <v>1</v>
      </c>
    </row>
    <row r="12" spans="1:71" x14ac:dyDescent="0.25">
      <c r="A12" t="s">
        <v>9</v>
      </c>
      <c r="B12" t="s">
        <v>138</v>
      </c>
      <c r="D12" t="s">
        <v>168</v>
      </c>
      <c r="E12">
        <v>149</v>
      </c>
      <c r="F12" t="str">
        <f t="shared" ref="F12" si="12">"char_"&amp;E12&amp;"_"&amp;D12</f>
        <v>char_149_scave</v>
      </c>
      <c r="G12">
        <v>1</v>
      </c>
      <c r="I12">
        <v>2</v>
      </c>
      <c r="J12">
        <v>70</v>
      </c>
      <c r="K12">
        <v>1835</v>
      </c>
      <c r="M12">
        <v>470</v>
      </c>
      <c r="N12">
        <v>85</v>
      </c>
      <c r="O12">
        <v>310</v>
      </c>
      <c r="Q12">
        <v>0</v>
      </c>
      <c r="S12">
        <v>12</v>
      </c>
      <c r="T12">
        <v>-2</v>
      </c>
      <c r="U12">
        <v>0.5</v>
      </c>
      <c r="V12">
        <v>70</v>
      </c>
      <c r="W12">
        <v>-4</v>
      </c>
      <c r="Y12">
        <v>0.05</v>
      </c>
      <c r="Z12">
        <v>1.05</v>
      </c>
      <c r="AC12">
        <v>1</v>
      </c>
      <c r="AG12" t="s">
        <v>9</v>
      </c>
      <c r="AH12" t="s">
        <v>134</v>
      </c>
      <c r="AI12" t="s">
        <v>169</v>
      </c>
      <c r="AJ12" t="s">
        <v>170</v>
      </c>
      <c r="AN12">
        <v>1</v>
      </c>
      <c r="AO12">
        <v>2</v>
      </c>
      <c r="AP12">
        <v>0.5</v>
      </c>
      <c r="AW12">
        <v>0.25</v>
      </c>
      <c r="BB12" t="s">
        <v>142</v>
      </c>
      <c r="BC12" t="s">
        <v>143</v>
      </c>
      <c r="BD12" t="str">
        <f t="shared" ref="BD12" si="13">"icon_"&amp;D12</f>
        <v>icon_scave</v>
      </c>
      <c r="BE12" t="str">
        <f t="shared" ref="BE12" si="14">"half_"&amp;D12</f>
        <v>half_scave</v>
      </c>
      <c r="BF12" t="str">
        <f t="shared" ref="BF12" si="15">D12</f>
        <v>scave</v>
      </c>
      <c r="BG12" t="s">
        <v>140</v>
      </c>
      <c r="BH12">
        <v>4</v>
      </c>
      <c r="BI12" t="s">
        <v>139</v>
      </c>
      <c r="BJ12" t="s">
        <v>151</v>
      </c>
      <c r="BK12" t="s">
        <v>145</v>
      </c>
      <c r="BL12" t="s">
        <v>171</v>
      </c>
      <c r="BM12" t="s">
        <v>135</v>
      </c>
      <c r="BN12" t="s">
        <v>136</v>
      </c>
      <c r="BP12" t="s">
        <v>137</v>
      </c>
      <c r="BQ12" t="s">
        <v>137</v>
      </c>
      <c r="BS12">
        <v>1</v>
      </c>
    </row>
    <row r="13" spans="1:71" x14ac:dyDescent="0.25">
      <c r="A13" t="s">
        <v>10</v>
      </c>
      <c r="B13" t="s">
        <v>138</v>
      </c>
      <c r="D13" t="s">
        <v>172</v>
      </c>
      <c r="E13">
        <v>290</v>
      </c>
      <c r="F13" t="str">
        <f t="shared" ref="F13" si="16">"char_"&amp;E13&amp;"_"&amp;D13</f>
        <v>char_290_vigna</v>
      </c>
      <c r="G13">
        <v>1</v>
      </c>
      <c r="I13">
        <v>2</v>
      </c>
      <c r="J13">
        <v>70</v>
      </c>
      <c r="K13">
        <v>1845</v>
      </c>
      <c r="M13">
        <v>558</v>
      </c>
      <c r="N13">
        <v>84</v>
      </c>
      <c r="O13">
        <v>351</v>
      </c>
      <c r="Q13">
        <v>0</v>
      </c>
      <c r="S13">
        <v>11</v>
      </c>
      <c r="T13">
        <v>-2</v>
      </c>
      <c r="U13">
        <v>0.5</v>
      </c>
      <c r="V13">
        <v>70</v>
      </c>
      <c r="W13">
        <v>-4</v>
      </c>
      <c r="Y13">
        <v>0.05</v>
      </c>
      <c r="Z13">
        <v>1</v>
      </c>
      <c r="AC13">
        <v>1</v>
      </c>
      <c r="AG13" t="s">
        <v>10</v>
      </c>
      <c r="AH13" t="s">
        <v>134</v>
      </c>
      <c r="AI13" t="s">
        <v>173</v>
      </c>
      <c r="AJ13" t="s">
        <v>174</v>
      </c>
      <c r="AN13">
        <v>1</v>
      </c>
      <c r="AO13">
        <v>1</v>
      </c>
      <c r="AP13">
        <v>1</v>
      </c>
      <c r="AW13">
        <v>0.25</v>
      </c>
      <c r="BB13" t="s">
        <v>142</v>
      </c>
      <c r="BC13" t="s">
        <v>160</v>
      </c>
      <c r="BD13" t="str">
        <f t="shared" ref="BD13" si="17">"icon_"&amp;D13</f>
        <v>icon_vigna</v>
      </c>
      <c r="BE13" t="str">
        <f t="shared" ref="BE13" si="18">"half_"&amp;D13</f>
        <v>half_vigna</v>
      </c>
      <c r="BF13" t="str">
        <f t="shared" ref="BF13" si="19">D13</f>
        <v>vigna</v>
      </c>
      <c r="BG13" t="s">
        <v>140</v>
      </c>
      <c r="BH13">
        <v>4</v>
      </c>
      <c r="BI13" t="s">
        <v>139</v>
      </c>
      <c r="BJ13" t="s">
        <v>161</v>
      </c>
      <c r="BK13" t="s">
        <v>162</v>
      </c>
      <c r="BL13" t="s">
        <v>175</v>
      </c>
      <c r="BM13" t="s">
        <v>135</v>
      </c>
      <c r="BN13" t="s">
        <v>136</v>
      </c>
      <c r="BP13" t="s">
        <v>137</v>
      </c>
      <c r="BQ13" t="s">
        <v>137</v>
      </c>
      <c r="BS13">
        <v>1</v>
      </c>
    </row>
    <row r="14" spans="1:71" x14ac:dyDescent="0.25">
      <c r="A14" t="s">
        <v>11</v>
      </c>
      <c r="B14" t="s">
        <v>138</v>
      </c>
      <c r="D14" t="s">
        <v>176</v>
      </c>
      <c r="E14">
        <v>151</v>
      </c>
      <c r="F14" t="str">
        <f t="shared" ref="F14" si="20">"char_"&amp;E14&amp;"_"&amp;D14</f>
        <v>char_151_myrtle</v>
      </c>
      <c r="G14">
        <v>1</v>
      </c>
      <c r="I14">
        <v>2</v>
      </c>
      <c r="J14">
        <v>70</v>
      </c>
      <c r="K14">
        <v>1565</v>
      </c>
      <c r="M14">
        <v>520</v>
      </c>
      <c r="O14">
        <v>300</v>
      </c>
      <c r="P14">
        <v>50</v>
      </c>
      <c r="Q14">
        <v>0</v>
      </c>
      <c r="S14">
        <v>10</v>
      </c>
      <c r="T14">
        <v>-2</v>
      </c>
      <c r="U14">
        <v>0.5</v>
      </c>
      <c r="V14">
        <v>70</v>
      </c>
      <c r="W14">
        <v>-4</v>
      </c>
      <c r="Y14">
        <v>0.05</v>
      </c>
      <c r="Z14">
        <v>1.3</v>
      </c>
      <c r="AC14">
        <v>1</v>
      </c>
      <c r="AG14" t="s">
        <v>11</v>
      </c>
      <c r="AH14" t="s">
        <v>134</v>
      </c>
      <c r="AI14" t="s">
        <v>177</v>
      </c>
      <c r="AJ14" t="s">
        <v>178</v>
      </c>
      <c r="AN14">
        <v>1</v>
      </c>
      <c r="AO14">
        <v>1</v>
      </c>
      <c r="AP14">
        <v>0.5</v>
      </c>
      <c r="AW14">
        <v>0.25</v>
      </c>
      <c r="BB14" t="s">
        <v>142</v>
      </c>
      <c r="BC14" t="s">
        <v>179</v>
      </c>
      <c r="BD14" t="str">
        <f t="shared" ref="BD14" si="21">"icon_"&amp;D14</f>
        <v>icon_myrtle</v>
      </c>
      <c r="BE14" t="str">
        <f t="shared" ref="BE14" si="22">"half_"&amp;D14</f>
        <v>half_myrtle</v>
      </c>
      <c r="BF14" t="str">
        <f t="shared" ref="BF14" si="23">D14</f>
        <v>myrtle</v>
      </c>
      <c r="BG14" t="s">
        <v>140</v>
      </c>
      <c r="BH14">
        <v>4</v>
      </c>
      <c r="BI14" t="s">
        <v>139</v>
      </c>
      <c r="BJ14" t="s">
        <v>180</v>
      </c>
      <c r="BK14" t="s">
        <v>181</v>
      </c>
      <c r="BL14" t="s">
        <v>182</v>
      </c>
      <c r="BM14" t="s">
        <v>135</v>
      </c>
      <c r="BN14" t="s">
        <v>136</v>
      </c>
      <c r="BP14" t="s">
        <v>137</v>
      </c>
      <c r="BQ14" t="s">
        <v>137</v>
      </c>
      <c r="BS14">
        <v>1.1000000000000001</v>
      </c>
    </row>
    <row r="16" spans="1:71" x14ac:dyDescent="0.25">
      <c r="A16" t="s">
        <v>12</v>
      </c>
      <c r="B16" t="s">
        <v>138</v>
      </c>
      <c r="D16" t="s">
        <v>183</v>
      </c>
      <c r="E16">
        <v>115</v>
      </c>
      <c r="F16" t="str">
        <f t="shared" ref="F16" si="24">"char_"&amp;E16&amp;"_"&amp;D16</f>
        <v>char_115_headbr</v>
      </c>
      <c r="G16">
        <v>1</v>
      </c>
      <c r="I16">
        <v>2</v>
      </c>
      <c r="J16">
        <v>80</v>
      </c>
      <c r="K16">
        <v>2150</v>
      </c>
      <c r="M16">
        <v>470</v>
      </c>
      <c r="O16">
        <v>350</v>
      </c>
      <c r="P16">
        <v>94</v>
      </c>
      <c r="Q16">
        <v>0</v>
      </c>
      <c r="S16">
        <v>13</v>
      </c>
      <c r="T16">
        <v>-2</v>
      </c>
      <c r="U16">
        <v>0.5</v>
      </c>
      <c r="V16">
        <v>70</v>
      </c>
      <c r="W16">
        <v>-10</v>
      </c>
      <c r="Y16">
        <v>0.05</v>
      </c>
      <c r="Z16">
        <v>1.05</v>
      </c>
      <c r="AC16">
        <v>1</v>
      </c>
      <c r="AG16" t="s">
        <v>12</v>
      </c>
      <c r="AH16" t="s">
        <v>134</v>
      </c>
      <c r="AI16" t="s">
        <v>184</v>
      </c>
      <c r="AJ16" t="s">
        <v>185</v>
      </c>
      <c r="AN16">
        <v>1</v>
      </c>
      <c r="AO16">
        <v>2</v>
      </c>
      <c r="AP16">
        <v>0.5</v>
      </c>
      <c r="AW16">
        <v>0.25</v>
      </c>
      <c r="BB16" t="s">
        <v>142</v>
      </c>
      <c r="BC16" t="s">
        <v>143</v>
      </c>
      <c r="BD16" t="str">
        <f t="shared" ref="BD16" si="25">"icon_"&amp;D16</f>
        <v>icon_headbr</v>
      </c>
      <c r="BE16" t="str">
        <f t="shared" ref="BE16" si="26">"half_"&amp;D16</f>
        <v>half_headbr</v>
      </c>
      <c r="BF16" t="str">
        <f t="shared" ref="BF16" si="27">D16</f>
        <v>headbr</v>
      </c>
      <c r="BG16" t="s">
        <v>140</v>
      </c>
      <c r="BH16">
        <v>5</v>
      </c>
      <c r="BI16" t="s">
        <v>139</v>
      </c>
      <c r="BJ16" t="s">
        <v>186</v>
      </c>
      <c r="BK16" t="s">
        <v>145</v>
      </c>
      <c r="BL16" t="s">
        <v>187</v>
      </c>
      <c r="BM16" t="s">
        <v>135</v>
      </c>
      <c r="BN16" t="s">
        <v>136</v>
      </c>
      <c r="BP16" t="s">
        <v>137</v>
      </c>
      <c r="BQ16" t="s">
        <v>137</v>
      </c>
      <c r="BS16">
        <v>1</v>
      </c>
    </row>
    <row r="17" spans="1:71" x14ac:dyDescent="0.25">
      <c r="A17" t="s">
        <v>13</v>
      </c>
      <c r="B17" t="s">
        <v>138</v>
      </c>
      <c r="D17" t="s">
        <v>188</v>
      </c>
      <c r="E17">
        <v>102</v>
      </c>
      <c r="F17" t="str">
        <f t="shared" ref="F17" si="28">"char_"&amp;E17&amp;"_"&amp;D17</f>
        <v>char_102_texas</v>
      </c>
      <c r="G17">
        <v>1</v>
      </c>
      <c r="I17">
        <v>2</v>
      </c>
      <c r="J17">
        <v>80</v>
      </c>
      <c r="K17">
        <v>1950</v>
      </c>
      <c r="M17">
        <v>500</v>
      </c>
      <c r="N17">
        <v>94</v>
      </c>
      <c r="O17">
        <v>343</v>
      </c>
      <c r="Q17">
        <v>0</v>
      </c>
      <c r="S17">
        <v>13</v>
      </c>
      <c r="T17">
        <v>-2</v>
      </c>
      <c r="U17">
        <v>0.5</v>
      </c>
      <c r="V17">
        <v>70</v>
      </c>
      <c r="W17">
        <v>-10</v>
      </c>
      <c r="Y17">
        <v>0.05</v>
      </c>
      <c r="Z17">
        <v>1.05</v>
      </c>
      <c r="AC17">
        <v>1</v>
      </c>
      <c r="AG17" t="s">
        <v>13</v>
      </c>
      <c r="AH17" t="s">
        <v>134</v>
      </c>
      <c r="AI17" t="s">
        <v>189</v>
      </c>
      <c r="AJ17" t="s">
        <v>190</v>
      </c>
      <c r="AN17">
        <v>1</v>
      </c>
      <c r="AO17">
        <v>2</v>
      </c>
      <c r="AP17">
        <v>0.5</v>
      </c>
      <c r="AW17">
        <v>0.25</v>
      </c>
      <c r="BB17" t="s">
        <v>142</v>
      </c>
      <c r="BC17" t="s">
        <v>143</v>
      </c>
      <c r="BD17" t="str">
        <f t="shared" ref="BD17" si="29">"icon_"&amp;D17</f>
        <v>icon_texas</v>
      </c>
      <c r="BE17" t="str">
        <f t="shared" ref="BE17" si="30">"half_"&amp;D17</f>
        <v>half_texas</v>
      </c>
      <c r="BF17" t="str">
        <f t="shared" ref="BF17" si="31">D17</f>
        <v>texas</v>
      </c>
      <c r="BG17" t="s">
        <v>140</v>
      </c>
      <c r="BH17">
        <v>5</v>
      </c>
      <c r="BI17" t="s">
        <v>139</v>
      </c>
      <c r="BJ17" t="s">
        <v>191</v>
      </c>
      <c r="BK17" t="s">
        <v>145</v>
      </c>
      <c r="BL17" t="s">
        <v>192</v>
      </c>
      <c r="BM17" t="s">
        <v>135</v>
      </c>
      <c r="BN17" t="s">
        <v>136</v>
      </c>
      <c r="BP17" t="s">
        <v>137</v>
      </c>
      <c r="BQ17" t="s">
        <v>137</v>
      </c>
      <c r="BR17" t="s">
        <v>193</v>
      </c>
      <c r="BS17">
        <v>1.05</v>
      </c>
    </row>
    <row r="19" spans="1:71" x14ac:dyDescent="0.25">
      <c r="A19" t="s">
        <v>14</v>
      </c>
      <c r="B19" t="s">
        <v>138</v>
      </c>
      <c r="D19" t="s">
        <v>194</v>
      </c>
      <c r="E19" s="1" t="s">
        <v>195</v>
      </c>
      <c r="F19" t="str">
        <f t="shared" ref="F19" si="32">"char_"&amp;E19&amp;"_"&amp;D19</f>
        <v>char_112_siege</v>
      </c>
      <c r="G19">
        <v>1</v>
      </c>
      <c r="I19">
        <v>2</v>
      </c>
      <c r="J19">
        <v>90</v>
      </c>
      <c r="K19">
        <v>2251</v>
      </c>
      <c r="M19">
        <v>515</v>
      </c>
      <c r="N19">
        <v>85</v>
      </c>
      <c r="O19">
        <v>384</v>
      </c>
      <c r="P19">
        <v>25</v>
      </c>
      <c r="Q19">
        <v>0</v>
      </c>
      <c r="S19">
        <v>14</v>
      </c>
      <c r="T19">
        <v>-2</v>
      </c>
      <c r="U19">
        <v>0.5</v>
      </c>
      <c r="V19">
        <v>70</v>
      </c>
      <c r="W19">
        <v>-4</v>
      </c>
      <c r="Y19">
        <v>0.05</v>
      </c>
      <c r="Z19">
        <v>1.05</v>
      </c>
      <c r="AC19">
        <v>1</v>
      </c>
      <c r="AG19" t="s">
        <v>14</v>
      </c>
      <c r="AH19" t="s">
        <v>134</v>
      </c>
      <c r="AI19" t="s">
        <v>196</v>
      </c>
      <c r="AJ19" t="s">
        <v>197</v>
      </c>
      <c r="AN19">
        <v>1</v>
      </c>
      <c r="AO19">
        <v>2</v>
      </c>
      <c r="AP19">
        <v>0.5</v>
      </c>
      <c r="AW19">
        <v>0.25</v>
      </c>
      <c r="BB19" t="s">
        <v>142</v>
      </c>
      <c r="BC19" t="s">
        <v>143</v>
      </c>
      <c r="BD19" t="str">
        <f t="shared" ref="BD19" si="33">"icon_"&amp;D19</f>
        <v>icon_siege</v>
      </c>
      <c r="BE19" t="str">
        <f t="shared" ref="BE19" si="34">"half_"&amp;D19</f>
        <v>half_siege</v>
      </c>
      <c r="BF19" t="str">
        <f t="shared" ref="BF19" si="35">D19</f>
        <v>siege</v>
      </c>
      <c r="BG19" t="s">
        <v>140</v>
      </c>
      <c r="BH19">
        <v>6</v>
      </c>
      <c r="BI19" t="s">
        <v>139</v>
      </c>
      <c r="BJ19" t="s">
        <v>161</v>
      </c>
      <c r="BK19" t="s">
        <v>145</v>
      </c>
      <c r="BL19" t="s">
        <v>198</v>
      </c>
      <c r="BM19" t="s">
        <v>135</v>
      </c>
      <c r="BN19" t="s">
        <v>136</v>
      </c>
      <c r="BP19" t="s">
        <v>137</v>
      </c>
      <c r="BQ19" t="s">
        <v>137</v>
      </c>
      <c r="BR19" t="s">
        <v>193</v>
      </c>
      <c r="BS19">
        <v>1</v>
      </c>
    </row>
    <row r="20" spans="1:71" x14ac:dyDescent="0.25">
      <c r="A20" t="s">
        <v>15</v>
      </c>
      <c r="B20" t="s">
        <v>138</v>
      </c>
      <c r="D20" t="s">
        <v>200</v>
      </c>
      <c r="E20" s="1" t="s">
        <v>201</v>
      </c>
      <c r="F20" t="str">
        <f t="shared" ref="F20" si="36">"char_"&amp;E20&amp;"_"&amp;D20</f>
        <v>char_222_bpipe</v>
      </c>
      <c r="G20">
        <v>1</v>
      </c>
      <c r="I20">
        <v>2</v>
      </c>
      <c r="J20">
        <v>90</v>
      </c>
      <c r="K20">
        <v>2484</v>
      </c>
      <c r="M20">
        <v>586</v>
      </c>
      <c r="N20">
        <v>110</v>
      </c>
      <c r="O20">
        <v>382</v>
      </c>
      <c r="Q20">
        <v>0</v>
      </c>
      <c r="S20">
        <v>13</v>
      </c>
      <c r="T20">
        <v>-2</v>
      </c>
      <c r="U20">
        <v>0.5</v>
      </c>
      <c r="V20">
        <v>70</v>
      </c>
      <c r="Y20">
        <v>0.05</v>
      </c>
      <c r="Z20">
        <v>1</v>
      </c>
      <c r="AC20">
        <v>1</v>
      </c>
      <c r="AG20" t="s">
        <v>15</v>
      </c>
      <c r="AH20" t="s">
        <v>134</v>
      </c>
      <c r="AI20" t="s">
        <v>202</v>
      </c>
      <c r="AJ20" t="s">
        <v>203</v>
      </c>
      <c r="AN20">
        <v>1</v>
      </c>
      <c r="AO20">
        <v>1</v>
      </c>
      <c r="AP20">
        <v>1</v>
      </c>
      <c r="AW20">
        <v>0.25</v>
      </c>
      <c r="BB20" t="s">
        <v>142</v>
      </c>
      <c r="BC20" t="s">
        <v>160</v>
      </c>
      <c r="BD20" t="str">
        <f t="shared" ref="BD20" si="37">"icon_"&amp;D20</f>
        <v>icon_bpipe</v>
      </c>
      <c r="BE20" t="str">
        <f t="shared" ref="BE20" si="38">"half_"&amp;D20</f>
        <v>half_bpipe</v>
      </c>
      <c r="BF20" t="str">
        <f t="shared" ref="BF20" si="39">D20</f>
        <v>bpipe</v>
      </c>
      <c r="BG20" s="8" t="s">
        <v>693</v>
      </c>
      <c r="BH20">
        <v>6</v>
      </c>
      <c r="BI20" t="s">
        <v>139</v>
      </c>
      <c r="BJ20" t="s">
        <v>161</v>
      </c>
      <c r="BK20" t="s">
        <v>162</v>
      </c>
      <c r="BL20" t="s">
        <v>204</v>
      </c>
      <c r="BM20" t="s">
        <v>135</v>
      </c>
      <c r="BN20" t="s">
        <v>136</v>
      </c>
      <c r="BP20" t="s">
        <v>137</v>
      </c>
      <c r="BQ20" t="s">
        <v>137</v>
      </c>
      <c r="BS20">
        <v>2</v>
      </c>
    </row>
    <row r="21" spans="1:71" x14ac:dyDescent="0.25">
      <c r="E21" s="1"/>
      <c r="BK21" s="5"/>
    </row>
    <row r="22" spans="1:71" x14ac:dyDescent="0.25">
      <c r="A22" s="8" t="s">
        <v>685</v>
      </c>
      <c r="B22" s="8" t="s">
        <v>686</v>
      </c>
      <c r="E22" s="1"/>
      <c r="F22" s="8" t="s">
        <v>687</v>
      </c>
      <c r="G22">
        <v>1</v>
      </c>
      <c r="I22">
        <v>2</v>
      </c>
      <c r="J22">
        <v>90</v>
      </c>
      <c r="K22">
        <v>10000</v>
      </c>
      <c r="M22">
        <v>500</v>
      </c>
      <c r="O22">
        <v>500</v>
      </c>
      <c r="Q22">
        <v>20</v>
      </c>
      <c r="S22">
        <v>10</v>
      </c>
      <c r="U22">
        <v>0.5</v>
      </c>
      <c r="V22">
        <v>70</v>
      </c>
      <c r="Y22">
        <v>0.05</v>
      </c>
      <c r="Z22">
        <v>2</v>
      </c>
      <c r="AC22">
        <v>1</v>
      </c>
      <c r="AG22" s="8" t="s">
        <v>685</v>
      </c>
      <c r="AH22" s="8" t="s">
        <v>688</v>
      </c>
      <c r="AI22" s="8" t="s">
        <v>782</v>
      </c>
      <c r="AK22">
        <v>0</v>
      </c>
      <c r="AN22">
        <v>1</v>
      </c>
      <c r="AO22">
        <v>2</v>
      </c>
      <c r="AP22">
        <v>0.5</v>
      </c>
      <c r="AQ22">
        <v>1</v>
      </c>
      <c r="AW22">
        <v>0.25</v>
      </c>
      <c r="BB22" s="8" t="s">
        <v>689</v>
      </c>
      <c r="BD22" s="8" t="s">
        <v>690</v>
      </c>
      <c r="BE22" s="8" t="s">
        <v>691</v>
      </c>
      <c r="BF22" s="8" t="s">
        <v>692</v>
      </c>
      <c r="BG22" s="8" t="s">
        <v>693</v>
      </c>
      <c r="BH22">
        <v>6</v>
      </c>
      <c r="BI22" s="8" t="s">
        <v>694</v>
      </c>
      <c r="BJ22" s="8" t="s">
        <v>695</v>
      </c>
      <c r="BK22" s="5"/>
      <c r="BM22" s="8" t="s">
        <v>696</v>
      </c>
      <c r="BN22" s="8" t="s">
        <v>697</v>
      </c>
      <c r="BP22" s="8" t="s">
        <v>698</v>
      </c>
      <c r="BQ22" s="8" t="s">
        <v>698</v>
      </c>
      <c r="BR22" s="8" t="s">
        <v>699</v>
      </c>
      <c r="BS22">
        <v>1</v>
      </c>
    </row>
    <row r="23" spans="1:71" x14ac:dyDescent="0.25">
      <c r="E23" s="1"/>
    </row>
    <row r="24" spans="1:71" x14ac:dyDescent="0.25">
      <c r="A24" s="8" t="s">
        <v>723</v>
      </c>
      <c r="B24" t="s">
        <v>138</v>
      </c>
      <c r="D24" t="s">
        <v>724</v>
      </c>
      <c r="E24" s="1" t="s">
        <v>725</v>
      </c>
      <c r="F24" s="8" t="s">
        <v>726</v>
      </c>
      <c r="G24">
        <v>0.01</v>
      </c>
      <c r="I24">
        <v>2</v>
      </c>
      <c r="J24">
        <v>90</v>
      </c>
      <c r="K24">
        <v>100</v>
      </c>
      <c r="M24">
        <v>1000</v>
      </c>
      <c r="N24" s="8"/>
      <c r="O24">
        <v>100</v>
      </c>
      <c r="Q24">
        <v>0</v>
      </c>
      <c r="S24">
        <v>0</v>
      </c>
      <c r="U24">
        <v>0</v>
      </c>
      <c r="V24">
        <v>0</v>
      </c>
      <c r="Y24">
        <v>0.05</v>
      </c>
      <c r="Z24">
        <v>1</v>
      </c>
      <c r="AC24">
        <v>0</v>
      </c>
      <c r="AD24">
        <v>1</v>
      </c>
      <c r="AE24">
        <v>-1</v>
      </c>
      <c r="AG24" s="8" t="s">
        <v>723</v>
      </c>
      <c r="AH24" t="s">
        <v>134</v>
      </c>
      <c r="AI24" s="8" t="s">
        <v>761</v>
      </c>
      <c r="AK24">
        <v>3</v>
      </c>
      <c r="AL24">
        <v>-0.5</v>
      </c>
      <c r="AN24">
        <v>1</v>
      </c>
      <c r="AO24">
        <v>0</v>
      </c>
      <c r="AP24">
        <v>0</v>
      </c>
      <c r="AQ24">
        <v>1</v>
      </c>
      <c r="AW24">
        <v>0</v>
      </c>
      <c r="AZ24">
        <v>1</v>
      </c>
      <c r="BB24" s="8" t="s">
        <v>728</v>
      </c>
      <c r="BD24" t="s">
        <v>727</v>
      </c>
      <c r="BE24" t="str">
        <f t="shared" ref="BE24" si="40">"half_"&amp;D24</f>
        <v>half_otter</v>
      </c>
      <c r="BF24" t="str">
        <f t="shared" ref="BF24" si="41">D24</f>
        <v>otter</v>
      </c>
      <c r="BG24" t="s">
        <v>140</v>
      </c>
      <c r="BH24">
        <v>5</v>
      </c>
      <c r="BI24" t="s">
        <v>139</v>
      </c>
      <c r="BM24" t="s">
        <v>135</v>
      </c>
      <c r="BN24" t="s">
        <v>136</v>
      </c>
      <c r="BP24" t="s">
        <v>137</v>
      </c>
      <c r="BQ24" t="s">
        <v>137</v>
      </c>
      <c r="BS24">
        <v>1</v>
      </c>
    </row>
    <row r="25" spans="1:71" x14ac:dyDescent="0.25">
      <c r="A25" s="8"/>
      <c r="E25" s="1"/>
      <c r="F25" s="8"/>
      <c r="N25" s="8"/>
      <c r="AG25" s="8"/>
      <c r="AI25" s="8"/>
      <c r="BB25" s="8"/>
    </row>
    <row r="26" spans="1:71" x14ac:dyDescent="0.25">
      <c r="A26" s="8"/>
      <c r="E26" s="1"/>
      <c r="F26" s="8"/>
      <c r="N26" s="8"/>
      <c r="AG26" s="8"/>
      <c r="AI26" s="8"/>
      <c r="BB26" s="8"/>
    </row>
    <row r="40" spans="35:63" x14ac:dyDescent="0.25">
      <c r="AI40" s="8"/>
    </row>
    <row r="46" spans="35:63" x14ac:dyDescent="0.25">
      <c r="AI46" s="8"/>
      <c r="BK46" s="8"/>
    </row>
    <row r="48" spans="35:63" x14ac:dyDescent="0.25">
      <c r="AI48" s="8"/>
    </row>
    <row r="49" spans="4:70" x14ac:dyDescent="0.25">
      <c r="AI49" s="8"/>
    </row>
    <row r="50" spans="4:70" x14ac:dyDescent="0.25">
      <c r="AI50" s="8"/>
      <c r="BK50" s="8"/>
    </row>
    <row r="51" spans="4:70" ht="14.5" x14ac:dyDescent="0.25">
      <c r="D51" s="6"/>
      <c r="E51" s="1"/>
      <c r="BO51" s="7"/>
      <c r="BR51" s="7"/>
    </row>
    <row r="52" spans="4:70" ht="14.5" x14ac:dyDescent="0.25">
      <c r="D52" s="6"/>
      <c r="E52" s="1"/>
      <c r="BO52" s="7"/>
      <c r="BR52" s="7"/>
    </row>
    <row r="53" spans="4:70" ht="14.5" x14ac:dyDescent="0.25">
      <c r="D53" s="6"/>
      <c r="E53" s="1"/>
      <c r="BO53" s="7"/>
      <c r="BR53" s="7"/>
    </row>
    <row r="54" spans="4:70" ht="14.5" x14ac:dyDescent="0.25">
      <c r="D54" s="6"/>
      <c r="E54" s="1"/>
      <c r="BO54" s="7"/>
      <c r="BR54" s="7"/>
    </row>
    <row r="55" spans="4:70" ht="14.5" x14ac:dyDescent="0.25">
      <c r="D55" s="6"/>
      <c r="E55" s="1"/>
      <c r="BO55" s="7"/>
      <c r="BR55" s="7"/>
    </row>
    <row r="56" spans="4:70" ht="14.5" x14ac:dyDescent="0.25">
      <c r="D56" s="6"/>
      <c r="E56" s="1"/>
      <c r="BO56" s="7"/>
      <c r="BR56" s="7"/>
    </row>
    <row r="57" spans="4:70" ht="14.5" x14ac:dyDescent="0.25">
      <c r="D57" s="6"/>
      <c r="E57" s="1"/>
      <c r="BO57" s="7"/>
      <c r="BR57" s="7"/>
    </row>
    <row r="58" spans="4:70" ht="14.5" x14ac:dyDescent="0.25">
      <c r="D58" s="6"/>
      <c r="E58" s="1"/>
      <c r="BR58" s="7"/>
    </row>
    <row r="59" spans="4:70" ht="14.5" x14ac:dyDescent="0.25">
      <c r="D59" s="6"/>
      <c r="E59" s="1"/>
      <c r="BR59" s="7"/>
    </row>
    <row r="60" spans="4:70" ht="14.5" x14ac:dyDescent="0.25">
      <c r="D60" s="6"/>
      <c r="E60" s="1"/>
      <c r="BR60" s="7"/>
    </row>
    <row r="61" spans="4:70" ht="14.5" x14ac:dyDescent="0.25">
      <c r="D61" s="6"/>
      <c r="E61" s="1"/>
      <c r="BO61" s="7"/>
      <c r="BR61" s="7"/>
    </row>
    <row r="62" spans="4:70" ht="14.5" x14ac:dyDescent="0.25">
      <c r="D62" s="6"/>
      <c r="E62" s="1"/>
      <c r="BO62" s="7"/>
      <c r="BR62" s="7"/>
    </row>
    <row r="63" spans="4:70" ht="14.5" x14ac:dyDescent="0.25">
      <c r="D63" s="6"/>
      <c r="E63" s="1"/>
      <c r="BO63" s="7"/>
      <c r="BR63" s="7"/>
    </row>
    <row r="64" spans="4:70" ht="14.5" x14ac:dyDescent="0.25">
      <c r="D64" s="6"/>
      <c r="E64" s="1"/>
      <c r="BO64" s="7"/>
      <c r="BR64" s="7"/>
    </row>
    <row r="65" spans="4:70" ht="14.5" x14ac:dyDescent="0.25">
      <c r="D65" s="6"/>
      <c r="E65" s="1"/>
      <c r="BO65" s="7"/>
      <c r="BR65" s="7"/>
    </row>
    <row r="66" spans="4:70" ht="14.5" x14ac:dyDescent="0.25">
      <c r="D66" s="6"/>
      <c r="E66" s="1"/>
      <c r="BO66" s="7"/>
      <c r="BR66" s="7"/>
    </row>
    <row r="67" spans="4:70" ht="14.5" x14ac:dyDescent="0.25">
      <c r="D67" s="6"/>
      <c r="E67" s="1"/>
      <c r="BO67" s="7"/>
      <c r="BR67" s="7"/>
    </row>
    <row r="68" spans="4:70" ht="14.5" x14ac:dyDescent="0.25">
      <c r="D68" s="6"/>
      <c r="E68" s="1"/>
      <c r="BO68" s="7"/>
      <c r="BR68" s="7"/>
    </row>
    <row r="69" spans="4:70" ht="14.5" x14ac:dyDescent="0.25">
      <c r="D69" s="6"/>
      <c r="E69" s="1"/>
      <c r="BO69" s="7"/>
      <c r="BR69" s="7"/>
    </row>
    <row r="70" spans="4:70" ht="14.5" x14ac:dyDescent="0.25">
      <c r="D70" s="6"/>
      <c r="E70" s="1"/>
      <c r="BO70" s="7"/>
      <c r="BR70" s="7"/>
    </row>
    <row r="71" spans="4:70" ht="14.5" x14ac:dyDescent="0.25">
      <c r="D71" s="6"/>
      <c r="E71" s="1"/>
      <c r="BO71" s="7"/>
      <c r="BR71" s="7"/>
    </row>
    <row r="72" spans="4:70" ht="14.5" x14ac:dyDescent="0.25">
      <c r="D72" s="6"/>
      <c r="E72" s="1"/>
      <c r="BO72" s="7"/>
      <c r="BR72" s="7"/>
    </row>
    <row r="73" spans="4:70" ht="14.5" x14ac:dyDescent="0.25">
      <c r="D73" s="6"/>
      <c r="E73" s="1"/>
      <c r="BO73" s="7"/>
      <c r="BR73" s="7"/>
    </row>
    <row r="74" spans="4:70" ht="14.5" x14ac:dyDescent="0.25">
      <c r="D74" s="6"/>
      <c r="E74" s="1"/>
      <c r="BO74" s="7"/>
      <c r="BR74" s="7"/>
    </row>
    <row r="75" spans="4:70" ht="14.5" x14ac:dyDescent="0.25">
      <c r="D75" s="6"/>
      <c r="E75" s="1"/>
      <c r="BO75" s="7"/>
      <c r="BR75" s="7"/>
    </row>
    <row r="76" spans="4:70" ht="14.5" x14ac:dyDescent="0.25">
      <c r="D76" s="6"/>
      <c r="E76" s="1"/>
      <c r="BO76" s="7"/>
      <c r="BR76" s="7"/>
    </row>
    <row r="77" spans="4:70" ht="14.5" x14ac:dyDescent="0.25">
      <c r="D77" s="6"/>
      <c r="E77" s="1"/>
      <c r="BO77" s="7"/>
      <c r="BR77" s="7"/>
    </row>
    <row r="78" spans="4:70" ht="14.5" x14ac:dyDescent="0.25">
      <c r="D78" s="6"/>
      <c r="E78" s="1"/>
      <c r="BO78" s="7"/>
      <c r="BR78" s="7"/>
    </row>
    <row r="79" spans="4:70" ht="14.5" x14ac:dyDescent="0.25">
      <c r="D79" s="6"/>
      <c r="E79" s="1"/>
      <c r="BO79" s="7"/>
      <c r="BR79" s="7"/>
    </row>
    <row r="80" spans="4:70" ht="14.5" x14ac:dyDescent="0.25">
      <c r="D80" s="6"/>
      <c r="E80" s="1"/>
      <c r="BO80" s="7"/>
      <c r="BR80" s="7"/>
    </row>
    <row r="81" spans="4:70" ht="14.5" x14ac:dyDescent="0.25">
      <c r="D81" s="6"/>
      <c r="E81" s="1"/>
      <c r="BO81" s="7"/>
      <c r="BR81" s="7"/>
    </row>
    <row r="82" spans="4:70" ht="14.5" x14ac:dyDescent="0.25">
      <c r="D82" s="6"/>
      <c r="E82" s="1"/>
      <c r="BO82" s="7"/>
      <c r="BR82" s="7"/>
    </row>
    <row r="83" spans="4:70" ht="14.5" x14ac:dyDescent="0.25">
      <c r="D83" s="6"/>
      <c r="E83" s="1"/>
      <c r="BO83" s="7"/>
      <c r="BR83" s="7"/>
    </row>
    <row r="84" spans="4:70" ht="14.5" x14ac:dyDescent="0.25">
      <c r="D84" s="6"/>
      <c r="E84" s="1"/>
      <c r="BO84" s="7"/>
      <c r="BR84" s="7"/>
    </row>
    <row r="85" spans="4:70" ht="14.5" x14ac:dyDescent="0.25">
      <c r="D85" s="6"/>
      <c r="E85" s="1"/>
      <c r="BO85" s="7"/>
      <c r="BR85" s="7"/>
    </row>
    <row r="86" spans="4:70" ht="14.5" x14ac:dyDescent="0.25">
      <c r="D86" s="6"/>
      <c r="E86" s="1"/>
      <c r="BO86" s="7"/>
      <c r="BR86" s="7"/>
    </row>
    <row r="87" spans="4:70" ht="14.5" x14ac:dyDescent="0.25">
      <c r="D87" s="6"/>
      <c r="E87" s="1"/>
      <c r="BO87" s="7"/>
      <c r="BR87" s="7"/>
    </row>
    <row r="88" spans="4:70" ht="14.5" x14ac:dyDescent="0.25">
      <c r="D88" s="6"/>
      <c r="E88" s="1"/>
      <c r="BO88" s="7"/>
      <c r="BR88" s="7"/>
    </row>
    <row r="89" spans="4:70" ht="14.5" x14ac:dyDescent="0.25">
      <c r="D89" s="6"/>
      <c r="E89" s="1"/>
      <c r="BO89" s="7"/>
      <c r="BR89" s="7"/>
    </row>
    <row r="90" spans="4:70" ht="14.5" x14ac:dyDescent="0.25">
      <c r="D90" s="6"/>
      <c r="E90" s="1"/>
      <c r="BO90" s="7"/>
      <c r="BR90" s="7"/>
    </row>
    <row r="91" spans="4:70" ht="14.5" x14ac:dyDescent="0.25">
      <c r="D91" s="6"/>
      <c r="E91" s="1"/>
      <c r="BO91" s="7"/>
      <c r="BR91" s="7"/>
    </row>
    <row r="92" spans="4:70" ht="14.5" x14ac:dyDescent="0.25">
      <c r="D92" s="6"/>
      <c r="E92" s="1"/>
      <c r="BO92" s="7"/>
      <c r="BR92" s="7"/>
    </row>
    <row r="93" spans="4:70" ht="14.5" x14ac:dyDescent="0.25">
      <c r="D93" s="6"/>
      <c r="E93" s="1"/>
      <c r="BO93" s="7"/>
      <c r="BR93" s="7"/>
    </row>
    <row r="94" spans="4:70" ht="14.5" x14ac:dyDescent="0.25">
      <c r="D94" s="6"/>
      <c r="E94" s="1"/>
      <c r="BO94" s="7"/>
      <c r="BR94" s="7"/>
    </row>
    <row r="95" spans="4:70" ht="14.5" x14ac:dyDescent="0.25">
      <c r="D95" s="6"/>
      <c r="E95" s="1"/>
      <c r="BO95" s="7"/>
      <c r="BR95" s="7"/>
    </row>
    <row r="96" spans="4:70" ht="14.5" x14ac:dyDescent="0.25">
      <c r="D96" s="6"/>
      <c r="E96" s="1"/>
      <c r="BO96" s="7"/>
      <c r="BR96" s="7"/>
    </row>
    <row r="97" spans="4:70" ht="14.5" x14ac:dyDescent="0.25">
      <c r="D97" s="6"/>
      <c r="E97" s="1"/>
      <c r="BO97" s="7"/>
      <c r="BR97" s="7"/>
    </row>
    <row r="98" spans="4:70" ht="14.5" x14ac:dyDescent="0.25">
      <c r="D98" s="6"/>
      <c r="E98" s="1"/>
      <c r="BO98" s="7"/>
      <c r="BR98" s="7"/>
    </row>
    <row r="99" spans="4:70" ht="14.5" x14ac:dyDescent="0.25">
      <c r="D99" s="6"/>
      <c r="E99" s="1"/>
      <c r="BO99" s="7"/>
      <c r="BR99" s="7"/>
    </row>
    <row r="100" spans="4:70" ht="14.5" x14ac:dyDescent="0.25">
      <c r="D100" s="6"/>
      <c r="E100" s="1"/>
      <c r="BO100" s="7"/>
      <c r="BR100" s="7"/>
    </row>
    <row r="101" spans="4:70" ht="14.5" x14ac:dyDescent="0.25">
      <c r="D101" s="6"/>
      <c r="E101" s="1"/>
      <c r="BO101" s="7"/>
      <c r="BR101" s="7"/>
    </row>
    <row r="102" spans="4:70" ht="14.5" x14ac:dyDescent="0.25">
      <c r="D102" s="6"/>
      <c r="E102" s="1"/>
      <c r="BO102" s="7"/>
      <c r="BR102" s="7"/>
    </row>
    <row r="103" spans="4:70" ht="14.5" x14ac:dyDescent="0.25">
      <c r="D103" s="6"/>
      <c r="E103" s="1"/>
      <c r="BO103" s="7"/>
      <c r="BR103" s="7"/>
    </row>
    <row r="104" spans="4:70" ht="14.5" x14ac:dyDescent="0.25">
      <c r="D104" s="6"/>
      <c r="E104" s="1"/>
      <c r="BO104" s="7"/>
      <c r="BR104" s="7"/>
    </row>
    <row r="105" spans="4:70" ht="14.5" x14ac:dyDescent="0.25">
      <c r="D105" s="6"/>
      <c r="E105" s="1"/>
      <c r="BO105" s="7"/>
      <c r="BR105" s="7"/>
    </row>
    <row r="106" spans="4:70" ht="14.5" x14ac:dyDescent="0.25">
      <c r="D106" s="6"/>
      <c r="E106" s="1"/>
      <c r="BO106" s="7"/>
      <c r="BR106" s="7"/>
    </row>
    <row r="107" spans="4:70" ht="14.5" x14ac:dyDescent="0.25">
      <c r="D107" s="6"/>
      <c r="E107" s="1"/>
      <c r="BO107" s="7"/>
      <c r="BR107" s="7"/>
    </row>
    <row r="108" spans="4:70" ht="14.5" x14ac:dyDescent="0.25">
      <c r="D108" s="6"/>
      <c r="E108" s="1"/>
      <c r="BO108" s="7"/>
      <c r="BR108" s="7"/>
    </row>
    <row r="109" spans="4:70" ht="14.5" x14ac:dyDescent="0.25">
      <c r="D109" s="6"/>
      <c r="E109" s="1"/>
      <c r="BO109" s="7"/>
      <c r="BR109" s="7"/>
    </row>
    <row r="110" spans="4:70" ht="14.5" x14ac:dyDescent="0.25">
      <c r="D110" s="6"/>
      <c r="E110" s="1"/>
      <c r="BO110" s="7"/>
      <c r="BR110" s="7"/>
    </row>
    <row r="111" spans="4:70" ht="14.5" x14ac:dyDescent="0.25">
      <c r="D111" s="6"/>
      <c r="E111" s="1"/>
      <c r="BO111" s="7"/>
      <c r="BR111" s="7"/>
    </row>
    <row r="112" spans="4:70" ht="14.5" x14ac:dyDescent="0.25">
      <c r="D112" s="6"/>
      <c r="E112" s="1"/>
      <c r="BO112" s="7"/>
      <c r="BR112" s="7"/>
    </row>
    <row r="113" spans="4:70" ht="14.5" x14ac:dyDescent="0.25">
      <c r="D113" s="6"/>
      <c r="E113" s="1"/>
      <c r="BO113" s="7"/>
      <c r="BR113" s="7"/>
    </row>
    <row r="114" spans="4:70" ht="14.5" x14ac:dyDescent="0.25">
      <c r="D114" s="6"/>
      <c r="E114" s="1"/>
      <c r="BO114" s="7"/>
      <c r="BR114" s="7"/>
    </row>
    <row r="115" spans="4:70" ht="14.5" x14ac:dyDescent="0.25">
      <c r="D115" s="6"/>
      <c r="E115" s="1"/>
      <c r="BO115" s="7"/>
      <c r="BR115" s="7"/>
    </row>
    <row r="116" spans="4:70" ht="14.5" x14ac:dyDescent="0.25">
      <c r="D116" s="6"/>
      <c r="E116" s="1"/>
      <c r="BO116" s="7"/>
      <c r="BR116" s="7"/>
    </row>
    <row r="117" spans="4:70" ht="14.5" x14ac:dyDescent="0.25">
      <c r="D117" s="6"/>
      <c r="E117" s="1"/>
      <c r="BO117" s="7"/>
      <c r="BR117" s="7"/>
    </row>
    <row r="118" spans="4:70" ht="14.5" x14ac:dyDescent="0.25">
      <c r="D118" s="6"/>
      <c r="E118" s="1"/>
      <c r="BO118" s="7"/>
      <c r="BR118" s="7"/>
    </row>
    <row r="119" spans="4:70" ht="14.5" x14ac:dyDescent="0.25">
      <c r="D119" s="6"/>
      <c r="E119" s="1"/>
      <c r="BO119" s="7"/>
      <c r="BR119" s="7"/>
    </row>
    <row r="120" spans="4:70" ht="14.5" x14ac:dyDescent="0.25">
      <c r="D120" s="6"/>
      <c r="E120" s="1"/>
      <c r="BO120" s="7"/>
      <c r="BR120" s="7"/>
    </row>
    <row r="121" spans="4:70" ht="14.5" x14ac:dyDescent="0.25">
      <c r="D121" s="6"/>
      <c r="E121" s="1"/>
      <c r="BO121" s="7"/>
      <c r="BR121" s="7"/>
    </row>
    <row r="122" spans="4:70" ht="14.5" x14ac:dyDescent="0.25">
      <c r="D122" s="6"/>
      <c r="E122" s="1"/>
      <c r="BO122" s="7"/>
      <c r="BR122" s="7"/>
    </row>
    <row r="123" spans="4:70" ht="14.5" x14ac:dyDescent="0.25">
      <c r="D123" s="6"/>
      <c r="E123" s="1"/>
      <c r="BO123" s="7"/>
      <c r="BR123" s="7"/>
    </row>
    <row r="124" spans="4:70" ht="14.5" x14ac:dyDescent="0.25">
      <c r="D124" s="6"/>
      <c r="E124" s="1"/>
      <c r="BO124" s="7"/>
      <c r="BR124" s="7"/>
    </row>
    <row r="125" spans="4:70" ht="14.5" x14ac:dyDescent="0.25">
      <c r="D125" s="6"/>
      <c r="E125" s="1"/>
      <c r="BO125" s="7"/>
      <c r="BR125" s="7"/>
    </row>
    <row r="126" spans="4:70" ht="14.5" x14ac:dyDescent="0.25">
      <c r="D126" s="6"/>
      <c r="E126" s="1"/>
      <c r="BO126" s="7"/>
      <c r="BR126" s="7"/>
    </row>
    <row r="127" spans="4:70" ht="14.5" x14ac:dyDescent="0.25">
      <c r="D127" s="6"/>
      <c r="E127" s="1"/>
      <c r="BO127" s="7"/>
      <c r="BR127" s="7"/>
    </row>
    <row r="128" spans="4:70" ht="14.5" x14ac:dyDescent="0.25">
      <c r="D128" s="6"/>
      <c r="E128" s="1"/>
      <c r="BO128" s="7"/>
      <c r="BR128" s="7"/>
    </row>
    <row r="129" spans="4:70" ht="14.5" x14ac:dyDescent="0.25">
      <c r="D129" s="6"/>
      <c r="E129" s="1"/>
      <c r="BO129" s="7"/>
      <c r="BR129" s="7"/>
    </row>
    <row r="130" spans="4:70" ht="14.5" x14ac:dyDescent="0.25">
      <c r="D130" s="6"/>
      <c r="E130" s="1"/>
      <c r="BO130" s="7"/>
      <c r="BR130" s="7"/>
    </row>
    <row r="131" spans="4:70" ht="14.5" x14ac:dyDescent="0.25">
      <c r="D131" s="6"/>
      <c r="E131" s="1"/>
      <c r="BO131" s="7"/>
      <c r="BR131" s="7"/>
    </row>
    <row r="132" spans="4:70" ht="14.5" x14ac:dyDescent="0.25">
      <c r="D132" s="6"/>
      <c r="E132" s="1"/>
      <c r="BO132" s="7"/>
      <c r="BR132" s="7"/>
    </row>
    <row r="133" spans="4:70" ht="14.5" x14ac:dyDescent="0.25">
      <c r="D133" s="6"/>
      <c r="E133" s="1"/>
      <c r="BO133" s="7"/>
      <c r="BR133" s="7"/>
    </row>
    <row r="134" spans="4:70" ht="14.5" x14ac:dyDescent="0.25">
      <c r="D134" s="6"/>
      <c r="E134" s="1"/>
      <c r="BO134" s="7"/>
      <c r="BR134" s="7"/>
    </row>
    <row r="135" spans="4:70" ht="14.5" x14ac:dyDescent="0.25">
      <c r="D135" s="6"/>
      <c r="E135" s="1"/>
      <c r="BO135" s="7"/>
      <c r="BR135" s="7"/>
    </row>
    <row r="136" spans="4:70" ht="14.5" x14ac:dyDescent="0.25">
      <c r="D136" s="6"/>
      <c r="E136" s="1"/>
      <c r="BO136" s="7"/>
      <c r="BR136" s="7"/>
    </row>
    <row r="137" spans="4:70" ht="14.5" x14ac:dyDescent="0.25">
      <c r="D137" s="6"/>
      <c r="E137" s="1"/>
      <c r="BO137" s="7"/>
      <c r="BR137" s="7"/>
    </row>
    <row r="138" spans="4:70" ht="14.5" x14ac:dyDescent="0.25">
      <c r="D138" s="6"/>
      <c r="E138" s="1"/>
      <c r="BO138" s="7"/>
      <c r="BR138" s="7"/>
    </row>
    <row r="139" spans="4:70" ht="14.5" x14ac:dyDescent="0.25">
      <c r="D139" s="6"/>
      <c r="E139" s="1"/>
      <c r="BO139" s="7"/>
      <c r="BR139" s="7"/>
    </row>
    <row r="140" spans="4:70" ht="14.5" x14ac:dyDescent="0.25">
      <c r="D140" s="6"/>
      <c r="E140" s="1"/>
      <c r="BO140" s="7"/>
      <c r="BR140" s="7"/>
    </row>
    <row r="141" spans="4:70" ht="14.5" x14ac:dyDescent="0.25">
      <c r="D141" s="6"/>
      <c r="E141" s="1"/>
      <c r="BO141" s="7"/>
      <c r="BR141" s="7"/>
    </row>
    <row r="142" spans="4:70" ht="14.5" x14ac:dyDescent="0.25">
      <c r="D142" s="6"/>
      <c r="E142" s="1"/>
      <c r="BO142" s="7"/>
      <c r="BR142" s="7"/>
    </row>
    <row r="143" spans="4:70" ht="14.5" x14ac:dyDescent="0.25">
      <c r="D143" s="6"/>
      <c r="E143" s="1"/>
      <c r="BO143" s="7"/>
      <c r="BR143" s="7"/>
    </row>
    <row r="144" spans="4:70" ht="14.5" x14ac:dyDescent="0.25">
      <c r="D144" s="6"/>
      <c r="E144" s="1"/>
      <c r="BO144" s="7"/>
      <c r="BR144" s="7"/>
    </row>
    <row r="145" spans="4:70" ht="14.5" x14ac:dyDescent="0.25">
      <c r="D145" s="6"/>
      <c r="E145" s="1"/>
      <c r="BO145" s="7"/>
      <c r="BR145" s="7"/>
    </row>
    <row r="146" spans="4:70" ht="14.5" x14ac:dyDescent="0.25">
      <c r="D146" s="6"/>
      <c r="E146" s="1"/>
      <c r="BO146" s="7"/>
      <c r="BR146" s="7"/>
    </row>
    <row r="147" spans="4:70" ht="14.5" x14ac:dyDescent="0.25">
      <c r="D147" s="6"/>
      <c r="E147" s="1"/>
      <c r="BO147" s="7"/>
      <c r="BR147" s="7"/>
    </row>
    <row r="148" spans="4:70" ht="14.5" x14ac:dyDescent="0.25">
      <c r="D148" s="6"/>
      <c r="E148" s="1"/>
      <c r="BO148" s="7"/>
      <c r="BR148" s="7"/>
    </row>
    <row r="149" spans="4:70" ht="14.5" x14ac:dyDescent="0.25">
      <c r="D149" s="6"/>
      <c r="E149" s="1"/>
      <c r="BO149" s="7"/>
      <c r="BR149" s="7"/>
    </row>
    <row r="150" spans="4:70" ht="14.5" x14ac:dyDescent="0.25">
      <c r="D150" s="6"/>
      <c r="E150" s="1"/>
      <c r="BO150" s="7"/>
      <c r="BR150" s="7"/>
    </row>
    <row r="151" spans="4:70" ht="14.5" x14ac:dyDescent="0.25">
      <c r="D151" s="6"/>
      <c r="E151" s="1"/>
      <c r="BO151" s="7"/>
      <c r="BR151" s="7"/>
    </row>
    <row r="152" spans="4:70" ht="14.5" x14ac:dyDescent="0.25">
      <c r="D152" s="6"/>
      <c r="E152" s="1"/>
      <c r="BO152" s="7"/>
      <c r="BR152" s="7"/>
    </row>
    <row r="153" spans="4:70" ht="14.5" x14ac:dyDescent="0.25">
      <c r="D153" s="6"/>
      <c r="E153" s="1"/>
      <c r="BO153" s="7"/>
      <c r="BR153" s="7"/>
    </row>
    <row r="154" spans="4:70" ht="14.5" x14ac:dyDescent="0.25">
      <c r="D154" s="6"/>
      <c r="E154" s="1"/>
      <c r="BO154" s="7"/>
      <c r="BR154" s="7"/>
    </row>
    <row r="155" spans="4:70" ht="14.5" x14ac:dyDescent="0.25">
      <c r="D155" s="6"/>
      <c r="E155" s="1"/>
      <c r="BO155" s="7"/>
      <c r="BR155" s="7"/>
    </row>
    <row r="156" spans="4:70" ht="14.5" x14ac:dyDescent="0.25">
      <c r="D156" s="6"/>
      <c r="E156" s="1"/>
      <c r="BO156" s="7"/>
      <c r="BR156" s="7"/>
    </row>
    <row r="157" spans="4:70" ht="14.5" x14ac:dyDescent="0.25">
      <c r="D157" s="6"/>
      <c r="E157" s="1"/>
      <c r="BO157" s="7"/>
      <c r="BR157" s="7"/>
    </row>
    <row r="158" spans="4:70" ht="14.5" x14ac:dyDescent="0.25">
      <c r="D158" s="6"/>
      <c r="E158" s="1"/>
      <c r="BO158" s="7"/>
      <c r="BR158" s="7"/>
    </row>
    <row r="159" spans="4:70" ht="14.5" x14ac:dyDescent="0.25">
      <c r="D159" s="6"/>
      <c r="E159" s="1"/>
      <c r="BO159" s="7"/>
      <c r="BR159" s="7"/>
    </row>
    <row r="160" spans="4:70" ht="14.5" x14ac:dyDescent="0.25">
      <c r="D160" s="6"/>
      <c r="E160" s="1"/>
      <c r="BO160" s="7"/>
      <c r="BR160" s="7"/>
    </row>
    <row r="161" spans="4:70" ht="14.5" x14ac:dyDescent="0.25">
      <c r="D161" s="6"/>
      <c r="E161" s="1"/>
      <c r="BO161" s="7"/>
      <c r="BR161" s="7"/>
    </row>
    <row r="162" spans="4:70" ht="14.5" x14ac:dyDescent="0.25">
      <c r="D162" s="6"/>
      <c r="E162" s="1"/>
      <c r="BO162" s="7"/>
      <c r="BR162" s="7"/>
    </row>
    <row r="163" spans="4:70" ht="14.5" x14ac:dyDescent="0.25">
      <c r="D163" s="6"/>
      <c r="E163" s="1"/>
      <c r="BO163" s="7"/>
      <c r="BR163" s="7"/>
    </row>
    <row r="164" spans="4:70" ht="14.5" x14ac:dyDescent="0.25">
      <c r="D164" s="6"/>
      <c r="E164" s="1"/>
      <c r="BO164" s="7"/>
      <c r="BR164" s="7"/>
    </row>
    <row r="165" spans="4:70" ht="14.5" x14ac:dyDescent="0.25">
      <c r="D165" s="6"/>
      <c r="E165" s="1"/>
      <c r="BO165" s="7"/>
      <c r="BR165" s="7"/>
    </row>
    <row r="166" spans="4:70" ht="14.5" x14ac:dyDescent="0.25">
      <c r="D166" s="6"/>
      <c r="E166" s="1"/>
      <c r="BO166" s="7"/>
      <c r="BR166" s="7"/>
    </row>
    <row r="167" spans="4:70" ht="14.5" x14ac:dyDescent="0.25">
      <c r="D167" s="6"/>
      <c r="E167" s="1"/>
      <c r="BO167" s="7"/>
      <c r="BR167" s="7"/>
    </row>
    <row r="168" spans="4:70" ht="14.5" x14ac:dyDescent="0.25">
      <c r="D168" s="6"/>
      <c r="E168" s="1"/>
      <c r="BO168" s="7"/>
      <c r="BR168" s="7"/>
    </row>
    <row r="169" spans="4:70" ht="14.5" x14ac:dyDescent="0.25">
      <c r="D169" s="6"/>
      <c r="E169" s="1"/>
      <c r="BO169" s="7"/>
      <c r="BR169" s="7"/>
    </row>
    <row r="170" spans="4:70" ht="14.5" x14ac:dyDescent="0.25">
      <c r="D170" s="6"/>
      <c r="E170" s="1"/>
      <c r="BO170" s="7"/>
      <c r="BR170" s="7"/>
    </row>
    <row r="171" spans="4:70" ht="14.5" x14ac:dyDescent="0.25">
      <c r="D171" s="6"/>
      <c r="E171" s="1"/>
      <c r="BO171" s="7"/>
      <c r="BR171" s="7"/>
    </row>
    <row r="172" spans="4:70" ht="14.5" x14ac:dyDescent="0.25">
      <c r="D172" s="6"/>
      <c r="E172" s="1"/>
      <c r="BO172" s="7"/>
      <c r="BR172" s="7"/>
    </row>
    <row r="173" spans="4:70" ht="14.5" x14ac:dyDescent="0.25">
      <c r="D173" s="6"/>
      <c r="E173" s="1"/>
      <c r="BO173" s="7"/>
      <c r="BR173" s="7"/>
    </row>
    <row r="174" spans="4:70" ht="14.5" x14ac:dyDescent="0.25">
      <c r="D174" s="6"/>
      <c r="E174" s="1"/>
      <c r="BO174" s="7"/>
      <c r="BR174" s="7"/>
    </row>
    <row r="175" spans="4:70" ht="14.5" x14ac:dyDescent="0.25">
      <c r="D175" s="6"/>
      <c r="E175" s="1"/>
      <c r="BO175" s="7"/>
      <c r="BR175" s="7"/>
    </row>
    <row r="176" spans="4:70" ht="14.5" x14ac:dyDescent="0.25">
      <c r="D176" s="6"/>
      <c r="E176" s="1"/>
      <c r="BO176" s="7"/>
      <c r="BR176" s="7"/>
    </row>
    <row r="177" spans="4:70" ht="14.5" x14ac:dyDescent="0.25">
      <c r="D177" s="6"/>
      <c r="E177" s="1"/>
      <c r="BO177" s="7"/>
      <c r="BR177" s="7"/>
    </row>
    <row r="178" spans="4:70" ht="14.5" x14ac:dyDescent="0.25">
      <c r="D178" s="6"/>
      <c r="E178" s="1"/>
      <c r="BO178" s="7"/>
      <c r="BR178" s="7"/>
    </row>
    <row r="179" spans="4:70" ht="14.5" x14ac:dyDescent="0.25">
      <c r="D179" s="6"/>
      <c r="E179" s="1"/>
      <c r="BO179" s="7"/>
      <c r="BR179" s="7"/>
    </row>
    <row r="180" spans="4:70" ht="14.5" x14ac:dyDescent="0.25">
      <c r="D180" s="6"/>
      <c r="E180" s="1"/>
      <c r="BO180" s="7"/>
      <c r="BR180" s="7"/>
    </row>
    <row r="181" spans="4:70" ht="14.5" x14ac:dyDescent="0.25">
      <c r="D181" s="6"/>
      <c r="E181" s="1"/>
      <c r="BO181" s="7"/>
      <c r="BR181" s="7"/>
    </row>
    <row r="182" spans="4:70" ht="14.5" x14ac:dyDescent="0.25">
      <c r="D182" s="6"/>
      <c r="E182" s="1"/>
      <c r="BO182" s="7"/>
      <c r="BR182" s="7"/>
    </row>
    <row r="183" spans="4:70" ht="14.5" x14ac:dyDescent="0.25">
      <c r="D183" s="6"/>
      <c r="E183" s="1"/>
      <c r="BO183" s="7"/>
      <c r="BR183" s="7"/>
    </row>
    <row r="184" spans="4:70" ht="14.5" x14ac:dyDescent="0.25">
      <c r="D184" s="6"/>
      <c r="E184" s="1"/>
      <c r="BO184" s="7"/>
      <c r="BR184" s="7"/>
    </row>
    <row r="185" spans="4:70" ht="14.5" x14ac:dyDescent="0.25">
      <c r="D185" s="6"/>
      <c r="E185" s="1"/>
      <c r="BO185" s="7"/>
      <c r="BR185" s="7"/>
    </row>
    <row r="186" spans="4:70" ht="14.5" x14ac:dyDescent="0.25">
      <c r="D186" s="6"/>
      <c r="E186" s="1"/>
      <c r="BO186" s="7"/>
      <c r="BR186" s="7"/>
    </row>
    <row r="187" spans="4:70" ht="14.5" x14ac:dyDescent="0.25">
      <c r="D187" s="6"/>
      <c r="E187" s="1"/>
      <c r="BO187" s="7"/>
      <c r="BR187" s="7"/>
    </row>
    <row r="188" spans="4:70" ht="14.5" x14ac:dyDescent="0.25">
      <c r="D188" s="6"/>
      <c r="E188" s="1"/>
      <c r="BO188" s="7"/>
      <c r="BR188" s="7"/>
    </row>
    <row r="189" spans="4:70" ht="14.5" x14ac:dyDescent="0.25">
      <c r="D189" s="6"/>
      <c r="E189" s="1"/>
      <c r="BO189" s="7"/>
      <c r="BR189" s="7"/>
    </row>
    <row r="190" spans="4:70" ht="14.5" x14ac:dyDescent="0.25">
      <c r="D190" s="6"/>
      <c r="E190" s="1"/>
      <c r="BO190" s="7"/>
      <c r="BR190" s="7"/>
    </row>
    <row r="191" spans="4:70" ht="14.5" x14ac:dyDescent="0.25">
      <c r="D191" s="6"/>
      <c r="E191" s="1"/>
      <c r="BO191" s="7"/>
      <c r="BR191" s="7"/>
    </row>
    <row r="192" spans="4:70" ht="14.5" x14ac:dyDescent="0.25">
      <c r="D192" s="6"/>
      <c r="E192" s="1"/>
      <c r="BO192" s="7"/>
      <c r="BR192" s="7"/>
    </row>
    <row r="193" spans="4:70" ht="14.5" x14ac:dyDescent="0.25">
      <c r="D193" s="6"/>
      <c r="E193" s="1"/>
      <c r="BO193" s="7"/>
      <c r="BR193" s="7"/>
    </row>
    <row r="194" spans="4:70" ht="14.5" x14ac:dyDescent="0.25">
      <c r="D194" s="6"/>
      <c r="E194" s="1"/>
      <c r="BO194" s="7"/>
      <c r="BR194" s="7"/>
    </row>
    <row r="195" spans="4:70" ht="14.5" x14ac:dyDescent="0.25">
      <c r="D195" s="6"/>
      <c r="E195" s="1"/>
      <c r="BO195" s="7"/>
      <c r="BR195" s="7"/>
    </row>
    <row r="196" spans="4:70" ht="14.5" x14ac:dyDescent="0.25">
      <c r="D196" s="6"/>
      <c r="E196" s="1"/>
      <c r="BO196" s="7"/>
      <c r="BR196" s="7"/>
    </row>
    <row r="197" spans="4:70" ht="14.5" x14ac:dyDescent="0.25">
      <c r="D197" s="6"/>
      <c r="E197" s="1"/>
      <c r="BO197" s="7"/>
      <c r="BR197" s="7"/>
    </row>
    <row r="198" spans="4:70" ht="14.5" x14ac:dyDescent="0.25">
      <c r="D198" s="6"/>
      <c r="E198" s="1"/>
      <c r="BO198" s="7"/>
      <c r="BR198" s="7"/>
    </row>
    <row r="199" spans="4:70" ht="14.5" x14ac:dyDescent="0.25">
      <c r="D199" s="6"/>
      <c r="E199" s="1"/>
      <c r="BO199" s="7"/>
      <c r="BR199" s="7"/>
    </row>
    <row r="200" spans="4:70" ht="14.5" x14ac:dyDescent="0.25">
      <c r="D200" s="6"/>
      <c r="E200" s="1"/>
      <c r="BO200" s="7"/>
      <c r="BR200" s="7"/>
    </row>
    <row r="201" spans="4:70" ht="14.5" x14ac:dyDescent="0.25">
      <c r="D201" s="6"/>
      <c r="E201" s="1"/>
      <c r="BO201" s="7"/>
      <c r="BR201" s="7"/>
    </row>
    <row r="202" spans="4:70" ht="14.5" x14ac:dyDescent="0.25">
      <c r="D202" s="6"/>
      <c r="E202" s="1"/>
      <c r="BO202" s="7"/>
      <c r="BR202" s="7"/>
    </row>
    <row r="203" spans="4:70" ht="14.5" x14ac:dyDescent="0.25">
      <c r="D203" s="6"/>
      <c r="E203" s="1"/>
      <c r="BO203" s="7"/>
      <c r="BR203" s="7"/>
    </row>
    <row r="204" spans="4:70" ht="14.5" x14ac:dyDescent="0.25">
      <c r="D204" s="6"/>
      <c r="E204" s="1"/>
      <c r="BO204" s="7"/>
      <c r="BR204" s="7"/>
    </row>
    <row r="205" spans="4:70" ht="14.5" x14ac:dyDescent="0.25">
      <c r="D205" s="6"/>
      <c r="E205" s="1"/>
      <c r="BO205" s="7"/>
      <c r="BR205" s="7"/>
    </row>
    <row r="206" spans="4:70" ht="14.5" x14ac:dyDescent="0.25">
      <c r="D206" s="6"/>
      <c r="E206" s="1"/>
      <c r="BO206" s="7"/>
      <c r="BR206" s="7"/>
    </row>
    <row r="207" spans="4:70" ht="14.5" x14ac:dyDescent="0.25">
      <c r="D207" s="6"/>
      <c r="E207" s="1"/>
      <c r="BO207" s="7"/>
      <c r="BR207" s="7"/>
    </row>
    <row r="208" spans="4:70" ht="14.5" x14ac:dyDescent="0.25">
      <c r="D208" s="6"/>
      <c r="E208" s="1"/>
      <c r="BO208" s="7"/>
      <c r="BR208" s="7"/>
    </row>
    <row r="209" spans="4:70" ht="14.5" x14ac:dyDescent="0.25">
      <c r="D209" s="6"/>
      <c r="E209" s="1"/>
      <c r="BO209" s="7"/>
      <c r="BR209" s="7"/>
    </row>
    <row r="210" spans="4:70" ht="14.5" x14ac:dyDescent="0.25">
      <c r="D210" s="6"/>
      <c r="E210" s="1"/>
      <c r="BO210" s="7"/>
      <c r="BR210" s="7"/>
    </row>
    <row r="211" spans="4:70" ht="14.5" x14ac:dyDescent="0.25">
      <c r="D211" s="6"/>
      <c r="E211" s="1"/>
      <c r="BO211" s="7"/>
      <c r="BR211" s="7"/>
    </row>
    <row r="212" spans="4:70" ht="14.5" x14ac:dyDescent="0.25">
      <c r="D212" s="6"/>
      <c r="E212" s="1"/>
      <c r="BO212" s="7"/>
      <c r="BR212" s="7"/>
    </row>
    <row r="213" spans="4:70" ht="14.5" x14ac:dyDescent="0.25">
      <c r="D213" s="6"/>
      <c r="E213" s="1"/>
      <c r="BO213" s="7"/>
      <c r="BR213" s="7"/>
    </row>
    <row r="214" spans="4:70" ht="14.5" x14ac:dyDescent="0.25">
      <c r="D214" s="6"/>
      <c r="E214" s="1"/>
      <c r="BO214" s="7"/>
      <c r="BR214" s="7"/>
    </row>
    <row r="215" spans="4:70" ht="14.5" x14ac:dyDescent="0.25">
      <c r="D215" s="6"/>
      <c r="E215" s="1"/>
      <c r="BO215" s="7"/>
      <c r="BR215" s="7"/>
    </row>
    <row r="216" spans="4:70" ht="14.5" x14ac:dyDescent="0.25">
      <c r="D216" s="6"/>
      <c r="E216" s="1"/>
      <c r="BO216" s="7"/>
      <c r="BR216" s="7"/>
    </row>
    <row r="217" spans="4:70" ht="14.5" x14ac:dyDescent="0.25">
      <c r="D217" s="6"/>
      <c r="E217" s="1"/>
      <c r="BO217" s="7"/>
      <c r="BR217" s="7"/>
    </row>
    <row r="218" spans="4:70" ht="14.5" x14ac:dyDescent="0.25">
      <c r="D218" s="6"/>
      <c r="E218" s="1"/>
      <c r="BO218" s="7"/>
      <c r="BR218" s="7"/>
    </row>
    <row r="219" spans="4:70" ht="14.5" x14ac:dyDescent="0.25">
      <c r="D219" s="6"/>
      <c r="E219" s="1"/>
      <c r="BO219" s="7"/>
      <c r="BR219" s="7"/>
    </row>
    <row r="220" spans="4:70" ht="14.5" x14ac:dyDescent="0.25">
      <c r="D220" s="6"/>
      <c r="E220" s="1"/>
      <c r="BO220" s="7"/>
      <c r="BR220" s="7"/>
    </row>
    <row r="221" spans="4:70" ht="14.5" x14ac:dyDescent="0.25">
      <c r="D221" s="6"/>
      <c r="E221" s="1"/>
      <c r="BO221" s="7"/>
      <c r="BR221" s="7"/>
    </row>
    <row r="222" spans="4:70" ht="14.5" x14ac:dyDescent="0.25">
      <c r="D222" s="6"/>
      <c r="E222" s="1"/>
      <c r="BO222" s="7"/>
      <c r="BR222" s="7"/>
    </row>
    <row r="223" spans="4:70" ht="14.5" x14ac:dyDescent="0.25">
      <c r="D223" s="6"/>
      <c r="E223" s="1"/>
      <c r="BO223" s="7"/>
      <c r="BR223" s="7"/>
    </row>
    <row r="224" spans="4:70" ht="14.5" x14ac:dyDescent="0.25">
      <c r="D224" s="6"/>
      <c r="E224" s="1"/>
      <c r="BO224" s="7"/>
      <c r="BR224" s="7"/>
    </row>
    <row r="225" spans="4:70" ht="14.5" x14ac:dyDescent="0.25">
      <c r="D225" s="6"/>
      <c r="E225" s="1"/>
      <c r="BO225" s="7"/>
      <c r="BR225" s="7"/>
    </row>
    <row r="226" spans="4:70" ht="14.5" x14ac:dyDescent="0.25">
      <c r="D226" s="6"/>
      <c r="E226" s="1"/>
      <c r="BO226" s="7"/>
      <c r="BR226" s="7"/>
    </row>
    <row r="227" spans="4:70" ht="14.5" x14ac:dyDescent="0.25">
      <c r="D227" s="6"/>
      <c r="E227" s="1"/>
      <c r="BO227" s="7"/>
      <c r="BR227" s="7"/>
    </row>
    <row r="228" spans="4:70" ht="14.5" x14ac:dyDescent="0.25">
      <c r="D228" s="6"/>
      <c r="E228" s="1"/>
      <c r="BO228" s="7"/>
      <c r="BR228" s="7"/>
    </row>
    <row r="229" spans="4:70" ht="14.5" x14ac:dyDescent="0.25">
      <c r="D229" s="6"/>
      <c r="E229" s="1"/>
      <c r="BO229" s="7"/>
      <c r="BR229" s="7"/>
    </row>
    <row r="230" spans="4:70" ht="14.5" x14ac:dyDescent="0.25">
      <c r="D230" s="6"/>
      <c r="E230" s="1"/>
      <c r="BO230" s="7"/>
      <c r="BR230" s="7"/>
    </row>
    <row r="231" spans="4:70" ht="14.5" x14ac:dyDescent="0.25">
      <c r="D231" s="6"/>
      <c r="E231" s="1"/>
      <c r="BO231" s="7"/>
      <c r="BR231" s="7"/>
    </row>
    <row r="232" spans="4:70" ht="14.5" x14ac:dyDescent="0.25">
      <c r="D232" s="6"/>
      <c r="E232" s="1"/>
      <c r="BO232" s="7"/>
      <c r="BR232" s="7"/>
    </row>
    <row r="233" spans="4:70" ht="14.5" x14ac:dyDescent="0.25">
      <c r="D233" s="6"/>
      <c r="E233" s="1"/>
      <c r="BO233" s="7"/>
      <c r="BR233" s="7"/>
    </row>
    <row r="234" spans="4:70" ht="14.5" x14ac:dyDescent="0.25">
      <c r="D234" s="6"/>
      <c r="E234" s="1"/>
      <c r="BO234" s="7"/>
      <c r="BR234" s="7"/>
    </row>
    <row r="235" spans="4:70" ht="14.5" x14ac:dyDescent="0.25">
      <c r="D235" s="6"/>
      <c r="E235" s="1"/>
      <c r="BO235" s="7"/>
      <c r="BR235" s="7"/>
    </row>
    <row r="236" spans="4:70" ht="14.5" x14ac:dyDescent="0.25">
      <c r="D236" s="6"/>
      <c r="E236" s="1"/>
      <c r="BO236" s="7"/>
      <c r="BR236" s="7"/>
    </row>
    <row r="237" spans="4:70" ht="14.5" x14ac:dyDescent="0.25">
      <c r="D237" s="6"/>
      <c r="E237" s="1"/>
      <c r="BO237" s="7"/>
      <c r="BR237" s="7"/>
    </row>
    <row r="238" spans="4:70" ht="14.5" x14ac:dyDescent="0.25">
      <c r="D238" s="6"/>
      <c r="E238" s="1"/>
      <c r="BO238" s="7"/>
      <c r="BR238" s="7"/>
    </row>
    <row r="239" spans="4:70" ht="14.5" x14ac:dyDescent="0.25">
      <c r="D239" s="6"/>
      <c r="E239" s="1"/>
      <c r="BO239" s="7"/>
      <c r="BR239" s="7"/>
    </row>
    <row r="240" spans="4:70" ht="14.5" x14ac:dyDescent="0.25">
      <c r="D240" s="6"/>
      <c r="E240" s="1"/>
      <c r="BO240" s="7"/>
      <c r="BR240" s="7"/>
    </row>
    <row r="241" spans="4:70" ht="14.5" x14ac:dyDescent="0.25">
      <c r="D241" s="6"/>
      <c r="E241" s="1"/>
      <c r="BO241" s="7"/>
      <c r="BR241" s="7"/>
    </row>
    <row r="242" spans="4:70" ht="14.5" x14ac:dyDescent="0.25">
      <c r="D242" s="6"/>
      <c r="E242" s="1"/>
      <c r="BO242" s="7"/>
      <c r="BR242" s="7"/>
    </row>
    <row r="243" spans="4:70" ht="14.5" x14ac:dyDescent="0.25">
      <c r="D243" s="6"/>
      <c r="E243" s="1"/>
      <c r="BO243" s="7"/>
      <c r="BR243" s="7"/>
    </row>
    <row r="244" spans="4:70" ht="14.5" x14ac:dyDescent="0.25">
      <c r="D244" s="6"/>
      <c r="E244" s="1"/>
      <c r="BO244" s="7"/>
      <c r="BR244" s="7"/>
    </row>
    <row r="245" spans="4:70" ht="14.5" x14ac:dyDescent="0.25">
      <c r="D245" s="6"/>
      <c r="E245" s="1"/>
      <c r="BO245" s="7"/>
      <c r="BR245" s="7"/>
    </row>
    <row r="246" spans="4:70" ht="14.5" x14ac:dyDescent="0.25">
      <c r="D246" s="6"/>
      <c r="E246" s="1"/>
      <c r="BO246" s="7"/>
      <c r="BR246" s="7"/>
    </row>
    <row r="247" spans="4:70" ht="14.5" x14ac:dyDescent="0.25">
      <c r="D247" s="6"/>
      <c r="E247" s="1"/>
      <c r="BO247" s="7"/>
      <c r="BR247" s="7"/>
    </row>
    <row r="248" spans="4:70" ht="14.5" x14ac:dyDescent="0.25">
      <c r="D248" s="6"/>
      <c r="E248" s="1"/>
      <c r="BO248" s="7"/>
      <c r="BR248" s="7"/>
    </row>
    <row r="249" spans="4:70" ht="14.5" x14ac:dyDescent="0.25">
      <c r="D249" s="6"/>
      <c r="E249" s="1"/>
      <c r="BO249" s="7"/>
      <c r="BR249" s="7"/>
    </row>
    <row r="250" spans="4:70" ht="14.5" x14ac:dyDescent="0.25">
      <c r="D250" s="6"/>
      <c r="E250" s="1"/>
      <c r="BO250" s="7"/>
      <c r="BR250" s="7"/>
    </row>
    <row r="251" spans="4:70" ht="14.5" x14ac:dyDescent="0.25">
      <c r="D251" s="6"/>
      <c r="E251" s="1"/>
      <c r="BO251" s="7"/>
      <c r="BR251" s="7"/>
    </row>
    <row r="252" spans="4:70" ht="14.5" x14ac:dyDescent="0.25">
      <c r="D252" s="6"/>
      <c r="E252" s="1"/>
      <c r="BO252" s="7"/>
      <c r="BR252" s="7"/>
    </row>
    <row r="253" spans="4:70" ht="14.5" x14ac:dyDescent="0.25">
      <c r="D253" s="6"/>
      <c r="E253" s="1"/>
      <c r="BO253" s="7"/>
      <c r="BR253" s="7"/>
    </row>
    <row r="254" spans="4:70" ht="14.5" x14ac:dyDescent="0.25">
      <c r="D254" s="6"/>
      <c r="E254" s="1"/>
      <c r="BO254" s="7"/>
      <c r="BR254" s="7"/>
    </row>
    <row r="255" spans="4:70" ht="14.5" x14ac:dyDescent="0.25">
      <c r="D255" s="6"/>
      <c r="E255" s="1"/>
      <c r="BO255" s="7"/>
      <c r="BR255" s="7"/>
    </row>
    <row r="256" spans="4:70" ht="14.5" x14ac:dyDescent="0.25">
      <c r="D256" s="6"/>
      <c r="E256" s="1"/>
      <c r="BO256" s="7"/>
      <c r="BR256" s="7"/>
    </row>
    <row r="257" spans="4:70" ht="14.5" x14ac:dyDescent="0.25">
      <c r="D257" s="6"/>
      <c r="E257" s="1"/>
      <c r="BO257" s="7"/>
      <c r="BR257" s="7"/>
    </row>
    <row r="258" spans="4:70" ht="14.5" x14ac:dyDescent="0.25">
      <c r="D258" s="6"/>
      <c r="E258" s="1"/>
      <c r="BR258" s="7"/>
    </row>
    <row r="259" spans="4:70" ht="14.5" x14ac:dyDescent="0.25">
      <c r="D259" s="6"/>
      <c r="E259" s="1"/>
      <c r="BO259" s="7"/>
      <c r="BR259" s="7"/>
    </row>
    <row r="260" spans="4:70" ht="14.5" x14ac:dyDescent="0.25">
      <c r="D260" s="6"/>
      <c r="E260" s="1"/>
      <c r="BO260" s="7"/>
      <c r="BR260" s="7"/>
    </row>
    <row r="261" spans="4:70" ht="14.5" x14ac:dyDescent="0.25">
      <c r="D261" s="6"/>
      <c r="E261" s="1"/>
      <c r="BO261" s="7"/>
      <c r="BR261" s="7"/>
    </row>
    <row r="262" spans="4:70" ht="14.5" x14ac:dyDescent="0.25">
      <c r="D262" s="6"/>
      <c r="E262" s="1"/>
      <c r="BO262" s="7"/>
      <c r="BR262" s="7"/>
    </row>
    <row r="263" spans="4:70" ht="14.5" x14ac:dyDescent="0.25">
      <c r="D263" s="6"/>
      <c r="E263" s="1"/>
      <c r="BO263" s="7"/>
      <c r="BR263" s="7"/>
    </row>
    <row r="264" spans="4:70" ht="14.5" x14ac:dyDescent="0.25">
      <c r="D264" s="6"/>
      <c r="E264" s="1"/>
      <c r="BO264" s="7"/>
      <c r="BR264" s="7"/>
    </row>
    <row r="265" spans="4:70" ht="14.5" x14ac:dyDescent="0.25">
      <c r="D265" s="6"/>
      <c r="E265" s="1"/>
      <c r="BO265" s="7"/>
      <c r="BR265" s="7"/>
    </row>
    <row r="266" spans="4:70" ht="14.5" x14ac:dyDescent="0.25">
      <c r="D266" s="6"/>
      <c r="E266" s="1"/>
      <c r="BO266" s="7"/>
      <c r="BR266" s="7"/>
    </row>
    <row r="267" spans="4:70" ht="14.5" x14ac:dyDescent="0.25">
      <c r="D267" s="6"/>
      <c r="E267" s="1"/>
      <c r="BO267" s="7"/>
      <c r="BR267" s="7"/>
    </row>
    <row r="268" spans="4:70" ht="14.5" x14ac:dyDescent="0.25">
      <c r="D268" s="6"/>
      <c r="E268" s="1"/>
      <c r="BO268" s="7"/>
      <c r="BR268" s="7"/>
    </row>
    <row r="269" spans="4:70" ht="14.5" x14ac:dyDescent="0.25">
      <c r="D269" s="6"/>
      <c r="E269" s="1"/>
      <c r="BO269" s="7"/>
      <c r="BR269" s="7"/>
    </row>
    <row r="270" spans="4:70" ht="14.5" x14ac:dyDescent="0.25">
      <c r="D270" s="6"/>
      <c r="E270" s="1"/>
      <c r="BO270" s="7"/>
      <c r="BR270" s="7"/>
    </row>
    <row r="271" spans="4:70" ht="14.5" x14ac:dyDescent="0.25">
      <c r="D271" s="6"/>
      <c r="E271" s="1"/>
      <c r="BO271" s="7"/>
      <c r="BR271" s="7"/>
    </row>
    <row r="272" spans="4:70" ht="14.5" x14ac:dyDescent="0.25">
      <c r="D272" s="6"/>
      <c r="E272" s="1"/>
      <c r="BO272" s="7"/>
      <c r="BR272" s="7"/>
    </row>
    <row r="273" spans="4:70" ht="14.5" x14ac:dyDescent="0.25">
      <c r="D273" s="6"/>
      <c r="E273" s="1"/>
      <c r="BO273" s="7"/>
      <c r="BR273" s="7"/>
    </row>
    <row r="274" spans="4:70" ht="14.5" x14ac:dyDescent="0.25">
      <c r="D274" s="6"/>
      <c r="E274" s="1"/>
      <c r="BO274" s="7"/>
      <c r="BR274" s="7"/>
    </row>
    <row r="275" spans="4:70" ht="14.5" x14ac:dyDescent="0.25">
      <c r="D275" s="6"/>
      <c r="E275" s="1"/>
      <c r="BO275" s="7"/>
      <c r="BR275" s="7"/>
    </row>
    <row r="276" spans="4:70" ht="14.5" x14ac:dyDescent="0.25">
      <c r="D276" s="6"/>
      <c r="E276" s="1"/>
      <c r="BO276" s="7"/>
      <c r="BR276" s="7"/>
    </row>
    <row r="277" spans="4:70" ht="14.5" x14ac:dyDescent="0.25">
      <c r="D277" s="6"/>
      <c r="E277" s="1"/>
      <c r="BO277" s="7"/>
      <c r="BR277" s="7"/>
    </row>
    <row r="278" spans="4:70" ht="14.5" x14ac:dyDescent="0.25">
      <c r="D278" s="6"/>
      <c r="E278" s="1"/>
      <c r="BO278" s="7"/>
      <c r="BR278" s="7"/>
    </row>
    <row r="279" spans="4:70" ht="14.5" x14ac:dyDescent="0.25">
      <c r="D279" s="6"/>
      <c r="E279" s="1"/>
      <c r="BO279" s="7"/>
      <c r="BR279" s="7"/>
    </row>
    <row r="280" spans="4:70" ht="14.5" x14ac:dyDescent="0.25">
      <c r="D280" s="6"/>
      <c r="E280" s="1"/>
      <c r="BO280" s="7"/>
      <c r="BR280" s="7"/>
    </row>
    <row r="281" spans="4:70" ht="14.5" x14ac:dyDescent="0.25">
      <c r="D281" s="6"/>
      <c r="E281" s="1"/>
      <c r="BO281" s="7"/>
      <c r="BR281" s="7"/>
    </row>
    <row r="282" spans="4:70" ht="14.5" x14ac:dyDescent="0.25">
      <c r="D282" s="6"/>
      <c r="E282" s="1"/>
      <c r="BO282" s="7"/>
      <c r="BR282" s="7"/>
    </row>
    <row r="283" spans="4:70" ht="14.5" x14ac:dyDescent="0.25">
      <c r="D283" s="6"/>
      <c r="E283" s="1"/>
      <c r="BO283" s="7"/>
      <c r="BR283" s="7"/>
    </row>
    <row r="284" spans="4:70" ht="14.5" x14ac:dyDescent="0.25">
      <c r="D284" s="6"/>
      <c r="E284" s="1"/>
      <c r="BO284" s="7"/>
      <c r="BR284" s="7"/>
    </row>
    <row r="285" spans="4:70" ht="14.5" x14ac:dyDescent="0.25">
      <c r="D285" s="6"/>
      <c r="E285" s="1"/>
      <c r="BO285" s="7"/>
      <c r="BR285" s="7"/>
    </row>
    <row r="286" spans="4:70" ht="14.5" x14ac:dyDescent="0.25">
      <c r="D286" s="6"/>
      <c r="E286" s="1"/>
      <c r="BO286" s="7"/>
      <c r="BR286" s="7"/>
    </row>
    <row r="287" spans="4:70" ht="14.5" x14ac:dyDescent="0.25">
      <c r="D287" s="6"/>
      <c r="E287" s="1"/>
      <c r="BO287" s="7"/>
      <c r="BR287" s="7"/>
    </row>
    <row r="288" spans="4:70" ht="14.5" x14ac:dyDescent="0.25">
      <c r="D288" s="6"/>
      <c r="E288" s="1"/>
      <c r="BO288" s="7"/>
      <c r="BR288" s="7"/>
    </row>
    <row r="289" spans="4:70" ht="14.5" x14ac:dyDescent="0.25">
      <c r="D289" s="6"/>
      <c r="E289" s="1"/>
      <c r="BO289" s="7"/>
      <c r="BR289" s="7"/>
    </row>
    <row r="290" spans="4:70" ht="14.5" x14ac:dyDescent="0.25">
      <c r="D290" s="6"/>
      <c r="E290" s="1"/>
      <c r="BO290" s="7"/>
      <c r="BR290" s="7"/>
    </row>
    <row r="291" spans="4:70" ht="14.5" x14ac:dyDescent="0.25">
      <c r="D291" s="6"/>
      <c r="E291" s="1"/>
      <c r="BO291" s="7"/>
      <c r="BR291" s="7"/>
    </row>
    <row r="292" spans="4:70" ht="14.5" x14ac:dyDescent="0.25">
      <c r="D292" s="6"/>
      <c r="E292" s="1"/>
      <c r="BO292" s="7"/>
      <c r="BR292" s="7"/>
    </row>
    <row r="293" spans="4:70" ht="14.5" x14ac:dyDescent="0.25">
      <c r="D293" s="6"/>
      <c r="E293" s="1"/>
      <c r="BO293" s="7"/>
      <c r="BR293" s="7"/>
    </row>
    <row r="294" spans="4:70" ht="14.5" x14ac:dyDescent="0.25">
      <c r="D294" s="6"/>
      <c r="E294" s="1"/>
      <c r="BO294" s="7"/>
      <c r="BR294" s="7"/>
    </row>
    <row r="295" spans="4:70" ht="14.5" x14ac:dyDescent="0.25">
      <c r="D295" s="6"/>
      <c r="E295" s="1"/>
      <c r="BO295" s="7"/>
      <c r="BR295" s="7"/>
    </row>
    <row r="296" spans="4:70" ht="14.5" x14ac:dyDescent="0.25">
      <c r="D296" s="6"/>
      <c r="E296" s="1"/>
      <c r="BO296" s="7"/>
      <c r="BR296" s="7"/>
    </row>
    <row r="297" spans="4:70" ht="14.5" x14ac:dyDescent="0.25">
      <c r="D297" s="6"/>
      <c r="E297" s="1"/>
      <c r="BO297" s="7"/>
      <c r="BR297" s="7"/>
    </row>
    <row r="298" spans="4:70" ht="14.5" x14ac:dyDescent="0.25">
      <c r="D298" s="6"/>
      <c r="E298" s="1"/>
      <c r="BO298" s="7"/>
      <c r="BR298" s="7"/>
    </row>
    <row r="299" spans="4:70" ht="14.5" x14ac:dyDescent="0.25">
      <c r="D299" s="6"/>
      <c r="E299" s="1"/>
      <c r="BO299" s="7"/>
      <c r="BR299" s="7"/>
    </row>
    <row r="300" spans="4:70" ht="14.5" x14ac:dyDescent="0.25">
      <c r="D300" s="6"/>
      <c r="E300" s="1"/>
      <c r="BO300" s="7"/>
      <c r="BR300" s="7"/>
    </row>
    <row r="301" spans="4:70" ht="14.5" x14ac:dyDescent="0.25">
      <c r="D301" s="6"/>
      <c r="E301" s="1"/>
      <c r="BR301" s="7"/>
    </row>
    <row r="302" spans="4:70" ht="14.5" x14ac:dyDescent="0.25">
      <c r="D302" s="6"/>
      <c r="E302" s="1"/>
      <c r="BO302" s="7"/>
      <c r="BR302" s="7"/>
    </row>
    <row r="303" spans="4:70" ht="14.5" x14ac:dyDescent="0.25">
      <c r="D303" s="6"/>
      <c r="E303" s="1"/>
      <c r="BO303" s="7"/>
      <c r="BR303" s="7"/>
    </row>
    <row r="304" spans="4:70" ht="14.5" x14ac:dyDescent="0.25">
      <c r="D304" s="6"/>
      <c r="E304" s="1"/>
      <c r="BO304" s="7"/>
      <c r="BR304" s="7"/>
    </row>
    <row r="305" spans="4:70" ht="14.5" x14ac:dyDescent="0.25">
      <c r="D305" s="6"/>
      <c r="E305" s="1"/>
      <c r="BO305" s="7"/>
      <c r="BR305" s="7"/>
    </row>
    <row r="306" spans="4:70" ht="14.5" x14ac:dyDescent="0.25">
      <c r="D306" s="6"/>
      <c r="E306" s="1"/>
      <c r="BO306" s="7"/>
      <c r="BR306" s="7"/>
    </row>
    <row r="307" spans="4:70" ht="14.5" x14ac:dyDescent="0.25">
      <c r="D307" s="6"/>
      <c r="E307" s="1"/>
      <c r="BO307" s="7"/>
      <c r="BR307" s="7"/>
    </row>
    <row r="308" spans="4:70" ht="14.5" x14ac:dyDescent="0.25">
      <c r="D308" s="6"/>
      <c r="E308" s="1"/>
      <c r="BO308" s="7"/>
      <c r="BR308" s="7"/>
    </row>
    <row r="309" spans="4:70" ht="14.5" x14ac:dyDescent="0.25">
      <c r="D309" s="6"/>
      <c r="E309" s="1"/>
      <c r="BO309" s="7"/>
      <c r="BR309" s="7"/>
    </row>
    <row r="310" spans="4:70" ht="14.5" x14ac:dyDescent="0.25">
      <c r="D310" s="6"/>
      <c r="E310" s="1"/>
      <c r="BO310" s="7"/>
      <c r="BR310" s="7"/>
    </row>
    <row r="311" spans="4:70" ht="14.5" x14ac:dyDescent="0.25">
      <c r="D311" s="6"/>
      <c r="E311" s="1"/>
      <c r="BO311" s="7"/>
      <c r="BR311" s="7"/>
    </row>
    <row r="312" spans="4:70" ht="14.5" x14ac:dyDescent="0.25">
      <c r="D312" s="6"/>
      <c r="E312" s="1"/>
      <c r="BO312" s="7"/>
      <c r="BR312" s="7"/>
    </row>
    <row r="313" spans="4:70" ht="14.5" x14ac:dyDescent="0.25">
      <c r="D313" s="6"/>
      <c r="E313" s="1"/>
      <c r="BO313" s="7"/>
      <c r="BR313" s="7"/>
    </row>
    <row r="314" spans="4:70" ht="14.5" x14ac:dyDescent="0.25">
      <c r="D314" s="6"/>
      <c r="E314" s="1"/>
      <c r="BO314" s="7"/>
      <c r="BR314" s="7"/>
    </row>
    <row r="315" spans="4:70" ht="14.5" x14ac:dyDescent="0.25">
      <c r="D315" s="6"/>
      <c r="E315" s="1"/>
      <c r="BO315" s="7"/>
      <c r="BR315" s="7"/>
    </row>
    <row r="316" spans="4:70" ht="14.5" x14ac:dyDescent="0.25">
      <c r="D316" s="6"/>
      <c r="E316" s="1"/>
      <c r="BO316" s="7"/>
      <c r="BR316" s="7"/>
    </row>
    <row r="317" spans="4:70" ht="14.5" x14ac:dyDescent="0.25">
      <c r="D317" s="6"/>
      <c r="E317" s="1"/>
      <c r="BO317" s="7"/>
      <c r="BR317" s="7"/>
    </row>
    <row r="318" spans="4:70" ht="14.5" x14ac:dyDescent="0.25">
      <c r="D318" s="6"/>
      <c r="E318" s="1"/>
      <c r="BO318" s="7"/>
      <c r="BR318" s="7"/>
    </row>
    <row r="319" spans="4:70" ht="14.5" x14ac:dyDescent="0.25">
      <c r="D319" s="6"/>
      <c r="E319" s="1"/>
      <c r="BO319" s="7"/>
      <c r="BR319" s="7"/>
    </row>
    <row r="320" spans="4:70" ht="14.5" x14ac:dyDescent="0.25">
      <c r="D320" s="6"/>
      <c r="E320" s="1"/>
      <c r="BO320" s="7"/>
      <c r="BR320" s="7"/>
    </row>
    <row r="321" spans="4:70" ht="14.5" x14ac:dyDescent="0.25">
      <c r="D321" s="6"/>
      <c r="E321" s="1"/>
      <c r="BO321" s="7"/>
      <c r="BR321" s="7"/>
    </row>
    <row r="322" spans="4:70" ht="14.5" x14ac:dyDescent="0.25">
      <c r="D322" s="6"/>
      <c r="E322" s="1"/>
      <c r="BO322" s="7"/>
      <c r="BR322" s="7"/>
    </row>
    <row r="323" spans="4:70" ht="14.5" x14ac:dyDescent="0.25">
      <c r="D323" s="6"/>
      <c r="E323" s="1"/>
      <c r="BO323" s="7"/>
      <c r="BR323" s="7"/>
    </row>
    <row r="324" spans="4:70" ht="14.5" x14ac:dyDescent="0.25">
      <c r="D324" s="6"/>
      <c r="E324" s="1"/>
      <c r="BO324" s="7"/>
      <c r="BR324" s="7"/>
    </row>
    <row r="325" spans="4:70" ht="14.5" x14ac:dyDescent="0.25">
      <c r="D325" s="6"/>
      <c r="E325" s="1"/>
      <c r="BO325" s="7"/>
      <c r="BR325" s="7"/>
    </row>
    <row r="326" spans="4:70" ht="14.5" x14ac:dyDescent="0.25">
      <c r="D326" s="6"/>
      <c r="E326" s="1"/>
      <c r="BO326" s="7"/>
      <c r="BR326" s="7"/>
    </row>
    <row r="327" spans="4:70" ht="14.5" x14ac:dyDescent="0.25">
      <c r="D327" s="6"/>
      <c r="E327" s="1"/>
      <c r="BO327" s="7"/>
      <c r="BR327" s="7"/>
    </row>
    <row r="328" spans="4:70" ht="14.5" x14ac:dyDescent="0.25">
      <c r="D328" s="6"/>
      <c r="E328" s="1"/>
      <c r="BO328" s="7"/>
      <c r="BR328" s="7"/>
    </row>
    <row r="329" spans="4:70" ht="14.5" x14ac:dyDescent="0.25">
      <c r="D329" s="6"/>
      <c r="E329" s="1"/>
      <c r="BO329" s="7"/>
      <c r="BR329" s="7"/>
    </row>
    <row r="330" spans="4:70" ht="14.5" x14ac:dyDescent="0.25">
      <c r="D330" s="6"/>
      <c r="E330" s="1"/>
      <c r="BO330" s="7"/>
      <c r="BR330" s="7"/>
    </row>
    <row r="331" spans="4:70" ht="14.5" x14ac:dyDescent="0.25">
      <c r="D331" s="6"/>
      <c r="E331" s="1"/>
      <c r="BO331" s="7"/>
      <c r="BR331" s="7"/>
    </row>
    <row r="332" spans="4:70" ht="14.5" x14ac:dyDescent="0.25">
      <c r="D332" s="6"/>
      <c r="E332" s="1"/>
      <c r="BO332" s="7"/>
      <c r="BR332" s="7"/>
    </row>
    <row r="333" spans="4:70" ht="14.5" x14ac:dyDescent="0.25">
      <c r="D333" s="6"/>
      <c r="E333" s="1"/>
      <c r="BO333" s="7"/>
      <c r="BR333" s="7"/>
    </row>
    <row r="334" spans="4:70" ht="14.5" x14ac:dyDescent="0.25">
      <c r="D334" s="6"/>
      <c r="E334" s="1"/>
      <c r="BO334" s="7"/>
      <c r="BR334" s="7"/>
    </row>
    <row r="335" spans="4:70" ht="14.5" x14ac:dyDescent="0.25">
      <c r="D335" s="6"/>
      <c r="E335" s="1"/>
      <c r="BO335" s="7"/>
      <c r="BR335" s="7"/>
    </row>
    <row r="336" spans="4:70" ht="14.5" x14ac:dyDescent="0.25">
      <c r="D336" s="6"/>
      <c r="E336" s="1"/>
      <c r="BO336" s="7"/>
      <c r="BR336" s="7"/>
    </row>
    <row r="337" spans="4:70" ht="14.5" x14ac:dyDescent="0.25">
      <c r="D337" s="6"/>
      <c r="E337" s="1"/>
      <c r="BO337" s="7"/>
      <c r="BR337" s="7"/>
    </row>
    <row r="338" spans="4:70" ht="14.5" x14ac:dyDescent="0.25">
      <c r="D338" s="6"/>
      <c r="E338" s="1"/>
      <c r="BO338" s="7"/>
      <c r="BR338" s="7"/>
    </row>
    <row r="339" spans="4:70" ht="14.5" x14ac:dyDescent="0.25">
      <c r="D339" s="6"/>
      <c r="E339" s="1"/>
      <c r="BO339" s="7"/>
      <c r="BR339" s="7"/>
    </row>
    <row r="340" spans="4:70" ht="14.5" x14ac:dyDescent="0.25">
      <c r="D340" s="6"/>
      <c r="E340" s="1"/>
      <c r="BO340" s="7"/>
      <c r="BR340" s="7"/>
    </row>
    <row r="341" spans="4:70" ht="14.5" x14ac:dyDescent="0.25">
      <c r="D341" s="6"/>
      <c r="E341" s="1"/>
      <c r="BO341" s="7"/>
      <c r="BR341" s="7"/>
    </row>
    <row r="342" spans="4:70" ht="14.5" x14ac:dyDescent="0.25">
      <c r="D342" s="6"/>
      <c r="E342" s="1"/>
      <c r="BO342" s="7"/>
      <c r="BR342" s="7"/>
    </row>
    <row r="343" spans="4:70" ht="14.5" x14ac:dyDescent="0.25">
      <c r="D343" s="6"/>
      <c r="E343" s="1"/>
      <c r="BO343" s="7"/>
      <c r="BR343" s="7"/>
    </row>
    <row r="344" spans="4:70" ht="14.5" x14ac:dyDescent="0.25">
      <c r="D344" s="6"/>
      <c r="E344" s="1"/>
      <c r="BO344" s="7"/>
      <c r="BR344" s="7"/>
    </row>
    <row r="345" spans="4:70" ht="14.5" x14ac:dyDescent="0.25">
      <c r="D345" s="6"/>
      <c r="E345" s="1"/>
      <c r="BO345" s="7"/>
      <c r="BR345" s="7"/>
    </row>
    <row r="346" spans="4:70" ht="14.5" x14ac:dyDescent="0.25">
      <c r="D346" s="6"/>
      <c r="E346" s="1"/>
      <c r="BO346" s="7"/>
      <c r="BR346" s="7"/>
    </row>
    <row r="347" spans="4:70" ht="14.5" x14ac:dyDescent="0.25">
      <c r="D347" s="6"/>
      <c r="E347" s="1"/>
      <c r="BO347" s="7"/>
      <c r="BR347" s="7"/>
    </row>
    <row r="348" spans="4:70" ht="14.5" x14ac:dyDescent="0.25">
      <c r="D348" s="6"/>
      <c r="E348" s="1"/>
      <c r="BO348" s="7"/>
      <c r="BR348" s="7"/>
    </row>
    <row r="349" spans="4:70" ht="14.5" x14ac:dyDescent="0.25">
      <c r="D349" s="6"/>
      <c r="E349" s="1"/>
      <c r="BO349" s="7"/>
      <c r="BR349" s="7"/>
    </row>
    <row r="350" spans="4:70" ht="14.5" x14ac:dyDescent="0.25">
      <c r="D350" s="6"/>
      <c r="E350" s="1"/>
      <c r="BO350" s="7"/>
      <c r="BR350" s="7"/>
    </row>
    <row r="351" spans="4:70" ht="14.5" x14ac:dyDescent="0.25">
      <c r="D351" s="6"/>
      <c r="E351" s="1"/>
      <c r="BO351" s="7"/>
      <c r="BR351" s="7"/>
    </row>
    <row r="352" spans="4:70" ht="14.5" x14ac:dyDescent="0.25">
      <c r="D352" s="6"/>
      <c r="E352" s="1"/>
      <c r="BO352" s="7"/>
      <c r="BR352" s="7"/>
    </row>
    <row r="353" spans="4:70" ht="14.5" x14ac:dyDescent="0.25">
      <c r="D353" s="6"/>
      <c r="E353" s="1"/>
      <c r="BO353" s="7"/>
      <c r="BR353" s="7"/>
    </row>
    <row r="354" spans="4:70" ht="14.5" x14ac:dyDescent="0.25">
      <c r="D354" s="6"/>
      <c r="E354" s="1"/>
      <c r="BO354" s="7"/>
      <c r="BR354" s="7"/>
    </row>
    <row r="355" spans="4:70" ht="14.5" x14ac:dyDescent="0.25">
      <c r="D355" s="6"/>
      <c r="E355" s="1"/>
      <c r="BO355" s="7"/>
      <c r="BR355" s="7"/>
    </row>
    <row r="356" spans="4:70" ht="14.5" x14ac:dyDescent="0.25">
      <c r="D356" s="6"/>
      <c r="E356" s="1"/>
      <c r="BO356" s="7"/>
      <c r="BR356" s="7"/>
    </row>
    <row r="357" spans="4:70" ht="14.5" x14ac:dyDescent="0.25">
      <c r="D357" s="6"/>
      <c r="E357" s="1"/>
      <c r="BR357" s="7"/>
    </row>
    <row r="358" spans="4:70" ht="14.5" x14ac:dyDescent="0.25">
      <c r="D358" s="6"/>
      <c r="E358" s="1"/>
      <c r="BR358" s="7"/>
    </row>
    <row r="359" spans="4:70" ht="14.5" x14ac:dyDescent="0.25">
      <c r="D359" s="6"/>
      <c r="E359" s="1"/>
      <c r="BR359" s="7"/>
    </row>
    <row r="360" spans="4:70" ht="14.5" x14ac:dyDescent="0.25">
      <c r="D360" s="6"/>
      <c r="E360" s="1"/>
      <c r="BO360" s="7"/>
      <c r="BR360" s="7"/>
    </row>
    <row r="361" spans="4:70" ht="14.5" x14ac:dyDescent="0.25">
      <c r="D361" s="6"/>
      <c r="E361" s="1"/>
      <c r="BO361" s="7"/>
      <c r="BR361" s="7"/>
    </row>
    <row r="362" spans="4:70" ht="14.5" x14ac:dyDescent="0.25">
      <c r="D362" s="6"/>
      <c r="E362" s="1"/>
      <c r="BO362" s="7"/>
      <c r="BR362" s="7"/>
    </row>
    <row r="363" spans="4:70" ht="14.5" x14ac:dyDescent="0.25">
      <c r="D363" s="6"/>
      <c r="E363" s="1"/>
      <c r="BO363" s="7"/>
      <c r="BR363" s="7"/>
    </row>
    <row r="364" spans="4:70" ht="14.5" x14ac:dyDescent="0.25">
      <c r="D364" s="6"/>
      <c r="E364" s="1"/>
      <c r="BO364" s="7"/>
      <c r="BR364" s="7"/>
    </row>
    <row r="365" spans="4:70" ht="14.5" x14ac:dyDescent="0.25">
      <c r="D365" s="6"/>
      <c r="E365" s="1"/>
      <c r="BO365" s="7"/>
      <c r="BR365" s="7"/>
    </row>
    <row r="366" spans="4:70" ht="14.5" x14ac:dyDescent="0.25">
      <c r="D366" s="6"/>
      <c r="E366" s="1"/>
      <c r="BO366" s="7"/>
      <c r="BR366" s="7"/>
    </row>
    <row r="367" spans="4:70" ht="14.5" x14ac:dyDescent="0.25">
      <c r="D367" s="6"/>
      <c r="E367" s="1"/>
      <c r="BO367" s="7"/>
      <c r="BR367" s="7"/>
    </row>
    <row r="368" spans="4:70" ht="14.5" x14ac:dyDescent="0.25">
      <c r="D368" s="6"/>
      <c r="E368" s="1"/>
      <c r="BO368" s="7"/>
      <c r="BR368" s="7"/>
    </row>
    <row r="369" spans="4:70" ht="14.5" x14ac:dyDescent="0.25">
      <c r="D369" s="6"/>
      <c r="E369" s="1"/>
      <c r="BO369" s="7"/>
      <c r="BR369" s="7"/>
    </row>
    <row r="370" spans="4:70" ht="14.5" x14ac:dyDescent="0.25">
      <c r="D370" s="6"/>
      <c r="E370" s="1"/>
      <c r="BO370" s="7"/>
      <c r="BR370" s="7"/>
    </row>
    <row r="371" spans="4:70" ht="14.5" x14ac:dyDescent="0.25">
      <c r="D371" s="6"/>
      <c r="E371" s="1"/>
      <c r="BO371" s="7"/>
      <c r="BR371" s="7"/>
    </row>
    <row r="372" spans="4:70" ht="14.5" x14ac:dyDescent="0.25">
      <c r="D372" s="6"/>
      <c r="E372" s="1"/>
      <c r="BO372" s="7"/>
      <c r="BR372" s="7"/>
    </row>
    <row r="373" spans="4:70" ht="14.5" x14ac:dyDescent="0.25">
      <c r="D373" s="6"/>
      <c r="E373" s="1"/>
      <c r="BO373" s="7"/>
      <c r="BR373" s="7"/>
    </row>
    <row r="374" spans="4:70" ht="14.5" x14ac:dyDescent="0.25">
      <c r="D374" s="6"/>
      <c r="E374" s="1"/>
      <c r="BO374" s="7"/>
      <c r="BR374" s="7"/>
    </row>
    <row r="375" spans="4:70" ht="14.5" x14ac:dyDescent="0.25">
      <c r="D375" s="6"/>
      <c r="E375" s="1"/>
      <c r="BO375" s="7"/>
      <c r="BR375" s="7"/>
    </row>
    <row r="376" spans="4:70" ht="14.5" x14ac:dyDescent="0.25">
      <c r="D376" s="6"/>
      <c r="E376" s="1"/>
      <c r="BO376" s="7"/>
      <c r="BR376" s="7"/>
    </row>
    <row r="377" spans="4:70" ht="14.5" x14ac:dyDescent="0.25">
      <c r="D377" s="6"/>
      <c r="E377" s="1"/>
      <c r="BO377" s="7"/>
      <c r="BR377" s="7"/>
    </row>
    <row r="378" spans="4:70" ht="14.5" x14ac:dyDescent="0.25">
      <c r="D378" s="6"/>
      <c r="E378" s="1"/>
      <c r="BO378" s="7"/>
      <c r="BR378" s="7"/>
    </row>
    <row r="379" spans="4:70" ht="14.5" x14ac:dyDescent="0.25">
      <c r="D379" s="6"/>
      <c r="E379" s="1"/>
      <c r="BO379" s="7"/>
      <c r="BR379" s="7"/>
    </row>
    <row r="380" spans="4:70" ht="14.5" x14ac:dyDescent="0.25">
      <c r="D380" s="6"/>
      <c r="E380" s="1"/>
      <c r="BO380" s="7"/>
      <c r="BR380" s="7"/>
    </row>
    <row r="381" spans="4:70" ht="14.5" x14ac:dyDescent="0.25">
      <c r="D381" s="6"/>
      <c r="E381" s="1"/>
      <c r="BO381" s="7"/>
      <c r="BR381" s="7"/>
    </row>
    <row r="382" spans="4:70" ht="14.5" x14ac:dyDescent="0.25">
      <c r="D382" s="6"/>
      <c r="E382" s="1"/>
      <c r="BO382" s="7"/>
      <c r="BR382" s="7"/>
    </row>
    <row r="383" spans="4:70" ht="14.5" x14ac:dyDescent="0.25">
      <c r="D383" s="6"/>
      <c r="E383" s="1"/>
      <c r="BO383" s="7"/>
      <c r="BR383" s="7"/>
    </row>
    <row r="384" spans="4:70" ht="14.5" x14ac:dyDescent="0.25">
      <c r="D384" s="6"/>
      <c r="E384" s="1"/>
      <c r="BO384" s="7"/>
      <c r="BR384" s="7"/>
    </row>
    <row r="385" spans="4:70" ht="14.5" x14ac:dyDescent="0.25">
      <c r="D385" s="6"/>
      <c r="E385" s="1"/>
      <c r="BO385" s="7"/>
      <c r="BR385" s="7"/>
    </row>
    <row r="386" spans="4:70" ht="14.5" x14ac:dyDescent="0.25">
      <c r="D386" s="6"/>
      <c r="E386" s="1"/>
      <c r="BO386" s="7"/>
      <c r="BR386" s="7"/>
    </row>
    <row r="387" spans="4:70" ht="14.5" x14ac:dyDescent="0.25">
      <c r="D387" s="6"/>
      <c r="E387" s="1"/>
      <c r="BO387" s="7"/>
      <c r="BR387" s="7"/>
    </row>
    <row r="388" spans="4:70" ht="14.5" x14ac:dyDescent="0.25">
      <c r="D388" s="6"/>
      <c r="E388" s="1"/>
      <c r="BO388" s="7"/>
      <c r="BR388" s="7"/>
    </row>
    <row r="389" spans="4:70" ht="14.5" x14ac:dyDescent="0.25">
      <c r="D389" s="6"/>
      <c r="E389" s="1"/>
      <c r="BO389" s="7"/>
      <c r="BR389" s="7"/>
    </row>
    <row r="390" spans="4:70" ht="14.5" x14ac:dyDescent="0.25">
      <c r="D390" s="6"/>
      <c r="E390" s="1"/>
      <c r="BO390" s="7"/>
      <c r="BR390" s="7"/>
    </row>
    <row r="391" spans="4:70" ht="14.5" x14ac:dyDescent="0.25">
      <c r="D391" s="6"/>
      <c r="E391" s="1"/>
      <c r="BO391" s="7"/>
      <c r="BR391" s="7"/>
    </row>
    <row r="392" spans="4:70" ht="14.5" x14ac:dyDescent="0.25">
      <c r="D392" s="6"/>
      <c r="E392" s="1"/>
      <c r="BO392" s="7"/>
      <c r="BR392" s="7"/>
    </row>
    <row r="393" spans="4:70" ht="14.5" x14ac:dyDescent="0.25">
      <c r="D393" s="6"/>
      <c r="E393" s="1"/>
      <c r="BO393" s="7"/>
      <c r="BR393" s="7"/>
    </row>
    <row r="394" spans="4:70" ht="14.5" x14ac:dyDescent="0.25">
      <c r="D394" s="6"/>
      <c r="E394" s="1"/>
      <c r="BR394" s="7"/>
    </row>
    <row r="395" spans="4:70" ht="14.5" x14ac:dyDescent="0.25">
      <c r="D395" s="6"/>
      <c r="E395" s="1"/>
      <c r="BR395" s="7"/>
    </row>
    <row r="396" spans="4:70" ht="14.5" x14ac:dyDescent="0.25">
      <c r="D396" s="6"/>
      <c r="E396" s="1"/>
      <c r="BO396" s="7"/>
      <c r="BR396" s="7"/>
    </row>
    <row r="397" spans="4:70" ht="14.5" x14ac:dyDescent="0.25">
      <c r="D397" s="6"/>
      <c r="E397" s="1"/>
      <c r="BO397" s="7"/>
      <c r="BR397" s="7"/>
    </row>
    <row r="398" spans="4:70" ht="14.5" x14ac:dyDescent="0.25">
      <c r="D398" s="6"/>
      <c r="E398" s="1"/>
      <c r="BO398" s="7"/>
      <c r="BR398" s="7"/>
    </row>
    <row r="399" spans="4:70" ht="14.5" x14ac:dyDescent="0.25">
      <c r="D399" s="6"/>
      <c r="E399" s="1"/>
      <c r="BO399" s="7"/>
      <c r="BR399" s="7"/>
    </row>
    <row r="400" spans="4:70" ht="14.5" x14ac:dyDescent="0.25">
      <c r="D400" s="6"/>
      <c r="E400" s="1"/>
      <c r="BO400" s="7"/>
      <c r="BR400" s="7"/>
    </row>
    <row r="401" spans="4:70" ht="14.5" x14ac:dyDescent="0.25">
      <c r="D401" s="6"/>
      <c r="E401" s="1"/>
      <c r="BO401" s="7"/>
      <c r="BR401" s="7"/>
    </row>
    <row r="402" spans="4:70" ht="14.5" x14ac:dyDescent="0.25">
      <c r="D402" s="6"/>
      <c r="E402" s="1"/>
      <c r="BO402" s="7"/>
      <c r="BR402" s="7"/>
    </row>
    <row r="403" spans="4:70" ht="14.5" x14ac:dyDescent="0.25">
      <c r="D403" s="6"/>
      <c r="E403" s="1"/>
      <c r="BO403" s="7"/>
      <c r="BR403" s="7"/>
    </row>
    <row r="404" spans="4:70" ht="14.5" x14ac:dyDescent="0.25">
      <c r="D404" s="6"/>
      <c r="E404" s="1"/>
      <c r="BO404" s="7"/>
      <c r="BR404" s="7"/>
    </row>
    <row r="405" spans="4:70" ht="14.5" x14ac:dyDescent="0.25">
      <c r="D405" s="6"/>
      <c r="E405" s="1"/>
      <c r="BO405" s="7"/>
      <c r="BR405" s="7"/>
    </row>
    <row r="406" spans="4:70" ht="14.5" x14ac:dyDescent="0.25">
      <c r="D406" s="6"/>
      <c r="E406" s="1"/>
      <c r="BO406" s="7"/>
      <c r="BR406" s="7"/>
    </row>
    <row r="407" spans="4:70" ht="14.5" x14ac:dyDescent="0.25">
      <c r="D407" s="6"/>
      <c r="E407" s="1"/>
      <c r="BO407" s="7"/>
      <c r="BR407" s="7"/>
    </row>
    <row r="408" spans="4:70" ht="14.5" x14ac:dyDescent="0.25">
      <c r="D408" s="6"/>
      <c r="E408" s="1"/>
      <c r="BO408" s="7"/>
      <c r="BR408" s="7"/>
    </row>
    <row r="409" spans="4:70" ht="14.5" x14ac:dyDescent="0.25">
      <c r="D409" s="6"/>
      <c r="E409" s="1"/>
      <c r="BO409" s="7"/>
      <c r="BR409" s="7"/>
    </row>
    <row r="410" spans="4:70" ht="14.5" x14ac:dyDescent="0.25">
      <c r="D410" s="6"/>
      <c r="E410" s="1"/>
      <c r="BO410" s="7"/>
      <c r="BR410" s="7"/>
    </row>
    <row r="411" spans="4:70" ht="14.5" x14ac:dyDescent="0.25">
      <c r="D411" s="6"/>
      <c r="E411" s="1"/>
      <c r="BO411" s="7"/>
      <c r="BR411" s="7"/>
    </row>
    <row r="412" spans="4:70" ht="14.5" x14ac:dyDescent="0.25">
      <c r="D412" s="6"/>
      <c r="E412" s="1"/>
      <c r="BO412" s="7"/>
      <c r="BR412" s="7"/>
    </row>
    <row r="413" spans="4:70" ht="14.5" x14ac:dyDescent="0.25">
      <c r="D413" s="6"/>
      <c r="E413" s="1"/>
      <c r="BO413" s="7"/>
      <c r="BR413" s="7"/>
    </row>
    <row r="414" spans="4:70" ht="14.5" x14ac:dyDescent="0.25">
      <c r="D414" s="6"/>
      <c r="E414" s="1"/>
      <c r="BO414" s="7"/>
      <c r="BR414" s="7"/>
    </row>
    <row r="415" spans="4:70" ht="14.5" x14ac:dyDescent="0.25">
      <c r="D415" s="6"/>
      <c r="E415" s="1"/>
      <c r="BO415" s="7"/>
      <c r="BR415" s="7"/>
    </row>
    <row r="416" spans="4:70" ht="14.5" x14ac:dyDescent="0.25">
      <c r="D416" s="6"/>
      <c r="E416" s="1"/>
      <c r="BO416" s="7"/>
      <c r="BR416" s="7"/>
    </row>
    <row r="417" spans="4:70" ht="14.5" x14ac:dyDescent="0.25">
      <c r="D417" s="6"/>
      <c r="E417" s="1"/>
      <c r="BO417" s="7"/>
      <c r="BR417" s="7"/>
    </row>
    <row r="418" spans="4:70" ht="14.5" x14ac:dyDescent="0.25">
      <c r="D418" s="6"/>
      <c r="E418" s="1"/>
      <c r="BO418" s="7"/>
      <c r="BR418" s="7"/>
    </row>
    <row r="419" spans="4:70" ht="14.5" x14ac:dyDescent="0.25">
      <c r="D419" s="6"/>
      <c r="E419" s="1"/>
      <c r="BR419" s="7"/>
    </row>
    <row r="420" spans="4:70" ht="14.5" x14ac:dyDescent="0.25">
      <c r="D420" s="6"/>
      <c r="E420" s="1"/>
      <c r="BR420" s="7"/>
    </row>
    <row r="421" spans="4:70" ht="14.5" x14ac:dyDescent="0.25">
      <c r="D421" s="6"/>
      <c r="E421" s="1"/>
      <c r="BO421" s="7"/>
      <c r="BR421" s="7"/>
    </row>
    <row r="422" spans="4:70" ht="14.5" x14ac:dyDescent="0.25">
      <c r="D422" s="6"/>
      <c r="E422" s="1"/>
      <c r="BO422" s="7"/>
      <c r="BR422" s="7"/>
    </row>
    <row r="423" spans="4:70" ht="14.5" x14ac:dyDescent="0.25">
      <c r="D423" s="6"/>
      <c r="E423" s="1"/>
      <c r="BR423" s="7"/>
    </row>
    <row r="424" spans="4:70" ht="14.5" x14ac:dyDescent="0.25">
      <c r="D424" s="6"/>
      <c r="E424" s="1"/>
      <c r="BR424" s="7"/>
    </row>
    <row r="425" spans="4:70" ht="14.5" x14ac:dyDescent="0.25">
      <c r="D425" s="6"/>
      <c r="E425" s="1"/>
      <c r="BO425" s="7"/>
      <c r="BR425" s="7"/>
    </row>
    <row r="426" spans="4:70" ht="14.5" x14ac:dyDescent="0.25">
      <c r="D426" s="6"/>
      <c r="E426" s="1"/>
      <c r="BO426" s="7"/>
      <c r="BR426" s="7"/>
    </row>
    <row r="427" spans="4:70" ht="14.5" x14ac:dyDescent="0.25">
      <c r="D427" s="6"/>
      <c r="E427" s="1"/>
      <c r="BO427" s="7"/>
      <c r="BR427" s="7"/>
    </row>
    <row r="428" spans="4:70" ht="14.5" x14ac:dyDescent="0.25">
      <c r="D428" s="6"/>
      <c r="E428" s="1"/>
      <c r="BO428" s="7"/>
      <c r="BR428" s="7"/>
    </row>
    <row r="429" spans="4:70" ht="14.5" x14ac:dyDescent="0.25">
      <c r="D429" s="6"/>
      <c r="E429" s="1"/>
      <c r="BO429" s="7"/>
      <c r="BR429" s="7"/>
    </row>
    <row r="430" spans="4:70" ht="14.5" x14ac:dyDescent="0.25">
      <c r="D430" s="6"/>
      <c r="E430" s="1"/>
      <c r="BO430" s="7"/>
      <c r="BR430" s="7"/>
    </row>
    <row r="431" spans="4:70" ht="14.5" x14ac:dyDescent="0.25">
      <c r="D431" s="6"/>
      <c r="E431" s="1"/>
      <c r="BO431" s="7"/>
      <c r="BR431" s="7"/>
    </row>
    <row r="432" spans="4:70" ht="14.5" x14ac:dyDescent="0.25">
      <c r="D432" s="6"/>
      <c r="E432" s="1"/>
      <c r="BO432" s="7"/>
      <c r="BR432" s="7"/>
    </row>
    <row r="433" spans="4:70" ht="14.5" x14ac:dyDescent="0.25">
      <c r="D433" s="6"/>
      <c r="E433" s="1"/>
      <c r="BO433" s="7"/>
      <c r="BR433" s="7"/>
    </row>
    <row r="434" spans="4:70" ht="14.5" x14ac:dyDescent="0.25">
      <c r="D434" s="6"/>
      <c r="E434" s="1"/>
      <c r="BO434" s="7"/>
      <c r="BR434" s="7"/>
    </row>
    <row r="435" spans="4:70" ht="14.5" x14ac:dyDescent="0.25">
      <c r="D435" s="6"/>
      <c r="E435" s="1"/>
      <c r="BO435" s="7"/>
      <c r="BR435" s="7"/>
    </row>
    <row r="436" spans="4:70" ht="14.5" x14ac:dyDescent="0.25">
      <c r="D436" s="6"/>
      <c r="E436" s="1"/>
      <c r="BO436" s="7"/>
      <c r="BR436" s="7"/>
    </row>
    <row r="437" spans="4:70" ht="14.5" x14ac:dyDescent="0.25">
      <c r="D437" s="6"/>
      <c r="E437" s="1"/>
      <c r="BO437" s="7"/>
      <c r="BR437" s="7"/>
    </row>
    <row r="438" spans="4:70" ht="14.5" x14ac:dyDescent="0.25">
      <c r="D438" s="6"/>
      <c r="E438" s="1"/>
      <c r="BO438" s="7"/>
      <c r="BR438" s="7"/>
    </row>
    <row r="439" spans="4:70" ht="14.5" x14ac:dyDescent="0.25">
      <c r="D439" s="6"/>
      <c r="E439" s="1"/>
      <c r="BO439" s="7"/>
      <c r="BR439" s="7"/>
    </row>
    <row r="440" spans="4:70" ht="14.5" x14ac:dyDescent="0.25">
      <c r="D440" s="6"/>
      <c r="E440" s="1"/>
      <c r="BO440" s="7"/>
      <c r="BR440" s="7"/>
    </row>
    <row r="441" spans="4:70" ht="14.5" x14ac:dyDescent="0.25">
      <c r="D441" s="6"/>
      <c r="E441" s="1"/>
      <c r="BO441" s="7"/>
      <c r="BR441" s="7"/>
    </row>
    <row r="442" spans="4:70" ht="14.5" x14ac:dyDescent="0.25">
      <c r="D442" s="6"/>
      <c r="E442" s="1"/>
    </row>
    <row r="443" spans="4:70" ht="14.5" x14ac:dyDescent="0.25">
      <c r="D443" s="6"/>
      <c r="E443" s="1"/>
    </row>
    <row r="444" spans="4:70" ht="14.5" x14ac:dyDescent="0.25">
      <c r="D444" s="6"/>
      <c r="E444" s="1"/>
    </row>
    <row r="445" spans="4:70" ht="14.5" x14ac:dyDescent="0.25">
      <c r="D445" s="6"/>
      <c r="E445" s="1"/>
    </row>
    <row r="446" spans="4:70" ht="14.5" x14ac:dyDescent="0.25">
      <c r="D446" s="6"/>
      <c r="E446" s="1"/>
    </row>
    <row r="447" spans="4:70" ht="14.5" x14ac:dyDescent="0.25">
      <c r="D447" s="6"/>
      <c r="E447" s="1"/>
    </row>
    <row r="448" spans="4:70" ht="14.5" x14ac:dyDescent="0.25">
      <c r="D448" s="6"/>
      <c r="E448" s="1"/>
    </row>
    <row r="449" spans="4:5" ht="14.5" x14ac:dyDescent="0.25">
      <c r="D449" s="6"/>
      <c r="E449" s="1"/>
    </row>
    <row r="450" spans="4:5" ht="14.5" x14ac:dyDescent="0.25">
      <c r="D450" s="6"/>
      <c r="E450" s="1"/>
    </row>
    <row r="451" spans="4:5" ht="14.5" x14ac:dyDescent="0.25">
      <c r="D451" s="6"/>
      <c r="E451" s="1"/>
    </row>
    <row r="452" spans="4:5" ht="14.5" x14ac:dyDescent="0.25">
      <c r="D452" s="6"/>
      <c r="E452" s="1"/>
    </row>
    <row r="453" spans="4:5" ht="14.5" x14ac:dyDescent="0.25">
      <c r="D453" s="6"/>
      <c r="E453" s="1"/>
    </row>
    <row r="454" spans="4:5" ht="14.5" x14ac:dyDescent="0.25">
      <c r="D454" s="6"/>
      <c r="E454" s="1"/>
    </row>
    <row r="455" spans="4:5" ht="14.5" x14ac:dyDescent="0.25">
      <c r="D455" s="6"/>
      <c r="E455" s="1"/>
    </row>
    <row r="456" spans="4:5" ht="14.5" x14ac:dyDescent="0.25">
      <c r="D456" s="6"/>
      <c r="E456" s="1"/>
    </row>
    <row r="457" spans="4:5" ht="14.5" x14ac:dyDescent="0.25">
      <c r="D457" s="6"/>
      <c r="E457" s="1"/>
    </row>
    <row r="458" spans="4:5" ht="14.5" x14ac:dyDescent="0.25">
      <c r="D458" s="6"/>
      <c r="E458" s="1"/>
    </row>
    <row r="459" spans="4:5" ht="14.5" x14ac:dyDescent="0.25">
      <c r="D459" s="6"/>
      <c r="E459" s="1"/>
    </row>
    <row r="460" spans="4:5" ht="14.5" x14ac:dyDescent="0.25">
      <c r="D460" s="6"/>
      <c r="E460" s="1"/>
    </row>
    <row r="461" spans="4:5" ht="14.5" x14ac:dyDescent="0.25">
      <c r="D461" s="6"/>
      <c r="E461" s="1"/>
    </row>
    <row r="462" spans="4:5" ht="14.5" x14ac:dyDescent="0.25">
      <c r="D462" s="6"/>
      <c r="E462" s="1"/>
    </row>
    <row r="463" spans="4:5" ht="14.5" x14ac:dyDescent="0.25">
      <c r="D463" s="6"/>
      <c r="E463" s="1"/>
    </row>
    <row r="464" spans="4:5" ht="14.5" x14ac:dyDescent="0.25">
      <c r="D464" s="6"/>
      <c r="E464" s="1"/>
    </row>
    <row r="465" spans="4:5" ht="14.5" x14ac:dyDescent="0.25">
      <c r="D465" s="6"/>
      <c r="E465" s="1"/>
    </row>
    <row r="466" spans="4:5" ht="14.5" x14ac:dyDescent="0.25">
      <c r="D466" s="6"/>
      <c r="E466" s="1"/>
    </row>
    <row r="467" spans="4:5" ht="14.5" x14ac:dyDescent="0.25">
      <c r="D467" s="6"/>
      <c r="E467" s="1"/>
    </row>
    <row r="468" spans="4:5" ht="14.5" x14ac:dyDescent="0.25">
      <c r="D468" s="6"/>
      <c r="E468" s="1"/>
    </row>
    <row r="469" spans="4:5" ht="14.5" x14ac:dyDescent="0.25">
      <c r="D469" s="6"/>
      <c r="E469" s="1"/>
    </row>
    <row r="470" spans="4:5" ht="14.5" x14ac:dyDescent="0.25">
      <c r="D470" s="6"/>
      <c r="E470" s="1"/>
    </row>
    <row r="471" spans="4:5" ht="14.5" x14ac:dyDescent="0.25">
      <c r="D471" s="6"/>
      <c r="E471" s="1"/>
    </row>
    <row r="472" spans="4:5" ht="14.5" x14ac:dyDescent="0.25">
      <c r="D472" s="6"/>
      <c r="E472" s="1"/>
    </row>
    <row r="473" spans="4:5" ht="14.5" x14ac:dyDescent="0.25">
      <c r="D473" s="6"/>
      <c r="E473" s="1"/>
    </row>
    <row r="474" spans="4:5" ht="14.5" x14ac:dyDescent="0.25">
      <c r="D474" s="6"/>
      <c r="E474" s="1"/>
    </row>
    <row r="475" spans="4:5" ht="14.5" x14ac:dyDescent="0.25">
      <c r="D475" s="6"/>
      <c r="E475" s="1"/>
    </row>
    <row r="476" spans="4:5" ht="14.5" x14ac:dyDescent="0.25">
      <c r="D476" s="6"/>
      <c r="E476" s="1"/>
    </row>
    <row r="477" spans="4:5" ht="14.5" x14ac:dyDescent="0.25">
      <c r="D477" s="6"/>
      <c r="E477" s="1"/>
    </row>
    <row r="478" spans="4:5" ht="14.5" x14ac:dyDescent="0.25">
      <c r="D478" s="6"/>
      <c r="E478" s="1"/>
    </row>
    <row r="479" spans="4:5" ht="14.5" x14ac:dyDescent="0.25">
      <c r="D479" s="6"/>
      <c r="E479" s="1"/>
    </row>
    <row r="480" spans="4:5" ht="14.5" x14ac:dyDescent="0.25">
      <c r="D480" s="6"/>
      <c r="E480" s="1"/>
    </row>
    <row r="481" spans="4:5" ht="14.5" x14ac:dyDescent="0.25">
      <c r="D481" s="6"/>
      <c r="E481" s="1"/>
    </row>
    <row r="482" spans="4:5" ht="14.5" x14ac:dyDescent="0.25">
      <c r="D482" s="6"/>
      <c r="E482" s="1"/>
    </row>
    <row r="483" spans="4:5" ht="14.5" x14ac:dyDescent="0.25">
      <c r="D483" s="6"/>
      <c r="E483" s="1"/>
    </row>
    <row r="484" spans="4:5" ht="14.5" x14ac:dyDescent="0.25">
      <c r="D484" s="6"/>
      <c r="E484" s="1"/>
    </row>
    <row r="485" spans="4:5" ht="14.5" x14ac:dyDescent="0.25">
      <c r="D485" s="6"/>
      <c r="E485" s="1"/>
    </row>
    <row r="486" spans="4:5" ht="14.5" x14ac:dyDescent="0.25">
      <c r="D486" s="6"/>
      <c r="E486" s="1"/>
    </row>
    <row r="487" spans="4:5" ht="14.5" x14ac:dyDescent="0.25">
      <c r="D487" s="6"/>
      <c r="E487" s="1"/>
    </row>
    <row r="488" spans="4:5" ht="14.5" x14ac:dyDescent="0.25">
      <c r="D488" s="6"/>
      <c r="E488" s="1"/>
    </row>
    <row r="489" spans="4:5" ht="14.5" x14ac:dyDescent="0.25">
      <c r="D489" s="6"/>
      <c r="E489" s="1"/>
    </row>
    <row r="490" spans="4:5" ht="14.5" x14ac:dyDescent="0.25">
      <c r="D490" s="6"/>
      <c r="E490" s="1"/>
    </row>
    <row r="491" spans="4:5" ht="14.5" x14ac:dyDescent="0.25">
      <c r="D491" s="6"/>
      <c r="E491" s="1"/>
    </row>
    <row r="492" spans="4:5" ht="14.5" x14ac:dyDescent="0.25">
      <c r="D492" s="6"/>
      <c r="E492" s="1"/>
    </row>
    <row r="493" spans="4:5" ht="14.5" x14ac:dyDescent="0.25">
      <c r="D493" s="6"/>
      <c r="E493" s="1"/>
    </row>
    <row r="494" spans="4:5" ht="14.5" x14ac:dyDescent="0.25">
      <c r="D494" s="6"/>
      <c r="E494" s="1"/>
    </row>
    <row r="495" spans="4:5" ht="14.5" x14ac:dyDescent="0.25">
      <c r="D495" s="6"/>
      <c r="E495" s="1"/>
    </row>
    <row r="496" spans="4:5" ht="14.5" x14ac:dyDescent="0.25">
      <c r="D496" s="6"/>
      <c r="E496" s="1"/>
    </row>
    <row r="497" spans="4:5" ht="14.5" x14ac:dyDescent="0.25">
      <c r="D497" s="6"/>
      <c r="E497" s="1"/>
    </row>
    <row r="498" spans="4:5" ht="14.5" x14ac:dyDescent="0.25">
      <c r="D498" s="6"/>
      <c r="E498" s="1"/>
    </row>
    <row r="499" spans="4:5" ht="14.5" x14ac:dyDescent="0.25">
      <c r="D499" s="6"/>
      <c r="E499" s="1"/>
    </row>
    <row r="500" spans="4:5" ht="14.5" x14ac:dyDescent="0.25">
      <c r="D500" s="6"/>
      <c r="E500" s="1"/>
    </row>
    <row r="501" spans="4:5" ht="14.5" x14ac:dyDescent="0.25">
      <c r="D501" s="6"/>
      <c r="E501" s="1"/>
    </row>
    <row r="502" spans="4:5" ht="14.5" x14ac:dyDescent="0.25">
      <c r="D502" s="6"/>
      <c r="E502" s="1"/>
    </row>
    <row r="503" spans="4:5" ht="14.5" x14ac:dyDescent="0.25">
      <c r="D503" s="6"/>
      <c r="E503" s="1"/>
    </row>
    <row r="504" spans="4:5" ht="14.5" x14ac:dyDescent="0.25">
      <c r="D504" s="6"/>
      <c r="E504" s="1"/>
    </row>
    <row r="505" spans="4:5" ht="14.5" x14ac:dyDescent="0.25">
      <c r="D505" s="6"/>
      <c r="E505" s="1"/>
    </row>
    <row r="506" spans="4:5" ht="14.5" x14ac:dyDescent="0.25">
      <c r="D506" s="6"/>
      <c r="E506" s="1"/>
    </row>
    <row r="507" spans="4:5" ht="14.5" x14ac:dyDescent="0.25">
      <c r="D507" s="6"/>
      <c r="E507" s="1"/>
    </row>
    <row r="508" spans="4:5" ht="14.5" x14ac:dyDescent="0.25">
      <c r="D508" s="6"/>
      <c r="E508" s="1"/>
    </row>
    <row r="509" spans="4:5" ht="14.5" x14ac:dyDescent="0.25">
      <c r="D509" s="6"/>
      <c r="E509" s="1"/>
    </row>
    <row r="510" spans="4:5" ht="14.5" x14ac:dyDescent="0.25">
      <c r="D510" s="6"/>
      <c r="E510" s="1"/>
    </row>
    <row r="511" spans="4:5" ht="14.5" x14ac:dyDescent="0.25">
      <c r="D511" s="6"/>
      <c r="E511" s="1"/>
    </row>
    <row r="512" spans="4:5" ht="14.5" x14ac:dyDescent="0.25">
      <c r="D512" s="6"/>
      <c r="E512" s="1"/>
    </row>
    <row r="513" spans="4:5" ht="14.5" x14ac:dyDescent="0.25">
      <c r="D513" s="6"/>
      <c r="E513" s="1"/>
    </row>
    <row r="514" spans="4:5" ht="14.5" x14ac:dyDescent="0.25">
      <c r="D514" s="6"/>
      <c r="E514" s="1"/>
    </row>
    <row r="515" spans="4:5" ht="14.5" x14ac:dyDescent="0.25">
      <c r="D515" s="6"/>
      <c r="E515" s="1"/>
    </row>
    <row r="516" spans="4:5" ht="14.5" x14ac:dyDescent="0.25">
      <c r="D516" s="6"/>
      <c r="E516" s="1"/>
    </row>
    <row r="517" spans="4:5" ht="14.5" x14ac:dyDescent="0.25">
      <c r="D517" s="6"/>
      <c r="E517" s="1"/>
    </row>
    <row r="518" spans="4:5" ht="14.5" x14ac:dyDescent="0.25">
      <c r="D518" s="6"/>
      <c r="E518" s="1"/>
    </row>
    <row r="519" spans="4:5" ht="14.5" x14ac:dyDescent="0.25">
      <c r="D519" s="6"/>
      <c r="E519" s="1"/>
    </row>
    <row r="520" spans="4:5" ht="14.5" x14ac:dyDescent="0.25">
      <c r="D520" s="6"/>
      <c r="E520" s="1"/>
    </row>
    <row r="521" spans="4:5" ht="14.5" x14ac:dyDescent="0.25">
      <c r="D521" s="6"/>
      <c r="E521" s="1"/>
    </row>
    <row r="589" spans="4:5" ht="14.5" x14ac:dyDescent="0.25">
      <c r="D589" s="6"/>
      <c r="E589" s="1"/>
    </row>
    <row r="590" spans="4:5" ht="14.5" x14ac:dyDescent="0.25">
      <c r="D590" s="6"/>
      <c r="E590" s="1"/>
    </row>
    <row r="591" spans="4:5" ht="14.5" x14ac:dyDescent="0.25">
      <c r="D591" s="6"/>
      <c r="E591" s="1"/>
    </row>
    <row r="592" spans="4:5" ht="14.5" x14ac:dyDescent="0.25">
      <c r="D592" s="6"/>
      <c r="E592" s="1"/>
    </row>
    <row r="593" spans="4:5" ht="14.5" x14ac:dyDescent="0.25">
      <c r="D593" s="6"/>
      <c r="E593" s="1"/>
    </row>
    <row r="594" spans="4:5" ht="14.5" x14ac:dyDescent="0.25">
      <c r="D594" s="6"/>
      <c r="E594" s="1"/>
    </row>
    <row r="595" spans="4:5" ht="14.5" x14ac:dyDescent="0.25">
      <c r="D595" s="6"/>
      <c r="E595" s="1"/>
    </row>
    <row r="596" spans="4:5" ht="14.5" x14ac:dyDescent="0.25">
      <c r="D596" s="6"/>
      <c r="E596" s="1"/>
    </row>
    <row r="597" spans="4:5" ht="14.5" x14ac:dyDescent="0.25">
      <c r="D597" s="6"/>
      <c r="E597" s="1"/>
    </row>
    <row r="598" spans="4:5" ht="14.5" x14ac:dyDescent="0.25">
      <c r="D598" s="6"/>
      <c r="E598" s="1"/>
    </row>
    <row r="599" spans="4:5" ht="14.5" x14ac:dyDescent="0.25">
      <c r="D599" s="6"/>
      <c r="E599" s="1"/>
    </row>
    <row r="600" spans="4:5" ht="14.5" x14ac:dyDescent="0.25">
      <c r="D600" s="6"/>
      <c r="E600" s="1"/>
    </row>
    <row r="601" spans="4:5" ht="14.5" x14ac:dyDescent="0.25">
      <c r="D601" s="6"/>
      <c r="E601" s="1"/>
    </row>
    <row r="602" spans="4:5" ht="14.5" x14ac:dyDescent="0.25">
      <c r="D602" s="6"/>
      <c r="E602" s="1"/>
    </row>
    <row r="603" spans="4:5" ht="14.5" x14ac:dyDescent="0.25">
      <c r="D603" s="6"/>
      <c r="E603" s="1"/>
    </row>
    <row r="604" spans="4:5" ht="14.5" x14ac:dyDescent="0.25">
      <c r="D604" s="6"/>
      <c r="E604" s="1"/>
    </row>
    <row r="605" spans="4:5" ht="14.5" x14ac:dyDescent="0.25">
      <c r="D605" s="6"/>
      <c r="E605" s="1"/>
    </row>
    <row r="606" spans="4:5" ht="14.5" x14ac:dyDescent="0.25">
      <c r="D606" s="6"/>
      <c r="E606" s="1"/>
    </row>
    <row r="607" spans="4:5" ht="14.5" x14ac:dyDescent="0.25">
      <c r="D607" s="6"/>
      <c r="E607" s="1"/>
    </row>
    <row r="608" spans="4:5" ht="14.5" x14ac:dyDescent="0.25">
      <c r="D608" s="6"/>
      <c r="E608" s="1"/>
    </row>
    <row r="609" spans="4:5" ht="14.5" x14ac:dyDescent="0.25">
      <c r="D609" s="6"/>
      <c r="E609" s="1"/>
    </row>
    <row r="610" spans="4:5" ht="14.5" x14ac:dyDescent="0.25">
      <c r="D610" s="6"/>
      <c r="E610" s="1"/>
    </row>
    <row r="611" spans="4:5" ht="14.5" x14ac:dyDescent="0.25">
      <c r="D611" s="6"/>
      <c r="E611" s="1"/>
    </row>
    <row r="612" spans="4:5" ht="14.5" x14ac:dyDescent="0.25">
      <c r="D612" s="6"/>
      <c r="E612" s="1"/>
    </row>
    <row r="613" spans="4:5" ht="14.5" x14ac:dyDescent="0.25">
      <c r="D613" s="6"/>
      <c r="E613" s="1"/>
    </row>
  </sheetData>
  <phoneticPr fontId="8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H905"/>
  <sheetViews>
    <sheetView workbookViewId="0">
      <pane xSplit="1" ySplit="3" topLeftCell="B59" activePane="bottomRight" state="frozen"/>
      <selection pane="topRight"/>
      <selection pane="bottomLeft"/>
      <selection pane="bottomRight" activeCell="B88" sqref="B88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3" customWidth="1"/>
    <col min="14" max="14" width="11.75" style="3" customWidth="1"/>
    <col min="15" max="15" width="13.08203125" style="3" customWidth="1"/>
    <col min="16" max="16" width="11.58203125" style="3" customWidth="1"/>
    <col min="17" max="17" width="21.5" style="3" customWidth="1"/>
    <col min="18" max="18" width="19.83203125" style="3" customWidth="1"/>
    <col min="19" max="19" width="16.58203125" style="3" customWidth="1"/>
    <col min="20" max="20" width="12.75" style="3" customWidth="1"/>
    <col min="21" max="23" width="8.33203125" style="3" customWidth="1"/>
    <col min="24" max="24" width="18.5" style="3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3" width="11.83203125" customWidth="1"/>
    <col min="44" max="44" width="18.4140625" customWidth="1"/>
    <col min="45" max="45" width="12.25" customWidth="1"/>
    <col min="46" max="46" width="11.9140625" customWidth="1"/>
    <col min="47" max="47" width="19.58203125" customWidth="1"/>
    <col min="48" max="48" width="12.6640625" customWidth="1"/>
    <col min="50" max="50" width="7" customWidth="1"/>
    <col min="51" max="51" width="11.75" customWidth="1"/>
    <col min="52" max="52" width="9.75" customWidth="1"/>
    <col min="53" max="53" width="5.08203125" customWidth="1"/>
    <col min="54" max="54" width="8.5" customWidth="1"/>
    <col min="55" max="55" width="13.5" customWidth="1"/>
    <col min="56" max="56" width="14.6640625" customWidth="1"/>
    <col min="57" max="57" width="10.1640625" customWidth="1"/>
    <col min="58" max="58" width="8.25" customWidth="1"/>
    <col min="59" max="65" width="8.33203125" customWidth="1"/>
    <col min="66" max="68" width="11.25" customWidth="1"/>
    <col min="69" max="69" width="6.58203125" customWidth="1"/>
    <col min="70" max="71" width="8" customWidth="1"/>
    <col min="72" max="72" width="7.33203125" style="4" customWidth="1"/>
    <col min="73" max="74" width="8.5" style="4" customWidth="1"/>
    <col min="75" max="76" width="7.83203125" style="4" customWidth="1"/>
    <col min="77" max="77" width="22.1640625" style="4" customWidth="1"/>
    <col min="78" max="78" width="13.5" customWidth="1"/>
    <col min="79" max="79" width="21.1640625" customWidth="1"/>
    <col min="80" max="80" width="15.75" customWidth="1"/>
    <col min="81" max="81" width="15.58203125" customWidth="1"/>
    <col min="82" max="82" width="12.83203125" customWidth="1"/>
    <col min="83" max="83" width="16.1640625" customWidth="1"/>
    <col min="85" max="85" width="16" customWidth="1"/>
    <col min="86" max="87" width="12.83203125" customWidth="1"/>
    <col min="88" max="88" width="23.58203125" customWidth="1"/>
    <col min="89" max="89" width="12.83203125" customWidth="1"/>
    <col min="90" max="90" width="17.08203125" customWidth="1"/>
    <col min="97" max="97" width="14" customWidth="1"/>
    <col min="98" max="98" width="8" customWidth="1"/>
    <col min="100" max="100" width="11.08203125" customWidth="1"/>
    <col min="101" max="101" width="13.75" customWidth="1"/>
    <col min="108" max="108" width="15.5" customWidth="1"/>
    <col min="112" max="112" width="9" hidden="1" customWidth="1"/>
  </cols>
  <sheetData>
    <row r="1" spans="1:111" x14ac:dyDescent="0.25">
      <c r="B1" t="s">
        <v>205</v>
      </c>
      <c r="D1" t="s">
        <v>206</v>
      </c>
      <c r="E1" t="s">
        <v>207</v>
      </c>
      <c r="F1" t="s">
        <v>208</v>
      </c>
      <c r="G1" t="s">
        <v>209</v>
      </c>
      <c r="H1" s="8" t="s">
        <v>772</v>
      </c>
      <c r="I1" t="s">
        <v>210</v>
      </c>
      <c r="J1" t="s">
        <v>211</v>
      </c>
      <c r="K1" s="3" t="s">
        <v>212</v>
      </c>
      <c r="L1" s="3" t="s">
        <v>213</v>
      </c>
      <c r="M1" s="3" t="s">
        <v>214</v>
      </c>
      <c r="N1" s="3" t="s">
        <v>215</v>
      </c>
      <c r="O1" s="3" t="s">
        <v>216</v>
      </c>
      <c r="P1" s="3" t="s">
        <v>217</v>
      </c>
      <c r="Q1" s="3" t="s">
        <v>218</v>
      </c>
      <c r="R1" s="3" t="s">
        <v>219</v>
      </c>
      <c r="S1" s="3" t="s">
        <v>220</v>
      </c>
      <c r="T1" s="3" t="s">
        <v>221</v>
      </c>
      <c r="U1" s="3" t="s">
        <v>221</v>
      </c>
      <c r="V1" s="3" t="s">
        <v>222</v>
      </c>
      <c r="W1" s="3" t="s">
        <v>223</v>
      </c>
      <c r="X1" s="3" t="s">
        <v>224</v>
      </c>
      <c r="Y1" t="s">
        <v>225</v>
      </c>
      <c r="Z1" t="s">
        <v>226</v>
      </c>
      <c r="AA1" s="3" t="s">
        <v>227</v>
      </c>
      <c r="AB1" t="s">
        <v>228</v>
      </c>
      <c r="AC1" t="s">
        <v>229</v>
      </c>
      <c r="AD1" t="s">
        <v>230</v>
      </c>
      <c r="AE1" t="s">
        <v>231</v>
      </c>
      <c r="AF1" t="s">
        <v>232</v>
      </c>
      <c r="AG1" t="s">
        <v>233</v>
      </c>
      <c r="AH1" t="s">
        <v>234</v>
      </c>
      <c r="AI1" t="s">
        <v>235</v>
      </c>
      <c r="AJ1" t="s">
        <v>236</v>
      </c>
      <c r="AK1" t="s">
        <v>237</v>
      </c>
      <c r="AL1" t="s">
        <v>238</v>
      </c>
      <c r="AM1" t="s">
        <v>239</v>
      </c>
      <c r="AN1" t="s">
        <v>240</v>
      </c>
      <c r="AO1" t="s">
        <v>241</v>
      </c>
      <c r="AP1" t="s">
        <v>242</v>
      </c>
      <c r="AQ1" t="s">
        <v>243</v>
      </c>
      <c r="AR1" t="s">
        <v>244</v>
      </c>
      <c r="AS1" t="s">
        <v>245</v>
      </c>
      <c r="AT1" t="s">
        <v>246</v>
      </c>
      <c r="AU1" t="s">
        <v>247</v>
      </c>
      <c r="AV1" t="s">
        <v>248</v>
      </c>
      <c r="AW1" t="s">
        <v>249</v>
      </c>
      <c r="AX1" t="s">
        <v>250</v>
      </c>
      <c r="AY1" t="s">
        <v>251</v>
      </c>
      <c r="AZ1" t="s">
        <v>252</v>
      </c>
      <c r="BA1" t="s">
        <v>253</v>
      </c>
      <c r="BB1" t="s">
        <v>254</v>
      </c>
      <c r="BC1" t="s">
        <v>255</v>
      </c>
      <c r="BD1" t="s">
        <v>256</v>
      </c>
      <c r="BE1" t="s">
        <v>257</v>
      </c>
      <c r="BF1" t="s">
        <v>258</v>
      </c>
      <c r="BH1" t="s">
        <v>258</v>
      </c>
      <c r="BI1" t="s">
        <v>259</v>
      </c>
      <c r="BJ1" t="s">
        <v>260</v>
      </c>
      <c r="BK1" t="s">
        <v>261</v>
      </c>
      <c r="BL1" t="s">
        <v>262</v>
      </c>
      <c r="BM1" t="s">
        <v>263</v>
      </c>
      <c r="BN1" t="s">
        <v>264</v>
      </c>
      <c r="BO1" t="s">
        <v>265</v>
      </c>
      <c r="BP1" t="s">
        <v>266</v>
      </c>
      <c r="BQ1" t="s">
        <v>267</v>
      </c>
      <c r="BR1" t="s">
        <v>268</v>
      </c>
      <c r="BS1" s="8" t="s">
        <v>764</v>
      </c>
      <c r="BT1" s="4" t="s">
        <v>767</v>
      </c>
      <c r="BU1" s="4" t="s">
        <v>269</v>
      </c>
      <c r="BV1" s="4" t="s">
        <v>270</v>
      </c>
      <c r="BW1" s="4" t="s">
        <v>271</v>
      </c>
      <c r="BX1" s="4" t="s">
        <v>272</v>
      </c>
      <c r="BY1" s="4" t="s">
        <v>273</v>
      </c>
      <c r="BZ1" t="s">
        <v>274</v>
      </c>
      <c r="CA1" s="4" t="s">
        <v>275</v>
      </c>
      <c r="CB1" t="s">
        <v>276</v>
      </c>
      <c r="CC1" t="s">
        <v>277</v>
      </c>
      <c r="CD1" t="s">
        <v>278</v>
      </c>
      <c r="CE1" t="s">
        <v>279</v>
      </c>
      <c r="CF1" t="s">
        <v>280</v>
      </c>
      <c r="CG1" t="s">
        <v>281</v>
      </c>
      <c r="CH1" t="s">
        <v>282</v>
      </c>
      <c r="CI1" t="s">
        <v>283</v>
      </c>
      <c r="CJ1" s="8" t="s">
        <v>769</v>
      </c>
      <c r="CK1" t="s">
        <v>284</v>
      </c>
      <c r="CL1" t="s">
        <v>285</v>
      </c>
      <c r="CM1" t="s">
        <v>286</v>
      </c>
      <c r="CN1" t="s">
        <v>287</v>
      </c>
      <c r="CO1" t="s">
        <v>288</v>
      </c>
      <c r="CP1" t="s">
        <v>268</v>
      </c>
      <c r="CQ1" t="s">
        <v>289</v>
      </c>
      <c r="CR1" t="s">
        <v>290</v>
      </c>
      <c r="CS1" t="s">
        <v>291</v>
      </c>
      <c r="CT1" t="s">
        <v>292</v>
      </c>
      <c r="CU1" t="s">
        <v>293</v>
      </c>
      <c r="CV1" t="s">
        <v>294</v>
      </c>
      <c r="CW1" t="s">
        <v>295</v>
      </c>
      <c r="CX1" t="s">
        <v>294</v>
      </c>
      <c r="CY1" t="s">
        <v>296</v>
      </c>
      <c r="CZ1" t="s">
        <v>297</v>
      </c>
      <c r="DA1" t="s">
        <v>298</v>
      </c>
      <c r="DB1" t="s">
        <v>299</v>
      </c>
      <c r="DC1" t="s">
        <v>300</v>
      </c>
      <c r="DD1" t="s">
        <v>301</v>
      </c>
      <c r="DE1" t="s">
        <v>302</v>
      </c>
      <c r="DF1" t="s">
        <v>303</v>
      </c>
      <c r="DG1" t="s">
        <v>304</v>
      </c>
    </row>
    <row r="2" spans="1:111" x14ac:dyDescent="0.25">
      <c r="A2" t="s">
        <v>0</v>
      </c>
      <c r="C2" t="s">
        <v>58</v>
      </c>
      <c r="D2" t="s">
        <v>87</v>
      </c>
      <c r="E2" t="s">
        <v>305</v>
      </c>
      <c r="F2" t="s">
        <v>306</v>
      </c>
      <c r="G2" t="s">
        <v>63</v>
      </c>
      <c r="H2" s="8" t="s">
        <v>773</v>
      </c>
      <c r="I2" t="s">
        <v>307</v>
      </c>
      <c r="J2" t="s">
        <v>308</v>
      </c>
      <c r="K2" s="3" t="s">
        <v>309</v>
      </c>
      <c r="L2" s="3" t="s">
        <v>310</v>
      </c>
      <c r="M2" s="3" t="s">
        <v>311</v>
      </c>
      <c r="N2" s="3" t="s">
        <v>312</v>
      </c>
      <c r="O2" s="3" t="s">
        <v>313</v>
      </c>
      <c r="P2" s="3" t="s">
        <v>314</v>
      </c>
      <c r="Q2" s="3" t="s">
        <v>315</v>
      </c>
      <c r="R2" s="3" t="s">
        <v>316</v>
      </c>
      <c r="S2" s="3" t="s">
        <v>317</v>
      </c>
      <c r="T2" s="3" t="s">
        <v>318</v>
      </c>
      <c r="U2" s="3" t="s">
        <v>319</v>
      </c>
      <c r="V2" s="3" t="s">
        <v>320</v>
      </c>
      <c r="W2" s="3" t="s">
        <v>321</v>
      </c>
      <c r="X2" s="3" t="s">
        <v>322</v>
      </c>
      <c r="Y2" t="s">
        <v>323</v>
      </c>
      <c r="Z2" t="s">
        <v>324</v>
      </c>
      <c r="AA2" s="3" t="s">
        <v>325</v>
      </c>
      <c r="AB2" t="s">
        <v>326</v>
      </c>
      <c r="AC2" t="s">
        <v>327</v>
      </c>
      <c r="AD2" t="s">
        <v>328</v>
      </c>
      <c r="AE2" t="s">
        <v>329</v>
      </c>
      <c r="AF2" t="s">
        <v>330</v>
      </c>
      <c r="AG2" t="s">
        <v>331</v>
      </c>
      <c r="AH2" t="s">
        <v>332</v>
      </c>
      <c r="AI2" t="s">
        <v>333</v>
      </c>
      <c r="AJ2" t="s">
        <v>334</v>
      </c>
      <c r="AK2" t="s">
        <v>335</v>
      </c>
      <c r="AL2" t="s">
        <v>336</v>
      </c>
      <c r="AM2" t="s">
        <v>337</v>
      </c>
      <c r="AN2" t="s">
        <v>338</v>
      </c>
      <c r="AO2" t="s">
        <v>339</v>
      </c>
      <c r="AP2" t="s">
        <v>340</v>
      </c>
      <c r="AQ2" t="s">
        <v>341</v>
      </c>
      <c r="AR2" t="s">
        <v>342</v>
      </c>
      <c r="AS2" t="s">
        <v>343</v>
      </c>
      <c r="AT2" t="s">
        <v>344</v>
      </c>
      <c r="AU2" t="s">
        <v>345</v>
      </c>
      <c r="AV2" t="s">
        <v>346</v>
      </c>
      <c r="AW2" t="s">
        <v>347</v>
      </c>
      <c r="AX2" t="s">
        <v>348</v>
      </c>
      <c r="AY2" t="s">
        <v>349</v>
      </c>
      <c r="AZ2" t="s">
        <v>350</v>
      </c>
      <c r="BA2" t="s">
        <v>351</v>
      </c>
      <c r="BB2" t="s">
        <v>352</v>
      </c>
      <c r="BC2" t="s">
        <v>353</v>
      </c>
      <c r="BD2" t="s">
        <v>354</v>
      </c>
      <c r="BE2" t="s">
        <v>355</v>
      </c>
      <c r="BF2" t="s">
        <v>356</v>
      </c>
      <c r="BG2" t="s">
        <v>357</v>
      </c>
      <c r="BH2" t="s">
        <v>358</v>
      </c>
      <c r="BI2" t="s">
        <v>359</v>
      </c>
      <c r="BJ2" t="s">
        <v>360</v>
      </c>
      <c r="BK2" t="s">
        <v>361</v>
      </c>
      <c r="BL2" t="s">
        <v>362</v>
      </c>
      <c r="BM2" t="s">
        <v>89</v>
      </c>
      <c r="BN2" t="s">
        <v>363</v>
      </c>
      <c r="BO2" t="s">
        <v>364</v>
      </c>
      <c r="BP2" t="s">
        <v>365</v>
      </c>
      <c r="BQ2" t="s">
        <v>366</v>
      </c>
      <c r="BR2" t="s">
        <v>367</v>
      </c>
      <c r="BS2" s="8" t="s">
        <v>765</v>
      </c>
      <c r="BT2" s="4" t="s">
        <v>768</v>
      </c>
      <c r="BU2" s="4" t="s">
        <v>368</v>
      </c>
      <c r="BV2" s="4" t="s">
        <v>369</v>
      </c>
      <c r="BW2" s="4" t="s">
        <v>370</v>
      </c>
      <c r="BX2" s="4" t="s">
        <v>371</v>
      </c>
      <c r="BY2" s="4" t="s">
        <v>372</v>
      </c>
      <c r="BZ2" t="s">
        <v>373</v>
      </c>
      <c r="CA2" t="s">
        <v>374</v>
      </c>
      <c r="CB2" t="s">
        <v>375</v>
      </c>
      <c r="CC2" t="s">
        <v>376</v>
      </c>
      <c r="CD2" t="s">
        <v>377</v>
      </c>
      <c r="CE2" t="s">
        <v>378</v>
      </c>
      <c r="CF2" t="s">
        <v>379</v>
      </c>
      <c r="CG2" t="s">
        <v>380</v>
      </c>
      <c r="CH2" t="s">
        <v>381</v>
      </c>
      <c r="CI2" t="s">
        <v>382</v>
      </c>
      <c r="CJ2" s="8" t="s">
        <v>770</v>
      </c>
      <c r="CK2" t="s">
        <v>383</v>
      </c>
      <c r="CL2" t="s">
        <v>384</v>
      </c>
      <c r="CM2" t="s">
        <v>385</v>
      </c>
      <c r="CN2" t="s">
        <v>386</v>
      </c>
      <c r="CO2" t="s">
        <v>387</v>
      </c>
      <c r="CP2" t="s">
        <v>388</v>
      </c>
      <c r="CQ2" t="s">
        <v>389</v>
      </c>
      <c r="CR2" t="s">
        <v>390</v>
      </c>
      <c r="CS2" t="s">
        <v>391</v>
      </c>
      <c r="CT2" t="s">
        <v>392</v>
      </c>
      <c r="CU2" t="s">
        <v>393</v>
      </c>
      <c r="CV2" t="s">
        <v>394</v>
      </c>
      <c r="CW2" t="s">
        <v>395</v>
      </c>
      <c r="CX2" t="s">
        <v>396</v>
      </c>
      <c r="CY2" t="s">
        <v>397</v>
      </c>
      <c r="CZ2" t="s">
        <v>398</v>
      </c>
      <c r="DA2" t="s">
        <v>399</v>
      </c>
      <c r="DB2" t="s">
        <v>400</v>
      </c>
      <c r="DC2" t="s">
        <v>401</v>
      </c>
      <c r="DD2" t="s">
        <v>402</v>
      </c>
      <c r="DE2" t="s">
        <v>403</v>
      </c>
      <c r="DF2" t="s">
        <v>404</v>
      </c>
      <c r="DG2" t="s">
        <v>405</v>
      </c>
    </row>
    <row r="3" spans="1:111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126</v>
      </c>
      <c r="H3" s="8" t="s">
        <v>774</v>
      </c>
      <c r="I3" t="s">
        <v>124</v>
      </c>
      <c r="J3" t="s">
        <v>406</v>
      </c>
      <c r="K3" s="3" t="s">
        <v>407</v>
      </c>
      <c r="L3" s="3" t="s">
        <v>756</v>
      </c>
      <c r="M3" s="3" t="s">
        <v>126</v>
      </c>
      <c r="N3" s="3" t="s">
        <v>126</v>
      </c>
      <c r="O3" s="3" t="s">
        <v>128</v>
      </c>
      <c r="P3" s="3" t="s">
        <v>128</v>
      </c>
      <c r="Q3" s="3" t="s">
        <v>128</v>
      </c>
      <c r="R3" s="3" t="s">
        <v>128</v>
      </c>
      <c r="S3" s="3" t="s">
        <v>124</v>
      </c>
      <c r="T3" s="3" t="s">
        <v>125</v>
      </c>
      <c r="U3" s="3" t="s">
        <v>125</v>
      </c>
      <c r="V3" s="3" t="s">
        <v>125</v>
      </c>
      <c r="W3" s="3" t="s">
        <v>124</v>
      </c>
      <c r="X3" s="3" t="s">
        <v>124</v>
      </c>
      <c r="Y3" t="s">
        <v>124</v>
      </c>
      <c r="Z3" t="s">
        <v>124</v>
      </c>
      <c r="AA3" s="3" t="s">
        <v>125</v>
      </c>
      <c r="AB3" t="s">
        <v>124</v>
      </c>
      <c r="AC3" t="s">
        <v>126</v>
      </c>
      <c r="AD3" t="s">
        <v>124</v>
      </c>
      <c r="AE3" t="s">
        <v>124</v>
      </c>
      <c r="AF3" t="s">
        <v>124</v>
      </c>
      <c r="AG3" t="s">
        <v>408</v>
      </c>
      <c r="AH3" t="s">
        <v>124</v>
      </c>
      <c r="AI3" t="s">
        <v>130</v>
      </c>
      <c r="AJ3" t="s">
        <v>3</v>
      </c>
      <c r="AK3" t="s">
        <v>126</v>
      </c>
      <c r="AL3" t="s">
        <v>126</v>
      </c>
      <c r="AM3" t="s">
        <v>126</v>
      </c>
      <c r="AN3" t="s">
        <v>124</v>
      </c>
      <c r="AO3" t="s">
        <v>409</v>
      </c>
      <c r="AP3" t="s">
        <v>410</v>
      </c>
      <c r="AQ3" t="s">
        <v>2</v>
      </c>
      <c r="AR3" t="s">
        <v>411</v>
      </c>
      <c r="AS3" t="s">
        <v>124</v>
      </c>
      <c r="AT3" t="s">
        <v>125</v>
      </c>
      <c r="AU3" t="s">
        <v>124</v>
      </c>
      <c r="AV3" t="s">
        <v>412</v>
      </c>
      <c r="AW3" t="s">
        <v>124</v>
      </c>
      <c r="AX3" t="s">
        <v>125</v>
      </c>
      <c r="AY3" t="s">
        <v>124</v>
      </c>
      <c r="AZ3" t="s">
        <v>126</v>
      </c>
      <c r="BA3" t="s">
        <v>125</v>
      </c>
      <c r="BB3" t="s">
        <v>126</v>
      </c>
      <c r="BC3" t="s">
        <v>126</v>
      </c>
      <c r="BD3" t="s">
        <v>125</v>
      </c>
      <c r="BE3" t="s">
        <v>124</v>
      </c>
      <c r="BF3" t="s">
        <v>411</v>
      </c>
      <c r="BG3" t="s">
        <v>124</v>
      </c>
      <c r="BH3" t="s">
        <v>125</v>
      </c>
      <c r="BI3" t="s">
        <v>125</v>
      </c>
      <c r="BJ3" t="s">
        <v>125</v>
      </c>
      <c r="BK3" t="s">
        <v>126</v>
      </c>
      <c r="BL3" t="s">
        <v>126</v>
      </c>
      <c r="BM3" t="s">
        <v>127</v>
      </c>
      <c r="BN3" t="s">
        <v>127</v>
      </c>
      <c r="BO3" t="s">
        <v>413</v>
      </c>
      <c r="BP3" t="s">
        <v>414</v>
      </c>
      <c r="BQ3" t="s">
        <v>125</v>
      </c>
      <c r="BR3" t="s">
        <v>125</v>
      </c>
      <c r="BS3" s="8" t="s">
        <v>766</v>
      </c>
      <c r="BT3" s="4" t="s">
        <v>125</v>
      </c>
      <c r="BU3" s="4" t="s">
        <v>125</v>
      </c>
      <c r="BV3" s="4" t="s">
        <v>126</v>
      </c>
      <c r="BW3" s="4" t="s">
        <v>415</v>
      </c>
      <c r="BX3" s="4" t="s">
        <v>124</v>
      </c>
      <c r="BY3" s="4" t="s">
        <v>415</v>
      </c>
      <c r="BZ3" t="s">
        <v>132</v>
      </c>
      <c r="CA3" t="s">
        <v>416</v>
      </c>
      <c r="CB3" t="s">
        <v>132</v>
      </c>
      <c r="CC3" t="s">
        <v>132</v>
      </c>
      <c r="CD3" t="s">
        <v>132</v>
      </c>
      <c r="CE3" t="s">
        <v>417</v>
      </c>
      <c r="CF3" t="s">
        <v>418</v>
      </c>
      <c r="CG3" t="s">
        <v>2</v>
      </c>
      <c r="CH3" t="s">
        <v>419</v>
      </c>
      <c r="CI3" t="s">
        <v>419</v>
      </c>
      <c r="CJ3" s="8" t="s">
        <v>771</v>
      </c>
      <c r="CK3" t="s">
        <v>128</v>
      </c>
      <c r="CL3" t="s">
        <v>128</v>
      </c>
      <c r="CM3" t="s">
        <v>131</v>
      </c>
      <c r="CN3" t="s">
        <v>131</v>
      </c>
      <c r="CO3" t="s">
        <v>131</v>
      </c>
      <c r="CP3" t="s">
        <v>416</v>
      </c>
      <c r="CQ3" t="s">
        <v>131</v>
      </c>
      <c r="CR3" t="s">
        <v>124</v>
      </c>
      <c r="CS3" t="s">
        <v>133</v>
      </c>
      <c r="CT3" t="s">
        <v>420</v>
      </c>
      <c r="CU3" t="s">
        <v>421</v>
      </c>
      <c r="CV3" t="s">
        <v>421</v>
      </c>
      <c r="CW3" t="s">
        <v>420</v>
      </c>
      <c r="CX3" t="s">
        <v>420</v>
      </c>
      <c r="CY3" t="s">
        <v>420</v>
      </c>
      <c r="CZ3" t="s">
        <v>420</v>
      </c>
      <c r="DA3" t="s">
        <v>420</v>
      </c>
      <c r="DB3" t="s">
        <v>124</v>
      </c>
      <c r="DC3" t="s">
        <v>124</v>
      </c>
      <c r="DD3" t="s">
        <v>124</v>
      </c>
      <c r="DE3" t="s">
        <v>124</v>
      </c>
      <c r="DF3" t="s">
        <v>124</v>
      </c>
      <c r="DG3" t="s">
        <v>124</v>
      </c>
    </row>
    <row r="4" spans="1:111" s="2" customFormat="1" x14ac:dyDescent="0.25">
      <c r="A4" s="2" t="s">
        <v>422</v>
      </c>
    </row>
    <row r="5" spans="1:111" x14ac:dyDescent="0.25">
      <c r="A5" s="8" t="s">
        <v>684</v>
      </c>
      <c r="C5" t="s">
        <v>432</v>
      </c>
      <c r="AC5">
        <v>2</v>
      </c>
      <c r="AO5" t="s">
        <v>433</v>
      </c>
      <c r="AR5" t="s">
        <v>434</v>
      </c>
      <c r="AV5" t="s">
        <v>435</v>
      </c>
      <c r="AX5">
        <v>1</v>
      </c>
      <c r="BB5">
        <v>1</v>
      </c>
      <c r="BT5"/>
      <c r="BZ5" t="s">
        <v>67</v>
      </c>
      <c r="CE5" t="s">
        <v>430</v>
      </c>
      <c r="CW5" t="s">
        <v>436</v>
      </c>
    </row>
    <row r="6" spans="1:111" x14ac:dyDescent="0.25">
      <c r="AW6" s="3"/>
      <c r="BT6"/>
      <c r="BU6"/>
      <c r="BV6"/>
      <c r="BW6"/>
      <c r="BX6"/>
      <c r="BY6"/>
      <c r="BZ6" s="3"/>
      <c r="CA6" s="3"/>
      <c r="CB6" s="3"/>
      <c r="CC6" s="3"/>
      <c r="CD6" s="3"/>
      <c r="CF6" s="3"/>
      <c r="CG6" s="3"/>
      <c r="CH6" s="3"/>
      <c r="CI6" s="3"/>
      <c r="CK6" s="3"/>
    </row>
    <row r="7" spans="1:111" x14ac:dyDescent="0.25">
      <c r="A7" t="s">
        <v>149</v>
      </c>
      <c r="C7" t="s">
        <v>432</v>
      </c>
      <c r="AC7">
        <v>2</v>
      </c>
      <c r="AO7" t="s">
        <v>433</v>
      </c>
      <c r="AR7" t="s">
        <v>434</v>
      </c>
      <c r="AV7" t="s">
        <v>435</v>
      </c>
      <c r="AX7">
        <v>1</v>
      </c>
      <c r="BB7">
        <v>1</v>
      </c>
      <c r="BZ7" t="s">
        <v>67</v>
      </c>
      <c r="CE7" t="s">
        <v>430</v>
      </c>
    </row>
    <row r="8" spans="1:111" x14ac:dyDescent="0.25">
      <c r="A8" t="s">
        <v>150</v>
      </c>
      <c r="C8" t="s">
        <v>453</v>
      </c>
      <c r="D8" t="s">
        <v>454</v>
      </c>
      <c r="E8" t="s">
        <v>455</v>
      </c>
      <c r="F8" t="s">
        <v>456</v>
      </c>
      <c r="J8" t="s">
        <v>445</v>
      </c>
      <c r="K8" s="3" t="s">
        <v>428</v>
      </c>
      <c r="W8" s="3">
        <v>1</v>
      </c>
      <c r="AC8">
        <v>1</v>
      </c>
      <c r="BB8">
        <v>1</v>
      </c>
      <c r="BL8">
        <v>6</v>
      </c>
      <c r="BR8">
        <v>0.2</v>
      </c>
      <c r="BT8" s="4">
        <v>6</v>
      </c>
      <c r="BU8" s="4">
        <v>25</v>
      </c>
      <c r="BV8" s="4">
        <v>1</v>
      </c>
      <c r="BW8" s="4" t="s">
        <v>428</v>
      </c>
      <c r="CV8" t="s">
        <v>457</v>
      </c>
    </row>
    <row r="9" spans="1:111" x14ac:dyDescent="0.25">
      <c r="A9" t="s">
        <v>458</v>
      </c>
      <c r="C9" t="s">
        <v>423</v>
      </c>
      <c r="K9" s="3" t="s">
        <v>424</v>
      </c>
      <c r="L9" s="3" t="s">
        <v>437</v>
      </c>
      <c r="AC9">
        <v>1</v>
      </c>
      <c r="AG9" t="s">
        <v>427</v>
      </c>
      <c r="AW9" s="3"/>
      <c r="BB9">
        <v>1</v>
      </c>
      <c r="BU9"/>
      <c r="BV9"/>
      <c r="BW9"/>
      <c r="BX9"/>
      <c r="BY9"/>
      <c r="BZ9" s="3"/>
      <c r="CA9" s="3"/>
      <c r="CB9" s="3"/>
      <c r="CC9" s="3"/>
      <c r="CD9" s="3"/>
      <c r="CF9" s="3"/>
      <c r="CG9" s="3"/>
      <c r="CH9" s="3"/>
      <c r="CI9" s="3"/>
      <c r="CK9" s="3"/>
      <c r="CL9" t="s">
        <v>459</v>
      </c>
      <c r="CM9">
        <v>-2</v>
      </c>
      <c r="CP9">
        <v>99999</v>
      </c>
    </row>
    <row r="10" spans="1:111" x14ac:dyDescent="0.25">
      <c r="AW10" s="3"/>
      <c r="BU10"/>
      <c r="BV10"/>
      <c r="BW10"/>
      <c r="BX10"/>
      <c r="BY10"/>
      <c r="BZ10" s="3"/>
      <c r="CA10" s="3"/>
      <c r="CB10" s="3"/>
      <c r="CC10" s="3"/>
      <c r="CD10" s="3"/>
      <c r="CF10" s="3"/>
      <c r="CG10" s="3"/>
      <c r="CH10" s="3"/>
      <c r="CI10" s="3"/>
      <c r="CK10" s="3"/>
    </row>
    <row r="11" spans="1:111" x14ac:dyDescent="0.25">
      <c r="A11" t="s">
        <v>460</v>
      </c>
      <c r="C11" t="s">
        <v>432</v>
      </c>
      <c r="AC11">
        <v>2</v>
      </c>
      <c r="AO11" t="s">
        <v>433</v>
      </c>
      <c r="AR11" t="s">
        <v>434</v>
      </c>
      <c r="AV11" t="s">
        <v>435</v>
      </c>
      <c r="AX11">
        <v>1</v>
      </c>
      <c r="BB11">
        <v>1</v>
      </c>
      <c r="BZ11" t="s">
        <v>67</v>
      </c>
      <c r="CE11" t="s">
        <v>430</v>
      </c>
    </row>
    <row r="12" spans="1:111" x14ac:dyDescent="0.25">
      <c r="A12" t="s">
        <v>461</v>
      </c>
      <c r="C12" t="s">
        <v>453</v>
      </c>
      <c r="K12" s="3" t="s">
        <v>424</v>
      </c>
      <c r="L12" s="3" t="s">
        <v>462</v>
      </c>
      <c r="AC12">
        <v>1</v>
      </c>
      <c r="BB12">
        <v>1</v>
      </c>
      <c r="BL12">
        <v>1</v>
      </c>
    </row>
    <row r="13" spans="1:111" x14ac:dyDescent="0.25">
      <c r="A13" t="s">
        <v>159</v>
      </c>
      <c r="C13" t="s">
        <v>423</v>
      </c>
      <c r="D13" t="s">
        <v>449</v>
      </c>
      <c r="E13" t="s">
        <v>450</v>
      </c>
      <c r="F13" t="s">
        <v>444</v>
      </c>
      <c r="J13" t="s">
        <v>445</v>
      </c>
      <c r="K13" s="3" t="s">
        <v>441</v>
      </c>
      <c r="AC13">
        <v>1</v>
      </c>
      <c r="AW13" s="3"/>
      <c r="BB13">
        <v>1</v>
      </c>
      <c r="BN13" t="s">
        <v>463</v>
      </c>
      <c r="BR13">
        <v>25</v>
      </c>
      <c r="BT13" s="4">
        <v>0</v>
      </c>
      <c r="BU13" s="4">
        <v>45</v>
      </c>
      <c r="BV13" s="4">
        <v>1</v>
      </c>
      <c r="BW13" s="4" t="s">
        <v>428</v>
      </c>
      <c r="BZ13" s="3"/>
      <c r="CA13" s="3"/>
      <c r="CB13" s="3"/>
      <c r="CC13" s="3"/>
      <c r="CD13" s="3"/>
      <c r="CF13" s="3"/>
      <c r="CG13" s="3"/>
      <c r="CH13" s="3"/>
      <c r="CI13" s="3"/>
      <c r="CK13" s="3"/>
      <c r="CL13" t="s">
        <v>147</v>
      </c>
      <c r="CM13">
        <v>0.25</v>
      </c>
      <c r="CP13">
        <v>25</v>
      </c>
    </row>
    <row r="14" spans="1:111" x14ac:dyDescent="0.25">
      <c r="A14" t="s">
        <v>463</v>
      </c>
      <c r="C14" t="s">
        <v>423</v>
      </c>
      <c r="K14" s="3" t="s">
        <v>424</v>
      </c>
      <c r="L14" s="3" t="s">
        <v>443</v>
      </c>
      <c r="AC14">
        <v>1</v>
      </c>
      <c r="AW14" s="3"/>
      <c r="BB14">
        <v>1</v>
      </c>
      <c r="BU14"/>
      <c r="BV14"/>
      <c r="BW14"/>
      <c r="BX14"/>
      <c r="BY14"/>
      <c r="BZ14" s="3"/>
      <c r="CA14" s="3"/>
      <c r="CB14" s="3"/>
      <c r="CC14" s="3"/>
      <c r="CD14" s="3"/>
      <c r="CF14" s="3"/>
      <c r="CG14" s="3"/>
      <c r="CH14" s="3"/>
      <c r="CI14" s="3"/>
      <c r="CK14" s="3"/>
      <c r="CL14" t="s">
        <v>451</v>
      </c>
      <c r="CM14">
        <v>25</v>
      </c>
      <c r="CP14">
        <v>25</v>
      </c>
    </row>
    <row r="15" spans="1:111" x14ac:dyDescent="0.25">
      <c r="AW15" s="3"/>
      <c r="BT15"/>
      <c r="BU15"/>
      <c r="BV15"/>
      <c r="BW15"/>
      <c r="BX15"/>
      <c r="BY15"/>
      <c r="BZ15" s="3"/>
      <c r="CA15" s="3"/>
      <c r="CB15" s="3"/>
      <c r="CC15" s="3"/>
      <c r="CD15" s="3"/>
      <c r="CF15" s="3"/>
      <c r="CG15" s="3"/>
      <c r="CH15" s="3"/>
      <c r="CI15" s="3"/>
      <c r="CK15" s="3"/>
    </row>
    <row r="16" spans="1:111" x14ac:dyDescent="0.25">
      <c r="A16" t="s">
        <v>464</v>
      </c>
      <c r="C16" t="s">
        <v>432</v>
      </c>
      <c r="AC16">
        <v>2</v>
      </c>
      <c r="AO16" t="s">
        <v>433</v>
      </c>
      <c r="AR16" t="s">
        <v>434</v>
      </c>
      <c r="AV16" t="s">
        <v>435</v>
      </c>
      <c r="AX16">
        <v>1</v>
      </c>
      <c r="BB16">
        <v>1</v>
      </c>
      <c r="BZ16" t="s">
        <v>67</v>
      </c>
      <c r="CE16" t="s">
        <v>430</v>
      </c>
      <c r="CJ16" s="3"/>
    </row>
    <row r="17" spans="1:106" x14ac:dyDescent="0.25">
      <c r="A17" t="s">
        <v>155</v>
      </c>
      <c r="C17" t="s">
        <v>423</v>
      </c>
      <c r="D17" t="s">
        <v>465</v>
      </c>
      <c r="E17" t="s">
        <v>466</v>
      </c>
      <c r="F17" t="s">
        <v>467</v>
      </c>
      <c r="J17" t="s">
        <v>445</v>
      </c>
      <c r="K17" s="3" t="s">
        <v>441</v>
      </c>
      <c r="AC17">
        <v>1</v>
      </c>
      <c r="AW17" s="3"/>
      <c r="BB17">
        <v>1</v>
      </c>
      <c r="BN17" t="s">
        <v>468</v>
      </c>
      <c r="BR17">
        <v>10</v>
      </c>
      <c r="BT17" s="4">
        <v>6</v>
      </c>
      <c r="BU17" s="4">
        <v>20</v>
      </c>
      <c r="BV17" s="4">
        <v>1</v>
      </c>
      <c r="BW17" s="4" t="s">
        <v>428</v>
      </c>
      <c r="BZ17" s="3"/>
      <c r="CA17" s="3"/>
      <c r="CB17" s="3"/>
      <c r="CC17" s="3"/>
      <c r="CD17" s="3"/>
      <c r="CF17" s="3"/>
      <c r="CG17" s="3"/>
      <c r="CH17" s="3"/>
      <c r="CI17" s="3"/>
      <c r="CK17" s="3"/>
      <c r="CL17" t="s">
        <v>147</v>
      </c>
      <c r="CM17">
        <v>0.35</v>
      </c>
      <c r="CP17">
        <v>10</v>
      </c>
    </row>
    <row r="18" spans="1:106" x14ac:dyDescent="0.25">
      <c r="A18" t="s">
        <v>468</v>
      </c>
      <c r="C18" t="s">
        <v>453</v>
      </c>
      <c r="E18" s="5"/>
      <c r="G18" s="5"/>
      <c r="I18" s="5"/>
      <c r="K18" s="3" t="s">
        <v>424</v>
      </c>
      <c r="AC18">
        <v>1</v>
      </c>
      <c r="AG18" t="s">
        <v>427</v>
      </c>
      <c r="BB18">
        <v>1</v>
      </c>
      <c r="BL18">
        <v>6</v>
      </c>
      <c r="BT18"/>
      <c r="CV18" t="s">
        <v>457</v>
      </c>
    </row>
    <row r="19" spans="1:106" x14ac:dyDescent="0.25">
      <c r="A19" t="s">
        <v>469</v>
      </c>
      <c r="C19" t="s">
        <v>423</v>
      </c>
      <c r="K19" s="3" t="s">
        <v>424</v>
      </c>
      <c r="L19" s="3" t="s">
        <v>437</v>
      </c>
      <c r="AC19">
        <v>1</v>
      </c>
      <c r="AG19" t="s">
        <v>427</v>
      </c>
      <c r="AH19">
        <v>1</v>
      </c>
      <c r="AW19" s="3"/>
      <c r="BB19">
        <v>1</v>
      </c>
      <c r="BT19"/>
      <c r="BU19"/>
      <c r="BV19"/>
      <c r="BW19"/>
      <c r="BX19"/>
      <c r="BY19"/>
      <c r="BZ19" s="3"/>
      <c r="CA19" s="3"/>
      <c r="CB19" s="3"/>
      <c r="CC19" s="3"/>
      <c r="CD19" s="3"/>
      <c r="CF19" s="3"/>
      <c r="CG19" s="3"/>
      <c r="CH19" s="3"/>
      <c r="CI19" s="3"/>
      <c r="CJ19" s="3"/>
      <c r="CK19" s="3"/>
      <c r="CL19" t="s">
        <v>446</v>
      </c>
      <c r="CM19">
        <v>0.08</v>
      </c>
      <c r="CP19">
        <v>99999</v>
      </c>
    </row>
    <row r="20" spans="1:106" x14ac:dyDescent="0.25">
      <c r="CJ20" s="3"/>
    </row>
    <row r="21" spans="1:106" x14ac:dyDescent="0.25">
      <c r="A21" t="s">
        <v>471</v>
      </c>
      <c r="C21" t="s">
        <v>423</v>
      </c>
      <c r="K21" s="3" t="s">
        <v>424</v>
      </c>
      <c r="L21" s="3" t="s">
        <v>437</v>
      </c>
      <c r="AC21">
        <v>1</v>
      </c>
      <c r="AG21" t="s">
        <v>427</v>
      </c>
      <c r="AH21">
        <v>1</v>
      </c>
      <c r="AW21" s="3"/>
      <c r="BB21">
        <v>1</v>
      </c>
      <c r="BT21"/>
      <c r="BU21"/>
      <c r="BV21"/>
      <c r="BW21"/>
      <c r="BX21"/>
      <c r="BY21"/>
      <c r="BZ21" s="3"/>
      <c r="CA21" s="3"/>
      <c r="CB21" s="3"/>
      <c r="CC21" s="3"/>
      <c r="CD21" s="3"/>
      <c r="CF21" s="3"/>
      <c r="CG21" s="3"/>
      <c r="CH21" s="3"/>
      <c r="CI21" s="3"/>
      <c r="CK21" s="3"/>
      <c r="CL21" t="s">
        <v>471</v>
      </c>
      <c r="CM21">
        <v>0.19</v>
      </c>
      <c r="CP21">
        <v>99999</v>
      </c>
    </row>
    <row r="22" spans="1:106" x14ac:dyDescent="0.25">
      <c r="A22" t="s">
        <v>472</v>
      </c>
      <c r="C22" t="s">
        <v>432</v>
      </c>
      <c r="AC22">
        <v>2</v>
      </c>
      <c r="AO22" t="s">
        <v>433</v>
      </c>
      <c r="AR22" t="s">
        <v>434</v>
      </c>
      <c r="AV22" t="s">
        <v>435</v>
      </c>
      <c r="AX22">
        <v>1</v>
      </c>
      <c r="BB22">
        <v>1</v>
      </c>
      <c r="BZ22" t="s">
        <v>67</v>
      </c>
      <c r="CE22" t="s">
        <v>430</v>
      </c>
      <c r="CJ22" s="3"/>
      <c r="CU22" t="s">
        <v>473</v>
      </c>
      <c r="CW22" t="s">
        <v>474</v>
      </c>
    </row>
    <row r="23" spans="1:106" x14ac:dyDescent="0.25">
      <c r="A23" t="s">
        <v>475</v>
      </c>
      <c r="C23" t="s">
        <v>453</v>
      </c>
      <c r="D23" t="s">
        <v>476</v>
      </c>
      <c r="E23" t="s">
        <v>477</v>
      </c>
      <c r="F23" t="s">
        <v>478</v>
      </c>
      <c r="G23">
        <v>3</v>
      </c>
      <c r="J23" t="s">
        <v>445</v>
      </c>
      <c r="K23" s="3" t="s">
        <v>428</v>
      </c>
      <c r="W23" s="3">
        <v>1</v>
      </c>
      <c r="AC23">
        <v>1</v>
      </c>
      <c r="BB23">
        <v>1</v>
      </c>
      <c r="BL23">
        <v>9</v>
      </c>
      <c r="BR23">
        <v>0.2</v>
      </c>
      <c r="BT23" s="4">
        <v>13</v>
      </c>
      <c r="BU23" s="4">
        <v>30</v>
      </c>
      <c r="BV23" s="4">
        <v>1</v>
      </c>
      <c r="BW23" s="4" t="s">
        <v>428</v>
      </c>
      <c r="CV23" t="s">
        <v>457</v>
      </c>
    </row>
    <row r="24" spans="1:106" x14ac:dyDescent="0.25">
      <c r="A24" t="s">
        <v>479</v>
      </c>
      <c r="C24" t="s">
        <v>480</v>
      </c>
      <c r="D24" t="s">
        <v>481</v>
      </c>
      <c r="E24" t="s">
        <v>482</v>
      </c>
      <c r="F24" t="s">
        <v>483</v>
      </c>
      <c r="G24">
        <v>3</v>
      </c>
      <c r="J24" t="s">
        <v>440</v>
      </c>
      <c r="K24" s="3" t="s">
        <v>441</v>
      </c>
      <c r="AC24">
        <v>1</v>
      </c>
      <c r="BB24">
        <v>1</v>
      </c>
      <c r="BL24">
        <v>8</v>
      </c>
      <c r="BM24" t="s">
        <v>484</v>
      </c>
      <c r="BR24">
        <v>15</v>
      </c>
      <c r="BT24" s="4">
        <v>17</v>
      </c>
      <c r="BU24" s="4">
        <v>30</v>
      </c>
      <c r="BV24" s="4">
        <v>1</v>
      </c>
      <c r="BW24" s="4" t="s">
        <v>428</v>
      </c>
      <c r="CV24" t="s">
        <v>485</v>
      </c>
    </row>
    <row r="25" spans="1:106" x14ac:dyDescent="0.25">
      <c r="A25" t="s">
        <v>484</v>
      </c>
      <c r="C25" t="s">
        <v>453</v>
      </c>
      <c r="K25" s="3" t="s">
        <v>424</v>
      </c>
      <c r="L25" s="3" t="s">
        <v>443</v>
      </c>
      <c r="AC25">
        <v>1</v>
      </c>
      <c r="BB25">
        <v>1</v>
      </c>
      <c r="BL25">
        <v>3</v>
      </c>
      <c r="BT25"/>
      <c r="CL25" t="s">
        <v>486</v>
      </c>
      <c r="CM25">
        <v>0.8</v>
      </c>
      <c r="CP25">
        <v>15</v>
      </c>
    </row>
    <row r="26" spans="1:106" x14ac:dyDescent="0.25">
      <c r="BT26"/>
      <c r="CJ26" s="3"/>
    </row>
    <row r="27" spans="1:106" x14ac:dyDescent="0.25">
      <c r="A27" t="s">
        <v>487</v>
      </c>
      <c r="C27" t="s">
        <v>423</v>
      </c>
      <c r="K27" s="3" t="s">
        <v>424</v>
      </c>
      <c r="L27" s="3" t="s">
        <v>426</v>
      </c>
      <c r="AC27">
        <v>1</v>
      </c>
      <c r="AF27">
        <v>1</v>
      </c>
      <c r="AG27" t="s">
        <v>427</v>
      </c>
      <c r="AH27">
        <v>1</v>
      </c>
      <c r="AW27" s="3"/>
      <c r="BB27">
        <v>1</v>
      </c>
      <c r="BT27"/>
      <c r="BU27"/>
      <c r="BV27"/>
      <c r="BW27"/>
      <c r="BX27"/>
      <c r="BY27"/>
      <c r="BZ27" s="3"/>
      <c r="CA27" s="3"/>
      <c r="CB27" s="3"/>
      <c r="CC27" s="3"/>
      <c r="CD27" s="3"/>
      <c r="CF27" s="3"/>
      <c r="CG27" s="3"/>
      <c r="CH27" s="3"/>
      <c r="CI27" s="3"/>
      <c r="CJ27" s="3"/>
      <c r="CK27" s="3"/>
      <c r="CL27" t="s">
        <v>487</v>
      </c>
      <c r="CM27" t="s">
        <v>488</v>
      </c>
      <c r="CP27">
        <v>99999</v>
      </c>
      <c r="DB27">
        <v>1</v>
      </c>
    </row>
    <row r="28" spans="1:106" x14ac:dyDescent="0.25">
      <c r="A28" t="s">
        <v>489</v>
      </c>
      <c r="C28" t="s">
        <v>432</v>
      </c>
      <c r="AC28">
        <v>2</v>
      </c>
      <c r="AO28" t="s">
        <v>433</v>
      </c>
      <c r="AR28" t="s">
        <v>434</v>
      </c>
      <c r="AV28" t="s">
        <v>435</v>
      </c>
      <c r="AX28">
        <v>1</v>
      </c>
      <c r="BB28">
        <v>1</v>
      </c>
      <c r="BZ28" t="s">
        <v>490</v>
      </c>
      <c r="CE28" t="s">
        <v>430</v>
      </c>
      <c r="CJ28" s="3"/>
      <c r="CU28" t="s">
        <v>491</v>
      </c>
      <c r="CW28" t="s">
        <v>492</v>
      </c>
    </row>
    <row r="29" spans="1:106" x14ac:dyDescent="0.25">
      <c r="A29" t="s">
        <v>493</v>
      </c>
      <c r="C29" t="s">
        <v>423</v>
      </c>
      <c r="D29" t="s">
        <v>494</v>
      </c>
      <c r="E29" t="s">
        <v>495</v>
      </c>
      <c r="F29" t="s">
        <v>496</v>
      </c>
      <c r="G29">
        <v>3</v>
      </c>
      <c r="J29" t="s">
        <v>445</v>
      </c>
      <c r="K29" s="3" t="s">
        <v>441</v>
      </c>
      <c r="AC29">
        <v>1</v>
      </c>
      <c r="AW29" s="3"/>
      <c r="BB29">
        <v>1</v>
      </c>
      <c r="BN29" t="s">
        <v>497</v>
      </c>
      <c r="BR29">
        <v>15</v>
      </c>
      <c r="BT29" s="4">
        <v>18</v>
      </c>
      <c r="BU29" s="4">
        <v>30</v>
      </c>
      <c r="BV29" s="4">
        <v>1</v>
      </c>
      <c r="BW29" s="4" t="s">
        <v>428</v>
      </c>
      <c r="BZ29" s="3"/>
      <c r="CA29" s="3"/>
      <c r="CB29" s="3"/>
      <c r="CC29" s="3"/>
      <c r="CD29" s="3"/>
      <c r="CF29" s="3"/>
      <c r="CG29" s="3"/>
      <c r="CH29" s="3"/>
      <c r="CI29" s="3"/>
      <c r="CK29" s="3"/>
      <c r="CL29" t="s">
        <v>147</v>
      </c>
      <c r="CM29">
        <v>0.7</v>
      </c>
      <c r="CP29">
        <v>15</v>
      </c>
    </row>
    <row r="30" spans="1:106" x14ac:dyDescent="0.25">
      <c r="A30" t="s">
        <v>497</v>
      </c>
      <c r="C30" t="s">
        <v>453</v>
      </c>
      <c r="E30" s="5"/>
      <c r="G30" s="5"/>
      <c r="I30" s="5"/>
      <c r="K30" s="3" t="s">
        <v>424</v>
      </c>
      <c r="L30" s="3" t="s">
        <v>443</v>
      </c>
      <c r="BL30">
        <v>11</v>
      </c>
      <c r="BT30"/>
      <c r="CJ30" s="3"/>
      <c r="CV30" t="s">
        <v>457</v>
      </c>
    </row>
    <row r="31" spans="1:106" x14ac:dyDescent="0.25">
      <c r="E31" s="5"/>
      <c r="G31" s="5"/>
      <c r="I31" s="5"/>
      <c r="BT31"/>
      <c r="CJ31" s="3"/>
    </row>
    <row r="32" spans="1:106" x14ac:dyDescent="0.25">
      <c r="A32" t="s">
        <v>498</v>
      </c>
      <c r="C32" t="s">
        <v>432</v>
      </c>
      <c r="AC32">
        <v>2</v>
      </c>
      <c r="AO32" t="s">
        <v>433</v>
      </c>
      <c r="AR32" t="s">
        <v>434</v>
      </c>
      <c r="AV32" t="s">
        <v>435</v>
      </c>
      <c r="AX32">
        <v>1</v>
      </c>
      <c r="BB32">
        <v>1</v>
      </c>
      <c r="BT32"/>
      <c r="BZ32" t="s">
        <v>67</v>
      </c>
      <c r="CE32" t="s">
        <v>430</v>
      </c>
      <c r="CH32" t="s">
        <v>499</v>
      </c>
      <c r="CJ32" s="3"/>
      <c r="CU32" t="s">
        <v>500</v>
      </c>
      <c r="CW32" t="s">
        <v>501</v>
      </c>
    </row>
    <row r="33" spans="1:106" x14ac:dyDescent="0.25">
      <c r="A33" t="s">
        <v>502</v>
      </c>
      <c r="C33" t="s">
        <v>423</v>
      </c>
      <c r="D33" t="s">
        <v>503</v>
      </c>
      <c r="E33" t="s">
        <v>504</v>
      </c>
      <c r="F33" t="s">
        <v>505</v>
      </c>
      <c r="G33">
        <v>3</v>
      </c>
      <c r="J33" t="s">
        <v>445</v>
      </c>
      <c r="K33" s="3" t="s">
        <v>441</v>
      </c>
      <c r="AC33">
        <v>1</v>
      </c>
      <c r="AW33" s="3"/>
      <c r="BB33">
        <v>1</v>
      </c>
      <c r="BR33">
        <v>30</v>
      </c>
      <c r="BT33" s="4">
        <v>10</v>
      </c>
      <c r="BU33" s="4">
        <v>25</v>
      </c>
      <c r="BV33" s="4">
        <v>1</v>
      </c>
      <c r="BW33" s="4" t="s">
        <v>428</v>
      </c>
      <c r="BZ33" s="3"/>
      <c r="CA33" s="3"/>
      <c r="CB33" s="3"/>
      <c r="CC33" s="3"/>
      <c r="CD33" s="3"/>
      <c r="CF33" s="3"/>
      <c r="CG33" s="3"/>
      <c r="CH33" t="s">
        <v>499</v>
      </c>
      <c r="CI33" s="3"/>
      <c r="CJ33" s="3"/>
      <c r="CK33" s="3"/>
      <c r="CL33" t="s">
        <v>506</v>
      </c>
      <c r="CM33" t="s">
        <v>507</v>
      </c>
      <c r="CP33">
        <v>30</v>
      </c>
    </row>
    <row r="35" spans="1:106" x14ac:dyDescent="0.25">
      <c r="A35" t="s">
        <v>513</v>
      </c>
      <c r="C35" t="s">
        <v>432</v>
      </c>
      <c r="AC35">
        <v>2</v>
      </c>
      <c r="AO35" t="s">
        <v>433</v>
      </c>
      <c r="AR35" t="s">
        <v>434</v>
      </c>
      <c r="AV35" t="s">
        <v>435</v>
      </c>
      <c r="AX35">
        <v>1</v>
      </c>
      <c r="BB35">
        <v>1</v>
      </c>
      <c r="BT35"/>
      <c r="BZ35" t="s">
        <v>67</v>
      </c>
      <c r="CE35" t="s">
        <v>430</v>
      </c>
      <c r="CU35" t="s">
        <v>514</v>
      </c>
      <c r="CW35" t="s">
        <v>515</v>
      </c>
    </row>
    <row r="36" spans="1:106" x14ac:dyDescent="0.25">
      <c r="A36" t="s">
        <v>516</v>
      </c>
      <c r="C36" t="s">
        <v>423</v>
      </c>
      <c r="K36" t="s">
        <v>424</v>
      </c>
      <c r="L36" t="s">
        <v>437</v>
      </c>
      <c r="M36"/>
      <c r="N36"/>
      <c r="O36"/>
      <c r="P36"/>
      <c r="Q36"/>
      <c r="R36"/>
      <c r="S36"/>
      <c r="T36"/>
      <c r="U36"/>
      <c r="V36"/>
      <c r="W36"/>
      <c r="X36"/>
      <c r="AC36">
        <v>1</v>
      </c>
      <c r="AF36">
        <v>1</v>
      </c>
      <c r="AH36">
        <v>1</v>
      </c>
      <c r="AI36" t="s">
        <v>142</v>
      </c>
      <c r="BU36"/>
      <c r="BV36"/>
      <c r="BW36"/>
      <c r="BX36"/>
      <c r="BY36"/>
      <c r="CL36" t="s">
        <v>517</v>
      </c>
      <c r="CM36">
        <v>-1</v>
      </c>
    </row>
    <row r="37" spans="1:106" x14ac:dyDescent="0.25">
      <c r="A37" t="s">
        <v>518</v>
      </c>
      <c r="C37" t="s">
        <v>453</v>
      </c>
      <c r="D37" t="s">
        <v>519</v>
      </c>
      <c r="E37" t="s">
        <v>520</v>
      </c>
      <c r="F37" t="s">
        <v>521</v>
      </c>
      <c r="G37">
        <v>3</v>
      </c>
      <c r="J37" t="s">
        <v>445</v>
      </c>
      <c r="K37" s="3" t="s">
        <v>428</v>
      </c>
      <c r="W37" s="3">
        <v>1</v>
      </c>
      <c r="AC37">
        <v>1</v>
      </c>
      <c r="BB37">
        <v>1</v>
      </c>
      <c r="BL37">
        <v>12</v>
      </c>
      <c r="BR37">
        <v>0.2</v>
      </c>
      <c r="BT37" s="4">
        <v>20</v>
      </c>
      <c r="BU37" s="4">
        <v>35</v>
      </c>
      <c r="BV37" s="4">
        <v>1</v>
      </c>
      <c r="BW37" s="4" t="s">
        <v>428</v>
      </c>
      <c r="CV37" t="s">
        <v>457</v>
      </c>
    </row>
    <row r="38" spans="1:106" x14ac:dyDescent="0.25">
      <c r="A38" t="s">
        <v>522</v>
      </c>
      <c r="C38" t="s">
        <v>480</v>
      </c>
      <c r="D38" t="s">
        <v>523</v>
      </c>
      <c r="E38" t="s">
        <v>524</v>
      </c>
      <c r="F38" t="s">
        <v>525</v>
      </c>
      <c r="G38">
        <v>3</v>
      </c>
      <c r="J38" t="s">
        <v>440</v>
      </c>
      <c r="K38" s="3" t="s">
        <v>441</v>
      </c>
      <c r="AC38">
        <v>1</v>
      </c>
      <c r="BB38">
        <v>1</v>
      </c>
      <c r="BL38">
        <v>9</v>
      </c>
      <c r="BM38" t="s">
        <v>526</v>
      </c>
      <c r="BR38">
        <v>10</v>
      </c>
      <c r="BT38" s="4">
        <v>20</v>
      </c>
      <c r="BU38" s="4">
        <v>35</v>
      </c>
      <c r="BV38" s="4">
        <v>1</v>
      </c>
      <c r="BW38" s="4" t="s">
        <v>428</v>
      </c>
      <c r="CJ38" s="3"/>
      <c r="CV38" t="s">
        <v>485</v>
      </c>
    </row>
    <row r="39" spans="1:106" x14ac:dyDescent="0.25">
      <c r="A39" t="s">
        <v>527</v>
      </c>
      <c r="C39" t="s">
        <v>523</v>
      </c>
      <c r="K39" s="3" t="s">
        <v>424</v>
      </c>
      <c r="L39" s="3" t="s">
        <v>509</v>
      </c>
      <c r="AC39">
        <v>1</v>
      </c>
      <c r="BB39">
        <v>1</v>
      </c>
      <c r="BL39">
        <v>1</v>
      </c>
      <c r="CJ39" s="3"/>
    </row>
    <row r="40" spans="1:106" x14ac:dyDescent="0.25">
      <c r="A40" t="s">
        <v>528</v>
      </c>
      <c r="C40" t="s">
        <v>423</v>
      </c>
      <c r="K40" s="3" t="s">
        <v>424</v>
      </c>
      <c r="L40" s="3" t="s">
        <v>443</v>
      </c>
      <c r="AC40">
        <v>1</v>
      </c>
      <c r="AI40" t="s">
        <v>142</v>
      </c>
      <c r="AT40">
        <v>99</v>
      </c>
      <c r="AW40" s="3"/>
      <c r="BB40">
        <v>99</v>
      </c>
      <c r="BZ40" s="3"/>
      <c r="CA40" s="3"/>
      <c r="CB40" s="3"/>
      <c r="CC40" s="3"/>
      <c r="CD40" s="3"/>
      <c r="CF40" s="3"/>
      <c r="CG40" s="3"/>
      <c r="CH40" s="3"/>
      <c r="CI40" s="3"/>
      <c r="CK40" s="3"/>
      <c r="CL40" t="s">
        <v>529</v>
      </c>
      <c r="CM40" t="s">
        <v>510</v>
      </c>
      <c r="CP40">
        <v>10</v>
      </c>
      <c r="DB40">
        <v>1</v>
      </c>
    </row>
    <row r="41" spans="1:106" x14ac:dyDescent="0.25">
      <c r="BT41"/>
    </row>
    <row r="42" spans="1:106" x14ac:dyDescent="0.25">
      <c r="A42" t="s">
        <v>530</v>
      </c>
      <c r="C42" t="s">
        <v>432</v>
      </c>
      <c r="K42" s="3" t="s">
        <v>428</v>
      </c>
      <c r="AC42">
        <v>2</v>
      </c>
      <c r="AO42" t="s">
        <v>433</v>
      </c>
      <c r="AR42" t="s">
        <v>434</v>
      </c>
      <c r="AV42" t="s">
        <v>435</v>
      </c>
      <c r="AX42">
        <v>1</v>
      </c>
      <c r="BB42">
        <v>1</v>
      </c>
      <c r="BT42"/>
      <c r="BZ42" t="s">
        <v>447</v>
      </c>
      <c r="CE42" t="s">
        <v>430</v>
      </c>
      <c r="CJ42" s="3"/>
      <c r="CU42" t="s">
        <v>531</v>
      </c>
      <c r="CW42" t="s">
        <v>532</v>
      </c>
    </row>
    <row r="43" spans="1:106" x14ac:dyDescent="0.25">
      <c r="A43" t="s">
        <v>533</v>
      </c>
      <c r="C43" t="s">
        <v>453</v>
      </c>
      <c r="K43" s="3" t="s">
        <v>424</v>
      </c>
      <c r="L43" s="3" t="s">
        <v>534</v>
      </c>
      <c r="X43" s="3">
        <v>1</v>
      </c>
      <c r="AC43">
        <v>1</v>
      </c>
      <c r="AG43" t="s">
        <v>427</v>
      </c>
      <c r="BB43">
        <v>1</v>
      </c>
      <c r="BL43">
        <v>2</v>
      </c>
      <c r="CJ43" s="3"/>
    </row>
    <row r="44" spans="1:106" x14ac:dyDescent="0.25">
      <c r="A44" t="s">
        <v>535</v>
      </c>
      <c r="C44" t="s">
        <v>453</v>
      </c>
      <c r="K44" s="3" t="s">
        <v>424</v>
      </c>
      <c r="L44" s="3" t="s">
        <v>443</v>
      </c>
      <c r="AC44">
        <v>1</v>
      </c>
      <c r="BB44">
        <v>1</v>
      </c>
      <c r="BL44">
        <v>12</v>
      </c>
    </row>
    <row r="45" spans="1:106" x14ac:dyDescent="0.25">
      <c r="A45" t="s">
        <v>536</v>
      </c>
      <c r="C45" t="s">
        <v>423</v>
      </c>
      <c r="D45" t="s">
        <v>537</v>
      </c>
      <c r="E45" t="s">
        <v>538</v>
      </c>
      <c r="F45" t="s">
        <v>539</v>
      </c>
      <c r="G45">
        <v>3</v>
      </c>
      <c r="J45" t="s">
        <v>445</v>
      </c>
      <c r="K45" s="3" t="s">
        <v>441</v>
      </c>
      <c r="X45" s="3">
        <v>1</v>
      </c>
      <c r="Y45">
        <v>1</v>
      </c>
      <c r="AB45">
        <v>1</v>
      </c>
      <c r="AC45">
        <v>2</v>
      </c>
      <c r="AO45" t="s">
        <v>433</v>
      </c>
      <c r="AR45" t="s">
        <v>540</v>
      </c>
      <c r="AV45" t="s">
        <v>438</v>
      </c>
      <c r="AX45">
        <v>1.7</v>
      </c>
      <c r="BB45">
        <v>99</v>
      </c>
      <c r="BC45">
        <v>1</v>
      </c>
      <c r="BD45">
        <v>0.8</v>
      </c>
      <c r="BM45" t="s">
        <v>535</v>
      </c>
      <c r="BQ45">
        <v>2.1669999999999998</v>
      </c>
      <c r="BR45">
        <v>0.2</v>
      </c>
      <c r="BT45">
        <v>30</v>
      </c>
      <c r="BU45" s="4">
        <v>40</v>
      </c>
      <c r="BV45" s="4">
        <v>1</v>
      </c>
      <c r="BW45" s="4" t="s">
        <v>428</v>
      </c>
      <c r="BZ45" t="s">
        <v>193</v>
      </c>
      <c r="CA45">
        <v>0.5</v>
      </c>
      <c r="CE45" t="s">
        <v>511</v>
      </c>
      <c r="CJ45" s="3"/>
      <c r="CL45" t="s">
        <v>425</v>
      </c>
      <c r="CP45">
        <v>3</v>
      </c>
      <c r="CU45" t="s">
        <v>541</v>
      </c>
      <c r="CW45" t="s">
        <v>542</v>
      </c>
    </row>
    <row r="46" spans="1:106" x14ac:dyDescent="0.25">
      <c r="BT46"/>
      <c r="CJ46" s="3"/>
    </row>
    <row r="47" spans="1:106" x14ac:dyDescent="0.25">
      <c r="A47" t="s">
        <v>549</v>
      </c>
      <c r="C47" t="s">
        <v>432</v>
      </c>
      <c r="AC47">
        <v>2</v>
      </c>
      <c r="AO47" t="s">
        <v>433</v>
      </c>
      <c r="AR47" t="s">
        <v>434</v>
      </c>
      <c r="AV47" t="s">
        <v>435</v>
      </c>
      <c r="AX47">
        <v>1</v>
      </c>
      <c r="BB47">
        <v>1</v>
      </c>
      <c r="BT47"/>
      <c r="BZ47" t="s">
        <v>67</v>
      </c>
      <c r="CE47" t="s">
        <v>430</v>
      </c>
      <c r="CJ47" s="3"/>
      <c r="CU47" t="s">
        <v>550</v>
      </c>
    </row>
    <row r="48" spans="1:106" x14ac:dyDescent="0.25">
      <c r="A48" t="s">
        <v>551</v>
      </c>
      <c r="C48" t="s">
        <v>423</v>
      </c>
      <c r="K48" s="3" t="s">
        <v>424</v>
      </c>
      <c r="L48" s="3" t="s">
        <v>431</v>
      </c>
      <c r="AC48">
        <v>1</v>
      </c>
      <c r="AI48" t="s">
        <v>142</v>
      </c>
      <c r="AW48" s="3"/>
      <c r="BB48">
        <v>99</v>
      </c>
      <c r="BM48" t="s">
        <v>552</v>
      </c>
      <c r="BU48"/>
      <c r="BV48"/>
      <c r="BW48"/>
      <c r="BX48"/>
      <c r="BY48"/>
      <c r="BZ48" s="3"/>
      <c r="CA48" s="3"/>
      <c r="CB48" s="3"/>
      <c r="CC48" s="3"/>
      <c r="CD48" s="3"/>
      <c r="CF48" s="3"/>
      <c r="CG48" s="3"/>
      <c r="CH48" s="3"/>
      <c r="CI48" s="3"/>
      <c r="CJ48" s="3"/>
      <c r="CK48" s="3"/>
      <c r="CL48" t="s">
        <v>551</v>
      </c>
      <c r="CM48" t="s">
        <v>553</v>
      </c>
      <c r="CP48">
        <v>99999</v>
      </c>
      <c r="CR48">
        <v>1</v>
      </c>
    </row>
    <row r="49" spans="1:106" x14ac:dyDescent="0.25">
      <c r="A49" t="s">
        <v>552</v>
      </c>
      <c r="C49" t="s">
        <v>423</v>
      </c>
      <c r="K49" s="3" t="s">
        <v>424</v>
      </c>
      <c r="L49" s="3" t="s">
        <v>426</v>
      </c>
      <c r="AC49">
        <v>1</v>
      </c>
      <c r="AF49">
        <v>1</v>
      </c>
      <c r="AG49" t="s">
        <v>512</v>
      </c>
      <c r="AI49" t="s">
        <v>142</v>
      </c>
      <c r="AW49" s="3"/>
      <c r="BB49">
        <v>1</v>
      </c>
      <c r="BU49"/>
      <c r="BV49"/>
      <c r="BW49"/>
      <c r="BX49"/>
      <c r="BY49"/>
      <c r="BZ49" s="3"/>
      <c r="CA49" s="3"/>
      <c r="CB49" s="3"/>
      <c r="CC49" s="3"/>
      <c r="CD49" s="3"/>
      <c r="CF49" s="3"/>
      <c r="CG49" s="3"/>
      <c r="CH49" s="3"/>
      <c r="CI49" s="3"/>
      <c r="CK49" s="3"/>
      <c r="CL49" t="s">
        <v>551</v>
      </c>
      <c r="CM49" t="s">
        <v>553</v>
      </c>
      <c r="CP49">
        <v>99999</v>
      </c>
      <c r="CR49">
        <v>1</v>
      </c>
    </row>
    <row r="50" spans="1:106" x14ac:dyDescent="0.25">
      <c r="A50" t="s">
        <v>554</v>
      </c>
      <c r="C50" t="s">
        <v>547</v>
      </c>
      <c r="K50" s="3" t="s">
        <v>424</v>
      </c>
      <c r="L50" s="3" t="s">
        <v>509</v>
      </c>
      <c r="AC50">
        <v>2</v>
      </c>
      <c r="AH50">
        <v>1</v>
      </c>
      <c r="AR50" t="s">
        <v>555</v>
      </c>
      <c r="AW50" s="3"/>
      <c r="BT50"/>
      <c r="BZ50" s="3"/>
      <c r="CA50" s="3"/>
      <c r="CB50" s="3"/>
      <c r="CC50" s="3"/>
      <c r="CD50" s="3"/>
      <c r="CF50" s="3"/>
      <c r="CG50" s="3"/>
      <c r="CH50" s="3"/>
      <c r="CI50" s="3"/>
      <c r="CK50" s="3"/>
      <c r="CS50" t="s">
        <v>548</v>
      </c>
    </row>
    <row r="51" spans="1:106" x14ac:dyDescent="0.25">
      <c r="A51" t="s">
        <v>556</v>
      </c>
      <c r="C51" t="s">
        <v>453</v>
      </c>
      <c r="D51" t="s">
        <v>519</v>
      </c>
      <c r="E51" t="s">
        <v>520</v>
      </c>
      <c r="F51" t="s">
        <v>521</v>
      </c>
      <c r="G51">
        <v>3</v>
      </c>
      <c r="J51" t="s">
        <v>445</v>
      </c>
      <c r="K51" s="3" t="s">
        <v>428</v>
      </c>
      <c r="W51" s="3">
        <v>1</v>
      </c>
      <c r="AC51">
        <v>1</v>
      </c>
      <c r="BB51">
        <v>1</v>
      </c>
      <c r="BL51">
        <v>12</v>
      </c>
      <c r="BR51">
        <v>0.2</v>
      </c>
      <c r="BT51">
        <v>20</v>
      </c>
      <c r="BU51" s="4">
        <v>35</v>
      </c>
      <c r="BV51" s="4">
        <v>1</v>
      </c>
      <c r="BW51" s="4" t="s">
        <v>428</v>
      </c>
      <c r="CJ51" s="3"/>
      <c r="CV51" t="s">
        <v>457</v>
      </c>
    </row>
    <row r="52" spans="1:106" x14ac:dyDescent="0.25">
      <c r="A52" t="s">
        <v>557</v>
      </c>
      <c r="C52" t="s">
        <v>453</v>
      </c>
      <c r="D52" t="s">
        <v>558</v>
      </c>
      <c r="E52" t="s">
        <v>559</v>
      </c>
      <c r="F52" t="s">
        <v>560</v>
      </c>
      <c r="G52">
        <v>3</v>
      </c>
      <c r="J52" t="s">
        <v>445</v>
      </c>
      <c r="K52" s="3" t="s">
        <v>428</v>
      </c>
      <c r="AC52">
        <v>2</v>
      </c>
      <c r="AO52" t="s">
        <v>433</v>
      </c>
      <c r="AR52" t="s">
        <v>555</v>
      </c>
      <c r="AV52" t="s">
        <v>435</v>
      </c>
      <c r="AX52">
        <v>3.4</v>
      </c>
      <c r="BB52">
        <v>99</v>
      </c>
      <c r="BL52">
        <v>3</v>
      </c>
      <c r="BQ52">
        <v>1.667</v>
      </c>
      <c r="BR52">
        <v>0.2</v>
      </c>
      <c r="BT52" s="4">
        <v>10</v>
      </c>
      <c r="BU52" s="4">
        <v>10</v>
      </c>
      <c r="BV52" s="4">
        <v>3</v>
      </c>
      <c r="BW52" s="4" t="s">
        <v>428</v>
      </c>
      <c r="BZ52" t="s">
        <v>193</v>
      </c>
      <c r="CE52" t="s">
        <v>430</v>
      </c>
      <c r="CJ52" s="3"/>
      <c r="CU52" t="s">
        <v>561</v>
      </c>
    </row>
    <row r="53" spans="1:106" x14ac:dyDescent="0.25">
      <c r="A53" t="s">
        <v>562</v>
      </c>
      <c r="C53" t="s">
        <v>432</v>
      </c>
      <c r="D53" t="s">
        <v>563</v>
      </c>
      <c r="E53" t="s">
        <v>564</v>
      </c>
      <c r="F53" t="s">
        <v>565</v>
      </c>
      <c r="G53">
        <v>3</v>
      </c>
      <c r="J53" t="s">
        <v>440</v>
      </c>
      <c r="K53" s="3" t="s">
        <v>441</v>
      </c>
      <c r="AC53">
        <v>2</v>
      </c>
      <c r="AO53" t="s">
        <v>433</v>
      </c>
      <c r="AR53" t="s">
        <v>434</v>
      </c>
      <c r="AV53" t="s">
        <v>435</v>
      </c>
      <c r="AX53">
        <v>3.8</v>
      </c>
      <c r="BB53">
        <v>1</v>
      </c>
      <c r="BM53" t="s">
        <v>566</v>
      </c>
      <c r="BR53">
        <v>25</v>
      </c>
      <c r="BS53">
        <v>1</v>
      </c>
      <c r="BT53" s="4">
        <v>25</v>
      </c>
      <c r="BU53" s="4">
        <v>30</v>
      </c>
      <c r="BV53" s="4">
        <v>1</v>
      </c>
      <c r="BW53" s="4" t="s">
        <v>428</v>
      </c>
      <c r="BY53" s="4" t="s">
        <v>780</v>
      </c>
      <c r="BZ53" t="s">
        <v>508</v>
      </c>
      <c r="CE53" t="s">
        <v>430</v>
      </c>
      <c r="CL53" t="s">
        <v>425</v>
      </c>
      <c r="CP53">
        <v>1.5</v>
      </c>
      <c r="CQ53">
        <v>0.4</v>
      </c>
      <c r="CU53" t="s">
        <v>567</v>
      </c>
      <c r="CV53" t="s">
        <v>568</v>
      </c>
    </row>
    <row r="54" spans="1:106" x14ac:dyDescent="0.25">
      <c r="A54" t="s">
        <v>566</v>
      </c>
      <c r="C54" t="s">
        <v>423</v>
      </c>
      <c r="K54" s="3" t="s">
        <v>424</v>
      </c>
      <c r="L54" s="3" t="s">
        <v>443</v>
      </c>
      <c r="AC54">
        <v>1</v>
      </c>
      <c r="AW54" s="3"/>
      <c r="BB54">
        <v>1</v>
      </c>
      <c r="BT54"/>
      <c r="BZ54" s="3"/>
      <c r="CA54" s="3"/>
      <c r="CB54" s="3"/>
      <c r="CC54" s="3"/>
      <c r="CD54" s="3"/>
      <c r="CF54" s="3"/>
      <c r="CG54" s="3"/>
      <c r="CH54" s="3"/>
      <c r="CI54" s="3"/>
      <c r="CK54" s="3"/>
      <c r="CL54" t="s">
        <v>569</v>
      </c>
      <c r="CM54">
        <v>1</v>
      </c>
      <c r="CP54">
        <v>25</v>
      </c>
      <c r="DB54">
        <v>1</v>
      </c>
    </row>
    <row r="55" spans="1:106" x14ac:dyDescent="0.25">
      <c r="AW55" s="3"/>
      <c r="BT55"/>
      <c r="BZ55" s="3"/>
      <c r="CA55" s="3"/>
      <c r="CB55" s="3"/>
      <c r="CC55" s="3"/>
      <c r="CD55" s="3"/>
      <c r="CF55" s="3"/>
      <c r="CG55" s="3"/>
      <c r="CH55" s="3"/>
      <c r="CI55" s="3"/>
      <c r="CJ55" s="3"/>
      <c r="CK55" s="3"/>
    </row>
    <row r="56" spans="1:106" x14ac:dyDescent="0.25">
      <c r="A56" t="s">
        <v>571</v>
      </c>
      <c r="C56" t="s">
        <v>432</v>
      </c>
      <c r="AC56">
        <v>2</v>
      </c>
      <c r="AO56" t="s">
        <v>433</v>
      </c>
      <c r="AR56" t="s">
        <v>434</v>
      </c>
      <c r="AV56" t="s">
        <v>435</v>
      </c>
      <c r="AX56">
        <v>1</v>
      </c>
      <c r="BB56">
        <v>1</v>
      </c>
      <c r="BZ56" t="s">
        <v>67</v>
      </c>
      <c r="CE56" t="s">
        <v>430</v>
      </c>
      <c r="CJ56" s="3"/>
      <c r="CV56" t="s">
        <v>572</v>
      </c>
      <c r="CW56" t="s">
        <v>573</v>
      </c>
    </row>
    <row r="57" spans="1:106" x14ac:dyDescent="0.25">
      <c r="A57" t="s">
        <v>574</v>
      </c>
      <c r="C57" t="s">
        <v>423</v>
      </c>
      <c r="I57">
        <v>1</v>
      </c>
      <c r="K57" s="3" t="s">
        <v>428</v>
      </c>
      <c r="AC57">
        <v>1</v>
      </c>
      <c r="AI57" t="s">
        <v>142</v>
      </c>
      <c r="AT57">
        <v>99</v>
      </c>
      <c r="AW57" s="3">
        <v>1</v>
      </c>
      <c r="AX57">
        <v>28</v>
      </c>
      <c r="AY57">
        <v>1</v>
      </c>
      <c r="AZ57">
        <v>2</v>
      </c>
      <c r="BB57">
        <v>99</v>
      </c>
      <c r="BQ57">
        <v>0.02</v>
      </c>
      <c r="BU57"/>
      <c r="BV57"/>
      <c r="BW57"/>
      <c r="BX57"/>
      <c r="BY57"/>
      <c r="BZ57" s="3"/>
      <c r="CA57" s="3"/>
      <c r="CB57" s="3"/>
      <c r="CC57" s="3"/>
      <c r="CD57" s="3"/>
      <c r="CF57" s="3"/>
      <c r="CG57" s="3"/>
      <c r="CH57" s="3"/>
      <c r="CI57" s="3"/>
      <c r="CK57" s="3"/>
    </row>
    <row r="58" spans="1:106" x14ac:dyDescent="0.25">
      <c r="A58" t="s">
        <v>575</v>
      </c>
      <c r="C58" t="s">
        <v>480</v>
      </c>
      <c r="D58" t="s">
        <v>576</v>
      </c>
      <c r="E58" t="s">
        <v>577</v>
      </c>
      <c r="F58" t="s">
        <v>578</v>
      </c>
      <c r="G58">
        <v>3</v>
      </c>
      <c r="J58" t="s">
        <v>440</v>
      </c>
      <c r="K58" s="3" t="s">
        <v>441</v>
      </c>
      <c r="AC58">
        <v>1</v>
      </c>
      <c r="AR58" t="s">
        <v>439</v>
      </c>
      <c r="BB58">
        <v>1</v>
      </c>
      <c r="BL58">
        <v>14</v>
      </c>
      <c r="BQ58">
        <v>0.01</v>
      </c>
      <c r="BR58">
        <v>8</v>
      </c>
      <c r="BT58">
        <v>13</v>
      </c>
      <c r="BU58" s="4">
        <v>22</v>
      </c>
      <c r="BV58" s="4">
        <v>1</v>
      </c>
      <c r="BW58" s="4" t="s">
        <v>428</v>
      </c>
      <c r="BZ58" t="s">
        <v>199</v>
      </c>
      <c r="CA58">
        <v>0</v>
      </c>
      <c r="CC58" t="s">
        <v>199</v>
      </c>
      <c r="CE58" t="s">
        <v>511</v>
      </c>
      <c r="CJ58" s="3"/>
      <c r="CL58" t="s">
        <v>579</v>
      </c>
      <c r="CN58">
        <v>-1</v>
      </c>
      <c r="CP58">
        <v>8</v>
      </c>
      <c r="CR58">
        <v>1</v>
      </c>
    </row>
    <row r="59" spans="1:106" x14ac:dyDescent="0.25">
      <c r="A59" t="s">
        <v>580</v>
      </c>
      <c r="C59" t="s">
        <v>480</v>
      </c>
      <c r="D59" t="s">
        <v>581</v>
      </c>
      <c r="E59" t="s">
        <v>582</v>
      </c>
      <c r="F59" t="s">
        <v>583</v>
      </c>
      <c r="G59">
        <v>3</v>
      </c>
      <c r="J59" t="s">
        <v>440</v>
      </c>
      <c r="K59" s="3" t="s">
        <v>441</v>
      </c>
      <c r="AC59">
        <v>1</v>
      </c>
      <c r="AR59" t="s">
        <v>439</v>
      </c>
      <c r="BB59">
        <v>1</v>
      </c>
      <c r="BL59">
        <v>16</v>
      </c>
      <c r="BM59" t="s">
        <v>584</v>
      </c>
      <c r="BQ59">
        <v>0.01</v>
      </c>
      <c r="BR59">
        <v>16</v>
      </c>
      <c r="BT59">
        <v>10</v>
      </c>
      <c r="BU59" s="4">
        <v>24</v>
      </c>
      <c r="BV59" s="4">
        <v>1</v>
      </c>
      <c r="BW59" s="4" t="s">
        <v>428</v>
      </c>
      <c r="BZ59" t="s">
        <v>199</v>
      </c>
      <c r="CA59">
        <v>0</v>
      </c>
      <c r="CC59" t="s">
        <v>199</v>
      </c>
      <c r="CE59" t="s">
        <v>511</v>
      </c>
      <c r="CJ59" s="3"/>
      <c r="CL59" t="s">
        <v>579</v>
      </c>
      <c r="CN59">
        <v>-1</v>
      </c>
      <c r="CP59">
        <v>16</v>
      </c>
      <c r="CR59">
        <v>1</v>
      </c>
      <c r="DA59" t="s">
        <v>585</v>
      </c>
    </row>
    <row r="60" spans="1:106" x14ac:dyDescent="0.25">
      <c r="A60" t="s">
        <v>584</v>
      </c>
      <c r="C60" t="s">
        <v>423</v>
      </c>
      <c r="J60" t="s">
        <v>440</v>
      </c>
      <c r="K60" s="3" t="s">
        <v>428</v>
      </c>
      <c r="AB60">
        <v>1</v>
      </c>
      <c r="AC60">
        <v>1</v>
      </c>
      <c r="AO60" t="s">
        <v>429</v>
      </c>
      <c r="AR60" t="s">
        <v>442</v>
      </c>
      <c r="AW60">
        <v>1</v>
      </c>
      <c r="AX60">
        <v>0.5</v>
      </c>
      <c r="BB60">
        <v>1</v>
      </c>
      <c r="BQ60">
        <v>1</v>
      </c>
      <c r="CJ60" s="3"/>
    </row>
    <row r="62" spans="1:106" x14ac:dyDescent="0.25">
      <c r="A62" t="s">
        <v>586</v>
      </c>
      <c r="C62" t="s">
        <v>432</v>
      </c>
      <c r="AC62">
        <v>2</v>
      </c>
      <c r="AO62" t="s">
        <v>433</v>
      </c>
      <c r="AR62" t="s">
        <v>434</v>
      </c>
      <c r="AV62" t="s">
        <v>435</v>
      </c>
      <c r="AX62">
        <v>1</v>
      </c>
      <c r="BB62">
        <v>1</v>
      </c>
      <c r="BT62"/>
      <c r="BZ62" t="s">
        <v>470</v>
      </c>
      <c r="CE62" t="s">
        <v>430</v>
      </c>
      <c r="CH62" t="s">
        <v>587</v>
      </c>
      <c r="CJ62" s="3"/>
    </row>
    <row r="63" spans="1:106" x14ac:dyDescent="0.25">
      <c r="A63" t="s">
        <v>587</v>
      </c>
      <c r="C63" t="s">
        <v>452</v>
      </c>
      <c r="K63" t="s">
        <v>424</v>
      </c>
      <c r="L63" t="s">
        <v>426</v>
      </c>
      <c r="M63"/>
      <c r="N63"/>
      <c r="O63"/>
      <c r="P63"/>
      <c r="Q63"/>
      <c r="R63"/>
      <c r="S63"/>
      <c r="T63"/>
      <c r="U63"/>
      <c r="V63"/>
      <c r="W63"/>
      <c r="X63"/>
      <c r="AC63">
        <v>1</v>
      </c>
      <c r="AF63">
        <v>1</v>
      </c>
      <c r="AH63">
        <v>1</v>
      </c>
      <c r="AI63" t="s">
        <v>142</v>
      </c>
      <c r="BB63">
        <v>1</v>
      </c>
      <c r="BT63"/>
      <c r="BU63"/>
      <c r="BV63"/>
      <c r="BW63"/>
      <c r="BX63"/>
      <c r="BY63"/>
      <c r="CJ63" s="3"/>
      <c r="CS63" t="s">
        <v>588</v>
      </c>
    </row>
    <row r="64" spans="1:106" x14ac:dyDescent="0.25">
      <c r="A64" t="s">
        <v>589</v>
      </c>
      <c r="C64" t="s">
        <v>423</v>
      </c>
      <c r="D64" t="s">
        <v>543</v>
      </c>
      <c r="E64" t="s">
        <v>544</v>
      </c>
      <c r="F64" t="s">
        <v>590</v>
      </c>
      <c r="J64" t="s">
        <v>445</v>
      </c>
      <c r="K64" s="3" t="s">
        <v>441</v>
      </c>
      <c r="AC64">
        <v>1</v>
      </c>
      <c r="AW64" s="3"/>
      <c r="BB64">
        <v>1</v>
      </c>
      <c r="BR64">
        <v>35</v>
      </c>
      <c r="BT64" s="4">
        <v>15</v>
      </c>
      <c r="BU64" s="4">
        <v>35</v>
      </c>
      <c r="BV64" s="4">
        <v>1</v>
      </c>
      <c r="BW64" s="4" t="s">
        <v>428</v>
      </c>
      <c r="BZ64" s="3"/>
      <c r="CA64" s="3"/>
      <c r="CB64" s="3"/>
      <c r="CC64" s="3"/>
      <c r="CD64" s="3"/>
      <c r="CF64" s="3"/>
      <c r="CG64" s="3"/>
      <c r="CH64" s="3"/>
      <c r="CI64" s="3"/>
      <c r="CJ64" s="3"/>
      <c r="CK64" s="3"/>
      <c r="CL64" t="s">
        <v>545</v>
      </c>
      <c r="CM64" t="s">
        <v>591</v>
      </c>
      <c r="CP64">
        <v>35</v>
      </c>
    </row>
    <row r="65" spans="1:109" x14ac:dyDescent="0.25">
      <c r="A65" t="s">
        <v>592</v>
      </c>
      <c r="C65" t="s">
        <v>432</v>
      </c>
      <c r="D65" t="s">
        <v>593</v>
      </c>
      <c r="E65" t="s">
        <v>594</v>
      </c>
      <c r="F65" t="s">
        <v>595</v>
      </c>
      <c r="J65" t="s">
        <v>445</v>
      </c>
      <c r="K65" s="3" t="s">
        <v>428</v>
      </c>
      <c r="AC65">
        <v>2</v>
      </c>
      <c r="AR65" t="s">
        <v>434</v>
      </c>
      <c r="AV65" t="s">
        <v>435</v>
      </c>
      <c r="AW65" s="3"/>
      <c r="AX65">
        <v>2</v>
      </c>
      <c r="BB65">
        <v>1</v>
      </c>
      <c r="BC65">
        <v>1</v>
      </c>
      <c r="BD65">
        <v>0.1</v>
      </c>
      <c r="BR65">
        <v>0.2</v>
      </c>
      <c r="BT65" s="4">
        <v>0</v>
      </c>
      <c r="BU65" s="4">
        <v>4</v>
      </c>
      <c r="BV65" s="4">
        <v>3</v>
      </c>
      <c r="BW65" s="4" t="s">
        <v>428</v>
      </c>
      <c r="BZ65" s="3" t="s">
        <v>193</v>
      </c>
      <c r="CA65" s="3"/>
      <c r="CB65" s="3"/>
      <c r="CC65" s="3"/>
      <c r="CD65" s="3"/>
      <c r="CE65" t="s">
        <v>430</v>
      </c>
      <c r="CF65" s="3"/>
      <c r="CG65" s="3"/>
      <c r="CH65" t="s">
        <v>587</v>
      </c>
      <c r="CI65" s="3"/>
      <c r="CK65" s="3"/>
    </row>
    <row r="66" spans="1:109" x14ac:dyDescent="0.25">
      <c r="A66" t="s">
        <v>596</v>
      </c>
      <c r="C66" t="s">
        <v>432</v>
      </c>
      <c r="D66" t="s">
        <v>597</v>
      </c>
      <c r="E66" t="s">
        <v>598</v>
      </c>
      <c r="F66" t="s">
        <v>599</v>
      </c>
      <c r="J66" t="s">
        <v>440</v>
      </c>
      <c r="K66" s="3" t="s">
        <v>441</v>
      </c>
      <c r="AB66">
        <v>1</v>
      </c>
      <c r="AC66">
        <v>2</v>
      </c>
      <c r="AR66" t="s">
        <v>434</v>
      </c>
      <c r="AV66" t="s">
        <v>435</v>
      </c>
      <c r="AW66" s="3"/>
      <c r="AX66">
        <v>1</v>
      </c>
      <c r="BB66">
        <v>1</v>
      </c>
      <c r="BC66">
        <v>2</v>
      </c>
      <c r="BD66">
        <v>0.1</v>
      </c>
      <c r="BM66" t="s">
        <v>600</v>
      </c>
      <c r="BR66">
        <v>20</v>
      </c>
      <c r="BS66">
        <v>1</v>
      </c>
      <c r="BT66">
        <v>25</v>
      </c>
      <c r="BU66" s="4">
        <v>40</v>
      </c>
      <c r="BV66" s="4">
        <v>1</v>
      </c>
      <c r="BW66" s="4" t="s">
        <v>428</v>
      </c>
      <c r="BZ66" s="3" t="s">
        <v>570</v>
      </c>
      <c r="CA66" s="3"/>
      <c r="CB66" s="3"/>
      <c r="CC66" s="3"/>
      <c r="CD66" s="3"/>
      <c r="CE66" t="s">
        <v>430</v>
      </c>
      <c r="CF66" s="3"/>
      <c r="CG66" s="3"/>
      <c r="CH66" t="s">
        <v>587</v>
      </c>
      <c r="CI66" s="3"/>
      <c r="CJ66" s="3"/>
      <c r="CK66" s="3"/>
    </row>
    <row r="67" spans="1:109" x14ac:dyDescent="0.25">
      <c r="A67" t="s">
        <v>600</v>
      </c>
      <c r="C67" t="s">
        <v>423</v>
      </c>
      <c r="K67" s="3" t="s">
        <v>424</v>
      </c>
      <c r="L67" s="3" t="s">
        <v>443</v>
      </c>
      <c r="AC67">
        <v>1</v>
      </c>
      <c r="AW67" s="3"/>
      <c r="BB67">
        <v>1</v>
      </c>
      <c r="BT67"/>
      <c r="BZ67" s="3"/>
      <c r="CA67" s="3"/>
      <c r="CB67" s="3"/>
      <c r="CC67" s="3"/>
      <c r="CD67" s="3"/>
      <c r="CF67" s="3"/>
      <c r="CG67" s="3"/>
      <c r="CH67" s="3"/>
      <c r="CI67" s="3"/>
      <c r="CJ67" s="3"/>
      <c r="CK67" s="3"/>
      <c r="CL67" t="s">
        <v>600</v>
      </c>
      <c r="CM67" t="s">
        <v>601</v>
      </c>
      <c r="CP67">
        <v>20</v>
      </c>
    </row>
    <row r="68" spans="1:109" x14ac:dyDescent="0.25">
      <c r="CJ68" s="3"/>
    </row>
    <row r="69" spans="1:109" x14ac:dyDescent="0.25">
      <c r="A69" s="8" t="s">
        <v>700</v>
      </c>
      <c r="C69" s="8" t="s">
        <v>683</v>
      </c>
      <c r="K69" s="9"/>
      <c r="L69" s="9"/>
      <c r="AR69" t="s">
        <v>730</v>
      </c>
      <c r="BM69" s="8" t="s">
        <v>781</v>
      </c>
      <c r="CS69" s="8" t="s">
        <v>735</v>
      </c>
    </row>
    <row r="70" spans="1:109" x14ac:dyDescent="0.25">
      <c r="A70" s="8" t="s">
        <v>711</v>
      </c>
      <c r="C70" s="8" t="s">
        <v>701</v>
      </c>
      <c r="K70" s="9" t="s">
        <v>706</v>
      </c>
      <c r="O70" s="9"/>
      <c r="P70"/>
      <c r="AC70">
        <v>2</v>
      </c>
      <c r="AO70" s="8" t="s">
        <v>707</v>
      </c>
      <c r="AR70" t="s">
        <v>730</v>
      </c>
      <c r="AV70" t="s">
        <v>435</v>
      </c>
      <c r="AX70">
        <v>1</v>
      </c>
      <c r="BB70">
        <v>1</v>
      </c>
      <c r="BC70">
        <v>1</v>
      </c>
      <c r="BD70">
        <v>0.3</v>
      </c>
      <c r="BZ70" s="8" t="s">
        <v>709</v>
      </c>
      <c r="CE70" s="8" t="s">
        <v>710</v>
      </c>
      <c r="CJ70" s="8" t="s">
        <v>775</v>
      </c>
      <c r="CK70" s="8"/>
      <c r="CW70" t="s">
        <v>546</v>
      </c>
    </row>
    <row r="71" spans="1:109" x14ac:dyDescent="0.25">
      <c r="A71" s="8" t="s">
        <v>705</v>
      </c>
      <c r="C71" s="8" t="s">
        <v>708</v>
      </c>
      <c r="K71" s="3" t="s">
        <v>702</v>
      </c>
      <c r="L71" s="3" t="s">
        <v>703</v>
      </c>
      <c r="O71"/>
      <c r="AC71">
        <v>2</v>
      </c>
      <c r="AO71" s="8" t="s">
        <v>707</v>
      </c>
      <c r="AR71" t="s">
        <v>730</v>
      </c>
      <c r="AV71" t="s">
        <v>435</v>
      </c>
      <c r="AX71">
        <v>2</v>
      </c>
      <c r="BB71">
        <v>2</v>
      </c>
      <c r="BC71">
        <v>2</v>
      </c>
      <c r="BD71">
        <v>0.1</v>
      </c>
      <c r="BZ71" s="8"/>
      <c r="CE71" s="8" t="s">
        <v>722</v>
      </c>
      <c r="CW71" t="s">
        <v>546</v>
      </c>
    </row>
    <row r="72" spans="1:109" x14ac:dyDescent="0.25">
      <c r="A72" s="8" t="s">
        <v>712</v>
      </c>
      <c r="C72" s="8" t="s">
        <v>683</v>
      </c>
      <c r="I72">
        <v>1</v>
      </c>
      <c r="K72" s="9" t="s">
        <v>702</v>
      </c>
      <c r="L72" s="9" t="s">
        <v>713</v>
      </c>
      <c r="AC72">
        <v>1</v>
      </c>
      <c r="AF72">
        <v>1</v>
      </c>
      <c r="AG72" s="8" t="s">
        <v>704</v>
      </c>
      <c r="BB72">
        <v>1</v>
      </c>
      <c r="CL72" s="8" t="s">
        <v>714</v>
      </c>
      <c r="CM72" s="8" t="s">
        <v>715</v>
      </c>
      <c r="CP72">
        <v>99999</v>
      </c>
    </row>
    <row r="73" spans="1:109" x14ac:dyDescent="0.25">
      <c r="A73" s="8" t="s">
        <v>758</v>
      </c>
      <c r="C73" s="8" t="s">
        <v>757</v>
      </c>
      <c r="K73" s="3" t="s">
        <v>702</v>
      </c>
      <c r="L73" s="3" t="s">
        <v>759</v>
      </c>
      <c r="AC73">
        <v>1</v>
      </c>
      <c r="BB73">
        <v>1</v>
      </c>
      <c r="BM73" s="8"/>
      <c r="BT73"/>
      <c r="CJ73" s="3"/>
      <c r="CS73" s="8" t="s">
        <v>779</v>
      </c>
    </row>
    <row r="74" spans="1:109" x14ac:dyDescent="0.25">
      <c r="A74" s="8"/>
      <c r="C74" s="8"/>
      <c r="K74" s="9"/>
      <c r="L74" s="9"/>
      <c r="AG74" s="8"/>
      <c r="AJ74" s="8"/>
      <c r="AO74" s="8"/>
      <c r="BT74"/>
      <c r="CJ74" s="3"/>
      <c r="CL74" s="8"/>
      <c r="CM74" s="8"/>
    </row>
    <row r="75" spans="1:109" x14ac:dyDescent="0.25">
      <c r="A75" s="8"/>
      <c r="C75" s="8"/>
      <c r="AG75" s="8"/>
      <c r="CJ75" s="3"/>
      <c r="CS75" s="8"/>
    </row>
    <row r="76" spans="1:109" x14ac:dyDescent="0.25">
      <c r="A76" s="8"/>
      <c r="C76" s="8"/>
      <c r="AG76" s="8"/>
      <c r="CS76" s="8"/>
    </row>
    <row r="77" spans="1:109" x14ac:dyDescent="0.25">
      <c r="A77" s="8"/>
      <c r="BT77"/>
      <c r="CJ77" s="3"/>
      <c r="CS77" s="8"/>
    </row>
    <row r="78" spans="1:109" x14ac:dyDescent="0.25">
      <c r="A78" s="8" t="s">
        <v>734</v>
      </c>
      <c r="C78" s="8" t="s">
        <v>733</v>
      </c>
      <c r="I78">
        <v>1</v>
      </c>
      <c r="K78" s="3" t="s">
        <v>706</v>
      </c>
      <c r="AC78">
        <v>1</v>
      </c>
      <c r="AG78" s="8" t="s">
        <v>704</v>
      </c>
      <c r="AR78" t="s">
        <v>730</v>
      </c>
      <c r="BB78">
        <v>1</v>
      </c>
      <c r="BQ78">
        <v>0.02</v>
      </c>
      <c r="BT78"/>
      <c r="CJ78" s="3"/>
      <c r="CL78" s="8"/>
    </row>
    <row r="79" spans="1:109" x14ac:dyDescent="0.25">
      <c r="A79" s="8" t="s">
        <v>729</v>
      </c>
      <c r="C79" s="8" t="s">
        <v>683</v>
      </c>
      <c r="I79">
        <v>1</v>
      </c>
      <c r="K79" s="3" t="s">
        <v>706</v>
      </c>
      <c r="AC79">
        <v>2</v>
      </c>
      <c r="AG79" s="8"/>
      <c r="AO79" s="8" t="s">
        <v>707</v>
      </c>
      <c r="AR79" t="s">
        <v>730</v>
      </c>
      <c r="BB79">
        <v>99</v>
      </c>
      <c r="BM79" s="8"/>
      <c r="BQ79">
        <v>0.01</v>
      </c>
      <c r="BZ79" s="8"/>
      <c r="CE79" s="8"/>
      <c r="CJ79" s="3"/>
      <c r="CL79" s="8" t="s">
        <v>731</v>
      </c>
      <c r="CP79">
        <v>0.02</v>
      </c>
      <c r="CS79" s="8" t="s">
        <v>735</v>
      </c>
      <c r="DB79">
        <v>1</v>
      </c>
      <c r="DE79">
        <v>1</v>
      </c>
    </row>
    <row r="80" spans="1:109" x14ac:dyDescent="0.25">
      <c r="A80" s="8" t="s">
        <v>739</v>
      </c>
      <c r="C80" s="8" t="s">
        <v>683</v>
      </c>
      <c r="D80" s="8"/>
      <c r="I80">
        <v>1</v>
      </c>
      <c r="J80" s="8"/>
      <c r="K80" s="3" t="s">
        <v>702</v>
      </c>
      <c r="L80" s="3" t="s">
        <v>732</v>
      </c>
      <c r="AC80">
        <v>1</v>
      </c>
      <c r="AF80">
        <v>1</v>
      </c>
      <c r="AI80" s="8"/>
      <c r="AJ80" s="8" t="s">
        <v>685</v>
      </c>
      <c r="AO80" s="8"/>
      <c r="AT80">
        <v>99</v>
      </c>
      <c r="AV80" s="8" t="s">
        <v>740</v>
      </c>
      <c r="AX80">
        <v>1</v>
      </c>
      <c r="BB80">
        <v>1</v>
      </c>
      <c r="BM80" s="8"/>
      <c r="BN80" s="8"/>
      <c r="BP80" s="8"/>
      <c r="CE80" s="8" t="s">
        <v>722</v>
      </c>
      <c r="CF80" s="8" t="s">
        <v>736</v>
      </c>
      <c r="CG80" s="8" t="s">
        <v>688</v>
      </c>
      <c r="CL80" s="8" t="s">
        <v>753</v>
      </c>
      <c r="CP80">
        <v>6</v>
      </c>
      <c r="DB80">
        <v>1</v>
      </c>
    </row>
    <row r="81" spans="1:110" x14ac:dyDescent="0.25">
      <c r="A81" s="8" t="s">
        <v>741</v>
      </c>
      <c r="C81" s="8" t="s">
        <v>683</v>
      </c>
      <c r="I81">
        <v>1</v>
      </c>
      <c r="K81" s="3" t="s">
        <v>702</v>
      </c>
      <c r="L81" s="3" t="s">
        <v>713</v>
      </c>
      <c r="AC81">
        <v>1</v>
      </c>
      <c r="AF81">
        <v>1</v>
      </c>
      <c r="AG81" s="8" t="s">
        <v>704</v>
      </c>
      <c r="AJ81" s="8"/>
      <c r="AO81" s="8"/>
      <c r="AT81">
        <v>1</v>
      </c>
      <c r="BB81">
        <v>1</v>
      </c>
      <c r="BM81" s="8"/>
      <c r="BT81"/>
      <c r="BZ81" s="8"/>
      <c r="CE81" s="8"/>
      <c r="CJ81" s="3"/>
      <c r="CL81" s="8" t="s">
        <v>742</v>
      </c>
      <c r="CP81">
        <v>99999</v>
      </c>
      <c r="CS81" s="8"/>
      <c r="DB81">
        <v>1</v>
      </c>
      <c r="DE81">
        <v>1</v>
      </c>
    </row>
    <row r="82" spans="1:110" x14ac:dyDescent="0.25">
      <c r="A82" s="8" t="s">
        <v>754</v>
      </c>
      <c r="C82" s="8" t="s">
        <v>683</v>
      </c>
      <c r="I82">
        <v>1</v>
      </c>
      <c r="K82" s="3" t="s">
        <v>702</v>
      </c>
      <c r="L82" s="3" t="s">
        <v>760</v>
      </c>
      <c r="AC82">
        <v>1</v>
      </c>
      <c r="AG82" s="8"/>
      <c r="AJ82" s="8" t="s">
        <v>723</v>
      </c>
      <c r="AT82">
        <v>99</v>
      </c>
      <c r="AV82" s="8" t="s">
        <v>755</v>
      </c>
      <c r="AX82">
        <v>99999</v>
      </c>
      <c r="AZ82">
        <v>2</v>
      </c>
      <c r="BB82">
        <v>1</v>
      </c>
      <c r="BT82"/>
      <c r="CE82" s="8" t="s">
        <v>722</v>
      </c>
      <c r="CJ82" s="3"/>
      <c r="CL82" s="8"/>
      <c r="DB82">
        <v>1</v>
      </c>
      <c r="DE82">
        <v>1</v>
      </c>
      <c r="DF82">
        <v>1</v>
      </c>
    </row>
    <row r="83" spans="1:110" x14ac:dyDescent="0.25">
      <c r="CJ83" s="3"/>
    </row>
    <row r="84" spans="1:110" x14ac:dyDescent="0.25">
      <c r="A84" s="8"/>
      <c r="C84" s="8"/>
      <c r="J84" s="8"/>
      <c r="AG84" s="8"/>
      <c r="AJ84" s="8"/>
      <c r="AV84" s="8"/>
      <c r="BT84"/>
      <c r="CE84" s="8"/>
      <c r="CJ84" s="3"/>
      <c r="CL84" s="8"/>
    </row>
    <row r="85" spans="1:110" x14ac:dyDescent="0.25">
      <c r="A85" s="8"/>
      <c r="C85" s="8"/>
      <c r="AO85" s="8"/>
      <c r="CJ85" s="3"/>
      <c r="CS85" s="8"/>
      <c r="CW85" s="8"/>
    </row>
    <row r="86" spans="1:110" x14ac:dyDescent="0.25">
      <c r="A86" s="8"/>
      <c r="C86" s="8"/>
      <c r="AO86" s="8"/>
      <c r="CJ86" s="3"/>
      <c r="CS86" s="8"/>
      <c r="CW86" s="8"/>
    </row>
    <row r="87" spans="1:110" x14ac:dyDescent="0.25">
      <c r="A87" s="8"/>
      <c r="J87" s="18"/>
      <c r="K87" s="18"/>
      <c r="L87" s="13"/>
      <c r="M87"/>
      <c r="N87"/>
      <c r="O87" s="13"/>
      <c r="P87"/>
      <c r="Q87"/>
      <c r="R87" s="13"/>
      <c r="S87" s="13"/>
      <c r="T87" s="13"/>
      <c r="U87" s="13"/>
      <c r="V87" s="13"/>
      <c r="W87" s="13"/>
      <c r="X87" s="13"/>
      <c r="Y87" s="13"/>
      <c r="AT87" s="12"/>
      <c r="BN87" s="12"/>
      <c r="BT87" s="14"/>
      <c r="BU87" s="14"/>
      <c r="BV87" s="14"/>
      <c r="BW87" s="17"/>
      <c r="BX87" s="14"/>
      <c r="BY87" s="14"/>
      <c r="BZ87" s="12"/>
      <c r="CE87" s="8"/>
      <c r="CH87" s="12"/>
      <c r="CK87" s="12"/>
      <c r="CR87" s="12"/>
      <c r="CU87" s="12"/>
      <c r="CV87" s="12"/>
    </row>
    <row r="88" spans="1:110" x14ac:dyDescent="0.25">
      <c r="A88" s="8"/>
      <c r="K88" s="13"/>
      <c r="L88" s="13"/>
      <c r="M88"/>
      <c r="N88"/>
      <c r="O88" s="13"/>
      <c r="P88"/>
      <c r="Q88"/>
      <c r="R88" s="13"/>
      <c r="S88" s="13"/>
      <c r="T88" s="13"/>
      <c r="U88" s="13"/>
      <c r="V88" s="13"/>
      <c r="W88" s="13"/>
      <c r="X88" s="13"/>
      <c r="Y88" s="13"/>
      <c r="AV88" s="12"/>
      <c r="BM88" s="12"/>
      <c r="BN88" s="12"/>
      <c r="BT88" s="14"/>
      <c r="BU88" s="14"/>
      <c r="BV88" s="14"/>
      <c r="BW88" s="17"/>
      <c r="BX88" s="14"/>
      <c r="BY88" s="14"/>
      <c r="BZ88" s="12"/>
      <c r="CE88" s="8"/>
      <c r="CH88" s="12"/>
      <c r="CJ88" s="15"/>
      <c r="CK88" s="12"/>
      <c r="CR88" s="12"/>
      <c r="CU88" s="12"/>
      <c r="CV88" s="12"/>
    </row>
    <row r="89" spans="1:110" x14ac:dyDescent="0.25">
      <c r="A89" s="8"/>
      <c r="C89" s="12"/>
      <c r="J89" s="12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AG89" s="12"/>
      <c r="AJ89" s="12"/>
      <c r="AV89" s="12"/>
      <c r="BT89"/>
      <c r="BU89" s="16"/>
      <c r="BV89" s="16"/>
      <c r="BW89" s="16"/>
      <c r="BX89" s="16"/>
      <c r="BY89" s="16"/>
      <c r="CE89" s="8"/>
      <c r="CJ89" s="15"/>
      <c r="CL89" s="12"/>
    </row>
    <row r="90" spans="1:110" x14ac:dyDescent="0.25">
      <c r="A90" s="8"/>
      <c r="K90" s="13"/>
      <c r="L90" s="13"/>
      <c r="M90"/>
      <c r="N90"/>
      <c r="O90" s="13"/>
      <c r="P90"/>
      <c r="Q90"/>
      <c r="R90" s="13"/>
      <c r="S90" s="13"/>
      <c r="T90" s="13"/>
      <c r="U90" s="13"/>
      <c r="V90" s="13"/>
      <c r="W90" s="13"/>
      <c r="X90" s="13"/>
      <c r="Y90" s="13"/>
      <c r="AV90" s="12"/>
      <c r="BM90" s="12"/>
      <c r="BN90" s="12"/>
      <c r="BT90" s="14"/>
      <c r="BU90" s="14"/>
      <c r="BV90" s="14"/>
      <c r="BW90" s="14"/>
      <c r="BX90" s="14"/>
      <c r="BY90" s="14"/>
      <c r="BZ90" s="12"/>
      <c r="CH90" s="12"/>
      <c r="CJ90" s="15"/>
      <c r="CK90" s="12"/>
      <c r="CR90" s="12"/>
      <c r="CU90" s="12"/>
      <c r="CV90" s="12"/>
    </row>
    <row r="91" spans="1:110" x14ac:dyDescent="0.25">
      <c r="A91" s="8"/>
      <c r="K91" s="13"/>
      <c r="L91" s="13"/>
      <c r="M91"/>
      <c r="N91"/>
      <c r="O91" s="13"/>
      <c r="P91"/>
      <c r="Q91"/>
      <c r="R91" s="13"/>
      <c r="S91" s="13"/>
      <c r="T91" s="13"/>
      <c r="U91" s="13"/>
      <c r="V91" s="13"/>
      <c r="W91" s="13"/>
      <c r="X91" s="13"/>
      <c r="Y91" s="13"/>
      <c r="AV91" s="12"/>
      <c r="BM91" s="12"/>
      <c r="BN91" s="12"/>
      <c r="BT91" s="14"/>
      <c r="BU91" s="14"/>
      <c r="BV91" s="14"/>
      <c r="BW91" s="14"/>
      <c r="BX91" s="14"/>
      <c r="BY91" s="14"/>
      <c r="BZ91" s="12"/>
      <c r="CH91" s="12"/>
      <c r="CJ91" s="15"/>
      <c r="CK91" s="12"/>
      <c r="CR91" s="12"/>
      <c r="CU91" s="12"/>
      <c r="CV91" s="12"/>
    </row>
    <row r="92" spans="1:110" x14ac:dyDescent="0.25">
      <c r="CJ92" s="3"/>
    </row>
    <row r="93" spans="1:110" x14ac:dyDescent="0.25">
      <c r="A93" s="8"/>
      <c r="C93" s="8"/>
      <c r="AR93" s="8"/>
      <c r="BT93"/>
      <c r="CJ93" s="3"/>
      <c r="CS93" s="8"/>
    </row>
    <row r="94" spans="1:110" x14ac:dyDescent="0.25">
      <c r="BT94"/>
      <c r="CJ94" s="3"/>
    </row>
    <row r="95" spans="1:110" x14ac:dyDescent="0.25">
      <c r="BT95"/>
      <c r="CJ95" s="3"/>
    </row>
    <row r="96" spans="1:110" x14ac:dyDescent="0.25">
      <c r="BT96"/>
      <c r="CJ96" s="3"/>
    </row>
    <row r="97" spans="72:88" x14ac:dyDescent="0.25">
      <c r="CJ97" s="3"/>
    </row>
    <row r="99" spans="72:88" x14ac:dyDescent="0.25">
      <c r="CJ99" s="3"/>
    </row>
    <row r="100" spans="72:88" x14ac:dyDescent="0.25">
      <c r="BT100"/>
    </row>
    <row r="101" spans="72:88" x14ac:dyDescent="0.25">
      <c r="CJ101" s="3"/>
    </row>
    <row r="102" spans="72:88" x14ac:dyDescent="0.25">
      <c r="CJ102" s="3"/>
    </row>
    <row r="103" spans="72:88" x14ac:dyDescent="0.25">
      <c r="CJ103" s="3"/>
    </row>
    <row r="106" spans="72:88" x14ac:dyDescent="0.25">
      <c r="CJ106" s="3"/>
    </row>
    <row r="107" spans="72:88" x14ac:dyDescent="0.25">
      <c r="CJ107" s="3"/>
    </row>
    <row r="111" spans="72:88" x14ac:dyDescent="0.25">
      <c r="BT111"/>
    </row>
    <row r="112" spans="72:88" x14ac:dyDescent="0.25">
      <c r="CJ112" s="3"/>
    </row>
    <row r="117" spans="72:88" x14ac:dyDescent="0.25">
      <c r="BT117"/>
    </row>
    <row r="120" spans="72:88" x14ac:dyDescent="0.25">
      <c r="BT120"/>
      <c r="CJ120" s="3"/>
    </row>
    <row r="121" spans="72:88" x14ac:dyDescent="0.25">
      <c r="BT121"/>
    </row>
    <row r="123" spans="72:88" x14ac:dyDescent="0.25">
      <c r="BT123"/>
    </row>
    <row r="124" spans="72:88" x14ac:dyDescent="0.25">
      <c r="CJ124" s="3"/>
    </row>
    <row r="125" spans="72:88" x14ac:dyDescent="0.25">
      <c r="CJ125" s="3"/>
    </row>
    <row r="126" spans="72:88" x14ac:dyDescent="0.25">
      <c r="CJ126" s="3"/>
    </row>
    <row r="127" spans="72:88" x14ac:dyDescent="0.25">
      <c r="CJ127" s="3"/>
    </row>
    <row r="132" spans="88:88" x14ac:dyDescent="0.25">
      <c r="CJ132" s="3"/>
    </row>
    <row r="133" spans="88:88" x14ac:dyDescent="0.25">
      <c r="CJ133" s="3"/>
    </row>
    <row r="139" spans="88:88" x14ac:dyDescent="0.25">
      <c r="CJ139" s="3"/>
    </row>
    <row r="140" spans="88:88" x14ac:dyDescent="0.25">
      <c r="CJ140" s="3"/>
    </row>
    <row r="142" spans="88:88" x14ac:dyDescent="0.25">
      <c r="CJ142" s="3"/>
    </row>
    <row r="143" spans="88:88" x14ac:dyDescent="0.25">
      <c r="CJ143" s="3"/>
    </row>
    <row r="144" spans="88:88" x14ac:dyDescent="0.25">
      <c r="CJ144" s="3"/>
    </row>
    <row r="145" spans="72:88" x14ac:dyDescent="0.25">
      <c r="CJ145" s="3"/>
    </row>
    <row r="146" spans="72:88" x14ac:dyDescent="0.25">
      <c r="BT146"/>
    </row>
    <row r="147" spans="72:88" x14ac:dyDescent="0.25">
      <c r="BT147"/>
    </row>
    <row r="148" spans="72:88" x14ac:dyDescent="0.25">
      <c r="BT148"/>
      <c r="CJ148" s="3"/>
    </row>
    <row r="149" spans="72:88" x14ac:dyDescent="0.25">
      <c r="CJ149" s="3"/>
    </row>
    <row r="150" spans="72:88" x14ac:dyDescent="0.25">
      <c r="CJ150" s="3"/>
    </row>
    <row r="151" spans="72:88" x14ac:dyDescent="0.25">
      <c r="BT151"/>
    </row>
    <row r="152" spans="72:88" x14ac:dyDescent="0.25">
      <c r="CJ152" s="3"/>
    </row>
    <row r="156" spans="72:88" x14ac:dyDescent="0.25">
      <c r="BT156"/>
    </row>
    <row r="157" spans="72:88" x14ac:dyDescent="0.25">
      <c r="CJ157" s="3"/>
    </row>
    <row r="165" spans="72:88" x14ac:dyDescent="0.25">
      <c r="CJ165" s="3"/>
    </row>
    <row r="166" spans="72:88" x14ac:dyDescent="0.25">
      <c r="CJ166" s="3"/>
    </row>
    <row r="167" spans="72:88" x14ac:dyDescent="0.25">
      <c r="BT167"/>
    </row>
    <row r="172" spans="72:88" x14ac:dyDescent="0.25">
      <c r="BT172"/>
    </row>
    <row r="173" spans="72:88" x14ac:dyDescent="0.25">
      <c r="BT173"/>
      <c r="CJ173" s="3"/>
    </row>
    <row r="174" spans="72:88" x14ac:dyDescent="0.25">
      <c r="CJ174" s="3"/>
    </row>
    <row r="175" spans="72:88" x14ac:dyDescent="0.25">
      <c r="CJ175" s="3"/>
    </row>
    <row r="176" spans="72:88" x14ac:dyDescent="0.25">
      <c r="CJ176" s="3"/>
    </row>
    <row r="177" spans="72:88" x14ac:dyDescent="0.25">
      <c r="CJ177" s="3"/>
    </row>
    <row r="178" spans="72:88" x14ac:dyDescent="0.25">
      <c r="BT178"/>
    </row>
    <row r="179" spans="72:88" x14ac:dyDescent="0.25">
      <c r="CJ179" s="3"/>
    </row>
    <row r="180" spans="72:88" x14ac:dyDescent="0.25">
      <c r="CJ180" s="3"/>
    </row>
    <row r="181" spans="72:88" x14ac:dyDescent="0.25">
      <c r="CJ181" s="3"/>
    </row>
    <row r="182" spans="72:88" x14ac:dyDescent="0.25">
      <c r="CJ182" s="3"/>
    </row>
    <row r="183" spans="72:88" x14ac:dyDescent="0.25">
      <c r="BT183"/>
    </row>
    <row r="184" spans="72:88" x14ac:dyDescent="0.25">
      <c r="CJ184" s="3"/>
    </row>
    <row r="185" spans="72:88" x14ac:dyDescent="0.25">
      <c r="CJ185" s="3"/>
    </row>
    <row r="186" spans="72:88" x14ac:dyDescent="0.25">
      <c r="CJ186" s="3"/>
    </row>
    <row r="187" spans="72:88" x14ac:dyDescent="0.25">
      <c r="CJ187" s="3"/>
    </row>
    <row r="190" spans="72:88" x14ac:dyDescent="0.25">
      <c r="CJ190" s="3"/>
    </row>
    <row r="191" spans="72:88" x14ac:dyDescent="0.25">
      <c r="CJ191" s="3"/>
    </row>
    <row r="192" spans="72:88" x14ac:dyDescent="0.25">
      <c r="CJ192" s="3"/>
    </row>
    <row r="193" spans="72:88" x14ac:dyDescent="0.25">
      <c r="CJ193" s="3"/>
    </row>
    <row r="194" spans="72:88" x14ac:dyDescent="0.25">
      <c r="CJ194" s="3"/>
    </row>
    <row r="196" spans="72:88" x14ac:dyDescent="0.25">
      <c r="BT196"/>
    </row>
    <row r="197" spans="72:88" x14ac:dyDescent="0.25">
      <c r="CJ197" s="3"/>
    </row>
    <row r="198" spans="72:88" x14ac:dyDescent="0.25">
      <c r="CJ198" s="3"/>
    </row>
    <row r="199" spans="72:88" x14ac:dyDescent="0.25">
      <c r="CJ199" s="3"/>
    </row>
    <row r="200" spans="72:88" x14ac:dyDescent="0.25">
      <c r="CJ200" s="3"/>
    </row>
    <row r="204" spans="72:88" x14ac:dyDescent="0.25">
      <c r="CJ204" s="3"/>
    </row>
    <row r="206" spans="72:88" x14ac:dyDescent="0.25">
      <c r="BT206"/>
    </row>
    <row r="207" spans="72:88" x14ac:dyDescent="0.25">
      <c r="BT207"/>
      <c r="CJ207" s="3"/>
    </row>
    <row r="208" spans="72:88" x14ac:dyDescent="0.25">
      <c r="CJ208" s="3"/>
    </row>
    <row r="209" spans="72:88" x14ac:dyDescent="0.25">
      <c r="CJ209" s="3"/>
    </row>
    <row r="210" spans="72:88" x14ac:dyDescent="0.25">
      <c r="CJ210" s="3"/>
    </row>
    <row r="211" spans="72:88" x14ac:dyDescent="0.25">
      <c r="CJ211" s="3"/>
    </row>
    <row r="213" spans="72:88" x14ac:dyDescent="0.25">
      <c r="BT213"/>
    </row>
    <row r="214" spans="72:88" x14ac:dyDescent="0.25">
      <c r="CJ214" s="3"/>
    </row>
    <row r="215" spans="72:88" x14ac:dyDescent="0.25">
      <c r="CJ215" s="3"/>
    </row>
    <row r="217" spans="72:88" x14ac:dyDescent="0.25">
      <c r="CJ217" s="3"/>
    </row>
    <row r="218" spans="72:88" x14ac:dyDescent="0.25">
      <c r="CJ218" s="3"/>
    </row>
    <row r="220" spans="72:88" x14ac:dyDescent="0.25">
      <c r="BT220"/>
    </row>
    <row r="221" spans="72:88" x14ac:dyDescent="0.25">
      <c r="CJ221" s="3"/>
    </row>
    <row r="224" spans="72:88" x14ac:dyDescent="0.25">
      <c r="CJ224" s="3"/>
    </row>
    <row r="225" spans="72:88" x14ac:dyDescent="0.25">
      <c r="CJ225" s="3"/>
    </row>
    <row r="228" spans="72:88" x14ac:dyDescent="0.25">
      <c r="CJ228" s="3"/>
    </row>
    <row r="230" spans="72:88" x14ac:dyDescent="0.25">
      <c r="CJ230" s="3"/>
    </row>
    <row r="232" spans="72:88" x14ac:dyDescent="0.25">
      <c r="BT232"/>
    </row>
    <row r="233" spans="72:88" x14ac:dyDescent="0.25">
      <c r="CJ233" s="3"/>
    </row>
    <row r="234" spans="72:88" x14ac:dyDescent="0.25">
      <c r="CJ234" s="3"/>
    </row>
    <row r="236" spans="72:88" x14ac:dyDescent="0.25">
      <c r="CJ236" s="3"/>
    </row>
    <row r="237" spans="72:88" x14ac:dyDescent="0.25">
      <c r="CJ237" s="3"/>
    </row>
    <row r="238" spans="72:88" x14ac:dyDescent="0.25">
      <c r="CJ238" s="3"/>
    </row>
    <row r="243" spans="88:88" x14ac:dyDescent="0.25">
      <c r="CJ243" s="3"/>
    </row>
    <row r="244" spans="88:88" x14ac:dyDescent="0.25">
      <c r="CJ244" s="3"/>
    </row>
    <row r="247" spans="88:88" x14ac:dyDescent="0.25">
      <c r="CJ247" s="3"/>
    </row>
    <row r="248" spans="88:88" x14ac:dyDescent="0.25">
      <c r="CJ248" s="3"/>
    </row>
    <row r="252" spans="88:88" x14ac:dyDescent="0.25">
      <c r="CJ252" s="3"/>
    </row>
    <row r="256" spans="88:88" x14ac:dyDescent="0.25">
      <c r="CJ256" s="3"/>
    </row>
    <row r="258" spans="72:88" x14ac:dyDescent="0.25">
      <c r="CJ258" s="3"/>
    </row>
    <row r="259" spans="72:88" x14ac:dyDescent="0.25">
      <c r="CJ259" s="3"/>
    </row>
    <row r="261" spans="72:88" x14ac:dyDescent="0.25">
      <c r="CJ261" s="3"/>
    </row>
    <row r="262" spans="72:88" x14ac:dyDescent="0.25">
      <c r="CJ262" s="3"/>
    </row>
    <row r="264" spans="72:88" x14ac:dyDescent="0.25">
      <c r="BT264"/>
    </row>
    <row r="265" spans="72:88" x14ac:dyDescent="0.25">
      <c r="BT265"/>
      <c r="CJ265" s="3"/>
    </row>
    <row r="266" spans="72:88" x14ac:dyDescent="0.25">
      <c r="CJ266" s="3"/>
    </row>
    <row r="268" spans="72:88" x14ac:dyDescent="0.25">
      <c r="CJ268" s="3"/>
    </row>
    <row r="277" spans="72:88" x14ac:dyDescent="0.25">
      <c r="BT277"/>
    </row>
    <row r="278" spans="72:88" x14ac:dyDescent="0.25">
      <c r="BT278"/>
      <c r="CJ278" s="3"/>
    </row>
    <row r="279" spans="72:88" x14ac:dyDescent="0.25">
      <c r="CJ279" s="3"/>
    </row>
    <row r="280" spans="72:88" x14ac:dyDescent="0.25">
      <c r="CJ280" s="3"/>
    </row>
    <row r="281" spans="72:88" x14ac:dyDescent="0.25">
      <c r="BT281"/>
    </row>
    <row r="282" spans="72:88" x14ac:dyDescent="0.25">
      <c r="BT282"/>
      <c r="CJ282" s="3"/>
    </row>
    <row r="283" spans="72:88" x14ac:dyDescent="0.25">
      <c r="CJ283" s="3"/>
    </row>
    <row r="285" spans="72:88" x14ac:dyDescent="0.25">
      <c r="BT285"/>
    </row>
    <row r="286" spans="72:88" x14ac:dyDescent="0.25">
      <c r="BT286"/>
      <c r="CJ286" s="3"/>
    </row>
    <row r="287" spans="72:88" x14ac:dyDescent="0.25">
      <c r="CJ287" s="3"/>
    </row>
    <row r="289" spans="72:88" x14ac:dyDescent="0.25">
      <c r="BT289"/>
    </row>
    <row r="290" spans="72:88" x14ac:dyDescent="0.25">
      <c r="CJ290" s="3"/>
    </row>
    <row r="293" spans="72:88" x14ac:dyDescent="0.25">
      <c r="CJ293" s="3"/>
    </row>
    <row r="297" spans="72:88" x14ac:dyDescent="0.25">
      <c r="CJ297" s="3"/>
    </row>
    <row r="299" spans="72:88" x14ac:dyDescent="0.25">
      <c r="BT299"/>
    </row>
    <row r="300" spans="72:88" x14ac:dyDescent="0.25">
      <c r="CJ300" s="3"/>
    </row>
    <row r="307" spans="72:88" x14ac:dyDescent="0.25">
      <c r="BT307"/>
    </row>
    <row r="308" spans="72:88" x14ac:dyDescent="0.25">
      <c r="CJ308" s="3"/>
    </row>
    <row r="309" spans="72:88" x14ac:dyDescent="0.25">
      <c r="CJ309" s="3"/>
    </row>
    <row r="311" spans="72:88" x14ac:dyDescent="0.25">
      <c r="BT311"/>
    </row>
    <row r="312" spans="72:88" x14ac:dyDescent="0.25">
      <c r="BT312"/>
      <c r="CJ312" s="3"/>
    </row>
    <row r="313" spans="72:88" x14ac:dyDescent="0.25">
      <c r="CJ313" s="3"/>
    </row>
    <row r="319" spans="72:88" x14ac:dyDescent="0.25">
      <c r="BT319"/>
    </row>
    <row r="320" spans="72:88" x14ac:dyDescent="0.25">
      <c r="BT320"/>
      <c r="CJ320" s="3"/>
    </row>
    <row r="321" spans="72:88" x14ac:dyDescent="0.25">
      <c r="BT321"/>
      <c r="CJ321" s="3"/>
    </row>
    <row r="322" spans="72:88" x14ac:dyDescent="0.25">
      <c r="CJ322" s="3"/>
    </row>
    <row r="327" spans="72:88" x14ac:dyDescent="0.25">
      <c r="BT327"/>
    </row>
    <row r="328" spans="72:88" x14ac:dyDescent="0.25">
      <c r="BT328"/>
    </row>
    <row r="332" spans="72:88" x14ac:dyDescent="0.25">
      <c r="BT332"/>
    </row>
    <row r="333" spans="72:88" x14ac:dyDescent="0.25">
      <c r="CJ333" s="3"/>
    </row>
    <row r="334" spans="72:88" x14ac:dyDescent="0.25">
      <c r="BT334"/>
    </row>
    <row r="335" spans="72:88" x14ac:dyDescent="0.25">
      <c r="CJ335" s="3"/>
    </row>
    <row r="345" spans="72:88" x14ac:dyDescent="0.25">
      <c r="BT345"/>
    </row>
    <row r="346" spans="72:88" x14ac:dyDescent="0.25">
      <c r="CJ346" s="3"/>
    </row>
    <row r="348" spans="72:88" x14ac:dyDescent="0.25">
      <c r="BT348"/>
    </row>
    <row r="349" spans="72:88" x14ac:dyDescent="0.25">
      <c r="CJ349" s="3"/>
    </row>
    <row r="357" spans="72:88" x14ac:dyDescent="0.25">
      <c r="BT357"/>
    </row>
    <row r="358" spans="72:88" x14ac:dyDescent="0.25">
      <c r="CJ358" s="3"/>
    </row>
    <row r="362" spans="72:88" x14ac:dyDescent="0.25">
      <c r="BT362"/>
    </row>
    <row r="363" spans="72:88" x14ac:dyDescent="0.25">
      <c r="CJ363" s="3"/>
    </row>
    <row r="365" spans="72:88" x14ac:dyDescent="0.25">
      <c r="BT365"/>
    </row>
    <row r="366" spans="72:88" x14ac:dyDescent="0.25">
      <c r="CJ366" s="3"/>
    </row>
    <row r="382" spans="72:88" x14ac:dyDescent="0.25">
      <c r="BT382"/>
    </row>
    <row r="383" spans="72:88" x14ac:dyDescent="0.25">
      <c r="BT383"/>
      <c r="CJ383" s="3"/>
    </row>
    <row r="384" spans="72:88" x14ac:dyDescent="0.25">
      <c r="BT384"/>
      <c r="CJ384" s="3"/>
    </row>
    <row r="385" spans="72:88" x14ac:dyDescent="0.25">
      <c r="BT385"/>
      <c r="CJ385" s="3"/>
    </row>
    <row r="386" spans="72:88" x14ac:dyDescent="0.25">
      <c r="BT386"/>
    </row>
    <row r="388" spans="72:88" x14ac:dyDescent="0.25">
      <c r="BT388"/>
    </row>
    <row r="389" spans="72:88" x14ac:dyDescent="0.25">
      <c r="BT389"/>
      <c r="CJ389" s="3"/>
    </row>
    <row r="390" spans="72:88" x14ac:dyDescent="0.25">
      <c r="BT390"/>
      <c r="CJ390" s="3"/>
    </row>
    <row r="391" spans="72:88" x14ac:dyDescent="0.25">
      <c r="CJ391" s="3"/>
    </row>
    <row r="395" spans="72:88" x14ac:dyDescent="0.25">
      <c r="BT395"/>
    </row>
    <row r="396" spans="72:88" x14ac:dyDescent="0.25">
      <c r="CJ396" s="3"/>
    </row>
    <row r="398" spans="72:88" x14ac:dyDescent="0.25">
      <c r="BT398"/>
    </row>
    <row r="399" spans="72:88" x14ac:dyDescent="0.25">
      <c r="BT399"/>
      <c r="CJ399" s="3"/>
    </row>
    <row r="400" spans="72:88" x14ac:dyDescent="0.25">
      <c r="BT400"/>
      <c r="CJ400" s="3"/>
    </row>
    <row r="401" spans="88:88" x14ac:dyDescent="0.25">
      <c r="CJ401" s="3"/>
    </row>
    <row r="417" spans="72:88" x14ac:dyDescent="0.25">
      <c r="BT417"/>
    </row>
    <row r="418" spans="72:88" x14ac:dyDescent="0.25">
      <c r="CJ418" s="3"/>
    </row>
    <row r="426" spans="72:88" x14ac:dyDescent="0.25">
      <c r="CJ426" s="3"/>
    </row>
    <row r="427" spans="72:88" x14ac:dyDescent="0.25">
      <c r="CJ427" s="3"/>
    </row>
    <row r="428" spans="72:88" x14ac:dyDescent="0.25">
      <c r="CJ428" s="3"/>
    </row>
    <row r="429" spans="72:88" x14ac:dyDescent="0.25">
      <c r="CJ429" s="3"/>
    </row>
    <row r="430" spans="72:88" x14ac:dyDescent="0.25">
      <c r="CJ430" s="3"/>
    </row>
    <row r="432" spans="72:88" x14ac:dyDescent="0.25">
      <c r="BT432"/>
    </row>
    <row r="433" spans="72:88" x14ac:dyDescent="0.25">
      <c r="CJ433" s="3"/>
    </row>
    <row r="434" spans="72:88" x14ac:dyDescent="0.25">
      <c r="BT434"/>
    </row>
    <row r="435" spans="72:88" x14ac:dyDescent="0.25">
      <c r="BT435"/>
      <c r="CJ435" s="3"/>
    </row>
    <row r="436" spans="72:88" x14ac:dyDescent="0.25">
      <c r="CJ436" s="3"/>
    </row>
    <row r="438" spans="72:88" x14ac:dyDescent="0.25">
      <c r="BT438"/>
    </row>
    <row r="439" spans="72:88" x14ac:dyDescent="0.25">
      <c r="BT439"/>
      <c r="CJ439" s="3"/>
    </row>
    <row r="440" spans="72:88" x14ac:dyDescent="0.25">
      <c r="BT440"/>
      <c r="CJ440" s="3"/>
    </row>
    <row r="441" spans="72:88" x14ac:dyDescent="0.25">
      <c r="CJ441" s="3"/>
    </row>
    <row r="443" spans="72:88" x14ac:dyDescent="0.25">
      <c r="CJ443" s="3"/>
    </row>
    <row r="445" spans="72:88" x14ac:dyDescent="0.25">
      <c r="CJ445" s="3"/>
    </row>
    <row r="447" spans="72:88" x14ac:dyDescent="0.25">
      <c r="CJ447" s="3"/>
    </row>
    <row r="450" spans="72:88" x14ac:dyDescent="0.25">
      <c r="CJ450" s="3"/>
    </row>
    <row r="451" spans="72:88" x14ac:dyDescent="0.25">
      <c r="CJ451" s="3"/>
    </row>
    <row r="452" spans="72:88" x14ac:dyDescent="0.25">
      <c r="CJ452" s="3"/>
    </row>
    <row r="453" spans="72:88" x14ac:dyDescent="0.25">
      <c r="CJ453" s="3"/>
    </row>
    <row r="454" spans="72:88" x14ac:dyDescent="0.25">
      <c r="CJ454" s="3"/>
    </row>
    <row r="455" spans="72:88" x14ac:dyDescent="0.25">
      <c r="CJ455" s="3"/>
    </row>
    <row r="456" spans="72:88" x14ac:dyDescent="0.25">
      <c r="BT456"/>
    </row>
    <row r="457" spans="72:88" x14ac:dyDescent="0.25">
      <c r="BT457"/>
      <c r="CJ457" s="3"/>
    </row>
    <row r="458" spans="72:88" x14ac:dyDescent="0.25">
      <c r="BT458"/>
      <c r="CJ458" s="3"/>
    </row>
    <row r="459" spans="72:88" x14ac:dyDescent="0.25">
      <c r="CJ459" s="3"/>
    </row>
    <row r="460" spans="72:88" x14ac:dyDescent="0.25">
      <c r="CJ460" s="3"/>
    </row>
    <row r="461" spans="72:88" x14ac:dyDescent="0.25">
      <c r="CJ461" s="3"/>
    </row>
    <row r="462" spans="72:88" x14ac:dyDescent="0.25">
      <c r="CJ462" s="3"/>
    </row>
    <row r="464" spans="72:88" x14ac:dyDescent="0.25">
      <c r="CJ464" s="3"/>
    </row>
    <row r="465" spans="72:88" x14ac:dyDescent="0.25">
      <c r="CJ465" s="3"/>
    </row>
    <row r="466" spans="72:88" x14ac:dyDescent="0.25">
      <c r="BT466"/>
    </row>
    <row r="467" spans="72:88" x14ac:dyDescent="0.25">
      <c r="BT467"/>
      <c r="CJ467" s="3"/>
    </row>
    <row r="468" spans="72:88" x14ac:dyDescent="0.25">
      <c r="BT468"/>
      <c r="CJ468" s="3"/>
    </row>
    <row r="469" spans="72:88" x14ac:dyDescent="0.25">
      <c r="CJ469" s="3"/>
    </row>
    <row r="470" spans="72:88" x14ac:dyDescent="0.25">
      <c r="CJ470" s="3"/>
    </row>
    <row r="472" spans="72:88" x14ac:dyDescent="0.25">
      <c r="CJ472" s="3"/>
    </row>
    <row r="473" spans="72:88" x14ac:dyDescent="0.25">
      <c r="CJ473" s="3"/>
    </row>
    <row r="474" spans="72:88" x14ac:dyDescent="0.25">
      <c r="BT474"/>
      <c r="CJ474" s="3"/>
    </row>
    <row r="475" spans="72:88" x14ac:dyDescent="0.25">
      <c r="BT475"/>
      <c r="CJ475" s="3"/>
    </row>
    <row r="476" spans="72:88" x14ac:dyDescent="0.25">
      <c r="CJ476" s="3"/>
    </row>
    <row r="477" spans="72:88" x14ac:dyDescent="0.25">
      <c r="CJ477" s="3"/>
    </row>
    <row r="478" spans="72:88" x14ac:dyDescent="0.25">
      <c r="CJ478" s="3"/>
    </row>
    <row r="480" spans="72:88" x14ac:dyDescent="0.25">
      <c r="BT480"/>
      <c r="CJ480" s="3"/>
    </row>
    <row r="481" spans="72:88" x14ac:dyDescent="0.25">
      <c r="CJ481" s="3"/>
    </row>
    <row r="482" spans="72:88" x14ac:dyDescent="0.25">
      <c r="CJ482" s="3"/>
    </row>
    <row r="484" spans="72:88" x14ac:dyDescent="0.25">
      <c r="BT484"/>
      <c r="CJ484" s="3"/>
    </row>
    <row r="485" spans="72:88" x14ac:dyDescent="0.25">
      <c r="BT485"/>
      <c r="CJ485" s="3"/>
    </row>
    <row r="486" spans="72:88" x14ac:dyDescent="0.25">
      <c r="CJ486" s="3"/>
    </row>
    <row r="488" spans="72:88" x14ac:dyDescent="0.25">
      <c r="CJ488" s="3"/>
    </row>
    <row r="490" spans="72:88" x14ac:dyDescent="0.25">
      <c r="CJ490" s="3"/>
    </row>
    <row r="493" spans="72:88" x14ac:dyDescent="0.25">
      <c r="CJ493" s="3"/>
    </row>
    <row r="494" spans="72:88" x14ac:dyDescent="0.25">
      <c r="CJ494" s="3"/>
    </row>
    <row r="498" spans="72:88" x14ac:dyDescent="0.25">
      <c r="BT498"/>
    </row>
    <row r="499" spans="72:88" x14ac:dyDescent="0.25">
      <c r="BT499"/>
      <c r="CJ499" s="3"/>
    </row>
    <row r="500" spans="72:88" x14ac:dyDescent="0.25">
      <c r="BT500"/>
      <c r="CJ500" s="3"/>
    </row>
    <row r="501" spans="72:88" x14ac:dyDescent="0.25">
      <c r="CJ501" s="3"/>
    </row>
    <row r="502" spans="72:88" x14ac:dyDescent="0.25">
      <c r="CJ502" s="3"/>
    </row>
    <row r="503" spans="72:88" x14ac:dyDescent="0.25">
      <c r="BT503"/>
    </row>
    <row r="504" spans="72:88" x14ac:dyDescent="0.25">
      <c r="CJ504" s="3"/>
    </row>
    <row r="506" spans="72:88" x14ac:dyDescent="0.25">
      <c r="CJ506" s="3"/>
    </row>
    <row r="507" spans="72:88" x14ac:dyDescent="0.25">
      <c r="CJ507" s="3"/>
    </row>
    <row r="509" spans="72:88" x14ac:dyDescent="0.25">
      <c r="CJ509" s="3"/>
    </row>
    <row r="510" spans="72:88" x14ac:dyDescent="0.25">
      <c r="CJ510" s="3"/>
    </row>
    <row r="511" spans="72:88" x14ac:dyDescent="0.25">
      <c r="CJ511" s="3"/>
    </row>
    <row r="512" spans="72:88" x14ac:dyDescent="0.25">
      <c r="CJ512" s="3"/>
    </row>
    <row r="513" spans="72:88" x14ac:dyDescent="0.25">
      <c r="CJ513" s="3"/>
    </row>
    <row r="514" spans="72:88" x14ac:dyDescent="0.25">
      <c r="CJ514" s="3"/>
    </row>
    <row r="515" spans="72:88" x14ac:dyDescent="0.25">
      <c r="CJ515" s="3"/>
    </row>
    <row r="517" spans="72:88" x14ac:dyDescent="0.25">
      <c r="BT517"/>
    </row>
    <row r="518" spans="72:88" x14ac:dyDescent="0.25">
      <c r="CJ518" s="3"/>
    </row>
    <row r="519" spans="72:88" x14ac:dyDescent="0.25">
      <c r="CJ519" s="3"/>
    </row>
    <row r="552" spans="8:88" x14ac:dyDescent="0.25">
      <c r="BS552" s="10"/>
      <c r="BT552" s="11"/>
    </row>
    <row r="553" spans="8:88" x14ac:dyDescent="0.25">
      <c r="H553" s="10"/>
      <c r="CJ553" s="10"/>
    </row>
    <row r="559" spans="8:88" x14ac:dyDescent="0.25">
      <c r="BT559"/>
    </row>
    <row r="560" spans="8:88" x14ac:dyDescent="0.25">
      <c r="BT560"/>
      <c r="CJ560" s="3"/>
    </row>
    <row r="561" spans="72:88" x14ac:dyDescent="0.25">
      <c r="BT561"/>
      <c r="CJ561" s="3"/>
    </row>
    <row r="562" spans="72:88" x14ac:dyDescent="0.25">
      <c r="CJ562" s="3"/>
    </row>
    <row r="579" spans="72:88" x14ac:dyDescent="0.25">
      <c r="BT579"/>
    </row>
    <row r="580" spans="72:88" x14ac:dyDescent="0.25">
      <c r="CJ580" s="3"/>
    </row>
    <row r="612" spans="72:88" x14ac:dyDescent="0.25">
      <c r="BT612"/>
    </row>
    <row r="613" spans="72:88" x14ac:dyDescent="0.25">
      <c r="BT613"/>
      <c r="CJ613" s="3"/>
    </row>
    <row r="614" spans="72:88" x14ac:dyDescent="0.25">
      <c r="CJ614" s="3"/>
    </row>
    <row r="630" spans="72:88" x14ac:dyDescent="0.25">
      <c r="BT630"/>
    </row>
    <row r="631" spans="72:88" x14ac:dyDescent="0.25">
      <c r="CJ631" s="3"/>
    </row>
    <row r="637" spans="72:88" x14ac:dyDescent="0.25">
      <c r="BT637"/>
    </row>
    <row r="638" spans="72:88" x14ac:dyDescent="0.25">
      <c r="BT638"/>
      <c r="CJ638" s="3"/>
    </row>
    <row r="639" spans="72:88" x14ac:dyDescent="0.25">
      <c r="CJ639" s="3"/>
    </row>
    <row r="644" spans="72:88" x14ac:dyDescent="0.25">
      <c r="BT644"/>
    </row>
    <row r="645" spans="72:88" x14ac:dyDescent="0.25">
      <c r="BT645"/>
      <c r="CJ645" s="3"/>
    </row>
    <row r="646" spans="72:88" x14ac:dyDescent="0.25">
      <c r="BT646"/>
      <c r="CJ646" s="3"/>
    </row>
    <row r="647" spans="72:88" x14ac:dyDescent="0.25">
      <c r="BT647"/>
      <c r="CJ647" s="3"/>
    </row>
    <row r="648" spans="72:88" x14ac:dyDescent="0.25">
      <c r="BT648"/>
      <c r="CJ648" s="3"/>
    </row>
    <row r="649" spans="72:88" x14ac:dyDescent="0.25">
      <c r="BT649"/>
      <c r="CJ649" s="3"/>
    </row>
    <row r="650" spans="72:88" x14ac:dyDescent="0.25">
      <c r="BT650"/>
      <c r="CJ650" s="3"/>
    </row>
    <row r="651" spans="72:88" x14ac:dyDescent="0.25">
      <c r="BT651"/>
      <c r="CJ651" s="3"/>
    </row>
    <row r="652" spans="72:88" x14ac:dyDescent="0.25">
      <c r="BT652"/>
      <c r="CJ652" s="3"/>
    </row>
    <row r="653" spans="72:88" x14ac:dyDescent="0.25">
      <c r="BT653"/>
      <c r="CJ653" s="3"/>
    </row>
    <row r="654" spans="72:88" x14ac:dyDescent="0.25">
      <c r="BT654"/>
      <c r="CJ654" s="3"/>
    </row>
    <row r="655" spans="72:88" x14ac:dyDescent="0.25">
      <c r="BT655"/>
      <c r="CJ655" s="3"/>
    </row>
    <row r="656" spans="72:88" x14ac:dyDescent="0.25">
      <c r="BT656"/>
      <c r="CJ656" s="3"/>
    </row>
    <row r="657" spans="72:88" x14ac:dyDescent="0.25">
      <c r="BT657"/>
      <c r="CJ657" s="3"/>
    </row>
    <row r="658" spans="72:88" x14ac:dyDescent="0.25">
      <c r="BT658"/>
      <c r="CJ658" s="3"/>
    </row>
    <row r="659" spans="72:88" x14ac:dyDescent="0.25">
      <c r="BT659"/>
      <c r="CJ659" s="3"/>
    </row>
    <row r="660" spans="72:88" x14ac:dyDescent="0.25">
      <c r="CJ660" s="3"/>
    </row>
    <row r="664" spans="72:88" x14ac:dyDescent="0.25">
      <c r="BT664"/>
    </row>
    <row r="665" spans="72:88" x14ac:dyDescent="0.25">
      <c r="BT665"/>
      <c r="CJ665" s="3"/>
    </row>
    <row r="666" spans="72:88" x14ac:dyDescent="0.25">
      <c r="CJ666" s="3"/>
    </row>
    <row r="667" spans="72:88" x14ac:dyDescent="0.25">
      <c r="BT667"/>
    </row>
    <row r="668" spans="72:88" x14ac:dyDescent="0.25">
      <c r="CJ668" s="3"/>
    </row>
    <row r="671" spans="72:88" x14ac:dyDescent="0.25">
      <c r="BT671"/>
    </row>
    <row r="672" spans="72:88" x14ac:dyDescent="0.25">
      <c r="BT672"/>
      <c r="CJ672" s="3"/>
    </row>
    <row r="673" spans="88:88" x14ac:dyDescent="0.25">
      <c r="CJ673" s="3"/>
    </row>
    <row r="704" spans="72:72" x14ac:dyDescent="0.25">
      <c r="BT704"/>
    </row>
    <row r="705" spans="72:88" x14ac:dyDescent="0.25">
      <c r="BT705"/>
      <c r="CJ705" s="3"/>
    </row>
    <row r="706" spans="72:88" x14ac:dyDescent="0.25">
      <c r="BT706"/>
      <c r="CJ706" s="3"/>
    </row>
    <row r="707" spans="72:88" x14ac:dyDescent="0.25">
      <c r="BT707"/>
      <c r="CJ707" s="3"/>
    </row>
    <row r="708" spans="72:88" x14ac:dyDescent="0.25">
      <c r="BT708"/>
      <c r="CJ708" s="3"/>
    </row>
    <row r="709" spans="72:88" x14ac:dyDescent="0.25">
      <c r="BT709"/>
      <c r="CJ709" s="3"/>
    </row>
    <row r="710" spans="72:88" x14ac:dyDescent="0.25">
      <c r="BT710"/>
      <c r="CJ710" s="3"/>
    </row>
    <row r="711" spans="72:88" x14ac:dyDescent="0.25">
      <c r="BT711"/>
      <c r="CJ711" s="3"/>
    </row>
    <row r="712" spans="72:88" x14ac:dyDescent="0.25">
      <c r="CJ712" s="3"/>
    </row>
    <row r="714" spans="72:88" x14ac:dyDescent="0.25">
      <c r="BT714"/>
    </row>
    <row r="715" spans="72:88" x14ac:dyDescent="0.25">
      <c r="CJ715" s="3"/>
    </row>
    <row r="719" spans="72:88" x14ac:dyDescent="0.25">
      <c r="BT719"/>
    </row>
    <row r="720" spans="72:88" x14ac:dyDescent="0.25">
      <c r="CJ720" s="3"/>
    </row>
    <row r="723" spans="72:88" x14ac:dyDescent="0.25">
      <c r="BT723"/>
    </row>
    <row r="724" spans="72:88" x14ac:dyDescent="0.25">
      <c r="BT724"/>
      <c r="CJ724" s="3"/>
    </row>
    <row r="725" spans="72:88" x14ac:dyDescent="0.25">
      <c r="BT725"/>
      <c r="CJ725" s="3"/>
    </row>
    <row r="726" spans="72:88" x14ac:dyDescent="0.25">
      <c r="BT726"/>
      <c r="CJ726" s="3"/>
    </row>
    <row r="727" spans="72:88" x14ac:dyDescent="0.25">
      <c r="CJ727" s="3"/>
    </row>
    <row r="734" spans="72:88" x14ac:dyDescent="0.25">
      <c r="BT734"/>
    </row>
    <row r="735" spans="72:88" x14ac:dyDescent="0.25">
      <c r="CJ735" s="3"/>
    </row>
    <row r="738" spans="72:88" x14ac:dyDescent="0.25">
      <c r="BT738"/>
    </row>
    <row r="739" spans="72:88" x14ac:dyDescent="0.25">
      <c r="BT739"/>
      <c r="CJ739" s="3"/>
    </row>
    <row r="740" spans="72:88" x14ac:dyDescent="0.25">
      <c r="BT740"/>
      <c r="CJ740" s="3"/>
    </row>
    <row r="741" spans="72:88" x14ac:dyDescent="0.25">
      <c r="BT741"/>
      <c r="CJ741" s="3"/>
    </row>
    <row r="742" spans="72:88" x14ac:dyDescent="0.25">
      <c r="CJ742" s="3"/>
    </row>
    <row r="744" spans="72:88" x14ac:dyDescent="0.25">
      <c r="BT744"/>
    </row>
    <row r="745" spans="72:88" x14ac:dyDescent="0.25">
      <c r="BT745"/>
      <c r="CJ745" s="3"/>
    </row>
    <row r="746" spans="72:88" x14ac:dyDescent="0.25">
      <c r="CJ746" s="3"/>
    </row>
    <row r="747" spans="72:88" x14ac:dyDescent="0.25">
      <c r="CJ747">
        <v>0.15</v>
      </c>
    </row>
    <row r="749" spans="72:88" x14ac:dyDescent="0.25">
      <c r="CJ749">
        <v>0.2</v>
      </c>
    </row>
    <row r="750" spans="72:88" x14ac:dyDescent="0.25">
      <c r="CJ750">
        <v>0.1</v>
      </c>
    </row>
    <row r="752" spans="72:88" x14ac:dyDescent="0.25">
      <c r="CJ752">
        <v>0.2</v>
      </c>
    </row>
    <row r="759" spans="88:88" x14ac:dyDescent="0.25">
      <c r="CJ759">
        <v>1</v>
      </c>
    </row>
    <row r="761" spans="88:88" x14ac:dyDescent="0.25">
      <c r="CJ761">
        <v>0.4</v>
      </c>
    </row>
    <row r="762" spans="88:88" x14ac:dyDescent="0.25">
      <c r="CJ762">
        <v>0.6</v>
      </c>
    </row>
    <row r="765" spans="88:88" x14ac:dyDescent="0.25">
      <c r="CJ765">
        <v>0.5</v>
      </c>
    </row>
    <row r="766" spans="88:88" x14ac:dyDescent="0.25">
      <c r="CJ766">
        <v>0.66700000000000004</v>
      </c>
    </row>
    <row r="767" spans="88:88" x14ac:dyDescent="0.25">
      <c r="CJ767">
        <v>0.2</v>
      </c>
    </row>
    <row r="770" spans="72:88" x14ac:dyDescent="0.25">
      <c r="BT770"/>
    </row>
    <row r="771" spans="72:88" x14ac:dyDescent="0.25">
      <c r="BT771"/>
      <c r="CJ771" s="3"/>
    </row>
    <row r="772" spans="72:88" x14ac:dyDescent="0.25">
      <c r="BT772"/>
      <c r="CJ772" s="3"/>
    </row>
    <row r="773" spans="72:88" x14ac:dyDescent="0.25">
      <c r="BT773"/>
      <c r="CJ773" s="3"/>
    </row>
    <row r="774" spans="72:88" x14ac:dyDescent="0.25">
      <c r="BT774"/>
      <c r="CJ774" s="3"/>
    </row>
    <row r="775" spans="72:88" x14ac:dyDescent="0.25">
      <c r="BT775"/>
      <c r="CJ775" s="3"/>
    </row>
    <row r="776" spans="72:88" x14ac:dyDescent="0.25">
      <c r="BT776"/>
      <c r="CJ776" s="3"/>
    </row>
    <row r="777" spans="72:88" x14ac:dyDescent="0.25">
      <c r="BT777"/>
      <c r="CJ777" s="3"/>
    </row>
    <row r="778" spans="72:88" x14ac:dyDescent="0.25">
      <c r="BT778"/>
      <c r="CJ778" s="3"/>
    </row>
    <row r="779" spans="72:88" x14ac:dyDescent="0.25">
      <c r="CJ779" s="3"/>
    </row>
    <row r="780" spans="72:88" x14ac:dyDescent="0.25">
      <c r="BT780"/>
    </row>
    <row r="781" spans="72:88" x14ac:dyDescent="0.25">
      <c r="CJ781" s="3"/>
    </row>
    <row r="790" spans="72:88" x14ac:dyDescent="0.25">
      <c r="BT790"/>
    </row>
    <row r="791" spans="72:88" x14ac:dyDescent="0.25">
      <c r="BT791"/>
      <c r="CJ791" s="3"/>
    </row>
    <row r="792" spans="72:88" x14ac:dyDescent="0.25">
      <c r="BT792"/>
      <c r="CJ792" s="3"/>
    </row>
    <row r="793" spans="72:88" x14ac:dyDescent="0.25">
      <c r="BT793"/>
      <c r="CJ793" s="3"/>
    </row>
    <row r="794" spans="72:88" x14ac:dyDescent="0.25">
      <c r="BT794"/>
      <c r="CJ794" s="3"/>
    </row>
    <row r="795" spans="72:88" x14ac:dyDescent="0.25">
      <c r="BT795"/>
      <c r="CJ795" s="3"/>
    </row>
    <row r="796" spans="72:88" x14ac:dyDescent="0.25">
      <c r="BT796"/>
      <c r="CJ796" s="3"/>
    </row>
    <row r="797" spans="72:88" x14ac:dyDescent="0.25">
      <c r="BT797"/>
      <c r="CJ797" s="3"/>
    </row>
    <row r="798" spans="72:88" x14ac:dyDescent="0.25">
      <c r="CJ798" s="3"/>
    </row>
    <row r="799" spans="72:88" x14ac:dyDescent="0.25">
      <c r="BT799"/>
    </row>
    <row r="800" spans="72:88" x14ac:dyDescent="0.25">
      <c r="CJ800" s="3"/>
    </row>
    <row r="805" spans="72:88" x14ac:dyDescent="0.25">
      <c r="BT805"/>
    </row>
    <row r="806" spans="72:88" x14ac:dyDescent="0.25">
      <c r="BT806"/>
      <c r="CJ806" s="3"/>
    </row>
    <row r="807" spans="72:88" x14ac:dyDescent="0.25">
      <c r="CJ807" s="3"/>
    </row>
    <row r="808" spans="72:88" x14ac:dyDescent="0.25">
      <c r="BT808"/>
    </row>
    <row r="809" spans="72:88" x14ac:dyDescent="0.25">
      <c r="BT809"/>
      <c r="CJ809" s="3"/>
    </row>
    <row r="810" spans="72:88" x14ac:dyDescent="0.25">
      <c r="CJ810" s="3"/>
    </row>
    <row r="811" spans="72:88" x14ac:dyDescent="0.25">
      <c r="BT811"/>
    </row>
    <row r="812" spans="72:88" x14ac:dyDescent="0.25">
      <c r="BT812"/>
      <c r="CJ812" s="3"/>
    </row>
    <row r="813" spans="72:88" x14ac:dyDescent="0.25">
      <c r="BT813"/>
      <c r="CJ813" s="3"/>
    </row>
    <row r="814" spans="72:88" x14ac:dyDescent="0.25">
      <c r="BT814"/>
      <c r="CJ814" s="3"/>
    </row>
    <row r="815" spans="72:88" x14ac:dyDescent="0.25">
      <c r="CJ815" s="3"/>
    </row>
    <row r="819" spans="8:88" x14ac:dyDescent="0.25">
      <c r="BT819"/>
    </row>
    <row r="820" spans="8:88" x14ac:dyDescent="0.25">
      <c r="BT820"/>
      <c r="CJ820" s="3"/>
    </row>
    <row r="821" spans="8:88" x14ac:dyDescent="0.25">
      <c r="BT821"/>
      <c r="CJ821" s="3"/>
    </row>
    <row r="822" spans="8:88" x14ac:dyDescent="0.25">
      <c r="CJ822" s="3"/>
    </row>
    <row r="823" spans="8:88" x14ac:dyDescent="0.25">
      <c r="BT823"/>
    </row>
    <row r="824" spans="8:88" x14ac:dyDescent="0.25">
      <c r="CJ824" s="3"/>
    </row>
    <row r="825" spans="8:88" x14ac:dyDescent="0.25">
      <c r="BS825" s="10"/>
      <c r="BT825" s="11"/>
    </row>
    <row r="826" spans="8:88" x14ac:dyDescent="0.25">
      <c r="H826" s="10"/>
      <c r="CJ826" s="10"/>
    </row>
    <row r="843" spans="72:88" x14ac:dyDescent="0.25">
      <c r="BT843"/>
    </row>
    <row r="844" spans="72:88" x14ac:dyDescent="0.25">
      <c r="BT844"/>
      <c r="CJ844" s="3"/>
    </row>
    <row r="845" spans="72:88" x14ac:dyDescent="0.25">
      <c r="BT845"/>
      <c r="CJ845" s="3"/>
    </row>
    <row r="846" spans="72:88" x14ac:dyDescent="0.25">
      <c r="BT846"/>
      <c r="CJ846" s="3"/>
    </row>
    <row r="847" spans="72:88" x14ac:dyDescent="0.25">
      <c r="CJ847" s="3"/>
    </row>
    <row r="848" spans="72:88" x14ac:dyDescent="0.25">
      <c r="BT848"/>
    </row>
    <row r="849" spans="8:88" x14ac:dyDescent="0.25">
      <c r="BT849"/>
      <c r="CJ849" s="3"/>
    </row>
    <row r="850" spans="8:88" x14ac:dyDescent="0.25">
      <c r="BS850" s="10"/>
      <c r="BT850" s="11"/>
      <c r="CJ850" s="3"/>
    </row>
    <row r="851" spans="8:88" x14ac:dyDescent="0.25">
      <c r="H851" s="10"/>
      <c r="CJ851" s="10"/>
    </row>
    <row r="854" spans="8:88" x14ac:dyDescent="0.25">
      <c r="BT854"/>
    </row>
    <row r="855" spans="8:88" x14ac:dyDescent="0.25">
      <c r="BT855"/>
      <c r="CJ855" s="3"/>
    </row>
    <row r="856" spans="8:88" x14ac:dyDescent="0.25">
      <c r="BT856"/>
      <c r="CJ856" s="3"/>
    </row>
    <row r="857" spans="8:88" x14ac:dyDescent="0.25">
      <c r="BT857"/>
      <c r="CJ857" s="3"/>
    </row>
    <row r="858" spans="8:88" x14ac:dyDescent="0.25">
      <c r="BT858"/>
      <c r="CJ858" s="3"/>
    </row>
    <row r="859" spans="8:88" x14ac:dyDescent="0.25">
      <c r="BT859"/>
      <c r="CJ859" s="3"/>
    </row>
    <row r="860" spans="8:88" x14ac:dyDescent="0.25">
      <c r="BT860"/>
      <c r="CJ860" s="3"/>
    </row>
    <row r="861" spans="8:88" x14ac:dyDescent="0.25">
      <c r="BT861"/>
      <c r="CJ861" s="3"/>
    </row>
    <row r="862" spans="8:88" x14ac:dyDescent="0.25">
      <c r="CJ862" s="3"/>
    </row>
    <row r="864" spans="8:88" x14ac:dyDescent="0.25">
      <c r="BT864"/>
    </row>
    <row r="865" spans="72:88" x14ac:dyDescent="0.25">
      <c r="BT865"/>
      <c r="CJ865" s="3"/>
    </row>
    <row r="866" spans="72:88" x14ac:dyDescent="0.25">
      <c r="BT866"/>
      <c r="CJ866" s="3"/>
    </row>
    <row r="867" spans="72:88" x14ac:dyDescent="0.25">
      <c r="BT867"/>
      <c r="CJ867" s="3"/>
    </row>
    <row r="868" spans="72:88" x14ac:dyDescent="0.25">
      <c r="BT868"/>
      <c r="CJ868" s="3"/>
    </row>
    <row r="869" spans="72:88" x14ac:dyDescent="0.25">
      <c r="BT869"/>
      <c r="CJ869" s="3"/>
    </row>
    <row r="870" spans="72:88" x14ac:dyDescent="0.25">
      <c r="CJ870" s="3"/>
    </row>
    <row r="871" spans="72:88" x14ac:dyDescent="0.25">
      <c r="BT871"/>
    </row>
    <row r="872" spans="72:88" x14ac:dyDescent="0.25">
      <c r="BT872"/>
      <c r="CJ872" s="3"/>
    </row>
    <row r="873" spans="72:88" x14ac:dyDescent="0.25">
      <c r="BT873"/>
      <c r="CJ873" s="3"/>
    </row>
    <row r="874" spans="72:88" x14ac:dyDescent="0.25">
      <c r="BT874"/>
      <c r="CJ874" s="3"/>
    </row>
    <row r="875" spans="72:88" x14ac:dyDescent="0.25">
      <c r="BT875"/>
      <c r="CJ875" s="3"/>
    </row>
    <row r="876" spans="72:88" x14ac:dyDescent="0.25">
      <c r="BT876"/>
      <c r="CJ876" s="3"/>
    </row>
    <row r="877" spans="72:88" x14ac:dyDescent="0.25">
      <c r="BT877"/>
      <c r="CJ877" s="3"/>
    </row>
    <row r="878" spans="72:88" x14ac:dyDescent="0.25">
      <c r="BT878"/>
      <c r="CJ878" s="3"/>
    </row>
    <row r="879" spans="72:88" x14ac:dyDescent="0.25">
      <c r="BT879"/>
      <c r="CJ879" s="3"/>
    </row>
    <row r="880" spans="72:88" x14ac:dyDescent="0.25">
      <c r="BT880"/>
      <c r="CJ880" s="3"/>
    </row>
    <row r="881" spans="72:88" x14ac:dyDescent="0.25">
      <c r="BT881"/>
      <c r="CJ881" s="3"/>
    </row>
    <row r="882" spans="72:88" x14ac:dyDescent="0.25">
      <c r="BT882"/>
      <c r="CJ882" s="3"/>
    </row>
    <row r="883" spans="72:88" x14ac:dyDescent="0.25">
      <c r="BT883"/>
      <c r="CJ883" s="3"/>
    </row>
    <row r="884" spans="72:88" x14ac:dyDescent="0.25">
      <c r="BT884"/>
      <c r="CJ884" s="3"/>
    </row>
    <row r="885" spans="72:88" x14ac:dyDescent="0.25">
      <c r="BT885"/>
      <c r="CJ885" s="3"/>
    </row>
    <row r="886" spans="72:88" x14ac:dyDescent="0.25">
      <c r="BT886"/>
      <c r="CJ886" s="3"/>
    </row>
    <row r="887" spans="72:88" x14ac:dyDescent="0.25">
      <c r="BT887"/>
      <c r="CJ887" s="3"/>
    </row>
    <row r="888" spans="72:88" x14ac:dyDescent="0.25">
      <c r="BT888"/>
      <c r="CJ888" s="3"/>
    </row>
    <row r="889" spans="72:88" x14ac:dyDescent="0.25">
      <c r="BT889"/>
      <c r="CJ889" s="3"/>
    </row>
    <row r="890" spans="72:88" x14ac:dyDescent="0.25">
      <c r="BT890"/>
      <c r="CJ890" s="3"/>
    </row>
    <row r="891" spans="72:88" x14ac:dyDescent="0.25">
      <c r="BT891"/>
      <c r="CJ891" s="3"/>
    </row>
    <row r="892" spans="72:88" x14ac:dyDescent="0.25">
      <c r="BT892"/>
      <c r="CJ892" s="3"/>
    </row>
    <row r="893" spans="72:88" x14ac:dyDescent="0.25">
      <c r="BT893"/>
      <c r="CJ893" s="3"/>
    </row>
    <row r="894" spans="72:88" x14ac:dyDescent="0.25">
      <c r="BT894"/>
      <c r="CJ894" s="3"/>
    </row>
    <row r="895" spans="72:88" x14ac:dyDescent="0.25">
      <c r="BT895"/>
      <c r="CJ895" s="3"/>
    </row>
    <row r="896" spans="72:88" x14ac:dyDescent="0.25">
      <c r="BT896"/>
      <c r="CJ896" s="3"/>
    </row>
    <row r="897" spans="72:88" x14ac:dyDescent="0.25">
      <c r="BT897"/>
      <c r="CJ897" s="3"/>
    </row>
    <row r="898" spans="72:88" x14ac:dyDescent="0.25">
      <c r="BT898"/>
      <c r="CJ898" s="3"/>
    </row>
    <row r="899" spans="72:88" x14ac:dyDescent="0.25">
      <c r="BT899"/>
      <c r="CJ899" s="3"/>
    </row>
    <row r="900" spans="72:88" x14ac:dyDescent="0.25">
      <c r="BT900"/>
      <c r="CJ900" s="3"/>
    </row>
    <row r="901" spans="72:88" x14ac:dyDescent="0.25">
      <c r="CJ901" s="3"/>
    </row>
    <row r="902" spans="72:88" x14ac:dyDescent="0.25">
      <c r="BT902"/>
    </row>
    <row r="903" spans="72:88" x14ac:dyDescent="0.25">
      <c r="BT903"/>
      <c r="CJ903" s="3"/>
    </row>
    <row r="904" spans="72:88" x14ac:dyDescent="0.25">
      <c r="BT904"/>
      <c r="CJ904" s="3"/>
    </row>
    <row r="905" spans="72:88" x14ac:dyDescent="0.25">
      <c r="CJ905" s="3"/>
    </row>
  </sheetData>
  <phoneticPr fontId="8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0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G10" sqref="G10"/>
    </sheetView>
  </sheetViews>
  <sheetFormatPr defaultColWidth="9" defaultRowHeight="14.05" x14ac:dyDescent="0.25"/>
  <cols>
    <col min="1" max="1" width="13" customWidth="1"/>
    <col min="2" max="2" width="31.2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12.83203125" customWidth="1"/>
    <col min="19" max="19" width="9" customWidth="1"/>
  </cols>
  <sheetData>
    <row r="1" spans="1:16" x14ac:dyDescent="0.25">
      <c r="A1" t="s">
        <v>0</v>
      </c>
      <c r="B1" t="s">
        <v>16</v>
      </c>
      <c r="E1" t="s">
        <v>602</v>
      </c>
      <c r="F1" t="s">
        <v>603</v>
      </c>
      <c r="G1" t="s">
        <v>604</v>
      </c>
      <c r="H1" t="s">
        <v>605</v>
      </c>
      <c r="I1" t="s">
        <v>606</v>
      </c>
      <c r="J1" t="s">
        <v>607</v>
      </c>
      <c r="L1" t="s">
        <v>608</v>
      </c>
      <c r="M1" t="s">
        <v>609</v>
      </c>
      <c r="N1" t="s">
        <v>610</v>
      </c>
      <c r="O1" t="s">
        <v>611</v>
      </c>
    </row>
    <row r="2" spans="1:16" x14ac:dyDescent="0.25">
      <c r="A2" t="s">
        <v>0</v>
      </c>
      <c r="C2" t="s">
        <v>58</v>
      </c>
      <c r="D2" t="s">
        <v>87</v>
      </c>
      <c r="E2" t="s">
        <v>612</v>
      </c>
      <c r="F2" t="s">
        <v>613</v>
      </c>
      <c r="G2" t="s">
        <v>614</v>
      </c>
      <c r="H2" t="s">
        <v>615</v>
      </c>
      <c r="I2" t="s">
        <v>616</v>
      </c>
      <c r="J2" t="s">
        <v>617</v>
      </c>
      <c r="K2" t="s">
        <v>618</v>
      </c>
      <c r="L2" t="s">
        <v>63</v>
      </c>
      <c r="M2" t="s">
        <v>619</v>
      </c>
      <c r="N2" t="s">
        <v>620</v>
      </c>
      <c r="O2" t="s">
        <v>621</v>
      </c>
      <c r="P2" t="s">
        <v>391</v>
      </c>
    </row>
    <row r="3" spans="1:16" x14ac:dyDescent="0.25">
      <c r="A3" t="s">
        <v>2</v>
      </c>
      <c r="C3" t="s">
        <v>2</v>
      </c>
      <c r="D3" t="s">
        <v>2</v>
      </c>
      <c r="E3" t="s">
        <v>126</v>
      </c>
      <c r="F3" t="s">
        <v>126</v>
      </c>
      <c r="G3" t="s">
        <v>126</v>
      </c>
      <c r="H3" t="s">
        <v>124</v>
      </c>
      <c r="I3" t="s">
        <v>124</v>
      </c>
      <c r="J3" t="s">
        <v>420</v>
      </c>
      <c r="K3" t="s">
        <v>125</v>
      </c>
      <c r="L3" t="s">
        <v>385</v>
      </c>
      <c r="M3" t="s">
        <v>124</v>
      </c>
      <c r="N3" t="s">
        <v>124</v>
      </c>
      <c r="O3" t="s">
        <v>385</v>
      </c>
      <c r="P3" t="s">
        <v>133</v>
      </c>
    </row>
    <row r="4" spans="1:16" x14ac:dyDescent="0.25">
      <c r="A4" t="s">
        <v>471</v>
      </c>
      <c r="C4" t="s">
        <v>744</v>
      </c>
      <c r="E4">
        <v>2</v>
      </c>
      <c r="F4">
        <v>2</v>
      </c>
      <c r="K4">
        <v>0.01</v>
      </c>
      <c r="N4">
        <v>1</v>
      </c>
      <c r="P4" t="s">
        <v>748</v>
      </c>
    </row>
    <row r="5" spans="1:16" x14ac:dyDescent="0.25">
      <c r="A5" t="s">
        <v>486</v>
      </c>
      <c r="C5" t="s">
        <v>744</v>
      </c>
      <c r="J5" t="s">
        <v>749</v>
      </c>
      <c r="K5">
        <v>0.01</v>
      </c>
      <c r="P5" t="s">
        <v>748</v>
      </c>
    </row>
    <row r="6" spans="1:16" x14ac:dyDescent="0.25">
      <c r="A6" t="s">
        <v>487</v>
      </c>
      <c r="C6" t="s">
        <v>744</v>
      </c>
      <c r="G6">
        <v>1</v>
      </c>
      <c r="K6">
        <v>0.01</v>
      </c>
      <c r="P6" t="s">
        <v>750</v>
      </c>
    </row>
    <row r="7" spans="1:16" x14ac:dyDescent="0.25">
      <c r="A7" t="s">
        <v>622</v>
      </c>
      <c r="C7" t="s">
        <v>744</v>
      </c>
      <c r="J7" t="s">
        <v>622</v>
      </c>
      <c r="K7">
        <v>9999</v>
      </c>
      <c r="N7">
        <v>1</v>
      </c>
      <c r="P7" t="s">
        <v>745</v>
      </c>
    </row>
    <row r="8" spans="1:16" x14ac:dyDescent="0.25">
      <c r="A8" t="s">
        <v>746</v>
      </c>
      <c r="C8" t="s">
        <v>747</v>
      </c>
      <c r="J8" t="s">
        <v>623</v>
      </c>
    </row>
    <row r="9" spans="1:16" x14ac:dyDescent="0.25">
      <c r="A9" t="s">
        <v>600</v>
      </c>
      <c r="C9" t="s">
        <v>744</v>
      </c>
      <c r="J9" t="s">
        <v>751</v>
      </c>
      <c r="P9" t="s">
        <v>752</v>
      </c>
    </row>
    <row r="10" spans="1:16" x14ac:dyDescent="0.25">
      <c r="A10" s="3" t="s">
        <v>762</v>
      </c>
      <c r="C10" s="8" t="s">
        <v>763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4"/>
  <sheetViews>
    <sheetView workbookViewId="0">
      <selection activeCell="F4" sqref="F4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625</v>
      </c>
    </row>
    <row r="2" spans="1:4" x14ac:dyDescent="0.25">
      <c r="A2" t="s">
        <v>0</v>
      </c>
      <c r="B2" t="s">
        <v>58</v>
      </c>
      <c r="C2" t="s">
        <v>626</v>
      </c>
      <c r="D2" t="s">
        <v>391</v>
      </c>
    </row>
    <row r="3" spans="1:4" x14ac:dyDescent="0.25">
      <c r="A3" t="s">
        <v>2</v>
      </c>
      <c r="B3" t="s">
        <v>2</v>
      </c>
      <c r="C3" t="s">
        <v>385</v>
      </c>
      <c r="D3" t="s">
        <v>133</v>
      </c>
    </row>
    <row r="4" spans="1:4" x14ac:dyDescent="0.25">
      <c r="A4" t="s">
        <v>587</v>
      </c>
      <c r="B4" t="s">
        <v>627</v>
      </c>
      <c r="D4" t="s">
        <v>628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I4"/>
  <sheetViews>
    <sheetView workbookViewId="0">
      <selection activeCell="I4" sqref="I4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9" max="9" width="9" customWidth="1"/>
  </cols>
  <sheetData>
    <row r="2" spans="1:9" x14ac:dyDescent="0.25">
      <c r="A2" t="s">
        <v>0</v>
      </c>
      <c r="B2" t="s">
        <v>58</v>
      </c>
      <c r="C2" t="s">
        <v>60</v>
      </c>
      <c r="D2" t="s">
        <v>629</v>
      </c>
      <c r="E2" t="s">
        <v>82</v>
      </c>
      <c r="F2" t="s">
        <v>630</v>
      </c>
      <c r="G2" t="s">
        <v>631</v>
      </c>
      <c r="H2" t="s">
        <v>632</v>
      </c>
      <c r="I2" t="s">
        <v>391</v>
      </c>
    </row>
    <row r="3" spans="1:9" x14ac:dyDescent="0.25">
      <c r="A3" t="s">
        <v>2</v>
      </c>
      <c r="B3" t="s">
        <v>2</v>
      </c>
      <c r="C3" t="s">
        <v>2</v>
      </c>
      <c r="D3" t="s">
        <v>2</v>
      </c>
      <c r="E3" t="s">
        <v>125</v>
      </c>
      <c r="F3" t="s">
        <v>126</v>
      </c>
      <c r="G3" t="s">
        <v>126</v>
      </c>
      <c r="H3" t="s">
        <v>126</v>
      </c>
      <c r="I3" t="s">
        <v>133</v>
      </c>
    </row>
    <row r="4" spans="1:9" x14ac:dyDescent="0.25">
      <c r="A4" s="8" t="s">
        <v>736</v>
      </c>
      <c r="B4" s="8" t="s">
        <v>737</v>
      </c>
      <c r="C4" t="s">
        <v>738</v>
      </c>
      <c r="E4">
        <v>10</v>
      </c>
      <c r="I4" s="8" t="s">
        <v>743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6"/>
  <sheetViews>
    <sheetView workbookViewId="0">
      <pane xSplit="1" ySplit="3" topLeftCell="B4" activePane="bottomRight" state="frozen"/>
      <selection pane="topRight"/>
      <selection pane="bottomLeft"/>
      <selection pane="bottomRight" activeCell="A27" sqref="A27:XFD27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633</v>
      </c>
      <c r="C1" t="s">
        <v>634</v>
      </c>
      <c r="D1" t="s">
        <v>635</v>
      </c>
      <c r="E1" t="s">
        <v>636</v>
      </c>
      <c r="F1" t="s">
        <v>637</v>
      </c>
      <c r="H1" t="s">
        <v>638</v>
      </c>
      <c r="I1" t="s">
        <v>639</v>
      </c>
      <c r="J1" t="s">
        <v>640</v>
      </c>
      <c r="K1" t="s">
        <v>641</v>
      </c>
      <c r="L1" t="s">
        <v>642</v>
      </c>
    </row>
    <row r="2" spans="1:12" x14ac:dyDescent="0.25">
      <c r="A2" t="s">
        <v>0</v>
      </c>
      <c r="B2" t="s">
        <v>643</v>
      </c>
      <c r="C2" t="s">
        <v>644</v>
      </c>
      <c r="D2" t="s">
        <v>645</v>
      </c>
      <c r="E2" t="s">
        <v>646</v>
      </c>
      <c r="F2" t="s">
        <v>647</v>
      </c>
      <c r="G2" t="s">
        <v>648</v>
      </c>
      <c r="H2" t="s">
        <v>649</v>
      </c>
      <c r="I2" t="s">
        <v>650</v>
      </c>
      <c r="J2" t="s">
        <v>651</v>
      </c>
      <c r="K2" t="s">
        <v>630</v>
      </c>
      <c r="L2" t="s">
        <v>106</v>
      </c>
    </row>
    <row r="3" spans="1:12" x14ac:dyDescent="0.25">
      <c r="A3" t="s">
        <v>2</v>
      </c>
      <c r="B3" t="s">
        <v>2</v>
      </c>
      <c r="C3" t="s">
        <v>126</v>
      </c>
      <c r="D3" t="s">
        <v>652</v>
      </c>
      <c r="E3" t="s">
        <v>2</v>
      </c>
      <c r="F3" t="s">
        <v>124</v>
      </c>
      <c r="G3" t="s">
        <v>124</v>
      </c>
      <c r="H3" t="s">
        <v>126</v>
      </c>
      <c r="I3" t="s">
        <v>126</v>
      </c>
      <c r="J3" t="s">
        <v>126</v>
      </c>
      <c r="K3" t="s">
        <v>125</v>
      </c>
      <c r="L3" t="s">
        <v>125</v>
      </c>
    </row>
    <row r="4" spans="1:12" x14ac:dyDescent="0.25">
      <c r="A4" t="s">
        <v>550</v>
      </c>
      <c r="B4" t="s">
        <v>653</v>
      </c>
      <c r="I4">
        <v>2</v>
      </c>
      <c r="K4">
        <v>60</v>
      </c>
      <c r="L4">
        <v>5</v>
      </c>
    </row>
    <row r="5" spans="1:12" x14ac:dyDescent="0.25">
      <c r="A5" t="s">
        <v>561</v>
      </c>
      <c r="B5" t="s">
        <v>654</v>
      </c>
      <c r="I5">
        <v>2</v>
      </c>
      <c r="K5">
        <v>60</v>
      </c>
      <c r="L5">
        <v>5</v>
      </c>
    </row>
    <row r="6" spans="1:12" x14ac:dyDescent="0.25">
      <c r="A6" t="s">
        <v>624</v>
      </c>
      <c r="B6" t="s">
        <v>655</v>
      </c>
      <c r="E6" t="s">
        <v>448</v>
      </c>
      <c r="F6">
        <v>1</v>
      </c>
      <c r="H6">
        <v>2</v>
      </c>
      <c r="I6">
        <v>1</v>
      </c>
    </row>
    <row r="7" spans="1:12" x14ac:dyDescent="0.25">
      <c r="A7" t="s">
        <v>568</v>
      </c>
      <c r="B7" t="s">
        <v>656</v>
      </c>
      <c r="I7">
        <v>2</v>
      </c>
      <c r="K7">
        <v>60</v>
      </c>
      <c r="L7">
        <v>5</v>
      </c>
    </row>
    <row r="8" spans="1:12" x14ac:dyDescent="0.25">
      <c r="A8" t="s">
        <v>567</v>
      </c>
      <c r="B8" t="s">
        <v>657</v>
      </c>
      <c r="I8">
        <v>2</v>
      </c>
      <c r="K8">
        <v>60</v>
      </c>
      <c r="L8">
        <v>5</v>
      </c>
    </row>
    <row r="9" spans="1:12" x14ac:dyDescent="0.25">
      <c r="A9" t="s">
        <v>474</v>
      </c>
      <c r="B9" t="s">
        <v>658</v>
      </c>
      <c r="I9">
        <v>2</v>
      </c>
      <c r="K9">
        <v>60</v>
      </c>
      <c r="L9">
        <v>5</v>
      </c>
    </row>
    <row r="10" spans="1:12" x14ac:dyDescent="0.25">
      <c r="A10" t="s">
        <v>473</v>
      </c>
      <c r="B10" t="s">
        <v>659</v>
      </c>
      <c r="H10">
        <v>2</v>
      </c>
      <c r="I10">
        <v>1</v>
      </c>
      <c r="K10">
        <v>60</v>
      </c>
      <c r="L10">
        <v>5</v>
      </c>
    </row>
    <row r="11" spans="1:12" x14ac:dyDescent="0.25">
      <c r="A11" t="s">
        <v>492</v>
      </c>
      <c r="B11" t="s">
        <v>660</v>
      </c>
      <c r="I11">
        <v>2</v>
      </c>
      <c r="K11">
        <v>60</v>
      </c>
      <c r="L11">
        <v>5</v>
      </c>
    </row>
    <row r="12" spans="1:12" x14ac:dyDescent="0.25">
      <c r="A12" t="s">
        <v>491</v>
      </c>
      <c r="B12" t="s">
        <v>661</v>
      </c>
      <c r="H12">
        <v>2</v>
      </c>
      <c r="I12">
        <v>1</v>
      </c>
      <c r="K12">
        <v>60</v>
      </c>
      <c r="L12">
        <v>5</v>
      </c>
    </row>
    <row r="13" spans="1:12" x14ac:dyDescent="0.25">
      <c r="A13" t="s">
        <v>501</v>
      </c>
      <c r="B13" t="s">
        <v>662</v>
      </c>
      <c r="I13">
        <v>2</v>
      </c>
      <c r="K13">
        <v>60</v>
      </c>
      <c r="L13">
        <v>5</v>
      </c>
    </row>
    <row r="14" spans="1:12" x14ac:dyDescent="0.25">
      <c r="A14" t="s">
        <v>500</v>
      </c>
      <c r="B14" t="s">
        <v>663</v>
      </c>
      <c r="E14" t="s">
        <v>664</v>
      </c>
      <c r="H14">
        <v>2</v>
      </c>
      <c r="I14">
        <v>1</v>
      </c>
      <c r="K14">
        <v>60</v>
      </c>
      <c r="L14">
        <v>5</v>
      </c>
    </row>
    <row r="15" spans="1:12" x14ac:dyDescent="0.25">
      <c r="A15" t="s">
        <v>623</v>
      </c>
      <c r="B15" t="s">
        <v>665</v>
      </c>
      <c r="E15" t="s">
        <v>664</v>
      </c>
      <c r="F15">
        <v>1</v>
      </c>
      <c r="H15">
        <v>2</v>
      </c>
      <c r="I15">
        <v>1</v>
      </c>
    </row>
    <row r="16" spans="1:12" x14ac:dyDescent="0.25">
      <c r="A16" t="s">
        <v>622</v>
      </c>
      <c r="B16" t="s">
        <v>666</v>
      </c>
    </row>
    <row r="17" spans="1:12" x14ac:dyDescent="0.25">
      <c r="A17" t="s">
        <v>515</v>
      </c>
      <c r="B17" t="s">
        <v>667</v>
      </c>
      <c r="I17">
        <v>2</v>
      </c>
      <c r="K17">
        <v>60</v>
      </c>
      <c r="L17">
        <v>5</v>
      </c>
    </row>
    <row r="18" spans="1:12" x14ac:dyDescent="0.25">
      <c r="A18" t="s">
        <v>514</v>
      </c>
      <c r="B18" t="s">
        <v>668</v>
      </c>
      <c r="I18">
        <v>2</v>
      </c>
      <c r="K18">
        <v>60</v>
      </c>
      <c r="L18">
        <v>5</v>
      </c>
    </row>
    <row r="19" spans="1:12" x14ac:dyDescent="0.25">
      <c r="A19" t="s">
        <v>532</v>
      </c>
      <c r="B19" t="s">
        <v>669</v>
      </c>
      <c r="I19">
        <v>2</v>
      </c>
      <c r="K19">
        <v>60</v>
      </c>
      <c r="L19">
        <v>5</v>
      </c>
    </row>
    <row r="20" spans="1:12" x14ac:dyDescent="0.25">
      <c r="A20" t="s">
        <v>531</v>
      </c>
      <c r="B20" t="s">
        <v>670</v>
      </c>
      <c r="I20">
        <v>2</v>
      </c>
      <c r="K20">
        <v>60</v>
      </c>
      <c r="L20">
        <v>5</v>
      </c>
    </row>
    <row r="21" spans="1:12" x14ac:dyDescent="0.25">
      <c r="A21" t="s">
        <v>542</v>
      </c>
      <c r="B21" t="s">
        <v>671</v>
      </c>
      <c r="I21">
        <v>2</v>
      </c>
      <c r="K21">
        <v>60</v>
      </c>
      <c r="L21">
        <v>5</v>
      </c>
    </row>
    <row r="22" spans="1:12" x14ac:dyDescent="0.25">
      <c r="A22" t="s">
        <v>672</v>
      </c>
      <c r="B22" t="s">
        <v>673</v>
      </c>
      <c r="I22">
        <v>2</v>
      </c>
      <c r="K22">
        <v>60</v>
      </c>
      <c r="L22">
        <v>5</v>
      </c>
    </row>
    <row r="23" spans="1:12" x14ac:dyDescent="0.25">
      <c r="A23" t="s">
        <v>541</v>
      </c>
      <c r="B23" t="s">
        <v>674</v>
      </c>
      <c r="I23">
        <v>2</v>
      </c>
      <c r="L23">
        <v>8</v>
      </c>
    </row>
    <row r="24" spans="1:12" x14ac:dyDescent="0.25">
      <c r="A24" t="s">
        <v>573</v>
      </c>
      <c r="B24" t="s">
        <v>675</v>
      </c>
      <c r="I24">
        <v>2</v>
      </c>
      <c r="K24">
        <v>60</v>
      </c>
      <c r="L24">
        <v>5</v>
      </c>
    </row>
    <row r="25" spans="1:12" x14ac:dyDescent="0.25">
      <c r="A25" t="s">
        <v>572</v>
      </c>
      <c r="B25" t="s">
        <v>676</v>
      </c>
      <c r="I25">
        <v>2</v>
      </c>
      <c r="K25">
        <v>60</v>
      </c>
      <c r="L25">
        <v>0.3</v>
      </c>
    </row>
    <row r="26" spans="1:12" x14ac:dyDescent="0.25">
      <c r="A26" t="s">
        <v>585</v>
      </c>
      <c r="B26" t="s">
        <v>677</v>
      </c>
      <c r="I26">
        <v>2</v>
      </c>
      <c r="K26">
        <v>60</v>
      </c>
      <c r="L26">
        <v>40</v>
      </c>
    </row>
  </sheetData>
  <phoneticPr fontId="8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D16" sqref="D16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306</v>
      </c>
      <c r="C2" t="s">
        <v>87</v>
      </c>
      <c r="D2" t="s">
        <v>678</v>
      </c>
      <c r="E2" t="s">
        <v>679</v>
      </c>
      <c r="F2" t="s">
        <v>89</v>
      </c>
      <c r="G2" t="s">
        <v>680</v>
      </c>
      <c r="H2" t="s">
        <v>333</v>
      </c>
      <c r="I2" t="s">
        <v>681</v>
      </c>
      <c r="J2" t="s">
        <v>64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126</v>
      </c>
      <c r="F3" t="s">
        <v>127</v>
      </c>
      <c r="G3" t="s">
        <v>126</v>
      </c>
      <c r="H3" t="s">
        <v>682</v>
      </c>
      <c r="I3" t="s">
        <v>126</v>
      </c>
      <c r="J3" t="s">
        <v>126</v>
      </c>
    </row>
  </sheetData>
  <phoneticPr fontId="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7DC26-0945-406F-B64D-075568096CAC}">
  <dimension ref="A1:I3"/>
  <sheetViews>
    <sheetView tabSelected="1" workbookViewId="0">
      <selection activeCell="I3" sqref="I3"/>
    </sheetView>
  </sheetViews>
  <sheetFormatPr defaultRowHeight="14.05" x14ac:dyDescent="0.25"/>
  <cols>
    <col min="1" max="1" width="8.6640625" style="19"/>
    <col min="2" max="2" width="13.83203125" style="19" customWidth="1"/>
    <col min="3" max="3" width="20.58203125" style="19" customWidth="1"/>
    <col min="4" max="4" width="15.83203125" style="19" customWidth="1"/>
    <col min="5" max="5" width="13.1640625" style="19" customWidth="1"/>
    <col min="6" max="6" width="14.25" style="19" customWidth="1"/>
    <col min="7" max="7" width="15" style="19" customWidth="1"/>
    <col min="8" max="8" width="14.6640625" style="19" customWidth="1"/>
    <col min="9" max="9" width="14.25" style="19" customWidth="1"/>
    <col min="10" max="16384" width="8.6640625" style="19"/>
  </cols>
  <sheetData>
    <row r="1" spans="1:9" x14ac:dyDescent="0.25">
      <c r="A1" s="19" t="s">
        <v>783</v>
      </c>
      <c r="B1" s="19" t="s">
        <v>784</v>
      </c>
      <c r="C1" s="19" t="s">
        <v>785</v>
      </c>
      <c r="D1" s="19" t="s">
        <v>786</v>
      </c>
      <c r="E1" s="19" t="s">
        <v>787</v>
      </c>
      <c r="F1" s="19" t="s">
        <v>788</v>
      </c>
      <c r="G1" s="19" t="s">
        <v>789</v>
      </c>
      <c r="H1" s="19" t="s">
        <v>790</v>
      </c>
      <c r="I1" s="19" t="s">
        <v>791</v>
      </c>
    </row>
    <row r="2" spans="1:9" x14ac:dyDescent="0.25">
      <c r="A2" s="19" t="s">
        <v>783</v>
      </c>
      <c r="B2" s="19" t="s">
        <v>792</v>
      </c>
      <c r="C2" s="19" t="s">
        <v>793</v>
      </c>
      <c r="D2" s="19" t="s">
        <v>794</v>
      </c>
      <c r="E2" s="19" t="s">
        <v>795</v>
      </c>
      <c r="F2" s="19" t="s">
        <v>796</v>
      </c>
      <c r="G2" s="19" t="s">
        <v>797</v>
      </c>
      <c r="H2" s="19" t="s">
        <v>798</v>
      </c>
      <c r="I2" s="19" t="s">
        <v>799</v>
      </c>
    </row>
    <row r="3" spans="1:9" x14ac:dyDescent="0.25">
      <c r="A3" s="19" t="s">
        <v>774</v>
      </c>
      <c r="B3" s="19" t="s">
        <v>766</v>
      </c>
      <c r="C3" s="19" t="s">
        <v>766</v>
      </c>
      <c r="D3" s="19" t="s">
        <v>774</v>
      </c>
      <c r="E3" s="19" t="s">
        <v>774</v>
      </c>
      <c r="F3" s="19" t="s">
        <v>774</v>
      </c>
      <c r="G3" s="19" t="s">
        <v>800</v>
      </c>
      <c r="H3" s="19" t="s">
        <v>800</v>
      </c>
      <c r="I3" s="19" t="s">
        <v>800</v>
      </c>
    </row>
  </sheetData>
  <phoneticPr fontId="8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2025-09-17T06:35:51Z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2052-11.1.0.11744</vt:lpwstr>
  </property>
  <property fmtid="{D5CDD505-2E9C-101B-9397-08002B2CF9AE}" pid="3" name="ICV">
    <vt:lpwstr>CB94523E41B44DAE99CC12982DC882B4</vt:lpwstr>
  </property>
</Properties>
</file>