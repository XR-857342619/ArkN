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601B46AC-3176-49E7-BEB7-10468BAC2430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F15" i="1"/>
  <c r="BF14" i="1"/>
  <c r="BE14" i="1"/>
  <c r="F13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<sst xmlns="http://schemas.openxmlformats.org/spreadsheetml/2006/main" count="1182" uniqueCount="656">
  <si>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</si>
  <si>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</si>
  <si>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</si>
  <si>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</si>
  <si>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</si>
  <si>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</si>
  <si>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</si>
  <si>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</si>
  <si>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</si>
  <si>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</si>
  <si>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</si>
  <si>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</si>
  <si>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</si>
  <si>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</si>
  <si>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</si>
  <si>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</si>
  <si>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</si>
  <si>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</si>
  <si>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</si>
  <si>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</si>
  <si>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</si>
  <si>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</si>
  <si>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</si>
  <si>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</si>
  <si>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</si>
  <si>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</si>
  <si>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</si>
  <si>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</si>
  <si>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</si>
  <si>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</si>
  <si>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</si>
  <si>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</si>
  <si>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</si>
  <si>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</si>
  <si>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</si>
  <si>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</si>
  <si>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</si>
  <si>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</si>
  <si>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</si>
  <si>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</si>
  <si>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</si>
  <si>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</si>
  <si>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</si>
  <si>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</si>
  <si>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</si>
  <si>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</si>
  <si>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</si>
  <si>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</si>
  <si>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</si>
  <si>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</si>
  <si>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</si>
  <si>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</si>
  <si>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</si>
  <si>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</si>
  <si>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</si>
  <si>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</si>
  <si>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</si>
  <si>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</si>
  <si>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</si>
  <si>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</si>
  <si>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</si>
  <si>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</si>
  <si>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</si>
  <si>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</si>
  <si>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</si>
  <si>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</si>
  <si>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</si>
  <si>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</si>
  <si>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</si>
  <si>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</si>
  <si>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</si>
  <si>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</si>
  <si>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</si>
  <si>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</si>
  <si>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</si>
  <si>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</si>
  <si>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</si>
  <si>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</si>
  <si>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</si>
  <si>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</si>
  <si>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</si>
  <si>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</si>
  <si>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</si>
  <si>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</si>
  <si>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</si>
  <si>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</si>
  <si>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</si>
  <si>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</si>
  <si>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</si>
  <si>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</si>
  <si>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</si>
  <si>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</si>
  <si>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</si>
  <si>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</si>
  <si>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</si>
  <si>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</si>
  <si>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</si>
  <si>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</si>
  <si>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</si>
  <si>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</si>
  <si>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</si>
  <si>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</si>
  <si>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</si>
  <si>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</si>
  <si>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</si>
  <si>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</si>
  <si>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</si>
  <si>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</si>
  <si>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</si>
  <si>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</si>
  <si>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</si>
  <si>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</si>
  <si>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</si>
  <si>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</si>
  <si>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</si>
  <si>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</si>
  <si>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</si>
  <si>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</si>
  <si>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</si>
  <si>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</si>
  <si>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</si>
  <si>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</si>
  <si>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</si>
  <si>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</si>
  <si>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</si>
  <si>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</si>
  <si>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</si>
  <si>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</si>
  <si>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</si>
  <si>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</si>
  <si>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</si>
  <si>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</si>
  <si>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</si>
  <si>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</si>
  <si>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</si>
  <si>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</si>
  <si>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</si>
  <si>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</si>
  <si>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</si>
  <si>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</si>
  <si>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</si>
  <si>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</si>
  <si>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</si>
  <si>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</si>
  <si>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</si>
  <si>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</si>
  <si>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</si>
  <si>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</si>
  <si>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</si>
  <si>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</si>
  <si>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</si>
  <si>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</si>
  <si>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</si>
  <si>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</si>
  <si>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</si>
  <si>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</si>
  <si>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</si>
  <si>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</si>
  <si>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</si>
  <si>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</si>
  <si>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</si>
  <si>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</si>
  <si>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</si>
  <si>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</si>
  <si>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</si>
  <si>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</si>
  <si>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</si>
  <si>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</si>
  <si>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</si>
  <si>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</si>
  <si>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</si>
  <si>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</si>
  <si>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</si>
  <si>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</si>
  <si>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</si>
  <si>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</si>
  <si>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</si>
  <si>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</si>
  <si>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</si>
  <si>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</si>
  <si>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</si>
  <si>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</si>
  <si>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</si>
  <si>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</si>
  <si>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</si>
  <si>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</si>
  <si>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</si>
  <si>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</si>
  <si>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</si>
  <si>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</si>
  <si>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</si>
  <si>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</si>
  <si>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</si>
  <si>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</si>
  <si>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</si>
  <si>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</si>
  <si>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</si>
  <si>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</si>
  <si>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</si>
  <si>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</si>
  <si>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</si>
  <si>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</si>
  <si>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</si>
  <si>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</si>
  <si>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</si>
  <si>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</si>
  <si>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</si>
  <si>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</si>
  <si>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</si>
  <si>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</si>
  <si>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</si>
  <si>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</si>
  <si>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</si>
  <si>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</si>
  <si>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</si>
  <si>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</si>
  <si>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</si>
  <si>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</si>
  <si>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</si>
  <si>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</si>
  <si>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</si>
  <si>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</si>
  <si>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</si>
  <si>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</si>
  <si>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</si>
  <si>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</si>
  <si>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</si>
  <si>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</si>
  <si>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</si>
  <si>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</si>
  <si>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</si>
  <si>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</si>
  <si>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</si>
  <si>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</si>
  <si>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</si>
  <si>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</si>
  <si>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</si>
  <si>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</si>
  <si>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</si>
  <si>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</si>
  <si>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</si>
  <si>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</si>
  <si>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</si>
  <si>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</si>
  <si>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</si>
  <si>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</si>
  <si>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</si>
  <si>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</si>
  <si>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</si>
  <si>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</si>
  <si>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</si>
  <si>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</si>
  <si>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</si>
  <si>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</si>
  <si>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</si>
  <si>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</si>
  <si>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</si>
  <si>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</si>
  <si>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</si>
  <si>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</si>
  <si>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</si>
  <si>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</si>
  <si>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</si>
  <si>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</si>
  <si>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</si>
  <si>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</si>
  <si>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</si>
  <si>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</si>
  <si>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</si>
  <si>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</si>
  <si>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</si>
  <si>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</si>
  <si>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</si>
  <si>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</si>
  <si>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</si>
  <si>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</si>
  <si>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</si>
  <si>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</si>
  <si>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</si>
  <si>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</si>
  <si>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</si>
  <si>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</si>
  <si>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</si>
  <si>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</si>
  <si>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</si>
  <si>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</si>
  <si>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</si>
  <si>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</si>
  <si>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</si>
  <si>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</si>
  <si>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</si>
  <si>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</si>
  <si>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</si>
  <si>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</si>
  <si>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</si>
  <si>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</si>
  <si>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</si>
  <si>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</si>
  <si>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</si>
  <si>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</si>
  <si>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</si>
  <si>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</si>
  <si>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</si>
  <si>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</si>
  <si>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</si>
  <si>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</si>
  <si>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</si>
  <si>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</si>
  <si>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</si>
  <si>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</si>
  <si>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</si>
  <si>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</si>
  <si>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</si>
  <si>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</si>
  <si>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</si>
  <si>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</si>
  <si>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</si>
  <si>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</si>
  <si>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</si>
  <si>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</si>
  <si>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</si>
  <si>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</si>
  <si>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</si>
  <si>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</si>
  <si>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</si>
  <si>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</si>
  <si>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</si>
  <si>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</si>
  <si>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</si>
  <si>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</si>
  <si>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</si>
  <si>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</si>
  <si>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</si>
  <si>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</si>
  <si>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</si>
  <si>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</si>
  <si>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</si>
  <si>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</si>
  <si>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</si>
  <si>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</si>
  <si>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</si>
  <si>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</si>
  <si>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</si>
  <si>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</si>
  <si>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</si>
  <si>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</si>
  <si>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</si>
  <si>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</si>
  <si>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</si>
  <si>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</si>
  <si>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</si>
  <si>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</si>
  <si>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</si>
  <si>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</si>
  <si>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</si>
  <si>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</si>
  <si>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</si>
  <si>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</si>
  <si>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</si>
  <si>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</si>
  <si>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</si>
  <si>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</si>
  <si>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</si>
  <si>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</si>
  <si>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</si>
  <si>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</si>
  <si>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</si>
  <si>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</si>
  <si>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</si>
  <si>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</si>
  <si>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</si>
  <si>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</si>
  <si>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</si>
  <si>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</si>
  <si>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</si>
  <si>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</si>
  <si>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</si>
  <si>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</si>
  <si>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</si>
  <si>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</si>
  <si>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</si>
  <si>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</si>
  <si>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</si>
  <si>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</si>
  <si>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</si>
  <si>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</si>
  <si>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</si>
  <si>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</si>
  <si>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</si>
  <si>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</si>
  <si>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</si>
  <si>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</si>
  <si>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</si>
  <si>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</si>
  <si>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</si>
  <si>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</si>
  <si>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</si>
  <si>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</si>
  <si>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</si>
  <si>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</si>
  <si>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</si>
  <si>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</si>
  <si>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</si>
  <si>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</si>
  <si>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</si>
  <si>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</si>
  <si>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</si>
  <si>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</si>
  <si>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</si>
  <si>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</si>
  <si>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</si>
  <si>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</si>
  <si>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</si>
  <si>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</si>
  <si>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</si>
  <si>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</si>
  <si>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</si>
  <si>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</si>
  <si>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</si>
  <si>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</si>
  <si>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</si>
  <si>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</si>
  <si>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</si>
  <si>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</si>
  <si>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</si>
  <si>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</si>
  <si>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</si>
  <si>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</si>
  <si>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</si>
  <si>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</si>
  <si>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</si>
  <si>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</si>
  <si>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</si>
  <si>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</si>
  <si>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</si>
  <si>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</si>
  <si>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</si>
  <si>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</si>
  <si>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</si>
  <si>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</si>
  <si>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</si>
  <si>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</si>
  <si>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</si>
  <si>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</si>
  <si>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</si>
  <si>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</si>
  <si>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</si>
  <si>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</si>
  <si>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</si>
  <si>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</si>
  <si>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</si>
  <si>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</si>
  <si>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</si>
  <si>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</si>
  <si>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</si>
  <si>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</si>
  <si>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</si>
  <si>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</si>
  <si>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</si>
  <si>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</si>
  <si>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</si>
  <si>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</si>
  <si>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</si>
  <si>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</si>
  <si>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</si>
  <si>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</si>
  <si>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</si>
  <si>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</si>
  <si>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</si>
  <si>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</si>
  <si>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</si>
  <si>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</si>
  <si>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</si>
  <si>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</si>
  <si>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</si>
  <si>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</si>
  <si>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</si>
  <si>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</si>
  <si>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</si>
  <si>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</si>
  <si>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</si>
  <si>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</si>
  <si>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</si>
  <si>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</si>
  <si>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</si>
  <si>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</si>
  <si>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</si>
  <si>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</si>
  <si>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</si>
  <si>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</si>
  <si>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</si>
  <si>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</si>
  <si>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</si>
  <si>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</si>
  <si>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</si>
  <si>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</si>
  <si>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</si>
  <si>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</si>
  <si>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</si>
  <si>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</si>
  <si>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</si>
  <si>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</si>
  <si>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</si>
  <si>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</si>
  <si>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自己入场</t>
  </si>
  <si>
    <t>干员链式弹道索敌</t>
  </si>
  <si>
    <t>干员m3攻击</t>
  </si>
  <si>
    <t>血量比例升序</t>
  </si>
  <si>
    <t>0,0#0,1#0,-1#1,0#2,0#1,1#1,-1#2,1#2,-1#-1,0#-1,1#-1,-1</t>
  </si>
  <si>
    <t>跟随攻击</t>
  </si>
  <si>
    <t>M3链式弹道</t>
  </si>
  <si>
    <t>m3攻速提升buff</t>
  </si>
  <si>
    <t>夜莺普攻击中</t>
  </si>
  <si>
    <t>获取重构体</t>
  </si>
  <si>
    <t>获取单位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</si>
  <si>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</si>
  <si>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</si>
  <si>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</si>
  <si>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</si>
  <si>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</si>
  <si>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</si>
  <si>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</si>
  <si>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</si>
  <si>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干员M3</t>
  </si>
  <si>
    <t>monstr</t>
  </si>
  <si>
    <t>4179</t>
  </si>
  <si>
    <t>Mon3tr</t>
  </si>
  <si>
    <t>干员m3攻击,获取重构体</t>
  </si>
  <si>
    <t>医疗</t>
  </si>
  <si>
    <t>链愈师</t>
  </si>
  <si>
    <t>头像_召唤物_Mon3tr</t>
  </si>
  <si>
    <t>half_kalts</t>
  </si>
  <si>
    <t>kalts</t>
  </si>
  <si>
    <t>远程位</t>
  </si>
  <si>
    <t>远程,Mon3tr</t>
  </si>
  <si>
    <t>重构体</t>
  </si>
  <si>
    <t>头像_召唤物_幻影</t>
  </si>
  <si>
    <t>链式弹道</t>
  </si>
  <si>
    <t>0,0#-1,-1#0,-1#1,-1#-1,0#1,0#-1,1#0,1#1,1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</si>
  <si>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</si>
  <si>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</si>
  <si>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</si>
  <si>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</si>
  <si>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</si>
  <si>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</si>
  <si>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</si>
  <si>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</si>
  <si>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</si>
  <si>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</si>
  <si>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</si>
  <si>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</si>
  <si>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{"MoveHeight":0,"MaxLinkNum":4,"SkillId":"干员链式弹道索敌","ReductionRate":0.1,"CanBack":"false"}</t>
    <phoneticPr fontId="8" type="noConversion"/>
  </si>
  <si>
    <t>{"MoveHeight":0,"MaxLinkNum":10,"ReductionRate":0.25,"SkillId":"链式弹道索敌","CanBack":"false"}</t>
    <phoneticPr fontId="8" type="noConversion"/>
  </si>
  <si>
    <t>{"ShowRange":1}</t>
    <phoneticPr fontId="8" type="noConversion"/>
  </si>
  <si>
    <t>禁止主动</t>
    <phoneticPr fontId="8" type="noConversion"/>
  </si>
  <si>
    <t>放置降序</t>
    <phoneticPr fontId="8" type="noConversion"/>
  </si>
  <si>
    <t>m3自身攻速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</si>
  <si>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</si>
  <si>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</si>
  <si>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</si>
  <si>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</si>
  <si>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</si>
  <si>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手动</t>
  </si>
  <si>
    <t>m32攻击,m32结束,m32重构体,m32自身结束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</si>
  <si>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</si>
  <si>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</si>
  <si>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</si>
  <si>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</si>
  <si>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</si>
  <si>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</si>
  <si>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</si>
  <si>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</si>
  <si>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普通法球</t>
  </si>
  <si>
    <t>m32自身攻速</t>
  </si>
  <si>
    <t>m32重构体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</si>
  <si>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</si>
  <si>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</si>
  <si>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</si>
  <si>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</si>
  <si>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</si>
  <si>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</si>
  <si>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</si>
  <si>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</si>
  <si>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</si>
  <si>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</si>
  <si>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</si>
  <si>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攻击范围改变，攻击力+330%，攻击间隔降低(-1.5)，阻挡数+2，生命上限+5000，每秒流失80点生命值，同时攻击阻挡的所有敌人，伤害类型变为真实，攻击治疗自身相当于攻击力50%的生命值\n受到致命伤害时结束技能</t>
  </si>
  <si>
    <t>skill_icon_skchr_kalts_3</t>
  </si>
  <si>
    <t>m33启动</t>
  </si>
  <si>
    <t>m33加成,m3阻挡变化,m3中毒,m33特效,m33动作</t>
  </si>
  <si>
    <t>3.3,-1.5,5000</t>
  </si>
  <si>
    <t>m33加成</t>
  </si>
  <si>
    <t>m3标记</t>
  </si>
  <si>
    <t>m33攻击</t>
  </si>
  <si>
    <t>群攻</t>
  </si>
  <si>
    <t>m33治疗</t>
  </si>
  <si>
    <t>Skill_3_Loop</t>
  </si>
  <si>
    <t>m33锁血</t>
  </si>
  <si>
    <t>锁血治疗</t>
  </si>
  <si>
    <t>致命</t>
  </si>
  <si>
    <t>m33结束</t>
  </si>
  <si>
    <t>m33自身结束</t>
  </si>
  <si>
    <t>Skill_3_End,Skill_3_Back</t>
  </si>
  <si>
    <t>m32,m33</t>
  </si>
  <si>
    <t>重构体天赋,重构体绝食,重构体2</t>
  </si>
  <si>
    <t>眩晕,眩晕2,寒冷,冻结</t>
  </si>
  <si>
    <t>普通Buff</t>
  </si>
  <si>
    <t>m32动作</t>
  </si>
  <si>
    <t>{"IdleAnimation":["Skill_2_Idle"]}</t>
  </si>
  <si>
    <t>{"t":["AttackRate","AttackGapAdd","HpAdd"]}</t>
  </si>
  <si>
    <t>m3阻挡变化</t>
  </si>
  <si>
    <t>{"t":["StopCountAdd"]}</t>
  </si>
  <si>
    <t>m3中毒</t>
  </si>
  <si>
    <t>m33特效</t>
  </si>
  <si>
    <t>星熊2buff</t>
  </si>
  <si>
    <t>阿米娅2buff</t>
  </si>
  <si>
    <t>m33动作</t>
  </si>
  <si>
    <t>{"IdleAnimation":["Skill_3_Idle"]}</t>
  </si>
  <si>
    <t>设置属性</t>
    <phoneticPr fontId="8" type="noConversion"/>
  </si>
  <si>
    <t>{"t":["ModelScale"],"v":[0.25]}</t>
    <phoneticPr fontId="8" type="noConversion"/>
  </si>
  <si>
    <t>0,0,0</t>
  </si>
  <si>
    <t>高台m3buff</t>
  </si>
  <si>
    <t>释放技能</t>
  </si>
  <si>
    <t>{"Count":1,"UnitId":"地面M3"}</t>
  </si>
  <si>
    <t>地面m3</t>
  </si>
  <si>
    <t>m33攻击,m33治疗,m33锁血,地面m3死亡</t>
  </si>
  <si>
    <r>
      <rPr>
        <sz val="11"/>
        <color theme="1"/>
        <rFont val="宋体"/>
        <family val="3"/>
        <charset val="134"/>
        <scheme val="minor"/>
      </rPr>
      <t>{"LockHp":0.0001</t>
    </r>
    <r>
      <rPr>
        <sz val="11"/>
        <color theme="1"/>
        <rFont val="宋体"/>
        <family val="3"/>
        <charset val="134"/>
        <scheme val="minor"/>
      </rPr>
      <t>}</t>
    </r>
  </si>
  <si>
    <t>地面m3死亡</t>
  </si>
  <si>
    <t>强制撤退</t>
  </si>
  <si>
    <t>{"Time":25}</t>
  </si>
  <si>
    <t>地面m3落地无敌</t>
  </si>
  <si>
    <t>无敌</t>
  </si>
  <si>
    <t>地面m3释放buff</t>
  </si>
  <si>
    <t>m33加成,m3阻挡变化,m3中毒,m33动作</t>
  </si>
  <si>
    <t>地面M3</t>
  </si>
  <si>
    <t>地面m3,地面m3落地无敌,地面m3释放buff</t>
  </si>
  <si>
    <t>部署地面m3</t>
    <phoneticPr fontId="8" type="noConversion"/>
  </si>
  <si>
    <t>重构体</t>
    <phoneticPr fontId="8" type="noConversion"/>
  </si>
  <si>
    <t>{"UnitId":"猫诱导后续","TargetPos":"useSelfPos","SetMod":"Add","UseMod":"UserDirection","UserName":"猫诱导"}</t>
    <phoneticPr fontId="8" type="noConversion"/>
  </si>
  <si>
    <t>#m33重构体</t>
    <phoneticPr fontId="8" type="noConversion"/>
  </si>
  <si>
    <t>#重构体死亡</t>
    <phoneticPr fontId="8" type="noConversion"/>
  </si>
  <si>
    <t>#获取地面m3</t>
    <phoneticPr fontId="8" type="noConversion"/>
  </si>
  <si>
    <t>m33自身结束,高台m3buff</t>
    <phoneticPr fontId="8" type="noConversion"/>
  </si>
  <si>
    <t>重构体撤退，获得地面m3在25秒内获得以下效果：攻击范围改变，攻击力+330%，攻击间隔降低(-1.5)，阻挡数+2，生命上限+5000，每秒流失80点生命值，同时攻击阻挡的所有敌人，伤害类型变为真实，攻击治疗自身相当于攻击力50%的生命值，生命值不会低于1。\n地面m3存在期间，自身获得无敌、缴械、不进行攻击、技力回复速度-100</t>
    <phoneticPr fontId="8" type="noConversion"/>
  </si>
  <si>
    <t>Skill_3_Back</t>
    <phoneticPr fontId="8" type="noConversion"/>
  </si>
  <si>
    <t>#模型缩小</t>
    <phoneticPr fontId="8" type="noConversion"/>
  </si>
  <si>
    <t>技力回复变化,无敌,缴械</t>
    <phoneticPr fontId="8" type="noConversion"/>
  </si>
  <si>
    <t>m33启动,部署地面m3,高台m3buff</t>
    <phoneticPr fontId="8" type="noConversion"/>
  </si>
  <si>
    <t>致命</t>
    <phoneticPr fontId="8" type="noConversion"/>
  </si>
  <si>
    <t>Mon3tr</t>
    <phoneticPr fontId="8" type="noConversion"/>
  </si>
  <si>
    <t>{"UnitId":"地面M3","TargetPos":"useSelfTargetPos","SetMod":"Replace","UseMod":"UserDirection","UserName":"Mon3tr"}</t>
    <phoneticPr fontId="8" type="noConversion"/>
  </si>
  <si>
    <t>Skill_3_Begin</t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</si>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</sst>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B0F0"/>
      <name val="宋体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5"/>
  <sheetViews>
    <sheetView workbookViewId="0">
      <selection activeCell="B5" sqref="B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479</v>
      </c>
      <c r="B4" s="8" t="s">
        <v>479</v>
      </c>
    </row>
    <row r="5" spans="1:2" x14ac:dyDescent="0.25">
      <c r="A5" t="s">
        <v>523</v>
      </c>
      <c r="B5" t="s">
        <v>523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tabSelected="1" workbookViewId="0">
      <pane xSplit="1" ySplit="3" topLeftCell="AE4" activePane="bottomRight" state="frozen"/>
      <selection pane="topRight"/>
      <selection pane="bottomLeft"/>
      <selection pane="bottomRight" activeCell="AQ9" sqref="AQ9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461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460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451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s="8" t="s">
        <v>472</v>
      </c>
      <c r="B5" s="8" t="s">
        <v>406</v>
      </c>
      <c r="E5" s="1"/>
      <c r="F5" s="8" t="s">
        <v>407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472</v>
      </c>
      <c r="AH5" s="8" t="s">
        <v>408</v>
      </c>
      <c r="AI5" s="8" t="s">
        <v>487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409</v>
      </c>
      <c r="BD5" s="8" t="s">
        <v>410</v>
      </c>
      <c r="BE5" s="8" t="s">
        <v>411</v>
      </c>
      <c r="BF5" s="8" t="s">
        <v>412</v>
      </c>
      <c r="BG5" s="8" t="s">
        <v>413</v>
      </c>
      <c r="BH5">
        <v>6</v>
      </c>
      <c r="BI5" s="8" t="s">
        <v>414</v>
      </c>
      <c r="BJ5" s="8" t="s">
        <v>415</v>
      </c>
      <c r="BK5" s="5"/>
      <c r="BM5" s="8" t="s">
        <v>416</v>
      </c>
      <c r="BN5" s="8" t="s">
        <v>417</v>
      </c>
      <c r="BP5" s="8" t="s">
        <v>418</v>
      </c>
      <c r="BQ5" s="8" t="s">
        <v>418</v>
      </c>
      <c r="BR5" s="8" t="s">
        <v>419</v>
      </c>
      <c r="BS5">
        <v>1</v>
      </c>
    </row>
    <row r="6" spans="1:71" x14ac:dyDescent="0.25">
      <c r="E6" s="1"/>
    </row>
    <row r="7" spans="1:71" x14ac:dyDescent="0.25">
      <c r="A7" s="8" t="s">
        <v>652</v>
      </c>
      <c r="B7" t="s">
        <v>126</v>
      </c>
      <c r="D7" t="s">
        <v>428</v>
      </c>
      <c r="E7" s="1" t="s">
        <v>429</v>
      </c>
      <c r="F7" s="8" t="s">
        <v>499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652</v>
      </c>
      <c r="AH7" t="s">
        <v>122</v>
      </c>
      <c r="AI7" s="8" t="s">
        <v>653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501</v>
      </c>
      <c r="BD7" t="s">
        <v>502</v>
      </c>
      <c r="BE7" t="str">
        <f t="shared" ref="BE7" si="0">"half_"&amp;D7</f>
        <v>half_otter</v>
      </c>
      <c r="BF7" t="str">
        <f t="shared" ref="BF7" si="1">D7</f>
        <v>otter</v>
      </c>
      <c r="BG7" t="s">
        <v>128</v>
      </c>
      <c r="BH7">
        <v>5</v>
      </c>
      <c r="BI7" t="s">
        <v>127</v>
      </c>
      <c r="BM7" t="s">
        <v>123</v>
      </c>
      <c r="BN7" t="s">
        <v>124</v>
      </c>
      <c r="BP7" t="s">
        <v>125</v>
      </c>
      <c r="BQ7" t="s">
        <v>125</v>
      </c>
      <c r="BS7">
        <v>1</v>
      </c>
    </row>
    <row r="8" spans="1:71" x14ac:dyDescent="0.25">
      <c r="A8" s="8" t="s">
        <v>498</v>
      </c>
      <c r="B8" t="s">
        <v>126</v>
      </c>
      <c r="D8" t="s">
        <v>428</v>
      </c>
      <c r="E8" s="1" t="s">
        <v>429</v>
      </c>
      <c r="F8" s="8" t="s">
        <v>499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498</v>
      </c>
      <c r="AH8" t="s">
        <v>122</v>
      </c>
      <c r="AI8" s="8" t="s">
        <v>500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501</v>
      </c>
      <c r="BD8" t="s">
        <v>502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128</v>
      </c>
      <c r="BH8">
        <v>5</v>
      </c>
      <c r="BI8" t="s">
        <v>127</v>
      </c>
      <c r="BM8" t="s">
        <v>123</v>
      </c>
      <c r="BN8" t="s">
        <v>124</v>
      </c>
      <c r="BP8" t="s">
        <v>125</v>
      </c>
      <c r="BQ8" t="s">
        <v>125</v>
      </c>
      <c r="BS8">
        <v>1</v>
      </c>
    </row>
    <row r="9" spans="1:71" x14ac:dyDescent="0.25">
      <c r="A9" s="8" t="s">
        <v>503</v>
      </c>
      <c r="B9" t="s">
        <v>126</v>
      </c>
      <c r="D9" t="s">
        <v>428</v>
      </c>
      <c r="E9" s="1" t="s">
        <v>429</v>
      </c>
      <c r="F9" s="8" t="s">
        <v>499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503</v>
      </c>
      <c r="AH9" t="s">
        <v>122</v>
      </c>
      <c r="AI9" s="8" t="s">
        <v>467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501</v>
      </c>
      <c r="BD9" t="s">
        <v>502</v>
      </c>
      <c r="BE9" t="str">
        <f t="shared" si="2"/>
        <v>half_otter</v>
      </c>
      <c r="BF9" t="str">
        <f t="shared" si="3"/>
        <v>otter</v>
      </c>
      <c r="BG9" t="s">
        <v>128</v>
      </c>
      <c r="BH9">
        <v>5</v>
      </c>
      <c r="BI9" t="s">
        <v>127</v>
      </c>
      <c r="BM9" t="s">
        <v>123</v>
      </c>
      <c r="BN9" t="s">
        <v>124</v>
      </c>
      <c r="BP9" t="s">
        <v>125</v>
      </c>
      <c r="BQ9" t="s">
        <v>125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462</v>
      </c>
      <c r="B11" t="s">
        <v>126</v>
      </c>
      <c r="D11" t="s">
        <v>428</v>
      </c>
      <c r="E11" s="1" t="s">
        <v>429</v>
      </c>
      <c r="F11" s="8" t="s">
        <v>430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452</v>
      </c>
      <c r="AH11" t="s">
        <v>122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432</v>
      </c>
      <c r="BD11" t="s">
        <v>431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128</v>
      </c>
      <c r="BH11">
        <v>5</v>
      </c>
      <c r="BI11" t="s">
        <v>127</v>
      </c>
      <c r="BM11" t="s">
        <v>123</v>
      </c>
      <c r="BN11" t="s">
        <v>124</v>
      </c>
      <c r="BP11" t="s">
        <v>125</v>
      </c>
      <c r="BQ11" t="s">
        <v>125</v>
      </c>
      <c r="BS11">
        <v>1</v>
      </c>
    </row>
    <row r="13" spans="1:71" x14ac:dyDescent="0.25">
      <c r="A13" t="s">
        <v>523</v>
      </c>
      <c r="B13" t="s">
        <v>126</v>
      </c>
      <c r="D13" t="s">
        <v>524</v>
      </c>
      <c r="E13" s="1" t="s">
        <v>525</v>
      </c>
      <c r="F13" t="str">
        <f>"char_"&amp;E13&amp;"_"&amp;D13</f>
        <v>char_4179_monstr</v>
      </c>
      <c r="G13">
        <v>1</v>
      </c>
      <c r="I13">
        <v>2</v>
      </c>
      <c r="J13">
        <v>90</v>
      </c>
      <c r="K13">
        <v>2235</v>
      </c>
      <c r="M13">
        <v>583</v>
      </c>
      <c r="O13">
        <v>221</v>
      </c>
      <c r="Q13">
        <v>0</v>
      </c>
      <c r="S13">
        <v>16</v>
      </c>
      <c r="U13">
        <v>0.5</v>
      </c>
      <c r="V13">
        <v>70</v>
      </c>
      <c r="Y13">
        <v>0.05</v>
      </c>
      <c r="Z13">
        <v>2.85</v>
      </c>
      <c r="AC13">
        <v>1</v>
      </c>
      <c r="AG13" t="s">
        <v>526</v>
      </c>
      <c r="AH13" t="s">
        <v>122</v>
      </c>
      <c r="AI13" t="s">
        <v>527</v>
      </c>
      <c r="AJ13" t="s">
        <v>603</v>
      </c>
      <c r="AM13">
        <v>1</v>
      </c>
      <c r="AO13">
        <v>1</v>
      </c>
      <c r="AP13">
        <v>0.5</v>
      </c>
      <c r="AW13">
        <v>0.25</v>
      </c>
      <c r="BB13" t="s">
        <v>528</v>
      </c>
      <c r="BC13" t="s">
        <v>529</v>
      </c>
      <c r="BD13" t="s">
        <v>530</v>
      </c>
      <c r="BE13" t="s">
        <v>531</v>
      </c>
      <c r="BF13" t="s">
        <v>532</v>
      </c>
      <c r="BG13" t="s">
        <v>128</v>
      </c>
      <c r="BH13">
        <v>6</v>
      </c>
      <c r="BI13" t="s">
        <v>533</v>
      </c>
      <c r="BJ13" t="s">
        <v>534</v>
      </c>
      <c r="BM13" t="s">
        <v>123</v>
      </c>
      <c r="BN13" t="s">
        <v>124</v>
      </c>
      <c r="BP13" t="s">
        <v>125</v>
      </c>
      <c r="BQ13" t="s">
        <v>125</v>
      </c>
      <c r="BS13">
        <v>1</v>
      </c>
    </row>
    <row r="14" spans="1:71" x14ac:dyDescent="0.25">
      <c r="A14" t="s">
        <v>535</v>
      </c>
      <c r="B14" t="s">
        <v>126</v>
      </c>
      <c r="D14" t="s">
        <v>428</v>
      </c>
      <c r="E14" s="1" t="s">
        <v>429</v>
      </c>
      <c r="F14" t="s">
        <v>499</v>
      </c>
      <c r="G14">
        <v>1</v>
      </c>
      <c r="I14">
        <v>2</v>
      </c>
      <c r="J14">
        <v>90</v>
      </c>
      <c r="K14">
        <v>5433</v>
      </c>
      <c r="M14">
        <v>0</v>
      </c>
      <c r="O14">
        <v>221</v>
      </c>
      <c r="Q14">
        <v>0</v>
      </c>
      <c r="S14">
        <v>3</v>
      </c>
      <c r="U14">
        <v>0</v>
      </c>
      <c r="V14">
        <v>15</v>
      </c>
      <c r="Y14">
        <v>0.05</v>
      </c>
      <c r="Z14">
        <v>1</v>
      </c>
      <c r="AC14">
        <v>0</v>
      </c>
      <c r="AE14">
        <v>-1</v>
      </c>
      <c r="AG14" t="s">
        <v>535</v>
      </c>
      <c r="AH14" t="s">
        <v>122</v>
      </c>
      <c r="AI14" t="s">
        <v>604</v>
      </c>
      <c r="AK14">
        <v>0</v>
      </c>
      <c r="AN14">
        <v>1</v>
      </c>
      <c r="AO14">
        <v>0</v>
      </c>
      <c r="AP14">
        <v>0</v>
      </c>
      <c r="AV14" t="s">
        <v>605</v>
      </c>
      <c r="AW14">
        <v>0.25</v>
      </c>
      <c r="BB14" t="s">
        <v>528</v>
      </c>
      <c r="BD14" t="s">
        <v>536</v>
      </c>
      <c r="BE14" t="str">
        <f>"half_"&amp;D14</f>
        <v>half_otter</v>
      </c>
      <c r="BF14" t="str">
        <f>D14</f>
        <v>otter</v>
      </c>
      <c r="BG14" t="s">
        <v>128</v>
      </c>
      <c r="BH14">
        <v>6</v>
      </c>
      <c r="BI14" t="s">
        <v>127</v>
      </c>
      <c r="BJ14" t="s">
        <v>535</v>
      </c>
      <c r="BM14" t="s">
        <v>123</v>
      </c>
      <c r="BN14" t="s">
        <v>124</v>
      </c>
      <c r="BS14">
        <v>1</v>
      </c>
    </row>
    <row r="15" spans="1:71" x14ac:dyDescent="0.25">
      <c r="A15" t="s">
        <v>634</v>
      </c>
      <c r="B15" t="s">
        <v>126</v>
      </c>
      <c r="D15" t="s">
        <v>524</v>
      </c>
      <c r="E15" s="1" t="s">
        <v>525</v>
      </c>
      <c r="F15" t="str">
        <f>"char_"&amp;E15&amp;"_"&amp;D15</f>
        <v>char_4179_monstr</v>
      </c>
      <c r="G15">
        <v>1</v>
      </c>
      <c r="I15">
        <v>2</v>
      </c>
      <c r="J15">
        <v>90</v>
      </c>
      <c r="K15">
        <v>2235</v>
      </c>
      <c r="M15">
        <v>583</v>
      </c>
      <c r="O15">
        <v>221</v>
      </c>
      <c r="Q15">
        <v>0</v>
      </c>
      <c r="S15">
        <v>0</v>
      </c>
      <c r="T15">
        <v>-1</v>
      </c>
      <c r="U15">
        <v>0.5</v>
      </c>
      <c r="V15">
        <v>70</v>
      </c>
      <c r="Y15">
        <v>0.05</v>
      </c>
      <c r="Z15">
        <v>2.85</v>
      </c>
      <c r="AC15">
        <v>1</v>
      </c>
      <c r="AD15">
        <v>1</v>
      </c>
      <c r="AG15" s="8" t="s">
        <v>649</v>
      </c>
      <c r="AH15" t="s">
        <v>122</v>
      </c>
      <c r="AI15" t="s">
        <v>635</v>
      </c>
      <c r="AN15">
        <v>1</v>
      </c>
      <c r="AO15">
        <v>3</v>
      </c>
      <c r="AP15">
        <v>0</v>
      </c>
      <c r="AW15">
        <v>0.25</v>
      </c>
      <c r="BB15" t="s">
        <v>528</v>
      </c>
      <c r="BC15" t="s">
        <v>529</v>
      </c>
      <c r="BD15" t="s">
        <v>530</v>
      </c>
      <c r="BE15" t="s">
        <v>531</v>
      </c>
      <c r="BF15" t="s">
        <v>532</v>
      </c>
      <c r="BG15" t="s">
        <v>128</v>
      </c>
      <c r="BH15">
        <v>6</v>
      </c>
      <c r="BI15" t="s">
        <v>533</v>
      </c>
      <c r="BJ15" t="s">
        <v>534</v>
      </c>
      <c r="BM15" t="s">
        <v>124</v>
      </c>
      <c r="BN15" t="s">
        <v>124</v>
      </c>
      <c r="BP15" s="19" t="s">
        <v>602</v>
      </c>
      <c r="BQ15" t="s">
        <v>125</v>
      </c>
      <c r="BS15">
        <v>1</v>
      </c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39"/>
  <sheetViews>
    <sheetView workbookViewId="0">
      <pane xSplit="1" ySplit="3" topLeftCell="CN4" activePane="bottomRight" state="frozen"/>
      <selection pane="topRight"/>
      <selection pane="bottomLeft"/>
      <selection pane="bottomRight" activeCell="CS12" sqref="CS12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8" t="s">
        <v>447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8" t="s">
        <v>481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8" t="s">
        <v>439</v>
      </c>
      <c r="BT1" s="4" t="s">
        <v>442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8" t="s">
        <v>444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8" t="s">
        <v>448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8" t="s">
        <v>440</v>
      </c>
      <c r="BT2" s="4" t="s">
        <v>443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8" t="s">
        <v>445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449</v>
      </c>
      <c r="I3" t="s">
        <v>112</v>
      </c>
      <c r="J3" t="s">
        <v>329</v>
      </c>
      <c r="K3" s="3" t="s">
        <v>330</v>
      </c>
      <c r="L3" s="3" t="s">
        <v>436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8" t="s">
        <v>441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8" t="s">
        <v>446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473</v>
      </c>
      <c r="C6" s="8" t="s">
        <v>405</v>
      </c>
      <c r="K6" s="9" t="s">
        <v>422</v>
      </c>
      <c r="O6" s="9"/>
      <c r="P6"/>
      <c r="AC6">
        <v>2</v>
      </c>
      <c r="AO6" s="8" t="s">
        <v>423</v>
      </c>
      <c r="AR6" t="s">
        <v>433</v>
      </c>
      <c r="AV6" t="s">
        <v>349</v>
      </c>
      <c r="AX6">
        <v>1</v>
      </c>
      <c r="BB6">
        <v>1</v>
      </c>
      <c r="BZ6" s="8" t="s">
        <v>424</v>
      </c>
      <c r="CE6" s="8" t="s">
        <v>425</v>
      </c>
      <c r="CF6" s="8" t="s">
        <v>478</v>
      </c>
      <c r="CG6" t="s">
        <v>474</v>
      </c>
      <c r="CJ6" s="8" t="s">
        <v>450</v>
      </c>
      <c r="CK6" s="8"/>
      <c r="CW6" t="s">
        <v>353</v>
      </c>
    </row>
    <row r="7" spans="1:111" x14ac:dyDescent="0.25">
      <c r="A7" s="8" t="s">
        <v>476</v>
      </c>
      <c r="C7" s="8" t="s">
        <v>405</v>
      </c>
      <c r="J7" s="8" t="s">
        <v>554</v>
      </c>
      <c r="K7" s="3" t="s">
        <v>420</v>
      </c>
      <c r="O7"/>
      <c r="AC7">
        <v>2</v>
      </c>
      <c r="AD7">
        <v>1</v>
      </c>
      <c r="AO7" s="8" t="s">
        <v>477</v>
      </c>
      <c r="AT7">
        <v>2.5</v>
      </c>
      <c r="BZ7" s="8"/>
      <c r="CE7" s="8"/>
    </row>
    <row r="8" spans="1:111" x14ac:dyDescent="0.25">
      <c r="A8" s="8" t="s">
        <v>483</v>
      </c>
      <c r="C8" s="8" t="s">
        <v>484</v>
      </c>
      <c r="K8" s="3" t="s">
        <v>420</v>
      </c>
      <c r="L8" s="3" t="s">
        <v>485</v>
      </c>
      <c r="AC8">
        <v>2</v>
      </c>
      <c r="AG8" s="8"/>
      <c r="AO8" s="8" t="s">
        <v>423</v>
      </c>
      <c r="AV8" s="8" t="s">
        <v>480</v>
      </c>
      <c r="AX8">
        <v>0</v>
      </c>
      <c r="AZ8">
        <v>2</v>
      </c>
      <c r="BB8">
        <v>1</v>
      </c>
      <c r="CE8" s="8"/>
      <c r="CJ8" s="8" t="s">
        <v>486</v>
      </c>
      <c r="CL8" s="8"/>
      <c r="CM8" s="8"/>
      <c r="CW8" t="s">
        <v>482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458</v>
      </c>
      <c r="C10" s="8" t="s">
        <v>438</v>
      </c>
      <c r="K10" s="3" t="s">
        <v>420</v>
      </c>
      <c r="L10" s="3" t="s">
        <v>426</v>
      </c>
      <c r="AC10">
        <v>1</v>
      </c>
      <c r="AF10">
        <v>1</v>
      </c>
      <c r="AG10" s="8" t="s">
        <v>421</v>
      </c>
      <c r="BB10">
        <v>1</v>
      </c>
      <c r="CJ10" s="3"/>
      <c r="CS10" s="8" t="s">
        <v>654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653</v>
      </c>
      <c r="C12" s="8" t="s">
        <v>493</v>
      </c>
      <c r="K12" s="3" t="s">
        <v>347</v>
      </c>
      <c r="L12" s="3" t="s">
        <v>426</v>
      </c>
      <c r="AC12">
        <v>1</v>
      </c>
      <c r="AG12" t="s">
        <v>348</v>
      </c>
      <c r="BB12">
        <v>1</v>
      </c>
      <c r="BM12" s="8"/>
      <c r="BT12"/>
      <c r="CJ12" s="3"/>
      <c r="CS12" s="8" t="s">
        <v>655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453</v>
      </c>
      <c r="C14" s="8" t="s">
        <v>405</v>
      </c>
      <c r="I14">
        <v>1</v>
      </c>
      <c r="J14" s="8" t="s">
        <v>459</v>
      </c>
      <c r="K14" s="3" t="s">
        <v>422</v>
      </c>
      <c r="AC14">
        <v>1</v>
      </c>
      <c r="AG14" s="8" t="s">
        <v>421</v>
      </c>
      <c r="AJ14" s="8"/>
      <c r="AT14">
        <v>99</v>
      </c>
      <c r="AV14" s="8" t="s">
        <v>435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422</v>
      </c>
      <c r="CE14" s="8" t="s">
        <v>427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455</v>
      </c>
      <c r="C15" s="8" t="s">
        <v>456</v>
      </c>
      <c r="I15">
        <v>1</v>
      </c>
      <c r="K15" s="3" t="s">
        <v>420</v>
      </c>
      <c r="L15" s="3" t="s">
        <v>426</v>
      </c>
      <c r="AC15">
        <v>2</v>
      </c>
      <c r="AO15" s="8" t="s">
        <v>423</v>
      </c>
      <c r="AR15" t="s">
        <v>454</v>
      </c>
      <c r="BB15">
        <v>4</v>
      </c>
      <c r="BR15">
        <v>0.2</v>
      </c>
      <c r="CJ15" s="3"/>
      <c r="CS15" s="8" t="s">
        <v>465</v>
      </c>
      <c r="CW15" s="8" t="s">
        <v>457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488</v>
      </c>
      <c r="C17" t="s">
        <v>346</v>
      </c>
      <c r="I17">
        <v>1</v>
      </c>
      <c r="J17" s="12" t="s">
        <v>489</v>
      </c>
      <c r="K17" s="12" t="s">
        <v>490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491</v>
      </c>
      <c r="BN17" s="8" t="s">
        <v>468</v>
      </c>
      <c r="BR17">
        <v>6</v>
      </c>
      <c r="BT17" s="13">
        <v>1</v>
      </c>
      <c r="BU17" s="13">
        <v>1</v>
      </c>
      <c r="BV17" s="13">
        <v>1</v>
      </c>
      <c r="BW17" s="13" t="s">
        <v>492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468</v>
      </c>
      <c r="C18" s="8" t="s">
        <v>346</v>
      </c>
      <c r="I18">
        <v>1</v>
      </c>
      <c r="J18" s="8"/>
      <c r="K18" s="3" t="s">
        <v>347</v>
      </c>
      <c r="AC18">
        <v>1</v>
      </c>
      <c r="AG18" s="8" t="s">
        <v>348</v>
      </c>
      <c r="AJ18" s="8"/>
      <c r="AR18" t="s">
        <v>351</v>
      </c>
      <c r="AV18" s="8" t="s">
        <v>470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491</v>
      </c>
      <c r="C19" s="8" t="s">
        <v>493</v>
      </c>
      <c r="K19" s="3" t="s">
        <v>347</v>
      </c>
      <c r="L19" s="3" t="s">
        <v>494</v>
      </c>
      <c r="AC19">
        <v>1</v>
      </c>
      <c r="AG19" t="s">
        <v>348</v>
      </c>
      <c r="BB19">
        <v>1</v>
      </c>
      <c r="BM19" s="8"/>
      <c r="BT19"/>
      <c r="CJ19" s="3"/>
      <c r="CS19" s="8" t="s">
        <v>638</v>
      </c>
    </row>
    <row r="20" spans="1:110" x14ac:dyDescent="0.25">
      <c r="CJ20" s="3"/>
    </row>
    <row r="21" spans="1:110" x14ac:dyDescent="0.25">
      <c r="A21" s="8" t="s">
        <v>467</v>
      </c>
      <c r="C21" t="s">
        <v>346</v>
      </c>
      <c r="J21" s="8" t="s">
        <v>459</v>
      </c>
      <c r="K21" s="3" t="s">
        <v>422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495</v>
      </c>
      <c r="AR21" t="s">
        <v>454</v>
      </c>
      <c r="AV21" s="8" t="s">
        <v>350</v>
      </c>
      <c r="AX21">
        <v>1.5</v>
      </c>
      <c r="BB21">
        <v>99</v>
      </c>
      <c r="BC21">
        <v>11</v>
      </c>
      <c r="BD21">
        <v>0.5</v>
      </c>
      <c r="BN21" s="8" t="s">
        <v>496</v>
      </c>
      <c r="BR21">
        <v>6</v>
      </c>
      <c r="BT21" s="13">
        <v>1</v>
      </c>
      <c r="BU21" s="13">
        <v>1</v>
      </c>
      <c r="BV21" s="13">
        <v>1</v>
      </c>
      <c r="BW21" s="13" t="s">
        <v>471</v>
      </c>
      <c r="BX21" s="13"/>
      <c r="BY21" s="13"/>
      <c r="BZ21" s="8"/>
      <c r="CE21" s="8"/>
      <c r="CH21" s="8"/>
      <c r="CJ21" s="3" t="s">
        <v>497</v>
      </c>
      <c r="CK21" s="8"/>
      <c r="CL21" t="s">
        <v>469</v>
      </c>
      <c r="CM21">
        <v>-0.8</v>
      </c>
      <c r="CP21">
        <v>6</v>
      </c>
      <c r="CR21" s="8"/>
      <c r="CU21" s="8"/>
      <c r="CV21" s="8"/>
      <c r="CW21" t="s">
        <v>352</v>
      </c>
      <c r="DF21">
        <v>1</v>
      </c>
    </row>
    <row r="22" spans="1:110" x14ac:dyDescent="0.25">
      <c r="A22" s="8" t="s">
        <v>496</v>
      </c>
      <c r="C22" s="8" t="s">
        <v>346</v>
      </c>
      <c r="I22">
        <v>1</v>
      </c>
      <c r="J22" s="8"/>
      <c r="K22" s="3" t="s">
        <v>347</v>
      </c>
      <c r="AC22">
        <v>1</v>
      </c>
      <c r="AG22" s="8" t="s">
        <v>348</v>
      </c>
      <c r="AJ22" s="8"/>
      <c r="AV22" s="8" t="s">
        <v>470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463</v>
      </c>
      <c r="C24" s="8" t="s">
        <v>437</v>
      </c>
      <c r="I24">
        <v>1</v>
      </c>
      <c r="K24" s="3" t="s">
        <v>420</v>
      </c>
      <c r="AC24">
        <v>1</v>
      </c>
      <c r="AR24" s="8" t="s">
        <v>464</v>
      </c>
      <c r="BT24"/>
      <c r="CJ24" s="3"/>
      <c r="CS24" s="8" t="s">
        <v>466</v>
      </c>
    </row>
    <row r="25" spans="1:110" x14ac:dyDescent="0.25">
      <c r="BT25"/>
      <c r="CJ25" s="3"/>
    </row>
    <row r="26" spans="1:110" x14ac:dyDescent="0.25">
      <c r="A26" t="s">
        <v>505</v>
      </c>
      <c r="C26" t="s">
        <v>346</v>
      </c>
      <c r="J26" s="8" t="s">
        <v>554</v>
      </c>
      <c r="K26" s="3" t="s">
        <v>420</v>
      </c>
      <c r="O26"/>
      <c r="AC26">
        <v>1</v>
      </c>
      <c r="AO26" s="8" t="s">
        <v>555</v>
      </c>
      <c r="AR26" t="s">
        <v>538</v>
      </c>
      <c r="CS26" s="8" t="s">
        <v>553</v>
      </c>
    </row>
    <row r="27" spans="1:110" x14ac:dyDescent="0.25">
      <c r="A27" t="s">
        <v>506</v>
      </c>
      <c r="C27" t="s">
        <v>346</v>
      </c>
      <c r="K27" s="3" t="s">
        <v>490</v>
      </c>
      <c r="P27"/>
      <c r="AC27">
        <v>1</v>
      </c>
      <c r="AO27" t="s">
        <v>507</v>
      </c>
      <c r="AR27" t="s">
        <v>508</v>
      </c>
      <c r="AW27">
        <v>1</v>
      </c>
      <c r="AX27">
        <v>1</v>
      </c>
      <c r="BB27">
        <v>1</v>
      </c>
      <c r="BZ27" t="s">
        <v>55</v>
      </c>
      <c r="CE27" t="s">
        <v>509</v>
      </c>
      <c r="CF27" t="s">
        <v>510</v>
      </c>
      <c r="CG27" t="s">
        <v>474</v>
      </c>
      <c r="CL27" t="s">
        <v>511</v>
      </c>
      <c r="CM27">
        <v>22</v>
      </c>
      <c r="CP27">
        <v>10</v>
      </c>
      <c r="CW27" t="s">
        <v>512</v>
      </c>
    </row>
    <row r="28" spans="1:110" x14ac:dyDescent="0.25">
      <c r="A28" t="s">
        <v>513</v>
      </c>
      <c r="C28" t="s">
        <v>514</v>
      </c>
      <c r="K28" s="3" t="s">
        <v>347</v>
      </c>
      <c r="L28" s="3" t="s">
        <v>504</v>
      </c>
      <c r="AC28">
        <v>1</v>
      </c>
      <c r="AF28">
        <v>1</v>
      </c>
      <c r="AG28" t="s">
        <v>348</v>
      </c>
      <c r="BB28">
        <v>1</v>
      </c>
      <c r="CJ28" s="3"/>
      <c r="CS28" t="s">
        <v>515</v>
      </c>
      <c r="DB28">
        <v>1</v>
      </c>
      <c r="DE28">
        <v>1</v>
      </c>
      <c r="DF28">
        <v>1</v>
      </c>
    </row>
    <row r="29" spans="1:110" x14ac:dyDescent="0.25">
      <c r="A29" t="s">
        <v>516</v>
      </c>
      <c r="C29" t="s">
        <v>346</v>
      </c>
      <c r="I29">
        <v>1</v>
      </c>
      <c r="K29" s="12" t="s">
        <v>347</v>
      </c>
      <c r="L29" s="12" t="s">
        <v>504</v>
      </c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AC29">
        <v>1</v>
      </c>
      <c r="AG29" t="s">
        <v>348</v>
      </c>
      <c r="AR29" t="s">
        <v>351</v>
      </c>
      <c r="BB29">
        <v>1</v>
      </c>
      <c r="BM29" t="s">
        <v>517</v>
      </c>
      <c r="BS29" s="13"/>
      <c r="BT29" s="13"/>
      <c r="BU29" s="13"/>
      <c r="BV29" s="13"/>
      <c r="BW29" s="13"/>
      <c r="BX29" s="13"/>
      <c r="BY29"/>
      <c r="CL29" t="s">
        <v>518</v>
      </c>
      <c r="CM29">
        <v>8</v>
      </c>
      <c r="CP29">
        <v>9999</v>
      </c>
      <c r="DB29">
        <v>1</v>
      </c>
    </row>
    <row r="30" spans="1:110" x14ac:dyDescent="0.25">
      <c r="A30" t="s">
        <v>517</v>
      </c>
      <c r="C30" t="s">
        <v>346</v>
      </c>
      <c r="I30">
        <v>1</v>
      </c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AC30">
        <v>1</v>
      </c>
      <c r="AR30" t="s">
        <v>519</v>
      </c>
      <c r="BB30">
        <v>99</v>
      </c>
      <c r="BQ30">
        <v>0.1</v>
      </c>
      <c r="BS30" s="13"/>
      <c r="BT30" s="13"/>
      <c r="BU30" s="13"/>
      <c r="BV30" s="13"/>
      <c r="BW30" s="13"/>
      <c r="BX30" s="13"/>
      <c r="BY30"/>
      <c r="CL30" s="14" t="s">
        <v>520</v>
      </c>
      <c r="CM30">
        <v>0.2</v>
      </c>
      <c r="CP30">
        <v>0.2</v>
      </c>
      <c r="DB30">
        <v>1</v>
      </c>
    </row>
    <row r="31" spans="1:110" x14ac:dyDescent="0.25">
      <c r="A31" t="s">
        <v>521</v>
      </c>
      <c r="C31" t="s">
        <v>346</v>
      </c>
      <c r="K31" s="3" t="s">
        <v>347</v>
      </c>
      <c r="L31" s="3" t="s">
        <v>504</v>
      </c>
      <c r="AC31">
        <v>1</v>
      </c>
      <c r="AG31" t="s">
        <v>348</v>
      </c>
      <c r="AW31" s="3"/>
      <c r="BB31">
        <v>1</v>
      </c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  <c r="CL31" t="s">
        <v>522</v>
      </c>
      <c r="CP31">
        <v>99999</v>
      </c>
    </row>
    <row r="32" spans="1:110" x14ac:dyDescent="0.25">
      <c r="A32" t="s">
        <v>556</v>
      </c>
      <c r="C32" t="s">
        <v>346</v>
      </c>
      <c r="I32">
        <v>1</v>
      </c>
      <c r="K32" s="15" t="s">
        <v>347</v>
      </c>
      <c r="L32" s="15"/>
      <c r="M32"/>
      <c r="N32"/>
      <c r="O32" s="15"/>
      <c r="P32" s="16" t="s">
        <v>557</v>
      </c>
      <c r="Q32" s="15"/>
      <c r="R32" s="16"/>
      <c r="S32"/>
      <c r="T32" s="15"/>
      <c r="U32" s="15"/>
      <c r="V32" s="15"/>
      <c r="W32" s="15"/>
      <c r="X32"/>
      <c r="AC32">
        <v>1</v>
      </c>
      <c r="AG32" t="s">
        <v>348</v>
      </c>
      <c r="AR32" t="s">
        <v>351</v>
      </c>
      <c r="BB32">
        <v>1</v>
      </c>
      <c r="BT32"/>
      <c r="BU32" s="17"/>
      <c r="BV32" s="17"/>
      <c r="BW32" s="17"/>
      <c r="BX32" s="17"/>
      <c r="BY32" s="17"/>
      <c r="BZ32" s="17"/>
      <c r="CL32" t="s">
        <v>511</v>
      </c>
      <c r="CM32">
        <v>22</v>
      </c>
      <c r="CP32">
        <v>10</v>
      </c>
    </row>
    <row r="33" spans="1:11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110" x14ac:dyDescent="0.25">
      <c r="A34" t="s">
        <v>558</v>
      </c>
      <c r="C34" t="s">
        <v>346</v>
      </c>
      <c r="D34" t="s">
        <v>559</v>
      </c>
      <c r="E34" t="s">
        <v>560</v>
      </c>
      <c r="F34" t="s">
        <v>561</v>
      </c>
      <c r="G34">
        <v>3</v>
      </c>
      <c r="J34" t="s">
        <v>489</v>
      </c>
      <c r="K34" s="15" t="s">
        <v>562</v>
      </c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AC34">
        <v>1</v>
      </c>
      <c r="AG34" t="s">
        <v>348</v>
      </c>
      <c r="BB34">
        <v>1</v>
      </c>
      <c r="BM34" t="s">
        <v>563</v>
      </c>
      <c r="BN34" t="s">
        <v>564</v>
      </c>
      <c r="BR34">
        <v>30</v>
      </c>
      <c r="BT34" s="17">
        <v>13</v>
      </c>
      <c r="BU34" s="17">
        <v>15</v>
      </c>
      <c r="BV34" s="17">
        <v>1</v>
      </c>
      <c r="BW34" s="17" t="s">
        <v>565</v>
      </c>
      <c r="BX34" s="17"/>
      <c r="BY34" s="17"/>
      <c r="CL34" s="16" t="s">
        <v>566</v>
      </c>
      <c r="CP34">
        <v>30</v>
      </c>
      <c r="DB34">
        <v>1</v>
      </c>
    </row>
    <row r="35" spans="1:110" x14ac:dyDescent="0.25">
      <c r="A35" t="s">
        <v>567</v>
      </c>
      <c r="C35" t="s">
        <v>346</v>
      </c>
      <c r="J35" s="15"/>
      <c r="K35" s="15"/>
      <c r="L35" s="15"/>
      <c r="M35"/>
      <c r="N35" s="15"/>
      <c r="O35" s="16" t="s">
        <v>557</v>
      </c>
      <c r="P35"/>
      <c r="Q35"/>
      <c r="R35" s="15"/>
      <c r="S35" s="15"/>
      <c r="T35" s="15"/>
      <c r="U35" s="15"/>
      <c r="V35" s="15"/>
      <c r="W35" s="15"/>
      <c r="X35" s="15"/>
      <c r="AC35">
        <v>1</v>
      </c>
      <c r="AD35">
        <v>1</v>
      </c>
      <c r="AO35" t="s">
        <v>507</v>
      </c>
      <c r="AQ35" t="s">
        <v>535</v>
      </c>
      <c r="AU35">
        <v>1</v>
      </c>
      <c r="AW35">
        <v>1</v>
      </c>
      <c r="AX35">
        <v>1</v>
      </c>
      <c r="BB35">
        <v>1</v>
      </c>
      <c r="BN35" t="s">
        <v>568</v>
      </c>
      <c r="BT35" s="17"/>
      <c r="BU35" s="17"/>
      <c r="BV35" s="17"/>
      <c r="BW35" s="17"/>
      <c r="BX35" s="17"/>
      <c r="BY35" s="17"/>
      <c r="BZ35" t="s">
        <v>569</v>
      </c>
      <c r="CE35" t="s">
        <v>509</v>
      </c>
      <c r="CF35" t="s">
        <v>510</v>
      </c>
      <c r="CG35" t="s">
        <v>474</v>
      </c>
      <c r="CL35" t="s">
        <v>570</v>
      </c>
      <c r="CM35">
        <v>22</v>
      </c>
      <c r="CN35">
        <v>39.6</v>
      </c>
      <c r="CP35">
        <v>10</v>
      </c>
      <c r="CW35" t="s">
        <v>512</v>
      </c>
    </row>
    <row r="36" spans="1:110" x14ac:dyDescent="0.25">
      <c r="A36" t="s">
        <v>571</v>
      </c>
      <c r="C36" t="s">
        <v>346</v>
      </c>
      <c r="I36">
        <v>1</v>
      </c>
      <c r="K36" s="15" t="s">
        <v>347</v>
      </c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AC36">
        <v>1</v>
      </c>
      <c r="AD36">
        <v>1</v>
      </c>
      <c r="AJ36" t="s">
        <v>535</v>
      </c>
      <c r="AO36" t="s">
        <v>507</v>
      </c>
      <c r="AR36" t="s">
        <v>508</v>
      </c>
      <c r="AV36" t="s">
        <v>470</v>
      </c>
      <c r="AX36">
        <v>1</v>
      </c>
      <c r="AZ36">
        <v>2</v>
      </c>
      <c r="BB36">
        <v>1</v>
      </c>
      <c r="BT36" s="17"/>
      <c r="BU36" s="17"/>
      <c r="BV36" s="17"/>
      <c r="BW36" s="17"/>
      <c r="BX36" s="17"/>
      <c r="BY36" s="17"/>
      <c r="BZ36" s="18"/>
      <c r="CF36" t="s">
        <v>572</v>
      </c>
      <c r="CG36" t="s">
        <v>474</v>
      </c>
      <c r="DB36">
        <v>1</v>
      </c>
      <c r="DF36">
        <v>1</v>
      </c>
    </row>
    <row r="37" spans="1:110" x14ac:dyDescent="0.25">
      <c r="A37" t="s">
        <v>573</v>
      </c>
      <c r="C37" t="s">
        <v>346</v>
      </c>
      <c r="I37">
        <v>1</v>
      </c>
      <c r="K37" s="15" t="s">
        <v>347</v>
      </c>
      <c r="L37" s="15"/>
      <c r="M37"/>
      <c r="N37" s="15"/>
      <c r="O37" s="16" t="s">
        <v>557</v>
      </c>
      <c r="P37"/>
      <c r="Q37"/>
      <c r="R37" s="15"/>
      <c r="S37" s="15"/>
      <c r="T37" s="15"/>
      <c r="U37" s="15"/>
      <c r="V37" s="15"/>
      <c r="W37" s="15"/>
      <c r="X37" s="15"/>
      <c r="AC37">
        <v>1</v>
      </c>
      <c r="AG37" t="s">
        <v>348</v>
      </c>
      <c r="AU37">
        <v>1</v>
      </c>
      <c r="BB37">
        <v>1</v>
      </c>
      <c r="BT37" s="17"/>
      <c r="BU37" s="17"/>
      <c r="BV37" s="17"/>
      <c r="BW37" s="17"/>
      <c r="BX37" s="17"/>
      <c r="BY37" s="17"/>
      <c r="CL37" t="s">
        <v>570</v>
      </c>
      <c r="CM37">
        <v>22</v>
      </c>
      <c r="CN37">
        <v>39.6</v>
      </c>
      <c r="CP37">
        <v>10</v>
      </c>
    </row>
    <row r="38" spans="1:110" x14ac:dyDescent="0.25">
      <c r="A38" t="s">
        <v>574</v>
      </c>
      <c r="C38" t="s">
        <v>346</v>
      </c>
      <c r="I38">
        <v>1</v>
      </c>
      <c r="K38" s="15"/>
      <c r="L38" s="15"/>
      <c r="M38"/>
      <c r="N38" s="15"/>
      <c r="O38" s="16" t="s">
        <v>557</v>
      </c>
      <c r="P38"/>
      <c r="Q38"/>
      <c r="R38" s="15"/>
      <c r="S38" s="15"/>
      <c r="T38" s="15"/>
      <c r="U38" s="15"/>
      <c r="V38" s="15"/>
      <c r="W38" s="15"/>
      <c r="X38" s="15"/>
      <c r="AC38">
        <v>1</v>
      </c>
      <c r="AJ38" t="s">
        <v>535</v>
      </c>
      <c r="AR38" t="s">
        <v>508</v>
      </c>
      <c r="BB38">
        <v>1</v>
      </c>
      <c r="BQ38">
        <v>0.1</v>
      </c>
      <c r="BT38" s="17"/>
      <c r="BU38" s="17"/>
      <c r="BV38" s="17"/>
      <c r="BW38" s="17"/>
      <c r="BX38" s="17"/>
      <c r="BY38" s="17"/>
      <c r="CL38" s="16" t="s">
        <v>574</v>
      </c>
      <c r="CP38">
        <v>0.2</v>
      </c>
    </row>
    <row r="39" spans="1:110" x14ac:dyDescent="0.25">
      <c r="A39" t="s">
        <v>575</v>
      </c>
      <c r="C39" t="s">
        <v>346</v>
      </c>
      <c r="I39">
        <v>1</v>
      </c>
      <c r="K39" s="15" t="s">
        <v>347</v>
      </c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C39">
        <v>1</v>
      </c>
      <c r="AG39" t="s">
        <v>348</v>
      </c>
      <c r="AW39" s="15"/>
      <c r="BB39">
        <v>1</v>
      </c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 t="s">
        <v>575</v>
      </c>
      <c r="CP39">
        <v>40</v>
      </c>
      <c r="DB39">
        <v>1</v>
      </c>
      <c r="DF39">
        <v>1</v>
      </c>
    </row>
    <row r="40" spans="1:110" x14ac:dyDescent="0.25">
      <c r="A40" t="s">
        <v>576</v>
      </c>
      <c r="C40" t="s">
        <v>346</v>
      </c>
      <c r="I40">
        <v>1</v>
      </c>
      <c r="K40" s="15"/>
      <c r="L40" s="15"/>
      <c r="M40"/>
      <c r="N40" s="15"/>
      <c r="O40" s="16" t="s">
        <v>557</v>
      </c>
      <c r="P40" s="16" t="s">
        <v>575</v>
      </c>
      <c r="Q40" s="15"/>
      <c r="R40" s="15"/>
      <c r="S40" s="15"/>
      <c r="T40" s="15"/>
      <c r="U40" s="15"/>
      <c r="V40" s="15"/>
      <c r="W40" s="15"/>
      <c r="X40" s="15"/>
      <c r="AC40">
        <v>1</v>
      </c>
      <c r="AT40">
        <v>20</v>
      </c>
      <c r="BB40">
        <v>99</v>
      </c>
      <c r="BT40" s="17"/>
      <c r="BU40" s="17"/>
      <c r="BV40" s="17"/>
      <c r="BW40" s="17"/>
      <c r="BX40" s="17"/>
      <c r="BY40" s="17"/>
      <c r="CK40" t="s">
        <v>577</v>
      </c>
    </row>
    <row r="41" spans="1:110" x14ac:dyDescent="0.25">
      <c r="A41" t="s">
        <v>578</v>
      </c>
      <c r="C41" t="s">
        <v>346</v>
      </c>
      <c r="I41">
        <v>1</v>
      </c>
      <c r="K41" s="15" t="s">
        <v>347</v>
      </c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AC41">
        <v>1</v>
      </c>
      <c r="AG41" t="s">
        <v>348</v>
      </c>
      <c r="BB41">
        <v>1</v>
      </c>
      <c r="BQ41">
        <v>0.1</v>
      </c>
      <c r="BT41"/>
      <c r="BU41" s="17"/>
      <c r="BV41" s="17"/>
      <c r="BW41" s="17"/>
      <c r="BX41" s="17"/>
      <c r="BY41" s="17"/>
      <c r="BZ41" t="s">
        <v>579</v>
      </c>
      <c r="CE41" t="s">
        <v>509</v>
      </c>
      <c r="CG41" s="15"/>
      <c r="CH41" s="15"/>
      <c r="DB41">
        <v>1</v>
      </c>
      <c r="DE41">
        <v>1</v>
      </c>
      <c r="DF41">
        <v>1</v>
      </c>
    </row>
    <row r="42" spans="1:110" x14ac:dyDescent="0.25">
      <c r="A42" t="s">
        <v>580</v>
      </c>
      <c r="C42" t="s">
        <v>346</v>
      </c>
      <c r="I42">
        <v>1</v>
      </c>
      <c r="K42" s="15" t="s">
        <v>347</v>
      </c>
      <c r="L42" s="15" t="s">
        <v>581</v>
      </c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AC42">
        <v>1</v>
      </c>
      <c r="AG42" t="s">
        <v>348</v>
      </c>
      <c r="BB42">
        <v>1</v>
      </c>
      <c r="BQ42">
        <v>0.2</v>
      </c>
      <c r="BT42"/>
      <c r="BU42" s="17"/>
      <c r="BV42" s="17"/>
      <c r="BW42" s="17"/>
      <c r="BX42" s="17"/>
      <c r="BY42" s="17"/>
      <c r="BZ42" t="s">
        <v>582</v>
      </c>
      <c r="CE42" t="s">
        <v>509</v>
      </c>
      <c r="CH42" s="15"/>
      <c r="DB42">
        <v>1</v>
      </c>
      <c r="DE42">
        <v>1</v>
      </c>
      <c r="DF42">
        <v>1</v>
      </c>
    </row>
    <row r="43" spans="1:110" x14ac:dyDescent="0.25">
      <c r="A43" t="s">
        <v>583</v>
      </c>
      <c r="C43" t="s">
        <v>346</v>
      </c>
      <c r="D43" t="s">
        <v>559</v>
      </c>
      <c r="E43" t="s">
        <v>560</v>
      </c>
      <c r="F43" t="s">
        <v>561</v>
      </c>
      <c r="G43">
        <v>3</v>
      </c>
      <c r="K43" s="15" t="s">
        <v>490</v>
      </c>
      <c r="L43" s="15"/>
      <c r="M43"/>
      <c r="N43" s="15"/>
      <c r="O43" s="16" t="s">
        <v>574</v>
      </c>
      <c r="P43" s="15"/>
      <c r="Q43" s="15"/>
      <c r="R43" s="15"/>
      <c r="S43" s="15"/>
      <c r="T43" s="15"/>
      <c r="U43" s="15"/>
      <c r="V43" s="15"/>
      <c r="W43" s="15"/>
      <c r="X43" s="15"/>
      <c r="AC43">
        <v>1</v>
      </c>
      <c r="AO43" s="8" t="s">
        <v>555</v>
      </c>
      <c r="AR43" t="s">
        <v>519</v>
      </c>
      <c r="AW43">
        <v>1</v>
      </c>
      <c r="AX43">
        <v>583</v>
      </c>
      <c r="AZ43">
        <v>2</v>
      </c>
      <c r="BB43">
        <v>1</v>
      </c>
      <c r="BQ43">
        <v>0.3</v>
      </c>
      <c r="BT43" s="17"/>
      <c r="BU43" s="17"/>
      <c r="BV43" s="17"/>
      <c r="BW43" s="17"/>
      <c r="BX43" s="17"/>
      <c r="BY43" s="17"/>
      <c r="CE43" t="s">
        <v>509</v>
      </c>
      <c r="CF43" t="s">
        <v>510</v>
      </c>
      <c r="CG43" t="s">
        <v>474</v>
      </c>
      <c r="CL43" t="s">
        <v>570</v>
      </c>
      <c r="CM43">
        <v>22</v>
      </c>
      <c r="CN43">
        <v>39.6</v>
      </c>
      <c r="CP43">
        <v>10</v>
      </c>
      <c r="CW43" t="s">
        <v>512</v>
      </c>
      <c r="DB43">
        <v>1</v>
      </c>
    </row>
    <row r="44" spans="1:110" x14ac:dyDescent="0.25"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BS44" s="17"/>
      <c r="BT44" s="17"/>
      <c r="BU44" s="17"/>
      <c r="BV44" s="17"/>
      <c r="BW44" s="17"/>
      <c r="BX44" s="17"/>
      <c r="BY44"/>
    </row>
    <row r="45" spans="1:110" x14ac:dyDescent="0.25">
      <c r="A45" t="s">
        <v>584</v>
      </c>
      <c r="C45" t="s">
        <v>346</v>
      </c>
      <c r="D45" t="s">
        <v>585</v>
      </c>
      <c r="E45" s="8" t="s">
        <v>643</v>
      </c>
      <c r="F45" t="s">
        <v>587</v>
      </c>
      <c r="G45">
        <v>3</v>
      </c>
      <c r="J45" t="s">
        <v>489</v>
      </c>
      <c r="K45" s="3" t="s">
        <v>562</v>
      </c>
      <c r="O45"/>
      <c r="W45"/>
      <c r="X45"/>
      <c r="AC45">
        <v>1</v>
      </c>
      <c r="AG45" t="s">
        <v>348</v>
      </c>
      <c r="BB45">
        <v>1</v>
      </c>
      <c r="BM45" s="8" t="s">
        <v>642</v>
      </c>
      <c r="BN45" s="8" t="s">
        <v>647</v>
      </c>
      <c r="BR45">
        <v>1</v>
      </c>
      <c r="BT45" s="4">
        <v>11</v>
      </c>
      <c r="BU45" s="4">
        <v>15</v>
      </c>
      <c r="BV45" s="4">
        <v>1</v>
      </c>
      <c r="BW45" s="4" t="s">
        <v>565</v>
      </c>
      <c r="CL45" s="14" t="s">
        <v>591</v>
      </c>
      <c r="CM45" t="s">
        <v>620</v>
      </c>
      <c r="CP45">
        <v>25</v>
      </c>
    </row>
    <row r="46" spans="1:110" x14ac:dyDescent="0.25">
      <c r="A46" t="s">
        <v>621</v>
      </c>
      <c r="C46" t="s">
        <v>346</v>
      </c>
      <c r="I46">
        <v>1</v>
      </c>
      <c r="K46" s="3" t="s">
        <v>420</v>
      </c>
      <c r="M46"/>
      <c r="O46" s="14"/>
      <c r="P46"/>
      <c r="Q46"/>
      <c r="AC46">
        <v>1</v>
      </c>
      <c r="AG46" t="s">
        <v>348</v>
      </c>
      <c r="BB46">
        <v>1</v>
      </c>
      <c r="BQ46">
        <v>0.1</v>
      </c>
      <c r="CL46" s="14" t="s">
        <v>646</v>
      </c>
      <c r="CM46">
        <v>-100</v>
      </c>
      <c r="CP46">
        <v>25</v>
      </c>
    </row>
    <row r="47" spans="1:110" x14ac:dyDescent="0.25">
      <c r="A47" s="8" t="s">
        <v>639</v>
      </c>
      <c r="C47" t="s">
        <v>346</v>
      </c>
      <c r="I47">
        <v>1</v>
      </c>
      <c r="K47" s="3" t="s">
        <v>347</v>
      </c>
      <c r="L47" s="3" t="s">
        <v>622</v>
      </c>
      <c r="M47"/>
      <c r="O47" s="14" t="s">
        <v>591</v>
      </c>
      <c r="P47"/>
      <c r="Q47"/>
      <c r="AC47">
        <v>1</v>
      </c>
      <c r="AJ47" t="s">
        <v>535</v>
      </c>
      <c r="AR47" t="s">
        <v>508</v>
      </c>
      <c r="BB47">
        <v>1</v>
      </c>
      <c r="CL47" s="14" t="s">
        <v>592</v>
      </c>
      <c r="CP47">
        <v>1</v>
      </c>
    </row>
    <row r="48" spans="1:110" x14ac:dyDescent="0.25">
      <c r="A48" s="8" t="s">
        <v>640</v>
      </c>
      <c r="C48" t="s">
        <v>346</v>
      </c>
      <c r="I48">
        <v>1</v>
      </c>
      <c r="O48" s="14" t="s">
        <v>592</v>
      </c>
      <c r="AC48">
        <v>1</v>
      </c>
      <c r="AG48" t="s">
        <v>348</v>
      </c>
      <c r="AV48" t="s">
        <v>470</v>
      </c>
      <c r="AX48">
        <v>1</v>
      </c>
      <c r="AZ48">
        <v>1</v>
      </c>
      <c r="BB48">
        <v>1</v>
      </c>
    </row>
    <row r="49" spans="1:110" x14ac:dyDescent="0.25">
      <c r="A49" s="8" t="s">
        <v>641</v>
      </c>
      <c r="C49" t="s">
        <v>514</v>
      </c>
      <c r="K49" s="3" t="s">
        <v>347</v>
      </c>
      <c r="L49" s="3" t="s">
        <v>622</v>
      </c>
      <c r="AC49">
        <v>1</v>
      </c>
      <c r="AF49">
        <v>1</v>
      </c>
      <c r="AG49" t="s">
        <v>348</v>
      </c>
      <c r="BB49">
        <v>1</v>
      </c>
      <c r="CJ49" s="3"/>
      <c r="CS49" t="s">
        <v>623</v>
      </c>
      <c r="DB49">
        <v>1</v>
      </c>
      <c r="DE49">
        <v>1</v>
      </c>
      <c r="DF49">
        <v>1</v>
      </c>
    </row>
    <row r="50" spans="1:110" x14ac:dyDescent="0.25">
      <c r="CJ50" s="3"/>
    </row>
    <row r="51" spans="1:110" x14ac:dyDescent="0.25">
      <c r="A51" s="8" t="s">
        <v>636</v>
      </c>
      <c r="C51" s="8" t="s">
        <v>437</v>
      </c>
      <c r="I51">
        <v>1</v>
      </c>
      <c r="J51" s="8" t="s">
        <v>554</v>
      </c>
      <c r="K51" s="3" t="s">
        <v>420</v>
      </c>
      <c r="AC51">
        <v>1</v>
      </c>
      <c r="AJ51" s="8" t="s">
        <v>637</v>
      </c>
      <c r="AR51" t="s">
        <v>508</v>
      </c>
      <c r="BB51">
        <v>1</v>
      </c>
      <c r="BQ51">
        <v>0.1</v>
      </c>
      <c r="CJ51" s="3"/>
      <c r="CS51" s="8" t="s">
        <v>650</v>
      </c>
    </row>
    <row r="52" spans="1:110" x14ac:dyDescent="0.25">
      <c r="CJ52" s="3"/>
    </row>
    <row r="53" spans="1:110" x14ac:dyDescent="0.25">
      <c r="A53" t="s">
        <v>624</v>
      </c>
      <c r="C53" t="s">
        <v>346</v>
      </c>
      <c r="D53" t="s">
        <v>585</v>
      </c>
      <c r="E53" t="s">
        <v>586</v>
      </c>
      <c r="F53" t="s">
        <v>587</v>
      </c>
      <c r="G53">
        <v>3</v>
      </c>
      <c r="J53" t="s">
        <v>489</v>
      </c>
      <c r="K53" s="3" t="s">
        <v>490</v>
      </c>
      <c r="O53"/>
      <c r="W53"/>
      <c r="X53"/>
      <c r="AC53">
        <v>1</v>
      </c>
      <c r="AG53" t="s">
        <v>348</v>
      </c>
      <c r="BB53">
        <v>1</v>
      </c>
      <c r="BM53" t="s">
        <v>625</v>
      </c>
      <c r="BR53">
        <v>25</v>
      </c>
      <c r="BT53" s="4">
        <v>1</v>
      </c>
      <c r="BU53" s="4">
        <v>1</v>
      </c>
      <c r="BV53" s="4">
        <v>1</v>
      </c>
      <c r="BW53" s="4" t="s">
        <v>565</v>
      </c>
      <c r="CL53" s="14" t="s">
        <v>589</v>
      </c>
      <c r="CM53" t="s">
        <v>590</v>
      </c>
      <c r="CN53">
        <v>2</v>
      </c>
      <c r="CO53">
        <v>80</v>
      </c>
      <c r="CP53">
        <v>25</v>
      </c>
    </row>
    <row r="54" spans="1:110" x14ac:dyDescent="0.25">
      <c r="A54" t="s">
        <v>593</v>
      </c>
      <c r="C54" t="s">
        <v>594</v>
      </c>
      <c r="O54" s="14" t="s">
        <v>591</v>
      </c>
      <c r="X54"/>
      <c r="AC54">
        <v>2</v>
      </c>
      <c r="AO54" t="s">
        <v>495</v>
      </c>
      <c r="AR54" t="s">
        <v>519</v>
      </c>
      <c r="AV54" t="s">
        <v>470</v>
      </c>
      <c r="AX54">
        <v>1</v>
      </c>
      <c r="BB54">
        <v>1</v>
      </c>
      <c r="BN54" t="s">
        <v>595</v>
      </c>
      <c r="BZ54" t="s">
        <v>596</v>
      </c>
      <c r="CE54" t="s">
        <v>509</v>
      </c>
      <c r="CW54" t="s">
        <v>352</v>
      </c>
    </row>
    <row r="55" spans="1:110" x14ac:dyDescent="0.25">
      <c r="A55" t="s">
        <v>595</v>
      </c>
      <c r="C55" t="s">
        <v>346</v>
      </c>
      <c r="I55">
        <v>1</v>
      </c>
      <c r="K55" s="3" t="s">
        <v>347</v>
      </c>
      <c r="O55" s="14" t="s">
        <v>591</v>
      </c>
      <c r="P55"/>
      <c r="Q55"/>
      <c r="X55"/>
      <c r="AC55">
        <v>1</v>
      </c>
      <c r="AG55" t="s">
        <v>348</v>
      </c>
      <c r="AH55">
        <v>1</v>
      </c>
      <c r="AO55" t="s">
        <v>507</v>
      </c>
      <c r="AT55">
        <v>1</v>
      </c>
      <c r="AW55">
        <v>1</v>
      </c>
      <c r="AX55">
        <v>0.5</v>
      </c>
      <c r="BB55">
        <v>1</v>
      </c>
      <c r="CF55" t="s">
        <v>510</v>
      </c>
      <c r="CG55" t="s">
        <v>474</v>
      </c>
      <c r="CL55" t="s">
        <v>511</v>
      </c>
      <c r="CM55">
        <v>22</v>
      </c>
      <c r="CP55">
        <v>10</v>
      </c>
    </row>
    <row r="56" spans="1:110" x14ac:dyDescent="0.25">
      <c r="A56" t="s">
        <v>597</v>
      </c>
      <c r="C56" t="s">
        <v>598</v>
      </c>
      <c r="I56">
        <v>1</v>
      </c>
      <c r="K56" s="3" t="s">
        <v>347</v>
      </c>
      <c r="L56" s="3" t="s">
        <v>599</v>
      </c>
      <c r="O56" s="14" t="s">
        <v>591</v>
      </c>
      <c r="X56"/>
      <c r="AC56">
        <v>1</v>
      </c>
      <c r="AG56" t="s">
        <v>348</v>
      </c>
      <c r="BB56">
        <v>1</v>
      </c>
      <c r="CS56" t="s">
        <v>626</v>
      </c>
      <c r="DB56">
        <v>1</v>
      </c>
      <c r="DE56">
        <v>1</v>
      </c>
      <c r="DF56">
        <v>1</v>
      </c>
    </row>
    <row r="57" spans="1:110" x14ac:dyDescent="0.25">
      <c r="A57" t="s">
        <v>627</v>
      </c>
      <c r="C57" t="s">
        <v>628</v>
      </c>
      <c r="K57" s="3" t="s">
        <v>347</v>
      </c>
      <c r="L57" s="3" t="s">
        <v>504</v>
      </c>
      <c r="AC57">
        <v>1</v>
      </c>
      <c r="AG57" t="s">
        <v>348</v>
      </c>
      <c r="BB57">
        <v>1</v>
      </c>
      <c r="CS57" t="s">
        <v>629</v>
      </c>
    </row>
    <row r="58" spans="1:110" x14ac:dyDescent="0.25">
      <c r="A58" t="s">
        <v>630</v>
      </c>
      <c r="C58" t="s">
        <v>346</v>
      </c>
      <c r="I58">
        <v>1</v>
      </c>
      <c r="K58" s="3" t="s">
        <v>347</v>
      </c>
      <c r="L58" s="3" t="s">
        <v>504</v>
      </c>
      <c r="AC58">
        <v>1</v>
      </c>
      <c r="AG58" t="s">
        <v>348</v>
      </c>
      <c r="BB58">
        <v>1</v>
      </c>
      <c r="CL58" t="s">
        <v>631</v>
      </c>
      <c r="CP58">
        <v>0.5</v>
      </c>
    </row>
    <row r="59" spans="1:110" x14ac:dyDescent="0.25">
      <c r="A59" t="s">
        <v>632</v>
      </c>
      <c r="C59" t="s">
        <v>346</v>
      </c>
      <c r="I59">
        <v>1</v>
      </c>
      <c r="K59" s="3" t="s">
        <v>420</v>
      </c>
      <c r="L59" s="3" t="s">
        <v>648</v>
      </c>
      <c r="AC59">
        <v>1</v>
      </c>
      <c r="AJ59" t="s">
        <v>523</v>
      </c>
      <c r="AT59">
        <v>20</v>
      </c>
      <c r="BB59">
        <v>1</v>
      </c>
      <c r="CK59" s="14" t="s">
        <v>646</v>
      </c>
      <c r="CL59" s="14"/>
      <c r="DB59">
        <v>1</v>
      </c>
      <c r="DE59">
        <v>1</v>
      </c>
      <c r="DF59">
        <v>1</v>
      </c>
    </row>
    <row r="61" spans="1:110" x14ac:dyDescent="0.25">
      <c r="A61" t="s">
        <v>588</v>
      </c>
      <c r="C61" t="s">
        <v>346</v>
      </c>
      <c r="I61">
        <v>1</v>
      </c>
      <c r="K61" s="3" t="s">
        <v>347</v>
      </c>
      <c r="M61"/>
      <c r="N61"/>
      <c r="AC61">
        <v>1</v>
      </c>
      <c r="AG61" t="s">
        <v>348</v>
      </c>
      <c r="BB61">
        <v>1</v>
      </c>
      <c r="BQ61">
        <v>0.5</v>
      </c>
      <c r="BT61"/>
      <c r="BZ61" s="20" t="s">
        <v>651</v>
      </c>
      <c r="CE61" t="s">
        <v>509</v>
      </c>
      <c r="CG61" s="3"/>
      <c r="CH61" s="3"/>
      <c r="DB61">
        <v>1</v>
      </c>
      <c r="DE61">
        <v>1</v>
      </c>
      <c r="DF61">
        <v>1</v>
      </c>
    </row>
    <row r="62" spans="1:110" x14ac:dyDescent="0.25">
      <c r="A62" t="s">
        <v>601</v>
      </c>
      <c r="C62" t="s">
        <v>346</v>
      </c>
      <c r="I62">
        <v>1</v>
      </c>
      <c r="K62" s="3" t="s">
        <v>347</v>
      </c>
      <c r="L62" s="3" t="s">
        <v>581</v>
      </c>
      <c r="M62"/>
      <c r="N62"/>
      <c r="AC62">
        <v>1</v>
      </c>
      <c r="AG62" t="s">
        <v>348</v>
      </c>
      <c r="BB62">
        <v>1</v>
      </c>
      <c r="BQ62">
        <v>1</v>
      </c>
      <c r="BT62"/>
      <c r="BZ62" s="20" t="s">
        <v>644</v>
      </c>
      <c r="CE62" t="s">
        <v>509</v>
      </c>
      <c r="CH62" s="3"/>
      <c r="DB62">
        <v>1</v>
      </c>
      <c r="DE62">
        <v>1</v>
      </c>
      <c r="DF62">
        <v>1</v>
      </c>
    </row>
    <row r="63" spans="1:110" x14ac:dyDescent="0.25">
      <c r="A63" t="s">
        <v>600</v>
      </c>
      <c r="C63" t="s">
        <v>346</v>
      </c>
      <c r="I63">
        <v>1</v>
      </c>
      <c r="K63" s="3" t="s">
        <v>347</v>
      </c>
      <c r="L63" s="3" t="s">
        <v>581</v>
      </c>
      <c r="O63"/>
      <c r="X63"/>
      <c r="AC63">
        <v>1</v>
      </c>
      <c r="AG63" t="s">
        <v>348</v>
      </c>
      <c r="BB63">
        <v>1</v>
      </c>
      <c r="CK63" s="14" t="s">
        <v>633</v>
      </c>
    </row>
    <row r="66" spans="72:88" x14ac:dyDescent="0.25">
      <c r="CJ66" s="3"/>
    </row>
    <row r="67" spans="72:88" x14ac:dyDescent="0.25">
      <c r="CJ67" s="3"/>
    </row>
    <row r="73" spans="72:88" x14ac:dyDescent="0.25">
      <c r="CJ73" s="3"/>
    </row>
    <row r="74" spans="72:88" x14ac:dyDescent="0.25">
      <c r="CJ74" s="3"/>
    </row>
    <row r="76" spans="72:88" x14ac:dyDescent="0.25">
      <c r="CJ76" s="3"/>
    </row>
    <row r="77" spans="72:88" x14ac:dyDescent="0.25">
      <c r="CJ77" s="3"/>
    </row>
    <row r="78" spans="72:88" x14ac:dyDescent="0.25">
      <c r="CJ78" s="3"/>
    </row>
    <row r="79" spans="72:88" x14ac:dyDescent="0.25">
      <c r="CJ79" s="3"/>
    </row>
    <row r="80" spans="72:88" x14ac:dyDescent="0.25">
      <c r="BT80"/>
    </row>
    <row r="81" spans="72:88" x14ac:dyDescent="0.25">
      <c r="BT81"/>
    </row>
    <row r="82" spans="72:88" x14ac:dyDescent="0.25">
      <c r="BT82"/>
      <c r="CJ82" s="3"/>
    </row>
    <row r="83" spans="72:88" x14ac:dyDescent="0.25">
      <c r="CJ83" s="3"/>
    </row>
    <row r="84" spans="72:88" x14ac:dyDescent="0.25">
      <c r="CJ84" s="3"/>
    </row>
    <row r="85" spans="72:88" x14ac:dyDescent="0.25">
      <c r="BT85"/>
    </row>
    <row r="86" spans="72:88" x14ac:dyDescent="0.25">
      <c r="CJ86" s="3"/>
    </row>
    <row r="90" spans="72:88" x14ac:dyDescent="0.25">
      <c r="BT90"/>
    </row>
    <row r="91" spans="72:88" x14ac:dyDescent="0.25">
      <c r="CJ91" s="3"/>
    </row>
    <row r="99" spans="72:88" x14ac:dyDescent="0.25">
      <c r="CJ99" s="3"/>
    </row>
    <row r="100" spans="72:88" x14ac:dyDescent="0.25">
      <c r="CJ100" s="3"/>
    </row>
    <row r="101" spans="72:88" x14ac:dyDescent="0.25">
      <c r="BT101"/>
    </row>
    <row r="106" spans="72:88" x14ac:dyDescent="0.25">
      <c r="BT106"/>
    </row>
    <row r="107" spans="72:88" x14ac:dyDescent="0.25">
      <c r="BT107"/>
      <c r="CJ107" s="3"/>
    </row>
    <row r="108" spans="72:88" x14ac:dyDescent="0.25"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BT112"/>
    </row>
    <row r="113" spans="72:88" x14ac:dyDescent="0.25">
      <c r="CJ113" s="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BT117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30" spans="72:88" x14ac:dyDescent="0.25">
      <c r="BT130"/>
    </row>
    <row r="131" spans="72:88" x14ac:dyDescent="0.25">
      <c r="CJ131" s="3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8" spans="72:88" x14ac:dyDescent="0.25">
      <c r="CJ138" s="3"/>
    </row>
    <row r="140" spans="72:88" x14ac:dyDescent="0.25">
      <c r="BT140"/>
    </row>
    <row r="141" spans="72:88" x14ac:dyDescent="0.25">
      <c r="BT141"/>
      <c r="CJ141" s="3"/>
    </row>
    <row r="142" spans="72:88" x14ac:dyDescent="0.25"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7" spans="72:88" x14ac:dyDescent="0.25">
      <c r="BT147"/>
    </row>
    <row r="148" spans="72:88" x14ac:dyDescent="0.25">
      <c r="CJ148" s="3"/>
    </row>
    <row r="149" spans="72:88" x14ac:dyDescent="0.25">
      <c r="CJ149" s="3"/>
    </row>
    <row r="151" spans="72:88" x14ac:dyDescent="0.25">
      <c r="CJ151" s="3"/>
    </row>
    <row r="152" spans="72:88" x14ac:dyDescent="0.25">
      <c r="CJ152" s="3"/>
    </row>
    <row r="154" spans="72:88" x14ac:dyDescent="0.25">
      <c r="BT154"/>
    </row>
    <row r="155" spans="72:88" x14ac:dyDescent="0.25">
      <c r="CJ155" s="3"/>
    </row>
    <row r="158" spans="72:88" x14ac:dyDescent="0.25">
      <c r="CJ158" s="3"/>
    </row>
    <row r="159" spans="72:88" x14ac:dyDescent="0.25">
      <c r="CJ159" s="3"/>
    </row>
    <row r="162" spans="72:88" x14ac:dyDescent="0.25">
      <c r="CJ162" s="3"/>
    </row>
    <row r="164" spans="72:88" x14ac:dyDescent="0.25">
      <c r="CJ164" s="3"/>
    </row>
    <row r="166" spans="72:88" x14ac:dyDescent="0.25">
      <c r="BT166"/>
    </row>
    <row r="167" spans="72:88" x14ac:dyDescent="0.25">
      <c r="CJ167" s="3"/>
    </row>
    <row r="168" spans="72:88" x14ac:dyDescent="0.25">
      <c r="CJ168" s="3"/>
    </row>
    <row r="170" spans="72:88" x14ac:dyDescent="0.25">
      <c r="CJ170" s="3"/>
    </row>
    <row r="171" spans="72:88" x14ac:dyDescent="0.25">
      <c r="CJ171" s="3"/>
    </row>
    <row r="172" spans="72:88" x14ac:dyDescent="0.25">
      <c r="CJ172" s="3"/>
    </row>
    <row r="177" spans="88:88" x14ac:dyDescent="0.25">
      <c r="CJ177" s="3"/>
    </row>
    <row r="178" spans="88:88" x14ac:dyDescent="0.25">
      <c r="CJ178" s="3"/>
    </row>
    <row r="181" spans="88:88" x14ac:dyDescent="0.25">
      <c r="CJ181" s="3"/>
    </row>
    <row r="182" spans="88:88" x14ac:dyDescent="0.25">
      <c r="CJ182" s="3"/>
    </row>
    <row r="186" spans="88:88" x14ac:dyDescent="0.25">
      <c r="CJ186" s="3"/>
    </row>
    <row r="190" spans="88:88" x14ac:dyDescent="0.25">
      <c r="CJ190" s="3"/>
    </row>
    <row r="192" spans="88:88" x14ac:dyDescent="0.25">
      <c r="CJ192" s="3"/>
    </row>
    <row r="193" spans="72:88" x14ac:dyDescent="0.25">
      <c r="CJ193" s="3"/>
    </row>
    <row r="195" spans="72:88" x14ac:dyDescent="0.25">
      <c r="CJ195" s="3"/>
    </row>
    <row r="196" spans="72:88" x14ac:dyDescent="0.25">
      <c r="CJ196" s="3"/>
    </row>
    <row r="198" spans="72:88" x14ac:dyDescent="0.25">
      <c r="BT198"/>
    </row>
    <row r="199" spans="72:88" x14ac:dyDescent="0.25">
      <c r="BT199"/>
      <c r="CJ199" s="3"/>
    </row>
    <row r="200" spans="72:88" x14ac:dyDescent="0.25">
      <c r="CJ200" s="3"/>
    </row>
    <row r="202" spans="72:88" x14ac:dyDescent="0.25">
      <c r="CJ202" s="3"/>
    </row>
    <row r="211" spans="72:88" x14ac:dyDescent="0.25">
      <c r="BT211"/>
    </row>
    <row r="212" spans="72:88" x14ac:dyDescent="0.25">
      <c r="BT212"/>
      <c r="CJ212" s="3"/>
    </row>
    <row r="213" spans="72:88" x14ac:dyDescent="0.25">
      <c r="CJ213" s="3"/>
    </row>
    <row r="214" spans="72:88" x14ac:dyDescent="0.25">
      <c r="CJ214" s="3"/>
    </row>
    <row r="215" spans="72:88" x14ac:dyDescent="0.25">
      <c r="BT215"/>
    </row>
    <row r="216" spans="72:88" x14ac:dyDescent="0.25">
      <c r="BT216"/>
      <c r="CJ216" s="3"/>
    </row>
    <row r="217" spans="72:88" x14ac:dyDescent="0.25">
      <c r="CJ217" s="3"/>
    </row>
    <row r="219" spans="72:88" x14ac:dyDescent="0.25">
      <c r="BT219"/>
    </row>
    <row r="220" spans="72:88" x14ac:dyDescent="0.25">
      <c r="BT220"/>
      <c r="CJ220" s="3"/>
    </row>
    <row r="221" spans="72:88" x14ac:dyDescent="0.25">
      <c r="CJ221" s="3"/>
    </row>
    <row r="223" spans="72:88" x14ac:dyDescent="0.25">
      <c r="BT223"/>
    </row>
    <row r="224" spans="72:88" x14ac:dyDescent="0.25">
      <c r="CJ224" s="3"/>
    </row>
    <row r="227" spans="72:88" x14ac:dyDescent="0.25">
      <c r="CJ227" s="3"/>
    </row>
    <row r="231" spans="72:88" x14ac:dyDescent="0.25">
      <c r="CJ231" s="3"/>
    </row>
    <row r="233" spans="72:88" x14ac:dyDescent="0.25">
      <c r="BT233"/>
    </row>
    <row r="234" spans="72:88" x14ac:dyDescent="0.25">
      <c r="CJ234" s="3"/>
    </row>
    <row r="241" spans="72:88" x14ac:dyDescent="0.25">
      <c r="BT241"/>
    </row>
    <row r="242" spans="72:88" x14ac:dyDescent="0.25">
      <c r="CJ242" s="3"/>
    </row>
    <row r="243" spans="72:88" x14ac:dyDescent="0.25">
      <c r="CJ243" s="3"/>
    </row>
    <row r="245" spans="72:88" x14ac:dyDescent="0.25">
      <c r="BT245"/>
    </row>
    <row r="246" spans="72:88" x14ac:dyDescent="0.25">
      <c r="BT246"/>
      <c r="CJ246" s="3"/>
    </row>
    <row r="247" spans="72:88" x14ac:dyDescent="0.25">
      <c r="CJ247" s="3"/>
    </row>
    <row r="253" spans="72:88" x14ac:dyDescent="0.25">
      <c r="BT253"/>
    </row>
    <row r="254" spans="72:88" x14ac:dyDescent="0.25">
      <c r="BT254"/>
      <c r="CJ254" s="3"/>
    </row>
    <row r="255" spans="72:88" x14ac:dyDescent="0.25">
      <c r="BT255"/>
      <c r="CJ255" s="3"/>
    </row>
    <row r="256" spans="72:88" x14ac:dyDescent="0.25">
      <c r="CJ256" s="3"/>
    </row>
    <row r="261" spans="72:88" x14ac:dyDescent="0.25">
      <c r="BT261"/>
    </row>
    <row r="262" spans="72:88" x14ac:dyDescent="0.25">
      <c r="BT262"/>
    </row>
    <row r="266" spans="72:88" x14ac:dyDescent="0.25">
      <c r="BT266"/>
    </row>
    <row r="267" spans="72:88" x14ac:dyDescent="0.25">
      <c r="CJ267" s="3"/>
    </row>
    <row r="268" spans="72:88" x14ac:dyDescent="0.25">
      <c r="BT268"/>
    </row>
    <row r="269" spans="72:88" x14ac:dyDescent="0.25">
      <c r="CJ269" s="3"/>
    </row>
    <row r="279" spans="72:88" x14ac:dyDescent="0.25">
      <c r="BT279"/>
    </row>
    <row r="280" spans="72:88" x14ac:dyDescent="0.25">
      <c r="CJ280" s="3"/>
    </row>
    <row r="282" spans="72:88" x14ac:dyDescent="0.25">
      <c r="BT282"/>
    </row>
    <row r="283" spans="72:88" x14ac:dyDescent="0.25">
      <c r="CJ283" s="3"/>
    </row>
    <row r="291" spans="72:88" x14ac:dyDescent="0.25">
      <c r="BT291"/>
    </row>
    <row r="292" spans="72:88" x14ac:dyDescent="0.25">
      <c r="CJ292" s="3"/>
    </row>
    <row r="296" spans="72:88" x14ac:dyDescent="0.25">
      <c r="BT296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16" spans="72:88" x14ac:dyDescent="0.25">
      <c r="BT316"/>
    </row>
    <row r="317" spans="72:88" x14ac:dyDescent="0.25">
      <c r="BT317"/>
      <c r="CJ317" s="3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</row>
    <row r="322" spans="72:88" x14ac:dyDescent="0.25">
      <c r="BT322"/>
    </row>
    <row r="323" spans="72:88" x14ac:dyDescent="0.25">
      <c r="BT323"/>
      <c r="CJ323" s="3"/>
    </row>
    <row r="324" spans="72:88" x14ac:dyDescent="0.25">
      <c r="BT324"/>
      <c r="CJ324" s="3"/>
    </row>
    <row r="325" spans="72:88" x14ac:dyDescent="0.25">
      <c r="CJ325" s="3"/>
    </row>
    <row r="329" spans="72:88" x14ac:dyDescent="0.25">
      <c r="BT329"/>
    </row>
    <row r="330" spans="72:88" x14ac:dyDescent="0.25">
      <c r="CJ330" s="3"/>
    </row>
    <row r="332" spans="72:88" x14ac:dyDescent="0.25">
      <c r="BT332"/>
    </row>
    <row r="333" spans="72:88" x14ac:dyDescent="0.25">
      <c r="BT333"/>
      <c r="CJ333" s="3"/>
    </row>
    <row r="334" spans="72:88" x14ac:dyDescent="0.25">
      <c r="BT334"/>
      <c r="CJ334" s="3"/>
    </row>
    <row r="335" spans="72:88" x14ac:dyDescent="0.25">
      <c r="CJ335" s="3"/>
    </row>
    <row r="351" spans="72:88" x14ac:dyDescent="0.25">
      <c r="BT351"/>
    </row>
    <row r="352" spans="72:88" x14ac:dyDescent="0.25">
      <c r="CJ352" s="3"/>
    </row>
    <row r="360" spans="72:88" x14ac:dyDescent="0.25">
      <c r="CJ360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6" spans="72:88" x14ac:dyDescent="0.25">
      <c r="BT366"/>
    </row>
    <row r="367" spans="72:88" x14ac:dyDescent="0.25">
      <c r="CJ367" s="3"/>
    </row>
    <row r="368" spans="72:88" x14ac:dyDescent="0.25">
      <c r="BT368"/>
    </row>
    <row r="369" spans="72:88" x14ac:dyDescent="0.25">
      <c r="BT369"/>
      <c r="CJ369" s="3"/>
    </row>
    <row r="370" spans="72:88" x14ac:dyDescent="0.25">
      <c r="CJ370" s="3"/>
    </row>
    <row r="372" spans="72:88" x14ac:dyDescent="0.25">
      <c r="BT372"/>
    </row>
    <row r="373" spans="72:88" x14ac:dyDescent="0.25">
      <c r="BT373"/>
      <c r="CJ373" s="3"/>
    </row>
    <row r="374" spans="72:88" x14ac:dyDescent="0.25">
      <c r="BT374"/>
      <c r="CJ374" s="3"/>
    </row>
    <row r="375" spans="72:88" x14ac:dyDescent="0.25">
      <c r="CJ375" s="3"/>
    </row>
    <row r="377" spans="72:88" x14ac:dyDescent="0.25">
      <c r="CJ377" s="3"/>
    </row>
    <row r="379" spans="72:88" x14ac:dyDescent="0.25">
      <c r="CJ379" s="3"/>
    </row>
    <row r="381" spans="72:88" x14ac:dyDescent="0.25">
      <c r="CJ381" s="3"/>
    </row>
    <row r="384" spans="72:88" x14ac:dyDescent="0.25">
      <c r="CJ384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BT390"/>
    </row>
    <row r="391" spans="72:88" x14ac:dyDescent="0.25">
      <c r="BT391"/>
      <c r="CJ391" s="3"/>
    </row>
    <row r="392" spans="72:88" x14ac:dyDescent="0.25">
      <c r="BT392"/>
      <c r="CJ392" s="3"/>
    </row>
    <row r="393" spans="72:88" x14ac:dyDescent="0.25"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8" spans="72:88" x14ac:dyDescent="0.25">
      <c r="CJ398" s="3"/>
    </row>
    <row r="399" spans="72:88" x14ac:dyDescent="0.25">
      <c r="CJ399" s="3"/>
    </row>
    <row r="400" spans="72:88" x14ac:dyDescent="0.25">
      <c r="BT400"/>
    </row>
    <row r="401" spans="72:88" x14ac:dyDescent="0.25">
      <c r="BT401"/>
      <c r="CJ401" s="3"/>
    </row>
    <row r="402" spans="72:88" x14ac:dyDescent="0.25">
      <c r="BT402"/>
      <c r="CJ402" s="3"/>
    </row>
    <row r="403" spans="72:88" x14ac:dyDescent="0.25">
      <c r="CJ403" s="3"/>
    </row>
    <row r="404" spans="72:88" x14ac:dyDescent="0.25">
      <c r="CJ404" s="3"/>
    </row>
    <row r="406" spans="72:88" x14ac:dyDescent="0.25">
      <c r="CJ406" s="3"/>
    </row>
    <row r="407" spans="72:88" x14ac:dyDescent="0.25">
      <c r="CJ407" s="3"/>
    </row>
    <row r="408" spans="72:88" x14ac:dyDescent="0.25">
      <c r="BT408"/>
      <c r="CJ408" s="3"/>
    </row>
    <row r="409" spans="72:88" x14ac:dyDescent="0.25">
      <c r="BT409"/>
      <c r="CJ409" s="3"/>
    </row>
    <row r="410" spans="72:88" x14ac:dyDescent="0.25">
      <c r="CJ410" s="3"/>
    </row>
    <row r="411" spans="72:88" x14ac:dyDescent="0.25">
      <c r="CJ411" s="3"/>
    </row>
    <row r="412" spans="72:88" x14ac:dyDescent="0.25">
      <c r="CJ412" s="3"/>
    </row>
    <row r="414" spans="72:88" x14ac:dyDescent="0.25">
      <c r="BT414"/>
      <c r="CJ414" s="3"/>
    </row>
    <row r="415" spans="72:88" x14ac:dyDescent="0.25">
      <c r="CJ415" s="3"/>
    </row>
    <row r="416" spans="72:88" x14ac:dyDescent="0.25">
      <c r="CJ416" s="3"/>
    </row>
    <row r="418" spans="72:88" x14ac:dyDescent="0.25">
      <c r="BT418"/>
      <c r="CJ418" s="3"/>
    </row>
    <row r="419" spans="72:88" x14ac:dyDescent="0.25">
      <c r="BT419"/>
      <c r="CJ419" s="3"/>
    </row>
    <row r="420" spans="72:88" x14ac:dyDescent="0.25">
      <c r="CJ420" s="3"/>
    </row>
    <row r="422" spans="72:88" x14ac:dyDescent="0.25">
      <c r="CJ422" s="3"/>
    </row>
    <row r="424" spans="72:88" x14ac:dyDescent="0.25">
      <c r="CJ424" s="3"/>
    </row>
    <row r="427" spans="72:88" x14ac:dyDescent="0.25">
      <c r="CJ427" s="3"/>
    </row>
    <row r="428" spans="72:88" x14ac:dyDescent="0.25">
      <c r="CJ428" s="3"/>
    </row>
    <row r="432" spans="72:88" x14ac:dyDescent="0.25">
      <c r="BT432"/>
    </row>
    <row r="433" spans="72:88" x14ac:dyDescent="0.25">
      <c r="BT433"/>
      <c r="CJ433" s="3"/>
    </row>
    <row r="434" spans="72:88" x14ac:dyDescent="0.25">
      <c r="BT434"/>
      <c r="CJ434" s="3"/>
    </row>
    <row r="435" spans="72:88" x14ac:dyDescent="0.25">
      <c r="CJ435" s="3"/>
    </row>
    <row r="436" spans="72:88" x14ac:dyDescent="0.25">
      <c r="CJ436" s="3"/>
    </row>
    <row r="437" spans="72:88" x14ac:dyDescent="0.25">
      <c r="BT437"/>
    </row>
    <row r="438" spans="72:88" x14ac:dyDescent="0.25">
      <c r="CJ438" s="3"/>
    </row>
    <row r="440" spans="72:88" x14ac:dyDescent="0.25">
      <c r="CJ440" s="3"/>
    </row>
    <row r="441" spans="72:88" x14ac:dyDescent="0.25">
      <c r="CJ441" s="3"/>
    </row>
    <row r="443" spans="72:88" x14ac:dyDescent="0.25">
      <c r="CJ443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1" spans="72:88" x14ac:dyDescent="0.25">
      <c r="BT451"/>
    </row>
    <row r="452" spans="72:88" x14ac:dyDescent="0.25">
      <c r="CJ452" s="3"/>
    </row>
    <row r="453" spans="72:88" x14ac:dyDescent="0.25">
      <c r="CJ453" s="3"/>
    </row>
    <row r="486" spans="8:88" x14ac:dyDescent="0.25">
      <c r="BS486" s="10"/>
      <c r="BT486" s="11"/>
    </row>
    <row r="487" spans="8:88" x14ac:dyDescent="0.25">
      <c r="H487" s="10"/>
      <c r="CJ487" s="10"/>
    </row>
    <row r="493" spans="8:88" x14ac:dyDescent="0.25">
      <c r="BT493"/>
    </row>
    <row r="494" spans="8:88" x14ac:dyDescent="0.25">
      <c r="BT494"/>
      <c r="CJ494" s="3"/>
    </row>
    <row r="495" spans="8:88" x14ac:dyDescent="0.25">
      <c r="BT495"/>
      <c r="CJ495" s="3"/>
    </row>
    <row r="496" spans="8:88" x14ac:dyDescent="0.25">
      <c r="CJ496" s="3"/>
    </row>
    <row r="513" spans="72:88" x14ac:dyDescent="0.25">
      <c r="BT513"/>
    </row>
    <row r="514" spans="72:88" x14ac:dyDescent="0.25">
      <c r="CJ514" s="3"/>
    </row>
    <row r="546" spans="72:88" x14ac:dyDescent="0.25">
      <c r="BT546"/>
    </row>
    <row r="547" spans="72:88" x14ac:dyDescent="0.25">
      <c r="BT547"/>
      <c r="CJ547" s="3"/>
    </row>
    <row r="548" spans="72:88" x14ac:dyDescent="0.25">
      <c r="CJ548" s="3"/>
    </row>
    <row r="564" spans="72:88" x14ac:dyDescent="0.25">
      <c r="BT564"/>
    </row>
    <row r="565" spans="72:88" x14ac:dyDescent="0.25">
      <c r="CJ565" s="3"/>
    </row>
    <row r="571" spans="72:88" x14ac:dyDescent="0.25">
      <c r="BT571"/>
    </row>
    <row r="572" spans="72:88" x14ac:dyDescent="0.25">
      <c r="BT572"/>
      <c r="CJ572" s="3"/>
    </row>
    <row r="573" spans="72:88" x14ac:dyDescent="0.25">
      <c r="CJ573" s="3"/>
    </row>
    <row r="578" spans="72:88" x14ac:dyDescent="0.25">
      <c r="BT578"/>
    </row>
    <row r="579" spans="72:88" x14ac:dyDescent="0.25">
      <c r="BT579"/>
      <c r="CJ579" s="3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CJ594" s="3"/>
    </row>
    <row r="598" spans="72:88" x14ac:dyDescent="0.25">
      <c r="BT598"/>
    </row>
    <row r="599" spans="72:88" x14ac:dyDescent="0.25">
      <c r="BT599"/>
      <c r="CJ599" s="3"/>
    </row>
    <row r="600" spans="72:88" x14ac:dyDescent="0.25">
      <c r="CJ600" s="3"/>
    </row>
    <row r="601" spans="72:88" x14ac:dyDescent="0.25">
      <c r="BT601"/>
    </row>
    <row r="602" spans="72:88" x14ac:dyDescent="0.25">
      <c r="CJ602" s="3"/>
    </row>
    <row r="605" spans="72:88" x14ac:dyDescent="0.25">
      <c r="BT605"/>
    </row>
    <row r="606" spans="72:88" x14ac:dyDescent="0.25">
      <c r="BT606"/>
      <c r="CJ606" s="3"/>
    </row>
    <row r="607" spans="72:88" x14ac:dyDescent="0.25">
      <c r="CJ607" s="3"/>
    </row>
    <row r="638" spans="72:88" x14ac:dyDescent="0.25">
      <c r="BT638"/>
    </row>
    <row r="639" spans="72:88" x14ac:dyDescent="0.25">
      <c r="BT639"/>
      <c r="CJ639" s="3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CJ646" s="3"/>
    </row>
    <row r="648" spans="72:88" x14ac:dyDescent="0.25">
      <c r="BT648"/>
    </row>
    <row r="649" spans="72:88" x14ac:dyDescent="0.25">
      <c r="CJ649" s="3"/>
    </row>
    <row r="653" spans="72:88" x14ac:dyDescent="0.25">
      <c r="BT653"/>
    </row>
    <row r="654" spans="72:88" x14ac:dyDescent="0.25">
      <c r="CJ654" s="3"/>
    </row>
    <row r="657" spans="72:88" x14ac:dyDescent="0.25">
      <c r="BT657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CJ661" s="3"/>
    </row>
    <row r="668" spans="72:88" x14ac:dyDescent="0.25">
      <c r="BT668"/>
    </row>
    <row r="669" spans="72:88" x14ac:dyDescent="0.25">
      <c r="CJ669" s="3"/>
    </row>
    <row r="672" spans="72:88" x14ac:dyDescent="0.25">
      <c r="BT672"/>
    </row>
    <row r="673" spans="72:88" x14ac:dyDescent="0.25">
      <c r="BT673"/>
      <c r="CJ673" s="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CJ676" s="3"/>
    </row>
    <row r="678" spans="72:88" x14ac:dyDescent="0.25">
      <c r="BT678"/>
    </row>
    <row r="679" spans="72:88" x14ac:dyDescent="0.25">
      <c r="BT679"/>
      <c r="CJ679" s="3"/>
    </row>
    <row r="680" spans="72:88" x14ac:dyDescent="0.25">
      <c r="CJ680" s="3"/>
    </row>
    <row r="681" spans="72:88" x14ac:dyDescent="0.25">
      <c r="CJ681">
        <v>0.15</v>
      </c>
    </row>
    <row r="683" spans="72:88" x14ac:dyDescent="0.25">
      <c r="CJ683">
        <v>0.2</v>
      </c>
    </row>
    <row r="684" spans="72:88" x14ac:dyDescent="0.25">
      <c r="CJ684">
        <v>0.1</v>
      </c>
    </row>
    <row r="686" spans="72:88" x14ac:dyDescent="0.25">
      <c r="CJ686">
        <v>0.2</v>
      </c>
    </row>
    <row r="693" spans="72:88" x14ac:dyDescent="0.25">
      <c r="CJ693">
        <v>1</v>
      </c>
    </row>
    <row r="695" spans="72:88" x14ac:dyDescent="0.25">
      <c r="CJ695">
        <v>0.4</v>
      </c>
    </row>
    <row r="696" spans="72:88" x14ac:dyDescent="0.25">
      <c r="CJ696">
        <v>0.6</v>
      </c>
    </row>
    <row r="699" spans="72:88" x14ac:dyDescent="0.25">
      <c r="CJ699">
        <v>0.5</v>
      </c>
    </row>
    <row r="700" spans="72:88" x14ac:dyDescent="0.25">
      <c r="CJ700">
        <v>0.66700000000000004</v>
      </c>
    </row>
    <row r="701" spans="72:88" x14ac:dyDescent="0.25">
      <c r="CJ701">
        <v>0.2</v>
      </c>
    </row>
    <row r="704" spans="72:88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CJ713" s="3"/>
    </row>
    <row r="714" spans="72:88" x14ac:dyDescent="0.25">
      <c r="BT714"/>
    </row>
    <row r="715" spans="72:88" x14ac:dyDescent="0.25">
      <c r="CJ715" s="3"/>
    </row>
    <row r="724" spans="72:88" x14ac:dyDescent="0.25">
      <c r="BT724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CJ732" s="3"/>
    </row>
    <row r="733" spans="72:88" x14ac:dyDescent="0.25">
      <c r="BT733"/>
    </row>
    <row r="734" spans="72:88" x14ac:dyDescent="0.25">
      <c r="CJ734" s="3"/>
    </row>
    <row r="739" spans="72:88" x14ac:dyDescent="0.25">
      <c r="BT739"/>
    </row>
    <row r="740" spans="72:88" x14ac:dyDescent="0.25">
      <c r="BT740"/>
      <c r="CJ740" s="3"/>
    </row>
    <row r="741" spans="72:88" x14ac:dyDescent="0.25">
      <c r="CJ741" s="3"/>
    </row>
    <row r="742" spans="72:88" x14ac:dyDescent="0.25">
      <c r="BT742"/>
    </row>
    <row r="743" spans="72:88" x14ac:dyDescent="0.25">
      <c r="BT743"/>
      <c r="CJ743" s="3"/>
    </row>
    <row r="744" spans="72:88" x14ac:dyDescent="0.25">
      <c r="CJ744" s="3"/>
    </row>
    <row r="745" spans="72:88" x14ac:dyDescent="0.25">
      <c r="BT745"/>
    </row>
    <row r="746" spans="72:88" x14ac:dyDescent="0.25">
      <c r="BT746"/>
      <c r="CJ746" s="3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CJ749" s="3"/>
    </row>
    <row r="753" spans="8:88" x14ac:dyDescent="0.25">
      <c r="BT753"/>
    </row>
    <row r="754" spans="8:88" x14ac:dyDescent="0.25">
      <c r="BT754"/>
      <c r="CJ754" s="3"/>
    </row>
    <row r="755" spans="8:88" x14ac:dyDescent="0.25">
      <c r="BT755"/>
      <c r="CJ755" s="3"/>
    </row>
    <row r="756" spans="8:88" x14ac:dyDescent="0.25">
      <c r="CJ756" s="3"/>
    </row>
    <row r="757" spans="8:88" x14ac:dyDescent="0.25">
      <c r="BT757"/>
    </row>
    <row r="758" spans="8:88" x14ac:dyDescent="0.25">
      <c r="CJ758" s="3"/>
    </row>
    <row r="759" spans="8:88" x14ac:dyDescent="0.25">
      <c r="BS759" s="10"/>
      <c r="BT759" s="11"/>
    </row>
    <row r="760" spans="8:88" x14ac:dyDescent="0.25">
      <c r="H760" s="10"/>
      <c r="CJ760" s="10"/>
    </row>
    <row r="777" spans="71:88" x14ac:dyDescent="0.25">
      <c r="BT777"/>
    </row>
    <row r="778" spans="71:88" x14ac:dyDescent="0.25">
      <c r="BT778"/>
      <c r="CJ778" s="3"/>
    </row>
    <row r="779" spans="71:88" x14ac:dyDescent="0.25">
      <c r="BT779"/>
      <c r="CJ779" s="3"/>
    </row>
    <row r="780" spans="71:88" x14ac:dyDescent="0.25">
      <c r="BT780"/>
      <c r="CJ780" s="3"/>
    </row>
    <row r="781" spans="71:88" x14ac:dyDescent="0.25">
      <c r="CJ781" s="3"/>
    </row>
    <row r="782" spans="71:88" x14ac:dyDescent="0.25">
      <c r="BT782"/>
    </row>
    <row r="783" spans="71:88" x14ac:dyDescent="0.25">
      <c r="BT783"/>
      <c r="CJ783" s="3"/>
    </row>
    <row r="784" spans="71:88" x14ac:dyDescent="0.25">
      <c r="BS784" s="10"/>
      <c r="BT784" s="11"/>
      <c r="CJ784" s="3"/>
    </row>
    <row r="785" spans="8:88" x14ac:dyDescent="0.25">
      <c r="H785" s="10"/>
      <c r="CJ785" s="10"/>
    </row>
    <row r="788" spans="8:88" x14ac:dyDescent="0.25">
      <c r="BT788"/>
    </row>
    <row r="789" spans="8:88" x14ac:dyDescent="0.25">
      <c r="BT789"/>
      <c r="CJ789" s="3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CJ796" s="3"/>
    </row>
    <row r="798" spans="8:88" x14ac:dyDescent="0.25">
      <c r="BT798"/>
    </row>
    <row r="799" spans="8:88" x14ac:dyDescent="0.25">
      <c r="BT799"/>
      <c r="CJ799" s="3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CJ804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CJ835" s="3"/>
    </row>
    <row r="836" spans="72:88" x14ac:dyDescent="0.25">
      <c r="BT836"/>
    </row>
    <row r="837" spans="72:88" x14ac:dyDescent="0.25">
      <c r="BT837"/>
      <c r="CJ837" s="3"/>
    </row>
    <row r="838" spans="72:88" x14ac:dyDescent="0.25">
      <c r="BT838"/>
      <c r="CJ838" s="3"/>
    </row>
    <row r="839" spans="72:88" x14ac:dyDescent="0.25">
      <c r="CJ839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1" sqref="A21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354</v>
      </c>
      <c r="F1" t="s">
        <v>355</v>
      </c>
      <c r="G1" t="s">
        <v>356</v>
      </c>
      <c r="H1" t="s">
        <v>357</v>
      </c>
      <c r="I1" t="s">
        <v>358</v>
      </c>
      <c r="J1" t="s">
        <v>359</v>
      </c>
      <c r="L1" t="s">
        <v>360</v>
      </c>
      <c r="M1" t="s">
        <v>361</v>
      </c>
      <c r="N1" t="s">
        <v>362</v>
      </c>
      <c r="O1" t="s">
        <v>363</v>
      </c>
    </row>
    <row r="2" spans="1:16" x14ac:dyDescent="0.25">
      <c r="A2" t="s">
        <v>0</v>
      </c>
      <c r="C2" t="s">
        <v>46</v>
      </c>
      <c r="D2" t="s">
        <v>75</v>
      </c>
      <c r="E2" t="s">
        <v>364</v>
      </c>
      <c r="F2" t="s">
        <v>365</v>
      </c>
      <c r="G2" t="s">
        <v>366</v>
      </c>
      <c r="H2" t="s">
        <v>367</v>
      </c>
      <c r="I2" t="s">
        <v>368</v>
      </c>
      <c r="J2" t="s">
        <v>369</v>
      </c>
      <c r="K2" t="s">
        <v>370</v>
      </c>
      <c r="L2" t="s">
        <v>51</v>
      </c>
      <c r="M2" t="s">
        <v>371</v>
      </c>
      <c r="N2" t="s">
        <v>372</v>
      </c>
      <c r="O2" t="s">
        <v>373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t="s">
        <v>511</v>
      </c>
      <c r="C4" t="s">
        <v>539</v>
      </c>
      <c r="H4">
        <v>1</v>
      </c>
      <c r="J4" t="s">
        <v>540</v>
      </c>
      <c r="P4" t="s">
        <v>541</v>
      </c>
    </row>
    <row r="5" spans="1:16" x14ac:dyDescent="0.25">
      <c r="A5" t="s">
        <v>518</v>
      </c>
      <c r="C5" t="s">
        <v>542</v>
      </c>
      <c r="H5">
        <v>1</v>
      </c>
      <c r="J5" t="s">
        <v>543</v>
      </c>
      <c r="P5" t="s">
        <v>544</v>
      </c>
    </row>
    <row r="6" spans="1:16" s="14" customFormat="1" x14ac:dyDescent="0.25">
      <c r="A6" s="14" t="s">
        <v>520</v>
      </c>
      <c r="C6" s="14" t="s">
        <v>539</v>
      </c>
      <c r="H6" s="14">
        <v>1</v>
      </c>
      <c r="P6" s="14" t="s">
        <v>545</v>
      </c>
    </row>
    <row r="7" spans="1:16" x14ac:dyDescent="0.25">
      <c r="A7" t="s">
        <v>546</v>
      </c>
      <c r="C7" t="s">
        <v>547</v>
      </c>
      <c r="H7">
        <v>1</v>
      </c>
      <c r="N7">
        <v>1</v>
      </c>
      <c r="P7" t="s">
        <v>548</v>
      </c>
    </row>
    <row r="8" spans="1:16" x14ac:dyDescent="0.25">
      <c r="A8" t="s">
        <v>549</v>
      </c>
      <c r="C8" t="s">
        <v>547</v>
      </c>
      <c r="H8">
        <v>1</v>
      </c>
      <c r="N8">
        <v>1</v>
      </c>
      <c r="P8" t="s">
        <v>550</v>
      </c>
    </row>
    <row r="9" spans="1:16" s="14" customFormat="1" x14ac:dyDescent="0.25">
      <c r="A9" s="14" t="s">
        <v>557</v>
      </c>
      <c r="C9" s="14" t="s">
        <v>606</v>
      </c>
      <c r="H9" s="14">
        <v>1</v>
      </c>
      <c r="K9"/>
    </row>
    <row r="10" spans="1:16" x14ac:dyDescent="0.25">
      <c r="A10" t="s">
        <v>577</v>
      </c>
      <c r="C10" t="s">
        <v>539</v>
      </c>
      <c r="H10">
        <v>1</v>
      </c>
      <c r="P10" t="s">
        <v>541</v>
      </c>
    </row>
    <row r="11" spans="1:16" s="14" customFormat="1" x14ac:dyDescent="0.25">
      <c r="A11" s="14" t="s">
        <v>575</v>
      </c>
      <c r="C11" s="14" t="s">
        <v>606</v>
      </c>
      <c r="H11" s="14">
        <v>1</v>
      </c>
      <c r="K11"/>
    </row>
    <row r="12" spans="1:16" s="14" customFormat="1" x14ac:dyDescent="0.25">
      <c r="A12" s="14" t="s">
        <v>574</v>
      </c>
      <c r="C12" s="14" t="s">
        <v>606</v>
      </c>
      <c r="H12" s="14">
        <v>1</v>
      </c>
      <c r="K12"/>
    </row>
    <row r="13" spans="1:16" x14ac:dyDescent="0.25">
      <c r="A13" t="s">
        <v>607</v>
      </c>
      <c r="C13" t="s">
        <v>200</v>
      </c>
      <c r="P13" t="s">
        <v>608</v>
      </c>
    </row>
    <row r="14" spans="1:16" s="14" customFormat="1" x14ac:dyDescent="0.25">
      <c r="A14" s="14" t="s">
        <v>591</v>
      </c>
      <c r="C14" s="14" t="s">
        <v>539</v>
      </c>
      <c r="H14" s="14">
        <v>1</v>
      </c>
      <c r="J14"/>
      <c r="P14" s="14" t="s">
        <v>609</v>
      </c>
    </row>
    <row r="15" spans="1:16" x14ac:dyDescent="0.25">
      <c r="A15" t="s">
        <v>610</v>
      </c>
      <c r="C15" t="s">
        <v>539</v>
      </c>
      <c r="P15" t="s">
        <v>611</v>
      </c>
    </row>
    <row r="16" spans="1:16" x14ac:dyDescent="0.25">
      <c r="A16" t="s">
        <v>612</v>
      </c>
      <c r="C16" t="s">
        <v>542</v>
      </c>
      <c r="H16">
        <v>1</v>
      </c>
      <c r="J16" t="s">
        <v>543</v>
      </c>
      <c r="P16" t="s">
        <v>544</v>
      </c>
    </row>
    <row r="17" spans="1:16" x14ac:dyDescent="0.25">
      <c r="A17" t="s">
        <v>613</v>
      </c>
      <c r="C17" s="14" t="s">
        <v>606</v>
      </c>
      <c r="J17" t="s">
        <v>614</v>
      </c>
    </row>
    <row r="18" spans="1:16" s="14" customFormat="1" x14ac:dyDescent="0.25">
      <c r="A18" s="14" t="s">
        <v>592</v>
      </c>
      <c r="C18" s="14" t="s">
        <v>606</v>
      </c>
      <c r="H18" s="14">
        <v>1</v>
      </c>
      <c r="J18" t="s">
        <v>615</v>
      </c>
    </row>
    <row r="19" spans="1:16" x14ac:dyDescent="0.25">
      <c r="A19" t="s">
        <v>616</v>
      </c>
      <c r="C19" t="s">
        <v>200</v>
      </c>
      <c r="P19" t="s">
        <v>617</v>
      </c>
    </row>
    <row r="20" spans="1:16" x14ac:dyDescent="0.25">
      <c r="A20" s="8" t="s">
        <v>645</v>
      </c>
      <c r="C20" s="8" t="s">
        <v>618</v>
      </c>
      <c r="P20" s="8" t="s">
        <v>619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374</v>
      </c>
    </row>
    <row r="2" spans="1:4" x14ac:dyDescent="0.25">
      <c r="A2" t="s">
        <v>0</v>
      </c>
      <c r="B2" t="s">
        <v>46</v>
      </c>
      <c r="C2" t="s">
        <v>375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topLeftCell="B1" workbookViewId="0">
      <selection activeCell="E6" sqref="E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376</v>
      </c>
      <c r="E2" t="s">
        <v>70</v>
      </c>
      <c r="F2" t="s">
        <v>377</v>
      </c>
      <c r="G2" t="s">
        <v>378</v>
      </c>
      <c r="H2" t="s">
        <v>379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446</v>
      </c>
    </row>
    <row r="4" spans="1:9" x14ac:dyDescent="0.25">
      <c r="A4" s="8" t="s">
        <v>478</v>
      </c>
      <c r="B4" s="8" t="s">
        <v>475</v>
      </c>
      <c r="C4" t="s">
        <v>434</v>
      </c>
      <c r="E4">
        <v>10</v>
      </c>
      <c r="H4">
        <v>1</v>
      </c>
      <c r="I4" s="8" t="s">
        <v>552</v>
      </c>
    </row>
    <row r="5" spans="1:9" x14ac:dyDescent="0.25">
      <c r="A5" t="s">
        <v>510</v>
      </c>
      <c r="B5" t="s">
        <v>537</v>
      </c>
      <c r="C5" t="s">
        <v>434</v>
      </c>
      <c r="E5">
        <v>10</v>
      </c>
      <c r="H5">
        <v>1</v>
      </c>
      <c r="I5" s="8" t="s">
        <v>551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H1" t="s">
        <v>385</v>
      </c>
      <c r="I1" t="s">
        <v>386</v>
      </c>
      <c r="J1" t="s">
        <v>387</v>
      </c>
      <c r="K1" t="s">
        <v>388</v>
      </c>
      <c r="L1" t="s">
        <v>389</v>
      </c>
    </row>
    <row r="2" spans="1:12" x14ac:dyDescent="0.25">
      <c r="A2" t="s">
        <v>0</v>
      </c>
      <c r="B2" t="s">
        <v>390</v>
      </c>
      <c r="C2" t="s">
        <v>391</v>
      </c>
      <c r="D2" t="s">
        <v>392</v>
      </c>
      <c r="E2" t="s">
        <v>393</v>
      </c>
      <c r="F2" t="s">
        <v>394</v>
      </c>
      <c r="G2" t="s">
        <v>395</v>
      </c>
      <c r="H2" t="s">
        <v>396</v>
      </c>
      <c r="I2" t="s">
        <v>397</v>
      </c>
      <c r="J2" t="s">
        <v>398</v>
      </c>
      <c r="K2" t="s">
        <v>377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399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400</v>
      </c>
      <c r="E2" t="s">
        <v>401</v>
      </c>
      <c r="F2" t="s">
        <v>77</v>
      </c>
      <c r="G2" t="s">
        <v>402</v>
      </c>
      <c r="H2" t="s">
        <v>256</v>
      </c>
      <c r="I2" t="s">
        <v>403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404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2025-09-13T15:59:43Z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