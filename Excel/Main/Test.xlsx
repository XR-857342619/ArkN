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850151D1-62F9-49FF-829F-EB16DB3B6A56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F15" i="1"/>
  <c r="BF14" i="1"/>
  <c r="BE14" i="1"/>
  <c r="F13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<sst xmlns="http://schemas.openxmlformats.org/spreadsheetml/2006/main" count="1189" uniqueCount="661">
  <si>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</si>
  <si>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</si>
  <si>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</si>
  <si>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</si>
  <si>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</si>
  <si>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</si>
  <si>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</si>
  <si>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</si>
  <si>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</si>
  <si>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</si>
  <si>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</si>
  <si>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</si>
  <si>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</si>
  <si>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</si>
  <si>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</si>
  <si>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</si>
  <si>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</si>
  <si>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</si>
  <si>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</si>
  <si>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</si>
  <si>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</si>
  <si>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</si>
  <si>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</si>
  <si>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</si>
  <si>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</si>
  <si>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</si>
  <si>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</si>
  <si>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</si>
  <si>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</si>
  <si>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</si>
  <si>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</si>
  <si>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</si>
  <si>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</si>
  <si>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</si>
  <si>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</si>
  <si>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</si>
  <si>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</si>
  <si>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</si>
  <si>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</si>
  <si>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</si>
  <si>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</si>
  <si>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</si>
  <si>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</si>
  <si>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</si>
  <si>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</si>
  <si>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</si>
  <si>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</si>
  <si>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</si>
  <si>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</si>
  <si>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</si>
  <si>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</si>
  <si>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</si>
  <si>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</si>
  <si>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</si>
  <si>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</si>
  <si>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</si>
  <si>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</si>
  <si>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</si>
  <si>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</si>
  <si>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</si>
  <si>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</si>
  <si>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</si>
  <si>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</si>
  <si>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</si>
  <si>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</si>
  <si>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</si>
  <si>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</si>
  <si>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</si>
  <si>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</si>
  <si>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</si>
  <si>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</si>
  <si>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</si>
  <si>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</si>
  <si>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</si>
  <si>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</si>
  <si>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</si>
  <si>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</si>
  <si>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</si>
  <si>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</si>
  <si>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</si>
  <si>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</si>
  <si>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</si>
  <si>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</si>
  <si>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</si>
  <si>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</si>
  <si>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</si>
  <si>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</si>
  <si>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</si>
  <si>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</si>
  <si>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</si>
  <si>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</si>
  <si>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</si>
  <si>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</si>
  <si>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</si>
  <si>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</si>
  <si>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</si>
  <si>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</si>
  <si>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</si>
  <si>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</si>
  <si>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</si>
  <si>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</si>
  <si>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</si>
  <si>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</si>
  <si>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</si>
  <si>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</si>
  <si>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</si>
  <si>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</si>
  <si>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</si>
  <si>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</si>
  <si>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</si>
  <si>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</si>
  <si>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</si>
  <si>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</si>
  <si>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</si>
  <si>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</si>
  <si>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</si>
  <si>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</si>
  <si>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</si>
  <si>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</si>
  <si>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</si>
  <si>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</si>
  <si>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</si>
  <si>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</si>
  <si>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</si>
  <si>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</si>
  <si>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</si>
  <si>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</si>
  <si>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</si>
  <si>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</si>
  <si>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</si>
  <si>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</si>
  <si>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</si>
  <si>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</si>
  <si>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</si>
  <si>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</si>
  <si>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</si>
  <si>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</si>
  <si>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</si>
  <si>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</si>
  <si>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</si>
  <si>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</si>
  <si>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</si>
  <si>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</si>
  <si>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</si>
  <si>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</si>
  <si>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</si>
  <si>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</si>
  <si>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</si>
  <si>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</si>
  <si>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</si>
  <si>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</si>
  <si>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</si>
  <si>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</si>
  <si>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</si>
  <si>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</si>
  <si>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</si>
  <si>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</si>
  <si>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</si>
  <si>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</si>
  <si>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</si>
  <si>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</si>
  <si>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</si>
  <si>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</si>
  <si>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</si>
  <si>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</si>
  <si>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</si>
  <si>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</si>
  <si>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</si>
  <si>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</si>
  <si>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</si>
  <si>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</si>
  <si>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</si>
  <si>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</si>
  <si>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</si>
  <si>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</si>
  <si>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</si>
  <si>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</si>
  <si>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</si>
  <si>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</si>
  <si>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</si>
  <si>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</si>
  <si>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</si>
  <si>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</si>
  <si>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</si>
  <si>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</si>
  <si>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</si>
  <si>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</si>
  <si>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</si>
  <si>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</si>
  <si>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</si>
  <si>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</si>
  <si>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</si>
  <si>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</si>
  <si>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</si>
  <si>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</si>
  <si>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</si>
  <si>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</si>
  <si>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</si>
  <si>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</si>
  <si>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</si>
  <si>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</si>
  <si>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</si>
  <si>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</si>
  <si>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</si>
  <si>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</si>
  <si>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</si>
  <si>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</si>
  <si>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</si>
  <si>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</si>
  <si>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</si>
  <si>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</si>
  <si>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</si>
  <si>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</si>
  <si>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</si>
  <si>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</si>
  <si>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</si>
  <si>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</si>
  <si>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</si>
  <si>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</si>
  <si>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</si>
  <si>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</si>
  <si>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</si>
  <si>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</si>
  <si>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</si>
  <si>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</si>
  <si>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</si>
  <si>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</si>
  <si>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</si>
  <si>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</si>
  <si>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</si>
  <si>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</si>
  <si>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</si>
  <si>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</si>
  <si>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</si>
  <si>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</si>
  <si>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</si>
  <si>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</si>
  <si>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</si>
  <si>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</si>
  <si>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</si>
  <si>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</si>
  <si>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</si>
  <si>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</si>
  <si>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</si>
  <si>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</si>
  <si>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</si>
  <si>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</si>
  <si>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</si>
  <si>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</si>
  <si>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</si>
  <si>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</si>
  <si>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</si>
  <si>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</si>
  <si>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</si>
  <si>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</si>
  <si>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</si>
  <si>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</si>
  <si>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</si>
  <si>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</si>
  <si>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</si>
  <si>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</si>
  <si>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</si>
  <si>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</si>
  <si>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</si>
  <si>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</si>
  <si>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</si>
  <si>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</si>
  <si>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</si>
  <si>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</si>
  <si>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</si>
  <si>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</si>
  <si>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</si>
  <si>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</si>
  <si>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</si>
  <si>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</si>
  <si>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</si>
  <si>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</si>
  <si>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</si>
  <si>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</si>
  <si>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</si>
  <si>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</si>
  <si>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</si>
  <si>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</si>
  <si>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</si>
  <si>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</si>
  <si>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</si>
  <si>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</si>
  <si>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</si>
  <si>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</si>
  <si>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</si>
  <si>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</si>
  <si>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</si>
  <si>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</si>
  <si>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</si>
  <si>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</si>
  <si>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</si>
  <si>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</si>
  <si>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</si>
  <si>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</si>
  <si>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</si>
  <si>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</si>
  <si>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</si>
  <si>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</si>
  <si>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</si>
  <si>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</si>
  <si>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</si>
  <si>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</si>
  <si>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</si>
  <si>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</si>
  <si>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</si>
  <si>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</si>
  <si>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</si>
  <si>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</si>
  <si>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</si>
  <si>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</si>
  <si>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</si>
  <si>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</si>
  <si>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</si>
  <si>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</si>
  <si>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</si>
  <si>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</si>
  <si>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</si>
  <si>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</si>
  <si>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</si>
  <si>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</si>
  <si>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</si>
  <si>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</si>
  <si>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</si>
  <si>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</si>
  <si>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</si>
  <si>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</si>
  <si>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</si>
  <si>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</si>
  <si>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</si>
  <si>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</si>
  <si>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</si>
  <si>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</si>
  <si>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</si>
  <si>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</si>
  <si>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</si>
  <si>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</si>
  <si>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</si>
  <si>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</si>
  <si>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</si>
  <si>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</si>
  <si>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</si>
  <si>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</si>
  <si>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</si>
  <si>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</si>
  <si>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</si>
  <si>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</si>
  <si>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</si>
  <si>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</si>
  <si>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</si>
  <si>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</si>
  <si>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</si>
  <si>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</si>
  <si>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</si>
  <si>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</si>
  <si>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</si>
  <si>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</si>
  <si>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</si>
  <si>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</si>
  <si>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</si>
  <si>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</si>
  <si>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</si>
  <si>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</si>
  <si>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</si>
  <si>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</si>
  <si>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</si>
  <si>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</si>
  <si>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</si>
  <si>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</si>
  <si>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</si>
  <si>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</si>
  <si>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</si>
  <si>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</si>
  <si>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</si>
  <si>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</si>
  <si>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</si>
  <si>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</si>
  <si>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</si>
  <si>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</si>
  <si>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</si>
  <si>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</si>
  <si>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</si>
  <si>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</si>
  <si>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</si>
  <si>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</si>
  <si>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</si>
  <si>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</si>
  <si>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</si>
  <si>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</si>
  <si>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</si>
  <si>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</si>
  <si>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</si>
  <si>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</si>
  <si>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</si>
  <si>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</si>
  <si>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</si>
  <si>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</si>
  <si>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</si>
  <si>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</si>
  <si>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</si>
  <si>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</si>
  <si>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</si>
  <si>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</si>
  <si>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</si>
  <si>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</si>
  <si>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</si>
  <si>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</si>
  <si>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</si>
  <si>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</si>
  <si>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</si>
  <si>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</si>
  <si>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</si>
  <si>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</si>
  <si>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</si>
  <si>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</si>
  <si>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</si>
  <si>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</si>
  <si>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</si>
  <si>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</si>
  <si>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</si>
  <si>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</si>
  <si>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</si>
  <si>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</si>
  <si>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</si>
  <si>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</si>
  <si>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</si>
  <si>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</si>
  <si>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</si>
  <si>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</si>
  <si>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</si>
  <si>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</si>
  <si>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</si>
  <si>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</si>
  <si>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</si>
  <si>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</si>
  <si>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</si>
  <si>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</si>
  <si>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</si>
  <si>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</si>
  <si>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</si>
  <si>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</si>
  <si>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</si>
  <si>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</si>
  <si>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</si>
  <si>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</si>
  <si>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</si>
  <si>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</si>
  <si>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</si>
  <si>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</si>
  <si>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</si>
  <si>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</si>
  <si>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</si>
  <si>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</si>
  <si>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</si>
  <si>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</si>
  <si>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</si>
  <si>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</si>
  <si>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</si>
  <si>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</si>
  <si>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</si>
  <si>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</si>
  <si>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</si>
  <si>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</si>
  <si>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</si>
  <si>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</si>
  <si>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</si>
  <si>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</si>
  <si>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</si>
  <si>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</si>
  <si>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</si>
  <si>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</si>
  <si>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</si>
  <si>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</si>
  <si>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</si>
  <si>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</si>
  <si>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</si>
  <si>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</si>
  <si>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</si>
  <si>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</si>
  <si>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</si>
  <si>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</si>
  <si>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</si>
  <si>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</si>
  <si>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</si>
  <si>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</si>
  <si>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</si>
  <si>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</si>
  <si>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</si>
  <si>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</si>
  <si>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</si>
  <si>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</si>
  <si>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</si>
  <si>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</si>
  <si>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</si>
  <si>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</si>
  <si>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</si>
  <si>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</si>
  <si>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</si>
  <si>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</si>
  <si>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</si>
  <si>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</si>
  <si>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</si>
  <si>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</si>
  <si>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</si>
  <si>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</si>
  <si>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</si>
  <si>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</si>
  <si>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</si>
  <si>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</si>
  <si>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</si>
  <si>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</si>
  <si>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</si>
  <si>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</si>
  <si>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</si>
  <si>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</si>
  <si>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</si>
  <si>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</si>
  <si>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</si>
  <si>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</si>
  <si>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</si>
  <si>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</si>
  <si>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</si>
  <si>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</si>
  <si>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</si>
  <si>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</si>
  <si>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</si>
  <si>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</si>
  <si>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</si>
  <si>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</si>
  <si>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</si>
  <si>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</si>
  <si>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</si>
  <si>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</si>
  <si>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</si>
  <si>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</si>
  <si>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</si>
  <si>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</si>
  <si>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</si>
  <si>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</si>
  <si>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</si>
  <si>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</si>
  <si>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</si>
  <si>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</si>
  <si>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</si>
  <si>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</si>
  <si>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</si>
  <si>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</si>
  <si>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8" type="noConversion"/>
  </si>
  <si>
    <t>{"MoveHeight":0,"MaxLinkNum":10,"ReductionRate":0.25,"SkillId":"链式弹道索敌","CanBack":"false"}</t>
    <phoneticPr fontId="8" type="noConversion"/>
  </si>
  <si>
    <t>{"ShowRange":1}</t>
    <phoneticPr fontId="8" type="noConversion"/>
  </si>
  <si>
    <t>禁止主动</t>
    <phoneticPr fontId="8" type="noConversion"/>
  </si>
  <si>
    <t>放置降序</t>
    <phoneticPr fontId="8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</si>
  <si>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</si>
  <si>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</si>
  <si>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</si>
  <si>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</si>
  <si>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</si>
  <si>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</si>
  <si>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</si>
  <si>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</si>
  <si>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</si>
  <si>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</si>
  <si>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</si>
  <si>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</si>
  <si>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</si>
  <si>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</si>
  <si>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</si>
  <si>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</si>
  <si>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</si>
  <si>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</si>
  <si>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</si>
  <si>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</si>
  <si>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</si>
  <si>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</si>
  <si>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</si>
  <si>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</si>
  <si>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</si>
  <si>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</si>
  <si>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</si>
  <si>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</si>
  <si>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</si>
  <si>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</si>
  <si>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</si>
  <si>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</si>
  <si>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</si>
  <si>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</si>
  <si>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</si>
  <si>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</si>
  <si>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</si>
  <si>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</si>
  <si>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</si>
  <si>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</si>
  <si>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</si>
  <si>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</si>
  <si>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</si>
  <si>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</si>
  <si>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</si>
  <si>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</si>
  <si>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</si>
  <si>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</si>
  <si>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</si>
  <si>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</si>
  <si>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</si>
  <si>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</si>
  <si>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</si>
  <si>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</si>
  <si>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</si>
  <si>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</si>
  <si>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</si>
  <si>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</si>
  <si>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</si>
  <si>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</si>
  <si>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</si>
  <si>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8" type="noConversion"/>
  </si>
  <si>
    <t>{"t":["ModelScale"],"v":[0.25]}</t>
    <phoneticPr fontId="8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</si>
  <si>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</si>
  <si>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</si>
  <si>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</si>
  <si>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</si>
  <si>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</si>
  <si>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</si>
  <si>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</si>
  <si>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</si>
  <si>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</si>
  <si>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</si>
  <si>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</si>
  <si>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</si>
  <si>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</si>
  <si>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</si>
  <si>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</si>
  <si>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</si>
  <si>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8" type="noConversion"/>
  </si>
  <si>
    <t>重构体</t>
    <phoneticPr fontId="8" type="noConversion"/>
  </si>
  <si>
    <t>{"UnitId":"猫诱导后续","TargetPos":"useSelfPos","SetMod":"Add","UseMod":"UserDirection","UserName":"猫诱导"}</t>
    <phoneticPr fontId="8" type="noConversion"/>
  </si>
  <si>
    <t>#m33重构体</t>
    <phoneticPr fontId="8" type="noConversion"/>
  </si>
  <si>
    <t>#重构体死亡</t>
    <phoneticPr fontId="8" type="noConversion"/>
  </si>
  <si>
    <t>#获取地面m3</t>
    <phoneticPr fontId="8" type="noConversion"/>
  </si>
  <si>
    <t>m33自身结束,高台m3buff</t>
    <phoneticPr fontId="8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</si>
  <si>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8" type="noConversion"/>
  </si>
  <si>
    <t>Skill_3_Back</t>
    <phoneticPr fontId="8" type="noConversion"/>
  </si>
  <si>
    <t>#模型缩小</t>
    <phoneticPr fontId="8" type="noConversion"/>
  </si>
  <si>
    <t>技力回复变化,无敌,缴械</t>
    <phoneticPr fontId="8" type="noConversion"/>
  </si>
  <si>
    <t>m33启动,部署地面m3,高台m3buff</t>
    <phoneticPr fontId="8" type="noConversion"/>
  </si>
  <si>
    <t>致命</t>
    <phoneticPr fontId="8" type="noConversion"/>
  </si>
  <si>
    <t>Mon3tr</t>
    <phoneticPr fontId="8" type="noConversion"/>
  </si>
  <si>
    <t>{"UnitId":"地面M3","TargetPos":"useSelfTargetPos","SetMod":"Replace","UseMod":"UserDirection","UserName":"Mon3tr"}</t>
    <phoneticPr fontId="8" type="noConversion"/>
  </si>
  <si>
    <t>Skill_3_Begin</t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</si>
  <si>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</si>
  <si>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</si>
  <si>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</si>
  <si>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</si>
  <si>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m3攻速提升buff,m32攻速提升buff</t>
    <phoneticPr fontId="8" type="noConversion"/>
  </si>
  <si>
    <t>#m32重构体</t>
    <phoneticPr fontId="8" type="noConversion"/>
  </si>
  <si>
    <t>m32攻击,m32结束,m32自身结束</t>
    <phoneticPr fontId="8" type="noConversion"/>
  </si>
  <si>
    <t>自己以外</t>
    <phoneticPr fontId="8" type="noConversion"/>
  </si>
  <si>
    <t>#重构体消除自身buff</t>
    <phoneticPr fontId="8" type="noConversion"/>
  </si>
  <si>
    <t>被治疗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</si>
</sst>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"/>
  <sheetViews>
    <sheetView workbookViewId="0">
      <selection activeCell="B5" sqref="B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479</v>
      </c>
      <c r="B4" s="8" t="s">
        <v>479</v>
      </c>
    </row>
    <row r="5" spans="1:2" x14ac:dyDescent="0.25">
      <c r="A5" t="s">
        <v>523</v>
      </c>
      <c r="B5" t="s">
        <v>523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AE4" activePane="bottomRight" state="frozen"/>
      <selection pane="topRight"/>
      <selection pane="bottomLeft"/>
      <selection pane="bottomRight" activeCell="AI14" sqref="AI1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461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460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451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472</v>
      </c>
      <c r="B5" s="8" t="s">
        <v>406</v>
      </c>
      <c r="E5" s="1"/>
      <c r="F5" s="8" t="s">
        <v>407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472</v>
      </c>
      <c r="AH5" s="8" t="s">
        <v>408</v>
      </c>
      <c r="AI5" s="8" t="s">
        <v>487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409</v>
      </c>
      <c r="BD5" s="8" t="s">
        <v>410</v>
      </c>
      <c r="BE5" s="8" t="s">
        <v>411</v>
      </c>
      <c r="BF5" s="8" t="s">
        <v>412</v>
      </c>
      <c r="BG5" s="8" t="s">
        <v>413</v>
      </c>
      <c r="BH5">
        <v>6</v>
      </c>
      <c r="BI5" s="8" t="s">
        <v>414</v>
      </c>
      <c r="BJ5" s="8" t="s">
        <v>415</v>
      </c>
      <c r="BK5" s="5"/>
      <c r="BM5" s="8" t="s">
        <v>416</v>
      </c>
      <c r="BN5" s="8" t="s">
        <v>417</v>
      </c>
      <c r="BP5" s="8" t="s">
        <v>418</v>
      </c>
      <c r="BQ5" s="8" t="s">
        <v>418</v>
      </c>
      <c r="BR5" s="8" t="s">
        <v>419</v>
      </c>
      <c r="BS5">
        <v>1</v>
      </c>
    </row>
    <row r="6" spans="1:71" x14ac:dyDescent="0.25">
      <c r="E6" s="1"/>
    </row>
    <row r="7" spans="1:71" x14ac:dyDescent="0.25">
      <c r="A7" s="8" t="s">
        <v>651</v>
      </c>
      <c r="B7" t="s">
        <v>126</v>
      </c>
      <c r="D7" t="s">
        <v>428</v>
      </c>
      <c r="E7" s="1" t="s">
        <v>429</v>
      </c>
      <c r="F7" s="8" t="s">
        <v>499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651</v>
      </c>
      <c r="AH7" t="s">
        <v>122</v>
      </c>
      <c r="AI7" s="8" t="s">
        <v>652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501</v>
      </c>
      <c r="BD7" t="s">
        <v>502</v>
      </c>
      <c r="BE7" t="str">
        <f t="shared" ref="BE7" si="0">"half_"&amp;D7</f>
        <v>half_otter</v>
      </c>
      <c r="BF7" t="str">
        <f t="shared" ref="BF7" si="1">D7</f>
        <v>otter</v>
      </c>
      <c r="BG7" t="s">
        <v>128</v>
      </c>
      <c r="BH7">
        <v>5</v>
      </c>
      <c r="BI7" t="s">
        <v>127</v>
      </c>
      <c r="BM7" t="s">
        <v>123</v>
      </c>
      <c r="BN7" t="s">
        <v>124</v>
      </c>
      <c r="BP7" t="s">
        <v>125</v>
      </c>
      <c r="BQ7" t="s">
        <v>125</v>
      </c>
      <c r="BS7">
        <v>1</v>
      </c>
    </row>
    <row r="8" spans="1:71" x14ac:dyDescent="0.25">
      <c r="A8" s="8" t="s">
        <v>498</v>
      </c>
      <c r="B8" t="s">
        <v>126</v>
      </c>
      <c r="D8" t="s">
        <v>428</v>
      </c>
      <c r="E8" s="1" t="s">
        <v>429</v>
      </c>
      <c r="F8" s="8" t="s">
        <v>499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498</v>
      </c>
      <c r="AH8" t="s">
        <v>122</v>
      </c>
      <c r="AI8" s="8" t="s">
        <v>500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501</v>
      </c>
      <c r="BD8" t="s">
        <v>502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503</v>
      </c>
      <c r="B9" t="s">
        <v>126</v>
      </c>
      <c r="D9" t="s">
        <v>428</v>
      </c>
      <c r="E9" s="1" t="s">
        <v>429</v>
      </c>
      <c r="F9" s="8" t="s">
        <v>499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503</v>
      </c>
      <c r="AH9" t="s">
        <v>122</v>
      </c>
      <c r="AI9" s="8" t="s">
        <v>467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501</v>
      </c>
      <c r="BD9" t="s">
        <v>502</v>
      </c>
      <c r="BE9" t="str">
        <f t="shared" si="2"/>
        <v>half_otter</v>
      </c>
      <c r="BF9" t="str">
        <f t="shared" si="3"/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462</v>
      </c>
      <c r="B11" t="s">
        <v>126</v>
      </c>
      <c r="D11" t="s">
        <v>428</v>
      </c>
      <c r="E11" s="1" t="s">
        <v>429</v>
      </c>
      <c r="F11" s="8" t="s">
        <v>430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452</v>
      </c>
      <c r="AH11" t="s">
        <v>122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432</v>
      </c>
      <c r="BD11" t="s">
        <v>431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128</v>
      </c>
      <c r="BH11">
        <v>5</v>
      </c>
      <c r="BI11" t="s">
        <v>127</v>
      </c>
      <c r="BM11" t="s">
        <v>123</v>
      </c>
      <c r="BN11" t="s">
        <v>124</v>
      </c>
      <c r="BP11" t="s">
        <v>125</v>
      </c>
      <c r="BQ11" t="s">
        <v>125</v>
      </c>
      <c r="BS11">
        <v>1</v>
      </c>
    </row>
    <row r="13" spans="1:71" x14ac:dyDescent="0.25">
      <c r="A13" t="s">
        <v>523</v>
      </c>
      <c r="B13" t="s">
        <v>126</v>
      </c>
      <c r="D13" t="s">
        <v>524</v>
      </c>
      <c r="E13" s="1" t="s">
        <v>525</v>
      </c>
      <c r="F13" t="str">
        <f>"char_"&amp;E13&amp;"_"&amp;D13</f>
        <v>char_4179_monstr</v>
      </c>
      <c r="G13">
        <v>1</v>
      </c>
      <c r="I13">
        <v>2</v>
      </c>
      <c r="J13">
        <v>90</v>
      </c>
      <c r="K13">
        <v>2235</v>
      </c>
      <c r="M13">
        <v>583</v>
      </c>
      <c r="O13">
        <v>221</v>
      </c>
      <c r="Q13">
        <v>0</v>
      </c>
      <c r="S13">
        <v>16</v>
      </c>
      <c r="U13">
        <v>0.5</v>
      </c>
      <c r="V13">
        <v>70</v>
      </c>
      <c r="Y13">
        <v>0.05</v>
      </c>
      <c r="Z13">
        <v>2.85</v>
      </c>
      <c r="AC13">
        <v>1</v>
      </c>
      <c r="AG13" t="s">
        <v>526</v>
      </c>
      <c r="AH13" t="s">
        <v>122</v>
      </c>
      <c r="AI13" t="s">
        <v>527</v>
      </c>
      <c r="AJ13" t="s">
        <v>602</v>
      </c>
      <c r="AM13">
        <v>1</v>
      </c>
      <c r="AO13">
        <v>1</v>
      </c>
      <c r="AP13">
        <v>0.5</v>
      </c>
      <c r="AW13">
        <v>0.25</v>
      </c>
      <c r="BB13" t="s">
        <v>528</v>
      </c>
      <c r="BC13" t="s">
        <v>529</v>
      </c>
      <c r="BD13" t="s">
        <v>530</v>
      </c>
      <c r="BE13" t="s">
        <v>531</v>
      </c>
      <c r="BF13" t="s">
        <v>532</v>
      </c>
      <c r="BG13" t="s">
        <v>128</v>
      </c>
      <c r="BH13">
        <v>6</v>
      </c>
      <c r="BI13" t="s">
        <v>533</v>
      </c>
      <c r="BJ13" t="s">
        <v>534</v>
      </c>
      <c r="BM13" t="s">
        <v>123</v>
      </c>
      <c r="BN13" t="s">
        <v>124</v>
      </c>
      <c r="BP13" t="s">
        <v>125</v>
      </c>
      <c r="BQ13" t="s">
        <v>125</v>
      </c>
      <c r="BS13">
        <v>1</v>
      </c>
    </row>
    <row r="14" spans="1:71" x14ac:dyDescent="0.25">
      <c r="A14" t="s">
        <v>535</v>
      </c>
      <c r="B14" t="s">
        <v>126</v>
      </c>
      <c r="D14" t="s">
        <v>428</v>
      </c>
      <c r="E14" s="1" t="s">
        <v>429</v>
      </c>
      <c r="F14" t="s">
        <v>499</v>
      </c>
      <c r="G14">
        <v>1</v>
      </c>
      <c r="I14">
        <v>2</v>
      </c>
      <c r="J14">
        <v>90</v>
      </c>
      <c r="K14">
        <v>5433</v>
      </c>
      <c r="M14">
        <v>0</v>
      </c>
      <c r="O14">
        <v>221</v>
      </c>
      <c r="Q14">
        <v>0</v>
      </c>
      <c r="S14">
        <v>3</v>
      </c>
      <c r="U14">
        <v>0</v>
      </c>
      <c r="V14">
        <v>15</v>
      </c>
      <c r="Y14">
        <v>0.05</v>
      </c>
      <c r="Z14">
        <v>1</v>
      </c>
      <c r="AC14">
        <v>0</v>
      </c>
      <c r="AE14">
        <v>-1</v>
      </c>
      <c r="AG14" t="s">
        <v>535</v>
      </c>
      <c r="AH14" t="s">
        <v>122</v>
      </c>
      <c r="AI14" t="s">
        <v>603</v>
      </c>
      <c r="AK14">
        <v>0</v>
      </c>
      <c r="AN14">
        <v>1</v>
      </c>
      <c r="AO14">
        <v>0</v>
      </c>
      <c r="AP14">
        <v>0</v>
      </c>
      <c r="AV14" t="s">
        <v>604</v>
      </c>
      <c r="AW14">
        <v>0.25</v>
      </c>
      <c r="BB14" t="s">
        <v>528</v>
      </c>
      <c r="BD14" t="s">
        <v>536</v>
      </c>
      <c r="BE14" t="str">
        <f>"half_"&amp;D14</f>
        <v>half_otter</v>
      </c>
      <c r="BF14" t="str">
        <f>D14</f>
        <v>otter</v>
      </c>
      <c r="BG14" t="s">
        <v>128</v>
      </c>
      <c r="BH14">
        <v>6</v>
      </c>
      <c r="BI14" t="s">
        <v>127</v>
      </c>
      <c r="BJ14" t="s">
        <v>535</v>
      </c>
      <c r="BM14" t="s">
        <v>123</v>
      </c>
      <c r="BN14" t="s">
        <v>124</v>
      </c>
      <c r="BS14">
        <v>1</v>
      </c>
    </row>
    <row r="15" spans="1:71" x14ac:dyDescent="0.25">
      <c r="A15" t="s">
        <v>633</v>
      </c>
      <c r="B15" t="s">
        <v>126</v>
      </c>
      <c r="D15" t="s">
        <v>524</v>
      </c>
      <c r="E15" s="1" t="s">
        <v>525</v>
      </c>
      <c r="F15" t="str">
        <f>"char_"&amp;E15&amp;"_"&amp;D15</f>
        <v>char_4179_monstr</v>
      </c>
      <c r="G15">
        <v>1</v>
      </c>
      <c r="I15">
        <v>2</v>
      </c>
      <c r="J15">
        <v>90</v>
      </c>
      <c r="K15">
        <v>2235</v>
      </c>
      <c r="M15">
        <v>583</v>
      </c>
      <c r="O15">
        <v>221</v>
      </c>
      <c r="Q15">
        <v>0</v>
      </c>
      <c r="S15">
        <v>0</v>
      </c>
      <c r="T15">
        <v>-1</v>
      </c>
      <c r="U15">
        <v>0.5</v>
      </c>
      <c r="V15">
        <v>70</v>
      </c>
      <c r="Y15">
        <v>0.05</v>
      </c>
      <c r="Z15">
        <v>2.85</v>
      </c>
      <c r="AC15">
        <v>1</v>
      </c>
      <c r="AD15">
        <v>1</v>
      </c>
      <c r="AG15" s="8" t="s">
        <v>648</v>
      </c>
      <c r="AH15" t="s">
        <v>122</v>
      </c>
      <c r="AI15" t="s">
        <v>634</v>
      </c>
      <c r="AN15">
        <v>1</v>
      </c>
      <c r="AO15">
        <v>3</v>
      </c>
      <c r="AP15">
        <v>0</v>
      </c>
      <c r="AW15">
        <v>0.25</v>
      </c>
      <c r="BB15" t="s">
        <v>528</v>
      </c>
      <c r="BC15" t="s">
        <v>529</v>
      </c>
      <c r="BD15" t="s">
        <v>530</v>
      </c>
      <c r="BE15" t="s">
        <v>531</v>
      </c>
      <c r="BF15" t="s">
        <v>532</v>
      </c>
      <c r="BG15" t="s">
        <v>128</v>
      </c>
      <c r="BH15">
        <v>6</v>
      </c>
      <c r="BI15" t="s">
        <v>533</v>
      </c>
      <c r="BJ15" t="s">
        <v>534</v>
      </c>
      <c r="BM15" t="s">
        <v>124</v>
      </c>
      <c r="BN15" t="s">
        <v>124</v>
      </c>
      <c r="BP15" s="19" t="s">
        <v>601</v>
      </c>
      <c r="BQ15" t="s">
        <v>125</v>
      </c>
      <c r="BS15">
        <v>1</v>
      </c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tabSelected="1" workbookViewId="0">
      <pane xSplit="1" ySplit="3" topLeftCell="F22" activePane="bottomRight" state="frozen"/>
      <selection pane="topRight"/>
      <selection pane="bottomLeft"/>
      <selection pane="bottomRight" activeCell="H43" sqref="H4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447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481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439</v>
      </c>
      <c r="BT1" s="4" t="s">
        <v>442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444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448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440</v>
      </c>
      <c r="BT2" s="4" t="s">
        <v>443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445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449</v>
      </c>
      <c r="I3" t="s">
        <v>112</v>
      </c>
      <c r="J3" t="s">
        <v>329</v>
      </c>
      <c r="K3" s="3" t="s">
        <v>330</v>
      </c>
      <c r="L3" s="3" t="s">
        <v>436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441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446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473</v>
      </c>
      <c r="C6" s="8" t="s">
        <v>405</v>
      </c>
      <c r="K6" s="9" t="s">
        <v>422</v>
      </c>
      <c r="O6" s="9"/>
      <c r="P6"/>
      <c r="AC6">
        <v>2</v>
      </c>
      <c r="AO6" s="8" t="s">
        <v>423</v>
      </c>
      <c r="AR6" t="s">
        <v>433</v>
      </c>
      <c r="AV6" t="s">
        <v>349</v>
      </c>
      <c r="AX6">
        <v>1</v>
      </c>
      <c r="BB6">
        <v>1</v>
      </c>
      <c r="BZ6" s="8" t="s">
        <v>424</v>
      </c>
      <c r="CE6" s="8" t="s">
        <v>425</v>
      </c>
      <c r="CF6" s="8" t="s">
        <v>478</v>
      </c>
      <c r="CG6" t="s">
        <v>474</v>
      </c>
      <c r="CJ6" s="8" t="s">
        <v>450</v>
      </c>
      <c r="CK6" s="8"/>
      <c r="CW6" t="s">
        <v>353</v>
      </c>
    </row>
    <row r="7" spans="1:111" x14ac:dyDescent="0.25">
      <c r="A7" s="8" t="s">
        <v>476</v>
      </c>
      <c r="C7" s="8" t="s">
        <v>405</v>
      </c>
      <c r="J7" s="8" t="s">
        <v>554</v>
      </c>
      <c r="K7" s="3" t="s">
        <v>420</v>
      </c>
      <c r="O7"/>
      <c r="AC7">
        <v>2</v>
      </c>
      <c r="AD7">
        <v>1</v>
      </c>
      <c r="AO7" s="8" t="s">
        <v>477</v>
      </c>
      <c r="AT7">
        <v>2.5</v>
      </c>
      <c r="BZ7" s="8"/>
      <c r="CE7" s="8"/>
    </row>
    <row r="8" spans="1:111" x14ac:dyDescent="0.25">
      <c r="A8" s="8" t="s">
        <v>483</v>
      </c>
      <c r="C8" s="8" t="s">
        <v>484</v>
      </c>
      <c r="K8" s="3" t="s">
        <v>420</v>
      </c>
      <c r="L8" s="3" t="s">
        <v>485</v>
      </c>
      <c r="AC8">
        <v>2</v>
      </c>
      <c r="AG8" s="8"/>
      <c r="AO8" s="8" t="s">
        <v>423</v>
      </c>
      <c r="AV8" s="8" t="s">
        <v>480</v>
      </c>
      <c r="AX8">
        <v>0</v>
      </c>
      <c r="AZ8">
        <v>2</v>
      </c>
      <c r="BB8">
        <v>1</v>
      </c>
      <c r="CE8" s="8"/>
      <c r="CJ8" s="8" t="s">
        <v>486</v>
      </c>
      <c r="CL8" s="8"/>
      <c r="CM8" s="8"/>
      <c r="CW8" t="s">
        <v>482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458</v>
      </c>
      <c r="C10" s="8" t="s">
        <v>438</v>
      </c>
      <c r="K10" s="3" t="s">
        <v>420</v>
      </c>
      <c r="L10" s="3" t="s">
        <v>426</v>
      </c>
      <c r="AC10">
        <v>1</v>
      </c>
      <c r="AF10">
        <v>1</v>
      </c>
      <c r="AG10" s="8" t="s">
        <v>421</v>
      </c>
      <c r="BB10">
        <v>1</v>
      </c>
      <c r="CJ10" s="3"/>
      <c r="CS10" s="8" t="s">
        <v>653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652</v>
      </c>
      <c r="C12" s="8" t="s">
        <v>493</v>
      </c>
      <c r="K12" s="3" t="s">
        <v>347</v>
      </c>
      <c r="L12" s="3" t="s">
        <v>426</v>
      </c>
      <c r="AC12">
        <v>1</v>
      </c>
      <c r="AG12" t="s">
        <v>348</v>
      </c>
      <c r="BB12">
        <v>1</v>
      </c>
      <c r="BM12" s="8"/>
      <c r="BT12"/>
      <c r="CJ12" s="3"/>
      <c r="CS12" s="8" t="s">
        <v>654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453</v>
      </c>
      <c r="C14" s="8" t="s">
        <v>405</v>
      </c>
      <c r="I14">
        <v>1</v>
      </c>
      <c r="J14" s="8" t="s">
        <v>459</v>
      </c>
      <c r="K14" s="3" t="s">
        <v>422</v>
      </c>
      <c r="AC14">
        <v>1</v>
      </c>
      <c r="AG14" s="8" t="s">
        <v>421</v>
      </c>
      <c r="AJ14" s="8"/>
      <c r="AT14">
        <v>99</v>
      </c>
      <c r="AV14" s="8" t="s">
        <v>435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422</v>
      </c>
      <c r="CE14" s="8" t="s">
        <v>427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455</v>
      </c>
      <c r="C15" s="8" t="s">
        <v>456</v>
      </c>
      <c r="I15">
        <v>1</v>
      </c>
      <c r="K15" s="3" t="s">
        <v>420</v>
      </c>
      <c r="L15" s="3" t="s">
        <v>426</v>
      </c>
      <c r="AC15">
        <v>2</v>
      </c>
      <c r="AO15" s="8" t="s">
        <v>423</v>
      </c>
      <c r="AR15" t="s">
        <v>454</v>
      </c>
      <c r="BB15">
        <v>4</v>
      </c>
      <c r="BR15">
        <v>0.2</v>
      </c>
      <c r="CJ15" s="3"/>
      <c r="CS15" s="8" t="s">
        <v>465</v>
      </c>
      <c r="CW15" s="8" t="s">
        <v>457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488</v>
      </c>
      <c r="C17" t="s">
        <v>346</v>
      </c>
      <c r="I17">
        <v>1</v>
      </c>
      <c r="J17" s="12" t="s">
        <v>489</v>
      </c>
      <c r="K17" s="12" t="s">
        <v>490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491</v>
      </c>
      <c r="BN17" s="8" t="s">
        <v>468</v>
      </c>
      <c r="BR17">
        <v>6</v>
      </c>
      <c r="BT17" s="13">
        <v>1</v>
      </c>
      <c r="BU17" s="13">
        <v>1</v>
      </c>
      <c r="BV17" s="13">
        <v>1</v>
      </c>
      <c r="BW17" s="13" t="s">
        <v>492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468</v>
      </c>
      <c r="C18" s="8" t="s">
        <v>346</v>
      </c>
      <c r="I18">
        <v>1</v>
      </c>
      <c r="J18" s="8"/>
      <c r="K18" s="3" t="s">
        <v>347</v>
      </c>
      <c r="AC18">
        <v>1</v>
      </c>
      <c r="AG18" s="8" t="s">
        <v>348</v>
      </c>
      <c r="AJ18" s="8"/>
      <c r="AR18" t="s">
        <v>351</v>
      </c>
      <c r="AV18" s="8" t="s">
        <v>470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491</v>
      </c>
      <c r="C19" s="8" t="s">
        <v>493</v>
      </c>
      <c r="K19" s="3" t="s">
        <v>347</v>
      </c>
      <c r="L19" s="3" t="s">
        <v>494</v>
      </c>
      <c r="AC19">
        <v>1</v>
      </c>
      <c r="AG19" t="s">
        <v>348</v>
      </c>
      <c r="BB19">
        <v>1</v>
      </c>
      <c r="BM19" s="8"/>
      <c r="BT19"/>
      <c r="CJ19" s="3"/>
      <c r="CS19" s="8" t="s">
        <v>637</v>
      </c>
    </row>
    <row r="20" spans="1:110" x14ac:dyDescent="0.25">
      <c r="CJ20" s="3"/>
    </row>
    <row r="21" spans="1:110" x14ac:dyDescent="0.25">
      <c r="A21" s="8" t="s">
        <v>467</v>
      </c>
      <c r="C21" t="s">
        <v>346</v>
      </c>
      <c r="J21" s="8" t="s">
        <v>459</v>
      </c>
      <c r="K21" s="3" t="s">
        <v>422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495</v>
      </c>
      <c r="AR21" t="s">
        <v>454</v>
      </c>
      <c r="AV21" s="8" t="s">
        <v>350</v>
      </c>
      <c r="AX21">
        <v>1.5</v>
      </c>
      <c r="BB21">
        <v>99</v>
      </c>
      <c r="BC21">
        <v>11</v>
      </c>
      <c r="BD21">
        <v>0.5</v>
      </c>
      <c r="BN21" s="8" t="s">
        <v>496</v>
      </c>
      <c r="BR21">
        <v>6</v>
      </c>
      <c r="BT21" s="13">
        <v>1</v>
      </c>
      <c r="BU21" s="13">
        <v>1</v>
      </c>
      <c r="BV21" s="13">
        <v>1</v>
      </c>
      <c r="BW21" s="13" t="s">
        <v>471</v>
      </c>
      <c r="BX21" s="13"/>
      <c r="BY21" s="13"/>
      <c r="BZ21" s="8"/>
      <c r="CE21" s="8"/>
      <c r="CH21" s="8"/>
      <c r="CJ21" s="3" t="s">
        <v>497</v>
      </c>
      <c r="CK21" s="8"/>
      <c r="CL21" t="s">
        <v>469</v>
      </c>
      <c r="CM21">
        <v>-0.8</v>
      </c>
      <c r="CP21">
        <v>6</v>
      </c>
      <c r="CR21" s="8"/>
      <c r="CU21" s="8"/>
      <c r="CV21" s="8"/>
      <c r="CW21" t="s">
        <v>352</v>
      </c>
      <c r="DF21">
        <v>1</v>
      </c>
    </row>
    <row r="22" spans="1:110" x14ac:dyDescent="0.25">
      <c r="A22" s="8" t="s">
        <v>496</v>
      </c>
      <c r="C22" s="8" t="s">
        <v>346</v>
      </c>
      <c r="I22">
        <v>1</v>
      </c>
      <c r="J22" s="8"/>
      <c r="K22" s="3" t="s">
        <v>347</v>
      </c>
      <c r="AC22">
        <v>1</v>
      </c>
      <c r="AG22" s="8" t="s">
        <v>348</v>
      </c>
      <c r="AJ22" s="8"/>
      <c r="AV22" s="8" t="s">
        <v>470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463</v>
      </c>
      <c r="C24" s="8" t="s">
        <v>437</v>
      </c>
      <c r="I24">
        <v>1</v>
      </c>
      <c r="K24" s="3" t="s">
        <v>420</v>
      </c>
      <c r="AC24">
        <v>1</v>
      </c>
      <c r="AR24" s="8" t="s">
        <v>464</v>
      </c>
      <c r="BT24"/>
      <c r="CJ24" s="3"/>
      <c r="CS24" s="8" t="s">
        <v>466</v>
      </c>
    </row>
    <row r="25" spans="1:110" x14ac:dyDescent="0.25">
      <c r="BT25"/>
      <c r="CJ25" s="3"/>
    </row>
    <row r="26" spans="1:110" x14ac:dyDescent="0.25">
      <c r="A26" t="s">
        <v>505</v>
      </c>
      <c r="C26" t="s">
        <v>346</v>
      </c>
      <c r="J26" s="8" t="s">
        <v>554</v>
      </c>
      <c r="K26" s="3" t="s">
        <v>420</v>
      </c>
      <c r="O26"/>
      <c r="AC26">
        <v>1</v>
      </c>
      <c r="AO26" s="8" t="s">
        <v>555</v>
      </c>
      <c r="AR26" t="s">
        <v>538</v>
      </c>
      <c r="CS26" s="8" t="s">
        <v>553</v>
      </c>
    </row>
    <row r="27" spans="1:110" x14ac:dyDescent="0.25">
      <c r="A27" t="s">
        <v>506</v>
      </c>
      <c r="C27" t="s">
        <v>346</v>
      </c>
      <c r="K27" s="3" t="s">
        <v>490</v>
      </c>
      <c r="P27"/>
      <c r="AC27">
        <v>1</v>
      </c>
      <c r="AO27" t="s">
        <v>507</v>
      </c>
      <c r="AR27" t="s">
        <v>508</v>
      </c>
      <c r="AW27">
        <v>1</v>
      </c>
      <c r="AX27">
        <v>1</v>
      </c>
      <c r="BB27">
        <v>1</v>
      </c>
      <c r="BZ27" t="s">
        <v>55</v>
      </c>
      <c r="CE27" t="s">
        <v>509</v>
      </c>
      <c r="CF27" t="s">
        <v>510</v>
      </c>
      <c r="CG27" t="s">
        <v>474</v>
      </c>
      <c r="CL27" t="s">
        <v>511</v>
      </c>
      <c r="CM27">
        <v>22</v>
      </c>
      <c r="CP27">
        <v>10</v>
      </c>
      <c r="CW27" t="s">
        <v>512</v>
      </c>
    </row>
    <row r="28" spans="1:110" x14ac:dyDescent="0.25">
      <c r="A28" t="s">
        <v>513</v>
      </c>
      <c r="C28" t="s">
        <v>514</v>
      </c>
      <c r="K28" s="3" t="s">
        <v>347</v>
      </c>
      <c r="L28" s="3" t="s">
        <v>504</v>
      </c>
      <c r="AC28">
        <v>1</v>
      </c>
      <c r="AF28">
        <v>1</v>
      </c>
      <c r="AG28" t="s">
        <v>348</v>
      </c>
      <c r="BB28">
        <v>1</v>
      </c>
      <c r="CJ28" s="3"/>
      <c r="CS28" t="s">
        <v>515</v>
      </c>
      <c r="DB28">
        <v>1</v>
      </c>
      <c r="DE28">
        <v>1</v>
      </c>
      <c r="DF28">
        <v>1</v>
      </c>
    </row>
    <row r="29" spans="1:110" x14ac:dyDescent="0.25">
      <c r="A29" t="s">
        <v>516</v>
      </c>
      <c r="C29" t="s">
        <v>346</v>
      </c>
      <c r="I29">
        <v>1</v>
      </c>
      <c r="K29" s="12" t="s">
        <v>347</v>
      </c>
      <c r="L29" s="12" t="s">
        <v>504</v>
      </c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AC29">
        <v>1</v>
      </c>
      <c r="AG29" t="s">
        <v>348</v>
      </c>
      <c r="AR29" t="s">
        <v>351</v>
      </c>
      <c r="BB29">
        <v>1</v>
      </c>
      <c r="BM29" t="s">
        <v>517</v>
      </c>
      <c r="BS29" s="13"/>
      <c r="BT29" s="13"/>
      <c r="BU29" s="13"/>
      <c r="BV29" s="13"/>
      <c r="BW29" s="13"/>
      <c r="BX29" s="13"/>
      <c r="BY29"/>
      <c r="CL29" t="s">
        <v>518</v>
      </c>
      <c r="CM29">
        <v>8</v>
      </c>
      <c r="CP29">
        <v>9999</v>
      </c>
      <c r="DB29">
        <v>1</v>
      </c>
    </row>
    <row r="30" spans="1:110" x14ac:dyDescent="0.25">
      <c r="A30" t="s">
        <v>517</v>
      </c>
      <c r="C30" t="s">
        <v>346</v>
      </c>
      <c r="I30">
        <v>1</v>
      </c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AC30">
        <v>1</v>
      </c>
      <c r="AR30" t="s">
        <v>519</v>
      </c>
      <c r="BB30">
        <v>99</v>
      </c>
      <c r="BQ30">
        <v>0.1</v>
      </c>
      <c r="BS30" s="13"/>
      <c r="BT30" s="13"/>
      <c r="BU30" s="13"/>
      <c r="BV30" s="13"/>
      <c r="BW30" s="13"/>
      <c r="BX30" s="13"/>
      <c r="BY30"/>
      <c r="CL30" s="14" t="s">
        <v>520</v>
      </c>
      <c r="CM30">
        <v>0.2</v>
      </c>
      <c r="CP30">
        <v>0.2</v>
      </c>
      <c r="DB30">
        <v>1</v>
      </c>
    </row>
    <row r="31" spans="1:110" x14ac:dyDescent="0.25">
      <c r="A31" t="s">
        <v>521</v>
      </c>
      <c r="C31" t="s">
        <v>346</v>
      </c>
      <c r="K31" s="3" t="s">
        <v>347</v>
      </c>
      <c r="L31" s="3" t="s">
        <v>504</v>
      </c>
      <c r="AC31">
        <v>1</v>
      </c>
      <c r="AG31" t="s">
        <v>348</v>
      </c>
      <c r="AW31" s="3"/>
      <c r="BB31">
        <v>1</v>
      </c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  <c r="CL31" t="s">
        <v>522</v>
      </c>
      <c r="CP31">
        <v>99999</v>
      </c>
    </row>
    <row r="32" spans="1:110" x14ac:dyDescent="0.25">
      <c r="A32" t="s">
        <v>556</v>
      </c>
      <c r="C32" t="s">
        <v>346</v>
      </c>
      <c r="I32">
        <v>1</v>
      </c>
      <c r="K32" s="15" t="s">
        <v>347</v>
      </c>
      <c r="L32" s="15"/>
      <c r="M32"/>
      <c r="N32"/>
      <c r="O32" s="15"/>
      <c r="P32" s="16" t="s">
        <v>557</v>
      </c>
      <c r="Q32" s="15"/>
      <c r="R32" s="16"/>
      <c r="S32"/>
      <c r="T32" s="15"/>
      <c r="U32" s="15"/>
      <c r="V32" s="15"/>
      <c r="W32" s="15"/>
      <c r="X32"/>
      <c r="AC32">
        <v>1</v>
      </c>
      <c r="AG32" t="s">
        <v>348</v>
      </c>
      <c r="AR32" t="s">
        <v>351</v>
      </c>
      <c r="BB32">
        <v>1</v>
      </c>
      <c r="BT32"/>
      <c r="BU32" s="17"/>
      <c r="BV32" s="17"/>
      <c r="BW32" s="17"/>
      <c r="BX32" s="17"/>
      <c r="BY32" s="17"/>
      <c r="BZ32" s="17"/>
      <c r="CL32" t="s">
        <v>511</v>
      </c>
      <c r="CM32">
        <v>22</v>
      </c>
      <c r="CP32">
        <v>10</v>
      </c>
    </row>
    <row r="33" spans="1:11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110" x14ac:dyDescent="0.25">
      <c r="A34" t="s">
        <v>558</v>
      </c>
      <c r="C34" t="s">
        <v>346</v>
      </c>
      <c r="D34" t="s">
        <v>559</v>
      </c>
      <c r="E34" t="s">
        <v>560</v>
      </c>
      <c r="F34" t="s">
        <v>561</v>
      </c>
      <c r="G34">
        <v>3</v>
      </c>
      <c r="J34" t="s">
        <v>489</v>
      </c>
      <c r="K34" s="15" t="s">
        <v>562</v>
      </c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AC34">
        <v>1</v>
      </c>
      <c r="AG34" t="s">
        <v>348</v>
      </c>
      <c r="BB34">
        <v>1</v>
      </c>
      <c r="BM34" s="8" t="s">
        <v>657</v>
      </c>
      <c r="BN34" t="s">
        <v>563</v>
      </c>
      <c r="BR34">
        <v>30</v>
      </c>
      <c r="BT34" s="17">
        <v>13</v>
      </c>
      <c r="BU34" s="17">
        <v>15</v>
      </c>
      <c r="BV34" s="17">
        <v>1</v>
      </c>
      <c r="BW34" s="17" t="s">
        <v>564</v>
      </c>
      <c r="BX34" s="17"/>
      <c r="BY34" s="17"/>
      <c r="CL34" s="16" t="s">
        <v>565</v>
      </c>
      <c r="CP34">
        <v>30</v>
      </c>
      <c r="DB34">
        <v>1</v>
      </c>
    </row>
    <row r="35" spans="1:110" x14ac:dyDescent="0.25">
      <c r="A35" t="s">
        <v>566</v>
      </c>
      <c r="C35" t="s">
        <v>346</v>
      </c>
      <c r="J35" s="15"/>
      <c r="K35" s="15"/>
      <c r="L35" s="15"/>
      <c r="M35"/>
      <c r="N35" s="15"/>
      <c r="O35" s="16" t="s">
        <v>557</v>
      </c>
      <c r="P35"/>
      <c r="Q35"/>
      <c r="R35" s="15"/>
      <c r="S35" s="15"/>
      <c r="T35" s="15"/>
      <c r="U35" s="15"/>
      <c r="V35" s="15"/>
      <c r="W35" s="15"/>
      <c r="X35" s="15"/>
      <c r="AC35">
        <v>1</v>
      </c>
      <c r="AD35">
        <v>1</v>
      </c>
      <c r="AO35" t="s">
        <v>507</v>
      </c>
      <c r="AQ35" t="s">
        <v>535</v>
      </c>
      <c r="AU35">
        <v>1</v>
      </c>
      <c r="AW35">
        <v>1</v>
      </c>
      <c r="AX35">
        <v>1</v>
      </c>
      <c r="BB35">
        <v>1</v>
      </c>
      <c r="BN35" t="s">
        <v>567</v>
      </c>
      <c r="BT35" s="17"/>
      <c r="BU35" s="17"/>
      <c r="BV35" s="17"/>
      <c r="BW35" s="17"/>
      <c r="BX35" s="17"/>
      <c r="BY35" s="17"/>
      <c r="BZ35" t="s">
        <v>568</v>
      </c>
      <c r="CE35" t="s">
        <v>509</v>
      </c>
      <c r="CF35" t="s">
        <v>510</v>
      </c>
      <c r="CG35" t="s">
        <v>474</v>
      </c>
      <c r="CL35" s="8" t="s">
        <v>655</v>
      </c>
      <c r="CM35">
        <v>22</v>
      </c>
      <c r="CN35">
        <v>39.6</v>
      </c>
      <c r="CP35">
        <v>10</v>
      </c>
      <c r="CW35" t="s">
        <v>512</v>
      </c>
    </row>
    <row r="36" spans="1:110" x14ac:dyDescent="0.25">
      <c r="A36" t="s">
        <v>570</v>
      </c>
      <c r="C36" t="s">
        <v>346</v>
      </c>
      <c r="I36">
        <v>1</v>
      </c>
      <c r="K36" s="15" t="s">
        <v>347</v>
      </c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AC36">
        <v>1</v>
      </c>
      <c r="AD36">
        <v>1</v>
      </c>
      <c r="AJ36" t="s">
        <v>535</v>
      </c>
      <c r="AO36" t="s">
        <v>507</v>
      </c>
      <c r="AR36" t="s">
        <v>508</v>
      </c>
      <c r="AV36" t="s">
        <v>470</v>
      </c>
      <c r="AX36">
        <v>1</v>
      </c>
      <c r="AZ36">
        <v>2</v>
      </c>
      <c r="BB36">
        <v>1</v>
      </c>
      <c r="BT36" s="17"/>
      <c r="BU36" s="17"/>
      <c r="BV36" s="17"/>
      <c r="BW36" s="17"/>
      <c r="BX36" s="17"/>
      <c r="BY36" s="17"/>
      <c r="BZ36" s="18"/>
      <c r="CF36" t="s">
        <v>571</v>
      </c>
      <c r="CG36" t="s">
        <v>474</v>
      </c>
      <c r="DB36">
        <v>1</v>
      </c>
      <c r="DF36">
        <v>1</v>
      </c>
    </row>
    <row r="37" spans="1:110" x14ac:dyDescent="0.25">
      <c r="A37" t="s">
        <v>572</v>
      </c>
      <c r="C37" t="s">
        <v>346</v>
      </c>
      <c r="I37">
        <v>1</v>
      </c>
      <c r="K37" s="15" t="s">
        <v>347</v>
      </c>
      <c r="L37" s="15"/>
      <c r="M37"/>
      <c r="N37" s="15"/>
      <c r="O37" s="16" t="s">
        <v>557</v>
      </c>
      <c r="P37"/>
      <c r="Q37"/>
      <c r="R37" s="15"/>
      <c r="S37" s="15"/>
      <c r="T37" s="15"/>
      <c r="U37" s="15"/>
      <c r="V37" s="15"/>
      <c r="W37" s="15"/>
      <c r="X37" s="15"/>
      <c r="AC37">
        <v>1</v>
      </c>
      <c r="AG37" t="s">
        <v>348</v>
      </c>
      <c r="AU37">
        <v>1</v>
      </c>
      <c r="BB37">
        <v>1</v>
      </c>
      <c r="BT37" s="17"/>
      <c r="BU37" s="17"/>
      <c r="BV37" s="17"/>
      <c r="BW37" s="17"/>
      <c r="BX37" s="17"/>
      <c r="BY37" s="17"/>
      <c r="CL37" t="s">
        <v>569</v>
      </c>
      <c r="CM37">
        <v>22</v>
      </c>
      <c r="CN37">
        <v>39.6</v>
      </c>
      <c r="CP37">
        <v>10</v>
      </c>
    </row>
    <row r="38" spans="1:110" x14ac:dyDescent="0.25">
      <c r="A38" s="8" t="s">
        <v>656</v>
      </c>
      <c r="C38" t="s">
        <v>346</v>
      </c>
      <c r="I38">
        <v>1</v>
      </c>
      <c r="K38" s="15"/>
      <c r="L38" s="15"/>
      <c r="M38"/>
      <c r="N38" s="15"/>
      <c r="O38" s="16" t="s">
        <v>557</v>
      </c>
      <c r="P38"/>
      <c r="Q38"/>
      <c r="R38" s="15"/>
      <c r="S38" s="15"/>
      <c r="T38" s="15"/>
      <c r="U38" s="15"/>
      <c r="V38" s="15"/>
      <c r="W38" s="15"/>
      <c r="X38" s="15"/>
      <c r="AC38">
        <v>1</v>
      </c>
      <c r="AJ38" t="s">
        <v>535</v>
      </c>
      <c r="AR38" t="s">
        <v>508</v>
      </c>
      <c r="BB38">
        <v>1</v>
      </c>
      <c r="BQ38">
        <v>0.1</v>
      </c>
      <c r="BT38" s="17"/>
      <c r="BU38" s="17"/>
      <c r="BV38" s="17"/>
      <c r="BW38" s="17"/>
      <c r="BX38" s="17"/>
      <c r="BY38" s="17"/>
      <c r="CL38" s="16" t="s">
        <v>573</v>
      </c>
      <c r="CP38">
        <v>0.2</v>
      </c>
    </row>
    <row r="39" spans="1:110" x14ac:dyDescent="0.25">
      <c r="A39" t="s">
        <v>574</v>
      </c>
      <c r="C39" t="s">
        <v>346</v>
      </c>
      <c r="I39">
        <v>1</v>
      </c>
      <c r="K39" s="15" t="s">
        <v>347</v>
      </c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C39">
        <v>1</v>
      </c>
      <c r="AG39" t="s">
        <v>348</v>
      </c>
      <c r="AW39" s="15"/>
      <c r="BB39">
        <v>1</v>
      </c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 t="s">
        <v>574</v>
      </c>
      <c r="CP39">
        <v>40</v>
      </c>
      <c r="DB39">
        <v>1</v>
      </c>
      <c r="DF39">
        <v>1</v>
      </c>
    </row>
    <row r="40" spans="1:110" x14ac:dyDescent="0.25">
      <c r="A40" t="s">
        <v>575</v>
      </c>
      <c r="C40" t="s">
        <v>346</v>
      </c>
      <c r="I40">
        <v>1</v>
      </c>
      <c r="K40" s="15"/>
      <c r="L40" s="15"/>
      <c r="M40"/>
      <c r="N40" s="15"/>
      <c r="O40" s="16" t="s">
        <v>557</v>
      </c>
      <c r="P40" s="16" t="s">
        <v>574</v>
      </c>
      <c r="Q40" s="15"/>
      <c r="R40" s="15"/>
      <c r="S40" s="15"/>
      <c r="T40" s="15"/>
      <c r="U40" s="15"/>
      <c r="V40" s="15"/>
      <c r="W40" s="15"/>
      <c r="X40" s="15"/>
      <c r="AC40">
        <v>1</v>
      </c>
      <c r="AT40">
        <v>20</v>
      </c>
      <c r="BB40">
        <v>99</v>
      </c>
      <c r="BT40" s="17"/>
      <c r="BU40" s="17"/>
      <c r="BV40" s="17"/>
      <c r="BW40" s="17"/>
      <c r="BX40" s="17"/>
      <c r="BY40" s="17"/>
      <c r="CK40" t="s">
        <v>576</v>
      </c>
    </row>
    <row r="41" spans="1:110" x14ac:dyDescent="0.25">
      <c r="A41" t="s">
        <v>577</v>
      </c>
      <c r="C41" t="s">
        <v>346</v>
      </c>
      <c r="I41">
        <v>1</v>
      </c>
      <c r="K41" s="15" t="s">
        <v>347</v>
      </c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AC41">
        <v>1</v>
      </c>
      <c r="AG41" t="s">
        <v>348</v>
      </c>
      <c r="BB41">
        <v>1</v>
      </c>
      <c r="BQ41">
        <v>0.1</v>
      </c>
      <c r="BT41"/>
      <c r="BU41" s="17"/>
      <c r="BV41" s="17"/>
      <c r="BW41" s="17"/>
      <c r="BX41" s="17"/>
      <c r="BY41" s="17"/>
      <c r="BZ41" t="s">
        <v>578</v>
      </c>
      <c r="CE41" t="s">
        <v>509</v>
      </c>
      <c r="CG41" s="15"/>
      <c r="CH41" s="15"/>
      <c r="DB41">
        <v>1</v>
      </c>
      <c r="DE41">
        <v>1</v>
      </c>
      <c r="DF41">
        <v>1</v>
      </c>
    </row>
    <row r="42" spans="1:110" x14ac:dyDescent="0.25">
      <c r="A42" t="s">
        <v>579</v>
      </c>
      <c r="C42" t="s">
        <v>346</v>
      </c>
      <c r="I42">
        <v>1</v>
      </c>
      <c r="K42" s="15" t="s">
        <v>347</v>
      </c>
      <c r="L42" s="15" t="s">
        <v>580</v>
      </c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AC42">
        <v>1</v>
      </c>
      <c r="AG42" t="s">
        <v>348</v>
      </c>
      <c r="BB42">
        <v>1</v>
      </c>
      <c r="BQ42">
        <v>0.2</v>
      </c>
      <c r="BT42"/>
      <c r="BU42" s="17"/>
      <c r="BV42" s="17"/>
      <c r="BW42" s="17"/>
      <c r="BX42" s="17"/>
      <c r="BY42" s="17"/>
      <c r="BZ42" t="s">
        <v>581</v>
      </c>
      <c r="CE42" t="s">
        <v>509</v>
      </c>
      <c r="CH42" s="15"/>
      <c r="DB42">
        <v>1</v>
      </c>
      <c r="DE42">
        <v>1</v>
      </c>
      <c r="DF42">
        <v>1</v>
      </c>
    </row>
    <row r="43" spans="1:110" x14ac:dyDescent="0.25">
      <c r="A43" t="s">
        <v>582</v>
      </c>
      <c r="C43" t="s">
        <v>346</v>
      </c>
      <c r="D43" t="s">
        <v>559</v>
      </c>
      <c r="E43" t="s">
        <v>560</v>
      </c>
      <c r="F43" t="s">
        <v>561</v>
      </c>
      <c r="G43">
        <v>3</v>
      </c>
      <c r="K43" s="3" t="s">
        <v>420</v>
      </c>
      <c r="L43" s="3" t="s">
        <v>660</v>
      </c>
      <c r="M43"/>
      <c r="N43" s="15"/>
      <c r="O43" s="16"/>
      <c r="P43" s="15"/>
      <c r="Q43" s="15"/>
      <c r="R43" s="15"/>
      <c r="S43" s="15"/>
      <c r="T43" s="15"/>
      <c r="U43" s="15"/>
      <c r="V43" s="15"/>
      <c r="W43" s="15"/>
      <c r="X43" s="15"/>
      <c r="AC43">
        <v>1</v>
      </c>
      <c r="AG43" s="8" t="s">
        <v>658</v>
      </c>
      <c r="AO43" s="8" t="s">
        <v>555</v>
      </c>
      <c r="AR43" t="s">
        <v>519</v>
      </c>
      <c r="AW43">
        <v>1</v>
      </c>
      <c r="AX43">
        <v>583</v>
      </c>
      <c r="AZ43">
        <v>2</v>
      </c>
      <c r="BB43">
        <v>1</v>
      </c>
      <c r="BM43" s="8"/>
      <c r="BN43" s="8"/>
      <c r="BT43" s="17"/>
      <c r="BU43" s="17"/>
      <c r="BV43" s="17"/>
      <c r="BW43" s="17"/>
      <c r="BX43" s="17"/>
      <c r="BY43" s="17"/>
      <c r="CE43" s="8" t="s">
        <v>427</v>
      </c>
      <c r="CF43" t="s">
        <v>510</v>
      </c>
      <c r="CG43" t="s">
        <v>474</v>
      </c>
      <c r="CK43" s="8"/>
      <c r="CL43" t="s">
        <v>569</v>
      </c>
      <c r="CM43">
        <v>22</v>
      </c>
      <c r="CN43">
        <v>39.6</v>
      </c>
      <c r="CP43">
        <v>10</v>
      </c>
      <c r="CW43" t="s">
        <v>512</v>
      </c>
      <c r="DB43">
        <v>1</v>
      </c>
    </row>
    <row r="44" spans="1:110" x14ac:dyDescent="0.25">
      <c r="A44" s="8" t="s">
        <v>659</v>
      </c>
      <c r="C44" t="s">
        <v>346</v>
      </c>
      <c r="I44">
        <v>1</v>
      </c>
      <c r="K44" s="3" t="s">
        <v>420</v>
      </c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C44">
        <v>1</v>
      </c>
      <c r="AG44" s="8" t="s">
        <v>421</v>
      </c>
      <c r="AO44" s="8"/>
      <c r="BB44">
        <v>1</v>
      </c>
      <c r="BQ44">
        <v>0.1</v>
      </c>
      <c r="BT44" s="17"/>
      <c r="BU44" s="17"/>
      <c r="BV44" s="17"/>
      <c r="BW44" s="17"/>
      <c r="BX44" s="17"/>
      <c r="BY44" s="17"/>
      <c r="CE44" s="8" t="s">
        <v>427</v>
      </c>
      <c r="CK44" t="s">
        <v>569</v>
      </c>
      <c r="DB44">
        <v>1</v>
      </c>
    </row>
    <row r="45" spans="1:11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110" x14ac:dyDescent="0.25">
      <c r="A46" t="s">
        <v>583</v>
      </c>
      <c r="C46" t="s">
        <v>346</v>
      </c>
      <c r="D46" t="s">
        <v>584</v>
      </c>
      <c r="E46" s="8" t="s">
        <v>642</v>
      </c>
      <c r="F46" t="s">
        <v>586</v>
      </c>
      <c r="G46">
        <v>3</v>
      </c>
      <c r="J46" t="s">
        <v>489</v>
      </c>
      <c r="K46" s="3" t="s">
        <v>562</v>
      </c>
      <c r="O46"/>
      <c r="W46"/>
      <c r="X46"/>
      <c r="AC46">
        <v>1</v>
      </c>
      <c r="AG46" t="s">
        <v>348</v>
      </c>
      <c r="BB46">
        <v>1</v>
      </c>
      <c r="BM46" s="8" t="s">
        <v>641</v>
      </c>
      <c r="BN46" s="8" t="s">
        <v>646</v>
      </c>
      <c r="BR46">
        <v>1</v>
      </c>
      <c r="BT46" s="4">
        <v>11</v>
      </c>
      <c r="BU46" s="4">
        <v>15</v>
      </c>
      <c r="BV46" s="4">
        <v>1</v>
      </c>
      <c r="BW46" s="4" t="s">
        <v>564</v>
      </c>
      <c r="CL46" s="14" t="s">
        <v>590</v>
      </c>
      <c r="CM46" t="s">
        <v>619</v>
      </c>
      <c r="CP46">
        <v>25</v>
      </c>
    </row>
    <row r="47" spans="1:110" x14ac:dyDescent="0.25">
      <c r="A47" t="s">
        <v>620</v>
      </c>
      <c r="C47" t="s">
        <v>346</v>
      </c>
      <c r="I47">
        <v>1</v>
      </c>
      <c r="K47" s="3" t="s">
        <v>420</v>
      </c>
      <c r="M47"/>
      <c r="O47" s="14"/>
      <c r="P47"/>
      <c r="Q47"/>
      <c r="AC47">
        <v>1</v>
      </c>
      <c r="AG47" t="s">
        <v>348</v>
      </c>
      <c r="BB47">
        <v>1</v>
      </c>
      <c r="BQ47">
        <v>0.1</v>
      </c>
      <c r="CL47" s="14" t="s">
        <v>645</v>
      </c>
      <c r="CM47">
        <v>-100</v>
      </c>
      <c r="CP47">
        <v>25</v>
      </c>
    </row>
    <row r="48" spans="1:110" x14ac:dyDescent="0.25">
      <c r="A48" s="8" t="s">
        <v>638</v>
      </c>
      <c r="C48" t="s">
        <v>346</v>
      </c>
      <c r="I48">
        <v>1</v>
      </c>
      <c r="K48" s="3" t="s">
        <v>347</v>
      </c>
      <c r="L48" s="3" t="s">
        <v>621</v>
      </c>
      <c r="M48"/>
      <c r="O48" s="14" t="s">
        <v>590</v>
      </c>
      <c r="P48"/>
      <c r="Q48"/>
      <c r="AC48">
        <v>1</v>
      </c>
      <c r="AJ48" t="s">
        <v>535</v>
      </c>
      <c r="AR48" t="s">
        <v>508</v>
      </c>
      <c r="BB48">
        <v>1</v>
      </c>
      <c r="CL48" s="14" t="s">
        <v>591</v>
      </c>
      <c r="CP48">
        <v>1</v>
      </c>
    </row>
    <row r="49" spans="1:110" x14ac:dyDescent="0.25">
      <c r="A49" s="8" t="s">
        <v>639</v>
      </c>
      <c r="C49" t="s">
        <v>346</v>
      </c>
      <c r="I49">
        <v>1</v>
      </c>
      <c r="O49" s="14" t="s">
        <v>591</v>
      </c>
      <c r="AC49">
        <v>1</v>
      </c>
      <c r="AG49" t="s">
        <v>348</v>
      </c>
      <c r="AV49" t="s">
        <v>470</v>
      </c>
      <c r="AX49">
        <v>1</v>
      </c>
      <c r="AZ49">
        <v>1</v>
      </c>
      <c r="BB49">
        <v>1</v>
      </c>
    </row>
    <row r="50" spans="1:110" x14ac:dyDescent="0.25">
      <c r="A50" s="8" t="s">
        <v>640</v>
      </c>
      <c r="C50" t="s">
        <v>514</v>
      </c>
      <c r="K50" s="3" t="s">
        <v>347</v>
      </c>
      <c r="L50" s="3" t="s">
        <v>621</v>
      </c>
      <c r="AC50">
        <v>1</v>
      </c>
      <c r="AF50">
        <v>1</v>
      </c>
      <c r="AG50" t="s">
        <v>348</v>
      </c>
      <c r="BB50">
        <v>1</v>
      </c>
      <c r="CJ50" s="3"/>
      <c r="CS50" t="s">
        <v>622</v>
      </c>
      <c r="DB50">
        <v>1</v>
      </c>
      <c r="DE50">
        <v>1</v>
      </c>
      <c r="DF50">
        <v>1</v>
      </c>
    </row>
    <row r="51" spans="1:110" x14ac:dyDescent="0.25">
      <c r="CJ51" s="3"/>
    </row>
    <row r="52" spans="1:110" x14ac:dyDescent="0.25">
      <c r="A52" s="8" t="s">
        <v>635</v>
      </c>
      <c r="C52" s="8" t="s">
        <v>437</v>
      </c>
      <c r="I52">
        <v>1</v>
      </c>
      <c r="J52" s="8" t="s">
        <v>554</v>
      </c>
      <c r="K52" s="3" t="s">
        <v>420</v>
      </c>
      <c r="AC52">
        <v>1</v>
      </c>
      <c r="AJ52" s="8" t="s">
        <v>636</v>
      </c>
      <c r="AR52" t="s">
        <v>508</v>
      </c>
      <c r="BB52">
        <v>1</v>
      </c>
      <c r="BQ52">
        <v>0.1</v>
      </c>
      <c r="CJ52" s="3"/>
      <c r="CS52" s="8" t="s">
        <v>649</v>
      </c>
    </row>
    <row r="53" spans="1:110" x14ac:dyDescent="0.25">
      <c r="CJ53" s="3"/>
    </row>
    <row r="54" spans="1:110" x14ac:dyDescent="0.25">
      <c r="A54" t="s">
        <v>623</v>
      </c>
      <c r="C54" t="s">
        <v>346</v>
      </c>
      <c r="D54" t="s">
        <v>584</v>
      </c>
      <c r="E54" t="s">
        <v>585</v>
      </c>
      <c r="F54" t="s">
        <v>586</v>
      </c>
      <c r="G54">
        <v>3</v>
      </c>
      <c r="J54" t="s">
        <v>489</v>
      </c>
      <c r="K54" s="3" t="s">
        <v>490</v>
      </c>
      <c r="O54"/>
      <c r="W54"/>
      <c r="X54"/>
      <c r="AC54">
        <v>1</v>
      </c>
      <c r="AG54" t="s">
        <v>348</v>
      </c>
      <c r="BB54">
        <v>1</v>
      </c>
      <c r="BM54" t="s">
        <v>624</v>
      </c>
      <c r="BR54">
        <v>25</v>
      </c>
      <c r="BT54" s="4">
        <v>1</v>
      </c>
      <c r="BU54" s="4">
        <v>1</v>
      </c>
      <c r="BV54" s="4">
        <v>1</v>
      </c>
      <c r="BW54" s="4" t="s">
        <v>564</v>
      </c>
      <c r="CL54" s="14" t="s">
        <v>588</v>
      </c>
      <c r="CM54" t="s">
        <v>589</v>
      </c>
      <c r="CN54">
        <v>2</v>
      </c>
      <c r="CO54">
        <v>80</v>
      </c>
      <c r="CP54">
        <v>25</v>
      </c>
    </row>
    <row r="55" spans="1:110" x14ac:dyDescent="0.25">
      <c r="A55" t="s">
        <v>592</v>
      </c>
      <c r="C55" t="s">
        <v>593</v>
      </c>
      <c r="O55" s="14" t="s">
        <v>590</v>
      </c>
      <c r="X55"/>
      <c r="AC55">
        <v>2</v>
      </c>
      <c r="AO55" t="s">
        <v>495</v>
      </c>
      <c r="AR55" t="s">
        <v>519</v>
      </c>
      <c r="AV55" t="s">
        <v>470</v>
      </c>
      <c r="AX55">
        <v>1</v>
      </c>
      <c r="BB55">
        <v>1</v>
      </c>
      <c r="BN55" t="s">
        <v>594</v>
      </c>
      <c r="BZ55" t="s">
        <v>595</v>
      </c>
      <c r="CE55" t="s">
        <v>509</v>
      </c>
      <c r="CW55" t="s">
        <v>352</v>
      </c>
    </row>
    <row r="56" spans="1:110" x14ac:dyDescent="0.25">
      <c r="A56" t="s">
        <v>594</v>
      </c>
      <c r="C56" t="s">
        <v>346</v>
      </c>
      <c r="I56">
        <v>1</v>
      </c>
      <c r="K56" s="3" t="s">
        <v>347</v>
      </c>
      <c r="O56" s="14" t="s">
        <v>590</v>
      </c>
      <c r="P56"/>
      <c r="Q56"/>
      <c r="X56"/>
      <c r="AC56">
        <v>1</v>
      </c>
      <c r="AG56" t="s">
        <v>348</v>
      </c>
      <c r="AH56">
        <v>1</v>
      </c>
      <c r="AO56" t="s">
        <v>507</v>
      </c>
      <c r="AT56">
        <v>1</v>
      </c>
      <c r="AW56">
        <v>1</v>
      </c>
      <c r="AX56">
        <v>0.5</v>
      </c>
      <c r="BB56">
        <v>1</v>
      </c>
      <c r="CF56" t="s">
        <v>510</v>
      </c>
      <c r="CG56" t="s">
        <v>474</v>
      </c>
      <c r="CL56" t="s">
        <v>511</v>
      </c>
      <c r="CM56">
        <v>22</v>
      </c>
      <c r="CP56">
        <v>10</v>
      </c>
    </row>
    <row r="57" spans="1:110" x14ac:dyDescent="0.25">
      <c r="A57" t="s">
        <v>596</v>
      </c>
      <c r="C57" t="s">
        <v>597</v>
      </c>
      <c r="I57">
        <v>1</v>
      </c>
      <c r="K57" s="3" t="s">
        <v>347</v>
      </c>
      <c r="L57" s="3" t="s">
        <v>598</v>
      </c>
      <c r="O57" s="14" t="s">
        <v>590</v>
      </c>
      <c r="X57"/>
      <c r="AC57">
        <v>1</v>
      </c>
      <c r="AG57" t="s">
        <v>348</v>
      </c>
      <c r="BB57">
        <v>1</v>
      </c>
      <c r="CS57" t="s">
        <v>625</v>
      </c>
      <c r="DB57">
        <v>1</v>
      </c>
      <c r="DE57">
        <v>1</v>
      </c>
      <c r="DF57">
        <v>1</v>
      </c>
    </row>
    <row r="58" spans="1:110" x14ac:dyDescent="0.25">
      <c r="A58" t="s">
        <v>626</v>
      </c>
      <c r="C58" t="s">
        <v>627</v>
      </c>
      <c r="K58" s="3" t="s">
        <v>347</v>
      </c>
      <c r="L58" s="3" t="s">
        <v>504</v>
      </c>
      <c r="AC58">
        <v>1</v>
      </c>
      <c r="AG58" t="s">
        <v>348</v>
      </c>
      <c r="BB58">
        <v>1</v>
      </c>
      <c r="CS58" t="s">
        <v>628</v>
      </c>
    </row>
    <row r="59" spans="1:110" x14ac:dyDescent="0.25">
      <c r="A59" t="s">
        <v>629</v>
      </c>
      <c r="C59" t="s">
        <v>346</v>
      </c>
      <c r="I59">
        <v>1</v>
      </c>
      <c r="K59" s="3" t="s">
        <v>347</v>
      </c>
      <c r="L59" s="3" t="s">
        <v>504</v>
      </c>
      <c r="AC59">
        <v>1</v>
      </c>
      <c r="AG59" t="s">
        <v>348</v>
      </c>
      <c r="BB59">
        <v>1</v>
      </c>
      <c r="CL59" t="s">
        <v>630</v>
      </c>
      <c r="CP59">
        <v>0.5</v>
      </c>
    </row>
    <row r="60" spans="1:110" x14ac:dyDescent="0.25">
      <c r="A60" t="s">
        <v>631</v>
      </c>
      <c r="C60" t="s">
        <v>346</v>
      </c>
      <c r="I60">
        <v>1</v>
      </c>
      <c r="K60" s="3" t="s">
        <v>420</v>
      </c>
      <c r="L60" s="3" t="s">
        <v>647</v>
      </c>
      <c r="AC60">
        <v>1</v>
      </c>
      <c r="AJ60" t="s">
        <v>523</v>
      </c>
      <c r="AT60">
        <v>20</v>
      </c>
      <c r="BB60">
        <v>1</v>
      </c>
      <c r="CK60" s="14" t="s">
        <v>645</v>
      </c>
      <c r="CL60" s="14"/>
      <c r="DB60">
        <v>1</v>
      </c>
      <c r="DE60">
        <v>1</v>
      </c>
      <c r="DF60">
        <v>1</v>
      </c>
    </row>
    <row r="62" spans="1:110" x14ac:dyDescent="0.25">
      <c r="A62" t="s">
        <v>587</v>
      </c>
      <c r="C62" t="s">
        <v>346</v>
      </c>
      <c r="I62">
        <v>1</v>
      </c>
      <c r="K62" s="3" t="s">
        <v>347</v>
      </c>
      <c r="M62"/>
      <c r="N62"/>
      <c r="AC62">
        <v>1</v>
      </c>
      <c r="AG62" t="s">
        <v>348</v>
      </c>
      <c r="BB62">
        <v>1</v>
      </c>
      <c r="BQ62">
        <v>0.5</v>
      </c>
      <c r="BT62"/>
      <c r="BZ62" s="20" t="s">
        <v>650</v>
      </c>
      <c r="CE62" t="s">
        <v>509</v>
      </c>
      <c r="CG62" s="3"/>
      <c r="CH62" s="3"/>
      <c r="DB62">
        <v>1</v>
      </c>
      <c r="DE62">
        <v>1</v>
      </c>
      <c r="DF62">
        <v>1</v>
      </c>
    </row>
    <row r="63" spans="1:110" x14ac:dyDescent="0.25">
      <c r="A63" t="s">
        <v>600</v>
      </c>
      <c r="C63" t="s">
        <v>346</v>
      </c>
      <c r="I63">
        <v>1</v>
      </c>
      <c r="K63" s="3" t="s">
        <v>347</v>
      </c>
      <c r="L63" s="3" t="s">
        <v>580</v>
      </c>
      <c r="M63"/>
      <c r="N63"/>
      <c r="AC63">
        <v>1</v>
      </c>
      <c r="AG63" t="s">
        <v>348</v>
      </c>
      <c r="BB63">
        <v>1</v>
      </c>
      <c r="BQ63">
        <v>1</v>
      </c>
      <c r="BT63"/>
      <c r="BZ63" s="20" t="s">
        <v>643</v>
      </c>
      <c r="CE63" t="s">
        <v>509</v>
      </c>
      <c r="CH63" s="3"/>
      <c r="DB63">
        <v>1</v>
      </c>
      <c r="DE63">
        <v>1</v>
      </c>
      <c r="DF63">
        <v>1</v>
      </c>
    </row>
    <row r="64" spans="1:110" x14ac:dyDescent="0.25">
      <c r="A64" t="s">
        <v>599</v>
      </c>
      <c r="C64" t="s">
        <v>346</v>
      </c>
      <c r="I64">
        <v>1</v>
      </c>
      <c r="K64" s="3" t="s">
        <v>347</v>
      </c>
      <c r="L64" s="3" t="s">
        <v>580</v>
      </c>
      <c r="O64"/>
      <c r="X64"/>
      <c r="AC64">
        <v>1</v>
      </c>
      <c r="AG64" t="s">
        <v>348</v>
      </c>
      <c r="BB64">
        <v>1</v>
      </c>
      <c r="CK64" s="14" t="s">
        <v>632</v>
      </c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L1" t="s">
        <v>360</v>
      </c>
      <c r="M1" t="s">
        <v>361</v>
      </c>
      <c r="N1" t="s">
        <v>362</v>
      </c>
      <c r="O1" t="s">
        <v>363</v>
      </c>
    </row>
    <row r="2" spans="1:16" x14ac:dyDescent="0.25">
      <c r="A2" t="s">
        <v>0</v>
      </c>
      <c r="C2" t="s">
        <v>46</v>
      </c>
      <c r="D2" t="s">
        <v>75</v>
      </c>
      <c r="E2" t="s">
        <v>364</v>
      </c>
      <c r="F2" t="s">
        <v>365</v>
      </c>
      <c r="G2" t="s">
        <v>366</v>
      </c>
      <c r="H2" t="s">
        <v>367</v>
      </c>
      <c r="I2" t="s">
        <v>368</v>
      </c>
      <c r="J2" t="s">
        <v>369</v>
      </c>
      <c r="K2" t="s">
        <v>370</v>
      </c>
      <c r="L2" t="s">
        <v>51</v>
      </c>
      <c r="M2" t="s">
        <v>371</v>
      </c>
      <c r="N2" t="s">
        <v>372</v>
      </c>
      <c r="O2" t="s">
        <v>373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511</v>
      </c>
      <c r="C4" t="s">
        <v>539</v>
      </c>
      <c r="H4">
        <v>1</v>
      </c>
      <c r="J4" t="s">
        <v>540</v>
      </c>
      <c r="P4" t="s">
        <v>541</v>
      </c>
    </row>
    <row r="5" spans="1:16" x14ac:dyDescent="0.25">
      <c r="A5" t="s">
        <v>518</v>
      </c>
      <c r="C5" t="s">
        <v>542</v>
      </c>
      <c r="H5">
        <v>1</v>
      </c>
      <c r="J5" t="s">
        <v>543</v>
      </c>
      <c r="P5" t="s">
        <v>544</v>
      </c>
    </row>
    <row r="6" spans="1:16" s="14" customFormat="1" x14ac:dyDescent="0.25">
      <c r="A6" s="14" t="s">
        <v>520</v>
      </c>
      <c r="C6" s="14" t="s">
        <v>539</v>
      </c>
      <c r="H6" s="14">
        <v>1</v>
      </c>
      <c r="P6" s="14" t="s">
        <v>545</v>
      </c>
    </row>
    <row r="7" spans="1:16" x14ac:dyDescent="0.25">
      <c r="A7" t="s">
        <v>546</v>
      </c>
      <c r="C7" t="s">
        <v>547</v>
      </c>
      <c r="H7">
        <v>1</v>
      </c>
      <c r="N7">
        <v>1</v>
      </c>
      <c r="P7" t="s">
        <v>548</v>
      </c>
    </row>
    <row r="8" spans="1:16" x14ac:dyDescent="0.25">
      <c r="A8" t="s">
        <v>549</v>
      </c>
      <c r="C8" t="s">
        <v>547</v>
      </c>
      <c r="H8">
        <v>1</v>
      </c>
      <c r="N8">
        <v>1</v>
      </c>
      <c r="P8" t="s">
        <v>550</v>
      </c>
    </row>
    <row r="9" spans="1:16" s="14" customFormat="1" x14ac:dyDescent="0.25">
      <c r="A9" s="14" t="s">
        <v>557</v>
      </c>
      <c r="C9" s="14" t="s">
        <v>605</v>
      </c>
      <c r="H9" s="14">
        <v>1</v>
      </c>
      <c r="K9"/>
    </row>
    <row r="10" spans="1:16" x14ac:dyDescent="0.25">
      <c r="A10" t="s">
        <v>576</v>
      </c>
      <c r="C10" t="s">
        <v>539</v>
      </c>
      <c r="H10">
        <v>1</v>
      </c>
      <c r="P10" t="s">
        <v>541</v>
      </c>
    </row>
    <row r="11" spans="1:16" s="14" customFormat="1" x14ac:dyDescent="0.25">
      <c r="A11" s="14" t="s">
        <v>574</v>
      </c>
      <c r="C11" s="14" t="s">
        <v>605</v>
      </c>
      <c r="H11" s="14">
        <v>1</v>
      </c>
      <c r="K11"/>
    </row>
    <row r="12" spans="1:16" s="14" customFormat="1" x14ac:dyDescent="0.25">
      <c r="A12" s="14" t="s">
        <v>573</v>
      </c>
      <c r="C12" s="14" t="s">
        <v>605</v>
      </c>
      <c r="H12" s="14">
        <v>1</v>
      </c>
      <c r="K12"/>
    </row>
    <row r="13" spans="1:16" x14ac:dyDescent="0.25">
      <c r="A13" t="s">
        <v>606</v>
      </c>
      <c r="C13" t="s">
        <v>200</v>
      </c>
      <c r="P13" t="s">
        <v>607</v>
      </c>
    </row>
    <row r="14" spans="1:16" s="14" customFormat="1" x14ac:dyDescent="0.25">
      <c r="A14" s="14" t="s">
        <v>590</v>
      </c>
      <c r="C14" s="14" t="s">
        <v>539</v>
      </c>
      <c r="H14" s="14">
        <v>1</v>
      </c>
      <c r="J14"/>
      <c r="P14" s="14" t="s">
        <v>608</v>
      </c>
    </row>
    <row r="15" spans="1:16" x14ac:dyDescent="0.25">
      <c r="A15" t="s">
        <v>609</v>
      </c>
      <c r="C15" t="s">
        <v>539</v>
      </c>
      <c r="P15" t="s">
        <v>610</v>
      </c>
    </row>
    <row r="16" spans="1:16" x14ac:dyDescent="0.25">
      <c r="A16" t="s">
        <v>611</v>
      </c>
      <c r="C16" t="s">
        <v>542</v>
      </c>
      <c r="H16">
        <v>1</v>
      </c>
      <c r="J16" t="s">
        <v>543</v>
      </c>
      <c r="P16" t="s">
        <v>544</v>
      </c>
    </row>
    <row r="17" spans="1:16" x14ac:dyDescent="0.25">
      <c r="A17" t="s">
        <v>612</v>
      </c>
      <c r="C17" s="14" t="s">
        <v>605</v>
      </c>
      <c r="J17" t="s">
        <v>613</v>
      </c>
    </row>
    <row r="18" spans="1:16" s="14" customFormat="1" x14ac:dyDescent="0.25">
      <c r="A18" s="14" t="s">
        <v>591</v>
      </c>
      <c r="C18" s="14" t="s">
        <v>605</v>
      </c>
      <c r="H18" s="14">
        <v>1</v>
      </c>
      <c r="J18" t="s">
        <v>614</v>
      </c>
    </row>
    <row r="19" spans="1:16" x14ac:dyDescent="0.25">
      <c r="A19" t="s">
        <v>615</v>
      </c>
      <c r="C19" t="s">
        <v>200</v>
      </c>
      <c r="P19" t="s">
        <v>616</v>
      </c>
    </row>
    <row r="20" spans="1:16" x14ac:dyDescent="0.25">
      <c r="A20" s="8" t="s">
        <v>644</v>
      </c>
      <c r="C20" s="8" t="s">
        <v>617</v>
      </c>
      <c r="P20" s="8" t="s">
        <v>618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374</v>
      </c>
    </row>
    <row r="2" spans="1:4" x14ac:dyDescent="0.25">
      <c r="A2" t="s">
        <v>0</v>
      </c>
      <c r="B2" t="s">
        <v>46</v>
      </c>
      <c r="C2" t="s">
        <v>375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topLeftCell="B1" workbookViewId="0">
      <selection activeCell="E6" sqref="E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376</v>
      </c>
      <c r="E2" t="s">
        <v>70</v>
      </c>
      <c r="F2" t="s">
        <v>377</v>
      </c>
      <c r="G2" t="s">
        <v>378</v>
      </c>
      <c r="H2" t="s">
        <v>379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446</v>
      </c>
    </row>
    <row r="4" spans="1:9" x14ac:dyDescent="0.25">
      <c r="A4" s="8" t="s">
        <v>478</v>
      </c>
      <c r="B4" s="8" t="s">
        <v>475</v>
      </c>
      <c r="C4" t="s">
        <v>434</v>
      </c>
      <c r="E4">
        <v>10</v>
      </c>
      <c r="H4">
        <v>1</v>
      </c>
      <c r="I4" s="8" t="s">
        <v>552</v>
      </c>
    </row>
    <row r="5" spans="1:9" x14ac:dyDescent="0.25">
      <c r="A5" t="s">
        <v>510</v>
      </c>
      <c r="B5" t="s">
        <v>537</v>
      </c>
      <c r="C5" t="s">
        <v>434</v>
      </c>
      <c r="E5">
        <v>10</v>
      </c>
      <c r="H5">
        <v>1</v>
      </c>
      <c r="I5" s="8" t="s">
        <v>551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</row>
    <row r="2" spans="1:12" x14ac:dyDescent="0.25">
      <c r="A2" t="s">
        <v>0</v>
      </c>
      <c r="B2" t="s">
        <v>390</v>
      </c>
      <c r="C2" t="s">
        <v>391</v>
      </c>
      <c r="D2" t="s">
        <v>392</v>
      </c>
      <c r="E2" t="s">
        <v>393</v>
      </c>
      <c r="F2" t="s">
        <v>394</v>
      </c>
      <c r="G2" t="s">
        <v>395</v>
      </c>
      <c r="H2" t="s">
        <v>396</v>
      </c>
      <c r="I2" t="s">
        <v>397</v>
      </c>
      <c r="J2" t="s">
        <v>398</v>
      </c>
      <c r="K2" t="s">
        <v>377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400</v>
      </c>
      <c r="E2" t="s">
        <v>401</v>
      </c>
      <c r="F2" t="s">
        <v>77</v>
      </c>
      <c r="G2" t="s">
        <v>402</v>
      </c>
      <c r="H2" t="s">
        <v>256</v>
      </c>
      <c r="I2" t="s">
        <v>403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404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2025-09-13T17:35:00Z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