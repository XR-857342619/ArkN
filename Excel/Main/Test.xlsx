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UnityWork\zhou-master\Excel\Main\"/>
    </mc:Choice>
  </mc:AlternateContent>
  <xr:revisionPtr revIDLastSave="0" documentId="13_ncr:1_{0549E192-3A9D-4AA3-93B7-46587D6035C5}" xr6:coauthVersionLast="47" xr6:coauthVersionMax="47" xr10:uidLastSave="{00000000-0000-0000-0000-000000000000}"/>
  <bookViews>
    <workbookView xWindow="-103" yWindow="-103" windowWidth="24144" windowHeight="14447" firstSheet="1" activeTab="1" xr2:uid="{00000000-000D-0000-FFFF-FFFF00000000}"/>
  </bookViews>
  <sheets>
    <sheet name="CardData" sheetId="10" r:id="rId1"/>
    <sheet name="UnitData" sheetId="1" r:id="rId2"/>
    <sheet name="SkillData" sheetId="2" r:id="rId3"/>
    <sheet name="BuffData" sheetId="6" r:id="rId4"/>
    <sheet name="ModifyData" sheetId="8" r:id="rId5"/>
    <sheet name="BulletData" sheetId="4" r:id="rId6"/>
    <sheet name="EffectData" sheetId="9" r:id="rId7"/>
    <sheet name="ContractData" sheetId="11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5" i="1" l="1"/>
  <c r="BF14" i="1"/>
  <c r="BE14" i="1"/>
  <c r="F13" i="1"/>
  <c r="BF9" i="1"/>
  <c r="BE9" i="1"/>
  <c r="BF8" i="1"/>
  <c r="BE8" i="1"/>
  <c r="BE11" i="1"/>
  <c r="BF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AK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0:干员 1:敌人 2:仅技能条 3:技能+血条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Admin</author>
  </authors>
  <commentList>
    <comment ref="AC1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1:玩家 2:敌人 3:双方</t>
        </r>
      </text>
    </comment>
    <comment ref="AZ1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0:基于单位攻击力
1:基于目标最大生命值
2:固定值
</t>
        </r>
      </text>
    </comment>
    <comment ref="BP1" authorId="1" shapeId="0" xr:uid="{00000000-0006-0000-02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技能持续结束后，将会转变为升级技能</t>
        </r>
      </text>
    </comment>
    <comment ref="CR1" authorId="1" shapeId="0" xr:uid="{00000000-0006-0000-02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被动技能的场合，不检查范围，只检查单位死亡和技能开启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0：击中点
1：骨骼点</t>
        </r>
      </text>
    </comment>
    <comment ref="H1" authorId="0" shapeId="0" xr:uid="{00000000-0006-0000-0600-000002000000}">
      <text>
        <r>
          <rPr>
            <b/>
            <sz val="9"/>
            <rFont val="宋体"/>
            <family val="3"/>
            <charset val="134"/>
          </rPr>
          <t>Admin:
1会实时更新x缩放</t>
        </r>
        <r>
          <rPr>
            <sz val="9"/>
            <rFont val="宋体"/>
            <family val="3"/>
            <charset val="134"/>
          </rPr>
          <t xml:space="preserve">
2跟随使用者
3仅跟随位置
</t>
        </r>
      </text>
    </comment>
    <comment ref="I1" authorId="0" shapeId="0" xr:uid="{00000000-0006-0000-06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0：不修改
1：跟随接收者
2：跟随施法者
</t>
        </r>
      </text>
    </comment>
    <comment ref="J1" authorId="0" shapeId="0" xr:uid="{00000000-0006-0000-06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是否允许特效旋转z轴</t>
        </r>
      </text>
    </comment>
  </commentList>
</comments>
</file>

<file path=xl/sharedStrings.xml><?xml version="1.0" encoding="utf-8"?>
<sst xmlns="http://schemas.openxmlformats.org/spreadsheetml/2006/main" count="1162" uniqueCount="656">
  <si>
    <t>Id</t>
  </si>
  <si>
    <t>units</t>
  </si>
  <si>
    <t>string</t>
  </si>
  <si>
    <t>UnitData[]</t>
  </si>
  <si>
    <t>#</t>
  </si>
  <si>
    <t>模型大小倍率</t>
  </si>
  <si>
    <t>精英化</t>
  </si>
  <si>
    <t>等级</t>
  </si>
  <si>
    <t>血</t>
  </si>
  <si>
    <t>攻</t>
  </si>
  <si>
    <t>防</t>
  </si>
  <si>
    <t>魔防</t>
  </si>
  <si>
    <t>消耗</t>
  </si>
  <si>
    <t>消耗增长</t>
  </si>
  <si>
    <t>复活时间</t>
  </si>
  <si>
    <t>额外攻速</t>
  </si>
  <si>
    <t>抛光系数</t>
  </si>
  <si>
    <t>攻击间隔</t>
  </si>
  <si>
    <t>重量</t>
  </si>
  <si>
    <t>移动速度</t>
  </si>
  <si>
    <t>部署占用数</t>
  </si>
  <si>
    <t>撤离后不返回</t>
  </si>
  <si>
    <t>仇恨等级</t>
  </si>
  <si>
    <t>被攻击点</t>
  </si>
  <si>
    <t>常驻技能</t>
  </si>
  <si>
    <t>可选技能</t>
  </si>
  <si>
    <t>血条类型</t>
  </si>
  <si>
    <t>高度</t>
  </si>
  <si>
    <t>高台单位？</t>
  </si>
  <si>
    <t>地面</t>
  </si>
  <si>
    <t>阻挡个数</t>
  </si>
  <si>
    <t>返还倍率</t>
  </si>
  <si>
    <t>不占用地板</t>
  </si>
  <si>
    <t>生命恢复</t>
  </si>
  <si>
    <t>不参与击杀计数</t>
  </si>
  <si>
    <t>终点伤害</t>
  </si>
  <si>
    <t>抗性</t>
  </si>
  <si>
    <t>半径</t>
  </si>
  <si>
    <t>大小</t>
  </si>
  <si>
    <t>阻挡？</t>
  </si>
  <si>
    <t>存活时间</t>
  </si>
  <si>
    <t>头像</t>
  </si>
  <si>
    <t>半身像</t>
  </si>
  <si>
    <t>立绘</t>
  </si>
  <si>
    <t>立绘位置</t>
  </si>
  <si>
    <t>稀有</t>
  </si>
  <si>
    <t>Type</t>
  </si>
  <si>
    <t>Test</t>
  </si>
  <si>
    <t>Model</t>
  </si>
  <si>
    <t>ModelScale</t>
  </si>
  <si>
    <t>engName</t>
  </si>
  <si>
    <t>Upgrade</t>
  </si>
  <si>
    <t>Level</t>
  </si>
  <si>
    <t>Hp</t>
  </si>
  <si>
    <t>HpEx</t>
  </si>
  <si>
    <t>Attack</t>
  </si>
  <si>
    <t>AttackEx</t>
  </si>
  <si>
    <t>Defence</t>
  </si>
  <si>
    <t>DefenceEx</t>
  </si>
  <si>
    <t>MagicDefence</t>
  </si>
  <si>
    <t>MagicDefenceEx</t>
  </si>
  <si>
    <t>Cost</t>
  </si>
  <si>
    <t>CostEx</t>
  </si>
  <si>
    <t>CostAdd</t>
  </si>
  <si>
    <t>ResetTime</t>
  </si>
  <si>
    <t>ResetTimeEx</t>
  </si>
  <si>
    <t>ExAgi</t>
  </si>
  <si>
    <t>MinDamageRate</t>
  </si>
  <si>
    <t>AttackGap</t>
  </si>
  <si>
    <t>Weight</t>
  </si>
  <si>
    <t>Speed</t>
  </si>
  <si>
    <t>BuildCountCost</t>
  </si>
  <si>
    <t>NotReturn</t>
  </si>
  <si>
    <t>Hatred</t>
  </si>
  <si>
    <t>Team</t>
  </si>
  <si>
    <t>Name</t>
  </si>
  <si>
    <t>HitPointName</t>
  </si>
  <si>
    <t>Skills</t>
  </si>
  <si>
    <t>MainSkill</t>
  </si>
  <si>
    <t>HpBarType</t>
  </si>
  <si>
    <t>Height</t>
  </si>
  <si>
    <t>CanSetHigh</t>
  </si>
  <si>
    <t>CanSetGround</t>
  </si>
  <si>
    <t>StopCount</t>
  </si>
  <si>
    <t>LeaveReturn</t>
  </si>
  <si>
    <t>NotUseTile</t>
  </si>
  <si>
    <t>#敌人用</t>
  </si>
  <si>
    <t>HpRecover</t>
  </si>
  <si>
    <t>WithoutCheckCount</t>
  </si>
  <si>
    <t>Damage</t>
  </si>
  <si>
    <t>IgnoreBuff</t>
  </si>
  <si>
    <t>Radius</t>
  </si>
  <si>
    <t>Size</t>
  </si>
  <si>
    <t>CanStop</t>
  </si>
  <si>
    <t>LifeTime</t>
  </si>
  <si>
    <t>Profession</t>
  </si>
  <si>
    <t>Profession2</t>
  </si>
  <si>
    <t>HeadIcon</t>
  </si>
  <si>
    <t>HalfIcon</t>
  </si>
  <si>
    <t>StandPic</t>
  </si>
  <si>
    <t>StandPicPos</t>
  </si>
  <si>
    <t>Rare</t>
  </si>
  <si>
    <t>SetPos</t>
  </si>
  <si>
    <t>Tags</t>
  </si>
  <si>
    <t>AblitityInfo</t>
  </si>
  <si>
    <t>Ablititys</t>
  </si>
  <si>
    <t>DefaultAnimation</t>
  </si>
  <si>
    <t>MoveAnimation</t>
  </si>
  <si>
    <t>DeadAnimation</t>
  </si>
  <si>
    <t>StunAnimation</t>
  </si>
  <si>
    <t>ForwardAnimation</t>
  </si>
  <si>
    <t>MaxAnimationScale</t>
  </si>
  <si>
    <t>bool</t>
  </si>
  <si>
    <t>float</t>
  </si>
  <si>
    <t>int</t>
  </si>
  <si>
    <t>SkillData[]</t>
  </si>
  <si>
    <t>BuffData[]</t>
  </si>
  <si>
    <t>UnityEngine.Vector2Int</t>
  </si>
  <si>
    <t>UnitTypeEnum</t>
  </si>
  <si>
    <t>float[]</t>
  </si>
  <si>
    <t>string[]</t>
  </si>
  <si>
    <t>System.Collections.Generic.Dictionary&lt;string,object&gt;</t>
  </si>
  <si>
    <t>Hip</t>
  </si>
  <si>
    <t>Default</t>
  </si>
  <si>
    <t>Idle</t>
  </si>
  <si>
    <t>Die</t>
  </si>
  <si>
    <t>干员</t>
  </si>
  <si>
    <t>近战位</t>
  </si>
  <si>
    <t>211,81,1500,1500</t>
  </si>
  <si>
    <t>#备注</t>
  </si>
  <si>
    <t>技能名</t>
  </si>
  <si>
    <t>描述</t>
  </si>
  <si>
    <t>图标</t>
  </si>
  <si>
    <t>专精程度</t>
  </si>
  <si>
    <t>无视眩晕</t>
  </si>
  <si>
    <t>激活方式</t>
  </si>
  <si>
    <t>使用方式</t>
  </si>
  <si>
    <t>激活时点</t>
  </si>
  <si>
    <t>技能消耗</t>
  </si>
  <si>
    <t>最大使用次数</t>
  </si>
  <si>
    <t>有buff则启用</t>
  </si>
  <si>
    <t>有buff则禁用</t>
  </si>
  <si>
    <t>目标有buff则启用</t>
  </si>
  <si>
    <t>目标有buff则禁用</t>
  </si>
  <si>
    <t>技能开启禁用</t>
  </si>
  <si>
    <t>自身血量低于启用</t>
  </si>
  <si>
    <t>目标血量高于启用</t>
  </si>
  <si>
    <t>自动开启</t>
  </si>
  <si>
    <t>无目标照样启动</t>
  </si>
  <si>
    <t>生效时重取目标</t>
  </si>
  <si>
    <t>阻挡时打断</t>
  </si>
  <si>
    <t>生效概率</t>
  </si>
  <si>
    <t>开启时打断其他</t>
  </si>
  <si>
    <t>敌对组</t>
  </si>
  <si>
    <t>对空</t>
  </si>
  <si>
    <t>使用事件来源</t>
  </si>
  <si>
    <t>使用事件目标</t>
  </si>
  <si>
    <t>过滤器</t>
  </si>
  <si>
    <t>是否包括死亡单位</t>
  </si>
  <si>
    <t>职业限定</t>
  </si>
  <si>
    <t>单位限定</t>
  </si>
  <si>
    <t>星级限定</t>
  </si>
  <si>
    <t>位置限定</t>
  </si>
  <si>
    <t>费用限定</t>
  </si>
  <si>
    <t>可否攻击装置</t>
  </si>
  <si>
    <t>攻击优先级</t>
  </si>
  <si>
    <t>攻击优先级2</t>
  </si>
  <si>
    <t>优先tag</t>
  </si>
  <si>
    <t>干员攻击范围</t>
  </si>
  <si>
    <t>攻击地板</t>
  </si>
  <si>
    <t>攻击范围</t>
  </si>
  <si>
    <t>跟随普攻的攻击范围</t>
  </si>
  <si>
    <t>伤害类型</t>
  </si>
  <si>
    <t>是否治疗</t>
  </si>
  <si>
    <t>倍率</t>
  </si>
  <si>
    <t>倍率乘以cd</t>
  </si>
  <si>
    <t>吸血</t>
  </si>
  <si>
    <t>伤害个数</t>
  </si>
  <si>
    <t>连发次数</t>
  </si>
  <si>
    <t>连发间隔</t>
  </si>
  <si>
    <t>连发重新索敌</t>
  </si>
  <si>
    <t>溅射范围</t>
  </si>
  <si>
    <t>溅射主体伤害</t>
  </si>
  <si>
    <t>溅射伤害</t>
  </si>
  <si>
    <t>推力</t>
  </si>
  <si>
    <t>费用获取</t>
  </si>
  <si>
    <t>关联技能</t>
  </si>
  <si>
    <t>附加技能</t>
  </si>
  <si>
    <t>权重</t>
  </si>
  <si>
    <t>技能升级</t>
  </si>
  <si>
    <t>冷却</t>
  </si>
  <si>
    <t>持续时间</t>
  </si>
  <si>
    <t>最大技力</t>
  </si>
  <si>
    <t>囤积次数</t>
  </si>
  <si>
    <t>回复方式</t>
  </si>
  <si>
    <t>需阻挡</t>
  </si>
  <si>
    <t>消耗方式</t>
  </si>
  <si>
    <t>攻击动作</t>
  </si>
  <si>
    <t>攻击动作强制抬手时间</t>
  </si>
  <si>
    <t>向下攻击动作</t>
  </si>
  <si>
    <t>覆盖动作</t>
  </si>
  <si>
    <t>向下覆盖动作</t>
  </si>
  <si>
    <t>攻击模式</t>
  </si>
  <si>
    <t>子弹</t>
  </si>
  <si>
    <t>子弹起始点</t>
  </si>
  <si>
    <t>修饰器</t>
  </si>
  <si>
    <t>修饰器信息</t>
  </si>
  <si>
    <t>消去buff</t>
  </si>
  <si>
    <t>关联Buff</t>
  </si>
  <si>
    <t>buff数值</t>
  </si>
  <si>
    <t>buff数值2</t>
  </si>
  <si>
    <t>buff数值3</t>
  </si>
  <si>
    <t>Buff几率</t>
  </si>
  <si>
    <t>Buff依赖技能范围</t>
  </si>
  <si>
    <t>自定数据</t>
  </si>
  <si>
    <t>就绪动画</t>
  </si>
  <si>
    <t>启动动画</t>
  </si>
  <si>
    <t>生效动画</t>
  </si>
  <si>
    <t>命中动画</t>
  </si>
  <si>
    <t>聚集动画</t>
  </si>
  <si>
    <t>循环启动动画</t>
  </si>
  <si>
    <t>循环生效动画</t>
  </si>
  <si>
    <t>反隐</t>
  </si>
  <si>
    <t>可破坏</t>
  </si>
  <si>
    <t>是隐藏主动技能</t>
  </si>
  <si>
    <t>无视睡眠</t>
  </si>
  <si>
    <t>无视无敌</t>
  </si>
  <si>
    <t>禁用转身</t>
  </si>
  <si>
    <t>Desc</t>
  </si>
  <si>
    <t>Icon</t>
  </si>
  <si>
    <t>IgnoreStun</t>
  </si>
  <si>
    <t>ReadyType</t>
  </si>
  <si>
    <t>UseType</t>
  </si>
  <si>
    <t>Trigger</t>
  </si>
  <si>
    <t>SkillCost</t>
  </si>
  <si>
    <t>MaxUseCount</t>
  </si>
  <si>
    <t>EnableBuff</t>
  </si>
  <si>
    <t>DisableBuff</t>
  </si>
  <si>
    <t>TargetEnableBuff</t>
  </si>
  <si>
    <t>TargetDisableBuff</t>
  </si>
  <si>
    <t>OpenDisable</t>
  </si>
  <si>
    <t>SelfHpLess</t>
  </si>
  <si>
    <t>TargetHpLess</t>
  </si>
  <si>
    <t>TargetHpMore</t>
  </si>
  <si>
    <t>AutoUse</t>
  </si>
  <si>
    <t>NoTargetAlsoUse</t>
  </si>
  <si>
    <t>RegetTarget</t>
  </si>
  <si>
    <t>StopBreak</t>
  </si>
  <si>
    <t>EffectiveRate</t>
  </si>
  <si>
    <t>StopOtherSkill</t>
  </si>
  <si>
    <t>TargetTeam</t>
  </si>
  <si>
    <t>AttackFly</t>
  </si>
  <si>
    <t>UseEventUser</t>
  </si>
  <si>
    <t>UseEventTarget</t>
  </si>
  <si>
    <t>TargetFilter</t>
  </si>
  <si>
    <t>DeadFind</t>
  </si>
  <si>
    <t>ProfessionLimit</t>
  </si>
  <si>
    <t>UnitLimit</t>
  </si>
  <si>
    <t>RareLimit</t>
  </si>
  <si>
    <t>PosLimit</t>
  </si>
  <si>
    <t>CostLimit</t>
  </si>
  <si>
    <t>MidLimit</t>
  </si>
  <si>
    <t>AttackOrder</t>
  </si>
  <si>
    <t>AttackOrder2</t>
  </si>
  <si>
    <t>OrderTag</t>
  </si>
  <si>
    <t>AttackPoints</t>
  </si>
  <si>
    <t>AttackPoint</t>
  </si>
  <si>
    <t>AttackRange</t>
  </si>
  <si>
    <t>AttackAreaWithMain</t>
  </si>
  <si>
    <t>DamageType</t>
  </si>
  <si>
    <t>IfHeal</t>
  </si>
  <si>
    <t>DamageRate</t>
  </si>
  <si>
    <t>DamageWithFrameRate</t>
  </si>
  <si>
    <t>DamageBase</t>
  </si>
  <si>
    <t>LifeSteal</t>
  </si>
  <si>
    <t>DamageCount</t>
  </si>
  <si>
    <t>BurstCount</t>
  </si>
  <si>
    <t>BurstDelay</t>
  </si>
  <si>
    <t>BurstFind</t>
  </si>
  <si>
    <t>AreaPoints</t>
  </si>
  <si>
    <t>AreaNoCheck</t>
  </si>
  <si>
    <t>AreaRange</t>
  </si>
  <si>
    <t>AreaMainDamage</t>
  </si>
  <si>
    <t>AreaDamage</t>
  </si>
  <si>
    <t>PushPower</t>
  </si>
  <si>
    <t>CostCount</t>
  </si>
  <si>
    <t>ExSkills</t>
  </si>
  <si>
    <t>ExSkillWeight</t>
  </si>
  <si>
    <t>UpgradeSkill</t>
  </si>
  <si>
    <t>Cooldown</t>
  </si>
  <si>
    <t>OpenTime</t>
  </si>
  <si>
    <t>MaxPower</t>
  </si>
  <si>
    <t>PowerCount</t>
  </si>
  <si>
    <t>PowerType</t>
  </si>
  <si>
    <t>PowerStopNeed</t>
  </si>
  <si>
    <t>PowerUseType</t>
  </si>
  <si>
    <t>ModelAnimation</t>
  </si>
  <si>
    <t>AnimationTime</t>
  </si>
  <si>
    <t>ModelAnimationDown</t>
  </si>
  <si>
    <t>OverwriteAnimation</t>
  </si>
  <si>
    <t>OverwriteAnimationDown</t>
  </si>
  <si>
    <t>AttackMode</t>
  </si>
  <si>
    <t>Bullet</t>
  </si>
  <si>
    <t>ShootPoint</t>
  </si>
  <si>
    <t>Modifys</t>
  </si>
  <si>
    <t>ModifyDatas</t>
  </si>
  <si>
    <t>BuffRemoves</t>
  </si>
  <si>
    <t>Buffs</t>
  </si>
  <si>
    <t>BuffData</t>
  </si>
  <si>
    <t>BuffData2</t>
  </si>
  <si>
    <t>BuffData3</t>
  </si>
  <si>
    <t>BuffLastTime</t>
  </si>
  <si>
    <t>BuffChance</t>
  </si>
  <si>
    <t>BuffRely</t>
  </si>
  <si>
    <t>Data</t>
  </si>
  <si>
    <t>ReadyEffect</t>
  </si>
  <si>
    <t>StartEffect</t>
  </si>
  <si>
    <t>CastEffect</t>
  </si>
  <si>
    <t>HitEffect</t>
  </si>
  <si>
    <t>EffectEffect</t>
  </si>
  <si>
    <t>GatherEffect</t>
  </si>
  <si>
    <t>LoopStartEffect</t>
  </si>
  <si>
    <t>LoopCastEffect</t>
  </si>
  <si>
    <t>AntiHide</t>
  </si>
  <si>
    <t>CanDestory</t>
  </si>
  <si>
    <t>NotAttackFlag</t>
  </si>
  <si>
    <t>IgnoreSleep</t>
  </si>
  <si>
    <t>IgnoreSelectable</t>
  </si>
  <si>
    <t>DisableScaleX</t>
  </si>
  <si>
    <t>SkillReadyEnum</t>
  </si>
  <si>
    <t>SkillUseTypeEnum</t>
  </si>
  <si>
    <t>SkillTargetFilterEnum</t>
  </si>
  <si>
    <t>AttackTargetOrderEnum</t>
  </si>
  <si>
    <t>AttackTargetOrder2Enum</t>
  </si>
  <si>
    <t>UnityEngine.Vector2Int[]</t>
  </si>
  <si>
    <t>DamageTypeEnum</t>
  </si>
  <si>
    <t>int[]</t>
  </si>
  <si>
    <t>SkillData</t>
  </si>
  <si>
    <t>PowerRecoverTypeEnum</t>
  </si>
  <si>
    <t>float?</t>
  </si>
  <si>
    <t>AttackModeEnum</t>
  </si>
  <si>
    <t>BulletData</t>
  </si>
  <si>
    <t>ModifyData[]</t>
  </si>
  <si>
    <t>EffectData</t>
  </si>
  <si>
    <t>EffectData[]</t>
  </si>
  <si>
    <t>#注意！！！技能的优先顺序是按照此表的顺序来的，排越靠下优先级越高#</t>
  </si>
  <si>
    <t>普通技能</t>
  </si>
  <si>
    <t>被动</t>
  </si>
  <si>
    <t>仅自己</t>
  </si>
  <si>
    <t>Normal</t>
  </si>
  <si>
    <t>Magic</t>
  </si>
  <si>
    <t>0,0</t>
  </si>
  <si>
    <t>凛冬击中</t>
  </si>
  <si>
    <t>拉普兰德近战击中</t>
  </si>
  <si>
    <t>阻挡小于</t>
  </si>
  <si>
    <t>阻挡需求</t>
  </si>
  <si>
    <t>周围单位需求</t>
  </si>
  <si>
    <t>不同源覆盖</t>
  </si>
  <si>
    <t>切换类buff</t>
  </si>
  <si>
    <t>持续特效</t>
  </si>
  <si>
    <t>升级</t>
  </si>
  <si>
    <t>能否被抵抗</t>
  </si>
  <si>
    <t>死亡不消去</t>
  </si>
  <si>
    <t>依赖buff</t>
  </si>
  <si>
    <t>StopLess</t>
  </si>
  <si>
    <t>StopNeed</t>
  </si>
  <si>
    <t>RoundNeed</t>
  </si>
  <si>
    <t>UnSourceCheck</t>
  </si>
  <si>
    <t>IfSwitch</t>
  </si>
  <si>
    <t>LastingEffect</t>
  </si>
  <si>
    <t>LastTime</t>
  </si>
  <si>
    <t>Resist</t>
  </si>
  <si>
    <t>DeadRemain</t>
  </si>
  <si>
    <t>RelyBuff</t>
  </si>
  <si>
    <t>相关buff</t>
  </si>
  <si>
    <t>Buff</t>
  </si>
  <si>
    <t>Line</t>
  </si>
  <si>
    <t>FaceCamera</t>
  </si>
  <si>
    <t>ScaleX</t>
  </si>
  <si>
    <t>EffectBase</t>
  </si>
  <si>
    <t>模型</t>
  </si>
  <si>
    <t>起始位置</t>
  </si>
  <si>
    <t>偏移</t>
  </si>
  <si>
    <t>绑点</t>
  </si>
  <si>
    <t>跟随骨骼</t>
  </si>
  <si>
    <t>父级</t>
  </si>
  <si>
    <t>朝向</t>
  </si>
  <si>
    <t>跟随方向</t>
  </si>
  <si>
    <t>朝向相机</t>
  </si>
  <si>
    <t>生命周期</t>
  </si>
  <si>
    <t>Prefab</t>
  </si>
  <si>
    <t>StartPos</t>
  </si>
  <si>
    <t>Offset</t>
  </si>
  <si>
    <t>BindPoint</t>
  </si>
  <si>
    <t>BoneFollow</t>
  </si>
  <si>
    <t>ForwardOnly</t>
  </si>
  <si>
    <t>ParentFollow</t>
  </si>
  <si>
    <t>ScaleXFollow</t>
  </si>
  <si>
    <t>ForwordDirection</t>
  </si>
  <si>
    <t>UnityEngine.Vector3</t>
  </si>
  <si>
    <t>Description</t>
  </si>
  <si>
    <t>Group</t>
  </si>
  <si>
    <t>TeamLimit</t>
  </si>
  <si>
    <t>MapHp</t>
  </si>
  <si>
    <t>UnitTypeEnum[]</t>
  </si>
  <si>
    <t>普通技能</t>
    <phoneticPr fontId="8" type="noConversion"/>
  </si>
  <si>
    <t>干员</t>
    <phoneticPr fontId="8" type="noConversion"/>
  </si>
  <si>
    <t>char_263_skadi</t>
    <phoneticPr fontId="8" type="noConversion"/>
  </si>
  <si>
    <t>Hip</t>
    <phoneticPr fontId="8" type="noConversion"/>
  </si>
  <si>
    <t>先锋</t>
    <phoneticPr fontId="8" type="noConversion"/>
  </si>
  <si>
    <t>icon_skadi</t>
    <phoneticPr fontId="8" type="noConversion"/>
  </si>
  <si>
    <t>half_skadi</t>
    <phoneticPr fontId="8" type="noConversion"/>
  </si>
  <si>
    <t>skadi</t>
    <phoneticPr fontId="8" type="noConversion"/>
  </si>
  <si>
    <t>211,81,1500,1500</t>
    <phoneticPr fontId="8" type="noConversion"/>
  </si>
  <si>
    <t>近战位</t>
    <phoneticPr fontId="8" type="noConversion"/>
  </si>
  <si>
    <t>费用回复</t>
    <phoneticPr fontId="8" type="noConversion"/>
  </si>
  <si>
    <t>Default</t>
    <phoneticPr fontId="8" type="noConversion"/>
  </si>
  <si>
    <t>Idle</t>
    <phoneticPr fontId="8" type="noConversion"/>
  </si>
  <si>
    <t>Die</t>
    <phoneticPr fontId="8" type="noConversion"/>
  </si>
  <si>
    <t>Skill</t>
    <phoneticPr fontId="8" type="noConversion"/>
  </si>
  <si>
    <t>被动</t>
    <phoneticPr fontId="8" type="noConversion"/>
  </si>
  <si>
    <t>仅自己</t>
    <phoneticPr fontId="8" type="noConversion"/>
  </si>
  <si>
    <t>自动</t>
    <phoneticPr fontId="8" type="noConversion"/>
  </si>
  <si>
    <t>终点距离</t>
    <phoneticPr fontId="8" type="noConversion"/>
  </si>
  <si>
    <t>Attack</t>
    <phoneticPr fontId="8" type="noConversion"/>
  </si>
  <si>
    <t>跟随攻击</t>
    <phoneticPr fontId="8" type="noConversion"/>
  </si>
  <si>
    <t>自己入场</t>
    <phoneticPr fontId="8" type="noConversion"/>
  </si>
  <si>
    <t>固定间隔</t>
    <phoneticPr fontId="8" type="noConversion"/>
  </si>
  <si>
    <t>otter</t>
  </si>
  <si>
    <t>242</t>
  </si>
  <si>
    <t>token_10004_otter_motter</t>
    <phoneticPr fontId="8" type="noConversion"/>
  </si>
  <si>
    <t>头像_召唤物_机械水獭</t>
    <phoneticPr fontId="8" type="noConversion"/>
  </si>
  <si>
    <t>特种</t>
    <phoneticPr fontId="8" type="noConversion"/>
  </si>
  <si>
    <t>0,0#1,0#2,0</t>
  </si>
  <si>
    <t>frostl_attack_01_trail</t>
  </si>
  <si>
    <t>Real</t>
    <phoneticPr fontId="8" type="noConversion"/>
  </si>
  <si>
    <t>TriggerEnum</t>
    <phoneticPr fontId="8" type="noConversion"/>
  </si>
  <si>
    <t>部署干员</t>
    <phoneticPr fontId="8" type="noConversion"/>
  </si>
  <si>
    <t>获取单位</t>
    <phoneticPr fontId="8" type="noConversion"/>
  </si>
  <si>
    <t>可停止</t>
    <phoneticPr fontId="8" type="noConversion"/>
  </si>
  <si>
    <t>CanStop</t>
    <phoneticPr fontId="8" type="noConversion"/>
  </si>
  <si>
    <t>bool</t>
    <phoneticPr fontId="8" type="noConversion"/>
  </si>
  <si>
    <t>初始技力</t>
  </si>
  <si>
    <t>StartPower</t>
  </si>
  <si>
    <t>元素损伤</t>
    <phoneticPr fontId="8" type="noConversion"/>
  </si>
  <si>
    <t>ElementInjure</t>
    <phoneticPr fontId="8" type="noConversion"/>
  </si>
  <si>
    <t>System.Collections.Generic.Dictionary&lt;string,object&gt;</t>
    <phoneticPr fontId="8" type="noConversion"/>
  </si>
  <si>
    <t>使用条件</t>
    <phoneticPr fontId="8" type="noConversion"/>
  </si>
  <si>
    <t>SkillCondition</t>
    <phoneticPr fontId="8" type="noConversion"/>
  </si>
  <si>
    <t>string</t>
    <phoneticPr fontId="8" type="noConversion"/>
  </si>
  <si>
    <t>{"Sanity":600}</t>
    <phoneticPr fontId="8" type="noConversion"/>
  </si>
  <si>
    <t>IdleAnimation</t>
    <phoneticPr fontId="8" type="noConversion"/>
  </si>
  <si>
    <t>猫</t>
    <phoneticPr fontId="8" type="noConversion"/>
  </si>
  <si>
    <t>猫自毁</t>
    <phoneticPr fontId="8" type="noConversion"/>
  </si>
  <si>
    <t>0,0#0,-2#-1,-1#0,-1#1,-1#-2,0#-1,0#1,0#2,0#-1,1#0,1#1,1#0,2</t>
  </si>
  <si>
    <t>猫诱导</t>
    <phoneticPr fontId="8" type="noConversion"/>
  </si>
  <si>
    <t>尝试插入临时路径点</t>
    <phoneticPr fontId="8" type="noConversion"/>
  </si>
  <si>
    <t>诅咒</t>
    <phoneticPr fontId="8" type="noConversion"/>
  </si>
  <si>
    <t>获取猫猫</t>
    <phoneticPr fontId="8" type="noConversion"/>
  </si>
  <si>
    <t>充能释放</t>
    <phoneticPr fontId="8" type="noConversion"/>
  </si>
  <si>
    <t>StopAttackOnly</t>
    <phoneticPr fontId="8" type="noConversion"/>
  </si>
  <si>
    <t>仅阻挡时可被攻击</t>
    <phoneticPr fontId="8" type="noConversion"/>
  </si>
  <si>
    <t>猫牢笼</t>
    <phoneticPr fontId="8" type="noConversion"/>
  </si>
  <si>
    <t>生成囚笼</t>
    <phoneticPr fontId="8" type="noConversion"/>
  </si>
  <si>
    <t>0,0</t>
    <phoneticPr fontId="8" type="noConversion"/>
  </si>
  <si>
    <t>{"UseMod":"useSelfPos","ShowRange":1,"LastTime":5}</t>
    <phoneticPr fontId="8" type="noConversion"/>
  </si>
  <si>
    <t>{"UnitId":"猫牢笼","TargetPos":"useSelfPos","SetMod":"Add","UseMod":"FixedDirection"}</t>
    <phoneticPr fontId="8" type="noConversion"/>
  </si>
  <si>
    <t>{"Count":1,"UnitId":"猫诱导"}</t>
    <phoneticPr fontId="8" type="noConversion"/>
  </si>
  <si>
    <t>猫爆炸</t>
  </si>
  <si>
    <t>猫死亡</t>
  </si>
  <si>
    <t>减速</t>
  </si>
  <si>
    <t>Real</t>
  </si>
  <si>
    <t>无</t>
    <phoneticPr fontId="8" type="noConversion"/>
  </si>
  <si>
    <t>CCB</t>
    <phoneticPr fontId="8" type="noConversion"/>
  </si>
  <si>
    <t>CCB普攻</t>
    <phoneticPr fontId="8" type="noConversion"/>
  </si>
  <si>
    <t>Muzzle</t>
  </si>
  <si>
    <t>链式弹道</t>
    <phoneticPr fontId="8" type="noConversion"/>
  </si>
  <si>
    <t>链式弹道索敌</t>
    <phoneticPr fontId="8" type="noConversion"/>
  </si>
  <si>
    <t>自身距离升序</t>
    <phoneticPr fontId="8" type="noConversion"/>
  </si>
  <si>
    <t>CCB链式弹道</t>
    <phoneticPr fontId="8" type="noConversion"/>
  </si>
  <si>
    <t>CCB</t>
    <phoneticPr fontId="11" type="noConversion"/>
  </si>
  <si>
    <t>Normal</t>
    <phoneticPr fontId="8" type="noConversion"/>
  </si>
  <si>
    <t>伤害基准</t>
    <phoneticPr fontId="8" type="noConversion"/>
  </si>
  <si>
    <t>治疗2</t>
  </si>
  <si>
    <t>火墙附魔</t>
    <phoneticPr fontId="8" type="noConversion"/>
  </si>
  <si>
    <t>余火墙</t>
    <phoneticPr fontId="8" type="noConversion"/>
  </si>
  <si>
    <t>弹道命中</t>
    <phoneticPr fontId="8" type="noConversion"/>
  </si>
  <si>
    <t>{"Fire":600}</t>
    <phoneticPr fontId="8" type="noConversion"/>
  </si>
  <si>
    <t>CCB普攻,获取猫猫</t>
    <phoneticPr fontId="8" type="noConversion"/>
  </si>
  <si>
    <t>猫索敌</t>
  </si>
  <si>
    <t>充能释放</t>
  </si>
  <si>
    <t>自动</t>
  </si>
  <si>
    <t>部署猫后续</t>
  </si>
  <si>
    <t>无</t>
  </si>
  <si>
    <t>部署干员</t>
  </si>
  <si>
    <t>离场</t>
  </si>
  <si>
    <t>终点距离</t>
  </si>
  <si>
    <t>猫后续死亡</t>
  </si>
  <si>
    <t>{"Sanity":0.25}</t>
  </si>
  <si>
    <t>猫诱导</t>
  </si>
  <si>
    <t>token_10004_otter_motter</t>
  </si>
  <si>
    <t>猫索敌,猫诱导</t>
  </si>
  <si>
    <t>特种</t>
  </si>
  <si>
    <t>头像_召唤物_机械水獭</t>
  </si>
  <si>
    <t>猫诱导后续</t>
  </si>
  <si>
    <t>自己入场</t>
  </si>
  <si>
    <t>干员链式弹道索敌</t>
  </si>
  <si>
    <t>干员m3攻击</t>
  </si>
  <si>
    <t>血量比例升序</t>
  </si>
  <si>
    <t>0,0#0,1#0,-1#1,0#2,0#1,1#1,-1#2,1#2,-1#-1,0#-1,1#-1,-1</t>
  </si>
  <si>
    <t>跟随攻击</t>
  </si>
  <si>
    <t>M3链式弹道</t>
  </si>
  <si>
    <t>m3攻速提升buff</t>
  </si>
  <si>
    <t>夜莺普攻击中</t>
  </si>
  <si>
    <t>获取重构体</t>
  </si>
  <si>
    <t>获取单位</t>
  </si>
  <si>
    <t>{"Count":1,"UnitId":"重构体"}</t>
  </si>
  <si>
    <t>重构体天赋</t>
  </si>
  <si>
    <t>重构体天赋加攻</t>
  </si>
  <si>
    <t>重构体中毒</t>
  </si>
  <si>
    <t>0,0#0,1#0,-1#1,0#1,1#1,-1#-1,0#-1,1#-1,-1</t>
  </si>
  <si>
    <t>重构体加攻</t>
  </si>
  <si>
    <t>重构体绝食</t>
  </si>
  <si>
    <t>重构体绝食1,重构体绝食2</t>
  </si>
  <si>
    <t>干员M3</t>
  </si>
  <si>
    <t>monstr</t>
  </si>
  <si>
    <t>4179</t>
  </si>
  <si>
    <t>Mon3tr</t>
  </si>
  <si>
    <t>干员m3攻击,获取重构体</t>
  </si>
  <si>
    <t>医疗</t>
  </si>
  <si>
    <t>链愈师</t>
  </si>
  <si>
    <t>头像_召唤物_Mon3tr</t>
  </si>
  <si>
    <t>half_kalts</t>
  </si>
  <si>
    <t>kalts</t>
  </si>
  <si>
    <t>远程位</t>
  </si>
  <si>
    <t>远程,Mon3tr</t>
  </si>
  <si>
    <t>重构体</t>
  </si>
  <si>
    <t>头像_召唤物_幻影</t>
  </si>
  <si>
    <t>链式弹道</t>
  </si>
  <si>
    <t>0,0#-1,-1#0,-1#1,-1#-1,0#1,0#-1,1#0,1#1,1</t>
  </si>
  <si>
    <t>数值变化</t>
  </si>
  <si>
    <t>银灰真银斩buff</t>
  </si>
  <si>
    <t>{"t":["AgiAdd"]}</t>
  </si>
  <si>
    <t>中毒</t>
  </si>
  <si>
    <t>棘刺中毒</t>
  </si>
  <si>
    <t>{"FarAttackUnitRate":1,"DamageType":"Real","TriggerTime":0.1}</t>
  </si>
  <si>
    <t>{"t":["AttackRate"]}</t>
  </si>
  <si>
    <t>重构体绝食1</t>
  </si>
  <si>
    <t>绝食</t>
  </si>
  <si>
    <t>{"HealOnly":"干员M3"}</t>
  </si>
  <si>
    <t>重构体绝食2</t>
  </si>
  <si>
    <t>{"HealOnly":"重构体"}</t>
  </si>
  <si>
    <t>{"MoveHeight":0,"MaxLinkNum":4,"SkillId":"干员链式弹道索敌","ReductionRate":0.1,"CanBack":"false"}</t>
    <phoneticPr fontId="8" type="noConversion"/>
  </si>
  <si>
    <t>{"MoveHeight":0,"MaxLinkNum":10,"ReductionRate":0.25,"SkillId":"链式弹道索敌","CanBack":"false"}</t>
    <phoneticPr fontId="8" type="noConversion"/>
  </si>
  <si>
    <t>{"ShowRange":1}</t>
    <phoneticPr fontId="8" type="noConversion"/>
  </si>
  <si>
    <t>禁止主动</t>
    <phoneticPr fontId="8" type="noConversion"/>
  </si>
  <si>
    <t>放置降序</t>
    <phoneticPr fontId="8" type="noConversion"/>
  </si>
  <si>
    <t>m3自身攻速</t>
  </si>
  <si>
    <t>m32加成</t>
  </si>
  <si>
    <t>m32</t>
  </si>
  <si>
    <t>策略：超负荷</t>
  </si>
  <si>
    <t>技能期间重构体每受到一次攻击，就会进行一次跳跃治疗，第二天赋的效果额外追加1.8倍</t>
  </si>
  <si>
    <t>skill_icon_skchr_kalts_2</t>
  </si>
  <si>
    <t>手动</t>
  </si>
  <si>
    <t>m32攻击,m32结束,m32重构体,m32自身结束</t>
  </si>
  <si>
    <t>m32追加,m32启动</t>
  </si>
  <si>
    <t>攻击</t>
  </si>
  <si>
    <t>m32加成,m32动作</t>
  </si>
  <si>
    <t>m32攻击</t>
  </si>
  <si>
    <t>m3额外伤害,m32自身攻速</t>
  </si>
  <si>
    <t>Skill_2_Loop</t>
  </si>
  <si>
    <t>m3攻速提升buff,m32攻速提升buff</t>
  </si>
  <si>
    <t>m3额外伤害</t>
  </si>
  <si>
    <t>普通法球</t>
  </si>
  <si>
    <t>m32自身攻速</t>
  </si>
  <si>
    <t>m32重构体</t>
  </si>
  <si>
    <t>m32追加</t>
  </si>
  <si>
    <t>m32结束</t>
  </si>
  <si>
    <t>m32攻速提升buff</t>
  </si>
  <si>
    <t>m32启动</t>
  </si>
  <si>
    <t>Skill_2_Begin</t>
  </si>
  <si>
    <t>m32自身结束</t>
  </si>
  <si>
    <t>技能结束</t>
  </si>
  <si>
    <t>Skill_2_End</t>
  </si>
  <si>
    <t>重构体2</t>
  </si>
  <si>
    <t>受击</t>
  </si>
  <si>
    <t>m33</t>
  </si>
  <si>
    <t>策略：熔毁</t>
  </si>
  <si>
    <t>攻击范围改变，攻击力+330%，攻击间隔降低(-1.5)，阻挡数+2，生命上限+5000，每秒流失80点生命值，同时攻击阻挡的所有敌人，伤害类型变为真实，攻击治疗自身相当于攻击力50%的生命值\n受到致命伤害时结束技能</t>
  </si>
  <si>
    <t>skill_icon_skchr_kalts_3</t>
  </si>
  <si>
    <t>m33启动</t>
  </si>
  <si>
    <t>m33加成,m3阻挡变化,m3中毒,m33特效,m33动作</t>
  </si>
  <si>
    <t>3.3,-1.5,5000</t>
  </si>
  <si>
    <t>m33加成</t>
  </si>
  <si>
    <t>m3标记</t>
  </si>
  <si>
    <t>m33攻击</t>
  </si>
  <si>
    <t>群攻</t>
  </si>
  <si>
    <t>m33治疗</t>
  </si>
  <si>
    <t>Skill_3_Loop</t>
  </si>
  <si>
    <t>m33锁血</t>
  </si>
  <si>
    <t>锁血治疗</t>
  </si>
  <si>
    <t>致命</t>
  </si>
  <si>
    <t>m33结束</t>
  </si>
  <si>
    <t>m33自身结束</t>
  </si>
  <si>
    <t>Skill_3_End,Skill_3_Back</t>
  </si>
  <si>
    <t>m32,m33</t>
  </si>
  <si>
    <t>重构体天赋,重构体绝食,重构体2</t>
  </si>
  <si>
    <t>眩晕,眩晕2,寒冷,冻结</t>
  </si>
  <si>
    <t>普通Buff</t>
  </si>
  <si>
    <t>m32动作</t>
  </si>
  <si>
    <t>{"IdleAnimation":["Skill_2_Idle"]}</t>
  </si>
  <si>
    <t>{"t":["AttackRate","AttackGapAdd","HpAdd"]}</t>
  </si>
  <si>
    <t>m3阻挡变化</t>
  </si>
  <si>
    <t>{"t":["StopCountAdd"]}</t>
  </si>
  <si>
    <t>m3中毒</t>
  </si>
  <si>
    <t>m33特效</t>
  </si>
  <si>
    <t>星熊2buff</t>
  </si>
  <si>
    <t>阿米娅2buff</t>
  </si>
  <si>
    <t>m33动作</t>
  </si>
  <si>
    <t>{"IdleAnimation":["Skill_3_Idle"]}</t>
  </si>
  <si>
    <t>设置属性</t>
    <phoneticPr fontId="8" type="noConversion"/>
  </si>
  <si>
    <t>{"t":["ModelScale"],"v":[0.25]}</t>
    <phoneticPr fontId="8" type="noConversion"/>
  </si>
  <si>
    <t>0,0,0</t>
  </si>
  <si>
    <t>高台m3buff</t>
  </si>
  <si>
    <t>释放技能</t>
  </si>
  <si>
    <t>{"Count":1,"UnitId":"地面M3"}</t>
  </si>
  <si>
    <t>地面m3</t>
  </si>
  <si>
    <t>m33攻击,m33治疗,m33锁血,地面m3死亡</t>
  </si>
  <si>
    <r>
      <rPr>
        <sz val="11"/>
        <color theme="1"/>
        <rFont val="宋体"/>
        <family val="3"/>
        <charset val="134"/>
        <scheme val="minor"/>
      </rPr>
      <t>{"LockHp":0.0001</t>
    </r>
    <r>
      <rPr>
        <sz val="11"/>
        <color theme="1"/>
        <rFont val="宋体"/>
        <family val="3"/>
        <charset val="134"/>
        <scheme val="minor"/>
      </rPr>
      <t>}</t>
    </r>
  </si>
  <si>
    <t>地面m3死亡</t>
  </si>
  <si>
    <t>强制撤退</t>
  </si>
  <si>
    <t>{"Time":25}</t>
  </si>
  <si>
    <t>地面m3落地无敌</t>
  </si>
  <si>
    <t>无敌</t>
  </si>
  <si>
    <t>地面m3释放buff</t>
  </si>
  <si>
    <t>m33加成,m3阻挡变化,m3中毒,m33动作</t>
  </si>
  <si>
    <t>地面M3</t>
  </si>
  <si>
    <t>地面m3,地面m3落地无敌,地面m3释放buff</t>
  </si>
  <si>
    <t>部署地面m3</t>
    <phoneticPr fontId="8" type="noConversion"/>
  </si>
  <si>
    <t>重构体</t>
    <phoneticPr fontId="8" type="noConversion"/>
  </si>
  <si>
    <t>{"UnitId":"猫诱导后续","TargetPos":"useSelfPos","SetMod":"Add","UseMod":"UserDirection","UserName":"猫诱导"}</t>
    <phoneticPr fontId="8" type="noConversion"/>
  </si>
  <si>
    <t>#m33重构体</t>
    <phoneticPr fontId="8" type="noConversion"/>
  </si>
  <si>
    <t>#重构体死亡</t>
    <phoneticPr fontId="8" type="noConversion"/>
  </si>
  <si>
    <t>#获取地面m3</t>
    <phoneticPr fontId="8" type="noConversion"/>
  </si>
  <si>
    <t>m33自身结束,高台m3buff</t>
    <phoneticPr fontId="8" type="noConversion"/>
  </si>
  <si>
    <t>重构体撤退，获得地面m3在25秒内获得以下效果：攻击范围改变，攻击力+330%，攻击间隔降低(-1.5)，阻挡数+2，生命上限+5000，每秒流失80点生命值，同时攻击阻挡的所有敌人，伤害类型变为真实，攻击治疗自身相当于攻击力50%的生命值，生命值不会低于1。\n地面m3存在期间，自身获得无敌、缴械、不进行攻击、技力回复速度-100</t>
    <phoneticPr fontId="8" type="noConversion"/>
  </si>
  <si>
    <t>Skill_3_Back</t>
    <phoneticPr fontId="8" type="noConversion"/>
  </si>
  <si>
    <t>#模型缩小</t>
    <phoneticPr fontId="8" type="noConversion"/>
  </si>
  <si>
    <t>技力回复变化,无敌,缴械</t>
    <phoneticPr fontId="8" type="noConversion"/>
  </si>
  <si>
    <t>m33启动,部署地面m3,高台m3buff</t>
    <phoneticPr fontId="8" type="noConversion"/>
  </si>
  <si>
    <t>致命</t>
    <phoneticPr fontId="8" type="noConversion"/>
  </si>
  <si>
    <t>Mon3tr</t>
    <phoneticPr fontId="8" type="noConversion"/>
  </si>
  <si>
    <t>{"UnitId":"地面M3","TargetPos":"useSelfTargetPos","SetMod":"Replace","UseMod":"UserDirection","UserName":"Mon3tr"}</t>
    <phoneticPr fontId="8" type="noConversion"/>
  </si>
  <si>
    <t>Skill_3_Idle</t>
  </si>
  <si>
    <t>Skill_3_Idle</t>
    <phoneticPr fontId="8" type="noConversion"/>
  </si>
  <si>
    <t>Skill_3_Begin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</si>
</sst>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宋体"/>
      <charset val="134"/>
      <scheme val="minor"/>
    </font>
    <font>
      <sz val="11"/>
      <color rgb="FFFFC000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00B0F0"/>
      <name val="宋体"/>
      <family val="3"/>
      <charset val="134"/>
      <scheme val="minor"/>
    </font>
    <font>
      <sz val="10.5"/>
      <color rgb="FF202122"/>
      <name val="Arial"/>
      <family val="2"/>
    </font>
    <font>
      <sz val="11"/>
      <color rgb="FF000000"/>
      <name val="等线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sz val="11"/>
      <color rgb="FF00B0F0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B0F0"/>
      <name val="宋体"/>
      <charset val="134"/>
      <scheme val="minor"/>
    </font>
    <font>
      <sz val="10.5"/>
      <color rgb="FF333639"/>
      <name val="Arial"/>
      <family val="2"/>
    </font>
    <font>
      <sz val="11"/>
      <color rgb="FF333639"/>
      <name val="宋体"/>
      <family val="3"/>
      <charset val="134"/>
    </font>
    <font>
      <sz val="11"/>
      <color rgb="FF333639"/>
      <name val="宋体"/>
      <family val="3"/>
      <charset val="134"/>
      <scheme val="maj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/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0" fillId="3" borderId="0" xfId="0" applyFill="1">
      <alignment vertical="center"/>
    </xf>
    <xf numFmtId="0" fontId="3" fillId="3" borderId="0" xfId="0" applyFont="1" applyFill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5"/>
  <sheetViews>
    <sheetView workbookViewId="0">
      <selection activeCell="B5" sqref="B5"/>
    </sheetView>
  </sheetViews>
  <sheetFormatPr defaultColWidth="9" defaultRowHeight="14.05" x14ac:dyDescent="0.25"/>
  <cols>
    <col min="2" max="2" width="9" customWidth="1"/>
  </cols>
  <sheetData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s="8" t="s">
        <v>480</v>
      </c>
      <c r="B4" s="8" t="s">
        <v>480</v>
      </c>
    </row>
    <row r="5" spans="1:2" x14ac:dyDescent="0.25">
      <c r="A5" t="s">
        <v>524</v>
      </c>
      <c r="B5" t="s">
        <v>524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S598"/>
  <sheetViews>
    <sheetView tabSelected="1" workbookViewId="0">
      <pane xSplit="1" ySplit="3" topLeftCell="BL4" activePane="bottomRight" state="frozen"/>
      <selection pane="topRight"/>
      <selection pane="bottomLeft"/>
      <selection pane="bottomRight" activeCell="BQ15" sqref="BQ15"/>
    </sheetView>
  </sheetViews>
  <sheetFormatPr defaultColWidth="9" defaultRowHeight="14.05" x14ac:dyDescent="0.25"/>
  <cols>
    <col min="1" max="1" width="22.58203125" customWidth="1"/>
    <col min="4" max="4" width="8.58203125" customWidth="1"/>
    <col min="5" max="5" width="5.33203125" customWidth="1"/>
    <col min="6" max="6" width="19.58203125" customWidth="1"/>
    <col min="7" max="7" width="8.25" customWidth="1"/>
    <col min="11" max="11" width="6" customWidth="1"/>
    <col min="12" max="12" width="4.08203125" customWidth="1"/>
    <col min="13" max="13" width="5.58203125" customWidth="1"/>
    <col min="14" max="14" width="4" customWidth="1"/>
    <col min="15" max="15" width="7.75" customWidth="1"/>
    <col min="16" max="16" width="10.83203125" customWidth="1"/>
    <col min="17" max="18" width="3.83203125" customWidth="1"/>
    <col min="19" max="20" width="3.58203125" customWidth="1"/>
    <col min="21" max="21" width="10.25" customWidth="1"/>
    <col min="22" max="22" width="9.58203125" customWidth="1"/>
    <col min="23" max="23" width="10.75" customWidth="1"/>
    <col min="24" max="24" width="12.83203125" customWidth="1"/>
    <col min="25" max="25" width="13.08203125" customWidth="1"/>
    <col min="26" max="26" width="10.75" customWidth="1"/>
    <col min="29" max="29" width="8" customWidth="1"/>
    <col min="30" max="30" width="17.08203125" customWidth="1"/>
    <col min="31" max="31" width="9.75" customWidth="1"/>
    <col min="32" max="32" width="7.83203125" customWidth="1"/>
    <col min="33" max="33" width="15.83203125" customWidth="1"/>
    <col min="34" max="34" width="13.83203125" customWidth="1"/>
    <col min="35" max="35" width="34.5" customWidth="1"/>
    <col min="36" max="37" width="9.83203125" customWidth="1"/>
    <col min="43" max="43" width="12.5" customWidth="1"/>
    <col min="50" max="50" width="24.33203125" customWidth="1"/>
    <col min="52" max="52" width="17.75" customWidth="1"/>
    <col min="53" max="53" width="7.83203125" customWidth="1"/>
    <col min="56" max="56" width="24.25" customWidth="1"/>
    <col min="57" max="57" width="13.25" customWidth="1"/>
    <col min="58" max="58" width="16.08203125" customWidth="1"/>
    <col min="59" max="59" width="8" customWidth="1"/>
    <col min="64" max="64" width="39.58203125" customWidth="1"/>
    <col min="65" max="65" width="14" customWidth="1"/>
    <col min="66" max="66" width="14.83203125" customWidth="1"/>
    <col min="67" max="70" width="14" customWidth="1"/>
    <col min="71" max="71" width="19.1640625" customWidth="1"/>
  </cols>
  <sheetData>
    <row r="1" spans="1:71" x14ac:dyDescent="0.25">
      <c r="D1" t="s">
        <v>4</v>
      </c>
      <c r="E1" t="s">
        <v>4</v>
      </c>
      <c r="G1" t="s">
        <v>5</v>
      </c>
      <c r="I1" t="s">
        <v>6</v>
      </c>
      <c r="J1" t="s">
        <v>7</v>
      </c>
      <c r="K1" t="s">
        <v>8</v>
      </c>
      <c r="M1" t="s">
        <v>9</v>
      </c>
      <c r="O1" t="s">
        <v>10</v>
      </c>
      <c r="Q1" t="s">
        <v>11</v>
      </c>
      <c r="S1" t="s">
        <v>12</v>
      </c>
      <c r="U1" t="s">
        <v>13</v>
      </c>
      <c r="V1" t="s">
        <v>14</v>
      </c>
      <c r="X1" t="s">
        <v>15</v>
      </c>
      <c r="Y1" t="s">
        <v>16</v>
      </c>
      <c r="Z1" t="s">
        <v>17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S1" t="s">
        <v>33</v>
      </c>
      <c r="AT1" t="s">
        <v>34</v>
      </c>
      <c r="AU1" t="s">
        <v>35</v>
      </c>
      <c r="AV1" t="s">
        <v>36</v>
      </c>
      <c r="AW1" t="s">
        <v>37</v>
      </c>
      <c r="AX1" t="s">
        <v>38</v>
      </c>
      <c r="AY1" t="s">
        <v>39</v>
      </c>
      <c r="AZ1" s="8" t="s">
        <v>461</v>
      </c>
      <c r="BA1" t="s">
        <v>40</v>
      </c>
      <c r="BD1" t="s">
        <v>41</v>
      </c>
      <c r="BE1" t="s">
        <v>42</v>
      </c>
      <c r="BF1" t="s">
        <v>43</v>
      </c>
      <c r="BG1" t="s">
        <v>44</v>
      </c>
      <c r="BH1" t="s">
        <v>45</v>
      </c>
    </row>
    <row r="2" spans="1:71" x14ac:dyDescent="0.25">
      <c r="A2" t="s">
        <v>0</v>
      </c>
      <c r="B2" t="s">
        <v>46</v>
      </c>
      <c r="C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t="s">
        <v>60</v>
      </c>
      <c r="S2" t="s">
        <v>61</v>
      </c>
      <c r="T2" t="s">
        <v>62</v>
      </c>
      <c r="U2" t="s">
        <v>63</v>
      </c>
      <c r="V2" t="s">
        <v>64</v>
      </c>
      <c r="W2" t="s">
        <v>65</v>
      </c>
      <c r="X2" t="s">
        <v>66</v>
      </c>
      <c r="Y2" t="s">
        <v>67</v>
      </c>
      <c r="Z2" t="s">
        <v>68</v>
      </c>
      <c r="AA2" t="s">
        <v>69</v>
      </c>
      <c r="AB2" t="s">
        <v>70</v>
      </c>
      <c r="AC2" t="s">
        <v>71</v>
      </c>
      <c r="AD2" t="s">
        <v>72</v>
      </c>
      <c r="AE2" t="s">
        <v>73</v>
      </c>
      <c r="AF2" t="s">
        <v>74</v>
      </c>
      <c r="AG2" t="s">
        <v>75</v>
      </c>
      <c r="AH2" t="s">
        <v>76</v>
      </c>
      <c r="AI2" t="s">
        <v>77</v>
      </c>
      <c r="AJ2" t="s">
        <v>78</v>
      </c>
      <c r="AK2" t="s">
        <v>79</v>
      </c>
      <c r="AL2" t="s">
        <v>80</v>
      </c>
      <c r="AM2" t="s">
        <v>81</v>
      </c>
      <c r="AN2" t="s">
        <v>82</v>
      </c>
      <c r="AO2" t="s">
        <v>83</v>
      </c>
      <c r="AP2" t="s">
        <v>84</v>
      </c>
      <c r="AQ2" t="s">
        <v>85</v>
      </c>
      <c r="AR2" t="s">
        <v>86</v>
      </c>
      <c r="AS2" t="s">
        <v>87</v>
      </c>
      <c r="AT2" t="s">
        <v>88</v>
      </c>
      <c r="AU2" t="s">
        <v>89</v>
      </c>
      <c r="AV2" t="s">
        <v>90</v>
      </c>
      <c r="AW2" t="s">
        <v>91</v>
      </c>
      <c r="AX2" t="s">
        <v>92</v>
      </c>
      <c r="AY2" t="s">
        <v>93</v>
      </c>
      <c r="AZ2" s="8" t="s">
        <v>460</v>
      </c>
      <c r="BA2" t="s">
        <v>94</v>
      </c>
      <c r="BB2" t="s">
        <v>95</v>
      </c>
      <c r="BC2" t="s">
        <v>96</v>
      </c>
      <c r="BD2" t="s">
        <v>97</v>
      </c>
      <c r="BE2" t="s">
        <v>98</v>
      </c>
      <c r="BF2" t="s">
        <v>99</v>
      </c>
      <c r="BG2" t="s">
        <v>100</v>
      </c>
      <c r="BH2" t="s">
        <v>101</v>
      </c>
      <c r="BI2" t="s">
        <v>102</v>
      </c>
      <c r="BJ2" t="s">
        <v>103</v>
      </c>
      <c r="BK2" t="s">
        <v>104</v>
      </c>
      <c r="BL2" t="s">
        <v>105</v>
      </c>
      <c r="BM2" t="s">
        <v>106</v>
      </c>
      <c r="BN2" s="8" t="s">
        <v>451</v>
      </c>
      <c r="BO2" t="s">
        <v>107</v>
      </c>
      <c r="BP2" t="s">
        <v>108</v>
      </c>
      <c r="BQ2" t="s">
        <v>109</v>
      </c>
      <c r="BR2" t="s">
        <v>110</v>
      </c>
      <c r="BS2" t="s">
        <v>111</v>
      </c>
    </row>
    <row r="3" spans="1:71" x14ac:dyDescent="0.25">
      <c r="A3" t="s">
        <v>2</v>
      </c>
      <c r="B3" t="s">
        <v>2</v>
      </c>
      <c r="C3" t="s">
        <v>112</v>
      </c>
      <c r="F3" t="s">
        <v>2</v>
      </c>
      <c r="G3" t="s">
        <v>113</v>
      </c>
      <c r="H3" t="s">
        <v>2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113</v>
      </c>
      <c r="V3" t="s">
        <v>114</v>
      </c>
      <c r="W3" t="s">
        <v>114</v>
      </c>
      <c r="X3" t="s">
        <v>113</v>
      </c>
      <c r="Y3" t="s">
        <v>113</v>
      </c>
      <c r="Z3" t="s">
        <v>113</v>
      </c>
      <c r="AA3" t="s">
        <v>114</v>
      </c>
      <c r="AB3" t="s">
        <v>113</v>
      </c>
      <c r="AC3" t="s">
        <v>114</v>
      </c>
      <c r="AD3" t="s">
        <v>112</v>
      </c>
      <c r="AE3" t="s">
        <v>114</v>
      </c>
      <c r="AF3" t="s">
        <v>114</v>
      </c>
      <c r="AG3" t="s">
        <v>2</v>
      </c>
      <c r="AH3" t="s">
        <v>2</v>
      </c>
      <c r="AI3" t="s">
        <v>115</v>
      </c>
      <c r="AJ3" t="s">
        <v>115</v>
      </c>
      <c r="AK3" t="s">
        <v>114</v>
      </c>
      <c r="AL3" t="s">
        <v>113</v>
      </c>
      <c r="AM3" t="s">
        <v>112</v>
      </c>
      <c r="AN3" t="s">
        <v>112</v>
      </c>
      <c r="AO3" t="s">
        <v>114</v>
      </c>
      <c r="AP3" t="s">
        <v>113</v>
      </c>
      <c r="AQ3" t="s">
        <v>112</v>
      </c>
      <c r="AS3" t="s">
        <v>113</v>
      </c>
      <c r="AT3" t="s">
        <v>112</v>
      </c>
      <c r="AU3" t="s">
        <v>114</v>
      </c>
      <c r="AV3" t="s">
        <v>116</v>
      </c>
      <c r="AW3" t="s">
        <v>113</v>
      </c>
      <c r="AX3" t="s">
        <v>117</v>
      </c>
      <c r="AY3" t="s">
        <v>112</v>
      </c>
      <c r="AZ3" t="s">
        <v>112</v>
      </c>
      <c r="BA3" t="s">
        <v>113</v>
      </c>
      <c r="BB3" t="s">
        <v>118</v>
      </c>
      <c r="BC3" t="s">
        <v>2</v>
      </c>
      <c r="BD3" t="s">
        <v>2</v>
      </c>
      <c r="BE3" t="s">
        <v>2</v>
      </c>
      <c r="BF3" t="s">
        <v>2</v>
      </c>
      <c r="BG3" t="s">
        <v>119</v>
      </c>
      <c r="BH3" t="s">
        <v>114</v>
      </c>
      <c r="BI3" t="s">
        <v>2</v>
      </c>
      <c r="BJ3" t="s">
        <v>120</v>
      </c>
      <c r="BK3" t="s">
        <v>2</v>
      </c>
      <c r="BL3" t="s">
        <v>121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113</v>
      </c>
    </row>
    <row r="5" spans="1:71" x14ac:dyDescent="0.25">
      <c r="A5" s="8" t="s">
        <v>473</v>
      </c>
      <c r="B5" s="8" t="s">
        <v>406</v>
      </c>
      <c r="E5" s="1"/>
      <c r="F5" s="8" t="s">
        <v>407</v>
      </c>
      <c r="G5">
        <v>1</v>
      </c>
      <c r="I5">
        <v>2</v>
      </c>
      <c r="J5">
        <v>90</v>
      </c>
      <c r="K5">
        <v>10000</v>
      </c>
      <c r="M5">
        <v>500</v>
      </c>
      <c r="O5">
        <v>500</v>
      </c>
      <c r="Q5">
        <v>20</v>
      </c>
      <c r="S5">
        <v>10</v>
      </c>
      <c r="U5">
        <v>0.5</v>
      </c>
      <c r="V5">
        <v>70</v>
      </c>
      <c r="Y5">
        <v>0.05</v>
      </c>
      <c r="Z5">
        <v>2</v>
      </c>
      <c r="AC5">
        <v>1</v>
      </c>
      <c r="AG5" s="8" t="s">
        <v>473</v>
      </c>
      <c r="AH5" s="8" t="s">
        <v>408</v>
      </c>
      <c r="AI5" s="8" t="s">
        <v>488</v>
      </c>
      <c r="AK5">
        <v>0</v>
      </c>
      <c r="AN5">
        <v>1</v>
      </c>
      <c r="AO5">
        <v>2</v>
      </c>
      <c r="AP5">
        <v>0.5</v>
      </c>
      <c r="AW5">
        <v>0.25</v>
      </c>
      <c r="BB5" s="8" t="s">
        <v>409</v>
      </c>
      <c r="BD5" s="8" t="s">
        <v>410</v>
      </c>
      <c r="BE5" s="8" t="s">
        <v>411</v>
      </c>
      <c r="BF5" s="8" t="s">
        <v>412</v>
      </c>
      <c r="BG5" s="8" t="s">
        <v>413</v>
      </c>
      <c r="BH5">
        <v>6</v>
      </c>
      <c r="BI5" s="8" t="s">
        <v>414</v>
      </c>
      <c r="BJ5" s="8" t="s">
        <v>415</v>
      </c>
      <c r="BK5" s="5"/>
      <c r="BM5" s="8" t="s">
        <v>416</v>
      </c>
      <c r="BN5" s="8" t="s">
        <v>417</v>
      </c>
      <c r="BP5" s="8" t="s">
        <v>418</v>
      </c>
      <c r="BQ5" s="8" t="s">
        <v>418</v>
      </c>
      <c r="BR5" s="8" t="s">
        <v>419</v>
      </c>
      <c r="BS5">
        <v>1</v>
      </c>
    </row>
    <row r="6" spans="1:71" x14ac:dyDescent="0.25">
      <c r="E6" s="1"/>
    </row>
    <row r="7" spans="1:71" x14ac:dyDescent="0.25">
      <c r="A7" s="8"/>
      <c r="E7" s="1"/>
      <c r="F7" s="8"/>
      <c r="N7" s="8"/>
      <c r="AG7" s="8"/>
      <c r="AI7" s="8"/>
      <c r="BB7" s="8"/>
    </row>
    <row r="8" spans="1:71" x14ac:dyDescent="0.25">
      <c r="A8" s="8" t="s">
        <v>499</v>
      </c>
      <c r="B8" t="s">
        <v>126</v>
      </c>
      <c r="D8" t="s">
        <v>428</v>
      </c>
      <c r="E8" s="1" t="s">
        <v>429</v>
      </c>
      <c r="F8" s="8" t="s">
        <v>500</v>
      </c>
      <c r="G8">
        <v>1</v>
      </c>
      <c r="I8">
        <v>2</v>
      </c>
      <c r="J8">
        <v>90</v>
      </c>
      <c r="K8">
        <v>100</v>
      </c>
      <c r="M8">
        <v>553</v>
      </c>
      <c r="N8" s="8"/>
      <c r="O8">
        <v>100</v>
      </c>
      <c r="Q8">
        <v>0</v>
      </c>
      <c r="S8">
        <v>0</v>
      </c>
      <c r="U8">
        <v>0</v>
      </c>
      <c r="V8">
        <v>10</v>
      </c>
      <c r="Y8">
        <v>0.05</v>
      </c>
      <c r="Z8">
        <v>1</v>
      </c>
      <c r="AC8">
        <v>0</v>
      </c>
      <c r="AE8">
        <v>-1</v>
      </c>
      <c r="AG8" s="8" t="s">
        <v>499</v>
      </c>
      <c r="AH8" t="s">
        <v>122</v>
      </c>
      <c r="AI8" s="8" t="s">
        <v>501</v>
      </c>
      <c r="AK8">
        <v>3</v>
      </c>
      <c r="AL8">
        <v>-0.5</v>
      </c>
      <c r="AN8">
        <v>1</v>
      </c>
      <c r="AO8">
        <v>0</v>
      </c>
      <c r="AP8">
        <v>0</v>
      </c>
      <c r="AQ8">
        <v>1</v>
      </c>
      <c r="AW8">
        <v>0</v>
      </c>
      <c r="AZ8">
        <v>1</v>
      </c>
      <c r="BB8" s="8" t="s">
        <v>502</v>
      </c>
      <c r="BD8" t="s">
        <v>503</v>
      </c>
      <c r="BE8" t="str">
        <f t="shared" ref="BE8:BE9" si="0">"half_"&amp;D8</f>
        <v>half_otter</v>
      </c>
      <c r="BF8" t="str">
        <f t="shared" ref="BF8:BF9" si="1">D8</f>
        <v>otter</v>
      </c>
      <c r="BG8" t="s">
        <v>128</v>
      </c>
      <c r="BH8">
        <v>5</v>
      </c>
      <c r="BI8" t="s">
        <v>127</v>
      </c>
      <c r="BM8" t="s">
        <v>123</v>
      </c>
      <c r="BN8" t="s">
        <v>124</v>
      </c>
      <c r="BP8" t="s">
        <v>125</v>
      </c>
      <c r="BQ8" t="s">
        <v>125</v>
      </c>
      <c r="BS8">
        <v>1</v>
      </c>
    </row>
    <row r="9" spans="1:71" x14ac:dyDescent="0.25">
      <c r="A9" s="8" t="s">
        <v>504</v>
      </c>
      <c r="B9" t="s">
        <v>126</v>
      </c>
      <c r="D9" t="s">
        <v>428</v>
      </c>
      <c r="E9" s="1" t="s">
        <v>429</v>
      </c>
      <c r="F9" s="8" t="s">
        <v>500</v>
      </c>
      <c r="G9">
        <v>1</v>
      </c>
      <c r="I9">
        <v>2</v>
      </c>
      <c r="J9">
        <v>90</v>
      </c>
      <c r="K9">
        <v>100</v>
      </c>
      <c r="M9">
        <v>553</v>
      </c>
      <c r="N9" s="8"/>
      <c r="O9">
        <v>100</v>
      </c>
      <c r="Q9">
        <v>0</v>
      </c>
      <c r="S9">
        <v>0</v>
      </c>
      <c r="U9">
        <v>0</v>
      </c>
      <c r="V9">
        <v>10</v>
      </c>
      <c r="Y9">
        <v>0.05</v>
      </c>
      <c r="Z9">
        <v>999</v>
      </c>
      <c r="AC9">
        <v>0</v>
      </c>
      <c r="AD9">
        <v>1</v>
      </c>
      <c r="AE9">
        <v>-1</v>
      </c>
      <c r="AG9" s="8" t="s">
        <v>504</v>
      </c>
      <c r="AH9" t="s">
        <v>122</v>
      </c>
      <c r="AI9" s="8" t="s">
        <v>468</v>
      </c>
      <c r="AK9">
        <v>3</v>
      </c>
      <c r="AL9">
        <v>-0.5</v>
      </c>
      <c r="AN9">
        <v>1</v>
      </c>
      <c r="AO9">
        <v>0</v>
      </c>
      <c r="AP9">
        <v>0</v>
      </c>
      <c r="AQ9">
        <v>1</v>
      </c>
      <c r="AW9">
        <v>0</v>
      </c>
      <c r="AZ9">
        <v>1</v>
      </c>
      <c r="BB9" s="8" t="s">
        <v>502</v>
      </c>
      <c r="BD9" t="s">
        <v>503</v>
      </c>
      <c r="BE9" t="str">
        <f t="shared" si="0"/>
        <v>half_otter</v>
      </c>
      <c r="BF9" t="str">
        <f t="shared" si="1"/>
        <v>otter</v>
      </c>
      <c r="BG9" t="s">
        <v>128</v>
      </c>
      <c r="BH9">
        <v>5</v>
      </c>
      <c r="BI9" t="s">
        <v>127</v>
      </c>
      <c r="BM9" t="s">
        <v>123</v>
      </c>
      <c r="BN9" t="s">
        <v>124</v>
      </c>
      <c r="BP9" t="s">
        <v>125</v>
      </c>
      <c r="BQ9" t="s">
        <v>125</v>
      </c>
      <c r="BS9">
        <v>1</v>
      </c>
    </row>
    <row r="10" spans="1:71" x14ac:dyDescent="0.25">
      <c r="A10" s="8"/>
      <c r="E10" s="1"/>
      <c r="F10" s="8"/>
      <c r="N10" s="8"/>
      <c r="AG10" s="8"/>
      <c r="AI10" s="8"/>
      <c r="BB10" s="8"/>
    </row>
    <row r="11" spans="1:71" x14ac:dyDescent="0.25">
      <c r="A11" s="8" t="s">
        <v>462</v>
      </c>
      <c r="B11" t="s">
        <v>126</v>
      </c>
      <c r="D11" t="s">
        <v>428</v>
      </c>
      <c r="E11" s="1" t="s">
        <v>429</v>
      </c>
      <c r="F11" s="8" t="s">
        <v>430</v>
      </c>
      <c r="G11">
        <v>1</v>
      </c>
      <c r="I11">
        <v>2</v>
      </c>
      <c r="J11">
        <v>90</v>
      </c>
      <c r="K11">
        <v>3</v>
      </c>
      <c r="M11">
        <v>1000</v>
      </c>
      <c r="N11" s="8"/>
      <c r="O11">
        <v>100</v>
      </c>
      <c r="Q11">
        <v>0</v>
      </c>
      <c r="S11">
        <v>0</v>
      </c>
      <c r="U11">
        <v>0</v>
      </c>
      <c r="V11">
        <v>10</v>
      </c>
      <c r="Y11">
        <v>0.05</v>
      </c>
      <c r="Z11">
        <v>1</v>
      </c>
      <c r="AC11">
        <v>0</v>
      </c>
      <c r="AD11">
        <v>1</v>
      </c>
      <c r="AG11" s="8" t="s">
        <v>452</v>
      </c>
      <c r="AH11" t="s">
        <v>122</v>
      </c>
      <c r="AI11" s="8"/>
      <c r="AK11">
        <v>3</v>
      </c>
      <c r="AL11">
        <v>-0.5</v>
      </c>
      <c r="AN11">
        <v>1</v>
      </c>
      <c r="AO11">
        <v>99</v>
      </c>
      <c r="AP11">
        <v>0</v>
      </c>
      <c r="AQ11">
        <v>1</v>
      </c>
      <c r="AW11">
        <v>0</v>
      </c>
      <c r="AZ11">
        <v>1</v>
      </c>
      <c r="BB11" s="8" t="s">
        <v>432</v>
      </c>
      <c r="BD11" t="s">
        <v>431</v>
      </c>
      <c r="BE11" t="str">
        <f t="shared" ref="BE11" si="2">"half_"&amp;D11</f>
        <v>half_otter</v>
      </c>
      <c r="BF11" t="str">
        <f t="shared" ref="BF11" si="3">D11</f>
        <v>otter</v>
      </c>
      <c r="BG11" t="s">
        <v>128</v>
      </c>
      <c r="BH11">
        <v>5</v>
      </c>
      <c r="BI11" t="s">
        <v>127</v>
      </c>
      <c r="BM11" t="s">
        <v>123</v>
      </c>
      <c r="BN11" t="s">
        <v>124</v>
      </c>
      <c r="BP11" t="s">
        <v>125</v>
      </c>
      <c r="BQ11" t="s">
        <v>125</v>
      </c>
      <c r="BS11">
        <v>1</v>
      </c>
    </row>
    <row r="13" spans="1:71" x14ac:dyDescent="0.25">
      <c r="A13" t="s">
        <v>524</v>
      </c>
      <c r="B13" t="s">
        <v>126</v>
      </c>
      <c r="D13" t="s">
        <v>525</v>
      </c>
      <c r="E13" s="1" t="s">
        <v>526</v>
      </c>
      <c r="F13" t="str">
        <f>"char_"&amp;E13&amp;"_"&amp;D13</f>
        <v>char_4179_monstr</v>
      </c>
      <c r="G13">
        <v>1</v>
      </c>
      <c r="I13">
        <v>2</v>
      </c>
      <c r="J13">
        <v>90</v>
      </c>
      <c r="K13">
        <v>2235</v>
      </c>
      <c r="M13">
        <v>583</v>
      </c>
      <c r="O13">
        <v>221</v>
      </c>
      <c r="Q13">
        <v>0</v>
      </c>
      <c r="S13">
        <v>16</v>
      </c>
      <c r="U13">
        <v>0.5</v>
      </c>
      <c r="V13">
        <v>70</v>
      </c>
      <c r="Y13">
        <v>0.05</v>
      </c>
      <c r="Z13">
        <v>2.85</v>
      </c>
      <c r="AC13">
        <v>1</v>
      </c>
      <c r="AG13" t="s">
        <v>527</v>
      </c>
      <c r="AH13" t="s">
        <v>122</v>
      </c>
      <c r="AI13" t="s">
        <v>528</v>
      </c>
      <c r="AJ13" t="s">
        <v>605</v>
      </c>
      <c r="AM13">
        <v>1</v>
      </c>
      <c r="AO13">
        <v>1</v>
      </c>
      <c r="AP13">
        <v>0.5</v>
      </c>
      <c r="AW13">
        <v>0.25</v>
      </c>
      <c r="BB13" t="s">
        <v>529</v>
      </c>
      <c r="BC13" t="s">
        <v>530</v>
      </c>
      <c r="BD13" t="s">
        <v>531</v>
      </c>
      <c r="BE13" t="s">
        <v>532</v>
      </c>
      <c r="BF13" t="s">
        <v>533</v>
      </c>
      <c r="BG13" t="s">
        <v>128</v>
      </c>
      <c r="BH13">
        <v>6</v>
      </c>
      <c r="BI13" t="s">
        <v>534</v>
      </c>
      <c r="BJ13" t="s">
        <v>535</v>
      </c>
      <c r="BM13" t="s">
        <v>123</v>
      </c>
      <c r="BN13" t="s">
        <v>124</v>
      </c>
      <c r="BP13" t="s">
        <v>125</v>
      </c>
      <c r="BQ13" t="s">
        <v>125</v>
      </c>
      <c r="BS13">
        <v>1</v>
      </c>
    </row>
    <row r="14" spans="1:71" x14ac:dyDescent="0.25">
      <c r="A14" t="s">
        <v>536</v>
      </c>
      <c r="B14" t="s">
        <v>126</v>
      </c>
      <c r="D14" t="s">
        <v>428</v>
      </c>
      <c r="E14" s="1" t="s">
        <v>429</v>
      </c>
      <c r="F14" t="s">
        <v>500</v>
      </c>
      <c r="G14">
        <v>1</v>
      </c>
      <c r="I14">
        <v>2</v>
      </c>
      <c r="J14">
        <v>90</v>
      </c>
      <c r="K14">
        <v>5433</v>
      </c>
      <c r="M14">
        <v>0</v>
      </c>
      <c r="O14">
        <v>221</v>
      </c>
      <c r="Q14">
        <v>0</v>
      </c>
      <c r="S14">
        <v>3</v>
      </c>
      <c r="U14">
        <v>0</v>
      </c>
      <c r="V14">
        <v>15</v>
      </c>
      <c r="Y14">
        <v>0.05</v>
      </c>
      <c r="Z14">
        <v>1</v>
      </c>
      <c r="AC14">
        <v>0</v>
      </c>
      <c r="AE14">
        <v>-1</v>
      </c>
      <c r="AG14" t="s">
        <v>536</v>
      </c>
      <c r="AH14" t="s">
        <v>122</v>
      </c>
      <c r="AI14" t="s">
        <v>606</v>
      </c>
      <c r="AK14">
        <v>0</v>
      </c>
      <c r="AN14">
        <v>1</v>
      </c>
      <c r="AO14">
        <v>0</v>
      </c>
      <c r="AP14">
        <v>0</v>
      </c>
      <c r="AV14" t="s">
        <v>607</v>
      </c>
      <c r="AW14">
        <v>0.25</v>
      </c>
      <c r="BB14" t="s">
        <v>529</v>
      </c>
      <c r="BD14" t="s">
        <v>537</v>
      </c>
      <c r="BE14" t="str">
        <f>"half_"&amp;D14</f>
        <v>half_otter</v>
      </c>
      <c r="BF14" t="str">
        <f>D14</f>
        <v>otter</v>
      </c>
      <c r="BG14" t="s">
        <v>128</v>
      </c>
      <c r="BH14">
        <v>6</v>
      </c>
      <c r="BI14" t="s">
        <v>127</v>
      </c>
      <c r="BJ14" t="s">
        <v>536</v>
      </c>
      <c r="BM14" t="s">
        <v>123</v>
      </c>
      <c r="BN14" t="s">
        <v>124</v>
      </c>
      <c r="BS14">
        <v>1</v>
      </c>
    </row>
    <row r="15" spans="1:71" x14ac:dyDescent="0.25">
      <c r="A15" t="s">
        <v>636</v>
      </c>
      <c r="B15" t="s">
        <v>126</v>
      </c>
      <c r="D15" t="s">
        <v>525</v>
      </c>
      <c r="E15" s="1" t="s">
        <v>526</v>
      </c>
      <c r="F15" t="str">
        <f>"char_"&amp;E15&amp;"_"&amp;D15</f>
        <v>char_4179_monstr</v>
      </c>
      <c r="G15">
        <v>1</v>
      </c>
      <c r="I15">
        <v>2</v>
      </c>
      <c r="J15">
        <v>90</v>
      </c>
      <c r="K15">
        <v>2235</v>
      </c>
      <c r="M15">
        <v>583</v>
      </c>
      <c r="O15">
        <v>221</v>
      </c>
      <c r="Q15">
        <v>0</v>
      </c>
      <c r="S15">
        <v>0</v>
      </c>
      <c r="T15">
        <v>-1</v>
      </c>
      <c r="U15">
        <v>0.5</v>
      </c>
      <c r="V15">
        <v>70</v>
      </c>
      <c r="Y15">
        <v>0.05</v>
      </c>
      <c r="Z15">
        <v>2.85</v>
      </c>
      <c r="AC15">
        <v>1</v>
      </c>
      <c r="AD15">
        <v>1</v>
      </c>
      <c r="AG15" s="8" t="s">
        <v>651</v>
      </c>
      <c r="AH15" t="s">
        <v>122</v>
      </c>
      <c r="AI15" t="s">
        <v>637</v>
      </c>
      <c r="AN15">
        <v>1</v>
      </c>
      <c r="AO15">
        <v>3</v>
      </c>
      <c r="AP15">
        <v>0</v>
      </c>
      <c r="AW15">
        <v>0.25</v>
      </c>
      <c r="BB15" t="s">
        <v>529</v>
      </c>
      <c r="BC15" t="s">
        <v>530</v>
      </c>
      <c r="BD15" t="s">
        <v>531</v>
      </c>
      <c r="BE15" t="s">
        <v>532</v>
      </c>
      <c r="BF15" t="s">
        <v>533</v>
      </c>
      <c r="BG15" t="s">
        <v>128</v>
      </c>
      <c r="BH15">
        <v>6</v>
      </c>
      <c r="BI15" t="s">
        <v>534</v>
      </c>
      <c r="BJ15" t="s">
        <v>535</v>
      </c>
      <c r="BM15" s="19" t="s">
        <v>654</v>
      </c>
      <c r="BN15" s="19" t="s">
        <v>653</v>
      </c>
      <c r="BP15" s="19" t="s">
        <v>604</v>
      </c>
      <c r="BQ15" t="s">
        <v>125</v>
      </c>
      <c r="BS15">
        <v>1</v>
      </c>
    </row>
    <row r="25" spans="35:63" x14ac:dyDescent="0.25">
      <c r="AI25" s="8"/>
    </row>
    <row r="31" spans="35:63" x14ac:dyDescent="0.25">
      <c r="AI31" s="8"/>
      <c r="BK31" s="8"/>
    </row>
    <row r="33" spans="4:70" x14ac:dyDescent="0.25">
      <c r="AI33" s="8"/>
    </row>
    <row r="34" spans="4:70" x14ac:dyDescent="0.25">
      <c r="AI34" s="8"/>
    </row>
    <row r="35" spans="4:70" x14ac:dyDescent="0.25">
      <c r="AI35" s="8"/>
      <c r="BK35" s="8"/>
    </row>
    <row r="36" spans="4:70" ht="14.5" x14ac:dyDescent="0.25">
      <c r="D36" s="6"/>
      <c r="E36" s="1"/>
      <c r="BO36" s="7"/>
      <c r="BR36" s="7"/>
    </row>
    <row r="37" spans="4:70" ht="14.5" x14ac:dyDescent="0.25">
      <c r="D37" s="6"/>
      <c r="E37" s="1"/>
      <c r="BO37" s="7"/>
      <c r="BR37" s="7"/>
    </row>
    <row r="38" spans="4:70" ht="14.5" x14ac:dyDescent="0.25">
      <c r="D38" s="6"/>
      <c r="E38" s="1"/>
      <c r="BO38" s="7"/>
      <c r="BR38" s="7"/>
    </row>
    <row r="39" spans="4:70" ht="14.5" x14ac:dyDescent="0.25">
      <c r="D39" s="6"/>
      <c r="E39" s="1"/>
      <c r="BO39" s="7"/>
      <c r="BR39" s="7"/>
    </row>
    <row r="40" spans="4:70" ht="14.5" x14ac:dyDescent="0.25">
      <c r="D40" s="6"/>
      <c r="E40" s="1"/>
      <c r="BO40" s="7"/>
      <c r="BR40" s="7"/>
    </row>
    <row r="41" spans="4:70" ht="14.5" x14ac:dyDescent="0.25">
      <c r="D41" s="6"/>
      <c r="E41" s="1"/>
      <c r="BO41" s="7"/>
      <c r="BR41" s="7"/>
    </row>
    <row r="42" spans="4:70" ht="14.5" x14ac:dyDescent="0.25">
      <c r="D42" s="6"/>
      <c r="E42" s="1"/>
      <c r="BO42" s="7"/>
      <c r="BR42" s="7"/>
    </row>
    <row r="43" spans="4:70" ht="14.5" x14ac:dyDescent="0.25">
      <c r="D43" s="6"/>
      <c r="E43" s="1"/>
      <c r="BR43" s="7"/>
    </row>
    <row r="44" spans="4:70" ht="14.5" x14ac:dyDescent="0.25">
      <c r="D44" s="6"/>
      <c r="E44" s="1"/>
      <c r="BR44" s="7"/>
    </row>
    <row r="45" spans="4:70" ht="14.5" x14ac:dyDescent="0.25">
      <c r="D45" s="6"/>
      <c r="E45" s="1"/>
      <c r="BR45" s="7"/>
    </row>
    <row r="46" spans="4:70" ht="14.5" x14ac:dyDescent="0.25">
      <c r="D46" s="6"/>
      <c r="E46" s="1"/>
      <c r="BO46" s="7"/>
      <c r="BR46" s="7"/>
    </row>
    <row r="47" spans="4:70" ht="14.5" x14ac:dyDescent="0.25">
      <c r="D47" s="6"/>
      <c r="E47" s="1"/>
      <c r="BO47" s="7"/>
      <c r="BR47" s="7"/>
    </row>
    <row r="48" spans="4:70" ht="14.5" x14ac:dyDescent="0.25">
      <c r="D48" s="6"/>
      <c r="E48" s="1"/>
      <c r="BO48" s="7"/>
      <c r="BR48" s="7"/>
    </row>
    <row r="49" spans="4:70" ht="14.5" x14ac:dyDescent="0.25">
      <c r="D49" s="6"/>
      <c r="E49" s="1"/>
      <c r="BO49" s="7"/>
      <c r="BR49" s="7"/>
    </row>
    <row r="50" spans="4:70" ht="14.5" x14ac:dyDescent="0.25">
      <c r="D50" s="6"/>
      <c r="E50" s="1"/>
      <c r="BO50" s="7"/>
      <c r="BR50" s="7"/>
    </row>
    <row r="51" spans="4:70" ht="14.5" x14ac:dyDescent="0.25">
      <c r="D51" s="6"/>
      <c r="E51" s="1"/>
      <c r="BO51" s="7"/>
      <c r="BR51" s="7"/>
    </row>
    <row r="52" spans="4:70" ht="14.5" x14ac:dyDescent="0.25">
      <c r="D52" s="6"/>
      <c r="E52" s="1"/>
      <c r="BO52" s="7"/>
      <c r="BR52" s="7"/>
    </row>
    <row r="53" spans="4:70" ht="14.5" x14ac:dyDescent="0.25">
      <c r="D53" s="6"/>
      <c r="E53" s="1"/>
      <c r="BO53" s="7"/>
      <c r="BR53" s="7"/>
    </row>
    <row r="54" spans="4:70" ht="14.5" x14ac:dyDescent="0.25">
      <c r="D54" s="6"/>
      <c r="E54" s="1"/>
      <c r="BO54" s="7"/>
      <c r="BR54" s="7"/>
    </row>
    <row r="55" spans="4:70" ht="14.5" x14ac:dyDescent="0.25">
      <c r="D55" s="6"/>
      <c r="E55" s="1"/>
      <c r="BO55" s="7"/>
      <c r="BR55" s="7"/>
    </row>
    <row r="56" spans="4:70" ht="14.5" x14ac:dyDescent="0.25">
      <c r="D56" s="6"/>
      <c r="E56" s="1"/>
      <c r="BO56" s="7"/>
      <c r="BR56" s="7"/>
    </row>
    <row r="57" spans="4:70" ht="14.5" x14ac:dyDescent="0.25">
      <c r="D57" s="6"/>
      <c r="E57" s="1"/>
      <c r="BO57" s="7"/>
      <c r="BR57" s="7"/>
    </row>
    <row r="58" spans="4:70" ht="14.5" x14ac:dyDescent="0.25">
      <c r="D58" s="6"/>
      <c r="E58" s="1"/>
      <c r="BO58" s="7"/>
      <c r="BR58" s="7"/>
    </row>
    <row r="59" spans="4:70" ht="14.5" x14ac:dyDescent="0.25">
      <c r="D59" s="6"/>
      <c r="E59" s="1"/>
      <c r="BO59" s="7"/>
      <c r="BR59" s="7"/>
    </row>
    <row r="60" spans="4:70" ht="14.5" x14ac:dyDescent="0.25">
      <c r="D60" s="6"/>
      <c r="E60" s="1"/>
      <c r="BO60" s="7"/>
      <c r="BR60" s="7"/>
    </row>
    <row r="61" spans="4:70" ht="14.5" x14ac:dyDescent="0.25">
      <c r="D61" s="6"/>
      <c r="E61" s="1"/>
      <c r="BO61" s="7"/>
      <c r="BR61" s="7"/>
    </row>
    <row r="62" spans="4:70" ht="14.5" x14ac:dyDescent="0.25">
      <c r="D62" s="6"/>
      <c r="E62" s="1"/>
      <c r="BO62" s="7"/>
      <c r="BR62" s="7"/>
    </row>
    <row r="63" spans="4:70" ht="14.5" x14ac:dyDescent="0.25">
      <c r="D63" s="6"/>
      <c r="E63" s="1"/>
      <c r="BO63" s="7"/>
      <c r="BR63" s="7"/>
    </row>
    <row r="64" spans="4:70" ht="14.5" x14ac:dyDescent="0.25">
      <c r="D64" s="6"/>
      <c r="E64" s="1"/>
      <c r="BO64" s="7"/>
      <c r="BR64" s="7"/>
    </row>
    <row r="65" spans="4:70" ht="14.5" x14ac:dyDescent="0.25">
      <c r="D65" s="6"/>
      <c r="E65" s="1"/>
      <c r="BO65" s="7"/>
      <c r="BR65" s="7"/>
    </row>
    <row r="66" spans="4:70" ht="14.5" x14ac:dyDescent="0.25">
      <c r="D66" s="6"/>
      <c r="E66" s="1"/>
      <c r="BO66" s="7"/>
      <c r="BR66" s="7"/>
    </row>
    <row r="67" spans="4:70" ht="14.5" x14ac:dyDescent="0.25">
      <c r="D67" s="6"/>
      <c r="E67" s="1"/>
      <c r="BO67" s="7"/>
      <c r="BR67" s="7"/>
    </row>
    <row r="68" spans="4:70" ht="14.5" x14ac:dyDescent="0.25">
      <c r="D68" s="6"/>
      <c r="E68" s="1"/>
      <c r="BO68" s="7"/>
      <c r="BR68" s="7"/>
    </row>
    <row r="69" spans="4:70" ht="14.5" x14ac:dyDescent="0.25">
      <c r="D69" s="6"/>
      <c r="E69" s="1"/>
      <c r="BO69" s="7"/>
      <c r="BR69" s="7"/>
    </row>
    <row r="70" spans="4:70" ht="14.5" x14ac:dyDescent="0.25">
      <c r="D70" s="6"/>
      <c r="E70" s="1"/>
      <c r="BO70" s="7"/>
      <c r="BR70" s="7"/>
    </row>
    <row r="71" spans="4:70" ht="14.5" x14ac:dyDescent="0.25">
      <c r="D71" s="6"/>
      <c r="E71" s="1"/>
      <c r="BO71" s="7"/>
      <c r="BR71" s="7"/>
    </row>
    <row r="72" spans="4:70" ht="14.5" x14ac:dyDescent="0.25">
      <c r="D72" s="6"/>
      <c r="E72" s="1"/>
      <c r="BO72" s="7"/>
      <c r="BR72" s="7"/>
    </row>
    <row r="73" spans="4:70" ht="14.5" x14ac:dyDescent="0.25">
      <c r="D73" s="6"/>
      <c r="E73" s="1"/>
      <c r="BO73" s="7"/>
      <c r="BR73" s="7"/>
    </row>
    <row r="74" spans="4:70" ht="14.5" x14ac:dyDescent="0.25">
      <c r="D74" s="6"/>
      <c r="E74" s="1"/>
      <c r="BO74" s="7"/>
      <c r="BR74" s="7"/>
    </row>
    <row r="75" spans="4:70" ht="14.5" x14ac:dyDescent="0.25">
      <c r="D75" s="6"/>
      <c r="E75" s="1"/>
      <c r="BO75" s="7"/>
      <c r="BR75" s="7"/>
    </row>
    <row r="76" spans="4:70" ht="14.5" x14ac:dyDescent="0.25">
      <c r="D76" s="6"/>
      <c r="E76" s="1"/>
      <c r="BO76" s="7"/>
      <c r="BR76" s="7"/>
    </row>
    <row r="77" spans="4:70" ht="14.5" x14ac:dyDescent="0.25">
      <c r="D77" s="6"/>
      <c r="E77" s="1"/>
      <c r="BO77" s="7"/>
      <c r="BR77" s="7"/>
    </row>
    <row r="78" spans="4:70" ht="14.5" x14ac:dyDescent="0.25">
      <c r="D78" s="6"/>
      <c r="E78" s="1"/>
      <c r="BO78" s="7"/>
      <c r="BR78" s="7"/>
    </row>
    <row r="79" spans="4:70" ht="14.5" x14ac:dyDescent="0.25">
      <c r="D79" s="6"/>
      <c r="E79" s="1"/>
      <c r="BO79" s="7"/>
      <c r="BR79" s="7"/>
    </row>
    <row r="80" spans="4:70" ht="14.5" x14ac:dyDescent="0.25">
      <c r="D80" s="6"/>
      <c r="E80" s="1"/>
      <c r="BO80" s="7"/>
      <c r="BR80" s="7"/>
    </row>
    <row r="81" spans="4:70" ht="14.5" x14ac:dyDescent="0.25">
      <c r="D81" s="6"/>
      <c r="E81" s="1"/>
      <c r="BO81" s="7"/>
      <c r="BR81" s="7"/>
    </row>
    <row r="82" spans="4:70" ht="14.5" x14ac:dyDescent="0.25">
      <c r="D82" s="6"/>
      <c r="E82" s="1"/>
      <c r="BO82" s="7"/>
      <c r="BR82" s="7"/>
    </row>
    <row r="83" spans="4:70" ht="14.5" x14ac:dyDescent="0.25">
      <c r="D83" s="6"/>
      <c r="E83" s="1"/>
      <c r="BO83" s="7"/>
      <c r="BR83" s="7"/>
    </row>
    <row r="84" spans="4:70" ht="14.5" x14ac:dyDescent="0.25">
      <c r="D84" s="6"/>
      <c r="E84" s="1"/>
      <c r="BO84" s="7"/>
      <c r="BR84" s="7"/>
    </row>
    <row r="85" spans="4:70" ht="14.5" x14ac:dyDescent="0.25">
      <c r="D85" s="6"/>
      <c r="E85" s="1"/>
      <c r="BO85" s="7"/>
      <c r="BR85" s="7"/>
    </row>
    <row r="86" spans="4:70" ht="14.5" x14ac:dyDescent="0.25">
      <c r="D86" s="6"/>
      <c r="E86" s="1"/>
      <c r="BO86" s="7"/>
      <c r="BR86" s="7"/>
    </row>
    <row r="87" spans="4:70" ht="14.5" x14ac:dyDescent="0.25">
      <c r="D87" s="6"/>
      <c r="E87" s="1"/>
      <c r="BO87" s="7"/>
      <c r="BR87" s="7"/>
    </row>
    <row r="88" spans="4:70" ht="14.5" x14ac:dyDescent="0.25">
      <c r="D88" s="6"/>
      <c r="E88" s="1"/>
      <c r="BO88" s="7"/>
      <c r="BR88" s="7"/>
    </row>
    <row r="89" spans="4:70" ht="14.5" x14ac:dyDescent="0.25">
      <c r="D89" s="6"/>
      <c r="E89" s="1"/>
      <c r="BO89" s="7"/>
      <c r="BR89" s="7"/>
    </row>
    <row r="90" spans="4:70" ht="14.5" x14ac:dyDescent="0.25">
      <c r="D90" s="6"/>
      <c r="E90" s="1"/>
      <c r="BO90" s="7"/>
      <c r="BR90" s="7"/>
    </row>
    <row r="91" spans="4:70" ht="14.5" x14ac:dyDescent="0.25">
      <c r="D91" s="6"/>
      <c r="E91" s="1"/>
      <c r="BO91" s="7"/>
      <c r="BR91" s="7"/>
    </row>
    <row r="92" spans="4:70" ht="14.5" x14ac:dyDescent="0.25">
      <c r="D92" s="6"/>
      <c r="E92" s="1"/>
      <c r="BO92" s="7"/>
      <c r="BR92" s="7"/>
    </row>
    <row r="93" spans="4:70" ht="14.5" x14ac:dyDescent="0.25">
      <c r="D93" s="6"/>
      <c r="E93" s="1"/>
      <c r="BO93" s="7"/>
      <c r="BR93" s="7"/>
    </row>
    <row r="94" spans="4:70" ht="14.5" x14ac:dyDescent="0.25">
      <c r="D94" s="6"/>
      <c r="E94" s="1"/>
      <c r="BO94" s="7"/>
      <c r="BR94" s="7"/>
    </row>
    <row r="95" spans="4:70" ht="14.5" x14ac:dyDescent="0.25">
      <c r="D95" s="6"/>
      <c r="E95" s="1"/>
      <c r="BO95" s="7"/>
      <c r="BR95" s="7"/>
    </row>
    <row r="96" spans="4:70" ht="14.5" x14ac:dyDescent="0.25">
      <c r="D96" s="6"/>
      <c r="E96" s="1"/>
      <c r="BO96" s="7"/>
      <c r="BR96" s="7"/>
    </row>
    <row r="97" spans="4:70" ht="14.5" x14ac:dyDescent="0.25">
      <c r="D97" s="6"/>
      <c r="E97" s="1"/>
      <c r="BO97" s="7"/>
      <c r="BR97" s="7"/>
    </row>
    <row r="98" spans="4:70" ht="14.5" x14ac:dyDescent="0.25">
      <c r="D98" s="6"/>
      <c r="E98" s="1"/>
      <c r="BO98" s="7"/>
      <c r="BR98" s="7"/>
    </row>
    <row r="99" spans="4:70" ht="14.5" x14ac:dyDescent="0.25">
      <c r="D99" s="6"/>
      <c r="E99" s="1"/>
      <c r="BO99" s="7"/>
      <c r="BR99" s="7"/>
    </row>
    <row r="100" spans="4:70" ht="14.5" x14ac:dyDescent="0.25">
      <c r="D100" s="6"/>
      <c r="E100" s="1"/>
      <c r="BO100" s="7"/>
      <c r="BR100" s="7"/>
    </row>
    <row r="101" spans="4:70" ht="14.5" x14ac:dyDescent="0.25">
      <c r="D101" s="6"/>
      <c r="E101" s="1"/>
      <c r="BO101" s="7"/>
      <c r="BR101" s="7"/>
    </row>
    <row r="102" spans="4:70" ht="14.5" x14ac:dyDescent="0.25">
      <c r="D102" s="6"/>
      <c r="E102" s="1"/>
      <c r="BO102" s="7"/>
      <c r="BR102" s="7"/>
    </row>
    <row r="103" spans="4:70" ht="14.5" x14ac:dyDescent="0.25">
      <c r="D103" s="6"/>
      <c r="E103" s="1"/>
      <c r="BO103" s="7"/>
      <c r="BR103" s="7"/>
    </row>
    <row r="104" spans="4:70" ht="14.5" x14ac:dyDescent="0.25">
      <c r="D104" s="6"/>
      <c r="E104" s="1"/>
      <c r="BO104" s="7"/>
      <c r="BR104" s="7"/>
    </row>
    <row r="105" spans="4:70" ht="14.5" x14ac:dyDescent="0.25">
      <c r="D105" s="6"/>
      <c r="E105" s="1"/>
      <c r="BO105" s="7"/>
      <c r="BR105" s="7"/>
    </row>
    <row r="106" spans="4:70" ht="14.5" x14ac:dyDescent="0.25">
      <c r="D106" s="6"/>
      <c r="E106" s="1"/>
      <c r="BO106" s="7"/>
      <c r="BR106" s="7"/>
    </row>
    <row r="107" spans="4:70" ht="14.5" x14ac:dyDescent="0.25">
      <c r="D107" s="6"/>
      <c r="E107" s="1"/>
      <c r="BO107" s="7"/>
      <c r="BR107" s="7"/>
    </row>
    <row r="108" spans="4:70" ht="14.5" x14ac:dyDescent="0.25">
      <c r="D108" s="6"/>
      <c r="E108" s="1"/>
      <c r="BO108" s="7"/>
      <c r="BR108" s="7"/>
    </row>
    <row r="109" spans="4:70" ht="14.5" x14ac:dyDescent="0.25">
      <c r="D109" s="6"/>
      <c r="E109" s="1"/>
      <c r="BO109" s="7"/>
      <c r="BR109" s="7"/>
    </row>
    <row r="110" spans="4:70" ht="14.5" x14ac:dyDescent="0.25">
      <c r="D110" s="6"/>
      <c r="E110" s="1"/>
      <c r="BO110" s="7"/>
      <c r="BR110" s="7"/>
    </row>
    <row r="111" spans="4:70" ht="14.5" x14ac:dyDescent="0.25">
      <c r="D111" s="6"/>
      <c r="E111" s="1"/>
      <c r="BO111" s="7"/>
      <c r="BR111" s="7"/>
    </row>
    <row r="112" spans="4:70" ht="14.5" x14ac:dyDescent="0.25">
      <c r="D112" s="6"/>
      <c r="E112" s="1"/>
      <c r="BO112" s="7"/>
      <c r="BR112" s="7"/>
    </row>
    <row r="113" spans="4:70" ht="14.5" x14ac:dyDescent="0.25">
      <c r="D113" s="6"/>
      <c r="E113" s="1"/>
      <c r="BO113" s="7"/>
      <c r="BR113" s="7"/>
    </row>
    <row r="114" spans="4:70" ht="14.5" x14ac:dyDescent="0.25">
      <c r="D114" s="6"/>
      <c r="E114" s="1"/>
      <c r="BO114" s="7"/>
      <c r="BR114" s="7"/>
    </row>
    <row r="115" spans="4:70" ht="14.5" x14ac:dyDescent="0.25">
      <c r="D115" s="6"/>
      <c r="E115" s="1"/>
      <c r="BO115" s="7"/>
      <c r="BR115" s="7"/>
    </row>
    <row r="116" spans="4:70" ht="14.5" x14ac:dyDescent="0.25">
      <c r="D116" s="6"/>
      <c r="E116" s="1"/>
      <c r="BO116" s="7"/>
      <c r="BR116" s="7"/>
    </row>
    <row r="117" spans="4:70" ht="14.5" x14ac:dyDescent="0.25">
      <c r="D117" s="6"/>
      <c r="E117" s="1"/>
      <c r="BO117" s="7"/>
      <c r="BR117" s="7"/>
    </row>
    <row r="118" spans="4:70" ht="14.5" x14ac:dyDescent="0.25">
      <c r="D118" s="6"/>
      <c r="E118" s="1"/>
      <c r="BO118" s="7"/>
      <c r="BR118" s="7"/>
    </row>
    <row r="119" spans="4:70" ht="14.5" x14ac:dyDescent="0.25">
      <c r="D119" s="6"/>
      <c r="E119" s="1"/>
      <c r="BO119" s="7"/>
      <c r="BR119" s="7"/>
    </row>
    <row r="120" spans="4:70" ht="14.5" x14ac:dyDescent="0.25">
      <c r="D120" s="6"/>
      <c r="E120" s="1"/>
      <c r="BO120" s="7"/>
      <c r="BR120" s="7"/>
    </row>
    <row r="121" spans="4:70" ht="14.5" x14ac:dyDescent="0.25">
      <c r="D121" s="6"/>
      <c r="E121" s="1"/>
      <c r="BO121" s="7"/>
      <c r="BR121" s="7"/>
    </row>
    <row r="122" spans="4:70" ht="14.5" x14ac:dyDescent="0.25">
      <c r="D122" s="6"/>
      <c r="E122" s="1"/>
      <c r="BO122" s="7"/>
      <c r="BR122" s="7"/>
    </row>
    <row r="123" spans="4:70" ht="14.5" x14ac:dyDescent="0.25">
      <c r="D123" s="6"/>
      <c r="E123" s="1"/>
      <c r="BO123" s="7"/>
      <c r="BR123" s="7"/>
    </row>
    <row r="124" spans="4:70" ht="14.5" x14ac:dyDescent="0.25">
      <c r="D124" s="6"/>
      <c r="E124" s="1"/>
      <c r="BO124" s="7"/>
      <c r="BR124" s="7"/>
    </row>
    <row r="125" spans="4:70" ht="14.5" x14ac:dyDescent="0.25">
      <c r="D125" s="6"/>
      <c r="E125" s="1"/>
      <c r="BO125" s="7"/>
      <c r="BR125" s="7"/>
    </row>
    <row r="126" spans="4:70" ht="14.5" x14ac:dyDescent="0.25">
      <c r="D126" s="6"/>
      <c r="E126" s="1"/>
      <c r="BO126" s="7"/>
      <c r="BR126" s="7"/>
    </row>
    <row r="127" spans="4:70" ht="14.5" x14ac:dyDescent="0.25">
      <c r="D127" s="6"/>
      <c r="E127" s="1"/>
      <c r="BO127" s="7"/>
      <c r="BR127" s="7"/>
    </row>
    <row r="128" spans="4:70" ht="14.5" x14ac:dyDescent="0.25">
      <c r="D128" s="6"/>
      <c r="E128" s="1"/>
      <c r="BO128" s="7"/>
      <c r="BR128" s="7"/>
    </row>
    <row r="129" spans="4:70" ht="14.5" x14ac:dyDescent="0.25">
      <c r="D129" s="6"/>
      <c r="E129" s="1"/>
      <c r="BO129" s="7"/>
      <c r="BR129" s="7"/>
    </row>
    <row r="130" spans="4:70" ht="14.5" x14ac:dyDescent="0.25">
      <c r="D130" s="6"/>
      <c r="E130" s="1"/>
      <c r="BO130" s="7"/>
      <c r="BR130" s="7"/>
    </row>
    <row r="131" spans="4:70" ht="14.5" x14ac:dyDescent="0.25">
      <c r="D131" s="6"/>
      <c r="E131" s="1"/>
      <c r="BO131" s="7"/>
      <c r="BR131" s="7"/>
    </row>
    <row r="132" spans="4:70" ht="14.5" x14ac:dyDescent="0.25">
      <c r="D132" s="6"/>
      <c r="E132" s="1"/>
      <c r="BO132" s="7"/>
      <c r="BR132" s="7"/>
    </row>
    <row r="133" spans="4:70" ht="14.5" x14ac:dyDescent="0.25">
      <c r="D133" s="6"/>
      <c r="E133" s="1"/>
      <c r="BO133" s="7"/>
      <c r="BR133" s="7"/>
    </row>
    <row r="134" spans="4:70" ht="14.5" x14ac:dyDescent="0.25">
      <c r="D134" s="6"/>
      <c r="E134" s="1"/>
      <c r="BO134" s="7"/>
      <c r="BR134" s="7"/>
    </row>
    <row r="135" spans="4:70" ht="14.5" x14ac:dyDescent="0.25">
      <c r="D135" s="6"/>
      <c r="E135" s="1"/>
      <c r="BO135" s="7"/>
      <c r="BR135" s="7"/>
    </row>
    <row r="136" spans="4:70" ht="14.5" x14ac:dyDescent="0.25">
      <c r="D136" s="6"/>
      <c r="E136" s="1"/>
      <c r="BO136" s="7"/>
      <c r="BR136" s="7"/>
    </row>
    <row r="137" spans="4:70" ht="14.5" x14ac:dyDescent="0.25">
      <c r="D137" s="6"/>
      <c r="E137" s="1"/>
      <c r="BO137" s="7"/>
      <c r="BR137" s="7"/>
    </row>
    <row r="138" spans="4:70" ht="14.5" x14ac:dyDescent="0.25">
      <c r="D138" s="6"/>
      <c r="E138" s="1"/>
      <c r="BO138" s="7"/>
      <c r="BR138" s="7"/>
    </row>
    <row r="139" spans="4:70" ht="14.5" x14ac:dyDescent="0.25">
      <c r="D139" s="6"/>
      <c r="E139" s="1"/>
      <c r="BO139" s="7"/>
      <c r="BR139" s="7"/>
    </row>
    <row r="140" spans="4:70" ht="14.5" x14ac:dyDescent="0.25">
      <c r="D140" s="6"/>
      <c r="E140" s="1"/>
      <c r="BO140" s="7"/>
      <c r="BR140" s="7"/>
    </row>
    <row r="141" spans="4:70" ht="14.5" x14ac:dyDescent="0.25">
      <c r="D141" s="6"/>
      <c r="E141" s="1"/>
      <c r="BO141" s="7"/>
      <c r="BR141" s="7"/>
    </row>
    <row r="142" spans="4:70" ht="14.5" x14ac:dyDescent="0.25">
      <c r="D142" s="6"/>
      <c r="E142" s="1"/>
      <c r="BO142" s="7"/>
      <c r="BR142" s="7"/>
    </row>
    <row r="143" spans="4:70" ht="14.5" x14ac:dyDescent="0.25">
      <c r="D143" s="6"/>
      <c r="E143" s="1"/>
      <c r="BO143" s="7"/>
      <c r="BR143" s="7"/>
    </row>
    <row r="144" spans="4:70" ht="14.5" x14ac:dyDescent="0.25">
      <c r="D144" s="6"/>
      <c r="E144" s="1"/>
      <c r="BO144" s="7"/>
      <c r="BR144" s="7"/>
    </row>
    <row r="145" spans="4:70" ht="14.5" x14ac:dyDescent="0.25">
      <c r="D145" s="6"/>
      <c r="E145" s="1"/>
      <c r="BO145" s="7"/>
      <c r="BR145" s="7"/>
    </row>
    <row r="146" spans="4:70" ht="14.5" x14ac:dyDescent="0.25">
      <c r="D146" s="6"/>
      <c r="E146" s="1"/>
      <c r="BO146" s="7"/>
      <c r="BR146" s="7"/>
    </row>
    <row r="147" spans="4:70" ht="14.5" x14ac:dyDescent="0.25">
      <c r="D147" s="6"/>
      <c r="E147" s="1"/>
      <c r="BO147" s="7"/>
      <c r="BR147" s="7"/>
    </row>
    <row r="148" spans="4:70" ht="14.5" x14ac:dyDescent="0.25">
      <c r="D148" s="6"/>
      <c r="E148" s="1"/>
      <c r="BO148" s="7"/>
      <c r="BR148" s="7"/>
    </row>
    <row r="149" spans="4:70" ht="14.5" x14ac:dyDescent="0.25">
      <c r="D149" s="6"/>
      <c r="E149" s="1"/>
      <c r="BO149" s="7"/>
      <c r="BR149" s="7"/>
    </row>
    <row r="150" spans="4:70" ht="14.5" x14ac:dyDescent="0.25">
      <c r="D150" s="6"/>
      <c r="E150" s="1"/>
      <c r="BO150" s="7"/>
      <c r="BR150" s="7"/>
    </row>
    <row r="151" spans="4:70" ht="14.5" x14ac:dyDescent="0.25">
      <c r="D151" s="6"/>
      <c r="E151" s="1"/>
      <c r="BO151" s="7"/>
      <c r="BR151" s="7"/>
    </row>
    <row r="152" spans="4:70" ht="14.5" x14ac:dyDescent="0.25">
      <c r="D152" s="6"/>
      <c r="E152" s="1"/>
      <c r="BO152" s="7"/>
      <c r="BR152" s="7"/>
    </row>
    <row r="153" spans="4:70" ht="14.5" x14ac:dyDescent="0.25">
      <c r="D153" s="6"/>
      <c r="E153" s="1"/>
      <c r="BO153" s="7"/>
      <c r="BR153" s="7"/>
    </row>
    <row r="154" spans="4:70" ht="14.5" x14ac:dyDescent="0.25">
      <c r="D154" s="6"/>
      <c r="E154" s="1"/>
      <c r="BO154" s="7"/>
      <c r="BR154" s="7"/>
    </row>
    <row r="155" spans="4:70" ht="14.5" x14ac:dyDescent="0.25">
      <c r="D155" s="6"/>
      <c r="E155" s="1"/>
      <c r="BO155" s="7"/>
      <c r="BR155" s="7"/>
    </row>
    <row r="156" spans="4:70" ht="14.5" x14ac:dyDescent="0.25">
      <c r="D156" s="6"/>
      <c r="E156" s="1"/>
      <c r="BO156" s="7"/>
      <c r="BR156" s="7"/>
    </row>
    <row r="157" spans="4:70" ht="14.5" x14ac:dyDescent="0.25">
      <c r="D157" s="6"/>
      <c r="E157" s="1"/>
      <c r="BO157" s="7"/>
      <c r="BR157" s="7"/>
    </row>
    <row r="158" spans="4:70" ht="14.5" x14ac:dyDescent="0.25">
      <c r="D158" s="6"/>
      <c r="E158" s="1"/>
      <c r="BO158" s="7"/>
      <c r="BR158" s="7"/>
    </row>
    <row r="159" spans="4:70" ht="14.5" x14ac:dyDescent="0.25">
      <c r="D159" s="6"/>
      <c r="E159" s="1"/>
      <c r="BO159" s="7"/>
      <c r="BR159" s="7"/>
    </row>
    <row r="160" spans="4:70" ht="14.5" x14ac:dyDescent="0.25">
      <c r="D160" s="6"/>
      <c r="E160" s="1"/>
      <c r="BO160" s="7"/>
      <c r="BR160" s="7"/>
    </row>
    <row r="161" spans="4:70" ht="14.5" x14ac:dyDescent="0.25">
      <c r="D161" s="6"/>
      <c r="E161" s="1"/>
      <c r="BO161" s="7"/>
      <c r="BR161" s="7"/>
    </row>
    <row r="162" spans="4:70" ht="14.5" x14ac:dyDescent="0.25">
      <c r="D162" s="6"/>
      <c r="E162" s="1"/>
      <c r="BO162" s="7"/>
      <c r="BR162" s="7"/>
    </row>
    <row r="163" spans="4:70" ht="14.5" x14ac:dyDescent="0.25">
      <c r="D163" s="6"/>
      <c r="E163" s="1"/>
      <c r="BO163" s="7"/>
      <c r="BR163" s="7"/>
    </row>
    <row r="164" spans="4:70" ht="14.5" x14ac:dyDescent="0.25">
      <c r="D164" s="6"/>
      <c r="E164" s="1"/>
      <c r="BO164" s="7"/>
      <c r="BR164" s="7"/>
    </row>
    <row r="165" spans="4:70" ht="14.5" x14ac:dyDescent="0.25">
      <c r="D165" s="6"/>
      <c r="E165" s="1"/>
      <c r="BO165" s="7"/>
      <c r="BR165" s="7"/>
    </row>
    <row r="166" spans="4:70" ht="14.5" x14ac:dyDescent="0.25">
      <c r="D166" s="6"/>
      <c r="E166" s="1"/>
      <c r="BO166" s="7"/>
      <c r="BR166" s="7"/>
    </row>
    <row r="167" spans="4:70" ht="14.5" x14ac:dyDescent="0.25">
      <c r="D167" s="6"/>
      <c r="E167" s="1"/>
      <c r="BO167" s="7"/>
      <c r="BR167" s="7"/>
    </row>
    <row r="168" spans="4:70" ht="14.5" x14ac:dyDescent="0.25">
      <c r="D168" s="6"/>
      <c r="E168" s="1"/>
      <c r="BO168" s="7"/>
      <c r="BR168" s="7"/>
    </row>
    <row r="169" spans="4:70" ht="14.5" x14ac:dyDescent="0.25">
      <c r="D169" s="6"/>
      <c r="E169" s="1"/>
      <c r="BO169" s="7"/>
      <c r="BR169" s="7"/>
    </row>
    <row r="170" spans="4:70" ht="14.5" x14ac:dyDescent="0.25">
      <c r="D170" s="6"/>
      <c r="E170" s="1"/>
      <c r="BO170" s="7"/>
      <c r="BR170" s="7"/>
    </row>
    <row r="171" spans="4:70" ht="14.5" x14ac:dyDescent="0.25">
      <c r="D171" s="6"/>
      <c r="E171" s="1"/>
      <c r="BO171" s="7"/>
      <c r="BR171" s="7"/>
    </row>
    <row r="172" spans="4:70" ht="14.5" x14ac:dyDescent="0.25">
      <c r="D172" s="6"/>
      <c r="E172" s="1"/>
      <c r="BO172" s="7"/>
      <c r="BR172" s="7"/>
    </row>
    <row r="173" spans="4:70" ht="14.5" x14ac:dyDescent="0.25">
      <c r="D173" s="6"/>
      <c r="E173" s="1"/>
      <c r="BO173" s="7"/>
      <c r="BR173" s="7"/>
    </row>
    <row r="174" spans="4:70" ht="14.5" x14ac:dyDescent="0.25">
      <c r="D174" s="6"/>
      <c r="E174" s="1"/>
      <c r="BO174" s="7"/>
      <c r="BR174" s="7"/>
    </row>
    <row r="175" spans="4:70" ht="14.5" x14ac:dyDescent="0.25">
      <c r="D175" s="6"/>
      <c r="E175" s="1"/>
      <c r="BO175" s="7"/>
      <c r="BR175" s="7"/>
    </row>
    <row r="176" spans="4:70" ht="14.5" x14ac:dyDescent="0.25">
      <c r="D176" s="6"/>
      <c r="E176" s="1"/>
      <c r="BO176" s="7"/>
      <c r="BR176" s="7"/>
    </row>
    <row r="177" spans="4:70" ht="14.5" x14ac:dyDescent="0.25">
      <c r="D177" s="6"/>
      <c r="E177" s="1"/>
      <c r="BO177" s="7"/>
      <c r="BR177" s="7"/>
    </row>
    <row r="178" spans="4:70" ht="14.5" x14ac:dyDescent="0.25">
      <c r="D178" s="6"/>
      <c r="E178" s="1"/>
      <c r="BO178" s="7"/>
      <c r="BR178" s="7"/>
    </row>
    <row r="179" spans="4:70" ht="14.5" x14ac:dyDescent="0.25">
      <c r="D179" s="6"/>
      <c r="E179" s="1"/>
      <c r="BO179" s="7"/>
      <c r="BR179" s="7"/>
    </row>
    <row r="180" spans="4:70" ht="14.5" x14ac:dyDescent="0.25">
      <c r="D180" s="6"/>
      <c r="E180" s="1"/>
      <c r="BO180" s="7"/>
      <c r="BR180" s="7"/>
    </row>
    <row r="181" spans="4:70" ht="14.5" x14ac:dyDescent="0.25">
      <c r="D181" s="6"/>
      <c r="E181" s="1"/>
      <c r="BO181" s="7"/>
      <c r="BR181" s="7"/>
    </row>
    <row r="182" spans="4:70" ht="14.5" x14ac:dyDescent="0.25">
      <c r="D182" s="6"/>
      <c r="E182" s="1"/>
      <c r="BO182" s="7"/>
      <c r="BR182" s="7"/>
    </row>
    <row r="183" spans="4:70" ht="14.5" x14ac:dyDescent="0.25">
      <c r="D183" s="6"/>
      <c r="E183" s="1"/>
      <c r="BO183" s="7"/>
      <c r="BR183" s="7"/>
    </row>
    <row r="184" spans="4:70" ht="14.5" x14ac:dyDescent="0.25">
      <c r="D184" s="6"/>
      <c r="E184" s="1"/>
      <c r="BO184" s="7"/>
      <c r="BR184" s="7"/>
    </row>
    <row r="185" spans="4:70" ht="14.5" x14ac:dyDescent="0.25">
      <c r="D185" s="6"/>
      <c r="E185" s="1"/>
      <c r="BO185" s="7"/>
      <c r="BR185" s="7"/>
    </row>
    <row r="186" spans="4:70" ht="14.5" x14ac:dyDescent="0.25">
      <c r="D186" s="6"/>
      <c r="E186" s="1"/>
      <c r="BO186" s="7"/>
      <c r="BR186" s="7"/>
    </row>
    <row r="187" spans="4:70" ht="14.5" x14ac:dyDescent="0.25">
      <c r="D187" s="6"/>
      <c r="E187" s="1"/>
      <c r="BO187" s="7"/>
      <c r="BR187" s="7"/>
    </row>
    <row r="188" spans="4:70" ht="14.5" x14ac:dyDescent="0.25">
      <c r="D188" s="6"/>
      <c r="E188" s="1"/>
      <c r="BO188" s="7"/>
      <c r="BR188" s="7"/>
    </row>
    <row r="189" spans="4:70" ht="14.5" x14ac:dyDescent="0.25">
      <c r="D189" s="6"/>
      <c r="E189" s="1"/>
      <c r="BO189" s="7"/>
      <c r="BR189" s="7"/>
    </row>
    <row r="190" spans="4:70" ht="14.5" x14ac:dyDescent="0.25">
      <c r="D190" s="6"/>
      <c r="E190" s="1"/>
      <c r="BO190" s="7"/>
      <c r="BR190" s="7"/>
    </row>
    <row r="191" spans="4:70" ht="14.5" x14ac:dyDescent="0.25">
      <c r="D191" s="6"/>
      <c r="E191" s="1"/>
      <c r="BO191" s="7"/>
      <c r="BR191" s="7"/>
    </row>
    <row r="192" spans="4:70" ht="14.5" x14ac:dyDescent="0.25">
      <c r="D192" s="6"/>
      <c r="E192" s="1"/>
      <c r="BO192" s="7"/>
      <c r="BR192" s="7"/>
    </row>
    <row r="193" spans="4:70" ht="14.5" x14ac:dyDescent="0.25">
      <c r="D193" s="6"/>
      <c r="E193" s="1"/>
      <c r="BO193" s="7"/>
      <c r="BR193" s="7"/>
    </row>
    <row r="194" spans="4:70" ht="14.5" x14ac:dyDescent="0.25">
      <c r="D194" s="6"/>
      <c r="E194" s="1"/>
      <c r="BO194" s="7"/>
      <c r="BR194" s="7"/>
    </row>
    <row r="195" spans="4:70" ht="14.5" x14ac:dyDescent="0.25">
      <c r="D195" s="6"/>
      <c r="E195" s="1"/>
      <c r="BO195" s="7"/>
      <c r="BR195" s="7"/>
    </row>
    <row r="196" spans="4:70" ht="14.5" x14ac:dyDescent="0.25">
      <c r="D196" s="6"/>
      <c r="E196" s="1"/>
      <c r="BO196" s="7"/>
      <c r="BR196" s="7"/>
    </row>
    <row r="197" spans="4:70" ht="14.5" x14ac:dyDescent="0.25">
      <c r="D197" s="6"/>
      <c r="E197" s="1"/>
      <c r="BO197" s="7"/>
      <c r="BR197" s="7"/>
    </row>
    <row r="198" spans="4:70" ht="14.5" x14ac:dyDescent="0.25">
      <c r="D198" s="6"/>
      <c r="E198" s="1"/>
      <c r="BO198" s="7"/>
      <c r="BR198" s="7"/>
    </row>
    <row r="199" spans="4:70" ht="14.5" x14ac:dyDescent="0.25">
      <c r="D199" s="6"/>
      <c r="E199" s="1"/>
      <c r="BO199" s="7"/>
      <c r="BR199" s="7"/>
    </row>
    <row r="200" spans="4:70" ht="14.5" x14ac:dyDescent="0.25">
      <c r="D200" s="6"/>
      <c r="E200" s="1"/>
      <c r="BO200" s="7"/>
      <c r="BR200" s="7"/>
    </row>
    <row r="201" spans="4:70" ht="14.5" x14ac:dyDescent="0.25">
      <c r="D201" s="6"/>
      <c r="E201" s="1"/>
      <c r="BO201" s="7"/>
      <c r="BR201" s="7"/>
    </row>
    <row r="202" spans="4:70" ht="14.5" x14ac:dyDescent="0.25">
      <c r="D202" s="6"/>
      <c r="E202" s="1"/>
      <c r="BO202" s="7"/>
      <c r="BR202" s="7"/>
    </row>
    <row r="203" spans="4:70" ht="14.5" x14ac:dyDescent="0.25">
      <c r="D203" s="6"/>
      <c r="E203" s="1"/>
      <c r="BO203" s="7"/>
      <c r="BR203" s="7"/>
    </row>
    <row r="204" spans="4:70" ht="14.5" x14ac:dyDescent="0.25">
      <c r="D204" s="6"/>
      <c r="E204" s="1"/>
      <c r="BO204" s="7"/>
      <c r="BR204" s="7"/>
    </row>
    <row r="205" spans="4:70" ht="14.5" x14ac:dyDescent="0.25">
      <c r="D205" s="6"/>
      <c r="E205" s="1"/>
      <c r="BO205" s="7"/>
      <c r="BR205" s="7"/>
    </row>
    <row r="206" spans="4:70" ht="14.5" x14ac:dyDescent="0.25">
      <c r="D206" s="6"/>
      <c r="E206" s="1"/>
      <c r="BO206" s="7"/>
      <c r="BR206" s="7"/>
    </row>
    <row r="207" spans="4:70" ht="14.5" x14ac:dyDescent="0.25">
      <c r="D207" s="6"/>
      <c r="E207" s="1"/>
      <c r="BO207" s="7"/>
      <c r="BR207" s="7"/>
    </row>
    <row r="208" spans="4:70" ht="14.5" x14ac:dyDescent="0.25">
      <c r="D208" s="6"/>
      <c r="E208" s="1"/>
      <c r="BO208" s="7"/>
      <c r="BR208" s="7"/>
    </row>
    <row r="209" spans="4:70" ht="14.5" x14ac:dyDescent="0.25">
      <c r="D209" s="6"/>
      <c r="E209" s="1"/>
      <c r="BO209" s="7"/>
      <c r="BR209" s="7"/>
    </row>
    <row r="210" spans="4:70" ht="14.5" x14ac:dyDescent="0.25">
      <c r="D210" s="6"/>
      <c r="E210" s="1"/>
      <c r="BO210" s="7"/>
      <c r="BR210" s="7"/>
    </row>
    <row r="211" spans="4:70" ht="14.5" x14ac:dyDescent="0.25">
      <c r="D211" s="6"/>
      <c r="E211" s="1"/>
      <c r="BO211" s="7"/>
      <c r="BR211" s="7"/>
    </row>
    <row r="212" spans="4:70" ht="14.5" x14ac:dyDescent="0.25">
      <c r="D212" s="6"/>
      <c r="E212" s="1"/>
      <c r="BO212" s="7"/>
      <c r="BR212" s="7"/>
    </row>
    <row r="213" spans="4:70" ht="14.5" x14ac:dyDescent="0.25">
      <c r="D213" s="6"/>
      <c r="E213" s="1"/>
      <c r="BO213" s="7"/>
      <c r="BR213" s="7"/>
    </row>
    <row r="214" spans="4:70" ht="14.5" x14ac:dyDescent="0.25">
      <c r="D214" s="6"/>
      <c r="E214" s="1"/>
      <c r="BO214" s="7"/>
      <c r="BR214" s="7"/>
    </row>
    <row r="215" spans="4:70" ht="14.5" x14ac:dyDescent="0.25">
      <c r="D215" s="6"/>
      <c r="E215" s="1"/>
      <c r="BO215" s="7"/>
      <c r="BR215" s="7"/>
    </row>
    <row r="216" spans="4:70" ht="14.5" x14ac:dyDescent="0.25">
      <c r="D216" s="6"/>
      <c r="E216" s="1"/>
      <c r="BO216" s="7"/>
      <c r="BR216" s="7"/>
    </row>
    <row r="217" spans="4:70" ht="14.5" x14ac:dyDescent="0.25">
      <c r="D217" s="6"/>
      <c r="E217" s="1"/>
      <c r="BO217" s="7"/>
      <c r="BR217" s="7"/>
    </row>
    <row r="218" spans="4:70" ht="14.5" x14ac:dyDescent="0.25">
      <c r="D218" s="6"/>
      <c r="E218" s="1"/>
      <c r="BO218" s="7"/>
      <c r="BR218" s="7"/>
    </row>
    <row r="219" spans="4:70" ht="14.5" x14ac:dyDescent="0.25">
      <c r="D219" s="6"/>
      <c r="E219" s="1"/>
      <c r="BO219" s="7"/>
      <c r="BR219" s="7"/>
    </row>
    <row r="220" spans="4:70" ht="14.5" x14ac:dyDescent="0.25">
      <c r="D220" s="6"/>
      <c r="E220" s="1"/>
      <c r="BO220" s="7"/>
      <c r="BR220" s="7"/>
    </row>
    <row r="221" spans="4:70" ht="14.5" x14ac:dyDescent="0.25">
      <c r="D221" s="6"/>
      <c r="E221" s="1"/>
      <c r="BO221" s="7"/>
      <c r="BR221" s="7"/>
    </row>
    <row r="222" spans="4:70" ht="14.5" x14ac:dyDescent="0.25">
      <c r="D222" s="6"/>
      <c r="E222" s="1"/>
      <c r="BO222" s="7"/>
      <c r="BR222" s="7"/>
    </row>
    <row r="223" spans="4:70" ht="14.5" x14ac:dyDescent="0.25">
      <c r="D223" s="6"/>
      <c r="E223" s="1"/>
      <c r="BO223" s="7"/>
      <c r="BR223" s="7"/>
    </row>
    <row r="224" spans="4:70" ht="14.5" x14ac:dyDescent="0.25">
      <c r="D224" s="6"/>
      <c r="E224" s="1"/>
      <c r="BO224" s="7"/>
      <c r="BR224" s="7"/>
    </row>
    <row r="225" spans="4:70" ht="14.5" x14ac:dyDescent="0.25">
      <c r="D225" s="6"/>
      <c r="E225" s="1"/>
      <c r="BO225" s="7"/>
      <c r="BR225" s="7"/>
    </row>
    <row r="226" spans="4:70" ht="14.5" x14ac:dyDescent="0.25">
      <c r="D226" s="6"/>
      <c r="E226" s="1"/>
      <c r="BO226" s="7"/>
      <c r="BR226" s="7"/>
    </row>
    <row r="227" spans="4:70" ht="14.5" x14ac:dyDescent="0.25">
      <c r="D227" s="6"/>
      <c r="E227" s="1"/>
      <c r="BO227" s="7"/>
      <c r="BR227" s="7"/>
    </row>
    <row r="228" spans="4:70" ht="14.5" x14ac:dyDescent="0.25">
      <c r="D228" s="6"/>
      <c r="E228" s="1"/>
      <c r="BO228" s="7"/>
      <c r="BR228" s="7"/>
    </row>
    <row r="229" spans="4:70" ht="14.5" x14ac:dyDescent="0.25">
      <c r="D229" s="6"/>
      <c r="E229" s="1"/>
      <c r="BO229" s="7"/>
      <c r="BR229" s="7"/>
    </row>
    <row r="230" spans="4:70" ht="14.5" x14ac:dyDescent="0.25">
      <c r="D230" s="6"/>
      <c r="E230" s="1"/>
      <c r="BO230" s="7"/>
      <c r="BR230" s="7"/>
    </row>
    <row r="231" spans="4:70" ht="14.5" x14ac:dyDescent="0.25">
      <c r="D231" s="6"/>
      <c r="E231" s="1"/>
      <c r="BO231" s="7"/>
      <c r="BR231" s="7"/>
    </row>
    <row r="232" spans="4:70" ht="14.5" x14ac:dyDescent="0.25">
      <c r="D232" s="6"/>
      <c r="E232" s="1"/>
      <c r="BO232" s="7"/>
      <c r="BR232" s="7"/>
    </row>
    <row r="233" spans="4:70" ht="14.5" x14ac:dyDescent="0.25">
      <c r="D233" s="6"/>
      <c r="E233" s="1"/>
      <c r="BO233" s="7"/>
      <c r="BR233" s="7"/>
    </row>
    <row r="234" spans="4:70" ht="14.5" x14ac:dyDescent="0.25">
      <c r="D234" s="6"/>
      <c r="E234" s="1"/>
      <c r="BO234" s="7"/>
      <c r="BR234" s="7"/>
    </row>
    <row r="235" spans="4:70" ht="14.5" x14ac:dyDescent="0.25">
      <c r="D235" s="6"/>
      <c r="E235" s="1"/>
      <c r="BO235" s="7"/>
      <c r="BR235" s="7"/>
    </row>
    <row r="236" spans="4:70" ht="14.5" x14ac:dyDescent="0.25">
      <c r="D236" s="6"/>
      <c r="E236" s="1"/>
      <c r="BO236" s="7"/>
      <c r="BR236" s="7"/>
    </row>
    <row r="237" spans="4:70" ht="14.5" x14ac:dyDescent="0.25">
      <c r="D237" s="6"/>
      <c r="E237" s="1"/>
      <c r="BO237" s="7"/>
      <c r="BR237" s="7"/>
    </row>
    <row r="238" spans="4:70" ht="14.5" x14ac:dyDescent="0.25">
      <c r="D238" s="6"/>
      <c r="E238" s="1"/>
      <c r="BO238" s="7"/>
      <c r="BR238" s="7"/>
    </row>
    <row r="239" spans="4:70" ht="14.5" x14ac:dyDescent="0.25">
      <c r="D239" s="6"/>
      <c r="E239" s="1"/>
      <c r="BO239" s="7"/>
      <c r="BR239" s="7"/>
    </row>
    <row r="240" spans="4:70" ht="14.5" x14ac:dyDescent="0.25">
      <c r="D240" s="6"/>
      <c r="E240" s="1"/>
      <c r="BO240" s="7"/>
      <c r="BR240" s="7"/>
    </row>
    <row r="241" spans="4:70" ht="14.5" x14ac:dyDescent="0.25">
      <c r="D241" s="6"/>
      <c r="E241" s="1"/>
      <c r="BO241" s="7"/>
      <c r="BR241" s="7"/>
    </row>
    <row r="242" spans="4:70" ht="14.5" x14ac:dyDescent="0.25">
      <c r="D242" s="6"/>
      <c r="E242" s="1"/>
      <c r="BO242" s="7"/>
      <c r="BR242" s="7"/>
    </row>
    <row r="243" spans="4:70" ht="14.5" x14ac:dyDescent="0.25">
      <c r="D243" s="6"/>
      <c r="E243" s="1"/>
      <c r="BR243" s="7"/>
    </row>
    <row r="244" spans="4:70" ht="14.5" x14ac:dyDescent="0.25">
      <c r="D244" s="6"/>
      <c r="E244" s="1"/>
      <c r="BO244" s="7"/>
      <c r="BR244" s="7"/>
    </row>
    <row r="245" spans="4:70" ht="14.5" x14ac:dyDescent="0.25">
      <c r="D245" s="6"/>
      <c r="E245" s="1"/>
      <c r="BO245" s="7"/>
      <c r="BR245" s="7"/>
    </row>
    <row r="246" spans="4:70" ht="14.5" x14ac:dyDescent="0.25">
      <c r="D246" s="6"/>
      <c r="E246" s="1"/>
      <c r="BO246" s="7"/>
      <c r="BR246" s="7"/>
    </row>
    <row r="247" spans="4:70" ht="14.5" x14ac:dyDescent="0.25">
      <c r="D247" s="6"/>
      <c r="E247" s="1"/>
      <c r="BO247" s="7"/>
      <c r="BR247" s="7"/>
    </row>
    <row r="248" spans="4:70" ht="14.5" x14ac:dyDescent="0.25">
      <c r="D248" s="6"/>
      <c r="E248" s="1"/>
      <c r="BO248" s="7"/>
      <c r="BR248" s="7"/>
    </row>
    <row r="249" spans="4:70" ht="14.5" x14ac:dyDescent="0.25">
      <c r="D249" s="6"/>
      <c r="E249" s="1"/>
      <c r="BO249" s="7"/>
      <c r="BR249" s="7"/>
    </row>
    <row r="250" spans="4:70" ht="14.5" x14ac:dyDescent="0.25">
      <c r="D250" s="6"/>
      <c r="E250" s="1"/>
      <c r="BO250" s="7"/>
      <c r="BR250" s="7"/>
    </row>
    <row r="251" spans="4:70" ht="14.5" x14ac:dyDescent="0.25">
      <c r="D251" s="6"/>
      <c r="E251" s="1"/>
      <c r="BO251" s="7"/>
      <c r="BR251" s="7"/>
    </row>
    <row r="252" spans="4:70" ht="14.5" x14ac:dyDescent="0.25">
      <c r="D252" s="6"/>
      <c r="E252" s="1"/>
      <c r="BO252" s="7"/>
      <c r="BR252" s="7"/>
    </row>
    <row r="253" spans="4:70" ht="14.5" x14ac:dyDescent="0.25">
      <c r="D253" s="6"/>
      <c r="E253" s="1"/>
      <c r="BO253" s="7"/>
      <c r="BR253" s="7"/>
    </row>
    <row r="254" spans="4:70" ht="14.5" x14ac:dyDescent="0.25">
      <c r="D254" s="6"/>
      <c r="E254" s="1"/>
      <c r="BO254" s="7"/>
      <c r="BR254" s="7"/>
    </row>
    <row r="255" spans="4:70" ht="14.5" x14ac:dyDescent="0.25">
      <c r="D255" s="6"/>
      <c r="E255" s="1"/>
      <c r="BO255" s="7"/>
      <c r="BR255" s="7"/>
    </row>
    <row r="256" spans="4:70" ht="14.5" x14ac:dyDescent="0.25">
      <c r="D256" s="6"/>
      <c r="E256" s="1"/>
      <c r="BO256" s="7"/>
      <c r="BR256" s="7"/>
    </row>
    <row r="257" spans="4:70" ht="14.5" x14ac:dyDescent="0.25">
      <c r="D257" s="6"/>
      <c r="E257" s="1"/>
      <c r="BO257" s="7"/>
      <c r="BR257" s="7"/>
    </row>
    <row r="258" spans="4:70" ht="14.5" x14ac:dyDescent="0.25">
      <c r="D258" s="6"/>
      <c r="E258" s="1"/>
      <c r="BO258" s="7"/>
      <c r="BR258" s="7"/>
    </row>
    <row r="259" spans="4:70" ht="14.5" x14ac:dyDescent="0.25">
      <c r="D259" s="6"/>
      <c r="E259" s="1"/>
      <c r="BO259" s="7"/>
      <c r="BR259" s="7"/>
    </row>
    <row r="260" spans="4:70" ht="14.5" x14ac:dyDescent="0.25">
      <c r="D260" s="6"/>
      <c r="E260" s="1"/>
      <c r="BO260" s="7"/>
      <c r="BR260" s="7"/>
    </row>
    <row r="261" spans="4:70" ht="14.5" x14ac:dyDescent="0.25">
      <c r="D261" s="6"/>
      <c r="E261" s="1"/>
      <c r="BO261" s="7"/>
      <c r="BR261" s="7"/>
    </row>
    <row r="262" spans="4:70" ht="14.5" x14ac:dyDescent="0.25">
      <c r="D262" s="6"/>
      <c r="E262" s="1"/>
      <c r="BO262" s="7"/>
      <c r="BR262" s="7"/>
    </row>
    <row r="263" spans="4:70" ht="14.5" x14ac:dyDescent="0.25">
      <c r="D263" s="6"/>
      <c r="E263" s="1"/>
      <c r="BO263" s="7"/>
      <c r="BR263" s="7"/>
    </row>
    <row r="264" spans="4:70" ht="14.5" x14ac:dyDescent="0.25">
      <c r="D264" s="6"/>
      <c r="E264" s="1"/>
      <c r="BO264" s="7"/>
      <c r="BR264" s="7"/>
    </row>
    <row r="265" spans="4:70" ht="14.5" x14ac:dyDescent="0.25">
      <c r="D265" s="6"/>
      <c r="E265" s="1"/>
      <c r="BO265" s="7"/>
      <c r="BR265" s="7"/>
    </row>
    <row r="266" spans="4:70" ht="14.5" x14ac:dyDescent="0.25">
      <c r="D266" s="6"/>
      <c r="E266" s="1"/>
      <c r="BO266" s="7"/>
      <c r="BR266" s="7"/>
    </row>
    <row r="267" spans="4:70" ht="14.5" x14ac:dyDescent="0.25">
      <c r="D267" s="6"/>
      <c r="E267" s="1"/>
      <c r="BO267" s="7"/>
      <c r="BR267" s="7"/>
    </row>
    <row r="268" spans="4:70" ht="14.5" x14ac:dyDescent="0.25">
      <c r="D268" s="6"/>
      <c r="E268" s="1"/>
      <c r="BO268" s="7"/>
      <c r="BR268" s="7"/>
    </row>
    <row r="269" spans="4:70" ht="14.5" x14ac:dyDescent="0.25">
      <c r="D269" s="6"/>
      <c r="E269" s="1"/>
      <c r="BO269" s="7"/>
      <c r="BR269" s="7"/>
    </row>
    <row r="270" spans="4:70" ht="14.5" x14ac:dyDescent="0.25">
      <c r="D270" s="6"/>
      <c r="E270" s="1"/>
      <c r="BO270" s="7"/>
      <c r="BR270" s="7"/>
    </row>
    <row r="271" spans="4:70" ht="14.5" x14ac:dyDescent="0.25">
      <c r="D271" s="6"/>
      <c r="E271" s="1"/>
      <c r="BO271" s="7"/>
      <c r="BR271" s="7"/>
    </row>
    <row r="272" spans="4:70" ht="14.5" x14ac:dyDescent="0.25">
      <c r="D272" s="6"/>
      <c r="E272" s="1"/>
      <c r="BO272" s="7"/>
      <c r="BR272" s="7"/>
    </row>
    <row r="273" spans="4:70" ht="14.5" x14ac:dyDescent="0.25">
      <c r="D273" s="6"/>
      <c r="E273" s="1"/>
      <c r="BO273" s="7"/>
      <c r="BR273" s="7"/>
    </row>
    <row r="274" spans="4:70" ht="14.5" x14ac:dyDescent="0.25">
      <c r="D274" s="6"/>
      <c r="E274" s="1"/>
      <c r="BO274" s="7"/>
      <c r="BR274" s="7"/>
    </row>
    <row r="275" spans="4:70" ht="14.5" x14ac:dyDescent="0.25">
      <c r="D275" s="6"/>
      <c r="E275" s="1"/>
      <c r="BO275" s="7"/>
      <c r="BR275" s="7"/>
    </row>
    <row r="276" spans="4:70" ht="14.5" x14ac:dyDescent="0.25">
      <c r="D276" s="6"/>
      <c r="E276" s="1"/>
      <c r="BO276" s="7"/>
      <c r="BR276" s="7"/>
    </row>
    <row r="277" spans="4:70" ht="14.5" x14ac:dyDescent="0.25">
      <c r="D277" s="6"/>
      <c r="E277" s="1"/>
      <c r="BO277" s="7"/>
      <c r="BR277" s="7"/>
    </row>
    <row r="278" spans="4:70" ht="14.5" x14ac:dyDescent="0.25">
      <c r="D278" s="6"/>
      <c r="E278" s="1"/>
      <c r="BO278" s="7"/>
      <c r="BR278" s="7"/>
    </row>
    <row r="279" spans="4:70" ht="14.5" x14ac:dyDescent="0.25">
      <c r="D279" s="6"/>
      <c r="E279" s="1"/>
      <c r="BO279" s="7"/>
      <c r="BR279" s="7"/>
    </row>
    <row r="280" spans="4:70" ht="14.5" x14ac:dyDescent="0.25">
      <c r="D280" s="6"/>
      <c r="E280" s="1"/>
      <c r="BO280" s="7"/>
      <c r="BR280" s="7"/>
    </row>
    <row r="281" spans="4:70" ht="14.5" x14ac:dyDescent="0.25">
      <c r="D281" s="6"/>
      <c r="E281" s="1"/>
      <c r="BO281" s="7"/>
      <c r="BR281" s="7"/>
    </row>
    <row r="282" spans="4:70" ht="14.5" x14ac:dyDescent="0.25">
      <c r="D282" s="6"/>
      <c r="E282" s="1"/>
      <c r="BO282" s="7"/>
      <c r="BR282" s="7"/>
    </row>
    <row r="283" spans="4:70" ht="14.5" x14ac:dyDescent="0.25">
      <c r="D283" s="6"/>
      <c r="E283" s="1"/>
      <c r="BO283" s="7"/>
      <c r="BR283" s="7"/>
    </row>
    <row r="284" spans="4:70" ht="14.5" x14ac:dyDescent="0.25">
      <c r="D284" s="6"/>
      <c r="E284" s="1"/>
      <c r="BO284" s="7"/>
      <c r="BR284" s="7"/>
    </row>
    <row r="285" spans="4:70" ht="14.5" x14ac:dyDescent="0.25">
      <c r="D285" s="6"/>
      <c r="E285" s="1"/>
      <c r="BO285" s="7"/>
      <c r="BR285" s="7"/>
    </row>
    <row r="286" spans="4:70" ht="14.5" x14ac:dyDescent="0.25">
      <c r="D286" s="6"/>
      <c r="E286" s="1"/>
      <c r="BR286" s="7"/>
    </row>
    <row r="287" spans="4:70" ht="14.5" x14ac:dyDescent="0.25">
      <c r="D287" s="6"/>
      <c r="E287" s="1"/>
      <c r="BO287" s="7"/>
      <c r="BR287" s="7"/>
    </row>
    <row r="288" spans="4:70" ht="14.5" x14ac:dyDescent="0.25">
      <c r="D288" s="6"/>
      <c r="E288" s="1"/>
      <c r="BO288" s="7"/>
      <c r="BR288" s="7"/>
    </row>
    <row r="289" spans="4:70" ht="14.5" x14ac:dyDescent="0.25">
      <c r="D289" s="6"/>
      <c r="E289" s="1"/>
      <c r="BO289" s="7"/>
      <c r="BR289" s="7"/>
    </row>
    <row r="290" spans="4:70" ht="14.5" x14ac:dyDescent="0.25">
      <c r="D290" s="6"/>
      <c r="E290" s="1"/>
      <c r="BO290" s="7"/>
      <c r="BR290" s="7"/>
    </row>
    <row r="291" spans="4:70" ht="14.5" x14ac:dyDescent="0.25">
      <c r="D291" s="6"/>
      <c r="E291" s="1"/>
      <c r="BO291" s="7"/>
      <c r="BR291" s="7"/>
    </row>
    <row r="292" spans="4:70" ht="14.5" x14ac:dyDescent="0.25">
      <c r="D292" s="6"/>
      <c r="E292" s="1"/>
      <c r="BO292" s="7"/>
      <c r="BR292" s="7"/>
    </row>
    <row r="293" spans="4:70" ht="14.5" x14ac:dyDescent="0.25">
      <c r="D293" s="6"/>
      <c r="E293" s="1"/>
      <c r="BO293" s="7"/>
      <c r="BR293" s="7"/>
    </row>
    <row r="294" spans="4:70" ht="14.5" x14ac:dyDescent="0.25">
      <c r="D294" s="6"/>
      <c r="E294" s="1"/>
      <c r="BO294" s="7"/>
      <c r="BR294" s="7"/>
    </row>
    <row r="295" spans="4:70" ht="14.5" x14ac:dyDescent="0.25">
      <c r="D295" s="6"/>
      <c r="E295" s="1"/>
      <c r="BO295" s="7"/>
      <c r="BR295" s="7"/>
    </row>
    <row r="296" spans="4:70" ht="14.5" x14ac:dyDescent="0.25">
      <c r="D296" s="6"/>
      <c r="E296" s="1"/>
      <c r="BO296" s="7"/>
      <c r="BR296" s="7"/>
    </row>
    <row r="297" spans="4:70" ht="14.5" x14ac:dyDescent="0.25">
      <c r="D297" s="6"/>
      <c r="E297" s="1"/>
      <c r="BO297" s="7"/>
      <c r="BR297" s="7"/>
    </row>
    <row r="298" spans="4:70" ht="14.5" x14ac:dyDescent="0.25">
      <c r="D298" s="6"/>
      <c r="E298" s="1"/>
      <c r="BO298" s="7"/>
      <c r="BR298" s="7"/>
    </row>
    <row r="299" spans="4:70" ht="14.5" x14ac:dyDescent="0.25">
      <c r="D299" s="6"/>
      <c r="E299" s="1"/>
      <c r="BO299" s="7"/>
      <c r="BR299" s="7"/>
    </row>
    <row r="300" spans="4:70" ht="14.5" x14ac:dyDescent="0.25">
      <c r="D300" s="6"/>
      <c r="E300" s="1"/>
      <c r="BO300" s="7"/>
      <c r="BR300" s="7"/>
    </row>
    <row r="301" spans="4:70" ht="14.5" x14ac:dyDescent="0.25">
      <c r="D301" s="6"/>
      <c r="E301" s="1"/>
      <c r="BO301" s="7"/>
      <c r="BR301" s="7"/>
    </row>
    <row r="302" spans="4:70" ht="14.5" x14ac:dyDescent="0.25">
      <c r="D302" s="6"/>
      <c r="E302" s="1"/>
      <c r="BO302" s="7"/>
      <c r="BR302" s="7"/>
    </row>
    <row r="303" spans="4:70" ht="14.5" x14ac:dyDescent="0.25">
      <c r="D303" s="6"/>
      <c r="E303" s="1"/>
      <c r="BO303" s="7"/>
      <c r="BR303" s="7"/>
    </row>
    <row r="304" spans="4:70" ht="14.5" x14ac:dyDescent="0.25">
      <c r="D304" s="6"/>
      <c r="E304" s="1"/>
      <c r="BO304" s="7"/>
      <c r="BR304" s="7"/>
    </row>
    <row r="305" spans="4:70" ht="14.5" x14ac:dyDescent="0.25">
      <c r="D305" s="6"/>
      <c r="E305" s="1"/>
      <c r="BO305" s="7"/>
      <c r="BR305" s="7"/>
    </row>
    <row r="306" spans="4:70" ht="14.5" x14ac:dyDescent="0.25">
      <c r="D306" s="6"/>
      <c r="E306" s="1"/>
      <c r="BO306" s="7"/>
      <c r="BR306" s="7"/>
    </row>
    <row r="307" spans="4:70" ht="14.5" x14ac:dyDescent="0.25">
      <c r="D307" s="6"/>
      <c r="E307" s="1"/>
      <c r="BO307" s="7"/>
      <c r="BR307" s="7"/>
    </row>
    <row r="308" spans="4:70" ht="14.5" x14ac:dyDescent="0.25">
      <c r="D308" s="6"/>
      <c r="E308" s="1"/>
      <c r="BO308" s="7"/>
      <c r="BR308" s="7"/>
    </row>
    <row r="309" spans="4:70" ht="14.5" x14ac:dyDescent="0.25">
      <c r="D309" s="6"/>
      <c r="E309" s="1"/>
      <c r="BO309" s="7"/>
      <c r="BR309" s="7"/>
    </row>
    <row r="310" spans="4:70" ht="14.5" x14ac:dyDescent="0.25">
      <c r="D310" s="6"/>
      <c r="E310" s="1"/>
      <c r="BO310" s="7"/>
      <c r="BR310" s="7"/>
    </row>
    <row r="311" spans="4:70" ht="14.5" x14ac:dyDescent="0.25">
      <c r="D311" s="6"/>
      <c r="E311" s="1"/>
      <c r="BO311" s="7"/>
      <c r="BR311" s="7"/>
    </row>
    <row r="312" spans="4:70" ht="14.5" x14ac:dyDescent="0.25">
      <c r="D312" s="6"/>
      <c r="E312" s="1"/>
      <c r="BO312" s="7"/>
      <c r="BR312" s="7"/>
    </row>
    <row r="313" spans="4:70" ht="14.5" x14ac:dyDescent="0.25">
      <c r="D313" s="6"/>
      <c r="E313" s="1"/>
      <c r="BO313" s="7"/>
      <c r="BR313" s="7"/>
    </row>
    <row r="314" spans="4:70" ht="14.5" x14ac:dyDescent="0.25">
      <c r="D314" s="6"/>
      <c r="E314" s="1"/>
      <c r="BO314" s="7"/>
      <c r="BR314" s="7"/>
    </row>
    <row r="315" spans="4:70" ht="14.5" x14ac:dyDescent="0.25">
      <c r="D315" s="6"/>
      <c r="E315" s="1"/>
      <c r="BO315" s="7"/>
      <c r="BR315" s="7"/>
    </row>
    <row r="316" spans="4:70" ht="14.5" x14ac:dyDescent="0.25">
      <c r="D316" s="6"/>
      <c r="E316" s="1"/>
      <c r="BO316" s="7"/>
      <c r="BR316" s="7"/>
    </row>
    <row r="317" spans="4:70" ht="14.5" x14ac:dyDescent="0.25">
      <c r="D317" s="6"/>
      <c r="E317" s="1"/>
      <c r="BO317" s="7"/>
      <c r="BR317" s="7"/>
    </row>
    <row r="318" spans="4:70" ht="14.5" x14ac:dyDescent="0.25">
      <c r="D318" s="6"/>
      <c r="E318" s="1"/>
      <c r="BO318" s="7"/>
      <c r="BR318" s="7"/>
    </row>
    <row r="319" spans="4:70" ht="14.5" x14ac:dyDescent="0.25">
      <c r="D319" s="6"/>
      <c r="E319" s="1"/>
      <c r="BO319" s="7"/>
      <c r="BR319" s="7"/>
    </row>
    <row r="320" spans="4:70" ht="14.5" x14ac:dyDescent="0.25">
      <c r="D320" s="6"/>
      <c r="E320" s="1"/>
      <c r="BO320" s="7"/>
      <c r="BR320" s="7"/>
    </row>
    <row r="321" spans="4:70" ht="14.5" x14ac:dyDescent="0.25">
      <c r="D321" s="6"/>
      <c r="E321" s="1"/>
      <c r="BO321" s="7"/>
      <c r="BR321" s="7"/>
    </row>
    <row r="322" spans="4:70" ht="14.5" x14ac:dyDescent="0.25">
      <c r="D322" s="6"/>
      <c r="E322" s="1"/>
      <c r="BO322" s="7"/>
      <c r="BR322" s="7"/>
    </row>
    <row r="323" spans="4:70" ht="14.5" x14ac:dyDescent="0.25">
      <c r="D323" s="6"/>
      <c r="E323" s="1"/>
      <c r="BO323" s="7"/>
      <c r="BR323" s="7"/>
    </row>
    <row r="324" spans="4:70" ht="14.5" x14ac:dyDescent="0.25">
      <c r="D324" s="6"/>
      <c r="E324" s="1"/>
      <c r="BO324" s="7"/>
      <c r="BR324" s="7"/>
    </row>
    <row r="325" spans="4:70" ht="14.5" x14ac:dyDescent="0.25">
      <c r="D325" s="6"/>
      <c r="E325" s="1"/>
      <c r="BO325" s="7"/>
      <c r="BR325" s="7"/>
    </row>
    <row r="326" spans="4:70" ht="14.5" x14ac:dyDescent="0.25">
      <c r="D326" s="6"/>
      <c r="E326" s="1"/>
      <c r="BO326" s="7"/>
      <c r="BR326" s="7"/>
    </row>
    <row r="327" spans="4:70" ht="14.5" x14ac:dyDescent="0.25">
      <c r="D327" s="6"/>
      <c r="E327" s="1"/>
      <c r="BO327" s="7"/>
      <c r="BR327" s="7"/>
    </row>
    <row r="328" spans="4:70" ht="14.5" x14ac:dyDescent="0.25">
      <c r="D328" s="6"/>
      <c r="E328" s="1"/>
      <c r="BO328" s="7"/>
      <c r="BR328" s="7"/>
    </row>
    <row r="329" spans="4:70" ht="14.5" x14ac:dyDescent="0.25">
      <c r="D329" s="6"/>
      <c r="E329" s="1"/>
      <c r="BO329" s="7"/>
      <c r="BR329" s="7"/>
    </row>
    <row r="330" spans="4:70" ht="14.5" x14ac:dyDescent="0.25">
      <c r="D330" s="6"/>
      <c r="E330" s="1"/>
      <c r="BO330" s="7"/>
      <c r="BR330" s="7"/>
    </row>
    <row r="331" spans="4:70" ht="14.5" x14ac:dyDescent="0.25">
      <c r="D331" s="6"/>
      <c r="E331" s="1"/>
      <c r="BO331" s="7"/>
      <c r="BR331" s="7"/>
    </row>
    <row r="332" spans="4:70" ht="14.5" x14ac:dyDescent="0.25">
      <c r="D332" s="6"/>
      <c r="E332" s="1"/>
      <c r="BO332" s="7"/>
      <c r="BR332" s="7"/>
    </row>
    <row r="333" spans="4:70" ht="14.5" x14ac:dyDescent="0.25">
      <c r="D333" s="6"/>
      <c r="E333" s="1"/>
      <c r="BO333" s="7"/>
      <c r="BR333" s="7"/>
    </row>
    <row r="334" spans="4:70" ht="14.5" x14ac:dyDescent="0.25">
      <c r="D334" s="6"/>
      <c r="E334" s="1"/>
      <c r="BO334" s="7"/>
      <c r="BR334" s="7"/>
    </row>
    <row r="335" spans="4:70" ht="14.5" x14ac:dyDescent="0.25">
      <c r="D335" s="6"/>
      <c r="E335" s="1"/>
      <c r="BO335" s="7"/>
      <c r="BR335" s="7"/>
    </row>
    <row r="336" spans="4:70" ht="14.5" x14ac:dyDescent="0.25">
      <c r="D336" s="6"/>
      <c r="E336" s="1"/>
      <c r="BO336" s="7"/>
      <c r="BR336" s="7"/>
    </row>
    <row r="337" spans="4:70" ht="14.5" x14ac:dyDescent="0.25">
      <c r="D337" s="6"/>
      <c r="E337" s="1"/>
      <c r="BO337" s="7"/>
      <c r="BR337" s="7"/>
    </row>
    <row r="338" spans="4:70" ht="14.5" x14ac:dyDescent="0.25">
      <c r="D338" s="6"/>
      <c r="E338" s="1"/>
      <c r="BO338" s="7"/>
      <c r="BR338" s="7"/>
    </row>
    <row r="339" spans="4:70" ht="14.5" x14ac:dyDescent="0.25">
      <c r="D339" s="6"/>
      <c r="E339" s="1"/>
      <c r="BO339" s="7"/>
      <c r="BR339" s="7"/>
    </row>
    <row r="340" spans="4:70" ht="14.5" x14ac:dyDescent="0.25">
      <c r="D340" s="6"/>
      <c r="E340" s="1"/>
      <c r="BO340" s="7"/>
      <c r="BR340" s="7"/>
    </row>
    <row r="341" spans="4:70" ht="14.5" x14ac:dyDescent="0.25">
      <c r="D341" s="6"/>
      <c r="E341" s="1"/>
      <c r="BO341" s="7"/>
      <c r="BR341" s="7"/>
    </row>
    <row r="342" spans="4:70" ht="14.5" x14ac:dyDescent="0.25">
      <c r="D342" s="6"/>
      <c r="E342" s="1"/>
      <c r="BR342" s="7"/>
    </row>
    <row r="343" spans="4:70" ht="14.5" x14ac:dyDescent="0.25">
      <c r="D343" s="6"/>
      <c r="E343" s="1"/>
      <c r="BR343" s="7"/>
    </row>
    <row r="344" spans="4:70" ht="14.5" x14ac:dyDescent="0.25">
      <c r="D344" s="6"/>
      <c r="E344" s="1"/>
      <c r="BR344" s="7"/>
    </row>
    <row r="345" spans="4:70" ht="14.5" x14ac:dyDescent="0.25">
      <c r="D345" s="6"/>
      <c r="E345" s="1"/>
      <c r="BO345" s="7"/>
      <c r="BR345" s="7"/>
    </row>
    <row r="346" spans="4:70" ht="14.5" x14ac:dyDescent="0.25">
      <c r="D346" s="6"/>
      <c r="E346" s="1"/>
      <c r="BO346" s="7"/>
      <c r="BR346" s="7"/>
    </row>
    <row r="347" spans="4:70" ht="14.5" x14ac:dyDescent="0.25">
      <c r="D347" s="6"/>
      <c r="E347" s="1"/>
      <c r="BO347" s="7"/>
      <c r="BR347" s="7"/>
    </row>
    <row r="348" spans="4:70" ht="14.5" x14ac:dyDescent="0.25">
      <c r="D348" s="6"/>
      <c r="E348" s="1"/>
      <c r="BO348" s="7"/>
      <c r="BR348" s="7"/>
    </row>
    <row r="349" spans="4:70" ht="14.5" x14ac:dyDescent="0.25">
      <c r="D349" s="6"/>
      <c r="E349" s="1"/>
      <c r="BO349" s="7"/>
      <c r="BR349" s="7"/>
    </row>
    <row r="350" spans="4:70" ht="14.5" x14ac:dyDescent="0.25">
      <c r="D350" s="6"/>
      <c r="E350" s="1"/>
      <c r="BO350" s="7"/>
      <c r="BR350" s="7"/>
    </row>
    <row r="351" spans="4:70" ht="14.5" x14ac:dyDescent="0.25">
      <c r="D351" s="6"/>
      <c r="E351" s="1"/>
      <c r="BO351" s="7"/>
      <c r="BR351" s="7"/>
    </row>
    <row r="352" spans="4:70" ht="14.5" x14ac:dyDescent="0.25">
      <c r="D352" s="6"/>
      <c r="E352" s="1"/>
      <c r="BO352" s="7"/>
      <c r="BR352" s="7"/>
    </row>
    <row r="353" spans="4:70" ht="14.5" x14ac:dyDescent="0.25">
      <c r="D353" s="6"/>
      <c r="E353" s="1"/>
      <c r="BO353" s="7"/>
      <c r="BR353" s="7"/>
    </row>
    <row r="354" spans="4:70" ht="14.5" x14ac:dyDescent="0.25">
      <c r="D354" s="6"/>
      <c r="E354" s="1"/>
      <c r="BO354" s="7"/>
      <c r="BR354" s="7"/>
    </row>
    <row r="355" spans="4:70" ht="14.5" x14ac:dyDescent="0.25">
      <c r="D355" s="6"/>
      <c r="E355" s="1"/>
      <c r="BO355" s="7"/>
      <c r="BR355" s="7"/>
    </row>
    <row r="356" spans="4:70" ht="14.5" x14ac:dyDescent="0.25">
      <c r="D356" s="6"/>
      <c r="E356" s="1"/>
      <c r="BO356" s="7"/>
      <c r="BR356" s="7"/>
    </row>
    <row r="357" spans="4:70" ht="14.5" x14ac:dyDescent="0.25">
      <c r="D357" s="6"/>
      <c r="E357" s="1"/>
      <c r="BO357" s="7"/>
      <c r="BR357" s="7"/>
    </row>
    <row r="358" spans="4:70" ht="14.5" x14ac:dyDescent="0.25">
      <c r="D358" s="6"/>
      <c r="E358" s="1"/>
      <c r="BO358" s="7"/>
      <c r="BR358" s="7"/>
    </row>
    <row r="359" spans="4:70" ht="14.5" x14ac:dyDescent="0.25">
      <c r="D359" s="6"/>
      <c r="E359" s="1"/>
      <c r="BO359" s="7"/>
      <c r="BR359" s="7"/>
    </row>
    <row r="360" spans="4:70" ht="14.5" x14ac:dyDescent="0.25">
      <c r="D360" s="6"/>
      <c r="E360" s="1"/>
      <c r="BO360" s="7"/>
      <c r="BR360" s="7"/>
    </row>
    <row r="361" spans="4:70" ht="14.5" x14ac:dyDescent="0.25">
      <c r="D361" s="6"/>
      <c r="E361" s="1"/>
      <c r="BO361" s="7"/>
      <c r="BR361" s="7"/>
    </row>
    <row r="362" spans="4:70" ht="14.5" x14ac:dyDescent="0.25">
      <c r="D362" s="6"/>
      <c r="E362" s="1"/>
      <c r="BO362" s="7"/>
      <c r="BR362" s="7"/>
    </row>
    <row r="363" spans="4:70" ht="14.5" x14ac:dyDescent="0.25">
      <c r="D363" s="6"/>
      <c r="E363" s="1"/>
      <c r="BO363" s="7"/>
      <c r="BR363" s="7"/>
    </row>
    <row r="364" spans="4:70" ht="14.5" x14ac:dyDescent="0.25">
      <c r="D364" s="6"/>
      <c r="E364" s="1"/>
      <c r="BO364" s="7"/>
      <c r="BR364" s="7"/>
    </row>
    <row r="365" spans="4:70" ht="14.5" x14ac:dyDescent="0.25">
      <c r="D365" s="6"/>
      <c r="E365" s="1"/>
      <c r="BO365" s="7"/>
      <c r="BR365" s="7"/>
    </row>
    <row r="366" spans="4:70" ht="14.5" x14ac:dyDescent="0.25">
      <c r="D366" s="6"/>
      <c r="E366" s="1"/>
      <c r="BO366" s="7"/>
      <c r="BR366" s="7"/>
    </row>
    <row r="367" spans="4:70" ht="14.5" x14ac:dyDescent="0.25">
      <c r="D367" s="6"/>
      <c r="E367" s="1"/>
      <c r="BO367" s="7"/>
      <c r="BR367" s="7"/>
    </row>
    <row r="368" spans="4:70" ht="14.5" x14ac:dyDescent="0.25">
      <c r="D368" s="6"/>
      <c r="E368" s="1"/>
      <c r="BO368" s="7"/>
      <c r="BR368" s="7"/>
    </row>
    <row r="369" spans="4:70" ht="14.5" x14ac:dyDescent="0.25">
      <c r="D369" s="6"/>
      <c r="E369" s="1"/>
      <c r="BO369" s="7"/>
      <c r="BR369" s="7"/>
    </row>
    <row r="370" spans="4:70" ht="14.5" x14ac:dyDescent="0.25">
      <c r="D370" s="6"/>
      <c r="E370" s="1"/>
      <c r="BO370" s="7"/>
      <c r="BR370" s="7"/>
    </row>
    <row r="371" spans="4:70" ht="14.5" x14ac:dyDescent="0.25">
      <c r="D371" s="6"/>
      <c r="E371" s="1"/>
      <c r="BO371" s="7"/>
      <c r="BR371" s="7"/>
    </row>
    <row r="372" spans="4:70" ht="14.5" x14ac:dyDescent="0.25">
      <c r="D372" s="6"/>
      <c r="E372" s="1"/>
      <c r="BO372" s="7"/>
      <c r="BR372" s="7"/>
    </row>
    <row r="373" spans="4:70" ht="14.5" x14ac:dyDescent="0.25">
      <c r="D373" s="6"/>
      <c r="E373" s="1"/>
      <c r="BO373" s="7"/>
      <c r="BR373" s="7"/>
    </row>
    <row r="374" spans="4:70" ht="14.5" x14ac:dyDescent="0.25">
      <c r="D374" s="6"/>
      <c r="E374" s="1"/>
      <c r="BO374" s="7"/>
      <c r="BR374" s="7"/>
    </row>
    <row r="375" spans="4:70" ht="14.5" x14ac:dyDescent="0.25">
      <c r="D375" s="6"/>
      <c r="E375" s="1"/>
      <c r="BO375" s="7"/>
      <c r="BR375" s="7"/>
    </row>
    <row r="376" spans="4:70" ht="14.5" x14ac:dyDescent="0.25">
      <c r="D376" s="6"/>
      <c r="E376" s="1"/>
      <c r="BO376" s="7"/>
      <c r="BR376" s="7"/>
    </row>
    <row r="377" spans="4:70" ht="14.5" x14ac:dyDescent="0.25">
      <c r="D377" s="6"/>
      <c r="E377" s="1"/>
      <c r="BO377" s="7"/>
      <c r="BR377" s="7"/>
    </row>
    <row r="378" spans="4:70" ht="14.5" x14ac:dyDescent="0.25">
      <c r="D378" s="6"/>
      <c r="E378" s="1"/>
      <c r="BO378" s="7"/>
      <c r="BR378" s="7"/>
    </row>
    <row r="379" spans="4:70" ht="14.5" x14ac:dyDescent="0.25">
      <c r="D379" s="6"/>
      <c r="E379" s="1"/>
      <c r="BR379" s="7"/>
    </row>
    <row r="380" spans="4:70" ht="14.5" x14ac:dyDescent="0.25">
      <c r="D380" s="6"/>
      <c r="E380" s="1"/>
      <c r="BR380" s="7"/>
    </row>
    <row r="381" spans="4:70" ht="14.5" x14ac:dyDescent="0.25">
      <c r="D381" s="6"/>
      <c r="E381" s="1"/>
      <c r="BO381" s="7"/>
      <c r="BR381" s="7"/>
    </row>
    <row r="382" spans="4:70" ht="14.5" x14ac:dyDescent="0.25">
      <c r="D382" s="6"/>
      <c r="E382" s="1"/>
      <c r="BO382" s="7"/>
      <c r="BR382" s="7"/>
    </row>
    <row r="383" spans="4:70" ht="14.5" x14ac:dyDescent="0.25">
      <c r="D383" s="6"/>
      <c r="E383" s="1"/>
      <c r="BO383" s="7"/>
      <c r="BR383" s="7"/>
    </row>
    <row r="384" spans="4:70" ht="14.5" x14ac:dyDescent="0.25">
      <c r="D384" s="6"/>
      <c r="E384" s="1"/>
      <c r="BO384" s="7"/>
      <c r="BR384" s="7"/>
    </row>
    <row r="385" spans="4:70" ht="14.5" x14ac:dyDescent="0.25">
      <c r="D385" s="6"/>
      <c r="E385" s="1"/>
      <c r="BO385" s="7"/>
      <c r="BR385" s="7"/>
    </row>
    <row r="386" spans="4:70" ht="14.5" x14ac:dyDescent="0.25">
      <c r="D386" s="6"/>
      <c r="E386" s="1"/>
      <c r="BO386" s="7"/>
      <c r="BR386" s="7"/>
    </row>
    <row r="387" spans="4:70" ht="14.5" x14ac:dyDescent="0.25">
      <c r="D387" s="6"/>
      <c r="E387" s="1"/>
      <c r="BO387" s="7"/>
      <c r="BR387" s="7"/>
    </row>
    <row r="388" spans="4:70" ht="14.5" x14ac:dyDescent="0.25">
      <c r="D388" s="6"/>
      <c r="E388" s="1"/>
      <c r="BO388" s="7"/>
      <c r="BR388" s="7"/>
    </row>
    <row r="389" spans="4:70" ht="14.5" x14ac:dyDescent="0.25">
      <c r="D389" s="6"/>
      <c r="E389" s="1"/>
      <c r="BO389" s="7"/>
      <c r="BR389" s="7"/>
    </row>
    <row r="390" spans="4:70" ht="14.5" x14ac:dyDescent="0.25">
      <c r="D390" s="6"/>
      <c r="E390" s="1"/>
      <c r="BO390" s="7"/>
      <c r="BR390" s="7"/>
    </row>
    <row r="391" spans="4:70" ht="14.5" x14ac:dyDescent="0.25">
      <c r="D391" s="6"/>
      <c r="E391" s="1"/>
      <c r="BO391" s="7"/>
      <c r="BR391" s="7"/>
    </row>
    <row r="392" spans="4:70" ht="14.5" x14ac:dyDescent="0.25">
      <c r="D392" s="6"/>
      <c r="E392" s="1"/>
      <c r="BO392" s="7"/>
      <c r="BR392" s="7"/>
    </row>
    <row r="393" spans="4:70" ht="14.5" x14ac:dyDescent="0.25">
      <c r="D393" s="6"/>
      <c r="E393" s="1"/>
      <c r="BO393" s="7"/>
      <c r="BR393" s="7"/>
    </row>
    <row r="394" spans="4:70" ht="14.5" x14ac:dyDescent="0.25">
      <c r="D394" s="6"/>
      <c r="E394" s="1"/>
      <c r="BO394" s="7"/>
      <c r="BR394" s="7"/>
    </row>
    <row r="395" spans="4:70" ht="14.5" x14ac:dyDescent="0.25">
      <c r="D395" s="6"/>
      <c r="E395" s="1"/>
      <c r="BO395" s="7"/>
      <c r="BR395" s="7"/>
    </row>
    <row r="396" spans="4:70" ht="14.5" x14ac:dyDescent="0.25">
      <c r="D396" s="6"/>
      <c r="E396" s="1"/>
      <c r="BO396" s="7"/>
      <c r="BR396" s="7"/>
    </row>
    <row r="397" spans="4:70" ht="14.5" x14ac:dyDescent="0.25">
      <c r="D397" s="6"/>
      <c r="E397" s="1"/>
      <c r="BO397" s="7"/>
      <c r="BR397" s="7"/>
    </row>
    <row r="398" spans="4:70" ht="14.5" x14ac:dyDescent="0.25">
      <c r="D398" s="6"/>
      <c r="E398" s="1"/>
      <c r="BO398" s="7"/>
      <c r="BR398" s="7"/>
    </row>
    <row r="399" spans="4:70" ht="14.5" x14ac:dyDescent="0.25">
      <c r="D399" s="6"/>
      <c r="E399" s="1"/>
      <c r="BO399" s="7"/>
      <c r="BR399" s="7"/>
    </row>
    <row r="400" spans="4:70" ht="14.5" x14ac:dyDescent="0.25">
      <c r="D400" s="6"/>
      <c r="E400" s="1"/>
      <c r="BO400" s="7"/>
      <c r="BR400" s="7"/>
    </row>
    <row r="401" spans="4:70" ht="14.5" x14ac:dyDescent="0.25">
      <c r="D401" s="6"/>
      <c r="E401" s="1"/>
      <c r="BO401" s="7"/>
      <c r="BR401" s="7"/>
    </row>
    <row r="402" spans="4:70" ht="14.5" x14ac:dyDescent="0.25">
      <c r="D402" s="6"/>
      <c r="E402" s="1"/>
      <c r="BO402" s="7"/>
      <c r="BR402" s="7"/>
    </row>
    <row r="403" spans="4:70" ht="14.5" x14ac:dyDescent="0.25">
      <c r="D403" s="6"/>
      <c r="E403" s="1"/>
      <c r="BO403" s="7"/>
      <c r="BR403" s="7"/>
    </row>
    <row r="404" spans="4:70" ht="14.5" x14ac:dyDescent="0.25">
      <c r="D404" s="6"/>
      <c r="E404" s="1"/>
      <c r="BR404" s="7"/>
    </row>
    <row r="405" spans="4:70" ht="14.5" x14ac:dyDescent="0.25">
      <c r="D405" s="6"/>
      <c r="E405" s="1"/>
      <c r="BR405" s="7"/>
    </row>
    <row r="406" spans="4:70" ht="14.5" x14ac:dyDescent="0.25">
      <c r="D406" s="6"/>
      <c r="E406" s="1"/>
      <c r="BO406" s="7"/>
      <c r="BR406" s="7"/>
    </row>
    <row r="407" spans="4:70" ht="14.5" x14ac:dyDescent="0.25">
      <c r="D407" s="6"/>
      <c r="E407" s="1"/>
      <c r="BO407" s="7"/>
      <c r="BR407" s="7"/>
    </row>
    <row r="408" spans="4:70" ht="14.5" x14ac:dyDescent="0.25">
      <c r="D408" s="6"/>
      <c r="E408" s="1"/>
      <c r="BR408" s="7"/>
    </row>
    <row r="409" spans="4:70" ht="14.5" x14ac:dyDescent="0.25">
      <c r="D409" s="6"/>
      <c r="E409" s="1"/>
      <c r="BR409" s="7"/>
    </row>
    <row r="410" spans="4:70" ht="14.5" x14ac:dyDescent="0.25">
      <c r="D410" s="6"/>
      <c r="E410" s="1"/>
      <c r="BO410" s="7"/>
      <c r="BR410" s="7"/>
    </row>
    <row r="411" spans="4:70" ht="14.5" x14ac:dyDescent="0.25">
      <c r="D411" s="6"/>
      <c r="E411" s="1"/>
      <c r="BO411" s="7"/>
      <c r="BR411" s="7"/>
    </row>
    <row r="412" spans="4:70" ht="14.5" x14ac:dyDescent="0.25">
      <c r="D412" s="6"/>
      <c r="E412" s="1"/>
      <c r="BO412" s="7"/>
      <c r="BR412" s="7"/>
    </row>
    <row r="413" spans="4:70" ht="14.5" x14ac:dyDescent="0.25">
      <c r="D413" s="6"/>
      <c r="E413" s="1"/>
      <c r="BO413" s="7"/>
      <c r="BR413" s="7"/>
    </row>
    <row r="414" spans="4:70" ht="14.5" x14ac:dyDescent="0.25">
      <c r="D414" s="6"/>
      <c r="E414" s="1"/>
      <c r="BO414" s="7"/>
      <c r="BR414" s="7"/>
    </row>
    <row r="415" spans="4:70" ht="14.5" x14ac:dyDescent="0.25">
      <c r="D415" s="6"/>
      <c r="E415" s="1"/>
      <c r="BO415" s="7"/>
      <c r="BR415" s="7"/>
    </row>
    <row r="416" spans="4:70" ht="14.5" x14ac:dyDescent="0.25">
      <c r="D416" s="6"/>
      <c r="E416" s="1"/>
      <c r="BO416" s="7"/>
      <c r="BR416" s="7"/>
    </row>
    <row r="417" spans="4:70" ht="14.5" x14ac:dyDescent="0.25">
      <c r="D417" s="6"/>
      <c r="E417" s="1"/>
      <c r="BO417" s="7"/>
      <c r="BR417" s="7"/>
    </row>
    <row r="418" spans="4:70" ht="14.5" x14ac:dyDescent="0.25">
      <c r="D418" s="6"/>
      <c r="E418" s="1"/>
      <c r="BO418" s="7"/>
      <c r="BR418" s="7"/>
    </row>
    <row r="419" spans="4:70" ht="14.5" x14ac:dyDescent="0.25">
      <c r="D419" s="6"/>
      <c r="E419" s="1"/>
      <c r="BO419" s="7"/>
      <c r="BR419" s="7"/>
    </row>
    <row r="420" spans="4:70" ht="14.5" x14ac:dyDescent="0.25">
      <c r="D420" s="6"/>
      <c r="E420" s="1"/>
      <c r="BO420" s="7"/>
      <c r="BR420" s="7"/>
    </row>
    <row r="421" spans="4:70" ht="14.5" x14ac:dyDescent="0.25">
      <c r="D421" s="6"/>
      <c r="E421" s="1"/>
      <c r="BO421" s="7"/>
      <c r="BR421" s="7"/>
    </row>
    <row r="422" spans="4:70" ht="14.5" x14ac:dyDescent="0.25">
      <c r="D422" s="6"/>
      <c r="E422" s="1"/>
      <c r="BO422" s="7"/>
      <c r="BR422" s="7"/>
    </row>
    <row r="423" spans="4:70" ht="14.5" x14ac:dyDescent="0.25">
      <c r="D423" s="6"/>
      <c r="E423" s="1"/>
      <c r="BO423" s="7"/>
      <c r="BR423" s="7"/>
    </row>
    <row r="424" spans="4:70" ht="14.5" x14ac:dyDescent="0.25">
      <c r="D424" s="6"/>
      <c r="E424" s="1"/>
      <c r="BO424" s="7"/>
      <c r="BR424" s="7"/>
    </row>
    <row r="425" spans="4:70" ht="14.5" x14ac:dyDescent="0.25">
      <c r="D425" s="6"/>
      <c r="E425" s="1"/>
      <c r="BO425" s="7"/>
      <c r="BR425" s="7"/>
    </row>
    <row r="426" spans="4:70" ht="14.5" x14ac:dyDescent="0.25">
      <c r="D426" s="6"/>
      <c r="E426" s="1"/>
      <c r="BO426" s="7"/>
      <c r="BR426" s="7"/>
    </row>
    <row r="427" spans="4:70" ht="14.5" x14ac:dyDescent="0.25">
      <c r="D427" s="6"/>
      <c r="E427" s="1"/>
    </row>
    <row r="428" spans="4:70" ht="14.5" x14ac:dyDescent="0.25">
      <c r="D428" s="6"/>
      <c r="E428" s="1"/>
    </row>
    <row r="429" spans="4:70" ht="14.5" x14ac:dyDescent="0.25">
      <c r="D429" s="6"/>
      <c r="E429" s="1"/>
    </row>
    <row r="430" spans="4:70" ht="14.5" x14ac:dyDescent="0.25">
      <c r="D430" s="6"/>
      <c r="E430" s="1"/>
    </row>
    <row r="431" spans="4:70" ht="14.5" x14ac:dyDescent="0.25">
      <c r="D431" s="6"/>
      <c r="E431" s="1"/>
    </row>
    <row r="432" spans="4:70" ht="14.5" x14ac:dyDescent="0.25">
      <c r="D432" s="6"/>
      <c r="E432" s="1"/>
    </row>
    <row r="433" spans="4:5" ht="14.5" x14ac:dyDescent="0.25">
      <c r="D433" s="6"/>
      <c r="E433" s="1"/>
    </row>
    <row r="434" spans="4:5" ht="14.5" x14ac:dyDescent="0.25">
      <c r="D434" s="6"/>
      <c r="E434" s="1"/>
    </row>
    <row r="435" spans="4:5" ht="14.5" x14ac:dyDescent="0.25">
      <c r="D435" s="6"/>
      <c r="E435" s="1"/>
    </row>
    <row r="436" spans="4:5" ht="14.5" x14ac:dyDescent="0.25">
      <c r="D436" s="6"/>
      <c r="E436" s="1"/>
    </row>
    <row r="437" spans="4:5" ht="14.5" x14ac:dyDescent="0.25">
      <c r="D437" s="6"/>
      <c r="E437" s="1"/>
    </row>
    <row r="438" spans="4:5" ht="14.5" x14ac:dyDescent="0.25">
      <c r="D438" s="6"/>
      <c r="E438" s="1"/>
    </row>
    <row r="439" spans="4:5" ht="14.5" x14ac:dyDescent="0.25">
      <c r="D439" s="6"/>
      <c r="E439" s="1"/>
    </row>
    <row r="440" spans="4:5" ht="14.5" x14ac:dyDescent="0.25">
      <c r="D440" s="6"/>
      <c r="E440" s="1"/>
    </row>
    <row r="441" spans="4:5" ht="14.5" x14ac:dyDescent="0.25">
      <c r="D441" s="6"/>
      <c r="E441" s="1"/>
    </row>
    <row r="442" spans="4:5" ht="14.5" x14ac:dyDescent="0.25">
      <c r="D442" s="6"/>
      <c r="E442" s="1"/>
    </row>
    <row r="443" spans="4:5" ht="14.5" x14ac:dyDescent="0.25">
      <c r="D443" s="6"/>
      <c r="E443" s="1"/>
    </row>
    <row r="444" spans="4:5" ht="14.5" x14ac:dyDescent="0.25">
      <c r="D444" s="6"/>
      <c r="E444" s="1"/>
    </row>
    <row r="445" spans="4:5" ht="14.5" x14ac:dyDescent="0.25">
      <c r="D445" s="6"/>
      <c r="E445" s="1"/>
    </row>
    <row r="446" spans="4:5" ht="14.5" x14ac:dyDescent="0.25">
      <c r="D446" s="6"/>
      <c r="E446" s="1"/>
    </row>
    <row r="447" spans="4:5" ht="14.5" x14ac:dyDescent="0.25">
      <c r="D447" s="6"/>
      <c r="E447" s="1"/>
    </row>
    <row r="448" spans="4:5" ht="14.5" x14ac:dyDescent="0.25">
      <c r="D448" s="6"/>
      <c r="E448" s="1"/>
    </row>
    <row r="449" spans="4:5" ht="14.5" x14ac:dyDescent="0.25">
      <c r="D449" s="6"/>
      <c r="E449" s="1"/>
    </row>
    <row r="450" spans="4:5" ht="14.5" x14ac:dyDescent="0.25">
      <c r="D450" s="6"/>
      <c r="E450" s="1"/>
    </row>
    <row r="451" spans="4:5" ht="14.5" x14ac:dyDescent="0.25">
      <c r="D451" s="6"/>
      <c r="E451" s="1"/>
    </row>
    <row r="452" spans="4:5" ht="14.5" x14ac:dyDescent="0.25">
      <c r="D452" s="6"/>
      <c r="E452" s="1"/>
    </row>
    <row r="453" spans="4:5" ht="14.5" x14ac:dyDescent="0.25">
      <c r="D453" s="6"/>
      <c r="E453" s="1"/>
    </row>
    <row r="454" spans="4:5" ht="14.5" x14ac:dyDescent="0.25">
      <c r="D454" s="6"/>
      <c r="E454" s="1"/>
    </row>
    <row r="455" spans="4:5" ht="14.5" x14ac:dyDescent="0.25">
      <c r="D455" s="6"/>
      <c r="E455" s="1"/>
    </row>
    <row r="456" spans="4:5" ht="14.5" x14ac:dyDescent="0.25">
      <c r="D456" s="6"/>
      <c r="E456" s="1"/>
    </row>
    <row r="457" spans="4:5" ht="14.5" x14ac:dyDescent="0.25">
      <c r="D457" s="6"/>
      <c r="E457" s="1"/>
    </row>
    <row r="458" spans="4:5" ht="14.5" x14ac:dyDescent="0.25">
      <c r="D458" s="6"/>
      <c r="E458" s="1"/>
    </row>
    <row r="459" spans="4:5" ht="14.5" x14ac:dyDescent="0.25">
      <c r="D459" s="6"/>
      <c r="E459" s="1"/>
    </row>
    <row r="460" spans="4:5" ht="14.5" x14ac:dyDescent="0.25">
      <c r="D460" s="6"/>
      <c r="E460" s="1"/>
    </row>
    <row r="461" spans="4:5" ht="14.5" x14ac:dyDescent="0.25">
      <c r="D461" s="6"/>
      <c r="E461" s="1"/>
    </row>
    <row r="462" spans="4:5" ht="14.5" x14ac:dyDescent="0.25">
      <c r="D462" s="6"/>
      <c r="E462" s="1"/>
    </row>
    <row r="463" spans="4:5" ht="14.5" x14ac:dyDescent="0.25">
      <c r="D463" s="6"/>
      <c r="E463" s="1"/>
    </row>
    <row r="464" spans="4:5" ht="14.5" x14ac:dyDescent="0.25">
      <c r="D464" s="6"/>
      <c r="E464" s="1"/>
    </row>
    <row r="465" spans="4:5" ht="14.5" x14ac:dyDescent="0.25">
      <c r="D465" s="6"/>
      <c r="E465" s="1"/>
    </row>
    <row r="466" spans="4:5" ht="14.5" x14ac:dyDescent="0.25">
      <c r="D466" s="6"/>
      <c r="E466" s="1"/>
    </row>
    <row r="467" spans="4:5" ht="14.5" x14ac:dyDescent="0.25">
      <c r="D467" s="6"/>
      <c r="E467" s="1"/>
    </row>
    <row r="468" spans="4:5" ht="14.5" x14ac:dyDescent="0.25">
      <c r="D468" s="6"/>
      <c r="E468" s="1"/>
    </row>
    <row r="469" spans="4:5" ht="14.5" x14ac:dyDescent="0.25">
      <c r="D469" s="6"/>
      <c r="E469" s="1"/>
    </row>
    <row r="470" spans="4:5" ht="14.5" x14ac:dyDescent="0.25">
      <c r="D470" s="6"/>
      <c r="E470" s="1"/>
    </row>
    <row r="471" spans="4:5" ht="14.5" x14ac:dyDescent="0.25">
      <c r="D471" s="6"/>
      <c r="E471" s="1"/>
    </row>
    <row r="472" spans="4:5" ht="14.5" x14ac:dyDescent="0.25">
      <c r="D472" s="6"/>
      <c r="E472" s="1"/>
    </row>
    <row r="473" spans="4:5" ht="14.5" x14ac:dyDescent="0.25">
      <c r="D473" s="6"/>
      <c r="E473" s="1"/>
    </row>
    <row r="474" spans="4:5" ht="14.5" x14ac:dyDescent="0.25">
      <c r="D474" s="6"/>
      <c r="E474" s="1"/>
    </row>
    <row r="475" spans="4:5" ht="14.5" x14ac:dyDescent="0.25">
      <c r="D475" s="6"/>
      <c r="E475" s="1"/>
    </row>
    <row r="476" spans="4:5" ht="14.5" x14ac:dyDescent="0.25">
      <c r="D476" s="6"/>
      <c r="E476" s="1"/>
    </row>
    <row r="477" spans="4:5" ht="14.5" x14ac:dyDescent="0.25">
      <c r="D477" s="6"/>
      <c r="E477" s="1"/>
    </row>
    <row r="478" spans="4:5" ht="14.5" x14ac:dyDescent="0.25">
      <c r="D478" s="6"/>
      <c r="E478" s="1"/>
    </row>
    <row r="479" spans="4:5" ht="14.5" x14ac:dyDescent="0.25">
      <c r="D479" s="6"/>
      <c r="E479" s="1"/>
    </row>
    <row r="480" spans="4:5" ht="14.5" x14ac:dyDescent="0.25">
      <c r="D480" s="6"/>
      <c r="E480" s="1"/>
    </row>
    <row r="481" spans="4:5" ht="14.5" x14ac:dyDescent="0.25">
      <c r="D481" s="6"/>
      <c r="E481" s="1"/>
    </row>
    <row r="482" spans="4:5" ht="14.5" x14ac:dyDescent="0.25">
      <c r="D482" s="6"/>
      <c r="E482" s="1"/>
    </row>
    <row r="483" spans="4:5" ht="14.5" x14ac:dyDescent="0.25">
      <c r="D483" s="6"/>
      <c r="E483" s="1"/>
    </row>
    <row r="484" spans="4:5" ht="14.5" x14ac:dyDescent="0.25">
      <c r="D484" s="6"/>
      <c r="E484" s="1"/>
    </row>
    <row r="485" spans="4:5" ht="14.5" x14ac:dyDescent="0.25">
      <c r="D485" s="6"/>
      <c r="E485" s="1"/>
    </row>
    <row r="486" spans="4:5" ht="14.5" x14ac:dyDescent="0.25">
      <c r="D486" s="6"/>
      <c r="E486" s="1"/>
    </row>
    <row r="487" spans="4:5" ht="14.5" x14ac:dyDescent="0.25">
      <c r="D487" s="6"/>
      <c r="E487" s="1"/>
    </row>
    <row r="488" spans="4:5" ht="14.5" x14ac:dyDescent="0.25">
      <c r="D488" s="6"/>
      <c r="E488" s="1"/>
    </row>
    <row r="489" spans="4:5" ht="14.5" x14ac:dyDescent="0.25">
      <c r="D489" s="6"/>
      <c r="E489" s="1"/>
    </row>
    <row r="490" spans="4:5" ht="14.5" x14ac:dyDescent="0.25">
      <c r="D490" s="6"/>
      <c r="E490" s="1"/>
    </row>
    <row r="491" spans="4:5" ht="14.5" x14ac:dyDescent="0.25">
      <c r="D491" s="6"/>
      <c r="E491" s="1"/>
    </row>
    <row r="492" spans="4:5" ht="14.5" x14ac:dyDescent="0.25">
      <c r="D492" s="6"/>
      <c r="E492" s="1"/>
    </row>
    <row r="493" spans="4:5" ht="14.5" x14ac:dyDescent="0.25">
      <c r="D493" s="6"/>
      <c r="E493" s="1"/>
    </row>
    <row r="494" spans="4:5" ht="14.5" x14ac:dyDescent="0.25">
      <c r="D494" s="6"/>
      <c r="E494" s="1"/>
    </row>
    <row r="495" spans="4:5" ht="14.5" x14ac:dyDescent="0.25">
      <c r="D495" s="6"/>
      <c r="E495" s="1"/>
    </row>
    <row r="496" spans="4:5" ht="14.5" x14ac:dyDescent="0.25">
      <c r="D496" s="6"/>
      <c r="E496" s="1"/>
    </row>
    <row r="497" spans="4:5" ht="14.5" x14ac:dyDescent="0.25">
      <c r="D497" s="6"/>
      <c r="E497" s="1"/>
    </row>
    <row r="498" spans="4:5" ht="14.5" x14ac:dyDescent="0.25">
      <c r="D498" s="6"/>
      <c r="E498" s="1"/>
    </row>
    <row r="499" spans="4:5" ht="14.5" x14ac:dyDescent="0.25">
      <c r="D499" s="6"/>
      <c r="E499" s="1"/>
    </row>
    <row r="500" spans="4:5" ht="14.5" x14ac:dyDescent="0.25">
      <c r="D500" s="6"/>
      <c r="E500" s="1"/>
    </row>
    <row r="501" spans="4:5" ht="14.5" x14ac:dyDescent="0.25">
      <c r="D501" s="6"/>
      <c r="E501" s="1"/>
    </row>
    <row r="502" spans="4:5" ht="14.5" x14ac:dyDescent="0.25">
      <c r="D502" s="6"/>
      <c r="E502" s="1"/>
    </row>
    <row r="503" spans="4:5" ht="14.5" x14ac:dyDescent="0.25">
      <c r="D503" s="6"/>
      <c r="E503" s="1"/>
    </row>
    <row r="504" spans="4:5" ht="14.5" x14ac:dyDescent="0.25">
      <c r="D504" s="6"/>
      <c r="E504" s="1"/>
    </row>
    <row r="505" spans="4:5" ht="14.5" x14ac:dyDescent="0.25">
      <c r="D505" s="6"/>
      <c r="E505" s="1"/>
    </row>
    <row r="506" spans="4:5" ht="14.5" x14ac:dyDescent="0.25">
      <c r="D506" s="6"/>
      <c r="E506" s="1"/>
    </row>
    <row r="574" spans="4:5" ht="14.5" x14ac:dyDescent="0.25">
      <c r="D574" s="6"/>
      <c r="E574" s="1"/>
    </row>
    <row r="575" spans="4:5" ht="14.5" x14ac:dyDescent="0.25">
      <c r="D575" s="6"/>
      <c r="E575" s="1"/>
    </row>
    <row r="576" spans="4:5" ht="14.5" x14ac:dyDescent="0.25">
      <c r="D576" s="6"/>
      <c r="E576" s="1"/>
    </row>
    <row r="577" spans="4:5" ht="14.5" x14ac:dyDescent="0.25">
      <c r="D577" s="6"/>
      <c r="E577" s="1"/>
    </row>
    <row r="578" spans="4:5" ht="14.5" x14ac:dyDescent="0.25">
      <c r="D578" s="6"/>
      <c r="E578" s="1"/>
    </row>
    <row r="579" spans="4:5" ht="14.5" x14ac:dyDescent="0.25">
      <c r="D579" s="6"/>
      <c r="E579" s="1"/>
    </row>
    <row r="580" spans="4:5" ht="14.5" x14ac:dyDescent="0.25">
      <c r="D580" s="6"/>
      <c r="E580" s="1"/>
    </row>
    <row r="581" spans="4:5" ht="14.5" x14ac:dyDescent="0.25">
      <c r="D581" s="6"/>
      <c r="E581" s="1"/>
    </row>
    <row r="582" spans="4:5" ht="14.5" x14ac:dyDescent="0.25">
      <c r="D582" s="6"/>
      <c r="E582" s="1"/>
    </row>
    <row r="583" spans="4:5" ht="14.5" x14ac:dyDescent="0.25">
      <c r="D583" s="6"/>
      <c r="E583" s="1"/>
    </row>
    <row r="584" spans="4:5" ht="14.5" x14ac:dyDescent="0.25">
      <c r="D584" s="6"/>
      <c r="E584" s="1"/>
    </row>
    <row r="585" spans="4:5" ht="14.5" x14ac:dyDescent="0.25">
      <c r="D585" s="6"/>
      <c r="E585" s="1"/>
    </row>
    <row r="586" spans="4:5" ht="14.5" x14ac:dyDescent="0.25">
      <c r="D586" s="6"/>
      <c r="E586" s="1"/>
    </row>
    <row r="587" spans="4:5" ht="14.5" x14ac:dyDescent="0.25">
      <c r="D587" s="6"/>
      <c r="E587" s="1"/>
    </row>
    <row r="588" spans="4:5" ht="14.5" x14ac:dyDescent="0.25">
      <c r="D588" s="6"/>
      <c r="E588" s="1"/>
    </row>
    <row r="589" spans="4:5" ht="14.5" x14ac:dyDescent="0.25">
      <c r="D589" s="6"/>
      <c r="E589" s="1"/>
    </row>
    <row r="590" spans="4:5" ht="14.5" x14ac:dyDescent="0.25">
      <c r="D590" s="6"/>
      <c r="E590" s="1"/>
    </row>
    <row r="591" spans="4:5" ht="14.5" x14ac:dyDescent="0.25">
      <c r="D591" s="6"/>
      <c r="E591" s="1"/>
    </row>
    <row r="592" spans="4:5" ht="14.5" x14ac:dyDescent="0.25">
      <c r="D592" s="6"/>
      <c r="E592" s="1"/>
    </row>
    <row r="593" spans="4:5" ht="14.5" x14ac:dyDescent="0.25">
      <c r="D593" s="6"/>
      <c r="E593" s="1"/>
    </row>
    <row r="594" spans="4:5" ht="14.5" x14ac:dyDescent="0.25">
      <c r="D594" s="6"/>
      <c r="E594" s="1"/>
    </row>
    <row r="595" spans="4:5" ht="14.5" x14ac:dyDescent="0.25">
      <c r="D595" s="6"/>
      <c r="E595" s="1"/>
    </row>
    <row r="596" spans="4:5" ht="14.5" x14ac:dyDescent="0.25">
      <c r="D596" s="6"/>
      <c r="E596" s="1"/>
    </row>
    <row r="597" spans="4:5" ht="14.5" x14ac:dyDescent="0.25">
      <c r="D597" s="6"/>
      <c r="E597" s="1"/>
    </row>
    <row r="598" spans="4:5" ht="14.5" x14ac:dyDescent="0.25">
      <c r="D598" s="6"/>
      <c r="E598" s="1"/>
    </row>
  </sheetData>
  <phoneticPr fontId="8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H836"/>
  <sheetViews>
    <sheetView workbookViewId="0">
      <pane xSplit="1" ySplit="3" topLeftCell="BW36" activePane="bottomRight" state="frozen"/>
      <selection pane="topRight"/>
      <selection pane="bottomLeft"/>
      <selection pane="bottomRight" activeCell="CA59" sqref="CA59"/>
    </sheetView>
  </sheetViews>
  <sheetFormatPr defaultColWidth="9" defaultRowHeight="14.05" x14ac:dyDescent="0.25"/>
  <cols>
    <col min="1" max="1" width="21.08203125" customWidth="1"/>
    <col min="2" max="2" width="15.58203125" customWidth="1"/>
    <col min="3" max="3" width="7.75" customWidth="1"/>
    <col min="4" max="4" width="16.58203125" customWidth="1"/>
    <col min="5" max="5" width="16.83203125" customWidth="1"/>
    <col min="6" max="6" width="31.33203125" customWidth="1"/>
    <col min="7" max="7" width="7.33203125" customWidth="1"/>
    <col min="8" max="8" width="17.83203125" customWidth="1"/>
    <col min="9" max="9" width="7.33203125" customWidth="1"/>
    <col min="10" max="10" width="15.75" customWidth="1"/>
    <col min="11" max="13" width="8.33203125" style="3" customWidth="1"/>
    <col min="14" max="14" width="11.75" style="3" customWidth="1"/>
    <col min="15" max="15" width="13.08203125" style="3" customWidth="1"/>
    <col min="16" max="16" width="11.58203125" style="3" customWidth="1"/>
    <col min="17" max="17" width="21.5" style="3" customWidth="1"/>
    <col min="18" max="18" width="19.83203125" style="3" customWidth="1"/>
    <col min="19" max="19" width="16.58203125" style="3" customWidth="1"/>
    <col min="20" max="20" width="19.08203125" style="3" customWidth="1"/>
    <col min="21" max="21" width="18.33203125" style="3" customWidth="1"/>
    <col min="22" max="22" width="17.75" style="3" bestFit="1" customWidth="1"/>
    <col min="23" max="23" width="8.33203125" style="3" customWidth="1"/>
    <col min="24" max="24" width="18.5" style="3" customWidth="1"/>
    <col min="25" max="25" width="16.58203125" customWidth="1"/>
    <col min="26" max="26" width="10.6640625" customWidth="1"/>
    <col min="27" max="27" width="8.33203125" customWidth="1"/>
    <col min="28" max="28" width="15.1640625" customWidth="1"/>
    <col min="29" max="30" width="8.58203125" customWidth="1"/>
    <col min="31" max="31" width="13.4140625" customWidth="1"/>
    <col min="32" max="32" width="13.75" customWidth="1"/>
    <col min="33" max="33" width="14.58203125" customWidth="1"/>
    <col min="34" max="34" width="17.4140625" customWidth="1"/>
    <col min="35" max="35" width="8.58203125" customWidth="1"/>
    <col min="36" max="36" width="12.5" customWidth="1"/>
    <col min="37" max="37" width="8.58203125" customWidth="1"/>
    <col min="38" max="39" width="8.33203125" customWidth="1"/>
    <col min="40" max="40" width="15" customWidth="1"/>
    <col min="41" max="41" width="13.25" customWidth="1"/>
    <col min="42" max="43" width="11.83203125" customWidth="1"/>
    <col min="44" max="44" width="18.4140625" customWidth="1"/>
    <col min="45" max="45" width="12.25" customWidth="1"/>
    <col min="46" max="46" width="11.9140625" customWidth="1"/>
    <col min="47" max="47" width="19.58203125" customWidth="1"/>
    <col min="48" max="48" width="12.6640625" customWidth="1"/>
    <col min="50" max="50" width="7" customWidth="1"/>
    <col min="51" max="51" width="11.75" customWidth="1"/>
    <col min="52" max="52" width="19.75" customWidth="1"/>
    <col min="53" max="53" width="5.08203125" customWidth="1"/>
    <col min="54" max="54" width="8.5" customWidth="1"/>
    <col min="55" max="55" width="13.5" customWidth="1"/>
    <col min="56" max="56" width="14.6640625" customWidth="1"/>
    <col min="57" max="57" width="10.1640625" customWidth="1"/>
    <col min="58" max="58" width="8.25" customWidth="1"/>
    <col min="59" max="65" width="8.33203125" customWidth="1"/>
    <col min="66" max="68" width="11.25" customWidth="1"/>
    <col min="69" max="69" width="6.58203125" customWidth="1"/>
    <col min="70" max="71" width="8" customWidth="1"/>
    <col min="72" max="72" width="7.33203125" style="4" customWidth="1"/>
    <col min="73" max="74" width="8.5" style="4" customWidth="1"/>
    <col min="75" max="76" width="7.83203125" style="4" customWidth="1"/>
    <col min="77" max="77" width="22.1640625" style="4" customWidth="1"/>
    <col min="78" max="78" width="13.5" customWidth="1"/>
    <col min="79" max="79" width="21.1640625" customWidth="1"/>
    <col min="80" max="80" width="15.75" customWidth="1"/>
    <col min="81" max="81" width="15.58203125" customWidth="1"/>
    <col min="82" max="82" width="12.83203125" customWidth="1"/>
    <col min="83" max="83" width="16.1640625" customWidth="1"/>
    <col min="85" max="85" width="16" customWidth="1"/>
    <col min="86" max="87" width="12.83203125" customWidth="1"/>
    <col min="88" max="88" width="23.58203125" customWidth="1"/>
    <col min="89" max="89" width="12.83203125" customWidth="1"/>
    <col min="90" max="90" width="17.08203125" customWidth="1"/>
    <col min="97" max="97" width="14" customWidth="1"/>
    <col min="98" max="98" width="8" customWidth="1"/>
    <col min="100" max="100" width="11.08203125" customWidth="1"/>
    <col min="101" max="101" width="13.75" customWidth="1"/>
    <col min="108" max="108" width="15.5" customWidth="1"/>
    <col min="112" max="112" width="9" hidden="1" customWidth="1"/>
  </cols>
  <sheetData>
    <row r="1" spans="1:111" x14ac:dyDescent="0.25">
      <c r="B1" t="s">
        <v>129</v>
      </c>
      <c r="D1" t="s">
        <v>130</v>
      </c>
      <c r="E1" t="s">
        <v>131</v>
      </c>
      <c r="F1" t="s">
        <v>132</v>
      </c>
      <c r="G1" t="s">
        <v>133</v>
      </c>
      <c r="H1" s="8" t="s">
        <v>447</v>
      </c>
      <c r="I1" t="s">
        <v>134</v>
      </c>
      <c r="J1" t="s">
        <v>135</v>
      </c>
      <c r="K1" s="3" t="s">
        <v>136</v>
      </c>
      <c r="L1" s="3" t="s">
        <v>137</v>
      </c>
      <c r="M1" s="3" t="s">
        <v>138</v>
      </c>
      <c r="N1" s="3" t="s">
        <v>139</v>
      </c>
      <c r="O1" s="3" t="s">
        <v>140</v>
      </c>
      <c r="P1" s="3" t="s">
        <v>141</v>
      </c>
      <c r="Q1" s="3" t="s">
        <v>142</v>
      </c>
      <c r="R1" s="3" t="s">
        <v>143</v>
      </c>
      <c r="S1" s="3" t="s">
        <v>144</v>
      </c>
      <c r="T1" s="3" t="s">
        <v>145</v>
      </c>
      <c r="U1" s="3" t="s">
        <v>145</v>
      </c>
      <c r="V1" s="3" t="s">
        <v>146</v>
      </c>
      <c r="W1" s="3" t="s">
        <v>147</v>
      </c>
      <c r="X1" s="3" t="s">
        <v>148</v>
      </c>
      <c r="Y1" t="s">
        <v>149</v>
      </c>
      <c r="Z1" t="s">
        <v>150</v>
      </c>
      <c r="AA1" s="3" t="s">
        <v>151</v>
      </c>
      <c r="AB1" t="s">
        <v>152</v>
      </c>
      <c r="AC1" t="s">
        <v>153</v>
      </c>
      <c r="AD1" t="s">
        <v>154</v>
      </c>
      <c r="AE1" t="s">
        <v>155</v>
      </c>
      <c r="AF1" t="s">
        <v>156</v>
      </c>
      <c r="AG1" t="s">
        <v>157</v>
      </c>
      <c r="AH1" t="s">
        <v>158</v>
      </c>
      <c r="AI1" t="s">
        <v>159</v>
      </c>
      <c r="AJ1" t="s">
        <v>160</v>
      </c>
      <c r="AK1" t="s">
        <v>161</v>
      </c>
      <c r="AL1" t="s">
        <v>162</v>
      </c>
      <c r="AM1" t="s">
        <v>163</v>
      </c>
      <c r="AN1" t="s">
        <v>164</v>
      </c>
      <c r="AO1" t="s">
        <v>165</v>
      </c>
      <c r="AP1" t="s">
        <v>166</v>
      </c>
      <c r="AQ1" t="s">
        <v>167</v>
      </c>
      <c r="AR1" t="s">
        <v>168</v>
      </c>
      <c r="AS1" t="s">
        <v>169</v>
      </c>
      <c r="AT1" t="s">
        <v>170</v>
      </c>
      <c r="AU1" t="s">
        <v>171</v>
      </c>
      <c r="AV1" t="s">
        <v>172</v>
      </c>
      <c r="AW1" t="s">
        <v>173</v>
      </c>
      <c r="AX1" t="s">
        <v>174</v>
      </c>
      <c r="AY1" t="s">
        <v>175</v>
      </c>
      <c r="AZ1" s="8" t="s">
        <v>482</v>
      </c>
      <c r="BA1" t="s">
        <v>176</v>
      </c>
      <c r="BB1" t="s">
        <v>177</v>
      </c>
      <c r="BC1" t="s">
        <v>178</v>
      </c>
      <c r="BD1" t="s">
        <v>179</v>
      </c>
      <c r="BE1" t="s">
        <v>180</v>
      </c>
      <c r="BF1" t="s">
        <v>181</v>
      </c>
      <c r="BH1" t="s">
        <v>181</v>
      </c>
      <c r="BI1" t="s">
        <v>182</v>
      </c>
      <c r="BJ1" t="s">
        <v>183</v>
      </c>
      <c r="BK1" t="s">
        <v>184</v>
      </c>
      <c r="BL1" t="s">
        <v>185</v>
      </c>
      <c r="BM1" t="s">
        <v>186</v>
      </c>
      <c r="BN1" t="s">
        <v>187</v>
      </c>
      <c r="BO1" t="s">
        <v>188</v>
      </c>
      <c r="BP1" t="s">
        <v>189</v>
      </c>
      <c r="BQ1" t="s">
        <v>190</v>
      </c>
      <c r="BR1" t="s">
        <v>191</v>
      </c>
      <c r="BS1" s="8" t="s">
        <v>439</v>
      </c>
      <c r="BT1" s="4" t="s">
        <v>442</v>
      </c>
      <c r="BU1" s="4" t="s">
        <v>192</v>
      </c>
      <c r="BV1" s="4" t="s">
        <v>193</v>
      </c>
      <c r="BW1" s="4" t="s">
        <v>194</v>
      </c>
      <c r="BX1" s="4" t="s">
        <v>195</v>
      </c>
      <c r="BY1" s="4" t="s">
        <v>196</v>
      </c>
      <c r="BZ1" t="s">
        <v>197</v>
      </c>
      <c r="CA1" s="4" t="s">
        <v>198</v>
      </c>
      <c r="CB1" t="s">
        <v>199</v>
      </c>
      <c r="CC1" t="s">
        <v>200</v>
      </c>
      <c r="CD1" t="s">
        <v>201</v>
      </c>
      <c r="CE1" t="s">
        <v>202</v>
      </c>
      <c r="CF1" t="s">
        <v>203</v>
      </c>
      <c r="CG1" t="s">
        <v>204</v>
      </c>
      <c r="CH1" t="s">
        <v>205</v>
      </c>
      <c r="CI1" t="s">
        <v>206</v>
      </c>
      <c r="CJ1" s="8" t="s">
        <v>444</v>
      </c>
      <c r="CK1" t="s">
        <v>207</v>
      </c>
      <c r="CL1" t="s">
        <v>208</v>
      </c>
      <c r="CM1" t="s">
        <v>209</v>
      </c>
      <c r="CN1" t="s">
        <v>210</v>
      </c>
      <c r="CO1" t="s">
        <v>211</v>
      </c>
      <c r="CP1" t="s">
        <v>191</v>
      </c>
      <c r="CQ1" t="s">
        <v>212</v>
      </c>
      <c r="CR1" t="s">
        <v>213</v>
      </c>
      <c r="CS1" t="s">
        <v>214</v>
      </c>
      <c r="CT1" t="s">
        <v>215</v>
      </c>
      <c r="CU1" t="s">
        <v>216</v>
      </c>
      <c r="CV1" t="s">
        <v>217</v>
      </c>
      <c r="CW1" t="s">
        <v>218</v>
      </c>
      <c r="CX1" t="s">
        <v>217</v>
      </c>
      <c r="CY1" t="s">
        <v>219</v>
      </c>
      <c r="CZ1" t="s">
        <v>220</v>
      </c>
      <c r="DA1" t="s">
        <v>221</v>
      </c>
      <c r="DB1" t="s">
        <v>222</v>
      </c>
      <c r="DC1" t="s">
        <v>223</v>
      </c>
      <c r="DD1" t="s">
        <v>224</v>
      </c>
      <c r="DE1" t="s">
        <v>225</v>
      </c>
      <c r="DF1" t="s">
        <v>226</v>
      </c>
      <c r="DG1" t="s">
        <v>227</v>
      </c>
    </row>
    <row r="2" spans="1:111" x14ac:dyDescent="0.25">
      <c r="A2" t="s">
        <v>0</v>
      </c>
      <c r="C2" t="s">
        <v>46</v>
      </c>
      <c r="D2" t="s">
        <v>75</v>
      </c>
      <c r="E2" t="s">
        <v>228</v>
      </c>
      <c r="F2" t="s">
        <v>229</v>
      </c>
      <c r="G2" t="s">
        <v>51</v>
      </c>
      <c r="H2" s="8" t="s">
        <v>448</v>
      </c>
      <c r="I2" t="s">
        <v>230</v>
      </c>
      <c r="J2" t="s">
        <v>231</v>
      </c>
      <c r="K2" s="3" t="s">
        <v>232</v>
      </c>
      <c r="L2" s="3" t="s">
        <v>233</v>
      </c>
      <c r="M2" s="3" t="s">
        <v>234</v>
      </c>
      <c r="N2" s="3" t="s">
        <v>235</v>
      </c>
      <c r="O2" s="3" t="s">
        <v>236</v>
      </c>
      <c r="P2" s="3" t="s">
        <v>237</v>
      </c>
      <c r="Q2" s="3" t="s">
        <v>238</v>
      </c>
      <c r="R2" s="3" t="s">
        <v>239</v>
      </c>
      <c r="S2" s="3" t="s">
        <v>240</v>
      </c>
      <c r="T2" s="3" t="s">
        <v>241</v>
      </c>
      <c r="U2" s="3" t="s">
        <v>242</v>
      </c>
      <c r="V2" s="3" t="s">
        <v>243</v>
      </c>
      <c r="W2" s="3" t="s">
        <v>244</v>
      </c>
      <c r="X2" s="3" t="s">
        <v>245</v>
      </c>
      <c r="Y2" t="s">
        <v>246</v>
      </c>
      <c r="Z2" t="s">
        <v>247</v>
      </c>
      <c r="AA2" s="3" t="s">
        <v>248</v>
      </c>
      <c r="AB2" t="s">
        <v>249</v>
      </c>
      <c r="AC2" t="s">
        <v>250</v>
      </c>
      <c r="AD2" t="s">
        <v>251</v>
      </c>
      <c r="AE2" t="s">
        <v>252</v>
      </c>
      <c r="AF2" t="s">
        <v>253</v>
      </c>
      <c r="AG2" t="s">
        <v>254</v>
      </c>
      <c r="AH2" t="s">
        <v>255</v>
      </c>
      <c r="AI2" t="s">
        <v>256</v>
      </c>
      <c r="AJ2" t="s">
        <v>257</v>
      </c>
      <c r="AK2" t="s">
        <v>258</v>
      </c>
      <c r="AL2" t="s">
        <v>259</v>
      </c>
      <c r="AM2" t="s">
        <v>260</v>
      </c>
      <c r="AN2" t="s">
        <v>261</v>
      </c>
      <c r="AO2" t="s">
        <v>262</v>
      </c>
      <c r="AP2" t="s">
        <v>263</v>
      </c>
      <c r="AQ2" t="s">
        <v>264</v>
      </c>
      <c r="AR2" t="s">
        <v>265</v>
      </c>
      <c r="AS2" t="s">
        <v>266</v>
      </c>
      <c r="AT2" t="s">
        <v>267</v>
      </c>
      <c r="AU2" t="s">
        <v>268</v>
      </c>
      <c r="AV2" t="s">
        <v>269</v>
      </c>
      <c r="AW2" t="s">
        <v>270</v>
      </c>
      <c r="AX2" t="s">
        <v>271</v>
      </c>
      <c r="AY2" t="s">
        <v>272</v>
      </c>
      <c r="AZ2" t="s">
        <v>273</v>
      </c>
      <c r="BA2" t="s">
        <v>274</v>
      </c>
      <c r="BB2" t="s">
        <v>275</v>
      </c>
      <c r="BC2" t="s">
        <v>276</v>
      </c>
      <c r="BD2" t="s">
        <v>277</v>
      </c>
      <c r="BE2" t="s">
        <v>278</v>
      </c>
      <c r="BF2" t="s">
        <v>279</v>
      </c>
      <c r="BG2" t="s">
        <v>280</v>
      </c>
      <c r="BH2" t="s">
        <v>281</v>
      </c>
      <c r="BI2" t="s">
        <v>282</v>
      </c>
      <c r="BJ2" t="s">
        <v>283</v>
      </c>
      <c r="BK2" t="s">
        <v>284</v>
      </c>
      <c r="BL2" t="s">
        <v>285</v>
      </c>
      <c r="BM2" t="s">
        <v>77</v>
      </c>
      <c r="BN2" t="s">
        <v>286</v>
      </c>
      <c r="BO2" t="s">
        <v>287</v>
      </c>
      <c r="BP2" t="s">
        <v>288</v>
      </c>
      <c r="BQ2" t="s">
        <v>289</v>
      </c>
      <c r="BR2" t="s">
        <v>290</v>
      </c>
      <c r="BS2" s="8" t="s">
        <v>440</v>
      </c>
      <c r="BT2" s="4" t="s">
        <v>443</v>
      </c>
      <c r="BU2" s="4" t="s">
        <v>291</v>
      </c>
      <c r="BV2" s="4" t="s">
        <v>292</v>
      </c>
      <c r="BW2" s="4" t="s">
        <v>293</v>
      </c>
      <c r="BX2" s="4" t="s">
        <v>294</v>
      </c>
      <c r="BY2" s="4" t="s">
        <v>295</v>
      </c>
      <c r="BZ2" t="s">
        <v>296</v>
      </c>
      <c r="CA2" t="s">
        <v>297</v>
      </c>
      <c r="CB2" t="s">
        <v>298</v>
      </c>
      <c r="CC2" t="s">
        <v>299</v>
      </c>
      <c r="CD2" t="s">
        <v>300</v>
      </c>
      <c r="CE2" t="s">
        <v>301</v>
      </c>
      <c r="CF2" t="s">
        <v>302</v>
      </c>
      <c r="CG2" t="s">
        <v>303</v>
      </c>
      <c r="CH2" t="s">
        <v>304</v>
      </c>
      <c r="CI2" t="s">
        <v>305</v>
      </c>
      <c r="CJ2" s="8" t="s">
        <v>445</v>
      </c>
      <c r="CK2" t="s">
        <v>306</v>
      </c>
      <c r="CL2" t="s">
        <v>307</v>
      </c>
      <c r="CM2" t="s">
        <v>308</v>
      </c>
      <c r="CN2" t="s">
        <v>309</v>
      </c>
      <c r="CO2" t="s">
        <v>310</v>
      </c>
      <c r="CP2" t="s">
        <v>311</v>
      </c>
      <c r="CQ2" t="s">
        <v>312</v>
      </c>
      <c r="CR2" t="s">
        <v>313</v>
      </c>
      <c r="CS2" t="s">
        <v>314</v>
      </c>
      <c r="CT2" t="s">
        <v>315</v>
      </c>
      <c r="CU2" t="s">
        <v>316</v>
      </c>
      <c r="CV2" t="s">
        <v>317</v>
      </c>
      <c r="CW2" t="s">
        <v>318</v>
      </c>
      <c r="CX2" t="s">
        <v>319</v>
      </c>
      <c r="CY2" t="s">
        <v>320</v>
      </c>
      <c r="CZ2" t="s">
        <v>321</v>
      </c>
      <c r="DA2" t="s">
        <v>322</v>
      </c>
      <c r="DB2" t="s">
        <v>323</v>
      </c>
      <c r="DC2" t="s">
        <v>324</v>
      </c>
      <c r="DD2" t="s">
        <v>325</v>
      </c>
      <c r="DE2" t="s">
        <v>326</v>
      </c>
      <c r="DF2" t="s">
        <v>327</v>
      </c>
      <c r="DG2" t="s">
        <v>328</v>
      </c>
    </row>
    <row r="3" spans="1:111" x14ac:dyDescent="0.25">
      <c r="A3" t="s">
        <v>2</v>
      </c>
      <c r="C3" t="s">
        <v>2</v>
      </c>
      <c r="D3" t="s">
        <v>2</v>
      </c>
      <c r="E3" t="s">
        <v>2</v>
      </c>
      <c r="F3" t="s">
        <v>2</v>
      </c>
      <c r="G3" t="s">
        <v>114</v>
      </c>
      <c r="H3" s="8" t="s">
        <v>449</v>
      </c>
      <c r="I3" t="s">
        <v>112</v>
      </c>
      <c r="J3" t="s">
        <v>329</v>
      </c>
      <c r="K3" s="3" t="s">
        <v>330</v>
      </c>
      <c r="L3" s="3" t="s">
        <v>436</v>
      </c>
      <c r="M3" s="3" t="s">
        <v>114</v>
      </c>
      <c r="N3" s="3" t="s">
        <v>114</v>
      </c>
      <c r="O3" s="3" t="s">
        <v>116</v>
      </c>
      <c r="P3" s="3" t="s">
        <v>116</v>
      </c>
      <c r="Q3" s="3" t="s">
        <v>116</v>
      </c>
      <c r="R3" s="3" t="s">
        <v>116</v>
      </c>
      <c r="S3" s="3" t="s">
        <v>112</v>
      </c>
      <c r="T3" s="3" t="s">
        <v>113</v>
      </c>
      <c r="U3" s="3" t="s">
        <v>113</v>
      </c>
      <c r="V3" s="3" t="s">
        <v>113</v>
      </c>
      <c r="W3" s="3" t="s">
        <v>112</v>
      </c>
      <c r="X3" s="3" t="s">
        <v>112</v>
      </c>
      <c r="Y3" t="s">
        <v>112</v>
      </c>
      <c r="Z3" t="s">
        <v>112</v>
      </c>
      <c r="AA3" s="3" t="s">
        <v>113</v>
      </c>
      <c r="AB3" t="s">
        <v>112</v>
      </c>
      <c r="AC3" t="s">
        <v>114</v>
      </c>
      <c r="AD3" t="s">
        <v>112</v>
      </c>
      <c r="AE3" t="s">
        <v>112</v>
      </c>
      <c r="AF3" t="s">
        <v>112</v>
      </c>
      <c r="AG3" t="s">
        <v>331</v>
      </c>
      <c r="AH3" t="s">
        <v>112</v>
      </c>
      <c r="AI3" t="s">
        <v>118</v>
      </c>
      <c r="AJ3" t="s">
        <v>3</v>
      </c>
      <c r="AK3" t="s">
        <v>114</v>
      </c>
      <c r="AL3" t="s">
        <v>114</v>
      </c>
      <c r="AM3" t="s">
        <v>114</v>
      </c>
      <c r="AN3" t="s">
        <v>112</v>
      </c>
      <c r="AO3" t="s">
        <v>332</v>
      </c>
      <c r="AP3" t="s">
        <v>333</v>
      </c>
      <c r="AQ3" t="s">
        <v>2</v>
      </c>
      <c r="AR3" t="s">
        <v>334</v>
      </c>
      <c r="AS3" t="s">
        <v>112</v>
      </c>
      <c r="AT3" t="s">
        <v>113</v>
      </c>
      <c r="AU3" t="s">
        <v>112</v>
      </c>
      <c r="AV3" t="s">
        <v>335</v>
      </c>
      <c r="AW3" t="s">
        <v>112</v>
      </c>
      <c r="AX3" t="s">
        <v>113</v>
      </c>
      <c r="AY3" t="s">
        <v>112</v>
      </c>
      <c r="AZ3" t="s">
        <v>114</v>
      </c>
      <c r="BA3" t="s">
        <v>113</v>
      </c>
      <c r="BB3" t="s">
        <v>114</v>
      </c>
      <c r="BC3" t="s">
        <v>114</v>
      </c>
      <c r="BD3" t="s">
        <v>113</v>
      </c>
      <c r="BE3" t="s">
        <v>112</v>
      </c>
      <c r="BF3" t="s">
        <v>334</v>
      </c>
      <c r="BG3" t="s">
        <v>112</v>
      </c>
      <c r="BH3" t="s">
        <v>113</v>
      </c>
      <c r="BI3" t="s">
        <v>113</v>
      </c>
      <c r="BJ3" t="s">
        <v>113</v>
      </c>
      <c r="BK3" t="s">
        <v>114</v>
      </c>
      <c r="BL3" t="s">
        <v>114</v>
      </c>
      <c r="BM3" t="s">
        <v>115</v>
      </c>
      <c r="BN3" t="s">
        <v>115</v>
      </c>
      <c r="BO3" t="s">
        <v>336</v>
      </c>
      <c r="BP3" t="s">
        <v>337</v>
      </c>
      <c r="BQ3" t="s">
        <v>113</v>
      </c>
      <c r="BR3" t="s">
        <v>113</v>
      </c>
      <c r="BS3" s="8" t="s">
        <v>441</v>
      </c>
      <c r="BT3" s="4" t="s">
        <v>113</v>
      </c>
      <c r="BU3" s="4" t="s">
        <v>113</v>
      </c>
      <c r="BV3" s="4" t="s">
        <v>114</v>
      </c>
      <c r="BW3" s="4" t="s">
        <v>338</v>
      </c>
      <c r="BX3" s="4" t="s">
        <v>112</v>
      </c>
      <c r="BY3" s="4" t="s">
        <v>338</v>
      </c>
      <c r="BZ3" t="s">
        <v>120</v>
      </c>
      <c r="CA3" t="s">
        <v>339</v>
      </c>
      <c r="CB3" t="s">
        <v>120</v>
      </c>
      <c r="CC3" t="s">
        <v>120</v>
      </c>
      <c r="CD3" t="s">
        <v>120</v>
      </c>
      <c r="CE3" t="s">
        <v>340</v>
      </c>
      <c r="CF3" t="s">
        <v>341</v>
      </c>
      <c r="CG3" t="s">
        <v>2</v>
      </c>
      <c r="CH3" t="s">
        <v>342</v>
      </c>
      <c r="CI3" t="s">
        <v>342</v>
      </c>
      <c r="CJ3" s="8" t="s">
        <v>446</v>
      </c>
      <c r="CK3" t="s">
        <v>116</v>
      </c>
      <c r="CL3" t="s">
        <v>116</v>
      </c>
      <c r="CM3" t="s">
        <v>119</v>
      </c>
      <c r="CN3" t="s">
        <v>119</v>
      </c>
      <c r="CO3" t="s">
        <v>119</v>
      </c>
      <c r="CP3" t="s">
        <v>339</v>
      </c>
      <c r="CQ3" t="s">
        <v>119</v>
      </c>
      <c r="CR3" t="s">
        <v>112</v>
      </c>
      <c r="CS3" t="s">
        <v>121</v>
      </c>
      <c r="CT3" t="s">
        <v>343</v>
      </c>
      <c r="CU3" t="s">
        <v>344</v>
      </c>
      <c r="CV3" t="s">
        <v>344</v>
      </c>
      <c r="CW3" t="s">
        <v>343</v>
      </c>
      <c r="CX3" t="s">
        <v>343</v>
      </c>
      <c r="CY3" t="s">
        <v>343</v>
      </c>
      <c r="CZ3" t="s">
        <v>343</v>
      </c>
      <c r="DA3" t="s">
        <v>343</v>
      </c>
      <c r="DB3" t="s">
        <v>112</v>
      </c>
      <c r="DC3" t="s">
        <v>112</v>
      </c>
      <c r="DD3" t="s">
        <v>112</v>
      </c>
      <c r="DE3" t="s">
        <v>112</v>
      </c>
      <c r="DF3" t="s">
        <v>112</v>
      </c>
      <c r="DG3" t="s">
        <v>112</v>
      </c>
    </row>
    <row r="4" spans="1:111" s="2" customFormat="1" x14ac:dyDescent="0.25">
      <c r="A4" s="2" t="s">
        <v>345</v>
      </c>
    </row>
    <row r="5" spans="1:111" x14ac:dyDescent="0.25">
      <c r="A5" s="8"/>
      <c r="C5" s="8"/>
      <c r="K5" s="9"/>
      <c r="L5" s="9"/>
      <c r="BM5" s="8"/>
      <c r="CS5" s="8"/>
    </row>
    <row r="6" spans="1:111" x14ac:dyDescent="0.25">
      <c r="A6" s="8" t="s">
        <v>474</v>
      </c>
      <c r="C6" s="8" t="s">
        <v>405</v>
      </c>
      <c r="K6" s="9" t="s">
        <v>422</v>
      </c>
      <c r="O6" s="9"/>
      <c r="P6"/>
      <c r="AC6">
        <v>2</v>
      </c>
      <c r="AO6" s="8" t="s">
        <v>423</v>
      </c>
      <c r="AR6" t="s">
        <v>433</v>
      </c>
      <c r="AV6" t="s">
        <v>349</v>
      </c>
      <c r="AX6">
        <v>1</v>
      </c>
      <c r="BB6">
        <v>1</v>
      </c>
      <c r="BZ6" s="8" t="s">
        <v>424</v>
      </c>
      <c r="CE6" s="8" t="s">
        <v>425</v>
      </c>
      <c r="CF6" s="8" t="s">
        <v>479</v>
      </c>
      <c r="CG6" t="s">
        <v>475</v>
      </c>
      <c r="CJ6" s="8" t="s">
        <v>450</v>
      </c>
      <c r="CK6" s="8"/>
      <c r="CW6" t="s">
        <v>353</v>
      </c>
    </row>
    <row r="7" spans="1:111" x14ac:dyDescent="0.25">
      <c r="A7" s="8" t="s">
        <v>477</v>
      </c>
      <c r="C7" s="8" t="s">
        <v>405</v>
      </c>
      <c r="J7" s="8" t="s">
        <v>555</v>
      </c>
      <c r="K7" s="3" t="s">
        <v>420</v>
      </c>
      <c r="O7"/>
      <c r="AC7">
        <v>2</v>
      </c>
      <c r="AD7">
        <v>1</v>
      </c>
      <c r="AO7" s="8" t="s">
        <v>478</v>
      </c>
      <c r="AT7">
        <v>2.5</v>
      </c>
      <c r="BZ7" s="8"/>
      <c r="CE7" s="8"/>
    </row>
    <row r="8" spans="1:111" x14ac:dyDescent="0.25">
      <c r="A8" s="8" t="s">
        <v>484</v>
      </c>
      <c r="C8" s="8" t="s">
        <v>485</v>
      </c>
      <c r="K8" s="3" t="s">
        <v>420</v>
      </c>
      <c r="L8" s="3" t="s">
        <v>486</v>
      </c>
      <c r="AC8">
        <v>2</v>
      </c>
      <c r="AG8" s="8"/>
      <c r="AO8" s="8" t="s">
        <v>423</v>
      </c>
      <c r="AV8" s="8" t="s">
        <v>481</v>
      </c>
      <c r="AX8">
        <v>0</v>
      </c>
      <c r="AZ8">
        <v>2</v>
      </c>
      <c r="BB8">
        <v>1</v>
      </c>
      <c r="CE8" s="8"/>
      <c r="CJ8" s="8" t="s">
        <v>487</v>
      </c>
      <c r="CL8" s="8"/>
      <c r="CM8" s="8"/>
      <c r="CW8" t="s">
        <v>483</v>
      </c>
    </row>
    <row r="9" spans="1:111" x14ac:dyDescent="0.25">
      <c r="A9" s="8"/>
      <c r="C9" s="8"/>
      <c r="K9" s="9"/>
      <c r="L9" s="9"/>
      <c r="AG9" s="8"/>
      <c r="AJ9" s="8"/>
      <c r="AO9" s="8"/>
      <c r="BT9"/>
      <c r="CJ9" s="3"/>
      <c r="CL9" s="8"/>
      <c r="CM9" s="8"/>
    </row>
    <row r="10" spans="1:111" x14ac:dyDescent="0.25">
      <c r="A10" s="8" t="s">
        <v>458</v>
      </c>
      <c r="C10" s="8" t="s">
        <v>438</v>
      </c>
      <c r="K10" s="3" t="s">
        <v>420</v>
      </c>
      <c r="L10" s="3" t="s">
        <v>426</v>
      </c>
      <c r="AC10">
        <v>1</v>
      </c>
      <c r="AF10">
        <v>1</v>
      </c>
      <c r="AG10" s="8" t="s">
        <v>421</v>
      </c>
      <c r="BB10">
        <v>1</v>
      </c>
      <c r="CJ10" s="3"/>
      <c r="CS10" s="8" t="s">
        <v>467</v>
      </c>
      <c r="DB10">
        <v>1</v>
      </c>
      <c r="DE10">
        <v>1</v>
      </c>
      <c r="DF10">
        <v>1</v>
      </c>
    </row>
    <row r="11" spans="1:111" x14ac:dyDescent="0.25">
      <c r="A11" s="8" t="s">
        <v>453</v>
      </c>
      <c r="C11" s="8" t="s">
        <v>405</v>
      </c>
      <c r="I11">
        <v>1</v>
      </c>
      <c r="J11" s="8" t="s">
        <v>459</v>
      </c>
      <c r="K11" s="3" t="s">
        <v>422</v>
      </c>
      <c r="AC11">
        <v>1</v>
      </c>
      <c r="AG11" s="8" t="s">
        <v>421</v>
      </c>
      <c r="AJ11" s="8"/>
      <c r="AT11">
        <v>99</v>
      </c>
      <c r="AV11" s="8" t="s">
        <v>435</v>
      </c>
      <c r="AX11">
        <v>99999</v>
      </c>
      <c r="AZ11">
        <v>2</v>
      </c>
      <c r="BB11">
        <v>1</v>
      </c>
      <c r="BR11">
        <v>0.2</v>
      </c>
      <c r="BT11">
        <v>0</v>
      </c>
      <c r="BU11" s="4">
        <v>5</v>
      </c>
      <c r="BV11" s="4">
        <v>1</v>
      </c>
      <c r="BW11" s="4" t="s">
        <v>422</v>
      </c>
      <c r="CE11" s="8" t="s">
        <v>427</v>
      </c>
      <c r="CJ11" s="3"/>
      <c r="CL11" s="8"/>
      <c r="DB11">
        <v>1</v>
      </c>
      <c r="DE11">
        <v>1</v>
      </c>
      <c r="DF11">
        <v>1</v>
      </c>
    </row>
    <row r="12" spans="1:111" x14ac:dyDescent="0.25">
      <c r="A12" s="8" t="s">
        <v>455</v>
      </c>
      <c r="C12" s="8" t="s">
        <v>456</v>
      </c>
      <c r="I12">
        <v>1</v>
      </c>
      <c r="K12" s="3" t="s">
        <v>420</v>
      </c>
      <c r="L12" s="3" t="s">
        <v>426</v>
      </c>
      <c r="AC12">
        <v>2</v>
      </c>
      <c r="AO12" s="8" t="s">
        <v>423</v>
      </c>
      <c r="AR12" t="s">
        <v>454</v>
      </c>
      <c r="BB12">
        <v>4</v>
      </c>
      <c r="BR12">
        <v>0.2</v>
      </c>
      <c r="CJ12" s="3"/>
      <c r="CS12" s="8" t="s">
        <v>465</v>
      </c>
      <c r="CW12" s="8" t="s">
        <v>457</v>
      </c>
    </row>
    <row r="13" spans="1:111" x14ac:dyDescent="0.25">
      <c r="A13" s="8"/>
      <c r="C13" s="8"/>
      <c r="AO13" s="8"/>
      <c r="CJ13" s="3"/>
      <c r="CS13" s="8"/>
      <c r="CW13" s="8"/>
    </row>
    <row r="14" spans="1:111" x14ac:dyDescent="0.25">
      <c r="A14" s="8" t="s">
        <v>489</v>
      </c>
      <c r="C14" t="s">
        <v>346</v>
      </c>
      <c r="I14">
        <v>1</v>
      </c>
      <c r="J14" s="12" t="s">
        <v>490</v>
      </c>
      <c r="K14" s="12" t="s">
        <v>491</v>
      </c>
      <c r="L14" s="12"/>
      <c r="M14"/>
      <c r="N14"/>
      <c r="O14" s="12"/>
      <c r="P14"/>
      <c r="Q14"/>
      <c r="R14" s="12"/>
      <c r="S14" s="12"/>
      <c r="T14" s="12"/>
      <c r="U14" s="12"/>
      <c r="V14" s="12"/>
      <c r="W14" s="12"/>
      <c r="X14" s="12"/>
      <c r="Y14" s="12"/>
      <c r="AC14">
        <v>2</v>
      </c>
      <c r="AD14">
        <v>1</v>
      </c>
      <c r="AT14" s="8">
        <v>0.4</v>
      </c>
      <c r="BB14">
        <v>1</v>
      </c>
      <c r="BM14" s="8" t="s">
        <v>492</v>
      </c>
      <c r="BN14" s="8" t="s">
        <v>469</v>
      </c>
      <c r="BR14">
        <v>6</v>
      </c>
      <c r="BT14" s="13">
        <v>1</v>
      </c>
      <c r="BU14" s="13">
        <v>1</v>
      </c>
      <c r="BV14" s="13">
        <v>1</v>
      </c>
      <c r="BW14" s="13" t="s">
        <v>493</v>
      </c>
      <c r="BX14" s="13"/>
      <c r="BY14" s="13"/>
      <c r="BZ14" s="8"/>
      <c r="CE14" s="8"/>
      <c r="CH14" s="8"/>
      <c r="CK14" s="8"/>
      <c r="CR14" s="8"/>
      <c r="CU14" s="8"/>
      <c r="CV14" s="8"/>
      <c r="DF14">
        <v>1</v>
      </c>
    </row>
    <row r="15" spans="1:111" x14ac:dyDescent="0.25">
      <c r="A15" s="8" t="s">
        <v>469</v>
      </c>
      <c r="C15" s="8" t="s">
        <v>346</v>
      </c>
      <c r="I15">
        <v>1</v>
      </c>
      <c r="J15" s="8"/>
      <c r="K15" s="3" t="s">
        <v>347</v>
      </c>
      <c r="AC15">
        <v>1</v>
      </c>
      <c r="AG15" s="8" t="s">
        <v>348</v>
      </c>
      <c r="AJ15" s="8"/>
      <c r="AR15" t="s">
        <v>351</v>
      </c>
      <c r="AV15" s="8" t="s">
        <v>471</v>
      </c>
      <c r="AX15">
        <v>999</v>
      </c>
      <c r="AZ15">
        <v>2</v>
      </c>
      <c r="BB15">
        <v>1</v>
      </c>
      <c r="BT15"/>
      <c r="CE15" s="8"/>
      <c r="CJ15" s="3"/>
      <c r="CL15" s="8"/>
      <c r="DB15">
        <v>1</v>
      </c>
      <c r="DE15">
        <v>1</v>
      </c>
      <c r="DF15">
        <v>1</v>
      </c>
    </row>
    <row r="16" spans="1:111" x14ac:dyDescent="0.25">
      <c r="A16" s="8" t="s">
        <v>492</v>
      </c>
      <c r="C16" s="8" t="s">
        <v>494</v>
      </c>
      <c r="K16" s="3" t="s">
        <v>347</v>
      </c>
      <c r="L16" s="3" t="s">
        <v>495</v>
      </c>
      <c r="AC16">
        <v>1</v>
      </c>
      <c r="AG16" t="s">
        <v>348</v>
      </c>
      <c r="BB16">
        <v>1</v>
      </c>
      <c r="BM16" s="8"/>
      <c r="BT16"/>
      <c r="CJ16" s="3"/>
      <c r="CS16" s="8" t="s">
        <v>640</v>
      </c>
    </row>
    <row r="17" spans="1:110" x14ac:dyDescent="0.25">
      <c r="CJ17" s="3"/>
    </row>
    <row r="18" spans="1:110" x14ac:dyDescent="0.25">
      <c r="A18" s="8" t="s">
        <v>468</v>
      </c>
      <c r="C18" t="s">
        <v>346</v>
      </c>
      <c r="J18" s="8" t="s">
        <v>459</v>
      </c>
      <c r="K18" s="3" t="s">
        <v>422</v>
      </c>
      <c r="L18" s="12"/>
      <c r="M18"/>
      <c r="N18"/>
      <c r="O18" s="12"/>
      <c r="P18"/>
      <c r="Q18"/>
      <c r="R18" s="12"/>
      <c r="S18" s="12"/>
      <c r="T18" s="12"/>
      <c r="U18" s="12"/>
      <c r="V18" s="12"/>
      <c r="W18" s="12"/>
      <c r="X18" s="12"/>
      <c r="Y18" s="12"/>
      <c r="AC18">
        <v>2</v>
      </c>
      <c r="AD18">
        <v>1</v>
      </c>
      <c r="AO18" t="s">
        <v>496</v>
      </c>
      <c r="AR18" t="s">
        <v>454</v>
      </c>
      <c r="AV18" s="8" t="s">
        <v>350</v>
      </c>
      <c r="AX18">
        <v>1.5</v>
      </c>
      <c r="BB18">
        <v>99</v>
      </c>
      <c r="BC18">
        <v>11</v>
      </c>
      <c r="BD18">
        <v>0.5</v>
      </c>
      <c r="BN18" s="8" t="s">
        <v>497</v>
      </c>
      <c r="BR18">
        <v>6</v>
      </c>
      <c r="BT18" s="13">
        <v>1</v>
      </c>
      <c r="BU18" s="13">
        <v>1</v>
      </c>
      <c r="BV18" s="13">
        <v>1</v>
      </c>
      <c r="BW18" s="13" t="s">
        <v>472</v>
      </c>
      <c r="BX18" s="13"/>
      <c r="BY18" s="13"/>
      <c r="BZ18" s="8"/>
      <c r="CE18" s="8"/>
      <c r="CH18" s="8"/>
      <c r="CJ18" s="3" t="s">
        <v>498</v>
      </c>
      <c r="CK18" s="8"/>
      <c r="CL18" t="s">
        <v>470</v>
      </c>
      <c r="CM18">
        <v>-0.8</v>
      </c>
      <c r="CP18">
        <v>6</v>
      </c>
      <c r="CR18" s="8"/>
      <c r="CU18" s="8"/>
      <c r="CV18" s="8"/>
      <c r="CW18" t="s">
        <v>352</v>
      </c>
      <c r="DF18">
        <v>1</v>
      </c>
    </row>
    <row r="19" spans="1:110" x14ac:dyDescent="0.25">
      <c r="A19" s="8" t="s">
        <v>497</v>
      </c>
      <c r="C19" s="8" t="s">
        <v>346</v>
      </c>
      <c r="I19">
        <v>1</v>
      </c>
      <c r="J19" s="8"/>
      <c r="K19" s="3" t="s">
        <v>347</v>
      </c>
      <c r="AC19">
        <v>1</v>
      </c>
      <c r="AG19" s="8" t="s">
        <v>348</v>
      </c>
      <c r="AJ19" s="8"/>
      <c r="AV19" s="8" t="s">
        <v>471</v>
      </c>
      <c r="AX19">
        <v>9</v>
      </c>
      <c r="AZ19">
        <v>2</v>
      </c>
      <c r="BB19">
        <v>1</v>
      </c>
      <c r="BC19">
        <v>11</v>
      </c>
      <c r="BD19">
        <v>0.5</v>
      </c>
      <c r="BT19"/>
      <c r="CE19" s="8"/>
      <c r="CJ19" s="3"/>
      <c r="CL19" s="8"/>
      <c r="DB19">
        <v>1</v>
      </c>
      <c r="DE19">
        <v>1</v>
      </c>
      <c r="DF19">
        <v>1</v>
      </c>
    </row>
    <row r="20" spans="1:110" x14ac:dyDescent="0.25">
      <c r="A20" s="8"/>
      <c r="C20" s="8"/>
      <c r="J20" s="8"/>
      <c r="AG20" s="8"/>
      <c r="AJ20" s="8"/>
      <c r="AV20" s="8"/>
      <c r="BT20"/>
      <c r="CE20" s="8"/>
      <c r="CJ20" s="3"/>
      <c r="CL20" s="8"/>
    </row>
    <row r="21" spans="1:110" x14ac:dyDescent="0.25">
      <c r="A21" s="8" t="s">
        <v>463</v>
      </c>
      <c r="C21" s="8" t="s">
        <v>437</v>
      </c>
      <c r="I21">
        <v>1</v>
      </c>
      <c r="K21" s="3" t="s">
        <v>420</v>
      </c>
      <c r="AC21">
        <v>1</v>
      </c>
      <c r="AR21" s="8" t="s">
        <v>464</v>
      </c>
      <c r="BT21"/>
      <c r="CJ21" s="3"/>
      <c r="CS21" s="8" t="s">
        <v>466</v>
      </c>
    </row>
    <row r="22" spans="1:110" x14ac:dyDescent="0.25">
      <c r="BT22"/>
      <c r="CJ22" s="3"/>
    </row>
    <row r="23" spans="1:110" x14ac:dyDescent="0.25">
      <c r="A23" t="s">
        <v>506</v>
      </c>
      <c r="C23" t="s">
        <v>346</v>
      </c>
      <c r="J23" s="8" t="s">
        <v>555</v>
      </c>
      <c r="K23" s="3" t="s">
        <v>420</v>
      </c>
      <c r="O23"/>
      <c r="AC23">
        <v>1</v>
      </c>
      <c r="AO23" s="8" t="s">
        <v>556</v>
      </c>
      <c r="AR23" t="s">
        <v>539</v>
      </c>
      <c r="CS23" s="8" t="s">
        <v>554</v>
      </c>
    </row>
    <row r="24" spans="1:110" x14ac:dyDescent="0.25">
      <c r="A24" t="s">
        <v>507</v>
      </c>
      <c r="C24" t="s">
        <v>346</v>
      </c>
      <c r="K24" s="3" t="s">
        <v>491</v>
      </c>
      <c r="P24"/>
      <c r="AC24">
        <v>1</v>
      </c>
      <c r="AO24" t="s">
        <v>508</v>
      </c>
      <c r="AR24" t="s">
        <v>509</v>
      </c>
      <c r="AW24">
        <v>1</v>
      </c>
      <c r="AX24">
        <v>1</v>
      </c>
      <c r="BB24">
        <v>1</v>
      </c>
      <c r="BZ24" t="s">
        <v>55</v>
      </c>
      <c r="CE24" t="s">
        <v>510</v>
      </c>
      <c r="CF24" t="s">
        <v>511</v>
      </c>
      <c r="CG24" t="s">
        <v>475</v>
      </c>
      <c r="CL24" t="s">
        <v>512</v>
      </c>
      <c r="CM24">
        <v>22</v>
      </c>
      <c r="CP24">
        <v>10</v>
      </c>
      <c r="CW24" t="s">
        <v>513</v>
      </c>
    </row>
    <row r="25" spans="1:110" x14ac:dyDescent="0.25">
      <c r="A25" t="s">
        <v>514</v>
      </c>
      <c r="C25" t="s">
        <v>515</v>
      </c>
      <c r="K25" s="3" t="s">
        <v>347</v>
      </c>
      <c r="L25" s="3" t="s">
        <v>505</v>
      </c>
      <c r="AC25">
        <v>1</v>
      </c>
      <c r="AF25">
        <v>1</v>
      </c>
      <c r="AG25" t="s">
        <v>348</v>
      </c>
      <c r="BB25">
        <v>1</v>
      </c>
      <c r="CJ25" s="3"/>
      <c r="CS25" t="s">
        <v>516</v>
      </c>
      <c r="DB25">
        <v>1</v>
      </c>
      <c r="DE25">
        <v>1</v>
      </c>
      <c r="DF25">
        <v>1</v>
      </c>
    </row>
    <row r="26" spans="1:110" x14ac:dyDescent="0.25">
      <c r="A26" t="s">
        <v>517</v>
      </c>
      <c r="C26" t="s">
        <v>346</v>
      </c>
      <c r="I26">
        <v>1</v>
      </c>
      <c r="K26" s="12" t="s">
        <v>347</v>
      </c>
      <c r="L26" s="12" t="s">
        <v>505</v>
      </c>
      <c r="M26"/>
      <c r="N26"/>
      <c r="O26" s="12"/>
      <c r="P26"/>
      <c r="Q26"/>
      <c r="R26" s="12"/>
      <c r="S26" s="12"/>
      <c r="T26" s="12"/>
      <c r="U26" s="12"/>
      <c r="V26" s="12"/>
      <c r="W26" s="12"/>
      <c r="X26"/>
      <c r="AC26">
        <v>1</v>
      </c>
      <c r="AG26" t="s">
        <v>348</v>
      </c>
      <c r="AR26" t="s">
        <v>351</v>
      </c>
      <c r="BB26">
        <v>1</v>
      </c>
      <c r="BM26" t="s">
        <v>518</v>
      </c>
      <c r="BS26" s="13"/>
      <c r="BT26" s="13"/>
      <c r="BU26" s="13"/>
      <c r="BV26" s="13"/>
      <c r="BW26" s="13"/>
      <c r="BX26" s="13"/>
      <c r="BY26"/>
      <c r="CL26" t="s">
        <v>519</v>
      </c>
      <c r="CM26">
        <v>8</v>
      </c>
      <c r="CP26">
        <v>9999</v>
      </c>
      <c r="DB26">
        <v>1</v>
      </c>
    </row>
    <row r="27" spans="1:110" x14ac:dyDescent="0.25">
      <c r="A27" t="s">
        <v>518</v>
      </c>
      <c r="C27" t="s">
        <v>346</v>
      </c>
      <c r="I27">
        <v>1</v>
      </c>
      <c r="K27" s="12"/>
      <c r="L27" s="12"/>
      <c r="M27"/>
      <c r="N27"/>
      <c r="O27" s="12"/>
      <c r="P27"/>
      <c r="Q27"/>
      <c r="R27" s="12"/>
      <c r="S27" s="12"/>
      <c r="T27" s="12"/>
      <c r="U27" s="12"/>
      <c r="V27" s="12"/>
      <c r="W27" s="12"/>
      <c r="X27"/>
      <c r="AC27">
        <v>1</v>
      </c>
      <c r="AR27" t="s">
        <v>520</v>
      </c>
      <c r="BB27">
        <v>99</v>
      </c>
      <c r="BQ27">
        <v>0.1</v>
      </c>
      <c r="BS27" s="13"/>
      <c r="BT27" s="13"/>
      <c r="BU27" s="13"/>
      <c r="BV27" s="13"/>
      <c r="BW27" s="13"/>
      <c r="BX27" s="13"/>
      <c r="BY27"/>
      <c r="CL27" s="14" t="s">
        <v>521</v>
      </c>
      <c r="CM27">
        <v>0.2</v>
      </c>
      <c r="CP27">
        <v>0.2</v>
      </c>
      <c r="DB27">
        <v>1</v>
      </c>
    </row>
    <row r="28" spans="1:110" x14ac:dyDescent="0.25">
      <c r="A28" t="s">
        <v>522</v>
      </c>
      <c r="C28" t="s">
        <v>346</v>
      </c>
      <c r="K28" s="3" t="s">
        <v>347</v>
      </c>
      <c r="L28" s="3" t="s">
        <v>505</v>
      </c>
      <c r="AC28">
        <v>1</v>
      </c>
      <c r="AG28" t="s">
        <v>348</v>
      </c>
      <c r="AW28" s="3"/>
      <c r="BB28">
        <v>1</v>
      </c>
      <c r="BT28"/>
      <c r="BU28"/>
      <c r="BV28"/>
      <c r="BW28"/>
      <c r="BX28"/>
      <c r="BY28"/>
      <c r="BZ28" s="3"/>
      <c r="CA28" s="3"/>
      <c r="CB28" s="3"/>
      <c r="CC28" s="3"/>
      <c r="CD28" s="3"/>
      <c r="CF28" s="3"/>
      <c r="CG28" s="3"/>
      <c r="CH28" s="3"/>
      <c r="CI28" s="3"/>
      <c r="CJ28" s="3"/>
      <c r="CK28" s="3"/>
      <c r="CL28" t="s">
        <v>523</v>
      </c>
      <c r="CP28">
        <v>99999</v>
      </c>
    </row>
    <row r="29" spans="1:110" x14ac:dyDescent="0.25">
      <c r="A29" t="s">
        <v>557</v>
      </c>
      <c r="C29" t="s">
        <v>346</v>
      </c>
      <c r="I29">
        <v>1</v>
      </c>
      <c r="K29" s="15" t="s">
        <v>347</v>
      </c>
      <c r="L29" s="15"/>
      <c r="M29"/>
      <c r="N29"/>
      <c r="O29" s="15"/>
      <c r="P29" s="16" t="s">
        <v>558</v>
      </c>
      <c r="Q29" s="15"/>
      <c r="R29" s="16"/>
      <c r="S29"/>
      <c r="T29" s="15"/>
      <c r="U29" s="15"/>
      <c r="V29" s="15"/>
      <c r="W29" s="15"/>
      <c r="X29"/>
      <c r="AC29">
        <v>1</v>
      </c>
      <c r="AG29" t="s">
        <v>348</v>
      </c>
      <c r="AR29" t="s">
        <v>351</v>
      </c>
      <c r="BB29">
        <v>1</v>
      </c>
      <c r="BT29"/>
      <c r="BU29" s="17"/>
      <c r="BV29" s="17"/>
      <c r="BW29" s="17"/>
      <c r="BX29" s="17"/>
      <c r="BY29" s="17"/>
      <c r="BZ29" s="17"/>
      <c r="CL29" t="s">
        <v>512</v>
      </c>
      <c r="CM29">
        <v>22</v>
      </c>
      <c r="CP29">
        <v>10</v>
      </c>
    </row>
    <row r="30" spans="1:110" x14ac:dyDescent="0.25"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BT30"/>
      <c r="BU30" s="17"/>
      <c r="BV30" s="17"/>
      <c r="BW30" s="17"/>
      <c r="BX30" s="17"/>
      <c r="BY30" s="17"/>
    </row>
    <row r="31" spans="1:110" x14ac:dyDescent="0.25">
      <c r="A31" t="s">
        <v>559</v>
      </c>
      <c r="C31" t="s">
        <v>346</v>
      </c>
      <c r="D31" t="s">
        <v>560</v>
      </c>
      <c r="E31" t="s">
        <v>561</v>
      </c>
      <c r="F31" t="s">
        <v>562</v>
      </c>
      <c r="G31">
        <v>3</v>
      </c>
      <c r="J31" t="s">
        <v>490</v>
      </c>
      <c r="K31" s="15" t="s">
        <v>563</v>
      </c>
      <c r="L31" s="15"/>
      <c r="M31"/>
      <c r="N31" s="15"/>
      <c r="O31"/>
      <c r="P31" s="15"/>
      <c r="Q31" s="15"/>
      <c r="R31" s="15"/>
      <c r="S31" s="15"/>
      <c r="T31" s="15"/>
      <c r="U31" s="15"/>
      <c r="V31" s="15"/>
      <c r="W31" s="15"/>
      <c r="X31" s="15"/>
      <c r="AC31">
        <v>1</v>
      </c>
      <c r="AG31" t="s">
        <v>348</v>
      </c>
      <c r="BB31">
        <v>1</v>
      </c>
      <c r="BM31" t="s">
        <v>564</v>
      </c>
      <c r="BN31" t="s">
        <v>565</v>
      </c>
      <c r="BR31">
        <v>30</v>
      </c>
      <c r="BT31" s="17">
        <v>13</v>
      </c>
      <c r="BU31" s="17">
        <v>15</v>
      </c>
      <c r="BV31" s="17">
        <v>1</v>
      </c>
      <c r="BW31" s="17" t="s">
        <v>566</v>
      </c>
      <c r="BX31" s="17"/>
      <c r="BY31" s="17"/>
      <c r="CL31" s="16" t="s">
        <v>567</v>
      </c>
      <c r="CP31">
        <v>30</v>
      </c>
      <c r="DB31">
        <v>1</v>
      </c>
    </row>
    <row r="32" spans="1:110" x14ac:dyDescent="0.25">
      <c r="A32" t="s">
        <v>568</v>
      </c>
      <c r="C32" t="s">
        <v>346</v>
      </c>
      <c r="J32" s="15"/>
      <c r="K32" s="15"/>
      <c r="L32" s="15"/>
      <c r="M32"/>
      <c r="N32" s="15"/>
      <c r="O32" s="16" t="s">
        <v>558</v>
      </c>
      <c r="P32"/>
      <c r="Q32"/>
      <c r="R32" s="15"/>
      <c r="S32" s="15"/>
      <c r="T32" s="15"/>
      <c r="U32" s="15"/>
      <c r="V32" s="15"/>
      <c r="W32" s="15"/>
      <c r="X32" s="15"/>
      <c r="AC32">
        <v>1</v>
      </c>
      <c r="AD32">
        <v>1</v>
      </c>
      <c r="AO32" t="s">
        <v>508</v>
      </c>
      <c r="AQ32" t="s">
        <v>536</v>
      </c>
      <c r="AU32">
        <v>1</v>
      </c>
      <c r="AW32">
        <v>1</v>
      </c>
      <c r="AX32">
        <v>1</v>
      </c>
      <c r="BB32">
        <v>1</v>
      </c>
      <c r="BN32" t="s">
        <v>569</v>
      </c>
      <c r="BT32" s="17"/>
      <c r="BU32" s="17"/>
      <c r="BV32" s="17"/>
      <c r="BW32" s="17"/>
      <c r="BX32" s="17"/>
      <c r="BY32" s="17"/>
      <c r="BZ32" t="s">
        <v>570</v>
      </c>
      <c r="CE32" t="s">
        <v>510</v>
      </c>
      <c r="CF32" t="s">
        <v>511</v>
      </c>
      <c r="CG32" t="s">
        <v>475</v>
      </c>
      <c r="CL32" t="s">
        <v>571</v>
      </c>
      <c r="CM32">
        <v>22</v>
      </c>
      <c r="CN32">
        <v>39.6</v>
      </c>
      <c r="CP32">
        <v>10</v>
      </c>
      <c r="CW32" t="s">
        <v>513</v>
      </c>
    </row>
    <row r="33" spans="1:110" x14ac:dyDescent="0.25">
      <c r="A33" t="s">
        <v>572</v>
      </c>
      <c r="C33" t="s">
        <v>346</v>
      </c>
      <c r="I33">
        <v>1</v>
      </c>
      <c r="K33" s="15" t="s">
        <v>347</v>
      </c>
      <c r="L33" s="15"/>
      <c r="M33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AC33">
        <v>1</v>
      </c>
      <c r="AD33">
        <v>1</v>
      </c>
      <c r="AJ33" t="s">
        <v>536</v>
      </c>
      <c r="AO33" t="s">
        <v>508</v>
      </c>
      <c r="AR33" t="s">
        <v>509</v>
      </c>
      <c r="AV33" t="s">
        <v>471</v>
      </c>
      <c r="AX33">
        <v>1</v>
      </c>
      <c r="AZ33">
        <v>2</v>
      </c>
      <c r="BB33">
        <v>1</v>
      </c>
      <c r="BT33" s="17"/>
      <c r="BU33" s="17"/>
      <c r="BV33" s="17"/>
      <c r="BW33" s="17"/>
      <c r="BX33" s="17"/>
      <c r="BY33" s="17"/>
      <c r="BZ33" s="18"/>
      <c r="CF33" t="s">
        <v>573</v>
      </c>
      <c r="CG33" t="s">
        <v>475</v>
      </c>
      <c r="DB33">
        <v>1</v>
      </c>
      <c r="DF33">
        <v>1</v>
      </c>
    </row>
    <row r="34" spans="1:110" x14ac:dyDescent="0.25">
      <c r="A34" t="s">
        <v>574</v>
      </c>
      <c r="C34" t="s">
        <v>346</v>
      </c>
      <c r="I34">
        <v>1</v>
      </c>
      <c r="K34" s="15" t="s">
        <v>347</v>
      </c>
      <c r="L34" s="15"/>
      <c r="M34"/>
      <c r="N34" s="15"/>
      <c r="O34" s="16" t="s">
        <v>558</v>
      </c>
      <c r="P34"/>
      <c r="Q34"/>
      <c r="R34" s="15"/>
      <c r="S34" s="15"/>
      <c r="T34" s="15"/>
      <c r="U34" s="15"/>
      <c r="V34" s="15"/>
      <c r="W34" s="15"/>
      <c r="X34" s="15"/>
      <c r="AC34">
        <v>1</v>
      </c>
      <c r="AG34" t="s">
        <v>348</v>
      </c>
      <c r="AU34">
        <v>1</v>
      </c>
      <c r="BB34">
        <v>1</v>
      </c>
      <c r="BT34" s="17"/>
      <c r="BU34" s="17"/>
      <c r="BV34" s="17"/>
      <c r="BW34" s="17"/>
      <c r="BX34" s="17"/>
      <c r="BY34" s="17"/>
      <c r="CL34" t="s">
        <v>571</v>
      </c>
      <c r="CM34">
        <v>22</v>
      </c>
      <c r="CN34">
        <v>39.6</v>
      </c>
      <c r="CP34">
        <v>10</v>
      </c>
    </row>
    <row r="35" spans="1:110" x14ac:dyDescent="0.25">
      <c r="A35" t="s">
        <v>575</v>
      </c>
      <c r="C35" t="s">
        <v>346</v>
      </c>
      <c r="I35">
        <v>1</v>
      </c>
      <c r="K35" s="15"/>
      <c r="L35" s="15"/>
      <c r="M35"/>
      <c r="N35" s="15"/>
      <c r="O35" s="16" t="s">
        <v>558</v>
      </c>
      <c r="P35"/>
      <c r="Q35"/>
      <c r="R35" s="15"/>
      <c r="S35" s="15"/>
      <c r="T35" s="15"/>
      <c r="U35" s="15"/>
      <c r="V35" s="15"/>
      <c r="W35" s="15"/>
      <c r="X35" s="15"/>
      <c r="AC35">
        <v>1</v>
      </c>
      <c r="AJ35" t="s">
        <v>536</v>
      </c>
      <c r="AR35" t="s">
        <v>509</v>
      </c>
      <c r="BB35">
        <v>1</v>
      </c>
      <c r="BQ35">
        <v>0.1</v>
      </c>
      <c r="BT35" s="17"/>
      <c r="BU35" s="17"/>
      <c r="BV35" s="17"/>
      <c r="BW35" s="17"/>
      <c r="BX35" s="17"/>
      <c r="BY35" s="17"/>
      <c r="CL35" s="16" t="s">
        <v>575</v>
      </c>
      <c r="CP35">
        <v>0.2</v>
      </c>
    </row>
    <row r="36" spans="1:110" x14ac:dyDescent="0.25">
      <c r="A36" t="s">
        <v>576</v>
      </c>
      <c r="C36" t="s">
        <v>346</v>
      </c>
      <c r="I36">
        <v>1</v>
      </c>
      <c r="K36" s="15" t="s">
        <v>347</v>
      </c>
      <c r="L36" s="15"/>
      <c r="M36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AC36">
        <v>1</v>
      </c>
      <c r="AG36" t="s">
        <v>348</v>
      </c>
      <c r="AW36" s="15"/>
      <c r="BB36">
        <v>1</v>
      </c>
      <c r="BT36"/>
      <c r="BU36"/>
      <c r="BV36"/>
      <c r="BW36"/>
      <c r="BX36"/>
      <c r="BY36"/>
      <c r="BZ36" s="15"/>
      <c r="CA36" s="15"/>
      <c r="CB36" s="15"/>
      <c r="CC36" s="15"/>
      <c r="CD36" s="15"/>
      <c r="CF36" s="15"/>
      <c r="CG36" s="15"/>
      <c r="CH36" s="15"/>
      <c r="CI36" s="15"/>
      <c r="CL36" s="16" t="s">
        <v>576</v>
      </c>
      <c r="CP36">
        <v>40</v>
      </c>
      <c r="DB36">
        <v>1</v>
      </c>
      <c r="DF36">
        <v>1</v>
      </c>
    </row>
    <row r="37" spans="1:110" x14ac:dyDescent="0.25">
      <c r="A37" t="s">
        <v>577</v>
      </c>
      <c r="C37" t="s">
        <v>346</v>
      </c>
      <c r="I37">
        <v>1</v>
      </c>
      <c r="K37" s="15"/>
      <c r="L37" s="15"/>
      <c r="M37"/>
      <c r="N37" s="15"/>
      <c r="O37" s="16" t="s">
        <v>558</v>
      </c>
      <c r="P37" s="16" t="s">
        <v>576</v>
      </c>
      <c r="Q37" s="15"/>
      <c r="R37" s="15"/>
      <c r="S37" s="15"/>
      <c r="T37" s="15"/>
      <c r="U37" s="15"/>
      <c r="V37" s="15"/>
      <c r="W37" s="15"/>
      <c r="X37" s="15"/>
      <c r="AC37">
        <v>1</v>
      </c>
      <c r="AT37">
        <v>20</v>
      </c>
      <c r="BB37">
        <v>99</v>
      </c>
      <c r="BT37" s="17"/>
      <c r="BU37" s="17"/>
      <c r="BV37" s="17"/>
      <c r="BW37" s="17"/>
      <c r="BX37" s="17"/>
      <c r="BY37" s="17"/>
      <c r="CK37" t="s">
        <v>578</v>
      </c>
    </row>
    <row r="38" spans="1:110" x14ac:dyDescent="0.25">
      <c r="A38" t="s">
        <v>579</v>
      </c>
      <c r="C38" t="s">
        <v>346</v>
      </c>
      <c r="I38">
        <v>1</v>
      </c>
      <c r="K38" s="15" t="s">
        <v>347</v>
      </c>
      <c r="L38" s="15"/>
      <c r="M38"/>
      <c r="N38"/>
      <c r="O38" s="15"/>
      <c r="P38" s="15"/>
      <c r="Q38" s="15"/>
      <c r="R38" s="15"/>
      <c r="S38" s="15"/>
      <c r="T38" s="15"/>
      <c r="U38" s="15"/>
      <c r="V38" s="15"/>
      <c r="W38" s="15"/>
      <c r="X38" s="15"/>
      <c r="AC38">
        <v>1</v>
      </c>
      <c r="AG38" t="s">
        <v>348</v>
      </c>
      <c r="BB38">
        <v>1</v>
      </c>
      <c r="BQ38">
        <v>0.1</v>
      </c>
      <c r="BT38"/>
      <c r="BU38" s="17"/>
      <c r="BV38" s="17"/>
      <c r="BW38" s="17"/>
      <c r="BX38" s="17"/>
      <c r="BY38" s="17"/>
      <c r="BZ38" t="s">
        <v>580</v>
      </c>
      <c r="CE38" t="s">
        <v>510</v>
      </c>
      <c r="CG38" s="15"/>
      <c r="CH38" s="15"/>
      <c r="DB38">
        <v>1</v>
      </c>
      <c r="DE38">
        <v>1</v>
      </c>
      <c r="DF38">
        <v>1</v>
      </c>
    </row>
    <row r="39" spans="1:110" x14ac:dyDescent="0.25">
      <c r="A39" t="s">
        <v>581</v>
      </c>
      <c r="C39" t="s">
        <v>346</v>
      </c>
      <c r="I39">
        <v>1</v>
      </c>
      <c r="K39" s="15" t="s">
        <v>347</v>
      </c>
      <c r="L39" s="15" t="s">
        <v>582</v>
      </c>
      <c r="M39"/>
      <c r="N39"/>
      <c r="O39" s="15"/>
      <c r="P39" s="15"/>
      <c r="Q39" s="15"/>
      <c r="R39" s="15"/>
      <c r="S39" s="15"/>
      <c r="T39" s="15"/>
      <c r="U39" s="15"/>
      <c r="V39" s="15"/>
      <c r="W39" s="15"/>
      <c r="X39" s="15"/>
      <c r="AC39">
        <v>1</v>
      </c>
      <c r="AG39" t="s">
        <v>348</v>
      </c>
      <c r="BB39">
        <v>1</v>
      </c>
      <c r="BQ39">
        <v>0.2</v>
      </c>
      <c r="BT39"/>
      <c r="BU39" s="17"/>
      <c r="BV39" s="17"/>
      <c r="BW39" s="17"/>
      <c r="BX39" s="17"/>
      <c r="BY39" s="17"/>
      <c r="BZ39" t="s">
        <v>583</v>
      </c>
      <c r="CE39" t="s">
        <v>510</v>
      </c>
      <c r="CH39" s="15"/>
      <c r="DB39">
        <v>1</v>
      </c>
      <c r="DE39">
        <v>1</v>
      </c>
      <c r="DF39">
        <v>1</v>
      </c>
    </row>
    <row r="40" spans="1:110" x14ac:dyDescent="0.25">
      <c r="A40" t="s">
        <v>584</v>
      </c>
      <c r="C40" t="s">
        <v>346</v>
      </c>
      <c r="D40" t="s">
        <v>560</v>
      </c>
      <c r="E40" t="s">
        <v>561</v>
      </c>
      <c r="F40" t="s">
        <v>562</v>
      </c>
      <c r="G40">
        <v>3</v>
      </c>
      <c r="J40" t="s">
        <v>490</v>
      </c>
      <c r="K40" s="15" t="s">
        <v>491</v>
      </c>
      <c r="L40" s="15"/>
      <c r="M40"/>
      <c r="N40" s="15"/>
      <c r="O40" s="16" t="s">
        <v>575</v>
      </c>
      <c r="P40" s="15"/>
      <c r="Q40" s="15"/>
      <c r="R40" s="15"/>
      <c r="S40" s="15"/>
      <c r="T40" s="15"/>
      <c r="U40" s="15"/>
      <c r="V40" s="15"/>
      <c r="W40" s="15"/>
      <c r="X40" s="15"/>
      <c r="AC40">
        <v>1</v>
      </c>
      <c r="AO40" t="s">
        <v>508</v>
      </c>
      <c r="AR40" t="s">
        <v>520</v>
      </c>
      <c r="AW40">
        <v>1</v>
      </c>
      <c r="AX40">
        <v>583</v>
      </c>
      <c r="AZ40">
        <v>2</v>
      </c>
      <c r="BB40">
        <v>1</v>
      </c>
      <c r="BQ40">
        <v>0.1</v>
      </c>
      <c r="BT40" s="17">
        <v>0</v>
      </c>
      <c r="BU40" s="17">
        <v>1</v>
      </c>
      <c r="BV40" s="17">
        <v>1</v>
      </c>
      <c r="BW40" s="17" t="s">
        <v>585</v>
      </c>
      <c r="BX40" s="17"/>
      <c r="BY40" s="17"/>
      <c r="CE40" t="s">
        <v>510</v>
      </c>
      <c r="CF40" t="s">
        <v>511</v>
      </c>
      <c r="CG40" t="s">
        <v>475</v>
      </c>
      <c r="CL40" t="s">
        <v>571</v>
      </c>
      <c r="CM40">
        <v>22</v>
      </c>
      <c r="CN40">
        <v>39.6</v>
      </c>
      <c r="CP40">
        <v>10</v>
      </c>
      <c r="CW40" t="s">
        <v>513</v>
      </c>
      <c r="DB40">
        <v>1</v>
      </c>
    </row>
    <row r="41" spans="1:110" x14ac:dyDescent="0.25"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BS41" s="17"/>
      <c r="BT41" s="17"/>
      <c r="BU41" s="17"/>
      <c r="BV41" s="17"/>
      <c r="BW41" s="17"/>
      <c r="BX41" s="17"/>
      <c r="BY41"/>
    </row>
    <row r="42" spans="1:110" x14ac:dyDescent="0.25">
      <c r="A42" t="s">
        <v>586</v>
      </c>
      <c r="C42" t="s">
        <v>346</v>
      </c>
      <c r="D42" t="s">
        <v>587</v>
      </c>
      <c r="E42" s="8" t="s">
        <v>645</v>
      </c>
      <c r="F42" t="s">
        <v>589</v>
      </c>
      <c r="G42">
        <v>3</v>
      </c>
      <c r="J42" t="s">
        <v>490</v>
      </c>
      <c r="K42" s="3" t="s">
        <v>563</v>
      </c>
      <c r="O42"/>
      <c r="W42"/>
      <c r="X42"/>
      <c r="AC42">
        <v>1</v>
      </c>
      <c r="AG42" t="s">
        <v>348</v>
      </c>
      <c r="BB42">
        <v>1</v>
      </c>
      <c r="BM42" s="8" t="s">
        <v>644</v>
      </c>
      <c r="BN42" s="8" t="s">
        <v>649</v>
      </c>
      <c r="BR42">
        <v>1</v>
      </c>
      <c r="BT42" s="4">
        <v>11</v>
      </c>
      <c r="BU42" s="4">
        <v>15</v>
      </c>
      <c r="BV42" s="4">
        <v>1</v>
      </c>
      <c r="BW42" s="4" t="s">
        <v>566</v>
      </c>
      <c r="CL42" s="14" t="s">
        <v>593</v>
      </c>
      <c r="CM42" t="s">
        <v>622</v>
      </c>
      <c r="CP42">
        <v>25</v>
      </c>
    </row>
    <row r="43" spans="1:110" x14ac:dyDescent="0.25">
      <c r="A43" t="s">
        <v>623</v>
      </c>
      <c r="C43" t="s">
        <v>346</v>
      </c>
      <c r="I43">
        <v>1</v>
      </c>
      <c r="K43" s="3" t="s">
        <v>420</v>
      </c>
      <c r="M43"/>
      <c r="O43" s="14"/>
      <c r="P43"/>
      <c r="Q43"/>
      <c r="AC43">
        <v>1</v>
      </c>
      <c r="AG43" t="s">
        <v>348</v>
      </c>
      <c r="BB43">
        <v>1</v>
      </c>
      <c r="BQ43">
        <v>0.1</v>
      </c>
      <c r="CL43" s="14" t="s">
        <v>648</v>
      </c>
      <c r="CM43">
        <v>-100</v>
      </c>
      <c r="CP43">
        <v>25</v>
      </c>
    </row>
    <row r="44" spans="1:110" x14ac:dyDescent="0.25">
      <c r="A44" s="8" t="s">
        <v>641</v>
      </c>
      <c r="C44" t="s">
        <v>346</v>
      </c>
      <c r="I44">
        <v>1</v>
      </c>
      <c r="K44" s="3" t="s">
        <v>347</v>
      </c>
      <c r="L44" s="3" t="s">
        <v>624</v>
      </c>
      <c r="M44"/>
      <c r="O44" s="14" t="s">
        <v>593</v>
      </c>
      <c r="P44"/>
      <c r="Q44"/>
      <c r="AC44">
        <v>1</v>
      </c>
      <c r="AJ44" t="s">
        <v>536</v>
      </c>
      <c r="AR44" t="s">
        <v>509</v>
      </c>
      <c r="BB44">
        <v>1</v>
      </c>
      <c r="CL44" s="14" t="s">
        <v>594</v>
      </c>
      <c r="CP44">
        <v>1</v>
      </c>
    </row>
    <row r="45" spans="1:110" x14ac:dyDescent="0.25">
      <c r="A45" s="8" t="s">
        <v>642</v>
      </c>
      <c r="C45" t="s">
        <v>346</v>
      </c>
      <c r="I45">
        <v>1</v>
      </c>
      <c r="O45" s="14" t="s">
        <v>594</v>
      </c>
      <c r="AC45">
        <v>1</v>
      </c>
      <c r="AG45" t="s">
        <v>348</v>
      </c>
      <c r="AV45" t="s">
        <v>471</v>
      </c>
      <c r="AX45">
        <v>1</v>
      </c>
      <c r="AZ45">
        <v>1</v>
      </c>
      <c r="BB45">
        <v>1</v>
      </c>
    </row>
    <row r="46" spans="1:110" x14ac:dyDescent="0.25">
      <c r="A46" s="8" t="s">
        <v>643</v>
      </c>
      <c r="C46" t="s">
        <v>515</v>
      </c>
      <c r="K46" s="3" t="s">
        <v>347</v>
      </c>
      <c r="L46" s="3" t="s">
        <v>624</v>
      </c>
      <c r="AC46">
        <v>1</v>
      </c>
      <c r="AF46">
        <v>1</v>
      </c>
      <c r="AG46" t="s">
        <v>348</v>
      </c>
      <c r="BB46">
        <v>1</v>
      </c>
      <c r="CJ46" s="3"/>
      <c r="CS46" t="s">
        <v>625</v>
      </c>
      <c r="DB46">
        <v>1</v>
      </c>
      <c r="DE46">
        <v>1</v>
      </c>
      <c r="DF46">
        <v>1</v>
      </c>
    </row>
    <row r="47" spans="1:110" x14ac:dyDescent="0.25">
      <c r="CJ47" s="3"/>
    </row>
    <row r="48" spans="1:110" x14ac:dyDescent="0.25">
      <c r="A48" s="8" t="s">
        <v>638</v>
      </c>
      <c r="C48" s="8" t="s">
        <v>437</v>
      </c>
      <c r="I48">
        <v>1</v>
      </c>
      <c r="J48" s="8" t="s">
        <v>555</v>
      </c>
      <c r="K48" s="3" t="s">
        <v>420</v>
      </c>
      <c r="AC48">
        <v>1</v>
      </c>
      <c r="AJ48" s="8" t="s">
        <v>639</v>
      </c>
      <c r="AR48" t="s">
        <v>509</v>
      </c>
      <c r="BB48">
        <v>1</v>
      </c>
      <c r="BQ48">
        <v>0.1</v>
      </c>
      <c r="CJ48" s="3"/>
      <c r="CS48" s="8" t="s">
        <v>652</v>
      </c>
    </row>
    <row r="49" spans="1:110" x14ac:dyDescent="0.25">
      <c r="CJ49" s="3"/>
    </row>
    <row r="50" spans="1:110" x14ac:dyDescent="0.25">
      <c r="A50" t="s">
        <v>626</v>
      </c>
      <c r="C50" t="s">
        <v>346</v>
      </c>
      <c r="D50" t="s">
        <v>587</v>
      </c>
      <c r="E50" t="s">
        <v>588</v>
      </c>
      <c r="F50" t="s">
        <v>589</v>
      </c>
      <c r="G50">
        <v>3</v>
      </c>
      <c r="J50" t="s">
        <v>490</v>
      </c>
      <c r="K50" s="3" t="s">
        <v>491</v>
      </c>
      <c r="O50"/>
      <c r="W50"/>
      <c r="X50"/>
      <c r="AC50">
        <v>1</v>
      </c>
      <c r="AG50" t="s">
        <v>348</v>
      </c>
      <c r="BB50">
        <v>1</v>
      </c>
      <c r="BM50" t="s">
        <v>627</v>
      </c>
      <c r="BR50">
        <v>25</v>
      </c>
      <c r="BT50" s="4">
        <v>1</v>
      </c>
      <c r="BU50" s="4">
        <v>1</v>
      </c>
      <c r="BV50" s="4">
        <v>1</v>
      </c>
      <c r="BW50" s="4" t="s">
        <v>566</v>
      </c>
      <c r="CL50" s="14" t="s">
        <v>591</v>
      </c>
      <c r="CM50" t="s">
        <v>592</v>
      </c>
      <c r="CN50">
        <v>2</v>
      </c>
      <c r="CO50">
        <v>80</v>
      </c>
      <c r="CP50">
        <v>25</v>
      </c>
    </row>
    <row r="51" spans="1:110" x14ac:dyDescent="0.25">
      <c r="A51" t="s">
        <v>595</v>
      </c>
      <c r="C51" t="s">
        <v>596</v>
      </c>
      <c r="O51" s="14" t="s">
        <v>593</v>
      </c>
      <c r="X51"/>
      <c r="AC51">
        <v>2</v>
      </c>
      <c r="AO51" t="s">
        <v>496</v>
      </c>
      <c r="AR51" t="s">
        <v>520</v>
      </c>
      <c r="AV51" t="s">
        <v>471</v>
      </c>
      <c r="AX51">
        <v>1</v>
      </c>
      <c r="BB51">
        <v>1</v>
      </c>
      <c r="BN51" t="s">
        <v>597</v>
      </c>
      <c r="BZ51" t="s">
        <v>598</v>
      </c>
      <c r="CE51" t="s">
        <v>510</v>
      </c>
      <c r="CW51" t="s">
        <v>352</v>
      </c>
    </row>
    <row r="52" spans="1:110" x14ac:dyDescent="0.25">
      <c r="A52" t="s">
        <v>597</v>
      </c>
      <c r="C52" t="s">
        <v>346</v>
      </c>
      <c r="I52">
        <v>1</v>
      </c>
      <c r="K52" s="3" t="s">
        <v>347</v>
      </c>
      <c r="O52" s="14" t="s">
        <v>593</v>
      </c>
      <c r="P52"/>
      <c r="Q52"/>
      <c r="X52"/>
      <c r="AC52">
        <v>1</v>
      </c>
      <c r="AG52" t="s">
        <v>348</v>
      </c>
      <c r="AH52">
        <v>1</v>
      </c>
      <c r="AO52" t="s">
        <v>508</v>
      </c>
      <c r="AT52">
        <v>1</v>
      </c>
      <c r="AW52">
        <v>1</v>
      </c>
      <c r="AX52">
        <v>0.5</v>
      </c>
      <c r="BB52">
        <v>1</v>
      </c>
      <c r="CF52" t="s">
        <v>511</v>
      </c>
      <c r="CG52" t="s">
        <v>475</v>
      </c>
      <c r="CL52" t="s">
        <v>512</v>
      </c>
      <c r="CM52">
        <v>22</v>
      </c>
      <c r="CP52">
        <v>10</v>
      </c>
    </row>
    <row r="53" spans="1:110" x14ac:dyDescent="0.25">
      <c r="A53" t="s">
        <v>599</v>
      </c>
      <c r="C53" t="s">
        <v>600</v>
      </c>
      <c r="I53">
        <v>1</v>
      </c>
      <c r="K53" s="3" t="s">
        <v>347</v>
      </c>
      <c r="L53" s="3" t="s">
        <v>601</v>
      </c>
      <c r="O53" s="14" t="s">
        <v>593</v>
      </c>
      <c r="X53"/>
      <c r="AC53">
        <v>1</v>
      </c>
      <c r="AG53" t="s">
        <v>348</v>
      </c>
      <c r="BB53">
        <v>1</v>
      </c>
      <c r="CS53" t="s">
        <v>628</v>
      </c>
      <c r="DB53">
        <v>1</v>
      </c>
      <c r="DE53">
        <v>1</v>
      </c>
      <c r="DF53">
        <v>1</v>
      </c>
    </row>
    <row r="54" spans="1:110" x14ac:dyDescent="0.25">
      <c r="A54" t="s">
        <v>629</v>
      </c>
      <c r="C54" t="s">
        <v>630</v>
      </c>
      <c r="K54" s="3" t="s">
        <v>347</v>
      </c>
      <c r="L54" s="3" t="s">
        <v>505</v>
      </c>
      <c r="AC54">
        <v>1</v>
      </c>
      <c r="AG54" t="s">
        <v>348</v>
      </c>
      <c r="BB54">
        <v>1</v>
      </c>
      <c r="CS54" t="s">
        <v>631</v>
      </c>
    </row>
    <row r="55" spans="1:110" x14ac:dyDescent="0.25">
      <c r="A55" t="s">
        <v>632</v>
      </c>
      <c r="C55" t="s">
        <v>346</v>
      </c>
      <c r="I55">
        <v>1</v>
      </c>
      <c r="K55" s="3" t="s">
        <v>347</v>
      </c>
      <c r="L55" s="3" t="s">
        <v>505</v>
      </c>
      <c r="AC55">
        <v>1</v>
      </c>
      <c r="AG55" t="s">
        <v>348</v>
      </c>
      <c r="BB55">
        <v>1</v>
      </c>
      <c r="CL55" t="s">
        <v>633</v>
      </c>
      <c r="CP55">
        <v>0.5</v>
      </c>
    </row>
    <row r="56" spans="1:110" x14ac:dyDescent="0.25">
      <c r="A56" t="s">
        <v>634</v>
      </c>
      <c r="C56" t="s">
        <v>346</v>
      </c>
      <c r="I56">
        <v>1</v>
      </c>
      <c r="K56" s="3" t="s">
        <v>420</v>
      </c>
      <c r="L56" s="3" t="s">
        <v>650</v>
      </c>
      <c r="AC56">
        <v>1</v>
      </c>
      <c r="AJ56" t="s">
        <v>524</v>
      </c>
      <c r="AT56">
        <v>20</v>
      </c>
      <c r="BB56">
        <v>1</v>
      </c>
      <c r="CK56" s="14" t="s">
        <v>648</v>
      </c>
      <c r="CL56" s="14"/>
      <c r="DB56">
        <v>1</v>
      </c>
      <c r="DE56">
        <v>1</v>
      </c>
      <c r="DF56">
        <v>1</v>
      </c>
    </row>
    <row r="58" spans="1:110" x14ac:dyDescent="0.25">
      <c r="A58" t="s">
        <v>590</v>
      </c>
      <c r="C58" t="s">
        <v>346</v>
      </c>
      <c r="I58">
        <v>1</v>
      </c>
      <c r="K58" s="3" t="s">
        <v>347</v>
      </c>
      <c r="M58"/>
      <c r="N58"/>
      <c r="AC58">
        <v>1</v>
      </c>
      <c r="AG58" t="s">
        <v>348</v>
      </c>
      <c r="BB58">
        <v>1</v>
      </c>
      <c r="BQ58">
        <v>0.5</v>
      </c>
      <c r="BT58"/>
      <c r="BZ58" s="20" t="s">
        <v>655</v>
      </c>
      <c r="CE58" t="s">
        <v>510</v>
      </c>
      <c r="CG58" s="3"/>
      <c r="CH58" s="3"/>
      <c r="DB58">
        <v>1</v>
      </c>
      <c r="DE58">
        <v>1</v>
      </c>
      <c r="DF58">
        <v>1</v>
      </c>
    </row>
    <row r="59" spans="1:110" x14ac:dyDescent="0.25">
      <c r="A59" t="s">
        <v>603</v>
      </c>
      <c r="C59" t="s">
        <v>346</v>
      </c>
      <c r="I59">
        <v>1</v>
      </c>
      <c r="K59" s="3" t="s">
        <v>347</v>
      </c>
      <c r="L59" s="3" t="s">
        <v>582</v>
      </c>
      <c r="M59"/>
      <c r="N59"/>
      <c r="AC59">
        <v>1</v>
      </c>
      <c r="AG59" t="s">
        <v>348</v>
      </c>
      <c r="BB59">
        <v>1</v>
      </c>
      <c r="BQ59">
        <v>1</v>
      </c>
      <c r="BT59"/>
      <c r="BZ59" s="20" t="s">
        <v>646</v>
      </c>
      <c r="CE59" t="s">
        <v>510</v>
      </c>
      <c r="CH59" s="3"/>
      <c r="DB59">
        <v>1</v>
      </c>
      <c r="DE59">
        <v>1</v>
      </c>
      <c r="DF59">
        <v>1</v>
      </c>
    </row>
    <row r="60" spans="1:110" x14ac:dyDescent="0.25">
      <c r="A60" t="s">
        <v>602</v>
      </c>
      <c r="C60" t="s">
        <v>346</v>
      </c>
      <c r="I60">
        <v>1</v>
      </c>
      <c r="K60" s="3" t="s">
        <v>347</v>
      </c>
      <c r="L60" s="3" t="s">
        <v>582</v>
      </c>
      <c r="O60"/>
      <c r="X60"/>
      <c r="AC60">
        <v>1</v>
      </c>
      <c r="AG60" t="s">
        <v>348</v>
      </c>
      <c r="BB60">
        <v>1</v>
      </c>
      <c r="CK60" s="14" t="s">
        <v>635</v>
      </c>
    </row>
    <row r="63" spans="1:110" x14ac:dyDescent="0.25">
      <c r="CJ63" s="3"/>
    </row>
    <row r="64" spans="1:110" x14ac:dyDescent="0.25">
      <c r="CJ64" s="3"/>
    </row>
    <row r="70" spans="72:88" x14ac:dyDescent="0.25">
      <c r="CJ70" s="3"/>
    </row>
    <row r="71" spans="72:88" x14ac:dyDescent="0.25">
      <c r="CJ71" s="3"/>
    </row>
    <row r="73" spans="72:88" x14ac:dyDescent="0.25">
      <c r="CJ73" s="3"/>
    </row>
    <row r="74" spans="72:88" x14ac:dyDescent="0.25">
      <c r="CJ74" s="3"/>
    </row>
    <row r="75" spans="72:88" x14ac:dyDescent="0.25">
      <c r="CJ75" s="3"/>
    </row>
    <row r="76" spans="72:88" x14ac:dyDescent="0.25">
      <c r="CJ76" s="3"/>
    </row>
    <row r="77" spans="72:88" x14ac:dyDescent="0.25">
      <c r="BT77"/>
    </row>
    <row r="78" spans="72:88" x14ac:dyDescent="0.25">
      <c r="BT78"/>
    </row>
    <row r="79" spans="72:88" x14ac:dyDescent="0.25">
      <c r="BT79"/>
      <c r="CJ79" s="3"/>
    </row>
    <row r="80" spans="72:88" x14ac:dyDescent="0.25">
      <c r="CJ80" s="3"/>
    </row>
    <row r="81" spans="72:88" x14ac:dyDescent="0.25">
      <c r="CJ81" s="3"/>
    </row>
    <row r="82" spans="72:88" x14ac:dyDescent="0.25">
      <c r="BT82"/>
    </row>
    <row r="83" spans="72:88" x14ac:dyDescent="0.25">
      <c r="CJ83" s="3"/>
    </row>
    <row r="87" spans="72:88" x14ac:dyDescent="0.25">
      <c r="BT87"/>
    </row>
    <row r="88" spans="72:88" x14ac:dyDescent="0.25">
      <c r="CJ88" s="3"/>
    </row>
    <row r="96" spans="72:88" x14ac:dyDescent="0.25">
      <c r="CJ96" s="3"/>
    </row>
    <row r="97" spans="72:88" x14ac:dyDescent="0.25">
      <c r="CJ97" s="3"/>
    </row>
    <row r="98" spans="72:88" x14ac:dyDescent="0.25">
      <c r="BT98"/>
    </row>
    <row r="103" spans="72:88" x14ac:dyDescent="0.25">
      <c r="BT103"/>
    </row>
    <row r="104" spans="72:88" x14ac:dyDescent="0.25">
      <c r="BT104"/>
      <c r="CJ104" s="3"/>
    </row>
    <row r="105" spans="72:88" x14ac:dyDescent="0.25">
      <c r="CJ105" s="3"/>
    </row>
    <row r="106" spans="72:88" x14ac:dyDescent="0.25">
      <c r="CJ106" s="3"/>
    </row>
    <row r="107" spans="72:88" x14ac:dyDescent="0.25">
      <c r="CJ107" s="3"/>
    </row>
    <row r="108" spans="72:88" x14ac:dyDescent="0.25">
      <c r="CJ108" s="3"/>
    </row>
    <row r="109" spans="72:88" x14ac:dyDescent="0.25">
      <c r="BT109"/>
    </row>
    <row r="110" spans="72:88" x14ac:dyDescent="0.25">
      <c r="CJ110" s="3"/>
    </row>
    <row r="111" spans="72:88" x14ac:dyDescent="0.25">
      <c r="CJ111" s="3"/>
    </row>
    <row r="112" spans="72:88" x14ac:dyDescent="0.25">
      <c r="CJ112" s="3"/>
    </row>
    <row r="113" spans="72:88" x14ac:dyDescent="0.25">
      <c r="CJ113" s="3"/>
    </row>
    <row r="114" spans="72:88" x14ac:dyDescent="0.25">
      <c r="BT114"/>
    </row>
    <row r="115" spans="72:88" x14ac:dyDescent="0.25">
      <c r="CJ115" s="3"/>
    </row>
    <row r="116" spans="72:88" x14ac:dyDescent="0.25">
      <c r="CJ116" s="3"/>
    </row>
    <row r="117" spans="72:88" x14ac:dyDescent="0.25">
      <c r="CJ117" s="3"/>
    </row>
    <row r="118" spans="72:88" x14ac:dyDescent="0.25">
      <c r="CJ118" s="3"/>
    </row>
    <row r="121" spans="72:88" x14ac:dyDescent="0.25">
      <c r="CJ121" s="3"/>
    </row>
    <row r="122" spans="72:88" x14ac:dyDescent="0.25">
      <c r="CJ122" s="3"/>
    </row>
    <row r="123" spans="72:88" x14ac:dyDescent="0.25">
      <c r="CJ123" s="3"/>
    </row>
    <row r="124" spans="72:88" x14ac:dyDescent="0.25">
      <c r="CJ124" s="3"/>
    </row>
    <row r="125" spans="72:88" x14ac:dyDescent="0.25">
      <c r="CJ125" s="3"/>
    </row>
    <row r="127" spans="72:88" x14ac:dyDescent="0.25">
      <c r="BT127"/>
    </row>
    <row r="128" spans="72:88" x14ac:dyDescent="0.25">
      <c r="CJ128" s="3"/>
    </row>
    <row r="129" spans="72:88" x14ac:dyDescent="0.25">
      <c r="CJ129" s="3"/>
    </row>
    <row r="130" spans="72:88" x14ac:dyDescent="0.25">
      <c r="CJ130" s="3"/>
    </row>
    <row r="131" spans="72:88" x14ac:dyDescent="0.25">
      <c r="CJ131" s="3"/>
    </row>
    <row r="135" spans="72:88" x14ac:dyDescent="0.25">
      <c r="CJ135" s="3"/>
    </row>
    <row r="137" spans="72:88" x14ac:dyDescent="0.25">
      <c r="BT137"/>
    </row>
    <row r="138" spans="72:88" x14ac:dyDescent="0.25">
      <c r="BT138"/>
      <c r="CJ138" s="3"/>
    </row>
    <row r="139" spans="72:88" x14ac:dyDescent="0.25">
      <c r="CJ139" s="3"/>
    </row>
    <row r="140" spans="72:88" x14ac:dyDescent="0.25">
      <c r="CJ140" s="3"/>
    </row>
    <row r="141" spans="72:88" x14ac:dyDescent="0.25">
      <c r="CJ141" s="3"/>
    </row>
    <row r="142" spans="72:88" x14ac:dyDescent="0.25">
      <c r="CJ142" s="3"/>
    </row>
    <row r="144" spans="72:88" x14ac:dyDescent="0.25">
      <c r="BT144"/>
    </row>
    <row r="145" spans="72:88" x14ac:dyDescent="0.25">
      <c r="CJ145" s="3"/>
    </row>
    <row r="146" spans="72:88" x14ac:dyDescent="0.25">
      <c r="CJ146" s="3"/>
    </row>
    <row r="148" spans="72:88" x14ac:dyDescent="0.25">
      <c r="CJ148" s="3"/>
    </row>
    <row r="149" spans="72:88" x14ac:dyDescent="0.25">
      <c r="CJ149" s="3"/>
    </row>
    <row r="151" spans="72:88" x14ac:dyDescent="0.25">
      <c r="BT151"/>
    </row>
    <row r="152" spans="72:88" x14ac:dyDescent="0.25">
      <c r="CJ152" s="3"/>
    </row>
    <row r="155" spans="72:88" x14ac:dyDescent="0.25">
      <c r="CJ155" s="3"/>
    </row>
    <row r="156" spans="72:88" x14ac:dyDescent="0.25">
      <c r="CJ156" s="3"/>
    </row>
    <row r="159" spans="72:88" x14ac:dyDescent="0.25">
      <c r="CJ159" s="3"/>
    </row>
    <row r="161" spans="72:88" x14ac:dyDescent="0.25">
      <c r="CJ161" s="3"/>
    </row>
    <row r="163" spans="72:88" x14ac:dyDescent="0.25">
      <c r="BT163"/>
    </row>
    <row r="164" spans="72:88" x14ac:dyDescent="0.25">
      <c r="CJ164" s="3"/>
    </row>
    <row r="165" spans="72:88" x14ac:dyDescent="0.25">
      <c r="CJ165" s="3"/>
    </row>
    <row r="167" spans="72:88" x14ac:dyDescent="0.25">
      <c r="CJ167" s="3"/>
    </row>
    <row r="168" spans="72:88" x14ac:dyDescent="0.25">
      <c r="CJ168" s="3"/>
    </row>
    <row r="169" spans="72:88" x14ac:dyDescent="0.25">
      <c r="CJ169" s="3"/>
    </row>
    <row r="174" spans="72:88" x14ac:dyDescent="0.25">
      <c r="CJ174" s="3"/>
    </row>
    <row r="175" spans="72:88" x14ac:dyDescent="0.25">
      <c r="CJ175" s="3"/>
    </row>
    <row r="178" spans="88:88" x14ac:dyDescent="0.25">
      <c r="CJ178" s="3"/>
    </row>
    <row r="179" spans="88:88" x14ac:dyDescent="0.25">
      <c r="CJ179" s="3"/>
    </row>
    <row r="183" spans="88:88" x14ac:dyDescent="0.25">
      <c r="CJ183" s="3"/>
    </row>
    <row r="187" spans="88:88" x14ac:dyDescent="0.25">
      <c r="CJ187" s="3"/>
    </row>
    <row r="189" spans="88:88" x14ac:dyDescent="0.25">
      <c r="CJ189" s="3"/>
    </row>
    <row r="190" spans="88:88" x14ac:dyDescent="0.25">
      <c r="CJ190" s="3"/>
    </row>
    <row r="192" spans="88:88" x14ac:dyDescent="0.25">
      <c r="CJ192" s="3"/>
    </row>
    <row r="193" spans="72:88" x14ac:dyDescent="0.25">
      <c r="CJ193" s="3"/>
    </row>
    <row r="195" spans="72:88" x14ac:dyDescent="0.25">
      <c r="BT195"/>
    </row>
    <row r="196" spans="72:88" x14ac:dyDescent="0.25">
      <c r="BT196"/>
      <c r="CJ196" s="3"/>
    </row>
    <row r="197" spans="72:88" x14ac:dyDescent="0.25">
      <c r="CJ197" s="3"/>
    </row>
    <row r="199" spans="72:88" x14ac:dyDescent="0.25">
      <c r="CJ199" s="3"/>
    </row>
    <row r="208" spans="72:88" x14ac:dyDescent="0.25">
      <c r="BT208"/>
    </row>
    <row r="209" spans="72:88" x14ac:dyDescent="0.25">
      <c r="BT209"/>
      <c r="CJ209" s="3"/>
    </row>
    <row r="210" spans="72:88" x14ac:dyDescent="0.25">
      <c r="CJ210" s="3"/>
    </row>
    <row r="211" spans="72:88" x14ac:dyDescent="0.25">
      <c r="CJ211" s="3"/>
    </row>
    <row r="212" spans="72:88" x14ac:dyDescent="0.25">
      <c r="BT212"/>
    </row>
    <row r="213" spans="72:88" x14ac:dyDescent="0.25">
      <c r="BT213"/>
      <c r="CJ213" s="3"/>
    </row>
    <row r="214" spans="72:88" x14ac:dyDescent="0.25">
      <c r="CJ214" s="3"/>
    </row>
    <row r="216" spans="72:88" x14ac:dyDescent="0.25">
      <c r="BT216"/>
    </row>
    <row r="217" spans="72:88" x14ac:dyDescent="0.25">
      <c r="BT217"/>
      <c r="CJ217" s="3"/>
    </row>
    <row r="218" spans="72:88" x14ac:dyDescent="0.25">
      <c r="CJ218" s="3"/>
    </row>
    <row r="220" spans="72:88" x14ac:dyDescent="0.25">
      <c r="BT220"/>
    </row>
    <row r="221" spans="72:88" x14ac:dyDescent="0.25">
      <c r="CJ221" s="3"/>
    </row>
    <row r="224" spans="72:88" x14ac:dyDescent="0.25">
      <c r="CJ224" s="3"/>
    </row>
    <row r="228" spans="72:88" x14ac:dyDescent="0.25">
      <c r="CJ228" s="3"/>
    </row>
    <row r="230" spans="72:88" x14ac:dyDescent="0.25">
      <c r="BT230"/>
    </row>
    <row r="231" spans="72:88" x14ac:dyDescent="0.25">
      <c r="CJ231" s="3"/>
    </row>
    <row r="238" spans="72:88" x14ac:dyDescent="0.25">
      <c r="BT238"/>
    </row>
    <row r="239" spans="72:88" x14ac:dyDescent="0.25">
      <c r="CJ239" s="3"/>
    </row>
    <row r="240" spans="72:88" x14ac:dyDescent="0.25">
      <c r="CJ240" s="3"/>
    </row>
    <row r="242" spans="72:88" x14ac:dyDescent="0.25">
      <c r="BT242"/>
    </row>
    <row r="243" spans="72:88" x14ac:dyDescent="0.25">
      <c r="BT243"/>
      <c r="CJ243" s="3"/>
    </row>
    <row r="244" spans="72:88" x14ac:dyDescent="0.25">
      <c r="CJ244" s="3"/>
    </row>
    <row r="250" spans="72:88" x14ac:dyDescent="0.25">
      <c r="BT250"/>
    </row>
    <row r="251" spans="72:88" x14ac:dyDescent="0.25">
      <c r="BT251"/>
      <c r="CJ251" s="3"/>
    </row>
    <row r="252" spans="72:88" x14ac:dyDescent="0.25">
      <c r="BT252"/>
      <c r="CJ252" s="3"/>
    </row>
    <row r="253" spans="72:88" x14ac:dyDescent="0.25">
      <c r="CJ253" s="3"/>
    </row>
    <row r="258" spans="72:88" x14ac:dyDescent="0.25">
      <c r="BT258"/>
    </row>
    <row r="259" spans="72:88" x14ac:dyDescent="0.25">
      <c r="BT259"/>
    </row>
    <row r="263" spans="72:88" x14ac:dyDescent="0.25">
      <c r="BT263"/>
    </row>
    <row r="264" spans="72:88" x14ac:dyDescent="0.25">
      <c r="CJ264" s="3"/>
    </row>
    <row r="265" spans="72:88" x14ac:dyDescent="0.25">
      <c r="BT265"/>
    </row>
    <row r="266" spans="72:88" x14ac:dyDescent="0.25">
      <c r="CJ266" s="3"/>
    </row>
    <row r="276" spans="72:88" x14ac:dyDescent="0.25">
      <c r="BT276"/>
    </row>
    <row r="277" spans="72:88" x14ac:dyDescent="0.25">
      <c r="CJ277" s="3"/>
    </row>
    <row r="279" spans="72:88" x14ac:dyDescent="0.25">
      <c r="BT279"/>
    </row>
    <row r="280" spans="72:88" x14ac:dyDescent="0.25">
      <c r="CJ280" s="3"/>
    </row>
    <row r="288" spans="72:88" x14ac:dyDescent="0.25">
      <c r="BT288"/>
    </row>
    <row r="289" spans="72:88" x14ac:dyDescent="0.25">
      <c r="CJ289" s="3"/>
    </row>
    <row r="293" spans="72:88" x14ac:dyDescent="0.25">
      <c r="BT293"/>
    </row>
    <row r="294" spans="72:88" x14ac:dyDescent="0.25">
      <c r="CJ294" s="3"/>
    </row>
    <row r="296" spans="72:88" x14ac:dyDescent="0.25">
      <c r="BT296"/>
    </row>
    <row r="297" spans="72:88" x14ac:dyDescent="0.25">
      <c r="CJ297" s="3"/>
    </row>
    <row r="313" spans="72:88" x14ac:dyDescent="0.25">
      <c r="BT313"/>
    </row>
    <row r="314" spans="72:88" x14ac:dyDescent="0.25">
      <c r="BT314"/>
      <c r="CJ314" s="3"/>
    </row>
    <row r="315" spans="72:88" x14ac:dyDescent="0.25">
      <c r="BT315"/>
      <c r="CJ315" s="3"/>
    </row>
    <row r="316" spans="72:88" x14ac:dyDescent="0.25">
      <c r="BT316"/>
      <c r="CJ316" s="3"/>
    </row>
    <row r="317" spans="72:88" x14ac:dyDescent="0.25">
      <c r="BT317"/>
    </row>
    <row r="319" spans="72:88" x14ac:dyDescent="0.25">
      <c r="BT319"/>
    </row>
    <row r="320" spans="72:88" x14ac:dyDescent="0.25">
      <c r="BT320"/>
      <c r="CJ320" s="3"/>
    </row>
    <row r="321" spans="72:88" x14ac:dyDescent="0.25">
      <c r="BT321"/>
      <c r="CJ321" s="3"/>
    </row>
    <row r="322" spans="72:88" x14ac:dyDescent="0.25">
      <c r="CJ322" s="3"/>
    </row>
    <row r="326" spans="72:88" x14ac:dyDescent="0.25">
      <c r="BT326"/>
    </row>
    <row r="327" spans="72:88" x14ac:dyDescent="0.25">
      <c r="CJ327" s="3"/>
    </row>
    <row r="329" spans="72:88" x14ac:dyDescent="0.25">
      <c r="BT329"/>
    </row>
    <row r="330" spans="72:88" x14ac:dyDescent="0.25">
      <c r="BT330"/>
      <c r="CJ330" s="3"/>
    </row>
    <row r="331" spans="72:88" x14ac:dyDescent="0.25">
      <c r="BT331"/>
      <c r="CJ331" s="3"/>
    </row>
    <row r="332" spans="72:88" x14ac:dyDescent="0.25">
      <c r="CJ332" s="3"/>
    </row>
    <row r="348" spans="72:88" x14ac:dyDescent="0.25">
      <c r="BT348"/>
    </row>
    <row r="349" spans="72:88" x14ac:dyDescent="0.25">
      <c r="CJ349" s="3"/>
    </row>
    <row r="357" spans="72:88" x14ac:dyDescent="0.25">
      <c r="CJ357" s="3"/>
    </row>
    <row r="358" spans="72:88" x14ac:dyDescent="0.25">
      <c r="CJ358" s="3"/>
    </row>
    <row r="359" spans="72:88" x14ac:dyDescent="0.25">
      <c r="CJ359" s="3"/>
    </row>
    <row r="360" spans="72:88" x14ac:dyDescent="0.25">
      <c r="CJ360" s="3"/>
    </row>
    <row r="361" spans="72:88" x14ac:dyDescent="0.25">
      <c r="CJ361" s="3"/>
    </row>
    <row r="363" spans="72:88" x14ac:dyDescent="0.25">
      <c r="BT363"/>
    </row>
    <row r="364" spans="72:88" x14ac:dyDescent="0.25">
      <c r="CJ364" s="3"/>
    </row>
    <row r="365" spans="72:88" x14ac:dyDescent="0.25">
      <c r="BT365"/>
    </row>
    <row r="366" spans="72:88" x14ac:dyDescent="0.25">
      <c r="BT366"/>
      <c r="CJ366" s="3"/>
    </row>
    <row r="367" spans="72:88" x14ac:dyDescent="0.25">
      <c r="CJ367" s="3"/>
    </row>
    <row r="369" spans="72:88" x14ac:dyDescent="0.25">
      <c r="BT369"/>
    </row>
    <row r="370" spans="72:88" x14ac:dyDescent="0.25">
      <c r="BT370"/>
      <c r="CJ370" s="3"/>
    </row>
    <row r="371" spans="72:88" x14ac:dyDescent="0.25">
      <c r="BT371"/>
      <c r="CJ371" s="3"/>
    </row>
    <row r="372" spans="72:88" x14ac:dyDescent="0.25">
      <c r="CJ372" s="3"/>
    </row>
    <row r="374" spans="72:88" x14ac:dyDescent="0.25">
      <c r="CJ374" s="3"/>
    </row>
    <row r="376" spans="72:88" x14ac:dyDescent="0.25">
      <c r="CJ376" s="3"/>
    </row>
    <row r="378" spans="72:88" x14ac:dyDescent="0.25">
      <c r="CJ378" s="3"/>
    </row>
    <row r="381" spans="72:88" x14ac:dyDescent="0.25">
      <c r="CJ381" s="3"/>
    </row>
    <row r="382" spans="72:88" x14ac:dyDescent="0.25">
      <c r="CJ382" s="3"/>
    </row>
    <row r="383" spans="72:88" x14ac:dyDescent="0.25">
      <c r="CJ383" s="3"/>
    </row>
    <row r="384" spans="72:88" x14ac:dyDescent="0.25">
      <c r="CJ384" s="3"/>
    </row>
    <row r="385" spans="72:88" x14ac:dyDescent="0.25">
      <c r="CJ385" s="3"/>
    </row>
    <row r="386" spans="72:88" x14ac:dyDescent="0.25">
      <c r="CJ386" s="3"/>
    </row>
    <row r="387" spans="72:88" x14ac:dyDescent="0.25">
      <c r="BT387"/>
    </row>
    <row r="388" spans="72:88" x14ac:dyDescent="0.25">
      <c r="BT388"/>
      <c r="CJ388" s="3"/>
    </row>
    <row r="389" spans="72:88" x14ac:dyDescent="0.25">
      <c r="BT389"/>
      <c r="CJ389" s="3"/>
    </row>
    <row r="390" spans="72:88" x14ac:dyDescent="0.25">
      <c r="CJ390" s="3"/>
    </row>
    <row r="391" spans="72:88" x14ac:dyDescent="0.25">
      <c r="CJ391" s="3"/>
    </row>
    <row r="392" spans="72:88" x14ac:dyDescent="0.25">
      <c r="CJ392" s="3"/>
    </row>
    <row r="393" spans="72:88" x14ac:dyDescent="0.25">
      <c r="CJ393" s="3"/>
    </row>
    <row r="395" spans="72:88" x14ac:dyDescent="0.25">
      <c r="CJ395" s="3"/>
    </row>
    <row r="396" spans="72:88" x14ac:dyDescent="0.25">
      <c r="CJ396" s="3"/>
    </row>
    <row r="397" spans="72:88" x14ac:dyDescent="0.25">
      <c r="BT397"/>
    </row>
    <row r="398" spans="72:88" x14ac:dyDescent="0.25">
      <c r="BT398"/>
      <c r="CJ398" s="3"/>
    </row>
    <row r="399" spans="72:88" x14ac:dyDescent="0.25">
      <c r="BT399"/>
      <c r="CJ399" s="3"/>
    </row>
    <row r="400" spans="72:88" x14ac:dyDescent="0.25">
      <c r="CJ400" s="3"/>
    </row>
    <row r="401" spans="72:88" x14ac:dyDescent="0.25">
      <c r="CJ401" s="3"/>
    </row>
    <row r="403" spans="72:88" x14ac:dyDescent="0.25">
      <c r="CJ403" s="3"/>
    </row>
    <row r="404" spans="72:88" x14ac:dyDescent="0.25">
      <c r="CJ404" s="3"/>
    </row>
    <row r="405" spans="72:88" x14ac:dyDescent="0.25">
      <c r="BT405"/>
      <c r="CJ405" s="3"/>
    </row>
    <row r="406" spans="72:88" x14ac:dyDescent="0.25">
      <c r="BT406"/>
      <c r="CJ406" s="3"/>
    </row>
    <row r="407" spans="72:88" x14ac:dyDescent="0.25">
      <c r="CJ407" s="3"/>
    </row>
    <row r="408" spans="72:88" x14ac:dyDescent="0.25">
      <c r="CJ408" s="3"/>
    </row>
    <row r="409" spans="72:88" x14ac:dyDescent="0.25">
      <c r="CJ409" s="3"/>
    </row>
    <row r="411" spans="72:88" x14ac:dyDescent="0.25">
      <c r="BT411"/>
      <c r="CJ411" s="3"/>
    </row>
    <row r="412" spans="72:88" x14ac:dyDescent="0.25">
      <c r="CJ412" s="3"/>
    </row>
    <row r="413" spans="72:88" x14ac:dyDescent="0.25">
      <c r="CJ413" s="3"/>
    </row>
    <row r="415" spans="72:88" x14ac:dyDescent="0.25">
      <c r="BT415"/>
      <c r="CJ415" s="3"/>
    </row>
    <row r="416" spans="72:88" x14ac:dyDescent="0.25">
      <c r="BT416"/>
      <c r="CJ416" s="3"/>
    </row>
    <row r="417" spans="72:88" x14ac:dyDescent="0.25">
      <c r="CJ417" s="3"/>
    </row>
    <row r="419" spans="72:88" x14ac:dyDescent="0.25">
      <c r="CJ419" s="3"/>
    </row>
    <row r="421" spans="72:88" x14ac:dyDescent="0.25">
      <c r="CJ421" s="3"/>
    </row>
    <row r="424" spans="72:88" x14ac:dyDescent="0.25">
      <c r="CJ424" s="3"/>
    </row>
    <row r="425" spans="72:88" x14ac:dyDescent="0.25">
      <c r="CJ425" s="3"/>
    </row>
    <row r="429" spans="72:88" x14ac:dyDescent="0.25">
      <c r="BT429"/>
    </row>
    <row r="430" spans="72:88" x14ac:dyDescent="0.25">
      <c r="BT430"/>
      <c r="CJ430" s="3"/>
    </row>
    <row r="431" spans="72:88" x14ac:dyDescent="0.25">
      <c r="BT431"/>
      <c r="CJ431" s="3"/>
    </row>
    <row r="432" spans="72:88" x14ac:dyDescent="0.25">
      <c r="CJ432" s="3"/>
    </row>
    <row r="433" spans="72:88" x14ac:dyDescent="0.25">
      <c r="CJ433" s="3"/>
    </row>
    <row r="434" spans="72:88" x14ac:dyDescent="0.25">
      <c r="BT434"/>
    </row>
    <row r="435" spans="72:88" x14ac:dyDescent="0.25">
      <c r="CJ435" s="3"/>
    </row>
    <row r="437" spans="72:88" x14ac:dyDescent="0.25">
      <c r="CJ437" s="3"/>
    </row>
    <row r="438" spans="72:88" x14ac:dyDescent="0.25">
      <c r="CJ438" s="3"/>
    </row>
    <row r="440" spans="72:88" x14ac:dyDescent="0.25">
      <c r="CJ440" s="3"/>
    </row>
    <row r="441" spans="72:88" x14ac:dyDescent="0.25">
      <c r="CJ441" s="3"/>
    </row>
    <row r="442" spans="72:88" x14ac:dyDescent="0.25">
      <c r="CJ442" s="3"/>
    </row>
    <row r="443" spans="72:88" x14ac:dyDescent="0.25">
      <c r="CJ443" s="3"/>
    </row>
    <row r="444" spans="72:88" x14ac:dyDescent="0.25">
      <c r="CJ444" s="3"/>
    </row>
    <row r="445" spans="72:88" x14ac:dyDescent="0.25">
      <c r="CJ445" s="3"/>
    </row>
    <row r="446" spans="72:88" x14ac:dyDescent="0.25">
      <c r="CJ446" s="3"/>
    </row>
    <row r="448" spans="72:88" x14ac:dyDescent="0.25">
      <c r="BT448"/>
    </row>
    <row r="449" spans="88:88" x14ac:dyDescent="0.25">
      <c r="CJ449" s="3"/>
    </row>
    <row r="450" spans="88:88" x14ac:dyDescent="0.25">
      <c r="CJ450" s="3"/>
    </row>
    <row r="483" spans="8:88" x14ac:dyDescent="0.25">
      <c r="BS483" s="10"/>
      <c r="BT483" s="11"/>
    </row>
    <row r="484" spans="8:88" x14ac:dyDescent="0.25">
      <c r="H484" s="10"/>
      <c r="CJ484" s="10"/>
    </row>
    <row r="490" spans="8:88" x14ac:dyDescent="0.25">
      <c r="BT490"/>
    </row>
    <row r="491" spans="8:88" x14ac:dyDescent="0.25">
      <c r="BT491"/>
      <c r="CJ491" s="3"/>
    </row>
    <row r="492" spans="8:88" x14ac:dyDescent="0.25">
      <c r="BT492"/>
      <c r="CJ492" s="3"/>
    </row>
    <row r="493" spans="8:88" x14ac:dyDescent="0.25">
      <c r="CJ493" s="3"/>
    </row>
    <row r="510" spans="72:88" x14ac:dyDescent="0.25">
      <c r="BT510"/>
    </row>
    <row r="511" spans="72:88" x14ac:dyDescent="0.25">
      <c r="CJ511" s="3"/>
    </row>
    <row r="543" spans="72:88" x14ac:dyDescent="0.25">
      <c r="BT543"/>
    </row>
    <row r="544" spans="72:88" x14ac:dyDescent="0.25">
      <c r="BT544"/>
      <c r="CJ544" s="3"/>
    </row>
    <row r="545" spans="88:88" x14ac:dyDescent="0.25">
      <c r="CJ545" s="3"/>
    </row>
    <row r="561" spans="72:88" x14ac:dyDescent="0.25">
      <c r="BT561"/>
    </row>
    <row r="562" spans="72:88" x14ac:dyDescent="0.25">
      <c r="CJ562" s="3"/>
    </row>
    <row r="568" spans="72:88" x14ac:dyDescent="0.25">
      <c r="BT568"/>
    </row>
    <row r="569" spans="72:88" x14ac:dyDescent="0.25">
      <c r="BT569"/>
      <c r="CJ569" s="3"/>
    </row>
    <row r="570" spans="72:88" x14ac:dyDescent="0.25">
      <c r="CJ570" s="3"/>
    </row>
    <row r="575" spans="72:88" x14ac:dyDescent="0.25">
      <c r="BT575"/>
    </row>
    <row r="576" spans="72:88" x14ac:dyDescent="0.25">
      <c r="BT576"/>
      <c r="CJ576" s="3"/>
    </row>
    <row r="577" spans="72:88" x14ac:dyDescent="0.25">
      <c r="BT577"/>
      <c r="CJ577" s="3"/>
    </row>
    <row r="578" spans="72:88" x14ac:dyDescent="0.25">
      <c r="BT578"/>
      <c r="CJ578" s="3"/>
    </row>
    <row r="579" spans="72:88" x14ac:dyDescent="0.25">
      <c r="BT579"/>
      <c r="CJ579" s="3"/>
    </row>
    <row r="580" spans="72:88" x14ac:dyDescent="0.25">
      <c r="BT580"/>
      <c r="CJ580" s="3"/>
    </row>
    <row r="581" spans="72:88" x14ac:dyDescent="0.25">
      <c r="BT581"/>
      <c r="CJ581" s="3"/>
    </row>
    <row r="582" spans="72:88" x14ac:dyDescent="0.25">
      <c r="BT582"/>
      <c r="CJ582" s="3"/>
    </row>
    <row r="583" spans="72:88" x14ac:dyDescent="0.25">
      <c r="BT583"/>
      <c r="CJ583" s="3"/>
    </row>
    <row r="584" spans="72:88" x14ac:dyDescent="0.25">
      <c r="BT584"/>
      <c r="CJ584" s="3"/>
    </row>
    <row r="585" spans="72:88" x14ac:dyDescent="0.25">
      <c r="BT585"/>
      <c r="CJ585" s="3"/>
    </row>
    <row r="586" spans="72:88" x14ac:dyDescent="0.25">
      <c r="BT586"/>
      <c r="CJ586" s="3"/>
    </row>
    <row r="587" spans="72:88" x14ac:dyDescent="0.25">
      <c r="BT587"/>
      <c r="CJ587" s="3"/>
    </row>
    <row r="588" spans="72:88" x14ac:dyDescent="0.25">
      <c r="BT588"/>
      <c r="CJ588" s="3"/>
    </row>
    <row r="589" spans="72:88" x14ac:dyDescent="0.25">
      <c r="BT589"/>
      <c r="CJ589" s="3"/>
    </row>
    <row r="590" spans="72:88" x14ac:dyDescent="0.25">
      <c r="BT590"/>
      <c r="CJ590" s="3"/>
    </row>
    <row r="591" spans="72:88" x14ac:dyDescent="0.25">
      <c r="CJ591" s="3"/>
    </row>
    <row r="595" spans="72:88" x14ac:dyDescent="0.25">
      <c r="BT595"/>
    </row>
    <row r="596" spans="72:88" x14ac:dyDescent="0.25">
      <c r="BT596"/>
      <c r="CJ596" s="3"/>
    </row>
    <row r="597" spans="72:88" x14ac:dyDescent="0.25">
      <c r="CJ597" s="3"/>
    </row>
    <row r="598" spans="72:88" x14ac:dyDescent="0.25">
      <c r="BT598"/>
    </row>
    <row r="599" spans="72:88" x14ac:dyDescent="0.25">
      <c r="CJ599" s="3"/>
    </row>
    <row r="602" spans="72:88" x14ac:dyDescent="0.25">
      <c r="BT602"/>
    </row>
    <row r="603" spans="72:88" x14ac:dyDescent="0.25">
      <c r="BT603"/>
      <c r="CJ603" s="3"/>
    </row>
    <row r="604" spans="72:88" x14ac:dyDescent="0.25">
      <c r="CJ604" s="3"/>
    </row>
    <row r="635" spans="72:88" x14ac:dyDescent="0.25">
      <c r="BT635"/>
    </row>
    <row r="636" spans="72:88" x14ac:dyDescent="0.25">
      <c r="BT636"/>
      <c r="CJ636" s="3"/>
    </row>
    <row r="637" spans="72:88" x14ac:dyDescent="0.25">
      <c r="BT637"/>
      <c r="CJ637" s="3"/>
    </row>
    <row r="638" spans="72:88" x14ac:dyDescent="0.25">
      <c r="BT638"/>
      <c r="CJ638" s="3"/>
    </row>
    <row r="639" spans="72:88" x14ac:dyDescent="0.25">
      <c r="BT639"/>
      <c r="CJ639" s="3"/>
    </row>
    <row r="640" spans="72:88" x14ac:dyDescent="0.25">
      <c r="BT640"/>
      <c r="CJ640" s="3"/>
    </row>
    <row r="641" spans="72:88" x14ac:dyDescent="0.25">
      <c r="BT641"/>
      <c r="CJ641" s="3"/>
    </row>
    <row r="642" spans="72:88" x14ac:dyDescent="0.25">
      <c r="BT642"/>
      <c r="CJ642" s="3"/>
    </row>
    <row r="643" spans="72:88" x14ac:dyDescent="0.25">
      <c r="CJ643" s="3"/>
    </row>
    <row r="645" spans="72:88" x14ac:dyDescent="0.25">
      <c r="BT645"/>
    </row>
    <row r="646" spans="72:88" x14ac:dyDescent="0.25">
      <c r="CJ646" s="3"/>
    </row>
    <row r="650" spans="72:88" x14ac:dyDescent="0.25">
      <c r="BT650"/>
    </row>
    <row r="651" spans="72:88" x14ac:dyDescent="0.25">
      <c r="CJ651" s="3"/>
    </row>
    <row r="654" spans="72:88" x14ac:dyDescent="0.25">
      <c r="BT654"/>
    </row>
    <row r="655" spans="72:88" x14ac:dyDescent="0.25">
      <c r="BT655"/>
      <c r="CJ655" s="3"/>
    </row>
    <row r="656" spans="72:88" x14ac:dyDescent="0.25">
      <c r="BT656"/>
      <c r="CJ656" s="3"/>
    </row>
    <row r="657" spans="72:88" x14ac:dyDescent="0.25">
      <c r="BT657"/>
      <c r="CJ657" s="3"/>
    </row>
    <row r="658" spans="72:88" x14ac:dyDescent="0.25">
      <c r="CJ658" s="3"/>
    </row>
    <row r="665" spans="72:88" x14ac:dyDescent="0.25">
      <c r="BT665"/>
    </row>
    <row r="666" spans="72:88" x14ac:dyDescent="0.25">
      <c r="CJ666" s="3"/>
    </row>
    <row r="669" spans="72:88" x14ac:dyDescent="0.25">
      <c r="BT669"/>
    </row>
    <row r="670" spans="72:88" x14ac:dyDescent="0.25">
      <c r="BT670"/>
      <c r="CJ670" s="3"/>
    </row>
    <row r="671" spans="72:88" x14ac:dyDescent="0.25">
      <c r="BT671"/>
      <c r="CJ671" s="3"/>
    </row>
    <row r="672" spans="72:88" x14ac:dyDescent="0.25">
      <c r="BT672"/>
      <c r="CJ672" s="3"/>
    </row>
    <row r="673" spans="72:88" x14ac:dyDescent="0.25">
      <c r="CJ673" s="3"/>
    </row>
    <row r="675" spans="72:88" x14ac:dyDescent="0.25">
      <c r="BT675"/>
    </row>
    <row r="676" spans="72:88" x14ac:dyDescent="0.25">
      <c r="BT676"/>
      <c r="CJ676" s="3"/>
    </row>
    <row r="677" spans="72:88" x14ac:dyDescent="0.25">
      <c r="CJ677" s="3"/>
    </row>
    <row r="678" spans="72:88" x14ac:dyDescent="0.25">
      <c r="CJ678">
        <v>0.15</v>
      </c>
    </row>
    <row r="680" spans="72:88" x14ac:dyDescent="0.25">
      <c r="CJ680">
        <v>0.2</v>
      </c>
    </row>
    <row r="681" spans="72:88" x14ac:dyDescent="0.25">
      <c r="CJ681">
        <v>0.1</v>
      </c>
    </row>
    <row r="683" spans="72:88" x14ac:dyDescent="0.25">
      <c r="CJ683">
        <v>0.2</v>
      </c>
    </row>
    <row r="690" spans="72:88" x14ac:dyDescent="0.25">
      <c r="CJ690">
        <v>1</v>
      </c>
    </row>
    <row r="692" spans="72:88" x14ac:dyDescent="0.25">
      <c r="CJ692">
        <v>0.4</v>
      </c>
    </row>
    <row r="693" spans="72:88" x14ac:dyDescent="0.25">
      <c r="CJ693">
        <v>0.6</v>
      </c>
    </row>
    <row r="696" spans="72:88" x14ac:dyDescent="0.25">
      <c r="CJ696">
        <v>0.5</v>
      </c>
    </row>
    <row r="697" spans="72:88" x14ac:dyDescent="0.25">
      <c r="CJ697">
        <v>0.66700000000000004</v>
      </c>
    </row>
    <row r="698" spans="72:88" x14ac:dyDescent="0.25">
      <c r="CJ698">
        <v>0.2</v>
      </c>
    </row>
    <row r="701" spans="72:88" x14ac:dyDescent="0.25">
      <c r="BT701"/>
    </row>
    <row r="702" spans="72:88" x14ac:dyDescent="0.25">
      <c r="BT702"/>
      <c r="CJ702" s="3"/>
    </row>
    <row r="703" spans="72:88" x14ac:dyDescent="0.25">
      <c r="BT703"/>
      <c r="CJ703" s="3"/>
    </row>
    <row r="704" spans="72:88" x14ac:dyDescent="0.25">
      <c r="BT704"/>
      <c r="CJ704" s="3"/>
    </row>
    <row r="705" spans="72:88" x14ac:dyDescent="0.25">
      <c r="BT705"/>
      <c r="CJ705" s="3"/>
    </row>
    <row r="706" spans="72:88" x14ac:dyDescent="0.25">
      <c r="BT706"/>
      <c r="CJ706" s="3"/>
    </row>
    <row r="707" spans="72:88" x14ac:dyDescent="0.25">
      <c r="BT707"/>
      <c r="CJ707" s="3"/>
    </row>
    <row r="708" spans="72:88" x14ac:dyDescent="0.25">
      <c r="BT708"/>
      <c r="CJ708" s="3"/>
    </row>
    <row r="709" spans="72:88" x14ac:dyDescent="0.25">
      <c r="BT709"/>
      <c r="CJ709" s="3"/>
    </row>
    <row r="710" spans="72:88" x14ac:dyDescent="0.25">
      <c r="CJ710" s="3"/>
    </row>
    <row r="711" spans="72:88" x14ac:dyDescent="0.25">
      <c r="BT711"/>
    </row>
    <row r="712" spans="72:88" x14ac:dyDescent="0.25">
      <c r="CJ712" s="3"/>
    </row>
    <row r="721" spans="72:88" x14ac:dyDescent="0.25">
      <c r="BT721"/>
    </row>
    <row r="722" spans="72:88" x14ac:dyDescent="0.25">
      <c r="BT722"/>
      <c r="CJ722" s="3"/>
    </row>
    <row r="723" spans="72:88" x14ac:dyDescent="0.25">
      <c r="BT723"/>
      <c r="CJ723" s="3"/>
    </row>
    <row r="724" spans="72:88" x14ac:dyDescent="0.25">
      <c r="BT724"/>
      <c r="CJ724" s="3"/>
    </row>
    <row r="725" spans="72:88" x14ac:dyDescent="0.25">
      <c r="BT725"/>
      <c r="CJ725" s="3"/>
    </row>
    <row r="726" spans="72:88" x14ac:dyDescent="0.25">
      <c r="BT726"/>
      <c r="CJ726" s="3"/>
    </row>
    <row r="727" spans="72:88" x14ac:dyDescent="0.25">
      <c r="BT727"/>
      <c r="CJ727" s="3"/>
    </row>
    <row r="728" spans="72:88" x14ac:dyDescent="0.25">
      <c r="BT728"/>
      <c r="CJ728" s="3"/>
    </row>
    <row r="729" spans="72:88" x14ac:dyDescent="0.25">
      <c r="CJ729" s="3"/>
    </row>
    <row r="730" spans="72:88" x14ac:dyDescent="0.25">
      <c r="BT730"/>
    </row>
    <row r="731" spans="72:88" x14ac:dyDescent="0.25">
      <c r="CJ731" s="3"/>
    </row>
    <row r="736" spans="72:88" x14ac:dyDescent="0.25">
      <c r="BT736"/>
    </row>
    <row r="737" spans="72:88" x14ac:dyDescent="0.25">
      <c r="BT737"/>
      <c r="CJ737" s="3"/>
    </row>
    <row r="738" spans="72:88" x14ac:dyDescent="0.25">
      <c r="CJ738" s="3"/>
    </row>
    <row r="739" spans="72:88" x14ac:dyDescent="0.25">
      <c r="BT739"/>
    </row>
    <row r="740" spans="72:88" x14ac:dyDescent="0.25">
      <c r="BT740"/>
      <c r="CJ740" s="3"/>
    </row>
    <row r="741" spans="72:88" x14ac:dyDescent="0.25">
      <c r="CJ741" s="3"/>
    </row>
    <row r="742" spans="72:88" x14ac:dyDescent="0.25">
      <c r="BT742"/>
    </row>
    <row r="743" spans="72:88" x14ac:dyDescent="0.25">
      <c r="BT743"/>
      <c r="CJ743" s="3"/>
    </row>
    <row r="744" spans="72:88" x14ac:dyDescent="0.25">
      <c r="BT744"/>
      <c r="CJ744" s="3"/>
    </row>
    <row r="745" spans="72:88" x14ac:dyDescent="0.25">
      <c r="BT745"/>
      <c r="CJ745" s="3"/>
    </row>
    <row r="746" spans="72:88" x14ac:dyDescent="0.25">
      <c r="CJ746" s="3"/>
    </row>
    <row r="750" spans="72:88" x14ac:dyDescent="0.25">
      <c r="BT750"/>
    </row>
    <row r="751" spans="72:88" x14ac:dyDescent="0.25">
      <c r="BT751"/>
      <c r="CJ751" s="3"/>
    </row>
    <row r="752" spans="72:88" x14ac:dyDescent="0.25">
      <c r="BT752"/>
      <c r="CJ752" s="3"/>
    </row>
    <row r="753" spans="8:88" x14ac:dyDescent="0.25">
      <c r="CJ753" s="3"/>
    </row>
    <row r="754" spans="8:88" x14ac:dyDescent="0.25">
      <c r="BT754"/>
    </row>
    <row r="755" spans="8:88" x14ac:dyDescent="0.25">
      <c r="CJ755" s="3"/>
    </row>
    <row r="756" spans="8:88" x14ac:dyDescent="0.25">
      <c r="BS756" s="10"/>
      <c r="BT756" s="11"/>
    </row>
    <row r="757" spans="8:88" x14ac:dyDescent="0.25">
      <c r="H757" s="10"/>
      <c r="CJ757" s="10"/>
    </row>
    <row r="774" spans="8:88" x14ac:dyDescent="0.25">
      <c r="BT774"/>
    </row>
    <row r="775" spans="8:88" x14ac:dyDescent="0.25">
      <c r="BT775"/>
      <c r="CJ775" s="3"/>
    </row>
    <row r="776" spans="8:88" x14ac:dyDescent="0.25">
      <c r="BT776"/>
      <c r="CJ776" s="3"/>
    </row>
    <row r="777" spans="8:88" x14ac:dyDescent="0.25">
      <c r="BT777"/>
      <c r="CJ777" s="3"/>
    </row>
    <row r="778" spans="8:88" x14ac:dyDescent="0.25">
      <c r="CJ778" s="3"/>
    </row>
    <row r="779" spans="8:88" x14ac:dyDescent="0.25">
      <c r="BT779"/>
    </row>
    <row r="780" spans="8:88" x14ac:dyDescent="0.25">
      <c r="BT780"/>
      <c r="CJ780" s="3"/>
    </row>
    <row r="781" spans="8:88" x14ac:dyDescent="0.25">
      <c r="BS781" s="10"/>
      <c r="BT781" s="11"/>
      <c r="CJ781" s="3"/>
    </row>
    <row r="782" spans="8:88" x14ac:dyDescent="0.25">
      <c r="H782" s="10"/>
      <c r="CJ782" s="10"/>
    </row>
    <row r="785" spans="72:88" x14ac:dyDescent="0.25">
      <c r="BT785"/>
    </row>
    <row r="786" spans="72:88" x14ac:dyDescent="0.25">
      <c r="BT786"/>
      <c r="CJ786" s="3"/>
    </row>
    <row r="787" spans="72:88" x14ac:dyDescent="0.25">
      <c r="BT787"/>
      <c r="CJ787" s="3"/>
    </row>
    <row r="788" spans="72:88" x14ac:dyDescent="0.25">
      <c r="BT788"/>
      <c r="CJ788" s="3"/>
    </row>
    <row r="789" spans="72:88" x14ac:dyDescent="0.25">
      <c r="BT789"/>
      <c r="CJ789" s="3"/>
    </row>
    <row r="790" spans="72:88" x14ac:dyDescent="0.25">
      <c r="BT790"/>
      <c r="CJ790" s="3"/>
    </row>
    <row r="791" spans="72:88" x14ac:dyDescent="0.25">
      <c r="BT791"/>
      <c r="CJ791" s="3"/>
    </row>
    <row r="792" spans="72:88" x14ac:dyDescent="0.25">
      <c r="BT792"/>
      <c r="CJ792" s="3"/>
    </row>
    <row r="793" spans="72:88" x14ac:dyDescent="0.25">
      <c r="CJ793" s="3"/>
    </row>
    <row r="795" spans="72:88" x14ac:dyDescent="0.25">
      <c r="BT795"/>
    </row>
    <row r="796" spans="72:88" x14ac:dyDescent="0.25">
      <c r="BT796"/>
      <c r="CJ796" s="3"/>
    </row>
    <row r="797" spans="72:88" x14ac:dyDescent="0.25">
      <c r="BT797"/>
      <c r="CJ797" s="3"/>
    </row>
    <row r="798" spans="72:88" x14ac:dyDescent="0.25">
      <c r="BT798"/>
      <c r="CJ798" s="3"/>
    </row>
    <row r="799" spans="72:88" x14ac:dyDescent="0.25">
      <c r="BT799"/>
      <c r="CJ799" s="3"/>
    </row>
    <row r="800" spans="72:88" x14ac:dyDescent="0.25">
      <c r="BT800"/>
      <c r="CJ800" s="3"/>
    </row>
    <row r="801" spans="72:88" x14ac:dyDescent="0.25">
      <c r="CJ801" s="3"/>
    </row>
    <row r="802" spans="72:88" x14ac:dyDescent="0.25">
      <c r="BT802"/>
    </row>
    <row r="803" spans="72:88" x14ac:dyDescent="0.25">
      <c r="BT803"/>
      <c r="CJ803" s="3"/>
    </row>
    <row r="804" spans="72:88" x14ac:dyDescent="0.25">
      <c r="BT804"/>
      <c r="CJ804" s="3"/>
    </row>
    <row r="805" spans="72:88" x14ac:dyDescent="0.25">
      <c r="BT805"/>
      <c r="CJ805" s="3"/>
    </row>
    <row r="806" spans="72:88" x14ac:dyDescent="0.25">
      <c r="BT806"/>
      <c r="CJ806" s="3"/>
    </row>
    <row r="807" spans="72:88" x14ac:dyDescent="0.25">
      <c r="BT807"/>
      <c r="CJ807" s="3"/>
    </row>
    <row r="808" spans="72:88" x14ac:dyDescent="0.25">
      <c r="BT808"/>
      <c r="CJ808" s="3"/>
    </row>
    <row r="809" spans="72:88" x14ac:dyDescent="0.25">
      <c r="BT809"/>
      <c r="CJ809" s="3"/>
    </row>
    <row r="810" spans="72:88" x14ac:dyDescent="0.25">
      <c r="BT810"/>
      <c r="CJ810" s="3"/>
    </row>
    <row r="811" spans="72:88" x14ac:dyDescent="0.25">
      <c r="BT811"/>
      <c r="CJ811" s="3"/>
    </row>
    <row r="812" spans="72:88" x14ac:dyDescent="0.25">
      <c r="BT812"/>
      <c r="CJ812" s="3"/>
    </row>
    <row r="813" spans="72:88" x14ac:dyDescent="0.25">
      <c r="BT813"/>
      <c r="CJ813" s="3"/>
    </row>
    <row r="814" spans="72:88" x14ac:dyDescent="0.25">
      <c r="BT814"/>
      <c r="CJ814" s="3"/>
    </row>
    <row r="815" spans="72:88" x14ac:dyDescent="0.25">
      <c r="BT815"/>
      <c r="CJ815" s="3"/>
    </row>
    <row r="816" spans="72:88" x14ac:dyDescent="0.25">
      <c r="BT816"/>
      <c r="CJ816" s="3"/>
    </row>
    <row r="817" spans="72:88" x14ac:dyDescent="0.25">
      <c r="BT817"/>
      <c r="CJ817" s="3"/>
    </row>
    <row r="818" spans="72:88" x14ac:dyDescent="0.25">
      <c r="BT818"/>
      <c r="CJ818" s="3"/>
    </row>
    <row r="819" spans="72:88" x14ac:dyDescent="0.25">
      <c r="BT819"/>
      <c r="CJ819" s="3"/>
    </row>
    <row r="820" spans="72:88" x14ac:dyDescent="0.25">
      <c r="BT820"/>
      <c r="CJ820" s="3"/>
    </row>
    <row r="821" spans="72:88" x14ac:dyDescent="0.25">
      <c r="BT821"/>
      <c r="CJ821" s="3"/>
    </row>
    <row r="822" spans="72:88" x14ac:dyDescent="0.25">
      <c r="BT822"/>
      <c r="CJ822" s="3"/>
    </row>
    <row r="823" spans="72:88" x14ac:dyDescent="0.25">
      <c r="BT823"/>
      <c r="CJ823" s="3"/>
    </row>
    <row r="824" spans="72:88" x14ac:dyDescent="0.25">
      <c r="BT824"/>
      <c r="CJ824" s="3"/>
    </row>
    <row r="825" spans="72:88" x14ac:dyDescent="0.25">
      <c r="BT825"/>
      <c r="CJ825" s="3"/>
    </row>
    <row r="826" spans="72:88" x14ac:dyDescent="0.25">
      <c r="BT826"/>
      <c r="CJ826" s="3"/>
    </row>
    <row r="827" spans="72:88" x14ac:dyDescent="0.25">
      <c r="BT827"/>
      <c r="CJ827" s="3"/>
    </row>
    <row r="828" spans="72:88" x14ac:dyDescent="0.25">
      <c r="BT828"/>
      <c r="CJ828" s="3"/>
    </row>
    <row r="829" spans="72:88" x14ac:dyDescent="0.25">
      <c r="BT829"/>
      <c r="CJ829" s="3"/>
    </row>
    <row r="830" spans="72:88" x14ac:dyDescent="0.25">
      <c r="BT830"/>
      <c r="CJ830" s="3"/>
    </row>
    <row r="831" spans="72:88" x14ac:dyDescent="0.25">
      <c r="BT831"/>
      <c r="CJ831" s="3"/>
    </row>
    <row r="832" spans="72:88" x14ac:dyDescent="0.25">
      <c r="CJ832" s="3"/>
    </row>
    <row r="833" spans="72:88" x14ac:dyDescent="0.25">
      <c r="BT833"/>
    </row>
    <row r="834" spans="72:88" x14ac:dyDescent="0.25">
      <c r="BT834"/>
      <c r="CJ834" s="3"/>
    </row>
    <row r="835" spans="72:88" x14ac:dyDescent="0.25">
      <c r="BT835"/>
      <c r="CJ835" s="3"/>
    </row>
    <row r="836" spans="72:88" x14ac:dyDescent="0.25">
      <c r="CJ836" s="3"/>
    </row>
  </sheetData>
  <phoneticPr fontId="8" type="noConversion"/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21" sqref="A21"/>
    </sheetView>
  </sheetViews>
  <sheetFormatPr defaultColWidth="9" defaultRowHeight="14.05" x14ac:dyDescent="0.25"/>
  <cols>
    <col min="1" max="1" width="13" customWidth="1"/>
    <col min="2" max="2" width="31.25" customWidth="1"/>
    <col min="7" max="7" width="18.75" customWidth="1"/>
    <col min="8" max="8" width="15" customWidth="1"/>
    <col min="14" max="14" width="16.08203125" customWidth="1"/>
    <col min="15" max="15" width="9.5" customWidth="1"/>
    <col min="16" max="16" width="12.83203125" customWidth="1"/>
    <col min="19" max="19" width="9" customWidth="1"/>
  </cols>
  <sheetData>
    <row r="1" spans="1:16" x14ac:dyDescent="0.25">
      <c r="A1" t="s">
        <v>0</v>
      </c>
      <c r="B1" t="s">
        <v>4</v>
      </c>
      <c r="E1" t="s">
        <v>354</v>
      </c>
      <c r="F1" t="s">
        <v>355</v>
      </c>
      <c r="G1" t="s">
        <v>356</v>
      </c>
      <c r="H1" t="s">
        <v>357</v>
      </c>
      <c r="I1" t="s">
        <v>358</v>
      </c>
      <c r="J1" t="s">
        <v>359</v>
      </c>
      <c r="L1" t="s">
        <v>360</v>
      </c>
      <c r="M1" t="s">
        <v>361</v>
      </c>
      <c r="N1" t="s">
        <v>362</v>
      </c>
      <c r="O1" t="s">
        <v>363</v>
      </c>
    </row>
    <row r="2" spans="1:16" x14ac:dyDescent="0.25">
      <c r="A2" t="s">
        <v>0</v>
      </c>
      <c r="C2" t="s">
        <v>46</v>
      </c>
      <c r="D2" t="s">
        <v>75</v>
      </c>
      <c r="E2" t="s">
        <v>364</v>
      </c>
      <c r="F2" t="s">
        <v>365</v>
      </c>
      <c r="G2" t="s">
        <v>366</v>
      </c>
      <c r="H2" t="s">
        <v>367</v>
      </c>
      <c r="I2" t="s">
        <v>368</v>
      </c>
      <c r="J2" t="s">
        <v>369</v>
      </c>
      <c r="K2" t="s">
        <v>370</v>
      </c>
      <c r="L2" t="s">
        <v>51</v>
      </c>
      <c r="M2" t="s">
        <v>371</v>
      </c>
      <c r="N2" t="s">
        <v>372</v>
      </c>
      <c r="O2" t="s">
        <v>373</v>
      </c>
      <c r="P2" t="s">
        <v>314</v>
      </c>
    </row>
    <row r="3" spans="1:16" x14ac:dyDescent="0.25">
      <c r="A3" t="s">
        <v>2</v>
      </c>
      <c r="C3" t="s">
        <v>2</v>
      </c>
      <c r="D3" t="s">
        <v>2</v>
      </c>
      <c r="E3" t="s">
        <v>114</v>
      </c>
      <c r="F3" t="s">
        <v>114</v>
      </c>
      <c r="G3" t="s">
        <v>114</v>
      </c>
      <c r="H3" t="s">
        <v>112</v>
      </c>
      <c r="I3" t="s">
        <v>112</v>
      </c>
      <c r="J3" t="s">
        <v>343</v>
      </c>
      <c r="K3" t="s">
        <v>113</v>
      </c>
      <c r="L3" t="s">
        <v>308</v>
      </c>
      <c r="M3" t="s">
        <v>112</v>
      </c>
      <c r="N3" t="s">
        <v>112</v>
      </c>
      <c r="O3" t="s">
        <v>308</v>
      </c>
      <c r="P3" t="s">
        <v>121</v>
      </c>
    </row>
    <row r="4" spans="1:16" x14ac:dyDescent="0.25">
      <c r="A4" t="s">
        <v>512</v>
      </c>
      <c r="C4" t="s">
        <v>540</v>
      </c>
      <c r="H4">
        <v>1</v>
      </c>
      <c r="J4" t="s">
        <v>541</v>
      </c>
      <c r="P4" t="s">
        <v>542</v>
      </c>
    </row>
    <row r="5" spans="1:16" x14ac:dyDescent="0.25">
      <c r="A5" t="s">
        <v>519</v>
      </c>
      <c r="C5" t="s">
        <v>543</v>
      </c>
      <c r="H5">
        <v>1</v>
      </c>
      <c r="J5" t="s">
        <v>544</v>
      </c>
      <c r="P5" t="s">
        <v>545</v>
      </c>
    </row>
    <row r="6" spans="1:16" s="14" customFormat="1" x14ac:dyDescent="0.25">
      <c r="A6" s="14" t="s">
        <v>521</v>
      </c>
      <c r="C6" s="14" t="s">
        <v>540</v>
      </c>
      <c r="H6" s="14">
        <v>1</v>
      </c>
      <c r="P6" s="14" t="s">
        <v>546</v>
      </c>
    </row>
    <row r="7" spans="1:16" x14ac:dyDescent="0.25">
      <c r="A7" t="s">
        <v>547</v>
      </c>
      <c r="C7" t="s">
        <v>548</v>
      </c>
      <c r="H7">
        <v>1</v>
      </c>
      <c r="N7">
        <v>1</v>
      </c>
      <c r="P7" t="s">
        <v>549</v>
      </c>
    </row>
    <row r="8" spans="1:16" x14ac:dyDescent="0.25">
      <c r="A8" t="s">
        <v>550</v>
      </c>
      <c r="C8" t="s">
        <v>548</v>
      </c>
      <c r="H8">
        <v>1</v>
      </c>
      <c r="N8">
        <v>1</v>
      </c>
      <c r="P8" t="s">
        <v>551</v>
      </c>
    </row>
    <row r="9" spans="1:16" s="14" customFormat="1" x14ac:dyDescent="0.25">
      <c r="A9" s="14" t="s">
        <v>558</v>
      </c>
      <c r="C9" s="14" t="s">
        <v>608</v>
      </c>
      <c r="H9" s="14">
        <v>1</v>
      </c>
      <c r="K9"/>
    </row>
    <row r="10" spans="1:16" x14ac:dyDescent="0.25">
      <c r="A10" t="s">
        <v>578</v>
      </c>
      <c r="C10" t="s">
        <v>540</v>
      </c>
      <c r="H10">
        <v>1</v>
      </c>
      <c r="P10" t="s">
        <v>542</v>
      </c>
    </row>
    <row r="11" spans="1:16" s="14" customFormat="1" x14ac:dyDescent="0.25">
      <c r="A11" s="14" t="s">
        <v>576</v>
      </c>
      <c r="C11" s="14" t="s">
        <v>608</v>
      </c>
      <c r="H11" s="14">
        <v>1</v>
      </c>
      <c r="K11"/>
    </row>
    <row r="12" spans="1:16" s="14" customFormat="1" x14ac:dyDescent="0.25">
      <c r="A12" s="14" t="s">
        <v>575</v>
      </c>
      <c r="C12" s="14" t="s">
        <v>608</v>
      </c>
      <c r="H12" s="14">
        <v>1</v>
      </c>
      <c r="K12"/>
    </row>
    <row r="13" spans="1:16" x14ac:dyDescent="0.25">
      <c r="A13" t="s">
        <v>609</v>
      </c>
      <c r="C13" t="s">
        <v>200</v>
      </c>
      <c r="P13" t="s">
        <v>610</v>
      </c>
    </row>
    <row r="14" spans="1:16" s="14" customFormat="1" x14ac:dyDescent="0.25">
      <c r="A14" s="14" t="s">
        <v>593</v>
      </c>
      <c r="C14" s="14" t="s">
        <v>540</v>
      </c>
      <c r="H14" s="14">
        <v>1</v>
      </c>
      <c r="J14"/>
      <c r="P14" s="14" t="s">
        <v>611</v>
      </c>
    </row>
    <row r="15" spans="1:16" x14ac:dyDescent="0.25">
      <c r="A15" t="s">
        <v>612</v>
      </c>
      <c r="C15" t="s">
        <v>540</v>
      </c>
      <c r="P15" t="s">
        <v>613</v>
      </c>
    </row>
    <row r="16" spans="1:16" x14ac:dyDescent="0.25">
      <c r="A16" t="s">
        <v>614</v>
      </c>
      <c r="C16" t="s">
        <v>543</v>
      </c>
      <c r="H16">
        <v>1</v>
      </c>
      <c r="J16" t="s">
        <v>544</v>
      </c>
      <c r="P16" t="s">
        <v>545</v>
      </c>
    </row>
    <row r="17" spans="1:16" x14ac:dyDescent="0.25">
      <c r="A17" t="s">
        <v>615</v>
      </c>
      <c r="C17" s="14" t="s">
        <v>608</v>
      </c>
      <c r="J17" t="s">
        <v>616</v>
      </c>
    </row>
    <row r="18" spans="1:16" s="14" customFormat="1" x14ac:dyDescent="0.25">
      <c r="A18" s="14" t="s">
        <v>594</v>
      </c>
      <c r="C18" s="14" t="s">
        <v>608</v>
      </c>
      <c r="H18" s="14">
        <v>1</v>
      </c>
      <c r="J18" t="s">
        <v>617</v>
      </c>
    </row>
    <row r="19" spans="1:16" x14ac:dyDescent="0.25">
      <c r="A19" t="s">
        <v>618</v>
      </c>
      <c r="C19" t="s">
        <v>200</v>
      </c>
      <c r="P19" t="s">
        <v>619</v>
      </c>
    </row>
    <row r="20" spans="1:16" x14ac:dyDescent="0.25">
      <c r="A20" s="8" t="s">
        <v>647</v>
      </c>
      <c r="C20" s="8" t="s">
        <v>620</v>
      </c>
      <c r="P20" s="8" t="s">
        <v>621</v>
      </c>
    </row>
  </sheetData>
  <phoneticPr fontId="8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E10" sqref="E10"/>
    </sheetView>
  </sheetViews>
  <sheetFormatPr defaultColWidth="9" defaultRowHeight="14.05" x14ac:dyDescent="0.25"/>
  <cols>
    <col min="1" max="1" width="11.33203125" customWidth="1"/>
    <col min="2" max="2" width="11.25" customWidth="1"/>
    <col min="4" max="4" width="27.5" customWidth="1"/>
  </cols>
  <sheetData>
    <row r="1" spans="1:4" x14ac:dyDescent="0.25">
      <c r="A1" t="s">
        <v>0</v>
      </c>
      <c r="C1" t="s">
        <v>374</v>
      </c>
    </row>
    <row r="2" spans="1:4" x14ac:dyDescent="0.25">
      <c r="A2" t="s">
        <v>0</v>
      </c>
      <c r="B2" t="s">
        <v>46</v>
      </c>
      <c r="C2" t="s">
        <v>375</v>
      </c>
      <c r="D2" t="s">
        <v>314</v>
      </c>
    </row>
    <row r="3" spans="1:4" x14ac:dyDescent="0.25">
      <c r="A3" t="s">
        <v>2</v>
      </c>
      <c r="B3" t="s">
        <v>2</v>
      </c>
      <c r="C3" t="s">
        <v>308</v>
      </c>
      <c r="D3" t="s">
        <v>121</v>
      </c>
    </row>
  </sheetData>
  <phoneticPr fontId="8" type="noConversion"/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I5"/>
  <sheetViews>
    <sheetView topLeftCell="B1" workbookViewId="0">
      <selection activeCell="E6" sqref="E6"/>
    </sheetView>
  </sheetViews>
  <sheetFormatPr defaultColWidth="9" defaultRowHeight="14.05" x14ac:dyDescent="0.25"/>
  <cols>
    <col min="1" max="1" width="15.25" customWidth="1"/>
    <col min="3" max="3" width="27.25" customWidth="1"/>
    <col min="4" max="4" width="10.83203125" customWidth="1"/>
    <col min="9" max="9" width="9" customWidth="1"/>
  </cols>
  <sheetData>
    <row r="2" spans="1:9" x14ac:dyDescent="0.25">
      <c r="A2" t="s">
        <v>0</v>
      </c>
      <c r="B2" t="s">
        <v>46</v>
      </c>
      <c r="C2" t="s">
        <v>48</v>
      </c>
      <c r="D2" t="s">
        <v>376</v>
      </c>
      <c r="E2" t="s">
        <v>70</v>
      </c>
      <c r="F2" t="s">
        <v>377</v>
      </c>
      <c r="G2" t="s">
        <v>378</v>
      </c>
      <c r="H2" t="s">
        <v>379</v>
      </c>
      <c r="I2" t="s">
        <v>314</v>
      </c>
    </row>
    <row r="3" spans="1:9" x14ac:dyDescent="0.25">
      <c r="A3" t="s">
        <v>2</v>
      </c>
      <c r="B3" t="s">
        <v>2</v>
      </c>
      <c r="C3" t="s">
        <v>2</v>
      </c>
      <c r="D3" t="s">
        <v>2</v>
      </c>
      <c r="E3" t="s">
        <v>113</v>
      </c>
      <c r="F3" t="s">
        <v>114</v>
      </c>
      <c r="G3" t="s">
        <v>114</v>
      </c>
      <c r="H3" t="s">
        <v>114</v>
      </c>
      <c r="I3" s="8" t="s">
        <v>446</v>
      </c>
    </row>
    <row r="4" spans="1:9" x14ac:dyDescent="0.25">
      <c r="A4" s="8" t="s">
        <v>479</v>
      </c>
      <c r="B4" s="8" t="s">
        <v>476</v>
      </c>
      <c r="C4" t="s">
        <v>434</v>
      </c>
      <c r="E4">
        <v>10</v>
      </c>
      <c r="H4">
        <v>1</v>
      </c>
      <c r="I4" s="8" t="s">
        <v>553</v>
      </c>
    </row>
    <row r="5" spans="1:9" x14ac:dyDescent="0.25">
      <c r="A5" t="s">
        <v>511</v>
      </c>
      <c r="B5" t="s">
        <v>538</v>
      </c>
      <c r="C5" t="s">
        <v>434</v>
      </c>
      <c r="E5">
        <v>10</v>
      </c>
      <c r="H5">
        <v>1</v>
      </c>
      <c r="I5" s="8" t="s">
        <v>552</v>
      </c>
    </row>
  </sheetData>
  <phoneticPr fontId="8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"/>
  <sheetViews>
    <sheetView workbookViewId="0">
      <pane xSplit="1" ySplit="3" topLeftCell="B4" activePane="bottomRight" state="frozen"/>
      <selection pane="topRight"/>
      <selection pane="bottomLeft"/>
      <selection pane="bottomRight" activeCell="A26" sqref="A4:XFD26"/>
    </sheetView>
  </sheetViews>
  <sheetFormatPr defaultColWidth="9" defaultRowHeight="14.05" x14ac:dyDescent="0.25"/>
  <cols>
    <col min="1" max="1" width="15.25" customWidth="1"/>
    <col min="2" max="2" width="28" customWidth="1"/>
    <col min="3" max="4" width="10.08203125" customWidth="1"/>
    <col min="5" max="10" width="11.25" customWidth="1"/>
    <col min="11" max="11" width="6.33203125" customWidth="1"/>
  </cols>
  <sheetData>
    <row r="1" spans="1:12" x14ac:dyDescent="0.25">
      <c r="A1" t="s">
        <v>0</v>
      </c>
      <c r="B1" t="s">
        <v>380</v>
      </c>
      <c r="C1" t="s">
        <v>381</v>
      </c>
      <c r="D1" t="s">
        <v>382</v>
      </c>
      <c r="E1" t="s">
        <v>383</v>
      </c>
      <c r="F1" t="s">
        <v>384</v>
      </c>
      <c r="H1" t="s">
        <v>385</v>
      </c>
      <c r="I1" t="s">
        <v>386</v>
      </c>
      <c r="J1" t="s">
        <v>387</v>
      </c>
      <c r="K1" t="s">
        <v>388</v>
      </c>
      <c r="L1" t="s">
        <v>389</v>
      </c>
    </row>
    <row r="2" spans="1:12" x14ac:dyDescent="0.25">
      <c r="A2" t="s">
        <v>0</v>
      </c>
      <c r="B2" t="s">
        <v>390</v>
      </c>
      <c r="C2" t="s">
        <v>391</v>
      </c>
      <c r="D2" t="s">
        <v>392</v>
      </c>
      <c r="E2" t="s">
        <v>393</v>
      </c>
      <c r="F2" t="s">
        <v>394</v>
      </c>
      <c r="G2" t="s">
        <v>395</v>
      </c>
      <c r="H2" t="s">
        <v>396</v>
      </c>
      <c r="I2" t="s">
        <v>397</v>
      </c>
      <c r="J2" t="s">
        <v>398</v>
      </c>
      <c r="K2" t="s">
        <v>377</v>
      </c>
      <c r="L2" t="s">
        <v>94</v>
      </c>
    </row>
    <row r="3" spans="1:12" x14ac:dyDescent="0.25">
      <c r="A3" t="s">
        <v>2</v>
      </c>
      <c r="B3" t="s">
        <v>2</v>
      </c>
      <c r="C3" t="s">
        <v>114</v>
      </c>
      <c r="D3" t="s">
        <v>399</v>
      </c>
      <c r="E3" t="s">
        <v>2</v>
      </c>
      <c r="F3" t="s">
        <v>112</v>
      </c>
      <c r="G3" t="s">
        <v>112</v>
      </c>
      <c r="H3" t="s">
        <v>114</v>
      </c>
      <c r="I3" t="s">
        <v>114</v>
      </c>
      <c r="J3" t="s">
        <v>114</v>
      </c>
      <c r="K3" t="s">
        <v>113</v>
      </c>
      <c r="L3" t="s">
        <v>113</v>
      </c>
    </row>
  </sheetData>
  <phoneticPr fontId="8" type="noConversion"/>
  <pageMargins left="0.75" right="0.75" top="1" bottom="1" header="0.5" footer="0.5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3"/>
  <sheetViews>
    <sheetView workbookViewId="0">
      <pane xSplit="1" ySplit="2" topLeftCell="B3" activePane="bottomRight" state="frozen"/>
      <selection pane="topRight"/>
      <selection pane="bottomLeft"/>
      <selection pane="bottomRight" activeCell="D16" sqref="D16"/>
    </sheetView>
  </sheetViews>
  <sheetFormatPr defaultColWidth="9" defaultRowHeight="14.05" x14ac:dyDescent="0.25"/>
  <cols>
    <col min="1" max="1" width="19.08203125" customWidth="1"/>
    <col min="2" max="2" width="16.25" customWidth="1"/>
    <col min="3" max="3" width="16.33203125" customWidth="1"/>
    <col min="4" max="4" width="47.83203125" customWidth="1"/>
    <col min="5" max="5" width="10.25" customWidth="1"/>
    <col min="6" max="6" width="12.83203125" customWidth="1"/>
    <col min="10" max="10" width="11.83203125" customWidth="1"/>
  </cols>
  <sheetData>
    <row r="2" spans="1:10" x14ac:dyDescent="0.25">
      <c r="A2" t="s">
        <v>0</v>
      </c>
      <c r="B2" t="s">
        <v>229</v>
      </c>
      <c r="C2" t="s">
        <v>75</v>
      </c>
      <c r="D2" t="s">
        <v>400</v>
      </c>
      <c r="E2" t="s">
        <v>401</v>
      </c>
      <c r="F2" t="s">
        <v>77</v>
      </c>
      <c r="G2" t="s">
        <v>402</v>
      </c>
      <c r="H2" t="s">
        <v>256</v>
      </c>
      <c r="I2" t="s">
        <v>403</v>
      </c>
      <c r="J2" t="s">
        <v>52</v>
      </c>
    </row>
    <row r="3" spans="1:10" x14ac:dyDescent="0.25">
      <c r="A3" t="s">
        <v>2</v>
      </c>
      <c r="B3" t="s">
        <v>2</v>
      </c>
      <c r="C3" t="s">
        <v>2</v>
      </c>
      <c r="D3" t="s">
        <v>2</v>
      </c>
      <c r="E3" t="s">
        <v>114</v>
      </c>
      <c r="F3" t="s">
        <v>115</v>
      </c>
      <c r="G3" t="s">
        <v>114</v>
      </c>
      <c r="H3" t="s">
        <v>404</v>
      </c>
      <c r="I3" t="s">
        <v>114</v>
      </c>
      <c r="J3" t="s">
        <v>114</v>
      </c>
    </row>
  </sheetData>
  <phoneticPr fontId="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6">
    <comment s:ref="P248" rgbClr="98C86C"/>
  </commentList>
  <commentList sheetStid="9"/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CardData</vt:lpstr>
      <vt:lpstr>UnitData</vt:lpstr>
      <vt:lpstr>SkillData</vt:lpstr>
      <vt:lpstr>BuffData</vt:lpstr>
      <vt:lpstr>ModifyData</vt:lpstr>
      <vt:lpstr>BulletData</vt:lpstr>
      <vt:lpstr>EffectData</vt:lpstr>
      <vt:lpstr>ContractData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2r X</cp:lastModifiedBy>
  <dcterms:created xsi:type="dcterms:W3CDTF">2021-01-13T06:40:00Z</dcterms:created>
  <dcterms:modified xsi:type="dcterms:W3CDTF">2025-09-13T14:29:31Z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CB94523E41B44DAE99CC12982DC882B4</vt:lpwstr>
  </property>
</Properties>
</file>