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EE402E5A-EEBB-4FAB-8126-890C99D45F07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<sst xmlns="http://schemas.openxmlformats.org/spreadsheetml/2006/main" count="789" uniqueCount="501">
  <si>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</si>
  <si>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</si>
  <si>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</si>
  <si>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</si>
  <si>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</si>
  <si>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</si>
  <si>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</si>
  <si>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</si>
  <si>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</si>
  <si>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</si>
  <si>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</si>
  <si>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</si>
  <si>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</si>
  <si>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</si>
  <si>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</si>
  <si>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</si>
  <si>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</si>
  <si>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</si>
  <si>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</si>
  <si>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</si>
  <si>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</si>
  <si>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</si>
  <si>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</si>
  <si>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</si>
  <si>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</si>
  <si>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</si>
  <si>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</si>
  <si>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</si>
  <si>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</si>
  <si>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</si>
  <si>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</si>
  <si>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</si>
  <si>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</si>
  <si>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</si>
  <si>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</si>
  <si>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</si>
  <si>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</si>
  <si>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</si>
  <si>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</si>
  <si>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</si>
  <si>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</si>
  <si>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</si>
  <si>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</si>
  <si>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</si>
  <si>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</si>
  <si>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</si>
  <si>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</si>
  <si>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</si>
  <si>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</si>
  <si>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</si>
  <si>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</si>
  <si>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</si>
  <si>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</si>
  <si>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</si>
  <si>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</si>
  <si>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</si>
  <si>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</si>
  <si>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</si>
  <si>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</si>
  <si>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</si>
  <si>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</si>
  <si>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</si>
  <si>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</si>
  <si>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</si>
  <si>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</si>
  <si>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</si>
  <si>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</si>
  <si>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</si>
  <si>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</si>
  <si>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</si>
  <si>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</si>
  <si>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</si>
  <si>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</si>
  <si>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</si>
  <si>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</si>
  <si>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</si>
  <si>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</si>
  <si>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</si>
  <si>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</si>
  <si>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</si>
  <si>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</si>
  <si>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</si>
  <si>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</si>
  <si>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</si>
  <si>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</si>
  <si>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</si>
  <si>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</si>
  <si>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</si>
  <si>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</si>
  <si>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</si>
  <si>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</si>
  <si>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</si>
  <si>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</si>
  <si>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</si>
  <si>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</si>
  <si>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</si>
  <si>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</si>
  <si>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</si>
  <si>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</si>
  <si>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</si>
  <si>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</si>
  <si>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</si>
  <si>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</si>
  <si>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</si>
  <si>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</si>
  <si>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</si>
  <si>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</si>
  <si>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</si>
  <si>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</si>
  <si>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</si>
  <si>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</si>
  <si>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</si>
  <si>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</si>
  <si>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</si>
  <si>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</si>
  <si>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</si>
  <si>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</si>
  <si>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</si>
  <si>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</si>
  <si>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</si>
  <si>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</si>
  <si>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</si>
  <si>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</si>
  <si>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</si>
  <si>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</si>
  <si>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</si>
  <si>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</si>
  <si>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</si>
  <si>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</si>
  <si>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</si>
  <si>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</si>
  <si>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</si>
  <si>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</si>
  <si>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</si>
  <si>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</si>
  <si>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</si>
  <si>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</si>
  <si>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</si>
  <si>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</si>
  <si>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</si>
  <si>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</si>
  <si>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</si>
  <si>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</si>
  <si>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</si>
  <si>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</si>
  <si>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</si>
  <si>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</si>
  <si>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</si>
  <si>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</si>
  <si>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</si>
  <si>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</si>
  <si>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</si>
  <si>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</si>
  <si>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</si>
  <si>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</si>
  <si>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</si>
  <si>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</si>
  <si>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</si>
  <si>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</si>
  <si>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</si>
  <si>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</si>
  <si>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</si>
  <si>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</si>
  <si>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</si>
  <si>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</si>
  <si>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</si>
  <si>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</si>
  <si>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</si>
  <si>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</si>
  <si>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</si>
  <si>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</si>
  <si>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</si>
  <si>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</si>
  <si>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</si>
  <si>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</si>
  <si>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</si>
  <si>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</si>
  <si>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</si>
  <si>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</si>
  <si>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</si>
  <si>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</si>
  <si>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</si>
  <si>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</si>
  <si>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</si>
  <si>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</si>
  <si>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</si>
  <si>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</si>
  <si>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</si>
  <si>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</si>
  <si>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</si>
  <si>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</si>
  <si>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</si>
  <si>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</si>
  <si>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</si>
  <si>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</si>
  <si>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</si>
  <si>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</si>
  <si>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</si>
  <si>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</si>
  <si>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</si>
  <si>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</si>
  <si>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</si>
  <si>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</si>
  <si>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</si>
  <si>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</si>
  <si>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</si>
  <si>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</si>
  <si>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</si>
  <si>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</si>
  <si>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</si>
  <si>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</si>
  <si>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</si>
  <si>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</si>
  <si>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</si>
  <si>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</si>
  <si>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</si>
  <si>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</si>
  <si>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</si>
  <si>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</si>
  <si>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</si>
  <si>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</si>
  <si>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</si>
  <si>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</si>
  <si>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</si>
  <si>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</si>
  <si>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</si>
  <si>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</si>
  <si>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</si>
  <si>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</si>
  <si>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</si>
  <si>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</si>
  <si>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</si>
  <si>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</si>
  <si>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</si>
  <si>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</si>
  <si>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</si>
  <si>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</si>
  <si>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</si>
  <si>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</si>
  <si>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</si>
  <si>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</si>
  <si>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</si>
  <si>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</si>
  <si>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</si>
  <si>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</si>
  <si>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</si>
  <si>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</si>
  <si>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</si>
  <si>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</si>
  <si>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</si>
  <si>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</si>
  <si>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</si>
  <si>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</si>
  <si>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</si>
  <si>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</si>
  <si>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</si>
  <si>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</si>
  <si>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</si>
  <si>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</si>
  <si>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</si>
  <si>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</si>
  <si>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</si>
  <si>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</si>
  <si>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</si>
  <si>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</si>
  <si>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</si>
  <si>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</si>
  <si>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</si>
  <si>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</si>
  <si>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</si>
  <si>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</si>
  <si>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</si>
  <si>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</si>
  <si>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</si>
  <si>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</si>
  <si>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</si>
  <si>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</si>
  <si>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</si>
  <si>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</si>
  <si>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</si>
  <si>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</si>
  <si>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</si>
  <si>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</si>
  <si>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</si>
  <si>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</si>
  <si>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</si>
  <si>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</si>
  <si>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</si>
  <si>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</si>
  <si>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</si>
  <si>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</si>
  <si>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</si>
  <si>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</si>
  <si>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</si>
  <si>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</si>
  <si>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</si>
  <si>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</si>
  <si>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</si>
  <si>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</si>
  <si>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</si>
  <si>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</si>
  <si>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</si>
  <si>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</si>
  <si>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</si>
  <si>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</si>
  <si>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</si>
  <si>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</si>
  <si>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</si>
  <si>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</si>
  <si>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</si>
  <si>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</si>
  <si>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</si>
  <si>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</si>
  <si>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</si>
  <si>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</si>
  <si>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</si>
  <si>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</si>
  <si>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</si>
  <si>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</si>
  <si>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</si>
  <si>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</si>
  <si>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</si>
  <si>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</si>
  <si>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</si>
  <si>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</si>
  <si>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</si>
  <si>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</si>
  <si>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</si>
  <si>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</si>
  <si>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</si>
  <si>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</si>
  <si>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</si>
  <si>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</si>
  <si>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</si>
  <si>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</si>
  <si>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</si>
  <si>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</si>
  <si>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</si>
  <si>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</si>
  <si>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</si>
  <si>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</si>
  <si>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</si>
  <si>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</si>
  <si>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</si>
  <si>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</si>
  <si>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</si>
  <si>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</si>
  <si>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</si>
  <si>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</si>
  <si>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</si>
  <si>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</si>
  <si>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</si>
  <si>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</si>
  <si>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死亡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</si>
  <si>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</si>
  <si>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</si>
  <si>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</si>
  <si>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</si>
  <si>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</si>
  <si>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</si>
  <si>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</si>
  <si>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</si>
  <si>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</si>
  <si>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</si>
  <si>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</si>
  <si>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</si>
  <si>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</si>
  <si>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</si>
  <si>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</si>
  <si>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</si>
  <si>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</si>
  <si>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</si>
  <si>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</si>
  <si>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</si>
  <si>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</si>
  <si>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</si>
  <si>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</si>
  <si>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</si>
  <si>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</si>
  <si>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</si>
  <si>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</si>
  <si>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</si>
  <si>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</si>
  <si>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</si>
  <si>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</si>
  <si>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</si>
  <si>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</si>
  <si>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</si>
  <si>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</si>
  <si>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</si>
  <si>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</si>
  <si>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</si>
  <si>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</si>
  <si>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</si>
  <si>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</si>
  <si>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</si>
  <si>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</si>
  <si>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</si>
  <si>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</si>
  <si>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</si>
  <si>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</si>
  <si>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</si>
  <si>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</si>
  <si>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</si>
  <si>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</si>
  <si>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</si>
  <si>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</si>
  <si>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</si>
  <si>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</si>
  <si>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</si>
  <si>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</si>
  <si>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</si>
  <si>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</si>
  <si>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</si>
  <si>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</si>
  <si>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</si>
  <si>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</si>
  <si>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</si>
  <si>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</si>
  <si>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</si>
  <si>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</si>
  <si>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</si>
  <si>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</si>
  <si>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</si>
  <si>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</si>
  <si>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</si>
  <si>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</si>
  <si>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</si>
  <si>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</si>
  <si>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</si>
  <si>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</si>
  <si>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</si>
  <si>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</si>
  <si>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</si>
  <si>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</si>
  <si>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</si>
  <si>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</si>
  <si>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</si>
  <si>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</si>
  <si>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</si>
  <si>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</si>
  <si>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</si>
  <si>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</si>
  <si>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</si>
  <si>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</si>
  <si>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</si>
  <si>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</si>
  <si>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</si>
  <si>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</si>
  <si>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</si>
  <si>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</si>
  <si>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</si>
  <si>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</si>
  <si>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</si>
  <si>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</si>
  <si>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</si>
  <si>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</si>
  <si>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</si>
  <si>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</si>
  <si>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</si>
  <si>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</si>
  <si>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</si>
  <si>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</si>
  <si>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</si>
  <si>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</si>
  <si>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</si>
  <si>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</si>
  <si>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</si>
  <si>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</si>
  <si>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</si>
  <si>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</si>
  <si>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</si>
  <si>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</si>
  <si>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</si>
  <si>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</si>
  <si>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</si>
  <si>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</si>
  <si>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</si>
  <si>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</si>
  <si>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</si>
  <si>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</si>
  <si>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</si>
  <si>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</si>
  <si>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</si>
  <si>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</si>
  <si>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</si>
  <si>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</si>
  <si>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</si>
  <si>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</si>
  <si>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</si>
  <si>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</si>
  <si>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</si>
  <si>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</si>
  <si>
    <t>Normal</t>
    <phoneticPr fontId="8" type="noConversion"/>
  </si>
  <si>
    <t>伤害基准</t>
    <phoneticPr fontId="8" type="noConversion"/>
  </si>
  <si>
    <t>治疗2</t>
  </si>
  <si>
    <t>CCB普攻,受击治疗</t>
    <phoneticPr fontId="8" type="noConversion"/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</si>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</sst>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491</v>
      </c>
      <c r="B4" s="8" t="s">
        <v>491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6"/>
  <sheetViews>
    <sheetView workbookViewId="0">
      <pane xSplit="1" ySplit="3" topLeftCell="AC4" activePane="bottomRight" state="frozen"/>
      <selection pane="topRight"/>
      <selection pane="bottomLeft"/>
      <selection pane="bottomRight" activeCell="AI6" sqref="AI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464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454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4" spans="1:71" x14ac:dyDescent="0.25">
      <c r="A4">
        <v>0</v>
      </c>
      <c r="D4" t="s">
        <v>122</v>
      </c>
      <c r="K4">
        <v>1</v>
      </c>
    </row>
    <row r="5" spans="1:71" x14ac:dyDescent="0.25">
      <c r="A5" s="8" t="s">
        <v>484</v>
      </c>
      <c r="B5" s="8" t="s">
        <v>408</v>
      </c>
      <c r="E5" s="1"/>
      <c r="F5" s="8" t="s">
        <v>409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484</v>
      </c>
      <c r="AH5" s="8" t="s">
        <v>410</v>
      </c>
      <c r="AI5" s="8" t="s">
        <v>496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411</v>
      </c>
      <c r="BD5" s="8" t="s">
        <v>412</v>
      </c>
      <c r="BE5" s="8" t="s">
        <v>413</v>
      </c>
      <c r="BF5" s="8" t="s">
        <v>414</v>
      </c>
      <c r="BG5" s="8" t="s">
        <v>415</v>
      </c>
      <c r="BH5">
        <v>6</v>
      </c>
      <c r="BI5" s="8" t="s">
        <v>416</v>
      </c>
      <c r="BJ5" s="8" t="s">
        <v>417</v>
      </c>
      <c r="BK5" s="5"/>
      <c r="BM5" s="8" t="s">
        <v>418</v>
      </c>
      <c r="BN5" s="8" t="s">
        <v>419</v>
      </c>
      <c r="BP5" s="8" t="s">
        <v>420</v>
      </c>
      <c r="BQ5" s="8" t="s">
        <v>420</v>
      </c>
      <c r="BR5" s="8" t="s">
        <v>421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458</v>
      </c>
      <c r="B8" t="s">
        <v>127</v>
      </c>
      <c r="D8" t="s">
        <v>430</v>
      </c>
      <c r="E8" s="1" t="s">
        <v>431</v>
      </c>
      <c r="F8" s="8" t="s">
        <v>432</v>
      </c>
      <c r="G8">
        <v>1</v>
      </c>
      <c r="I8">
        <v>2</v>
      </c>
      <c r="J8">
        <v>90</v>
      </c>
      <c r="K8">
        <v>100</v>
      </c>
      <c r="M8">
        <v>1000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455</v>
      </c>
      <c r="AH8" t="s">
        <v>123</v>
      </c>
      <c r="AI8" s="8" t="s">
        <v>482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434</v>
      </c>
      <c r="BD8" t="s">
        <v>433</v>
      </c>
      <c r="BE8" t="str">
        <f t="shared" ref="BE8" si="0">"half_"&amp;D8</f>
        <v>half_otter</v>
      </c>
      <c r="BF8" t="str">
        <f t="shared" ref="BF8" si="1">D8</f>
        <v>otter</v>
      </c>
      <c r="BG8" t="s">
        <v>129</v>
      </c>
      <c r="BH8">
        <v>5</v>
      </c>
      <c r="BI8" t="s">
        <v>128</v>
      </c>
      <c r="BM8" t="s">
        <v>124</v>
      </c>
      <c r="BN8" t="s">
        <v>125</v>
      </c>
      <c r="BP8" t="s">
        <v>126</v>
      </c>
      <c r="BQ8" t="s">
        <v>126</v>
      </c>
      <c r="BS8">
        <v>1</v>
      </c>
    </row>
    <row r="9" spans="1:71" x14ac:dyDescent="0.25">
      <c r="A9" s="8" t="s">
        <v>465</v>
      </c>
      <c r="B9" t="s">
        <v>127</v>
      </c>
      <c r="D9" t="s">
        <v>430</v>
      </c>
      <c r="E9" s="1" t="s">
        <v>431</v>
      </c>
      <c r="F9" s="8" t="s">
        <v>432</v>
      </c>
      <c r="G9">
        <v>1</v>
      </c>
      <c r="I9">
        <v>2</v>
      </c>
      <c r="J9">
        <v>90</v>
      </c>
      <c r="K9">
        <v>3</v>
      </c>
      <c r="M9">
        <v>1000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G9" s="8" t="s">
        <v>455</v>
      </c>
      <c r="AH9" t="s">
        <v>123</v>
      </c>
      <c r="AI9" s="8"/>
      <c r="AK9">
        <v>3</v>
      </c>
      <c r="AL9">
        <v>-0.5</v>
      </c>
      <c r="AN9">
        <v>1</v>
      </c>
      <c r="AO9">
        <v>99</v>
      </c>
      <c r="AP9">
        <v>0</v>
      </c>
      <c r="AQ9">
        <v>1</v>
      </c>
      <c r="AW9">
        <v>0</v>
      </c>
      <c r="AZ9">
        <v>1</v>
      </c>
      <c r="BB9" s="8" t="s">
        <v>434</v>
      </c>
      <c r="BD9" t="s">
        <v>433</v>
      </c>
      <c r="BE9" t="str">
        <f t="shared" ref="BE9" si="2">"half_"&amp;D9</f>
        <v>half_otter</v>
      </c>
      <c r="BF9" t="str">
        <f t="shared" ref="BF9" si="3">D9</f>
        <v>otter</v>
      </c>
      <c r="BG9" t="s">
        <v>129</v>
      </c>
      <c r="BH9">
        <v>5</v>
      </c>
      <c r="BI9" t="s">
        <v>128</v>
      </c>
      <c r="BM9" t="s">
        <v>124</v>
      </c>
      <c r="BN9" t="s">
        <v>125</v>
      </c>
      <c r="BP9" t="s">
        <v>126</v>
      </c>
      <c r="BQ9" t="s">
        <v>126</v>
      </c>
      <c r="BS9">
        <v>1</v>
      </c>
    </row>
    <row r="23" spans="35:63" x14ac:dyDescent="0.25">
      <c r="AI23" s="8"/>
    </row>
    <row r="29" spans="35:63" x14ac:dyDescent="0.25">
      <c r="AI29" s="8"/>
      <c r="BK29" s="8"/>
    </row>
    <row r="31" spans="35:63" x14ac:dyDescent="0.25">
      <c r="AI31" s="8"/>
    </row>
    <row r="32" spans="35:63" x14ac:dyDescent="0.25">
      <c r="AI32" s="8"/>
    </row>
    <row r="33" spans="4:70" x14ac:dyDescent="0.25">
      <c r="AI33" s="8"/>
      <c r="BK33" s="8"/>
    </row>
    <row r="34" spans="4:70" ht="14.5" x14ac:dyDescent="0.25">
      <c r="D34" s="6"/>
      <c r="E34" s="1"/>
      <c r="BO34" s="7"/>
      <c r="BR34" s="7"/>
    </row>
    <row r="35" spans="4:70" ht="14.5" x14ac:dyDescent="0.25">
      <c r="D35" s="6"/>
      <c r="E35" s="1"/>
      <c r="BO35" s="7"/>
      <c r="BR35" s="7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R41" s="7"/>
    </row>
    <row r="42" spans="4:70" ht="14.5" x14ac:dyDescent="0.25">
      <c r="D42" s="6"/>
      <c r="E42" s="1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O44" s="7"/>
      <c r="BR44" s="7"/>
    </row>
    <row r="45" spans="4:70" ht="14.5" x14ac:dyDescent="0.25">
      <c r="D45" s="6"/>
      <c r="E45" s="1"/>
      <c r="BO45" s="7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R340" s="7"/>
    </row>
    <row r="341" spans="4:70" ht="14.5" x14ac:dyDescent="0.25">
      <c r="D341" s="6"/>
      <c r="E341" s="1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R377" s="7"/>
    </row>
    <row r="378" spans="4:70" ht="14.5" x14ac:dyDescent="0.25">
      <c r="D378" s="6"/>
      <c r="E378" s="1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R402" s="7"/>
    </row>
    <row r="403" spans="4:70" ht="14.5" x14ac:dyDescent="0.25">
      <c r="D403" s="6"/>
      <c r="E403" s="1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R406" s="7"/>
    </row>
    <row r="407" spans="4:70" ht="14.5" x14ac:dyDescent="0.25">
      <c r="D407" s="6"/>
      <c r="E407" s="1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</row>
    <row r="426" spans="4:70" ht="14.5" x14ac:dyDescent="0.25">
      <c r="D426" s="6"/>
      <c r="E426" s="1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72" spans="4:5" ht="14.5" x14ac:dyDescent="0.25">
      <c r="D572" s="6"/>
      <c r="E572" s="1"/>
    </row>
    <row r="573" spans="4:5" ht="14.5" x14ac:dyDescent="0.25">
      <c r="D573" s="6"/>
      <c r="E573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2"/>
  <sheetViews>
    <sheetView tabSelected="1" workbookViewId="0">
      <pane xSplit="1" ySplit="3" topLeftCell="CH4" activePane="bottomRight" state="frozen"/>
      <selection pane="topRight"/>
      <selection pane="bottomLeft"/>
      <selection pane="bottomRight" activeCell="CJ8" sqref="CJ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130</v>
      </c>
      <c r="D1" t="s">
        <v>131</v>
      </c>
      <c r="E1" t="s">
        <v>132</v>
      </c>
      <c r="F1" t="s">
        <v>133</v>
      </c>
      <c r="G1" t="s">
        <v>134</v>
      </c>
      <c r="H1" s="8" t="s">
        <v>450</v>
      </c>
      <c r="I1" t="s">
        <v>135</v>
      </c>
      <c r="J1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  <c r="Q1" s="3" t="s">
        <v>143</v>
      </c>
      <c r="R1" s="3" t="s">
        <v>144</v>
      </c>
      <c r="S1" s="3" t="s">
        <v>145</v>
      </c>
      <c r="T1" s="3" t="s">
        <v>146</v>
      </c>
      <c r="U1" s="3" t="s">
        <v>146</v>
      </c>
      <c r="V1" s="3" t="s">
        <v>147</v>
      </c>
      <c r="W1" s="3" t="s">
        <v>148</v>
      </c>
      <c r="X1" s="3" t="s">
        <v>149</v>
      </c>
      <c r="Y1" t="s">
        <v>150</v>
      </c>
      <c r="Z1" t="s">
        <v>151</v>
      </c>
      <c r="AA1" s="3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s="8" t="s">
        <v>494</v>
      </c>
      <c r="BA1" t="s">
        <v>177</v>
      </c>
      <c r="BB1" t="s">
        <v>178</v>
      </c>
      <c r="BC1" t="s">
        <v>179</v>
      </c>
      <c r="BD1" t="s">
        <v>180</v>
      </c>
      <c r="BE1" t="s">
        <v>181</v>
      </c>
      <c r="BF1" t="s">
        <v>182</v>
      </c>
      <c r="BH1" t="s">
        <v>182</v>
      </c>
      <c r="BI1" t="s">
        <v>183</v>
      </c>
      <c r="BJ1" t="s">
        <v>184</v>
      </c>
      <c r="BK1" t="s">
        <v>185</v>
      </c>
      <c r="BL1" t="s">
        <v>186</v>
      </c>
      <c r="BM1" t="s">
        <v>187</v>
      </c>
      <c r="BN1" t="s">
        <v>188</v>
      </c>
      <c r="BO1" t="s">
        <v>189</v>
      </c>
      <c r="BP1" t="s">
        <v>190</v>
      </c>
      <c r="BQ1" t="s">
        <v>191</v>
      </c>
      <c r="BR1" t="s">
        <v>192</v>
      </c>
      <c r="BS1" s="8" t="s">
        <v>442</v>
      </c>
      <c r="BT1" s="4" t="s">
        <v>445</v>
      </c>
      <c r="BU1" s="4" t="s">
        <v>193</v>
      </c>
      <c r="BV1" s="4" t="s">
        <v>194</v>
      </c>
      <c r="BW1" s="4" t="s">
        <v>195</v>
      </c>
      <c r="BX1" s="4" t="s">
        <v>196</v>
      </c>
      <c r="BY1" s="4" t="s">
        <v>197</v>
      </c>
      <c r="BZ1" t="s">
        <v>198</v>
      </c>
      <c r="CA1" s="4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s="8" t="s">
        <v>447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192</v>
      </c>
      <c r="CQ1" t="s">
        <v>213</v>
      </c>
      <c r="CR1" t="s">
        <v>214</v>
      </c>
      <c r="CS1" t="s">
        <v>215</v>
      </c>
      <c r="CT1" t="s">
        <v>216</v>
      </c>
      <c r="CU1" t="s">
        <v>217</v>
      </c>
      <c r="CV1" t="s">
        <v>218</v>
      </c>
      <c r="CW1" t="s">
        <v>219</v>
      </c>
      <c r="CX1" t="s">
        <v>218</v>
      </c>
      <c r="CY1" t="s">
        <v>220</v>
      </c>
      <c r="CZ1" t="s">
        <v>221</v>
      </c>
      <c r="DA1" t="s">
        <v>222</v>
      </c>
      <c r="DB1" t="s">
        <v>223</v>
      </c>
      <c r="DC1" t="s">
        <v>224</v>
      </c>
      <c r="DD1" t="s">
        <v>225</v>
      </c>
      <c r="DE1" t="s">
        <v>226</v>
      </c>
      <c r="DF1" t="s">
        <v>227</v>
      </c>
      <c r="DG1" t="s">
        <v>228</v>
      </c>
    </row>
    <row r="2" spans="1:111" x14ac:dyDescent="0.25">
      <c r="A2" t="s">
        <v>0</v>
      </c>
      <c r="C2" t="s">
        <v>46</v>
      </c>
      <c r="D2" t="s">
        <v>75</v>
      </c>
      <c r="E2" t="s">
        <v>229</v>
      </c>
      <c r="F2" t="s">
        <v>230</v>
      </c>
      <c r="G2" t="s">
        <v>51</v>
      </c>
      <c r="H2" s="8" t="s">
        <v>451</v>
      </c>
      <c r="I2" t="s">
        <v>231</v>
      </c>
      <c r="J2" t="s">
        <v>232</v>
      </c>
      <c r="K2" s="3" t="s">
        <v>233</v>
      </c>
      <c r="L2" s="3" t="s">
        <v>234</v>
      </c>
      <c r="M2" s="3" t="s">
        <v>235</v>
      </c>
      <c r="N2" s="3" t="s">
        <v>236</v>
      </c>
      <c r="O2" s="3" t="s">
        <v>237</v>
      </c>
      <c r="P2" s="3" t="s">
        <v>238</v>
      </c>
      <c r="Q2" s="3" t="s">
        <v>239</v>
      </c>
      <c r="R2" s="3" t="s">
        <v>240</v>
      </c>
      <c r="S2" s="3" t="s">
        <v>241</v>
      </c>
      <c r="T2" s="3" t="s">
        <v>242</v>
      </c>
      <c r="U2" s="3" t="s">
        <v>243</v>
      </c>
      <c r="V2" s="3" t="s">
        <v>244</v>
      </c>
      <c r="W2" s="3" t="s">
        <v>245</v>
      </c>
      <c r="X2" s="3" t="s">
        <v>246</v>
      </c>
      <c r="Y2" t="s">
        <v>247</v>
      </c>
      <c r="Z2" t="s">
        <v>248</v>
      </c>
      <c r="AA2" s="3" t="s">
        <v>249</v>
      </c>
      <c r="AB2" t="s">
        <v>250</v>
      </c>
      <c r="AC2" t="s">
        <v>251</v>
      </c>
      <c r="AD2" t="s">
        <v>252</v>
      </c>
      <c r="AE2" t="s">
        <v>253</v>
      </c>
      <c r="AF2" t="s">
        <v>254</v>
      </c>
      <c r="AG2" t="s">
        <v>255</v>
      </c>
      <c r="AH2" t="s">
        <v>256</v>
      </c>
      <c r="AI2" t="s">
        <v>257</v>
      </c>
      <c r="AJ2" t="s">
        <v>258</v>
      </c>
      <c r="AK2" t="s">
        <v>259</v>
      </c>
      <c r="AL2" t="s">
        <v>260</v>
      </c>
      <c r="AM2" t="s">
        <v>261</v>
      </c>
      <c r="AN2" t="s">
        <v>262</v>
      </c>
      <c r="AO2" t="s">
        <v>263</v>
      </c>
      <c r="AP2" t="s">
        <v>264</v>
      </c>
      <c r="AQ2" t="s">
        <v>265</v>
      </c>
      <c r="AR2" t="s">
        <v>266</v>
      </c>
      <c r="AS2" t="s">
        <v>267</v>
      </c>
      <c r="AT2" t="s">
        <v>268</v>
      </c>
      <c r="AU2" t="s">
        <v>269</v>
      </c>
      <c r="AV2" t="s">
        <v>270</v>
      </c>
      <c r="AW2" t="s">
        <v>271</v>
      </c>
      <c r="AX2" t="s">
        <v>272</v>
      </c>
      <c r="AY2" t="s">
        <v>273</v>
      </c>
      <c r="AZ2" t="s">
        <v>274</v>
      </c>
      <c r="BA2" t="s">
        <v>275</v>
      </c>
      <c r="BB2" t="s">
        <v>276</v>
      </c>
      <c r="BC2" t="s">
        <v>277</v>
      </c>
      <c r="BD2" t="s">
        <v>278</v>
      </c>
      <c r="BE2" t="s">
        <v>279</v>
      </c>
      <c r="BF2" t="s">
        <v>280</v>
      </c>
      <c r="BG2" t="s">
        <v>281</v>
      </c>
      <c r="BH2" t="s">
        <v>282</v>
      </c>
      <c r="BI2" t="s">
        <v>283</v>
      </c>
      <c r="BJ2" t="s">
        <v>284</v>
      </c>
      <c r="BK2" t="s">
        <v>285</v>
      </c>
      <c r="BL2" t="s">
        <v>286</v>
      </c>
      <c r="BM2" t="s">
        <v>77</v>
      </c>
      <c r="BN2" t="s">
        <v>287</v>
      </c>
      <c r="BO2" t="s">
        <v>288</v>
      </c>
      <c r="BP2" t="s">
        <v>289</v>
      </c>
      <c r="BQ2" t="s">
        <v>290</v>
      </c>
      <c r="BR2" t="s">
        <v>291</v>
      </c>
      <c r="BS2" s="8" t="s">
        <v>443</v>
      </c>
      <c r="BT2" s="4" t="s">
        <v>446</v>
      </c>
      <c r="BU2" s="4" t="s">
        <v>292</v>
      </c>
      <c r="BV2" s="4" t="s">
        <v>293</v>
      </c>
      <c r="BW2" s="4" t="s">
        <v>294</v>
      </c>
      <c r="BX2" s="4" t="s">
        <v>295</v>
      </c>
      <c r="BY2" s="4" t="s">
        <v>296</v>
      </c>
      <c r="BZ2" t="s">
        <v>297</v>
      </c>
      <c r="CA2" t="s">
        <v>298</v>
      </c>
      <c r="CB2" t="s">
        <v>299</v>
      </c>
      <c r="CC2" t="s">
        <v>300</v>
      </c>
      <c r="CD2" t="s">
        <v>301</v>
      </c>
      <c r="CE2" t="s">
        <v>302</v>
      </c>
      <c r="CF2" t="s">
        <v>303</v>
      </c>
      <c r="CG2" t="s">
        <v>304</v>
      </c>
      <c r="CH2" t="s">
        <v>305</v>
      </c>
      <c r="CI2" t="s">
        <v>306</v>
      </c>
      <c r="CJ2" s="8" t="s">
        <v>448</v>
      </c>
      <c r="CK2" t="s">
        <v>307</v>
      </c>
      <c r="CL2" t="s">
        <v>308</v>
      </c>
      <c r="CM2" t="s">
        <v>309</v>
      </c>
      <c r="CN2" t="s">
        <v>310</v>
      </c>
      <c r="CO2" t="s">
        <v>311</v>
      </c>
      <c r="CP2" t="s">
        <v>312</v>
      </c>
      <c r="CQ2" t="s">
        <v>313</v>
      </c>
      <c r="CR2" t="s">
        <v>314</v>
      </c>
      <c r="CS2" t="s">
        <v>315</v>
      </c>
      <c r="CT2" t="s">
        <v>316</v>
      </c>
      <c r="CU2" t="s">
        <v>317</v>
      </c>
      <c r="CV2" t="s">
        <v>318</v>
      </c>
      <c r="CW2" t="s">
        <v>319</v>
      </c>
      <c r="CX2" t="s">
        <v>320</v>
      </c>
      <c r="CY2" t="s">
        <v>321</v>
      </c>
      <c r="CZ2" t="s">
        <v>322</v>
      </c>
      <c r="DA2" t="s">
        <v>323</v>
      </c>
      <c r="DB2" t="s">
        <v>324</v>
      </c>
      <c r="DC2" t="s">
        <v>325</v>
      </c>
      <c r="DD2" t="s">
        <v>326</v>
      </c>
      <c r="DE2" t="s">
        <v>327</v>
      </c>
      <c r="DF2" t="s">
        <v>328</v>
      </c>
      <c r="DG2" t="s">
        <v>329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452</v>
      </c>
      <c r="I3" t="s">
        <v>112</v>
      </c>
      <c r="J3" t="s">
        <v>330</v>
      </c>
      <c r="K3" s="3" t="s">
        <v>331</v>
      </c>
      <c r="L3" s="3" t="s">
        <v>439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332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333</v>
      </c>
      <c r="AP3" t="s">
        <v>334</v>
      </c>
      <c r="AQ3" t="s">
        <v>2</v>
      </c>
      <c r="AR3" t="s">
        <v>335</v>
      </c>
      <c r="AS3" t="s">
        <v>112</v>
      </c>
      <c r="AT3" t="s">
        <v>113</v>
      </c>
      <c r="AU3" t="s">
        <v>112</v>
      </c>
      <c r="AV3" t="s">
        <v>336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335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337</v>
      </c>
      <c r="BP3" t="s">
        <v>338</v>
      </c>
      <c r="BQ3" t="s">
        <v>113</v>
      </c>
      <c r="BR3" t="s">
        <v>113</v>
      </c>
      <c r="BS3" s="8" t="s">
        <v>444</v>
      </c>
      <c r="BT3" s="4" t="s">
        <v>113</v>
      </c>
      <c r="BU3" s="4" t="s">
        <v>113</v>
      </c>
      <c r="BV3" s="4" t="s">
        <v>114</v>
      </c>
      <c r="BW3" s="4" t="s">
        <v>339</v>
      </c>
      <c r="BX3" s="4" t="s">
        <v>112</v>
      </c>
      <c r="BY3" s="4" t="s">
        <v>339</v>
      </c>
      <c r="BZ3" t="s">
        <v>120</v>
      </c>
      <c r="CA3" t="s">
        <v>340</v>
      </c>
      <c r="CB3" t="s">
        <v>120</v>
      </c>
      <c r="CC3" t="s">
        <v>120</v>
      </c>
      <c r="CD3" t="s">
        <v>120</v>
      </c>
      <c r="CE3" t="s">
        <v>341</v>
      </c>
      <c r="CF3" t="s">
        <v>342</v>
      </c>
      <c r="CG3" t="s">
        <v>2</v>
      </c>
      <c r="CH3" t="s">
        <v>343</v>
      </c>
      <c r="CI3" t="s">
        <v>343</v>
      </c>
      <c r="CJ3" s="8" t="s">
        <v>449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340</v>
      </c>
      <c r="CQ3" t="s">
        <v>119</v>
      </c>
      <c r="CR3" t="s">
        <v>112</v>
      </c>
      <c r="CS3" t="s">
        <v>121</v>
      </c>
      <c r="CT3" t="s">
        <v>344</v>
      </c>
      <c r="CU3" t="s">
        <v>345</v>
      </c>
      <c r="CV3" t="s">
        <v>345</v>
      </c>
      <c r="CW3" t="s">
        <v>344</v>
      </c>
      <c r="CX3" t="s">
        <v>344</v>
      </c>
      <c r="CY3" t="s">
        <v>344</v>
      </c>
      <c r="CZ3" t="s">
        <v>344</v>
      </c>
      <c r="DA3" t="s">
        <v>344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346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485</v>
      </c>
      <c r="C6" s="8" t="s">
        <v>407</v>
      </c>
      <c r="K6" s="9" t="s">
        <v>424</v>
      </c>
      <c r="O6" s="9"/>
      <c r="P6"/>
      <c r="AC6">
        <v>2</v>
      </c>
      <c r="AO6" s="8" t="s">
        <v>425</v>
      </c>
      <c r="AR6" t="s">
        <v>435</v>
      </c>
      <c r="AV6" t="s">
        <v>350</v>
      </c>
      <c r="AX6">
        <v>1</v>
      </c>
      <c r="BB6">
        <v>1</v>
      </c>
      <c r="BZ6" s="8" t="s">
        <v>426</v>
      </c>
      <c r="CE6" s="8" t="s">
        <v>427</v>
      </c>
      <c r="CF6" s="8" t="s">
        <v>490</v>
      </c>
      <c r="CG6" t="s">
        <v>486</v>
      </c>
      <c r="CJ6" s="8" t="s">
        <v>453</v>
      </c>
      <c r="CK6" s="8"/>
      <c r="CW6" t="s">
        <v>355</v>
      </c>
    </row>
    <row r="7" spans="1:111" x14ac:dyDescent="0.25">
      <c r="A7" s="8" t="s">
        <v>488</v>
      </c>
      <c r="C7" s="8" t="s">
        <v>407</v>
      </c>
      <c r="J7" s="8"/>
      <c r="O7"/>
      <c r="AC7">
        <v>2</v>
      </c>
      <c r="AD7">
        <v>1</v>
      </c>
      <c r="AO7" s="8" t="s">
        <v>489</v>
      </c>
      <c r="AT7">
        <v>2.5</v>
      </c>
      <c r="BZ7" s="8"/>
      <c r="CE7" s="8"/>
    </row>
    <row r="8" spans="1:111" x14ac:dyDescent="0.25">
      <c r="A8" s="8" t="s">
        <v>497</v>
      </c>
      <c r="C8" s="8" t="s">
        <v>498</v>
      </c>
      <c r="K8" s="3" t="s">
        <v>422</v>
      </c>
      <c r="L8" s="3" t="s">
        <v>499</v>
      </c>
      <c r="AC8">
        <v>2</v>
      </c>
      <c r="AG8" s="8"/>
      <c r="AO8" s="8" t="s">
        <v>425</v>
      </c>
      <c r="AV8" s="8" t="s">
        <v>493</v>
      </c>
      <c r="AX8">
        <v>0</v>
      </c>
      <c r="AZ8">
        <v>2</v>
      </c>
      <c r="BB8">
        <v>1</v>
      </c>
      <c r="CE8" s="8"/>
      <c r="CJ8" s="8" t="s">
        <v>500</v>
      </c>
      <c r="CL8" s="8"/>
      <c r="CM8" s="8"/>
      <c r="CW8" t="s">
        <v>495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461</v>
      </c>
      <c r="C10" s="8" t="s">
        <v>441</v>
      </c>
      <c r="K10" s="3" t="s">
        <v>422</v>
      </c>
      <c r="L10" s="3" t="s">
        <v>436</v>
      </c>
      <c r="AC10">
        <v>1</v>
      </c>
      <c r="AF10">
        <v>1</v>
      </c>
      <c r="AG10" s="8" t="s">
        <v>423</v>
      </c>
      <c r="BB10">
        <v>1</v>
      </c>
      <c r="CJ10" s="3"/>
      <c r="CS10" s="8" t="s">
        <v>470</v>
      </c>
      <c r="DB10">
        <v>1</v>
      </c>
      <c r="DE10">
        <v>1</v>
      </c>
      <c r="DF10">
        <v>1</v>
      </c>
    </row>
    <row r="11" spans="1:111" x14ac:dyDescent="0.25">
      <c r="A11" s="8" t="s">
        <v>456</v>
      </c>
      <c r="C11" s="8" t="s">
        <v>407</v>
      </c>
      <c r="I11">
        <v>1</v>
      </c>
      <c r="J11" s="8" t="s">
        <v>462</v>
      </c>
      <c r="K11" s="3" t="s">
        <v>424</v>
      </c>
      <c r="AC11">
        <v>1</v>
      </c>
      <c r="AG11" s="8" t="s">
        <v>423</v>
      </c>
      <c r="AJ11" s="8"/>
      <c r="AT11">
        <v>99</v>
      </c>
      <c r="AV11" s="8" t="s">
        <v>438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424</v>
      </c>
      <c r="CE11" s="8" t="s">
        <v>429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458</v>
      </c>
      <c r="C12" s="8" t="s">
        <v>459</v>
      </c>
      <c r="I12">
        <v>1</v>
      </c>
      <c r="K12" s="3" t="s">
        <v>422</v>
      </c>
      <c r="L12" s="3" t="s">
        <v>428</v>
      </c>
      <c r="AC12">
        <v>2</v>
      </c>
      <c r="AO12" s="8" t="s">
        <v>425</v>
      </c>
      <c r="AR12" t="s">
        <v>457</v>
      </c>
      <c r="BB12">
        <v>4</v>
      </c>
      <c r="BR12">
        <v>0.2</v>
      </c>
      <c r="CJ12" s="3"/>
      <c r="CS12" s="8" t="s">
        <v>468</v>
      </c>
      <c r="CW12" s="8" t="s">
        <v>460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477</v>
      </c>
      <c r="C14" t="s">
        <v>347</v>
      </c>
      <c r="I14">
        <v>1</v>
      </c>
      <c r="J14" s="18" t="s">
        <v>462</v>
      </c>
      <c r="K14" s="18" t="s">
        <v>424</v>
      </c>
      <c r="L14" s="13"/>
      <c r="M14"/>
      <c r="N14"/>
      <c r="O14" s="13"/>
      <c r="P14"/>
      <c r="Q14"/>
      <c r="R14" s="13"/>
      <c r="S14" s="13"/>
      <c r="T14" s="13"/>
      <c r="U14" s="13"/>
      <c r="V14" s="13"/>
      <c r="W14" s="13"/>
      <c r="X14" s="13"/>
      <c r="Y14" s="13"/>
      <c r="AC14">
        <v>2</v>
      </c>
      <c r="AD14">
        <v>1</v>
      </c>
      <c r="AT14" s="12">
        <v>0.5</v>
      </c>
      <c r="BB14">
        <v>1</v>
      </c>
      <c r="BN14" s="12" t="s">
        <v>471</v>
      </c>
      <c r="BR14">
        <v>6</v>
      </c>
      <c r="BT14" s="14">
        <v>1</v>
      </c>
      <c r="BU14" s="14">
        <v>1</v>
      </c>
      <c r="BV14" s="14">
        <v>1</v>
      </c>
      <c r="BW14" s="17" t="s">
        <v>483</v>
      </c>
      <c r="BX14" s="14"/>
      <c r="BY14" s="14"/>
      <c r="BZ14" s="12"/>
      <c r="CE14" s="8" t="s">
        <v>429</v>
      </c>
      <c r="CH14" s="12"/>
      <c r="CK14" s="12"/>
      <c r="CR14" s="12"/>
      <c r="CU14" s="12"/>
      <c r="CV14" s="12"/>
      <c r="DF14">
        <v>1</v>
      </c>
    </row>
    <row r="15" spans="1:111" x14ac:dyDescent="0.25">
      <c r="A15" s="8" t="s">
        <v>478</v>
      </c>
      <c r="C15" t="s">
        <v>347</v>
      </c>
      <c r="I15">
        <v>1</v>
      </c>
      <c r="K15" s="13" t="s">
        <v>348</v>
      </c>
      <c r="L15" s="13"/>
      <c r="M15"/>
      <c r="N15"/>
      <c r="O15" s="13"/>
      <c r="P15"/>
      <c r="Q15"/>
      <c r="R15" s="13"/>
      <c r="S15" s="13"/>
      <c r="T15" s="13"/>
      <c r="U15" s="13"/>
      <c r="V15" s="13"/>
      <c r="W15" s="13"/>
      <c r="X15" s="13"/>
      <c r="Y15" s="13"/>
      <c r="AC15">
        <v>2</v>
      </c>
      <c r="AD15">
        <v>1</v>
      </c>
      <c r="AR15" t="s">
        <v>457</v>
      </c>
      <c r="AV15" s="12" t="s">
        <v>351</v>
      </c>
      <c r="AX15">
        <v>1</v>
      </c>
      <c r="BB15">
        <v>99</v>
      </c>
      <c r="BC15">
        <v>11</v>
      </c>
      <c r="BD15">
        <v>0.5</v>
      </c>
      <c r="BM15" s="12"/>
      <c r="BN15" s="12" t="s">
        <v>472</v>
      </c>
      <c r="BR15">
        <v>5.5</v>
      </c>
      <c r="BT15" s="14"/>
      <c r="BU15" s="14"/>
      <c r="BV15" s="14"/>
      <c r="BW15" s="17"/>
      <c r="BX15" s="14"/>
      <c r="BY15" s="14"/>
      <c r="BZ15" s="12"/>
      <c r="CE15" s="8" t="s">
        <v>429</v>
      </c>
      <c r="CH15" s="12"/>
      <c r="CJ15" s="15" t="s">
        <v>473</v>
      </c>
      <c r="CK15" s="12"/>
      <c r="CL15" t="s">
        <v>474</v>
      </c>
      <c r="CM15">
        <v>-0.8</v>
      </c>
      <c r="CP15">
        <v>6</v>
      </c>
      <c r="CR15" s="12"/>
      <c r="CU15" s="12"/>
      <c r="CV15" s="12"/>
      <c r="CW15" t="s">
        <v>354</v>
      </c>
      <c r="DF15">
        <v>1</v>
      </c>
    </row>
    <row r="16" spans="1:111" x14ac:dyDescent="0.25">
      <c r="A16" s="8" t="s">
        <v>479</v>
      </c>
      <c r="C16" s="12" t="s">
        <v>347</v>
      </c>
      <c r="I16">
        <v>1</v>
      </c>
      <c r="J16" s="12"/>
      <c r="K16" s="15" t="s">
        <v>348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C16">
        <v>1</v>
      </c>
      <c r="AG16" s="12" t="s">
        <v>349</v>
      </c>
      <c r="AJ16" s="12"/>
      <c r="AR16" t="s">
        <v>352</v>
      </c>
      <c r="AV16" s="12" t="s">
        <v>475</v>
      </c>
      <c r="AX16">
        <v>9</v>
      </c>
      <c r="AZ16">
        <v>2</v>
      </c>
      <c r="BB16">
        <v>1</v>
      </c>
      <c r="BC16">
        <v>11</v>
      </c>
      <c r="BD16">
        <v>0.5</v>
      </c>
      <c r="BR16">
        <v>5.5</v>
      </c>
      <c r="BT16"/>
      <c r="BU16" s="16"/>
      <c r="BV16" s="16"/>
      <c r="BW16" s="16"/>
      <c r="BX16" s="16"/>
      <c r="BY16" s="16"/>
      <c r="CE16" s="8" t="s">
        <v>429</v>
      </c>
      <c r="CJ16" s="15"/>
      <c r="CL16" s="12"/>
      <c r="DB16">
        <v>1</v>
      </c>
      <c r="DE16">
        <v>1</v>
      </c>
      <c r="DF16">
        <v>1</v>
      </c>
    </row>
    <row r="17" spans="1:110" x14ac:dyDescent="0.25">
      <c r="A17" s="8" t="s">
        <v>480</v>
      </c>
      <c r="C17" t="s">
        <v>347</v>
      </c>
      <c r="I17">
        <v>1</v>
      </c>
      <c r="K17" s="13" t="s">
        <v>348</v>
      </c>
      <c r="L17" s="13" t="s">
        <v>476</v>
      </c>
      <c r="M17"/>
      <c r="N17"/>
      <c r="O17" s="13"/>
      <c r="P17"/>
      <c r="Q17"/>
      <c r="R17" s="13"/>
      <c r="S17" s="13"/>
      <c r="T17" s="13"/>
      <c r="U17" s="13"/>
      <c r="V17" s="13"/>
      <c r="W17" s="13"/>
      <c r="X17" s="13"/>
      <c r="Y17" s="13"/>
      <c r="AC17">
        <v>2</v>
      </c>
      <c r="AD17">
        <v>1</v>
      </c>
      <c r="AR17" t="s">
        <v>457</v>
      </c>
      <c r="AV17" s="12" t="s">
        <v>351</v>
      </c>
      <c r="AX17">
        <v>1</v>
      </c>
      <c r="BB17">
        <v>99</v>
      </c>
      <c r="BC17">
        <v>11</v>
      </c>
      <c r="BM17" s="12"/>
      <c r="BN17" s="12" t="s">
        <v>472</v>
      </c>
      <c r="BT17" s="14"/>
      <c r="BU17" s="14"/>
      <c r="BV17" s="14"/>
      <c r="BW17" s="14"/>
      <c r="BX17" s="14"/>
      <c r="BY17" s="14"/>
      <c r="BZ17" s="12"/>
      <c r="CH17" s="12"/>
      <c r="CJ17" s="15" t="s">
        <v>473</v>
      </c>
      <c r="CK17" s="12"/>
      <c r="CL17" t="s">
        <v>474</v>
      </c>
      <c r="CM17">
        <v>-0.8</v>
      </c>
      <c r="CP17">
        <v>6</v>
      </c>
      <c r="CR17" s="12"/>
      <c r="CU17" s="12"/>
      <c r="CV17" s="12"/>
      <c r="CW17" t="s">
        <v>354</v>
      </c>
      <c r="DF17">
        <v>1</v>
      </c>
    </row>
    <row r="18" spans="1:110" x14ac:dyDescent="0.25">
      <c r="A18" s="8" t="s">
        <v>481</v>
      </c>
      <c r="C18" t="s">
        <v>347</v>
      </c>
      <c r="I18">
        <v>1</v>
      </c>
      <c r="K18" s="13" t="s">
        <v>348</v>
      </c>
      <c r="L18" s="13" t="s">
        <v>353</v>
      </c>
      <c r="M18"/>
      <c r="N18"/>
      <c r="O18" s="13"/>
      <c r="P18"/>
      <c r="Q18"/>
      <c r="R18" s="13"/>
      <c r="S18" s="13"/>
      <c r="T18" s="13"/>
      <c r="U18" s="13"/>
      <c r="V18" s="13"/>
      <c r="W18" s="13"/>
      <c r="X18" s="13"/>
      <c r="Y18" s="13"/>
      <c r="AC18">
        <v>2</v>
      </c>
      <c r="AD18">
        <v>1</v>
      </c>
      <c r="AR18" t="s">
        <v>457</v>
      </c>
      <c r="AV18" s="12" t="s">
        <v>351</v>
      </c>
      <c r="AX18">
        <v>1</v>
      </c>
      <c r="BB18">
        <v>99</v>
      </c>
      <c r="BC18">
        <v>11</v>
      </c>
      <c r="BM18" s="12"/>
      <c r="BN18" s="12" t="s">
        <v>472</v>
      </c>
      <c r="BT18" s="14"/>
      <c r="BU18" s="14"/>
      <c r="BV18" s="14"/>
      <c r="BW18" s="14"/>
      <c r="BX18" s="14"/>
      <c r="BY18" s="14"/>
      <c r="BZ18" s="12"/>
      <c r="CH18" s="12"/>
      <c r="CJ18" s="15" t="s">
        <v>473</v>
      </c>
      <c r="CK18" s="12"/>
      <c r="CL18" t="s">
        <v>474</v>
      </c>
      <c r="CM18">
        <v>-0.8</v>
      </c>
      <c r="CP18">
        <v>6</v>
      </c>
      <c r="CR18" s="12"/>
      <c r="CU18" s="12"/>
      <c r="CV18" s="12"/>
      <c r="CW18" t="s">
        <v>354</v>
      </c>
      <c r="DF18">
        <v>1</v>
      </c>
    </row>
    <row r="19" spans="1:110" x14ac:dyDescent="0.25">
      <c r="CJ19" s="3"/>
    </row>
    <row r="20" spans="1:110" x14ac:dyDescent="0.25">
      <c r="A20" s="8" t="s">
        <v>466</v>
      </c>
      <c r="C20" s="8" t="s">
        <v>440</v>
      </c>
      <c r="I20">
        <v>1</v>
      </c>
      <c r="K20" s="3" t="s">
        <v>422</v>
      </c>
      <c r="AC20">
        <v>1</v>
      </c>
      <c r="AR20" s="8" t="s">
        <v>467</v>
      </c>
      <c r="BT20"/>
      <c r="CJ20" s="3"/>
      <c r="CS20" s="8" t="s">
        <v>469</v>
      </c>
    </row>
    <row r="21" spans="1:110" x14ac:dyDescent="0.25">
      <c r="BT21"/>
      <c r="CJ21" s="3"/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CJ24" s="3"/>
    </row>
    <row r="26" spans="1:110" x14ac:dyDescent="0.25">
      <c r="CJ26" s="3"/>
    </row>
    <row r="27" spans="1:110" x14ac:dyDescent="0.25">
      <c r="BT27"/>
    </row>
    <row r="28" spans="1:110" x14ac:dyDescent="0.25">
      <c r="CJ28" s="3"/>
    </row>
    <row r="29" spans="1:110" x14ac:dyDescent="0.25">
      <c r="CJ29" s="3"/>
    </row>
    <row r="30" spans="1:110" x14ac:dyDescent="0.25">
      <c r="CJ30" s="3"/>
    </row>
    <row r="33" spans="72:88" x14ac:dyDescent="0.25">
      <c r="CJ33" s="3"/>
    </row>
    <row r="34" spans="72:88" x14ac:dyDescent="0.25">
      <c r="CJ34" s="3"/>
    </row>
    <row r="38" spans="72:88" x14ac:dyDescent="0.25">
      <c r="BT38"/>
    </row>
    <row r="39" spans="72:88" x14ac:dyDescent="0.25">
      <c r="CJ39" s="3"/>
    </row>
    <row r="44" spans="72:88" x14ac:dyDescent="0.25">
      <c r="BT44"/>
    </row>
    <row r="47" spans="72:88" x14ac:dyDescent="0.25">
      <c r="BT47"/>
      <c r="CJ47" s="3"/>
    </row>
    <row r="48" spans="72:88" x14ac:dyDescent="0.25">
      <c r="BT48"/>
    </row>
    <row r="50" spans="72:88" x14ac:dyDescent="0.25">
      <c r="BT50"/>
    </row>
    <row r="51" spans="72:88" x14ac:dyDescent="0.25">
      <c r="CJ51" s="3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9" spans="72:88" x14ac:dyDescent="0.25">
      <c r="CJ59" s="3"/>
    </row>
    <row r="60" spans="72:88" x14ac:dyDescent="0.25">
      <c r="CJ60" s="3"/>
    </row>
    <row r="66" spans="72:88" x14ac:dyDescent="0.25">
      <c r="CJ66" s="3"/>
    </row>
    <row r="67" spans="72:88" x14ac:dyDescent="0.25">
      <c r="CJ67" s="3"/>
    </row>
    <row r="69" spans="72:88" x14ac:dyDescent="0.25">
      <c r="CJ69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BT73"/>
    </row>
    <row r="74" spans="72:88" x14ac:dyDescent="0.25">
      <c r="BT74"/>
    </row>
    <row r="75" spans="72:88" x14ac:dyDescent="0.25">
      <c r="BT75"/>
      <c r="CJ75" s="3"/>
    </row>
    <row r="76" spans="72:88" x14ac:dyDescent="0.25">
      <c r="CJ76" s="3"/>
    </row>
    <row r="77" spans="72:88" x14ac:dyDescent="0.25">
      <c r="CJ77" s="3"/>
    </row>
    <row r="78" spans="72:88" x14ac:dyDescent="0.25">
      <c r="BT78"/>
    </row>
    <row r="79" spans="72:88" x14ac:dyDescent="0.25">
      <c r="CJ79" s="3"/>
    </row>
    <row r="83" spans="72:88" x14ac:dyDescent="0.25">
      <c r="BT83"/>
    </row>
    <row r="84" spans="72:88" x14ac:dyDescent="0.25">
      <c r="CJ84" s="3"/>
    </row>
    <row r="92" spans="72:88" x14ac:dyDescent="0.25">
      <c r="CJ92" s="3"/>
    </row>
    <row r="93" spans="72:88" x14ac:dyDescent="0.25">
      <c r="CJ93" s="3"/>
    </row>
    <row r="94" spans="72:88" x14ac:dyDescent="0.25">
      <c r="BT94"/>
    </row>
    <row r="99" spans="72:88" x14ac:dyDescent="0.25">
      <c r="BT99"/>
    </row>
    <row r="100" spans="72:88" x14ac:dyDescent="0.25">
      <c r="BT100"/>
      <c r="CJ100" s="3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BT105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7" spans="72:88" x14ac:dyDescent="0.25">
      <c r="CJ117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1" spans="72:88" x14ac:dyDescent="0.25">
      <c r="CJ131" s="3"/>
    </row>
    <row r="133" spans="72:88" x14ac:dyDescent="0.25">
      <c r="BT133"/>
    </row>
    <row r="134" spans="72:88" x14ac:dyDescent="0.25">
      <c r="BT134"/>
      <c r="CJ134" s="3"/>
    </row>
    <row r="135" spans="72:88" x14ac:dyDescent="0.25"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40" spans="72:88" x14ac:dyDescent="0.25">
      <c r="BT140"/>
    </row>
    <row r="141" spans="72:88" x14ac:dyDescent="0.25">
      <c r="CJ141" s="3"/>
    </row>
    <row r="142" spans="72:88" x14ac:dyDescent="0.25">
      <c r="CJ142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51" spans="72:88" x14ac:dyDescent="0.25">
      <c r="CJ151" s="3"/>
    </row>
    <row r="152" spans="72:88" x14ac:dyDescent="0.25">
      <c r="CJ152" s="3"/>
    </row>
    <row r="155" spans="72:88" x14ac:dyDescent="0.25">
      <c r="CJ155" s="3"/>
    </row>
    <row r="157" spans="72:88" x14ac:dyDescent="0.25">
      <c r="CJ157" s="3"/>
    </row>
    <row r="159" spans="72:88" x14ac:dyDescent="0.25">
      <c r="BT159"/>
    </row>
    <row r="160" spans="72:88" x14ac:dyDescent="0.25">
      <c r="CJ160" s="3"/>
    </row>
    <row r="161" spans="88:88" x14ac:dyDescent="0.25">
      <c r="CJ161" s="3"/>
    </row>
    <row r="163" spans="88:88" x14ac:dyDescent="0.25">
      <c r="CJ163" s="3"/>
    </row>
    <row r="164" spans="88:88" x14ac:dyDescent="0.25">
      <c r="CJ164" s="3"/>
    </row>
    <row r="165" spans="88:88" x14ac:dyDescent="0.25">
      <c r="CJ165" s="3"/>
    </row>
    <row r="170" spans="88:88" x14ac:dyDescent="0.25">
      <c r="CJ170" s="3"/>
    </row>
    <row r="171" spans="88:88" x14ac:dyDescent="0.25">
      <c r="CJ171" s="3"/>
    </row>
    <row r="174" spans="88:88" x14ac:dyDescent="0.25">
      <c r="CJ174" s="3"/>
    </row>
    <row r="175" spans="88:88" x14ac:dyDescent="0.25">
      <c r="CJ175" s="3"/>
    </row>
    <row r="179" spans="72:88" x14ac:dyDescent="0.25">
      <c r="CJ179" s="3"/>
    </row>
    <row r="183" spans="72:88" x14ac:dyDescent="0.25">
      <c r="CJ183" s="3"/>
    </row>
    <row r="185" spans="72:88" x14ac:dyDescent="0.25">
      <c r="CJ185" s="3"/>
    </row>
    <row r="186" spans="72:88" x14ac:dyDescent="0.25">
      <c r="CJ186" s="3"/>
    </row>
    <row r="188" spans="72:88" x14ac:dyDescent="0.25">
      <c r="CJ188" s="3"/>
    </row>
    <row r="189" spans="72:88" x14ac:dyDescent="0.25">
      <c r="CJ189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5" spans="72:88" x14ac:dyDescent="0.25">
      <c r="CJ195" s="3"/>
    </row>
    <row r="204" spans="72:88" x14ac:dyDescent="0.25">
      <c r="BT204"/>
    </row>
    <row r="205" spans="72:88" x14ac:dyDescent="0.25">
      <c r="BT205"/>
      <c r="CJ205" s="3"/>
    </row>
    <row r="206" spans="72:88" x14ac:dyDescent="0.25">
      <c r="CJ206" s="3"/>
    </row>
    <row r="207" spans="72:88" x14ac:dyDescent="0.25">
      <c r="CJ207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CJ217" s="3"/>
    </row>
    <row r="220" spans="72:88" x14ac:dyDescent="0.25">
      <c r="CJ220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34" spans="72:88" x14ac:dyDescent="0.25">
      <c r="BT234"/>
    </row>
    <row r="235" spans="72:88" x14ac:dyDescent="0.25">
      <c r="CJ235" s="3"/>
    </row>
    <row r="236" spans="72:88" x14ac:dyDescent="0.25">
      <c r="CJ236" s="3"/>
    </row>
    <row r="238" spans="72:88" x14ac:dyDescent="0.25">
      <c r="BT238"/>
    </row>
    <row r="239" spans="72:88" x14ac:dyDescent="0.25">
      <c r="BT239"/>
      <c r="CJ239" s="3"/>
    </row>
    <row r="240" spans="72:88" x14ac:dyDescent="0.25">
      <c r="CJ240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BT248"/>
      <c r="CJ248" s="3"/>
    </row>
    <row r="249" spans="72:88" x14ac:dyDescent="0.25">
      <c r="CJ249" s="3"/>
    </row>
    <row r="254" spans="72:88" x14ac:dyDescent="0.25">
      <c r="BT254"/>
    </row>
    <row r="255" spans="72:88" x14ac:dyDescent="0.25">
      <c r="BT255"/>
    </row>
    <row r="259" spans="72:88" x14ac:dyDescent="0.25">
      <c r="BT259"/>
    </row>
    <row r="260" spans="72:88" x14ac:dyDescent="0.25">
      <c r="CJ260" s="3"/>
    </row>
    <row r="261" spans="72:88" x14ac:dyDescent="0.25">
      <c r="BT261"/>
    </row>
    <row r="262" spans="72:88" x14ac:dyDescent="0.25">
      <c r="CJ262" s="3"/>
    </row>
    <row r="272" spans="72:88" x14ac:dyDescent="0.25">
      <c r="BT272"/>
    </row>
    <row r="273" spans="72:88" x14ac:dyDescent="0.25">
      <c r="CJ273" s="3"/>
    </row>
    <row r="275" spans="72:88" x14ac:dyDescent="0.25">
      <c r="BT275"/>
    </row>
    <row r="276" spans="72:88" x14ac:dyDescent="0.25">
      <c r="CJ276" s="3"/>
    </row>
    <row r="284" spans="72:88" x14ac:dyDescent="0.25">
      <c r="BT284"/>
    </row>
    <row r="285" spans="72:88" x14ac:dyDescent="0.25">
      <c r="CJ285" s="3"/>
    </row>
    <row r="289" spans="72:88" x14ac:dyDescent="0.25">
      <c r="BT289"/>
    </row>
    <row r="290" spans="72:88" x14ac:dyDescent="0.25">
      <c r="CJ290" s="3"/>
    </row>
    <row r="292" spans="72:88" x14ac:dyDescent="0.25">
      <c r="BT292"/>
    </row>
    <row r="293" spans="72:88" x14ac:dyDescent="0.25">
      <c r="CJ293" s="3"/>
    </row>
    <row r="309" spans="72:88" x14ac:dyDescent="0.25">
      <c r="BT309"/>
    </row>
    <row r="310" spans="72:88" x14ac:dyDescent="0.25">
      <c r="BT310"/>
      <c r="CJ310" s="3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</row>
    <row r="315" spans="72:88" x14ac:dyDescent="0.25">
      <c r="BT315"/>
    </row>
    <row r="316" spans="72:88" x14ac:dyDescent="0.25">
      <c r="BT316"/>
      <c r="CJ316" s="3"/>
    </row>
    <row r="317" spans="72:88" x14ac:dyDescent="0.25">
      <c r="BT317"/>
      <c r="CJ317" s="3"/>
    </row>
    <row r="318" spans="72:88" x14ac:dyDescent="0.25">
      <c r="CJ318" s="3"/>
    </row>
    <row r="322" spans="72:88" x14ac:dyDescent="0.25">
      <c r="BT322"/>
    </row>
    <row r="323" spans="72:88" x14ac:dyDescent="0.25">
      <c r="CJ323" s="3"/>
    </row>
    <row r="325" spans="72:88" x14ac:dyDescent="0.25">
      <c r="BT325"/>
    </row>
    <row r="326" spans="72:88" x14ac:dyDescent="0.25">
      <c r="BT326"/>
      <c r="CJ326" s="3"/>
    </row>
    <row r="327" spans="72:88" x14ac:dyDescent="0.25">
      <c r="BT327"/>
      <c r="CJ327" s="3"/>
    </row>
    <row r="328" spans="72:88" x14ac:dyDescent="0.25">
      <c r="CJ328" s="3"/>
    </row>
    <row r="344" spans="72:88" x14ac:dyDescent="0.25">
      <c r="BT344"/>
    </row>
    <row r="345" spans="72:88" x14ac:dyDescent="0.25">
      <c r="CJ345" s="3"/>
    </row>
    <row r="353" spans="72:88" x14ac:dyDescent="0.25">
      <c r="CJ353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61" spans="72:88" x14ac:dyDescent="0.25">
      <c r="BT361"/>
    </row>
    <row r="362" spans="72:88" x14ac:dyDescent="0.25">
      <c r="BT362"/>
      <c r="CJ362" s="3"/>
    </row>
    <row r="363" spans="72:88" x14ac:dyDescent="0.25">
      <c r="CJ363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BT367"/>
      <c r="CJ367" s="3"/>
    </row>
    <row r="368" spans="72:88" x14ac:dyDescent="0.25">
      <c r="CJ368" s="3"/>
    </row>
    <row r="370" spans="72:88" x14ac:dyDescent="0.25">
      <c r="CJ370" s="3"/>
    </row>
    <row r="372" spans="72:88" x14ac:dyDescent="0.25">
      <c r="CJ372" s="3"/>
    </row>
    <row r="374" spans="72:88" x14ac:dyDescent="0.25">
      <c r="CJ374" s="3"/>
    </row>
    <row r="377" spans="72:88" x14ac:dyDescent="0.25">
      <c r="CJ377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BT38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1" spans="72:88" x14ac:dyDescent="0.25">
      <c r="CJ391" s="3"/>
    </row>
    <row r="392" spans="72:88" x14ac:dyDescent="0.25">
      <c r="CJ392" s="3"/>
    </row>
    <row r="393" spans="72:88" x14ac:dyDescent="0.25">
      <c r="BT393"/>
    </row>
    <row r="394" spans="72:88" x14ac:dyDescent="0.25">
      <c r="BT394"/>
      <c r="CJ394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BT407"/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BT412"/>
      <c r="CJ412" s="3"/>
    </row>
    <row r="413" spans="72:88" x14ac:dyDescent="0.25">
      <c r="CJ413" s="3"/>
    </row>
    <row r="415" spans="72:88" x14ac:dyDescent="0.25">
      <c r="CJ415" s="3"/>
    </row>
    <row r="417" spans="72:88" x14ac:dyDescent="0.25">
      <c r="CJ417" s="3"/>
    </row>
    <row r="420" spans="72:88" x14ac:dyDescent="0.25">
      <c r="CJ420" s="3"/>
    </row>
    <row r="421" spans="72:88" x14ac:dyDescent="0.25">
      <c r="CJ421" s="3"/>
    </row>
    <row r="425" spans="72:88" x14ac:dyDescent="0.25">
      <c r="BT425"/>
    </row>
    <row r="426" spans="72:88" x14ac:dyDescent="0.25">
      <c r="BT426"/>
      <c r="CJ426" s="3"/>
    </row>
    <row r="427" spans="72:88" x14ac:dyDescent="0.25">
      <c r="BT427"/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BT430"/>
    </row>
    <row r="431" spans="72:88" x14ac:dyDescent="0.25">
      <c r="CJ431" s="3"/>
    </row>
    <row r="433" spans="72:88" x14ac:dyDescent="0.25">
      <c r="CJ433" s="3"/>
    </row>
    <row r="434" spans="72:88" x14ac:dyDescent="0.25">
      <c r="CJ434" s="3"/>
    </row>
    <row r="436" spans="72:88" x14ac:dyDescent="0.25">
      <c r="CJ436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4" spans="72:88" x14ac:dyDescent="0.25">
      <c r="BT444"/>
    </row>
    <row r="445" spans="72:88" x14ac:dyDescent="0.25">
      <c r="CJ445" s="3"/>
    </row>
    <row r="446" spans="72:88" x14ac:dyDescent="0.25">
      <c r="CJ446" s="3"/>
    </row>
    <row r="479" spans="8:88" x14ac:dyDescent="0.25">
      <c r="BS479" s="10"/>
      <c r="BT479" s="11"/>
    </row>
    <row r="480" spans="8:88" x14ac:dyDescent="0.25">
      <c r="H480" s="10"/>
      <c r="CJ480" s="10"/>
    </row>
    <row r="486" spans="72:88" x14ac:dyDescent="0.25">
      <c r="BT486"/>
    </row>
    <row r="487" spans="72:88" x14ac:dyDescent="0.25">
      <c r="BT487"/>
      <c r="CJ487" s="3"/>
    </row>
    <row r="488" spans="72:88" x14ac:dyDescent="0.25">
      <c r="BT488"/>
      <c r="CJ488" s="3"/>
    </row>
    <row r="489" spans="72:88" x14ac:dyDescent="0.25">
      <c r="CJ489" s="3"/>
    </row>
    <row r="506" spans="72:88" x14ac:dyDescent="0.25">
      <c r="BT506"/>
    </row>
    <row r="507" spans="72:88" x14ac:dyDescent="0.25">
      <c r="CJ507" s="3"/>
    </row>
    <row r="539" spans="72:88" x14ac:dyDescent="0.25">
      <c r="BT539"/>
    </row>
    <row r="540" spans="72:88" x14ac:dyDescent="0.25">
      <c r="BT540"/>
      <c r="CJ540" s="3"/>
    </row>
    <row r="541" spans="72:88" x14ac:dyDescent="0.25">
      <c r="CJ541" s="3"/>
    </row>
    <row r="557" spans="72:88" x14ac:dyDescent="0.25">
      <c r="BT557"/>
    </row>
    <row r="558" spans="72:88" x14ac:dyDescent="0.25">
      <c r="CJ558" s="3"/>
    </row>
    <row r="564" spans="72:88" x14ac:dyDescent="0.25">
      <c r="BT564"/>
    </row>
    <row r="565" spans="72:88" x14ac:dyDescent="0.25">
      <c r="BT565"/>
      <c r="CJ565" s="3"/>
    </row>
    <row r="566" spans="72:88" x14ac:dyDescent="0.25">
      <c r="CJ566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CJ587" s="3"/>
    </row>
    <row r="591" spans="72:88" x14ac:dyDescent="0.25">
      <c r="BT591"/>
    </row>
    <row r="592" spans="72:88" x14ac:dyDescent="0.25">
      <c r="BT592"/>
      <c r="CJ592" s="3"/>
    </row>
    <row r="593" spans="72:88" x14ac:dyDescent="0.25">
      <c r="CJ593" s="3"/>
    </row>
    <row r="594" spans="72:88" x14ac:dyDescent="0.25">
      <c r="BT594"/>
    </row>
    <row r="595" spans="72:88" x14ac:dyDescent="0.25">
      <c r="CJ595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CJ639" s="3"/>
    </row>
    <row r="641" spans="72:88" x14ac:dyDescent="0.25">
      <c r="BT641"/>
    </row>
    <row r="642" spans="72:88" x14ac:dyDescent="0.25">
      <c r="CJ642" s="3"/>
    </row>
    <row r="646" spans="72:88" x14ac:dyDescent="0.25">
      <c r="BT646"/>
    </row>
    <row r="647" spans="72:88" x14ac:dyDescent="0.25">
      <c r="CJ647" s="3"/>
    </row>
    <row r="650" spans="72:88" x14ac:dyDescent="0.25">
      <c r="BT650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CJ669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674" spans="88:88" x14ac:dyDescent="0.25">
      <c r="CJ674">
        <v>0.15</v>
      </c>
    </row>
    <row r="676" spans="88:88" x14ac:dyDescent="0.25">
      <c r="CJ676">
        <v>0.2</v>
      </c>
    </row>
    <row r="677" spans="88:88" x14ac:dyDescent="0.25">
      <c r="CJ677">
        <v>0.1</v>
      </c>
    </row>
    <row r="679" spans="88:88" x14ac:dyDescent="0.25">
      <c r="CJ679">
        <v>0.2</v>
      </c>
    </row>
    <row r="686" spans="88:88" x14ac:dyDescent="0.25">
      <c r="CJ686">
        <v>1</v>
      </c>
    </row>
    <row r="688" spans="88:88" x14ac:dyDescent="0.25">
      <c r="CJ688">
        <v>0.4</v>
      </c>
    </row>
    <row r="689" spans="72:88" x14ac:dyDescent="0.25">
      <c r="CJ689">
        <v>0.6</v>
      </c>
    </row>
    <row r="692" spans="72:88" x14ac:dyDescent="0.25">
      <c r="CJ692">
        <v>0.5</v>
      </c>
    </row>
    <row r="693" spans="72:88" x14ac:dyDescent="0.25">
      <c r="CJ693">
        <v>0.66700000000000004</v>
      </c>
    </row>
    <row r="694" spans="72:88" x14ac:dyDescent="0.25">
      <c r="CJ694">
        <v>0.2</v>
      </c>
    </row>
    <row r="697" spans="72:88" x14ac:dyDescent="0.25">
      <c r="BT697"/>
    </row>
    <row r="698" spans="72:88" x14ac:dyDescent="0.25">
      <c r="BT698"/>
      <c r="CJ698" s="3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7" spans="72:88" x14ac:dyDescent="0.25">
      <c r="BT707"/>
    </row>
    <row r="708" spans="72:88" x14ac:dyDescent="0.25">
      <c r="CJ708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CJ727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CJ734" s="3"/>
    </row>
    <row r="735" spans="72:88" x14ac:dyDescent="0.25">
      <c r="BT735"/>
    </row>
    <row r="736" spans="72:88" x14ac:dyDescent="0.25">
      <c r="BT736"/>
      <c r="CJ736" s="3"/>
    </row>
    <row r="737" spans="71:88" x14ac:dyDescent="0.25">
      <c r="CJ737" s="3"/>
    </row>
    <row r="738" spans="71:88" x14ac:dyDescent="0.25">
      <c r="BT738"/>
    </row>
    <row r="739" spans="71:88" x14ac:dyDescent="0.25">
      <c r="BT739"/>
      <c r="CJ739" s="3"/>
    </row>
    <row r="740" spans="71:88" x14ac:dyDescent="0.25">
      <c r="BT740"/>
      <c r="CJ740" s="3"/>
    </row>
    <row r="741" spans="71:88" x14ac:dyDescent="0.25">
      <c r="BT741"/>
      <c r="CJ741" s="3"/>
    </row>
    <row r="742" spans="71:88" x14ac:dyDescent="0.25">
      <c r="CJ742" s="3"/>
    </row>
    <row r="746" spans="71:88" x14ac:dyDescent="0.25">
      <c r="BT746"/>
    </row>
    <row r="747" spans="71:88" x14ac:dyDescent="0.25">
      <c r="BT747"/>
      <c r="CJ747" s="3"/>
    </row>
    <row r="748" spans="71:88" x14ac:dyDescent="0.25">
      <c r="BT748"/>
      <c r="CJ748" s="3"/>
    </row>
    <row r="749" spans="71:88" x14ac:dyDescent="0.25">
      <c r="CJ749" s="3"/>
    </row>
    <row r="750" spans="71:88" x14ac:dyDescent="0.25">
      <c r="BT750"/>
    </row>
    <row r="751" spans="71:88" x14ac:dyDescent="0.25">
      <c r="CJ751" s="3"/>
    </row>
    <row r="752" spans="71:88" x14ac:dyDescent="0.25">
      <c r="BS752" s="10"/>
      <c r="BT752" s="11"/>
    </row>
    <row r="753" spans="8:88" x14ac:dyDescent="0.25">
      <c r="H753" s="10"/>
      <c r="CJ753" s="10"/>
    </row>
    <row r="770" spans="8:88" x14ac:dyDescent="0.25">
      <c r="BT770"/>
    </row>
    <row r="771" spans="8:88" x14ac:dyDescent="0.25">
      <c r="BT771"/>
      <c r="CJ771" s="3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CJ774" s="3"/>
    </row>
    <row r="775" spans="8:88" x14ac:dyDescent="0.25">
      <c r="BT775"/>
    </row>
    <row r="776" spans="8:88" x14ac:dyDescent="0.25">
      <c r="BT776"/>
      <c r="CJ776" s="3"/>
    </row>
    <row r="777" spans="8:88" x14ac:dyDescent="0.25">
      <c r="BS777" s="10"/>
      <c r="BT777" s="11"/>
      <c r="CJ777" s="3"/>
    </row>
    <row r="778" spans="8:88" x14ac:dyDescent="0.25">
      <c r="H778" s="10"/>
      <c r="CJ778" s="10"/>
    </row>
    <row r="781" spans="8:88" x14ac:dyDescent="0.25">
      <c r="BT781"/>
    </row>
    <row r="782" spans="8:88" x14ac:dyDescent="0.25">
      <c r="BT782"/>
      <c r="CJ782" s="3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CJ789" s="3"/>
    </row>
    <row r="791" spans="72:88" x14ac:dyDescent="0.25">
      <c r="BT791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CJ797" s="3"/>
    </row>
    <row r="798" spans="72:88" x14ac:dyDescent="0.25">
      <c r="BT798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CJ828" s="3"/>
    </row>
    <row r="829" spans="72:88" x14ac:dyDescent="0.25">
      <c r="BT829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L1" t="s">
        <v>362</v>
      </c>
      <c r="M1" t="s">
        <v>363</v>
      </c>
      <c r="N1" t="s">
        <v>364</v>
      </c>
      <c r="O1" t="s">
        <v>365</v>
      </c>
    </row>
    <row r="2" spans="1:16" x14ac:dyDescent="0.25">
      <c r="A2" t="s">
        <v>0</v>
      </c>
      <c r="C2" t="s">
        <v>46</v>
      </c>
      <c r="D2" t="s">
        <v>75</v>
      </c>
      <c r="E2" t="s">
        <v>366</v>
      </c>
      <c r="F2" t="s">
        <v>367</v>
      </c>
      <c r="G2" t="s">
        <v>368</v>
      </c>
      <c r="H2" t="s">
        <v>369</v>
      </c>
      <c r="I2" t="s">
        <v>370</v>
      </c>
      <c r="J2" t="s">
        <v>371</v>
      </c>
      <c r="K2" t="s">
        <v>372</v>
      </c>
      <c r="L2" t="s">
        <v>51</v>
      </c>
      <c r="M2" t="s">
        <v>373</v>
      </c>
      <c r="N2" t="s">
        <v>374</v>
      </c>
      <c r="O2" t="s">
        <v>375</v>
      </c>
      <c r="P2" t="s">
        <v>315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344</v>
      </c>
      <c r="K3" t="s">
        <v>113</v>
      </c>
      <c r="L3" t="s">
        <v>309</v>
      </c>
      <c r="M3" t="s">
        <v>112</v>
      </c>
      <c r="N3" t="s">
        <v>112</v>
      </c>
      <c r="O3" t="s">
        <v>309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376</v>
      </c>
    </row>
    <row r="2" spans="1:4" x14ac:dyDescent="0.25">
      <c r="A2" t="s">
        <v>0</v>
      </c>
      <c r="B2" t="s">
        <v>46</v>
      </c>
      <c r="C2" t="s">
        <v>377</v>
      </c>
      <c r="D2" t="s">
        <v>315</v>
      </c>
    </row>
    <row r="3" spans="1:4" x14ac:dyDescent="0.25">
      <c r="A3" t="s">
        <v>2</v>
      </c>
      <c r="B3" t="s">
        <v>2</v>
      </c>
      <c r="C3" t="s">
        <v>309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378</v>
      </c>
      <c r="E2" t="s">
        <v>70</v>
      </c>
      <c r="F2" t="s">
        <v>379</v>
      </c>
      <c r="G2" t="s">
        <v>380</v>
      </c>
      <c r="H2" t="s">
        <v>381</v>
      </c>
      <c r="I2" t="s">
        <v>315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449</v>
      </c>
    </row>
    <row r="4" spans="1:9" x14ac:dyDescent="0.25">
      <c r="A4" s="8" t="s">
        <v>490</v>
      </c>
      <c r="B4" s="8" t="s">
        <v>487</v>
      </c>
      <c r="C4" t="s">
        <v>437</v>
      </c>
      <c r="E4">
        <v>10</v>
      </c>
      <c r="I4" s="8" t="s">
        <v>492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382</v>
      </c>
      <c r="C1" t="s">
        <v>383</v>
      </c>
      <c r="D1" t="s">
        <v>384</v>
      </c>
      <c r="E1" t="s">
        <v>385</v>
      </c>
      <c r="F1" t="s">
        <v>386</v>
      </c>
      <c r="H1" t="s">
        <v>387</v>
      </c>
      <c r="I1" t="s">
        <v>388</v>
      </c>
      <c r="J1" t="s">
        <v>389</v>
      </c>
      <c r="K1" t="s">
        <v>390</v>
      </c>
      <c r="L1" t="s">
        <v>391</v>
      </c>
    </row>
    <row r="2" spans="1:12" x14ac:dyDescent="0.25">
      <c r="A2" t="s">
        <v>0</v>
      </c>
      <c r="B2" t="s">
        <v>392</v>
      </c>
      <c r="C2" t="s">
        <v>393</v>
      </c>
      <c r="D2" t="s">
        <v>394</v>
      </c>
      <c r="E2" t="s">
        <v>395</v>
      </c>
      <c r="F2" t="s">
        <v>396</v>
      </c>
      <c r="G2" t="s">
        <v>397</v>
      </c>
      <c r="H2" t="s">
        <v>398</v>
      </c>
      <c r="I2" t="s">
        <v>399</v>
      </c>
      <c r="J2" t="s">
        <v>400</v>
      </c>
      <c r="K2" t="s">
        <v>379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401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230</v>
      </c>
      <c r="C2" t="s">
        <v>75</v>
      </c>
      <c r="D2" t="s">
        <v>402</v>
      </c>
      <c r="E2" t="s">
        <v>403</v>
      </c>
      <c r="F2" t="s">
        <v>77</v>
      </c>
      <c r="G2" t="s">
        <v>404</v>
      </c>
      <c r="H2" t="s">
        <v>257</v>
      </c>
      <c r="I2" t="s">
        <v>405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406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2025-09-10T17:40:14Z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