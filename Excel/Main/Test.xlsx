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2503EC4E-78C1-4059-9D4C-735F3AEA4897}" xr6:coauthVersionLast="47" xr6:coauthVersionMax="47" xr10:uidLastSave="{00000000-0000-0000-0000-000000000000}"/>
  <bookViews>
    <workbookView xWindow="2347" yWindow="2581" windowWidth="17953" windowHeight="10398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<sst xmlns="http://schemas.openxmlformats.org/spreadsheetml/2006/main" count="788" uniqueCount="500">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</sst>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490</v>
      </c>
      <c r="B4" s="8" t="s">
        <v>490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tabSelected="1" workbookViewId="0">
      <pane xSplit="1" ySplit="3" topLeftCell="AC4" activePane="bottomRight" state="frozen"/>
      <selection pane="topRight"/>
      <selection pane="bottomLeft"/>
      <selection pane="bottomRight" activeCell="AI6" sqref="AI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463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462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453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483</v>
      </c>
      <c r="B5" s="8" t="s">
        <v>407</v>
      </c>
      <c r="E5" s="1"/>
      <c r="F5" s="8" t="s">
        <v>408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483</v>
      </c>
      <c r="AH5" s="8" t="s">
        <v>409</v>
      </c>
      <c r="AI5" s="8" t="s">
        <v>499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410</v>
      </c>
      <c r="BD5" s="8" t="s">
        <v>411</v>
      </c>
      <c r="BE5" s="8" t="s">
        <v>412</v>
      </c>
      <c r="BF5" s="8" t="s">
        <v>413</v>
      </c>
      <c r="BG5" s="8" t="s">
        <v>414</v>
      </c>
      <c r="BH5">
        <v>6</v>
      </c>
      <c r="BI5" s="8" t="s">
        <v>415</v>
      </c>
      <c r="BJ5" s="8" t="s">
        <v>416</v>
      </c>
      <c r="BK5" s="5"/>
      <c r="BM5" s="8" t="s">
        <v>417</v>
      </c>
      <c r="BN5" s="8" t="s">
        <v>418</v>
      </c>
      <c r="BP5" s="8" t="s">
        <v>419</v>
      </c>
      <c r="BQ5" s="8" t="s">
        <v>419</v>
      </c>
      <c r="BR5" s="8" t="s">
        <v>420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457</v>
      </c>
      <c r="B8" t="s">
        <v>126</v>
      </c>
      <c r="D8" t="s">
        <v>429</v>
      </c>
      <c r="E8" s="1" t="s">
        <v>430</v>
      </c>
      <c r="F8" s="8" t="s">
        <v>431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454</v>
      </c>
      <c r="AH8" t="s">
        <v>122</v>
      </c>
      <c r="AI8" s="8" t="s">
        <v>481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433</v>
      </c>
      <c r="BD8" t="s">
        <v>432</v>
      </c>
      <c r="BE8" t="str">
        <f t="shared" ref="BE8" si="0">"half_"&amp;D8</f>
        <v>half_otter</v>
      </c>
      <c r="BF8" t="str">
        <f t="shared" ref="BF8" si="1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464</v>
      </c>
      <c r="B9" t="s">
        <v>126</v>
      </c>
      <c r="D9" t="s">
        <v>429</v>
      </c>
      <c r="E9" s="1" t="s">
        <v>430</v>
      </c>
      <c r="F9" s="8" t="s">
        <v>431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454</v>
      </c>
      <c r="AH9" t="s">
        <v>122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433</v>
      </c>
      <c r="BD9" t="s">
        <v>432</v>
      </c>
      <c r="BE9" t="str">
        <f t="shared" ref="BE9" si="2">"half_"&amp;D9</f>
        <v>half_otter</v>
      </c>
      <c r="BF9" t="str">
        <f t="shared" ref="BF9" si="3">D9</f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workbookViewId="0">
      <pane xSplit="1" ySplit="3" topLeftCell="CK6" activePane="bottomRight" state="frozen"/>
      <selection pane="topRight"/>
      <selection pane="bottomLeft"/>
      <selection pane="bottomRight" activeCell="CS10" sqref="CS1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449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493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441</v>
      </c>
      <c r="BT1" s="4" t="s">
        <v>444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446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450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442</v>
      </c>
      <c r="BT2" s="4" t="s">
        <v>445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447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451</v>
      </c>
      <c r="I3" t="s">
        <v>112</v>
      </c>
      <c r="J3" t="s">
        <v>329</v>
      </c>
      <c r="K3" s="3" t="s">
        <v>330</v>
      </c>
      <c r="L3" s="3" t="s">
        <v>438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443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448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484</v>
      </c>
      <c r="C6" s="8" t="s">
        <v>406</v>
      </c>
      <c r="K6" s="9" t="s">
        <v>423</v>
      </c>
      <c r="O6" s="9"/>
      <c r="P6"/>
      <c r="AC6">
        <v>2</v>
      </c>
      <c r="AO6" s="8" t="s">
        <v>424</v>
      </c>
      <c r="AR6" t="s">
        <v>434</v>
      </c>
      <c r="AV6" t="s">
        <v>349</v>
      </c>
      <c r="AX6">
        <v>1</v>
      </c>
      <c r="BB6">
        <v>1</v>
      </c>
      <c r="BZ6" s="8" t="s">
        <v>425</v>
      </c>
      <c r="CE6" s="8" t="s">
        <v>426</v>
      </c>
      <c r="CF6" s="8" t="s">
        <v>489</v>
      </c>
      <c r="CG6" t="s">
        <v>485</v>
      </c>
      <c r="CJ6" s="8" t="s">
        <v>452</v>
      </c>
      <c r="CK6" s="8"/>
      <c r="CW6" t="s">
        <v>354</v>
      </c>
    </row>
    <row r="7" spans="1:111" x14ac:dyDescent="0.25">
      <c r="A7" s="8" t="s">
        <v>487</v>
      </c>
      <c r="C7" s="8" t="s">
        <v>406</v>
      </c>
      <c r="J7" s="8"/>
      <c r="O7"/>
      <c r="AC7">
        <v>2</v>
      </c>
      <c r="AD7">
        <v>1</v>
      </c>
      <c r="AO7" s="8" t="s">
        <v>488</v>
      </c>
      <c r="AT7">
        <v>2.5</v>
      </c>
      <c r="BZ7" s="8"/>
      <c r="CE7" s="8"/>
    </row>
    <row r="8" spans="1:111" x14ac:dyDescent="0.25">
      <c r="A8" s="8" t="s">
        <v>495</v>
      </c>
      <c r="C8" s="8" t="s">
        <v>496</v>
      </c>
      <c r="K8" s="3" t="s">
        <v>421</v>
      </c>
      <c r="L8" s="3" t="s">
        <v>497</v>
      </c>
      <c r="AC8">
        <v>2</v>
      </c>
      <c r="AG8" s="8"/>
      <c r="AO8" s="8" t="s">
        <v>424</v>
      </c>
      <c r="AV8" s="8" t="s">
        <v>492</v>
      </c>
      <c r="AX8">
        <v>0</v>
      </c>
      <c r="AZ8">
        <v>2</v>
      </c>
      <c r="BB8">
        <v>1</v>
      </c>
      <c r="CE8" s="8"/>
      <c r="CJ8" s="8" t="s">
        <v>498</v>
      </c>
      <c r="CL8" s="8"/>
      <c r="CM8" s="8"/>
      <c r="CW8" t="s">
        <v>494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460</v>
      </c>
      <c r="C10" s="8" t="s">
        <v>440</v>
      </c>
      <c r="K10" s="3" t="s">
        <v>421</v>
      </c>
      <c r="L10" s="3" t="s">
        <v>435</v>
      </c>
      <c r="AC10">
        <v>1</v>
      </c>
      <c r="AF10">
        <v>1</v>
      </c>
      <c r="AG10" s="8" t="s">
        <v>422</v>
      </c>
      <c r="BB10">
        <v>1</v>
      </c>
      <c r="CJ10" s="3"/>
      <c r="CS10" s="8" t="s">
        <v>469</v>
      </c>
      <c r="DB10">
        <v>1</v>
      </c>
      <c r="DE10">
        <v>1</v>
      </c>
      <c r="DF10">
        <v>1</v>
      </c>
    </row>
    <row r="11" spans="1:111" x14ac:dyDescent="0.25">
      <c r="A11" s="8" t="s">
        <v>455</v>
      </c>
      <c r="C11" s="8" t="s">
        <v>406</v>
      </c>
      <c r="I11">
        <v>1</v>
      </c>
      <c r="J11" s="8" t="s">
        <v>461</v>
      </c>
      <c r="K11" s="3" t="s">
        <v>423</v>
      </c>
      <c r="AC11">
        <v>1</v>
      </c>
      <c r="AG11" s="8" t="s">
        <v>422</v>
      </c>
      <c r="AJ11" s="8"/>
      <c r="AT11">
        <v>99</v>
      </c>
      <c r="AV11" s="8" t="s">
        <v>437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423</v>
      </c>
      <c r="CE11" s="8" t="s">
        <v>428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457</v>
      </c>
      <c r="C12" s="8" t="s">
        <v>458</v>
      </c>
      <c r="I12">
        <v>1</v>
      </c>
      <c r="K12" s="3" t="s">
        <v>421</v>
      </c>
      <c r="L12" s="3" t="s">
        <v>427</v>
      </c>
      <c r="AC12">
        <v>2</v>
      </c>
      <c r="AO12" s="8" t="s">
        <v>424</v>
      </c>
      <c r="AR12" t="s">
        <v>456</v>
      </c>
      <c r="BB12">
        <v>4</v>
      </c>
      <c r="BR12">
        <v>0.2</v>
      </c>
      <c r="CJ12" s="3"/>
      <c r="CS12" s="8" t="s">
        <v>467</v>
      </c>
      <c r="CW12" s="8" t="s">
        <v>459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476</v>
      </c>
      <c r="C14" t="s">
        <v>346</v>
      </c>
      <c r="I14">
        <v>1</v>
      </c>
      <c r="J14" s="18" t="s">
        <v>461</v>
      </c>
      <c r="K14" s="18" t="s">
        <v>423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470</v>
      </c>
      <c r="BR14">
        <v>6</v>
      </c>
      <c r="BT14" s="14">
        <v>1</v>
      </c>
      <c r="BU14" s="14">
        <v>1</v>
      </c>
      <c r="BV14" s="14">
        <v>1</v>
      </c>
      <c r="BW14" s="17" t="s">
        <v>482</v>
      </c>
      <c r="BX14" s="14"/>
      <c r="BY14" s="14"/>
      <c r="BZ14" s="12"/>
      <c r="CE14" s="8" t="s">
        <v>428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477</v>
      </c>
      <c r="C15" t="s">
        <v>346</v>
      </c>
      <c r="I15">
        <v>1</v>
      </c>
      <c r="K15" s="13" t="s">
        <v>347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456</v>
      </c>
      <c r="AV15" s="12" t="s">
        <v>350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471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428</v>
      </c>
      <c r="CH15" s="12"/>
      <c r="CJ15" s="15" t="s">
        <v>472</v>
      </c>
      <c r="CK15" s="12"/>
      <c r="CL15" t="s">
        <v>473</v>
      </c>
      <c r="CM15">
        <v>-0.8</v>
      </c>
      <c r="CP15">
        <v>6</v>
      </c>
      <c r="CR15" s="12"/>
      <c r="CU15" s="12"/>
      <c r="CV15" s="12"/>
      <c r="CW15" t="s">
        <v>353</v>
      </c>
      <c r="DF15">
        <v>1</v>
      </c>
    </row>
    <row r="16" spans="1:111" x14ac:dyDescent="0.25">
      <c r="A16" s="8" t="s">
        <v>478</v>
      </c>
      <c r="C16" s="12" t="s">
        <v>346</v>
      </c>
      <c r="I16">
        <v>1</v>
      </c>
      <c r="J16" s="12"/>
      <c r="K16" s="15" t="s">
        <v>347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348</v>
      </c>
      <c r="AJ16" s="12"/>
      <c r="AR16" t="s">
        <v>351</v>
      </c>
      <c r="AV16" s="12" t="s">
        <v>474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428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479</v>
      </c>
      <c r="C17" t="s">
        <v>346</v>
      </c>
      <c r="I17">
        <v>1</v>
      </c>
      <c r="K17" s="13" t="s">
        <v>347</v>
      </c>
      <c r="L17" s="13" t="s">
        <v>475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456</v>
      </c>
      <c r="AV17" s="12" t="s">
        <v>350</v>
      </c>
      <c r="AX17">
        <v>1</v>
      </c>
      <c r="BB17">
        <v>99</v>
      </c>
      <c r="BC17">
        <v>11</v>
      </c>
      <c r="BM17" s="12"/>
      <c r="BN17" s="12" t="s">
        <v>471</v>
      </c>
      <c r="BT17" s="14"/>
      <c r="BU17" s="14"/>
      <c r="BV17" s="14"/>
      <c r="BW17" s="14"/>
      <c r="BX17" s="14"/>
      <c r="BY17" s="14"/>
      <c r="BZ17" s="12"/>
      <c r="CH17" s="12"/>
      <c r="CJ17" s="15" t="s">
        <v>472</v>
      </c>
      <c r="CK17" s="12"/>
      <c r="CL17" t="s">
        <v>473</v>
      </c>
      <c r="CM17">
        <v>-0.8</v>
      </c>
      <c r="CP17">
        <v>6</v>
      </c>
      <c r="CR17" s="12"/>
      <c r="CU17" s="12"/>
      <c r="CV17" s="12"/>
      <c r="CW17" t="s">
        <v>353</v>
      </c>
      <c r="DF17">
        <v>1</v>
      </c>
    </row>
    <row r="18" spans="1:110" x14ac:dyDescent="0.25">
      <c r="A18" s="8" t="s">
        <v>480</v>
      </c>
      <c r="C18" t="s">
        <v>346</v>
      </c>
      <c r="I18">
        <v>1</v>
      </c>
      <c r="K18" s="13" t="s">
        <v>347</v>
      </c>
      <c r="L18" s="13" t="s">
        <v>352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456</v>
      </c>
      <c r="AV18" s="12" t="s">
        <v>350</v>
      </c>
      <c r="AX18">
        <v>1</v>
      </c>
      <c r="BB18">
        <v>99</v>
      </c>
      <c r="BC18">
        <v>11</v>
      </c>
      <c r="BM18" s="12"/>
      <c r="BN18" s="12" t="s">
        <v>471</v>
      </c>
      <c r="BT18" s="14"/>
      <c r="BU18" s="14"/>
      <c r="BV18" s="14"/>
      <c r="BW18" s="14"/>
      <c r="BX18" s="14"/>
      <c r="BY18" s="14"/>
      <c r="BZ18" s="12"/>
      <c r="CH18" s="12"/>
      <c r="CJ18" s="15" t="s">
        <v>472</v>
      </c>
      <c r="CK18" s="12"/>
      <c r="CL18" t="s">
        <v>473</v>
      </c>
      <c r="CM18">
        <v>-0.8</v>
      </c>
      <c r="CP18">
        <v>6</v>
      </c>
      <c r="CR18" s="12"/>
      <c r="CU18" s="12"/>
      <c r="CV18" s="12"/>
      <c r="CW18" t="s">
        <v>353</v>
      </c>
      <c r="DF18">
        <v>1</v>
      </c>
    </row>
    <row r="19" spans="1:110" x14ac:dyDescent="0.25">
      <c r="CJ19" s="3"/>
    </row>
    <row r="20" spans="1:110" x14ac:dyDescent="0.25">
      <c r="A20" s="8" t="s">
        <v>465</v>
      </c>
      <c r="C20" s="8" t="s">
        <v>439</v>
      </c>
      <c r="I20">
        <v>1</v>
      </c>
      <c r="K20" s="3" t="s">
        <v>421</v>
      </c>
      <c r="AC20">
        <v>1</v>
      </c>
      <c r="AR20" s="8" t="s">
        <v>466</v>
      </c>
      <c r="BT20"/>
      <c r="CJ20" s="3"/>
      <c r="CS20" s="8" t="s">
        <v>468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t="s">
        <v>360</v>
      </c>
      <c r="L1" t="s">
        <v>361</v>
      </c>
      <c r="M1" t="s">
        <v>362</v>
      </c>
      <c r="N1" t="s">
        <v>363</v>
      </c>
      <c r="O1" t="s">
        <v>364</v>
      </c>
    </row>
    <row r="2" spans="1:16" x14ac:dyDescent="0.25">
      <c r="A2" t="s">
        <v>0</v>
      </c>
      <c r="C2" t="s">
        <v>46</v>
      </c>
      <c r="D2" t="s">
        <v>75</v>
      </c>
      <c r="E2" t="s">
        <v>365</v>
      </c>
      <c r="F2" t="s">
        <v>366</v>
      </c>
      <c r="G2" t="s">
        <v>367</v>
      </c>
      <c r="H2" t="s">
        <v>368</v>
      </c>
      <c r="I2" t="s">
        <v>369</v>
      </c>
      <c r="J2" t="s">
        <v>370</v>
      </c>
      <c r="K2" t="s">
        <v>371</v>
      </c>
      <c r="L2" t="s">
        <v>51</v>
      </c>
      <c r="M2" t="s">
        <v>372</v>
      </c>
      <c r="N2" t="s">
        <v>373</v>
      </c>
      <c r="O2" t="s">
        <v>374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375</v>
      </c>
    </row>
    <row r="2" spans="1:4" x14ac:dyDescent="0.25">
      <c r="A2" t="s">
        <v>0</v>
      </c>
      <c r="B2" t="s">
        <v>46</v>
      </c>
      <c r="C2" t="s">
        <v>376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377</v>
      </c>
      <c r="E2" t="s">
        <v>70</v>
      </c>
      <c r="F2" t="s">
        <v>378</v>
      </c>
      <c r="G2" t="s">
        <v>379</v>
      </c>
      <c r="H2" t="s">
        <v>380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448</v>
      </c>
    </row>
    <row r="4" spans="1:9" x14ac:dyDescent="0.25">
      <c r="A4" s="8" t="s">
        <v>489</v>
      </c>
      <c r="B4" s="8" t="s">
        <v>486</v>
      </c>
      <c r="C4" t="s">
        <v>436</v>
      </c>
      <c r="E4">
        <v>10</v>
      </c>
      <c r="I4" s="8" t="s">
        <v>491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381</v>
      </c>
      <c r="C1" t="s">
        <v>382</v>
      </c>
      <c r="D1" t="s">
        <v>383</v>
      </c>
      <c r="E1" t="s">
        <v>384</v>
      </c>
      <c r="F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</row>
    <row r="2" spans="1:12" x14ac:dyDescent="0.25">
      <c r="A2" t="s">
        <v>0</v>
      </c>
      <c r="B2" t="s">
        <v>391</v>
      </c>
      <c r="C2" t="s">
        <v>392</v>
      </c>
      <c r="D2" t="s">
        <v>393</v>
      </c>
      <c r="E2" t="s">
        <v>394</v>
      </c>
      <c r="F2" t="s">
        <v>395</v>
      </c>
      <c r="G2" t="s">
        <v>396</v>
      </c>
      <c r="H2" t="s">
        <v>397</v>
      </c>
      <c r="I2" t="s">
        <v>398</v>
      </c>
      <c r="J2" t="s">
        <v>399</v>
      </c>
      <c r="K2" t="s">
        <v>378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400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401</v>
      </c>
      <c r="E2" t="s">
        <v>402</v>
      </c>
      <c r="F2" t="s">
        <v>77</v>
      </c>
      <c r="G2" t="s">
        <v>403</v>
      </c>
      <c r="H2" t="s">
        <v>256</v>
      </c>
      <c r="I2" t="s">
        <v>404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405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2025-09-12T13:10:30Z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